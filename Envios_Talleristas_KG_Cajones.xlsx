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S:\AA IT\Gestion Productiva (4)\Gestion Productiva (3)\Gestion Productiva (3)\Gestion Productiva\Gestion Productiva\"/>
    </mc:Choice>
  </mc:AlternateContent>
  <xr:revisionPtr revIDLastSave="0" documentId="13_ncr:1_{AA5F4915-4A03-4F07-B781-CFF03EE88D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nvios" sheetId="1" r:id="rId1"/>
  </sheets>
  <definedNames>
    <definedName name="_xlnm._FilterDatabase" localSheetId="0" hidden="1">Envios!$A$1:$R$712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12" i="1" l="1"/>
  <c r="I711" i="1"/>
  <c r="I42" i="1"/>
  <c r="I709" i="1"/>
  <c r="I708" i="1"/>
  <c r="I707" i="1"/>
  <c r="I41" i="1"/>
  <c r="I40" i="1"/>
  <c r="I38" i="1"/>
  <c r="I37" i="1"/>
  <c r="I702" i="1"/>
  <c r="I701" i="1"/>
  <c r="I656" i="1"/>
  <c r="I655" i="1"/>
  <c r="I645" i="1"/>
  <c r="I642" i="1"/>
  <c r="I696" i="1"/>
  <c r="I443" i="1"/>
  <c r="I442" i="1"/>
  <c r="I441" i="1"/>
  <c r="I692" i="1"/>
  <c r="I8" i="1"/>
  <c r="I7" i="1"/>
  <c r="I689" i="1"/>
  <c r="I688" i="1"/>
  <c r="I6" i="1"/>
  <c r="I5" i="1"/>
  <c r="I685" i="1"/>
  <c r="I684" i="1"/>
  <c r="I683" i="1"/>
  <c r="I4" i="1"/>
  <c r="I681" i="1"/>
  <c r="I79" i="1"/>
  <c r="I679" i="1"/>
  <c r="I678" i="1"/>
  <c r="I78" i="1"/>
  <c r="I77" i="1"/>
  <c r="I675" i="1"/>
  <c r="I76" i="1"/>
  <c r="I75" i="1"/>
  <c r="I672" i="1"/>
  <c r="I572" i="1"/>
  <c r="I570" i="1"/>
  <c r="I569" i="1"/>
  <c r="I668" i="1"/>
  <c r="I554" i="1"/>
  <c r="I666" i="1"/>
  <c r="I665" i="1"/>
  <c r="I664" i="1"/>
  <c r="I663" i="1"/>
  <c r="I662" i="1"/>
  <c r="I661" i="1"/>
  <c r="I660" i="1"/>
  <c r="I659" i="1"/>
  <c r="I677" i="1"/>
  <c r="I657" i="1"/>
  <c r="I226" i="1"/>
  <c r="I225" i="1"/>
  <c r="I654" i="1"/>
  <c r="I653" i="1"/>
  <c r="I652" i="1"/>
  <c r="I651" i="1"/>
  <c r="I650" i="1"/>
  <c r="I649" i="1"/>
  <c r="I648" i="1"/>
  <c r="I647" i="1"/>
  <c r="I646" i="1"/>
  <c r="I676" i="1"/>
  <c r="I644" i="1"/>
  <c r="I643" i="1"/>
  <c r="I693" i="1"/>
  <c r="I641" i="1"/>
  <c r="I640" i="1"/>
  <c r="I691" i="1"/>
  <c r="I638" i="1"/>
  <c r="I637" i="1"/>
  <c r="I636" i="1"/>
  <c r="I690" i="1"/>
  <c r="I634" i="1"/>
  <c r="I633" i="1"/>
  <c r="I687" i="1"/>
  <c r="I631" i="1"/>
  <c r="I686" i="1"/>
  <c r="I629" i="1"/>
  <c r="I628" i="1"/>
  <c r="I627" i="1"/>
  <c r="I626" i="1"/>
  <c r="I625" i="1"/>
  <c r="I624" i="1"/>
  <c r="I623" i="1"/>
  <c r="I622" i="1"/>
  <c r="I682" i="1"/>
  <c r="I620" i="1"/>
  <c r="I680" i="1"/>
  <c r="I618" i="1"/>
  <c r="I617" i="1"/>
  <c r="I616" i="1"/>
  <c r="I703" i="1"/>
  <c r="I614" i="1"/>
  <c r="I700" i="1"/>
  <c r="I36" i="1"/>
  <c r="I611" i="1"/>
  <c r="I610" i="1"/>
  <c r="I35" i="1"/>
  <c r="I608" i="1"/>
  <c r="I607" i="1"/>
  <c r="I606" i="1"/>
  <c r="I34" i="1"/>
  <c r="I33" i="1"/>
  <c r="I603" i="1"/>
  <c r="I24" i="1"/>
  <c r="I601" i="1"/>
  <c r="I21" i="1"/>
  <c r="I639" i="1"/>
  <c r="I635" i="1"/>
  <c r="I632" i="1"/>
  <c r="I630" i="1"/>
  <c r="I595" i="1"/>
  <c r="I440" i="1"/>
  <c r="I439" i="1"/>
  <c r="I428" i="1"/>
  <c r="I427" i="1"/>
  <c r="I590" i="1"/>
  <c r="I589" i="1"/>
  <c r="I588" i="1"/>
  <c r="I587" i="1"/>
  <c r="I586" i="1"/>
  <c r="I44" i="1"/>
  <c r="I584" i="1"/>
  <c r="I583" i="1"/>
  <c r="I582" i="1"/>
  <c r="I43" i="1"/>
  <c r="I580" i="1"/>
  <c r="I579" i="1"/>
  <c r="I697" i="1"/>
  <c r="I577" i="1"/>
  <c r="I576" i="1"/>
  <c r="I575" i="1"/>
  <c r="I574" i="1"/>
  <c r="I710" i="1"/>
  <c r="I706" i="1"/>
  <c r="I571" i="1"/>
  <c r="I705" i="1"/>
  <c r="I704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699" i="1"/>
  <c r="I698" i="1"/>
  <c r="I552" i="1"/>
  <c r="I12" i="1"/>
  <c r="I550" i="1"/>
  <c r="I11" i="1"/>
  <c r="I10" i="1"/>
  <c r="I547" i="1"/>
  <c r="I9" i="1"/>
  <c r="I545" i="1"/>
  <c r="I406" i="1"/>
  <c r="I405" i="1"/>
  <c r="I542" i="1"/>
  <c r="I541" i="1"/>
  <c r="I404" i="1"/>
  <c r="I539" i="1"/>
  <c r="I403" i="1"/>
  <c r="I402" i="1"/>
  <c r="I401" i="1"/>
  <c r="I535" i="1"/>
  <c r="I534" i="1"/>
  <c r="I400" i="1"/>
  <c r="I399" i="1"/>
  <c r="I373" i="1"/>
  <c r="I372" i="1"/>
  <c r="I529" i="1"/>
  <c r="I528" i="1"/>
  <c r="I415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215" i="1"/>
  <c r="I214" i="1"/>
  <c r="I476" i="1"/>
  <c r="I213" i="1"/>
  <c r="I196" i="1"/>
  <c r="I187" i="1"/>
  <c r="I472" i="1"/>
  <c r="I471" i="1"/>
  <c r="I470" i="1"/>
  <c r="I527" i="1"/>
  <c r="I468" i="1"/>
  <c r="I478" i="1"/>
  <c r="I477" i="1"/>
  <c r="Q468" i="1" s="1"/>
  <c r="I475" i="1"/>
  <c r="I474" i="1"/>
  <c r="I463" i="1"/>
  <c r="I473" i="1"/>
  <c r="I461" i="1"/>
  <c r="I469" i="1"/>
  <c r="I467" i="1"/>
  <c r="I466" i="1"/>
  <c r="I465" i="1"/>
  <c r="I456" i="1"/>
  <c r="I695" i="1"/>
  <c r="I454" i="1"/>
  <c r="I453" i="1"/>
  <c r="I694" i="1"/>
  <c r="I451" i="1"/>
  <c r="I450" i="1"/>
  <c r="I307" i="1"/>
  <c r="I306" i="1"/>
  <c r="I305" i="1"/>
  <c r="I304" i="1"/>
  <c r="I303" i="1"/>
  <c r="I291" i="1"/>
  <c r="I284" i="1"/>
  <c r="I275" i="1"/>
  <c r="I274" i="1"/>
  <c r="I273" i="1"/>
  <c r="I272" i="1"/>
  <c r="I438" i="1"/>
  <c r="I437" i="1"/>
  <c r="I436" i="1"/>
  <c r="I435" i="1"/>
  <c r="I434" i="1"/>
  <c r="I433" i="1"/>
  <c r="I432" i="1"/>
  <c r="I431" i="1"/>
  <c r="I430" i="1"/>
  <c r="I429" i="1"/>
  <c r="I224" i="1"/>
  <c r="I221" i="1"/>
  <c r="I130" i="1"/>
  <c r="I124" i="1"/>
  <c r="I119" i="1"/>
  <c r="I116" i="1"/>
  <c r="I140" i="1"/>
  <c r="I421" i="1"/>
  <c r="I139" i="1"/>
  <c r="I138" i="1"/>
  <c r="I137" i="1"/>
  <c r="I417" i="1"/>
  <c r="I674" i="1"/>
  <c r="I673" i="1"/>
  <c r="I414" i="1"/>
  <c r="I413" i="1"/>
  <c r="I412" i="1"/>
  <c r="I411" i="1"/>
  <c r="I410" i="1"/>
  <c r="I409" i="1"/>
  <c r="I408" i="1"/>
  <c r="I407" i="1"/>
  <c r="I621" i="1"/>
  <c r="I619" i="1"/>
  <c r="I615" i="1"/>
  <c r="I613" i="1"/>
  <c r="I612" i="1"/>
  <c r="I609" i="1"/>
  <c r="I605" i="1"/>
  <c r="I604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551" i="1"/>
  <c r="I549" i="1"/>
  <c r="I371" i="1"/>
  <c r="I370" i="1"/>
  <c r="I369" i="1"/>
  <c r="I135" i="1"/>
  <c r="I133" i="1"/>
  <c r="I132" i="1"/>
  <c r="I365" i="1"/>
  <c r="I131" i="1"/>
  <c r="I363" i="1"/>
  <c r="I334" i="1"/>
  <c r="I333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462" i="1"/>
  <c r="I460" i="1"/>
  <c r="I448" i="1"/>
  <c r="I341" i="1"/>
  <c r="I340" i="1"/>
  <c r="I339" i="1"/>
  <c r="I338" i="1"/>
  <c r="I337" i="1"/>
  <c r="I70" i="1"/>
  <c r="I68" i="1"/>
  <c r="I67" i="1"/>
  <c r="I52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218" i="1"/>
  <c r="I314" i="1"/>
  <c r="I313" i="1"/>
  <c r="I312" i="1"/>
  <c r="I311" i="1"/>
  <c r="I217" i="1"/>
  <c r="I309" i="1"/>
  <c r="I216" i="1"/>
  <c r="I594" i="1"/>
  <c r="I593" i="1"/>
  <c r="I592" i="1"/>
  <c r="I591" i="1"/>
  <c r="I585" i="1"/>
  <c r="I302" i="1"/>
  <c r="I301" i="1"/>
  <c r="I300" i="1"/>
  <c r="I299" i="1"/>
  <c r="I298" i="1"/>
  <c r="I297" i="1"/>
  <c r="I296" i="1"/>
  <c r="I295" i="1"/>
  <c r="I294" i="1"/>
  <c r="I293" i="1"/>
  <c r="I292" i="1"/>
  <c r="I578" i="1"/>
  <c r="I290" i="1"/>
  <c r="I289" i="1"/>
  <c r="I288" i="1"/>
  <c r="I287" i="1"/>
  <c r="I286" i="1"/>
  <c r="I285" i="1"/>
  <c r="I581" i="1"/>
  <c r="I283" i="1"/>
  <c r="I282" i="1"/>
  <c r="I281" i="1"/>
  <c r="I280" i="1"/>
  <c r="I279" i="1"/>
  <c r="I278" i="1"/>
  <c r="I277" i="1"/>
  <c r="I276" i="1"/>
  <c r="I548" i="1"/>
  <c r="I546" i="1"/>
  <c r="I544" i="1"/>
  <c r="I543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Q228" i="1" s="1"/>
  <c r="I227" i="1"/>
  <c r="I185" i="1"/>
  <c r="I175" i="1"/>
  <c r="I174" i="1"/>
  <c r="I223" i="1"/>
  <c r="I222" i="1"/>
  <c r="I173" i="1"/>
  <c r="I220" i="1"/>
  <c r="I219" i="1"/>
  <c r="I172" i="1"/>
  <c r="I171" i="1"/>
  <c r="I531" i="1"/>
  <c r="I459" i="1"/>
  <c r="I458" i="1"/>
  <c r="I457" i="1"/>
  <c r="I212" i="1"/>
  <c r="I211" i="1"/>
  <c r="I210" i="1"/>
  <c r="Q210" i="1" s="1"/>
  <c r="I209" i="1"/>
  <c r="I208" i="1"/>
  <c r="I207" i="1"/>
  <c r="I206" i="1"/>
  <c r="I205" i="1"/>
  <c r="I204" i="1"/>
  <c r="I203" i="1"/>
  <c r="I202" i="1"/>
  <c r="Q202" i="1" s="1"/>
  <c r="I201" i="1"/>
  <c r="I200" i="1"/>
  <c r="I199" i="1"/>
  <c r="I198" i="1"/>
  <c r="I197" i="1"/>
  <c r="I540" i="1"/>
  <c r="I195" i="1"/>
  <c r="I194" i="1"/>
  <c r="I193" i="1"/>
  <c r="I192" i="1"/>
  <c r="I191" i="1"/>
  <c r="I190" i="1"/>
  <c r="I189" i="1"/>
  <c r="I188" i="1"/>
  <c r="I530" i="1"/>
  <c r="I186" i="1"/>
  <c r="I455" i="1"/>
  <c r="I184" i="1"/>
  <c r="I183" i="1"/>
  <c r="I182" i="1"/>
  <c r="Q182" i="1" s="1"/>
  <c r="I181" i="1"/>
  <c r="I180" i="1"/>
  <c r="I179" i="1"/>
  <c r="I178" i="1"/>
  <c r="Q178" i="1" s="1"/>
  <c r="I177" i="1"/>
  <c r="I176" i="1"/>
  <c r="Q176" i="1" s="1"/>
  <c r="I602" i="1"/>
  <c r="I600" i="1"/>
  <c r="I599" i="1"/>
  <c r="I598" i="1"/>
  <c r="I597" i="1"/>
  <c r="I596" i="1"/>
  <c r="Q598" i="1" s="1"/>
  <c r="I169" i="1"/>
  <c r="I168" i="1"/>
  <c r="I167" i="1"/>
  <c r="I166" i="1"/>
  <c r="I165" i="1"/>
  <c r="I164" i="1"/>
  <c r="I553" i="1"/>
  <c r="I162" i="1"/>
  <c r="I161" i="1"/>
  <c r="I160" i="1"/>
  <c r="I159" i="1"/>
  <c r="I158" i="1"/>
  <c r="I157" i="1"/>
  <c r="I156" i="1"/>
  <c r="I155" i="1"/>
  <c r="I154" i="1"/>
  <c r="I368" i="1"/>
  <c r="I367" i="1"/>
  <c r="I366" i="1"/>
  <c r="I150" i="1"/>
  <c r="I149" i="1"/>
  <c r="I364" i="1"/>
  <c r="I362" i="1"/>
  <c r="I146" i="1"/>
  <c r="I145" i="1"/>
  <c r="I144" i="1"/>
  <c r="I143" i="1"/>
  <c r="I142" i="1"/>
  <c r="I141" i="1"/>
  <c r="I426" i="1"/>
  <c r="I425" i="1"/>
  <c r="I424" i="1"/>
  <c r="I423" i="1"/>
  <c r="I136" i="1"/>
  <c r="I422" i="1"/>
  <c r="I134" i="1"/>
  <c r="I420" i="1"/>
  <c r="I419" i="1"/>
  <c r="I418" i="1"/>
  <c r="I416" i="1"/>
  <c r="Q420" i="1" s="1"/>
  <c r="I129" i="1"/>
  <c r="I128" i="1"/>
  <c r="I127" i="1"/>
  <c r="I126" i="1"/>
  <c r="I125" i="1"/>
  <c r="I573" i="1"/>
  <c r="I123" i="1"/>
  <c r="I122" i="1"/>
  <c r="I121" i="1"/>
  <c r="I120" i="1"/>
  <c r="I74" i="1"/>
  <c r="I118" i="1"/>
  <c r="I117" i="1"/>
  <c r="I73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170" i="1"/>
  <c r="I163" i="1"/>
  <c r="I153" i="1"/>
  <c r="I152" i="1"/>
  <c r="I151" i="1"/>
  <c r="I148" i="1"/>
  <c r="I147" i="1"/>
  <c r="I72" i="1"/>
  <c r="I71" i="1"/>
  <c r="I315" i="1"/>
  <c r="I69" i="1"/>
  <c r="I310" i="1"/>
  <c r="I449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48" i="1"/>
  <c r="I51" i="1"/>
  <c r="I50" i="1"/>
  <c r="I49" i="1"/>
  <c r="I361" i="1"/>
  <c r="I47" i="1"/>
  <c r="I46" i="1"/>
  <c r="I45" i="1"/>
  <c r="I671" i="1"/>
  <c r="I670" i="1"/>
  <c r="I669" i="1"/>
  <c r="I667" i="1"/>
  <c r="I658" i="1"/>
  <c r="I39" i="1"/>
  <c r="I308" i="1"/>
  <c r="I538" i="1"/>
  <c r="I537" i="1"/>
  <c r="I532" i="1"/>
  <c r="I447" i="1"/>
  <c r="I335" i="1"/>
  <c r="I32" i="1"/>
  <c r="I31" i="1"/>
  <c r="I30" i="1"/>
  <c r="I29" i="1"/>
  <c r="I28" i="1"/>
  <c r="Q28" i="1" s="1"/>
  <c r="I27" i="1"/>
  <c r="I26" i="1"/>
  <c r="I25" i="1"/>
  <c r="I3" i="1"/>
  <c r="I23" i="1"/>
  <c r="I22" i="1"/>
  <c r="I533" i="1"/>
  <c r="I20" i="1"/>
  <c r="I19" i="1"/>
  <c r="I18" i="1"/>
  <c r="I17" i="1"/>
  <c r="I16" i="1"/>
  <c r="I15" i="1"/>
  <c r="I14" i="1"/>
  <c r="I13" i="1"/>
  <c r="I446" i="1"/>
  <c r="I2" i="1"/>
  <c r="I536" i="1"/>
  <c r="I464" i="1"/>
  <c r="I445" i="1"/>
  <c r="I444" i="1"/>
  <c r="I344" i="1"/>
  <c r="I343" i="1"/>
  <c r="I452" i="1"/>
  <c r="I342" i="1"/>
  <c r="I336" i="1"/>
  <c r="Q357" i="1" l="1"/>
  <c r="Q100" i="1"/>
  <c r="Q296" i="1"/>
  <c r="R296" i="1" s="1"/>
  <c r="Q45" i="1"/>
  <c r="R45" i="1" s="1"/>
  <c r="Q118" i="1"/>
  <c r="Q56" i="1"/>
  <c r="R56" i="1" s="1"/>
  <c r="Q581" i="1"/>
  <c r="R581" i="1" s="1"/>
  <c r="Q13" i="1"/>
  <c r="R13" i="1" s="1"/>
  <c r="Q464" i="1"/>
  <c r="R464" i="1" s="1"/>
  <c r="Q291" i="1"/>
  <c r="R291" i="1" s="1"/>
  <c r="Q474" i="1"/>
  <c r="R474" i="1" s="1"/>
  <c r="Q555" i="1"/>
  <c r="R555" i="1" s="1"/>
  <c r="Q17" i="1"/>
  <c r="Q310" i="1"/>
  <c r="R310" i="1" s="1"/>
  <c r="Q293" i="1"/>
  <c r="R293" i="1" s="1"/>
  <c r="Q276" i="1"/>
  <c r="R276" i="1" s="1"/>
  <c r="Q48" i="1"/>
  <c r="R48" i="1" s="1"/>
  <c r="Q148" i="1"/>
  <c r="R148" i="1" s="1"/>
  <c r="Q540" i="1"/>
  <c r="R540" i="1" s="1"/>
  <c r="Q106" i="1"/>
  <c r="R106" i="1" s="1"/>
  <c r="Q419" i="1"/>
  <c r="R419" i="1" s="1"/>
  <c r="Q596" i="1"/>
  <c r="R596" i="1" s="1"/>
  <c r="Q458" i="1"/>
  <c r="R458" i="1" s="1"/>
  <c r="Q57" i="1"/>
  <c r="R57" i="1" s="1"/>
  <c r="Q62" i="1"/>
  <c r="R62" i="1" s="1"/>
  <c r="Q381" i="1"/>
  <c r="R381" i="1" s="1"/>
  <c r="Q615" i="1"/>
  <c r="R615" i="1" s="1"/>
  <c r="Q15" i="1"/>
  <c r="R15" i="1" s="1"/>
  <c r="Q16" i="1"/>
  <c r="R16" i="1" s="1"/>
  <c r="Q14" i="1"/>
  <c r="R14" i="1" s="1"/>
  <c r="Q20" i="1"/>
  <c r="R20" i="1" s="1"/>
  <c r="Q25" i="1"/>
  <c r="R25" i="1" s="1"/>
  <c r="Q371" i="1"/>
  <c r="R371" i="1" s="1"/>
  <c r="Q370" i="1"/>
  <c r="R370" i="1" s="1"/>
  <c r="Q31" i="1"/>
  <c r="R31" i="1" s="1"/>
  <c r="Q32" i="1"/>
  <c r="R32" i="1" s="1"/>
  <c r="Q29" i="1"/>
  <c r="R29" i="1" s="1"/>
  <c r="Q47" i="1"/>
  <c r="R47" i="1" s="1"/>
  <c r="Q361" i="1"/>
  <c r="R361" i="1" s="1"/>
  <c r="Q50" i="1"/>
  <c r="R50" i="1" s="1"/>
  <c r="Q49" i="1"/>
  <c r="R49" i="1" s="1"/>
  <c r="Q46" i="1"/>
  <c r="R46" i="1" s="1"/>
  <c r="Q120" i="1"/>
  <c r="Q299" i="1"/>
  <c r="Q298" i="1"/>
  <c r="R298" i="1" s="1"/>
  <c r="Q129" i="1"/>
  <c r="R129" i="1" s="1"/>
  <c r="Q127" i="1"/>
  <c r="R127" i="1" s="1"/>
  <c r="Q302" i="1"/>
  <c r="R302" i="1" s="1"/>
  <c r="Q128" i="1"/>
  <c r="R128" i="1" s="1"/>
  <c r="Q301" i="1"/>
  <c r="R301" i="1" s="1"/>
  <c r="Q300" i="1"/>
  <c r="R300" i="1" s="1"/>
  <c r="Q126" i="1"/>
  <c r="R420" i="1"/>
  <c r="Q362" i="1"/>
  <c r="R362" i="1" s="1"/>
  <c r="Q368" i="1"/>
  <c r="R368" i="1" s="1"/>
  <c r="Q145" i="1"/>
  <c r="R145" i="1" s="1"/>
  <c r="Q366" i="1"/>
  <c r="R366" i="1" s="1"/>
  <c r="Q143" i="1"/>
  <c r="R143" i="1" s="1"/>
  <c r="Q142" i="1"/>
  <c r="R142" i="1" s="1"/>
  <c r="Q141" i="1"/>
  <c r="R141" i="1" s="1"/>
  <c r="Q149" i="1"/>
  <c r="R149" i="1" s="1"/>
  <c r="Q364" i="1"/>
  <c r="R364" i="1" s="1"/>
  <c r="Q367" i="1"/>
  <c r="R367" i="1" s="1"/>
  <c r="Q146" i="1"/>
  <c r="R146" i="1" s="1"/>
  <c r="Q553" i="1"/>
  <c r="R553" i="1" s="1"/>
  <c r="Q169" i="1"/>
  <c r="R169" i="1" s="1"/>
  <c r="Q161" i="1"/>
  <c r="R161" i="1" s="1"/>
  <c r="Q167" i="1"/>
  <c r="R167" i="1" s="1"/>
  <c r="Q159" i="1"/>
  <c r="R159" i="1" s="1"/>
  <c r="Q168" i="1"/>
  <c r="R168" i="1" s="1"/>
  <c r="Q166" i="1"/>
  <c r="R166" i="1" s="1"/>
  <c r="Q162" i="1"/>
  <c r="R162" i="1" s="1"/>
  <c r="Q160" i="1"/>
  <c r="R160" i="1" s="1"/>
  <c r="Q165" i="1"/>
  <c r="R165" i="1" s="1"/>
  <c r="Q164" i="1"/>
  <c r="R164" i="1" s="1"/>
  <c r="Q158" i="1"/>
  <c r="Q181" i="1"/>
  <c r="R181" i="1" s="1"/>
  <c r="Q189" i="1"/>
  <c r="R189" i="1" s="1"/>
  <c r="Q197" i="1"/>
  <c r="R197" i="1" s="1"/>
  <c r="Q205" i="1"/>
  <c r="R205" i="1" s="1"/>
  <c r="Q578" i="1"/>
  <c r="R578" i="1" s="1"/>
  <c r="Q290" i="1"/>
  <c r="R290" i="1" s="1"/>
  <c r="Q289" i="1"/>
  <c r="Q295" i="1"/>
  <c r="R295" i="1" s="1"/>
  <c r="Q287" i="1"/>
  <c r="R287" i="1" s="1"/>
  <c r="Q294" i="1"/>
  <c r="R294" i="1" s="1"/>
  <c r="Q286" i="1"/>
  <c r="R286" i="1" s="1"/>
  <c r="Q292" i="1"/>
  <c r="R292" i="1" s="1"/>
  <c r="Q288" i="1"/>
  <c r="R288" i="1" s="1"/>
  <c r="Q285" i="1"/>
  <c r="R285" i="1" s="1"/>
  <c r="Q316" i="1"/>
  <c r="R316" i="1" s="1"/>
  <c r="Q317" i="1"/>
  <c r="R317" i="1" s="1"/>
  <c r="Q327" i="1"/>
  <c r="R327" i="1" s="1"/>
  <c r="Q326" i="1"/>
  <c r="R326" i="1" s="1"/>
  <c r="Q328" i="1"/>
  <c r="R328" i="1" s="1"/>
  <c r="Q325" i="1"/>
  <c r="R325" i="1" s="1"/>
  <c r="R357" i="1"/>
  <c r="Q389" i="1"/>
  <c r="R389" i="1" s="1"/>
  <c r="Q414" i="1"/>
  <c r="R414" i="1" s="1"/>
  <c r="Q413" i="1"/>
  <c r="R413" i="1" s="1"/>
  <c r="Q437" i="1"/>
  <c r="R437" i="1" s="1"/>
  <c r="Q556" i="1"/>
  <c r="R556" i="1" s="1"/>
  <c r="Q586" i="1"/>
  <c r="R586" i="1" s="1"/>
  <c r="Q583" i="1"/>
  <c r="R583" i="1" s="1"/>
  <c r="Q582" i="1"/>
  <c r="R582" i="1" s="1"/>
  <c r="Q589" i="1"/>
  <c r="R589" i="1" s="1"/>
  <c r="Q588" i="1"/>
  <c r="R588" i="1" s="1"/>
  <c r="Q587" i="1"/>
  <c r="Q44" i="1"/>
  <c r="R44" i="1" s="1"/>
  <c r="Q584" i="1"/>
  <c r="R584" i="1" s="1"/>
  <c r="Q43" i="1"/>
  <c r="R43" i="1" s="1"/>
  <c r="Q703" i="1"/>
  <c r="R703" i="1" s="1"/>
  <c r="Q614" i="1"/>
  <c r="R614" i="1" s="1"/>
  <c r="Q616" i="1"/>
  <c r="R616" i="1" s="1"/>
  <c r="Q700" i="1"/>
  <c r="R700" i="1" s="1"/>
  <c r="Q653" i="1"/>
  <c r="R653" i="1" s="1"/>
  <c r="Q683" i="1"/>
  <c r="R683" i="1" s="1"/>
  <c r="Q701" i="1"/>
  <c r="R701" i="1" s="1"/>
  <c r="Q3" i="1"/>
  <c r="R3" i="1" s="1"/>
  <c r="Q60" i="1"/>
  <c r="R60" i="1" s="1"/>
  <c r="Q125" i="1"/>
  <c r="R125" i="1" s="1"/>
  <c r="Q380" i="1"/>
  <c r="R380" i="1" s="1"/>
  <c r="Q155" i="1"/>
  <c r="R155" i="1" s="1"/>
  <c r="Q39" i="1"/>
  <c r="R39" i="1" s="1"/>
  <c r="Q374" i="1"/>
  <c r="R374" i="1" s="1"/>
  <c r="Q156" i="1"/>
  <c r="R156" i="1" s="1"/>
  <c r="Q199" i="1"/>
  <c r="R199" i="1" s="1"/>
  <c r="Q612" i="1"/>
  <c r="R612" i="1" s="1"/>
  <c r="Q609" i="1"/>
  <c r="R609" i="1" s="1"/>
  <c r="Q604" i="1"/>
  <c r="R604" i="1" s="1"/>
  <c r="Q605" i="1"/>
  <c r="R605" i="1" s="1"/>
  <c r="Q130" i="1"/>
  <c r="R130" i="1" s="1"/>
  <c r="Q124" i="1"/>
  <c r="R124" i="1" s="1"/>
  <c r="Q116" i="1"/>
  <c r="R116" i="1" s="1"/>
  <c r="Q119" i="1"/>
  <c r="R119" i="1" s="1"/>
  <c r="Q626" i="1"/>
  <c r="R626" i="1" s="1"/>
  <c r="Q687" i="1"/>
  <c r="R687" i="1" s="1"/>
  <c r="Q624" i="1"/>
  <c r="R624" i="1" s="1"/>
  <c r="Q631" i="1"/>
  <c r="R631" i="1" s="1"/>
  <c r="Q623" i="1"/>
  <c r="R623" i="1" s="1"/>
  <c r="Q686" i="1"/>
  <c r="R686" i="1" s="1"/>
  <c r="Q628" i="1"/>
  <c r="R628" i="1" s="1"/>
  <c r="Q633" i="1"/>
  <c r="R633" i="1" s="1"/>
  <c r="Q629" i="1"/>
  <c r="R629" i="1" s="1"/>
  <c r="Q627" i="1"/>
  <c r="R627" i="1" s="1"/>
  <c r="Q625" i="1"/>
  <c r="R625" i="1" s="1"/>
  <c r="Q30" i="1"/>
  <c r="R30" i="1" s="1"/>
  <c r="Q144" i="1"/>
  <c r="R144" i="1" s="1"/>
  <c r="Q425" i="1"/>
  <c r="R425" i="1" s="1"/>
  <c r="Q423" i="1"/>
  <c r="R423" i="1" s="1"/>
  <c r="Q422" i="1"/>
  <c r="R422" i="1" s="1"/>
  <c r="Q136" i="1"/>
  <c r="R136" i="1" s="1"/>
  <c r="Q426" i="1"/>
  <c r="R426" i="1" s="1"/>
  <c r="Q424" i="1"/>
  <c r="R424" i="1" s="1"/>
  <c r="Q191" i="1"/>
  <c r="R191" i="1" s="1"/>
  <c r="Q207" i="1"/>
  <c r="R207" i="1" s="1"/>
  <c r="Q359" i="1"/>
  <c r="R359" i="1" s="1"/>
  <c r="Q360" i="1"/>
  <c r="R360" i="1" s="1"/>
  <c r="Q375" i="1"/>
  <c r="R375" i="1" s="1"/>
  <c r="Q376" i="1"/>
  <c r="R376" i="1" s="1"/>
  <c r="Q475" i="1"/>
  <c r="R475" i="1" s="1"/>
  <c r="Q463" i="1"/>
  <c r="R463" i="1" s="1"/>
  <c r="Q440" i="1"/>
  <c r="R440" i="1" s="1"/>
  <c r="Q696" i="1"/>
  <c r="R696" i="1" s="1"/>
  <c r="Q443" i="1"/>
  <c r="R443" i="1" s="1"/>
  <c r="Q427" i="1"/>
  <c r="R427" i="1" s="1"/>
  <c r="Q442" i="1"/>
  <c r="R442" i="1" s="1"/>
  <c r="Q428" i="1"/>
  <c r="R428" i="1" s="1"/>
  <c r="Q441" i="1"/>
  <c r="R441" i="1" s="1"/>
  <c r="Q595" i="1"/>
  <c r="R595" i="1" s="1"/>
  <c r="Q439" i="1"/>
  <c r="R439" i="1" s="1"/>
  <c r="Q670" i="1"/>
  <c r="R670" i="1" s="1"/>
  <c r="Q673" i="1"/>
  <c r="R673" i="1" s="1"/>
  <c r="Q671" i="1"/>
  <c r="R671" i="1" s="1"/>
  <c r="Q674" i="1"/>
  <c r="R674" i="1" s="1"/>
  <c r="Q669" i="1"/>
  <c r="R669" i="1" s="1"/>
  <c r="Q658" i="1"/>
  <c r="R658" i="1" s="1"/>
  <c r="Q213" i="1"/>
  <c r="R213" i="1" s="1"/>
  <c r="Q227" i="1"/>
  <c r="R227" i="1" s="1"/>
  <c r="Q219" i="1"/>
  <c r="R219" i="1" s="1"/>
  <c r="Q151" i="1"/>
  <c r="R151" i="1" s="1"/>
  <c r="Q196" i="1"/>
  <c r="R196" i="1" s="1"/>
  <c r="Q187" i="1"/>
  <c r="R187" i="1" s="1"/>
  <c r="Q175" i="1"/>
  <c r="R175" i="1" s="1"/>
  <c r="Q171" i="1"/>
  <c r="R171" i="1" s="1"/>
  <c r="Q147" i="1"/>
  <c r="R147" i="1" s="1"/>
  <c r="Q479" i="1"/>
  <c r="R479" i="1" s="1"/>
  <c r="Q471" i="1"/>
  <c r="R471" i="1" s="1"/>
  <c r="Q223" i="1"/>
  <c r="R223" i="1" s="1"/>
  <c r="Q170" i="1"/>
  <c r="R170" i="1" s="1"/>
  <c r="Q215" i="1"/>
  <c r="R215" i="1" s="1"/>
  <c r="Q470" i="1"/>
  <c r="R470" i="1" s="1"/>
  <c r="Q220" i="1"/>
  <c r="R220" i="1" s="1"/>
  <c r="Q163" i="1"/>
  <c r="R163" i="1" s="1"/>
  <c r="Q172" i="1"/>
  <c r="R172" i="1" s="1"/>
  <c r="Q153" i="1"/>
  <c r="R153" i="1" s="1"/>
  <c r="Q214" i="1"/>
  <c r="R214" i="1" s="1"/>
  <c r="Q476" i="1"/>
  <c r="R476" i="1" s="1"/>
  <c r="Q472" i="1"/>
  <c r="R472" i="1" s="1"/>
  <c r="Q185" i="1"/>
  <c r="R185" i="1" s="1"/>
  <c r="Q72" i="1"/>
  <c r="R72" i="1" s="1"/>
  <c r="Q174" i="1"/>
  <c r="R174" i="1" s="1"/>
  <c r="Q222" i="1"/>
  <c r="R222" i="1" s="1"/>
  <c r="Q173" i="1"/>
  <c r="R173" i="1" s="1"/>
  <c r="Q152" i="1"/>
  <c r="R152" i="1" s="1"/>
  <c r="Q80" i="1"/>
  <c r="R80" i="1" s="1"/>
  <c r="Q150" i="1"/>
  <c r="R150" i="1" s="1"/>
  <c r="Q448" i="1"/>
  <c r="R448" i="1" s="1"/>
  <c r="Q445" i="1"/>
  <c r="R445" i="1" s="1"/>
  <c r="Q444" i="1"/>
  <c r="R444" i="1" s="1"/>
  <c r="Q536" i="1"/>
  <c r="R536" i="1" s="1"/>
  <c r="Q71" i="1"/>
  <c r="R71" i="1" s="1"/>
  <c r="Q183" i="1"/>
  <c r="R183" i="1" s="1"/>
  <c r="Q594" i="1"/>
  <c r="R594" i="1" s="1"/>
  <c r="Q593" i="1"/>
  <c r="R593" i="1" s="1"/>
  <c r="Q592" i="1"/>
  <c r="R592" i="1" s="1"/>
  <c r="Q585" i="1"/>
  <c r="R585" i="1" s="1"/>
  <c r="Q591" i="1"/>
  <c r="R591" i="1" s="1"/>
  <c r="Q319" i="1"/>
  <c r="R319" i="1" s="1"/>
  <c r="Q411" i="1"/>
  <c r="R411" i="1" s="1"/>
  <c r="Q410" i="1"/>
  <c r="R410" i="1" s="1"/>
  <c r="Q409" i="1"/>
  <c r="R409" i="1" s="1"/>
  <c r="Q407" i="1"/>
  <c r="R407" i="1" s="1"/>
  <c r="Q412" i="1"/>
  <c r="R412" i="1" s="1"/>
  <c r="Q408" i="1"/>
  <c r="R408" i="1" s="1"/>
  <c r="Q284" i="1"/>
  <c r="R284" i="1" s="1"/>
  <c r="Q275" i="1"/>
  <c r="R275" i="1" s="1"/>
  <c r="Q307" i="1"/>
  <c r="R307" i="1" s="1"/>
  <c r="Q274" i="1"/>
  <c r="R274" i="1" s="1"/>
  <c r="Q305" i="1"/>
  <c r="R305" i="1" s="1"/>
  <c r="Q272" i="1"/>
  <c r="R272" i="1" s="1"/>
  <c r="Q304" i="1"/>
  <c r="R304" i="1" s="1"/>
  <c r="Q273" i="1"/>
  <c r="R273" i="1" s="1"/>
  <c r="Q306" i="1"/>
  <c r="R306" i="1" s="1"/>
  <c r="Q303" i="1"/>
  <c r="R303" i="1" s="1"/>
  <c r="Q415" i="1"/>
  <c r="R415" i="1" s="1"/>
  <c r="Q528" i="1"/>
  <c r="R528" i="1" s="1"/>
  <c r="Q529" i="1"/>
  <c r="R529" i="1" s="1"/>
  <c r="Q308" i="1"/>
  <c r="R308" i="1" s="1"/>
  <c r="R17" i="1"/>
  <c r="Q19" i="1"/>
  <c r="R19" i="1" s="1"/>
  <c r="Q18" i="1"/>
  <c r="R18" i="1" s="1"/>
  <c r="Q548" i="1"/>
  <c r="R548" i="1" s="1"/>
  <c r="Q532" i="1"/>
  <c r="R532" i="1" s="1"/>
  <c r="Q546" i="1"/>
  <c r="R546" i="1" s="1"/>
  <c r="Q544" i="1"/>
  <c r="R544" i="1" s="1"/>
  <c r="Q335" i="1"/>
  <c r="R335" i="1" s="1"/>
  <c r="Q551" i="1"/>
  <c r="R551" i="1" s="1"/>
  <c r="Q549" i="1"/>
  <c r="R549" i="1" s="1"/>
  <c r="Q538" i="1"/>
  <c r="R538" i="1" s="1"/>
  <c r="Q543" i="1"/>
  <c r="R543" i="1" s="1"/>
  <c r="Q537" i="1"/>
  <c r="R537" i="1" s="1"/>
  <c r="Q447" i="1"/>
  <c r="R447" i="1" s="1"/>
  <c r="Q449" i="1"/>
  <c r="R449" i="1" s="1"/>
  <c r="Q65" i="1"/>
  <c r="R65" i="1" s="1"/>
  <c r="Q66" i="1"/>
  <c r="R66" i="1" s="1"/>
  <c r="Q315" i="1"/>
  <c r="R315" i="1" s="1"/>
  <c r="Q69" i="1"/>
  <c r="R69" i="1" s="1"/>
  <c r="Q511" i="1"/>
  <c r="R511" i="1" s="1"/>
  <c r="Q503" i="1"/>
  <c r="R503" i="1" s="1"/>
  <c r="Q495" i="1"/>
  <c r="R495" i="1" s="1"/>
  <c r="Q509" i="1"/>
  <c r="R509" i="1" s="1"/>
  <c r="Q500" i="1"/>
  <c r="R500" i="1" s="1"/>
  <c r="Q491" i="1"/>
  <c r="R491" i="1" s="1"/>
  <c r="Q483" i="1"/>
  <c r="R483" i="1" s="1"/>
  <c r="Q267" i="1"/>
  <c r="R267" i="1" s="1"/>
  <c r="Q259" i="1"/>
  <c r="R259" i="1" s="1"/>
  <c r="Q251" i="1"/>
  <c r="R251" i="1" s="1"/>
  <c r="Q243" i="1"/>
  <c r="R243" i="1" s="1"/>
  <c r="Q235" i="1"/>
  <c r="R235" i="1" s="1"/>
  <c r="Q115" i="1"/>
  <c r="R115" i="1" s="1"/>
  <c r="Q107" i="1"/>
  <c r="R107" i="1" s="1"/>
  <c r="Q99" i="1"/>
  <c r="R99" i="1" s="1"/>
  <c r="Q91" i="1"/>
  <c r="R91" i="1" s="1"/>
  <c r="Q83" i="1"/>
  <c r="R83" i="1" s="1"/>
  <c r="Q517" i="1"/>
  <c r="R517" i="1" s="1"/>
  <c r="Q508" i="1"/>
  <c r="R508" i="1" s="1"/>
  <c r="Q499" i="1"/>
  <c r="R499" i="1" s="1"/>
  <c r="Q490" i="1"/>
  <c r="R490" i="1" s="1"/>
  <c r="Q482" i="1"/>
  <c r="R482" i="1" s="1"/>
  <c r="Q266" i="1"/>
  <c r="R266" i="1" s="1"/>
  <c r="Q258" i="1"/>
  <c r="R258" i="1" s="1"/>
  <c r="Q250" i="1"/>
  <c r="R250" i="1" s="1"/>
  <c r="Q516" i="1"/>
  <c r="R516" i="1" s="1"/>
  <c r="Q507" i="1"/>
  <c r="R507" i="1" s="1"/>
  <c r="Q498" i="1"/>
  <c r="R498" i="1" s="1"/>
  <c r="Q489" i="1"/>
  <c r="R489" i="1" s="1"/>
  <c r="Q481" i="1"/>
  <c r="R481" i="1" s="1"/>
  <c r="Q265" i="1"/>
  <c r="R265" i="1" s="1"/>
  <c r="Q257" i="1"/>
  <c r="R257" i="1" s="1"/>
  <c r="Q249" i="1"/>
  <c r="R249" i="1" s="1"/>
  <c r="Q241" i="1"/>
  <c r="R241" i="1" s="1"/>
  <c r="Q233" i="1"/>
  <c r="R233" i="1" s="1"/>
  <c r="Q113" i="1"/>
  <c r="R113" i="1" s="1"/>
  <c r="Q105" i="1"/>
  <c r="R105" i="1" s="1"/>
  <c r="Q97" i="1"/>
  <c r="R97" i="1" s="1"/>
  <c r="Q89" i="1"/>
  <c r="Q81" i="1"/>
  <c r="R81" i="1" s="1"/>
  <c r="Q515" i="1"/>
  <c r="R515" i="1" s="1"/>
  <c r="Q514" i="1"/>
  <c r="R514" i="1" s="1"/>
  <c r="Q505" i="1"/>
  <c r="R505" i="1" s="1"/>
  <c r="Q496" i="1"/>
  <c r="R496" i="1" s="1"/>
  <c r="Q487" i="1"/>
  <c r="R487" i="1" s="1"/>
  <c r="Q263" i="1"/>
  <c r="R263" i="1" s="1"/>
  <c r="Q255" i="1"/>
  <c r="R255" i="1" s="1"/>
  <c r="Q247" i="1"/>
  <c r="R247" i="1" s="1"/>
  <c r="Q239" i="1"/>
  <c r="R239" i="1" s="1"/>
  <c r="Q231" i="1"/>
  <c r="R231" i="1" s="1"/>
  <c r="Q111" i="1"/>
  <c r="R111" i="1" s="1"/>
  <c r="Q103" i="1"/>
  <c r="R103" i="1" s="1"/>
  <c r="Q95" i="1"/>
  <c r="R95" i="1" s="1"/>
  <c r="Q87" i="1"/>
  <c r="R87" i="1" s="1"/>
  <c r="Q513" i="1"/>
  <c r="R513" i="1" s="1"/>
  <c r="Q504" i="1"/>
  <c r="R504" i="1" s="1"/>
  <c r="Q494" i="1"/>
  <c r="R494" i="1" s="1"/>
  <c r="Q486" i="1"/>
  <c r="R486" i="1" s="1"/>
  <c r="Q262" i="1"/>
  <c r="R262" i="1" s="1"/>
  <c r="Q254" i="1"/>
  <c r="R254" i="1" s="1"/>
  <c r="Q246" i="1"/>
  <c r="R246" i="1" s="1"/>
  <c r="Q238" i="1"/>
  <c r="R238" i="1" s="1"/>
  <c r="Q506" i="1"/>
  <c r="R506" i="1" s="1"/>
  <c r="Q484" i="1"/>
  <c r="R484" i="1" s="1"/>
  <c r="Q269" i="1"/>
  <c r="R269" i="1" s="1"/>
  <c r="Q248" i="1"/>
  <c r="R248" i="1" s="1"/>
  <c r="Q232" i="1"/>
  <c r="R232" i="1" s="1"/>
  <c r="Q104" i="1"/>
  <c r="R104" i="1" s="1"/>
  <c r="Q92" i="1"/>
  <c r="R92" i="1" s="1"/>
  <c r="Q502" i="1"/>
  <c r="R502" i="1" s="1"/>
  <c r="Q480" i="1"/>
  <c r="R480" i="1" s="1"/>
  <c r="Q268" i="1"/>
  <c r="R268" i="1" s="1"/>
  <c r="Q245" i="1"/>
  <c r="R245" i="1" s="1"/>
  <c r="Q230" i="1"/>
  <c r="R230" i="1" s="1"/>
  <c r="Q102" i="1"/>
  <c r="R102" i="1" s="1"/>
  <c r="Q90" i="1"/>
  <c r="R90" i="1" s="1"/>
  <c r="Q501" i="1"/>
  <c r="R501" i="1" s="1"/>
  <c r="Q264" i="1"/>
  <c r="R264" i="1" s="1"/>
  <c r="Q244" i="1"/>
  <c r="R244" i="1" s="1"/>
  <c r="Q229" i="1"/>
  <c r="R229" i="1" s="1"/>
  <c r="Q497" i="1"/>
  <c r="R497" i="1" s="1"/>
  <c r="Q493" i="1"/>
  <c r="R493" i="1" s="1"/>
  <c r="Q260" i="1"/>
  <c r="R260" i="1" s="1"/>
  <c r="Q240" i="1"/>
  <c r="R240" i="1" s="1"/>
  <c r="Q110" i="1"/>
  <c r="R110" i="1" s="1"/>
  <c r="Q98" i="1"/>
  <c r="R98" i="1" s="1"/>
  <c r="Q85" i="1"/>
  <c r="R85" i="1" s="1"/>
  <c r="Q492" i="1"/>
  <c r="R492" i="1" s="1"/>
  <c r="Q256" i="1"/>
  <c r="R256" i="1" s="1"/>
  <c r="Q237" i="1"/>
  <c r="R237" i="1" s="1"/>
  <c r="Q109" i="1"/>
  <c r="R109" i="1" s="1"/>
  <c r="Q96" i="1"/>
  <c r="R96" i="1" s="1"/>
  <c r="Q84" i="1"/>
  <c r="R84" i="1" s="1"/>
  <c r="Q512" i="1"/>
  <c r="R512" i="1" s="1"/>
  <c r="Q114" i="1"/>
  <c r="R114" i="1" s="1"/>
  <c r="Q88" i="1"/>
  <c r="R88" i="1" s="1"/>
  <c r="Q86" i="1"/>
  <c r="R86" i="1" s="1"/>
  <c r="Q485" i="1"/>
  <c r="R485" i="1" s="1"/>
  <c r="Q510" i="1"/>
  <c r="R510" i="1" s="1"/>
  <c r="Q261" i="1"/>
  <c r="R261" i="1" s="1"/>
  <c r="Q112" i="1"/>
  <c r="R112" i="1" s="1"/>
  <c r="Q488" i="1"/>
  <c r="R488" i="1" s="1"/>
  <c r="Q253" i="1"/>
  <c r="R253" i="1" s="1"/>
  <c r="Q108" i="1"/>
  <c r="R108" i="1" s="1"/>
  <c r="Q82" i="1"/>
  <c r="R82" i="1" s="1"/>
  <c r="Q252" i="1"/>
  <c r="R252" i="1" s="1"/>
  <c r="Q242" i="1"/>
  <c r="R242" i="1" s="1"/>
  <c r="Q101" i="1"/>
  <c r="R101" i="1" s="1"/>
  <c r="Q234" i="1"/>
  <c r="R234" i="1" s="1"/>
  <c r="Q94" i="1"/>
  <c r="R94" i="1" s="1"/>
  <c r="R89" i="1"/>
  <c r="Q121" i="1"/>
  <c r="R121" i="1" s="1"/>
  <c r="Q177" i="1"/>
  <c r="R177" i="1" s="1"/>
  <c r="Q193" i="1"/>
  <c r="R193" i="1" s="1"/>
  <c r="Q201" i="1"/>
  <c r="R201" i="1" s="1"/>
  <c r="Q209" i="1"/>
  <c r="R209" i="1" s="1"/>
  <c r="Q341" i="1"/>
  <c r="R341" i="1" s="1"/>
  <c r="Q396" i="1"/>
  <c r="R396" i="1" s="1"/>
  <c r="Q469" i="1"/>
  <c r="R469" i="1" s="1"/>
  <c r="Q704" i="1"/>
  <c r="R704" i="1" s="1"/>
  <c r="Q452" i="1"/>
  <c r="R452" i="1" s="1"/>
  <c r="Q667" i="1"/>
  <c r="R667" i="1" s="1"/>
  <c r="Q93" i="1"/>
  <c r="R93" i="1" s="1"/>
  <c r="Q157" i="1"/>
  <c r="R157" i="1" s="1"/>
  <c r="Q236" i="1"/>
  <c r="R236" i="1" s="1"/>
  <c r="Q34" i="1"/>
  <c r="R34" i="1" s="1"/>
  <c r="R118" i="1"/>
  <c r="R126" i="1"/>
  <c r="R158" i="1"/>
  <c r="R182" i="1"/>
  <c r="Q198" i="1"/>
  <c r="R198" i="1" s="1"/>
  <c r="Q206" i="1"/>
  <c r="R206" i="1" s="1"/>
  <c r="Q271" i="1"/>
  <c r="R271" i="1" s="1"/>
  <c r="Q270" i="1"/>
  <c r="R270" i="1" s="1"/>
  <c r="Q68" i="1"/>
  <c r="R68" i="1" s="1"/>
  <c r="Q67" i="1"/>
  <c r="R67" i="1" s="1"/>
  <c r="Q358" i="1"/>
  <c r="R358" i="1" s="1"/>
  <c r="Q391" i="1"/>
  <c r="R391" i="1" s="1"/>
  <c r="Q390" i="1"/>
  <c r="R390" i="1" s="1"/>
  <c r="Q392" i="1"/>
  <c r="R392" i="1" s="1"/>
  <c r="Q438" i="1"/>
  <c r="R438" i="1" s="1"/>
  <c r="Q519" i="1"/>
  <c r="R519" i="1" s="1"/>
  <c r="Q518" i="1"/>
  <c r="R518" i="1" s="1"/>
  <c r="Q526" i="1"/>
  <c r="R526" i="1" s="1"/>
  <c r="Q525" i="1"/>
  <c r="R525" i="1" s="1"/>
  <c r="Q524" i="1"/>
  <c r="R524" i="1" s="1"/>
  <c r="Q523" i="1"/>
  <c r="R523" i="1" s="1"/>
  <c r="Q522" i="1"/>
  <c r="R522" i="1" s="1"/>
  <c r="Q521" i="1"/>
  <c r="R521" i="1" s="1"/>
  <c r="Q520" i="1"/>
  <c r="R520" i="1" s="1"/>
  <c r="Q567" i="1"/>
  <c r="R567" i="1" s="1"/>
  <c r="Q566" i="1"/>
  <c r="R566" i="1" s="1"/>
  <c r="Q568" i="1"/>
  <c r="R568" i="1" s="1"/>
  <c r="Q697" i="1"/>
  <c r="R697" i="1" s="1"/>
  <c r="Q575" i="1"/>
  <c r="R575" i="1" s="1"/>
  <c r="Q574" i="1"/>
  <c r="R574" i="1" s="1"/>
  <c r="Q579" i="1"/>
  <c r="R579" i="1" s="1"/>
  <c r="Q577" i="1"/>
  <c r="R577" i="1" s="1"/>
  <c r="Q576" i="1"/>
  <c r="R576" i="1" s="1"/>
  <c r="Q580" i="1"/>
  <c r="R580" i="1" s="1"/>
  <c r="Q590" i="1"/>
  <c r="R590" i="1" s="1"/>
  <c r="Q226" i="1"/>
  <c r="R226" i="1" s="1"/>
  <c r="Q225" i="1"/>
  <c r="R225" i="1" s="1"/>
  <c r="Q654" i="1"/>
  <c r="R654" i="1" s="1"/>
  <c r="Q53" i="1"/>
  <c r="R53" i="1" s="1"/>
  <c r="R120" i="1"/>
  <c r="R176" i="1"/>
  <c r="Q192" i="1"/>
  <c r="R192" i="1" s="1"/>
  <c r="Q200" i="1"/>
  <c r="R200" i="1" s="1"/>
  <c r="Q218" i="1"/>
  <c r="R218" i="1" s="1"/>
  <c r="Q314" i="1"/>
  <c r="R314" i="1" s="1"/>
  <c r="Q313" i="1"/>
  <c r="R313" i="1" s="1"/>
  <c r="Q312" i="1"/>
  <c r="R312" i="1" s="1"/>
  <c r="Q320" i="1"/>
  <c r="R320" i="1" s="1"/>
  <c r="Q352" i="1"/>
  <c r="R352" i="1" s="1"/>
  <c r="Q385" i="1"/>
  <c r="R385" i="1" s="1"/>
  <c r="Q384" i="1"/>
  <c r="R384" i="1" s="1"/>
  <c r="Q432" i="1"/>
  <c r="R432" i="1" s="1"/>
  <c r="Q699" i="1"/>
  <c r="R699" i="1" s="1"/>
  <c r="Q698" i="1"/>
  <c r="R698" i="1" s="1"/>
  <c r="Q552" i="1"/>
  <c r="R552" i="1" s="1"/>
  <c r="Q41" i="1"/>
  <c r="R41" i="1" s="1"/>
  <c r="Q610" i="1"/>
  <c r="R610" i="1" s="1"/>
  <c r="Q24" i="1"/>
  <c r="R24" i="1" s="1"/>
  <c r="Q40" i="1"/>
  <c r="R40" i="1" s="1"/>
  <c r="Q712" i="1"/>
  <c r="R712" i="1" s="1"/>
  <c r="Q38" i="1"/>
  <c r="R38" i="1" s="1"/>
  <c r="Q711" i="1"/>
  <c r="R711" i="1" s="1"/>
  <c r="Q37" i="1"/>
  <c r="R37" i="1" s="1"/>
  <c r="Q607" i="1"/>
  <c r="R607" i="1" s="1"/>
  <c r="Q42" i="1"/>
  <c r="R42" i="1" s="1"/>
  <c r="Q702" i="1"/>
  <c r="R702" i="1" s="1"/>
  <c r="Q606" i="1"/>
  <c r="R606" i="1" s="1"/>
  <c r="Q709" i="1"/>
  <c r="R709" i="1" s="1"/>
  <c r="Q708" i="1"/>
  <c r="R708" i="1" s="1"/>
  <c r="Q33" i="1"/>
  <c r="R33" i="1" s="1"/>
  <c r="Q707" i="1"/>
  <c r="R707" i="1" s="1"/>
  <c r="Q603" i="1"/>
  <c r="R603" i="1" s="1"/>
  <c r="Q601" i="1"/>
  <c r="R601" i="1" s="1"/>
  <c r="Q36" i="1"/>
  <c r="R36" i="1" s="1"/>
  <c r="Q21" i="1"/>
  <c r="R21" i="1" s="1"/>
  <c r="Q611" i="1"/>
  <c r="R611" i="1" s="1"/>
  <c r="Q35" i="1"/>
  <c r="R35" i="1" s="1"/>
  <c r="Q76" i="1"/>
  <c r="R76" i="1" s="1"/>
  <c r="Q79" i="1"/>
  <c r="R79" i="1" s="1"/>
  <c r="Q672" i="1"/>
  <c r="R672" i="1" s="1"/>
  <c r="Q679" i="1"/>
  <c r="R679" i="1" s="1"/>
  <c r="Q678" i="1"/>
  <c r="R678" i="1" s="1"/>
  <c r="Q77" i="1"/>
  <c r="R77" i="1" s="1"/>
  <c r="Q78" i="1"/>
  <c r="R78" i="1" s="1"/>
  <c r="Q675" i="1"/>
  <c r="R675" i="1" s="1"/>
  <c r="Q75" i="1"/>
  <c r="R75" i="1" s="1"/>
  <c r="Q208" i="1"/>
  <c r="R208" i="1" s="1"/>
  <c r="Q608" i="1"/>
  <c r="R608" i="1" s="1"/>
  <c r="Q342" i="1"/>
  <c r="R342" i="1" s="1"/>
  <c r="Q336" i="1"/>
  <c r="R336" i="1" s="1"/>
  <c r="Q344" i="1"/>
  <c r="R344" i="1" s="1"/>
  <c r="Q26" i="1"/>
  <c r="R26" i="1" s="1"/>
  <c r="Q123" i="1"/>
  <c r="R123" i="1" s="1"/>
  <c r="Q297" i="1"/>
  <c r="R297" i="1" s="1"/>
  <c r="Q573" i="1"/>
  <c r="R573" i="1" s="1"/>
  <c r="Q122" i="1"/>
  <c r="R122" i="1" s="1"/>
  <c r="R178" i="1"/>
  <c r="R202" i="1"/>
  <c r="Q386" i="1"/>
  <c r="R386" i="1" s="1"/>
  <c r="Q693" i="1"/>
  <c r="R693" i="1" s="1"/>
  <c r="Q634" i="1"/>
  <c r="R634" i="1" s="1"/>
  <c r="Q640" i="1"/>
  <c r="R640" i="1" s="1"/>
  <c r="Q691" i="1"/>
  <c r="R691" i="1" s="1"/>
  <c r="Q638" i="1"/>
  <c r="R638" i="1" s="1"/>
  <c r="Q636" i="1"/>
  <c r="R636" i="1" s="1"/>
  <c r="Q637" i="1"/>
  <c r="R637" i="1" s="1"/>
  <c r="Q690" i="1"/>
  <c r="R690" i="1" s="1"/>
  <c r="Q643" i="1"/>
  <c r="R643" i="1" s="1"/>
  <c r="Q641" i="1"/>
  <c r="R641" i="1" s="1"/>
  <c r="Q677" i="1"/>
  <c r="R677" i="1" s="1"/>
  <c r="Q664" i="1"/>
  <c r="R664" i="1" s="1"/>
  <c r="Q663" i="1"/>
  <c r="R663" i="1" s="1"/>
  <c r="Q662" i="1"/>
  <c r="R662" i="1" s="1"/>
  <c r="Q660" i="1"/>
  <c r="R660" i="1" s="1"/>
  <c r="Q659" i="1"/>
  <c r="R659" i="1" s="1"/>
  <c r="Q665" i="1"/>
  <c r="R665" i="1" s="1"/>
  <c r="Q661" i="1"/>
  <c r="R661" i="1" s="1"/>
  <c r="Q666" i="1"/>
  <c r="R666" i="1" s="1"/>
  <c r="Q61" i="1"/>
  <c r="R61" i="1" s="1"/>
  <c r="Q184" i="1"/>
  <c r="R184" i="1" s="1"/>
  <c r="Q685" i="1"/>
  <c r="R685" i="1" s="1"/>
  <c r="Q154" i="1"/>
  <c r="R154" i="1" s="1"/>
  <c r="Q597" i="1"/>
  <c r="R597" i="1" s="1"/>
  <c r="Q602" i="1"/>
  <c r="R602" i="1" s="1"/>
  <c r="Q600" i="1"/>
  <c r="R600" i="1" s="1"/>
  <c r="Q599" i="1"/>
  <c r="R599" i="1" s="1"/>
  <c r="Q194" i="1"/>
  <c r="R194" i="1" s="1"/>
  <c r="Q618" i="1"/>
  <c r="R618" i="1" s="1"/>
  <c r="Q51" i="1"/>
  <c r="R51" i="1" s="1"/>
  <c r="Q431" i="1"/>
  <c r="R431" i="1" s="1"/>
  <c r="Q55" i="1"/>
  <c r="R55" i="1" s="1"/>
  <c r="Q54" i="1"/>
  <c r="R54" i="1" s="1"/>
  <c r="Q58" i="1"/>
  <c r="R58" i="1" s="1"/>
  <c r="Q530" i="1"/>
  <c r="R530" i="1" s="1"/>
  <c r="Q531" i="1"/>
  <c r="R531" i="1" s="1"/>
  <c r="Q203" i="1"/>
  <c r="R203" i="1" s="1"/>
  <c r="R299" i="1"/>
  <c r="Q363" i="1"/>
  <c r="R363" i="1" s="1"/>
  <c r="Q369" i="1"/>
  <c r="R369" i="1" s="1"/>
  <c r="Q133" i="1"/>
  <c r="R133" i="1" s="1"/>
  <c r="Q132" i="1"/>
  <c r="R132" i="1" s="1"/>
  <c r="Q135" i="1"/>
  <c r="R135" i="1" s="1"/>
  <c r="Q365" i="1"/>
  <c r="R365" i="1" s="1"/>
  <c r="Q131" i="1"/>
  <c r="R131" i="1" s="1"/>
  <c r="Q379" i="1"/>
  <c r="R379" i="1" s="1"/>
  <c r="Q383" i="1"/>
  <c r="R383" i="1" s="1"/>
  <c r="Q382" i="1"/>
  <c r="R382" i="1" s="1"/>
  <c r="Q435" i="1"/>
  <c r="R435" i="1" s="1"/>
  <c r="Q70" i="1"/>
  <c r="R70" i="1" s="1"/>
  <c r="Q421" i="1"/>
  <c r="R421" i="1" s="1"/>
  <c r="Q418" i="1"/>
  <c r="R418" i="1" s="1"/>
  <c r="Q416" i="1"/>
  <c r="R416" i="1" s="1"/>
  <c r="Q134" i="1"/>
  <c r="R134" i="1" s="1"/>
  <c r="Q186" i="1"/>
  <c r="R186" i="1" s="1"/>
  <c r="R210" i="1"/>
  <c r="Q323" i="1"/>
  <c r="R323" i="1" s="1"/>
  <c r="Q322" i="1"/>
  <c r="R322" i="1" s="1"/>
  <c r="Q324" i="1"/>
  <c r="R324" i="1" s="1"/>
  <c r="Q451" i="1"/>
  <c r="R451" i="1" s="1"/>
  <c r="Q450" i="1"/>
  <c r="R450" i="1" s="1"/>
  <c r="Q695" i="1"/>
  <c r="R695" i="1" s="1"/>
  <c r="Q454" i="1"/>
  <c r="R454" i="1" s="1"/>
  <c r="Q456" i="1"/>
  <c r="R456" i="1" s="1"/>
  <c r="Q453" i="1"/>
  <c r="R453" i="1" s="1"/>
  <c r="Q694" i="1"/>
  <c r="R694" i="1" s="1"/>
  <c r="Q478" i="1"/>
  <c r="R478" i="1" s="1"/>
  <c r="Q477" i="1"/>
  <c r="R477" i="1" s="1"/>
  <c r="Q527" i="1"/>
  <c r="R527" i="1" s="1"/>
  <c r="Q403" i="1"/>
  <c r="R403" i="1" s="1"/>
  <c r="Q372" i="1"/>
  <c r="R372" i="1" s="1"/>
  <c r="Q405" i="1"/>
  <c r="R405" i="1" s="1"/>
  <c r="Q535" i="1"/>
  <c r="R535" i="1" s="1"/>
  <c r="Q542" i="1"/>
  <c r="R542" i="1" s="1"/>
  <c r="Q534" i="1"/>
  <c r="R534" i="1" s="1"/>
  <c r="Q404" i="1"/>
  <c r="R404" i="1" s="1"/>
  <c r="Q539" i="1"/>
  <c r="R539" i="1" s="1"/>
  <c r="Q402" i="1"/>
  <c r="R402" i="1" s="1"/>
  <c r="Q401" i="1"/>
  <c r="R401" i="1" s="1"/>
  <c r="Q400" i="1"/>
  <c r="R400" i="1" s="1"/>
  <c r="Q399" i="1"/>
  <c r="R399" i="1" s="1"/>
  <c r="Q406" i="1"/>
  <c r="R406" i="1" s="1"/>
  <c r="Q541" i="1"/>
  <c r="R541" i="1" s="1"/>
  <c r="Q373" i="1"/>
  <c r="R373" i="1" s="1"/>
  <c r="Q343" i="1"/>
  <c r="R343" i="1" s="1"/>
  <c r="Q2" i="1"/>
  <c r="R2" i="1" s="1"/>
  <c r="Q455" i="1"/>
  <c r="R455" i="1" s="1"/>
  <c r="Q460" i="1"/>
  <c r="R460" i="1" s="1"/>
  <c r="Q459" i="1"/>
  <c r="R459" i="1" s="1"/>
  <c r="Q446" i="1"/>
  <c r="R446" i="1" s="1"/>
  <c r="Q462" i="1"/>
  <c r="R462" i="1" s="1"/>
  <c r="Q457" i="1"/>
  <c r="R457" i="1" s="1"/>
  <c r="Q27" i="1"/>
  <c r="R27" i="1" s="1"/>
  <c r="Q59" i="1"/>
  <c r="R59" i="1" s="1"/>
  <c r="Q63" i="1"/>
  <c r="R63" i="1" s="1"/>
  <c r="Q179" i="1"/>
  <c r="R179" i="1" s="1"/>
  <c r="Q195" i="1"/>
  <c r="R195" i="1" s="1"/>
  <c r="Q211" i="1"/>
  <c r="R211" i="1" s="1"/>
  <c r="Q331" i="1"/>
  <c r="R331" i="1" s="1"/>
  <c r="Q52" i="1"/>
  <c r="R52" i="1" s="1"/>
  <c r="Q332" i="1"/>
  <c r="R332" i="1" s="1"/>
  <c r="Q355" i="1"/>
  <c r="R355" i="1" s="1"/>
  <c r="Q356" i="1"/>
  <c r="R356" i="1" s="1"/>
  <c r="Q387" i="1"/>
  <c r="R387" i="1" s="1"/>
  <c r="Q613" i="1"/>
  <c r="R613" i="1" s="1"/>
  <c r="Q621" i="1"/>
  <c r="R621" i="1" s="1"/>
  <c r="Q619" i="1"/>
  <c r="R619" i="1" s="1"/>
  <c r="Q221" i="1"/>
  <c r="R221" i="1" s="1"/>
  <c r="Q430" i="1"/>
  <c r="R430" i="1" s="1"/>
  <c r="Q429" i="1"/>
  <c r="R429" i="1" s="1"/>
  <c r="Q224" i="1"/>
  <c r="R224" i="1" s="1"/>
  <c r="R587" i="1"/>
  <c r="Q622" i="1"/>
  <c r="R622" i="1" s="1"/>
  <c r="Q620" i="1"/>
  <c r="R620" i="1" s="1"/>
  <c r="Q682" i="1"/>
  <c r="R682" i="1" s="1"/>
  <c r="Q680" i="1"/>
  <c r="R680" i="1" s="1"/>
  <c r="Q572" i="1"/>
  <c r="R572" i="1" s="1"/>
  <c r="Q570" i="1"/>
  <c r="R570" i="1" s="1"/>
  <c r="Q668" i="1"/>
  <c r="R668" i="1" s="1"/>
  <c r="Q569" i="1"/>
  <c r="R569" i="1" s="1"/>
  <c r="Q554" i="1"/>
  <c r="R554" i="1" s="1"/>
  <c r="Q23" i="1"/>
  <c r="R23" i="1" s="1"/>
  <c r="Q22" i="1"/>
  <c r="R22" i="1" s="1"/>
  <c r="R28" i="1"/>
  <c r="R100" i="1"/>
  <c r="Q74" i="1"/>
  <c r="R74" i="1" s="1"/>
  <c r="Q117" i="1"/>
  <c r="R117" i="1" s="1"/>
  <c r="Q73" i="1"/>
  <c r="R73" i="1" s="1"/>
  <c r="R598" i="1"/>
  <c r="Q180" i="1"/>
  <c r="R180" i="1" s="1"/>
  <c r="Q436" i="1"/>
  <c r="R436" i="1" s="1"/>
  <c r="Q188" i="1"/>
  <c r="R188" i="1" s="1"/>
  <c r="Q204" i="1"/>
  <c r="R204" i="1" s="1"/>
  <c r="Q212" i="1"/>
  <c r="R212" i="1" s="1"/>
  <c r="R228" i="1"/>
  <c r="Q283" i="1"/>
  <c r="R283" i="1" s="1"/>
  <c r="Q282" i="1"/>
  <c r="R282" i="1" s="1"/>
  <c r="Q281" i="1"/>
  <c r="R281" i="1" s="1"/>
  <c r="Q279" i="1"/>
  <c r="R279" i="1" s="1"/>
  <c r="Q278" i="1"/>
  <c r="R278" i="1" s="1"/>
  <c r="Q280" i="1"/>
  <c r="R280" i="1" s="1"/>
  <c r="Q277" i="1"/>
  <c r="R277" i="1" s="1"/>
  <c r="Q533" i="1"/>
  <c r="R533" i="1" s="1"/>
  <c r="Q64" i="1"/>
  <c r="R64" i="1" s="1"/>
  <c r="Q190" i="1"/>
  <c r="R190" i="1" s="1"/>
  <c r="Q340" i="1"/>
  <c r="R340" i="1" s="1"/>
  <c r="Q311" i="1"/>
  <c r="R311" i="1" s="1"/>
  <c r="Q217" i="1"/>
  <c r="R217" i="1" s="1"/>
  <c r="Q318" i="1"/>
  <c r="R318" i="1" s="1"/>
  <c r="Q351" i="1"/>
  <c r="R351" i="1" s="1"/>
  <c r="Q350" i="1"/>
  <c r="R350" i="1" s="1"/>
  <c r="R468" i="1"/>
  <c r="Q562" i="1"/>
  <c r="R562" i="1" s="1"/>
  <c r="Q559" i="1"/>
  <c r="R559" i="1" s="1"/>
  <c r="Q558" i="1"/>
  <c r="R558" i="1" s="1"/>
  <c r="Q565" i="1"/>
  <c r="R565" i="1" s="1"/>
  <c r="Q564" i="1"/>
  <c r="R564" i="1" s="1"/>
  <c r="Q563" i="1"/>
  <c r="R563" i="1" s="1"/>
  <c r="Q561" i="1"/>
  <c r="R561" i="1" s="1"/>
  <c r="Q560" i="1"/>
  <c r="R560" i="1" s="1"/>
  <c r="Q557" i="1"/>
  <c r="R557" i="1" s="1"/>
  <c r="Q645" i="1"/>
  <c r="R645" i="1" s="1"/>
  <c r="Q642" i="1"/>
  <c r="R642" i="1" s="1"/>
  <c r="Q639" i="1"/>
  <c r="R639" i="1" s="1"/>
  <c r="Q635" i="1"/>
  <c r="R635" i="1" s="1"/>
  <c r="Q656" i="1"/>
  <c r="R656" i="1" s="1"/>
  <c r="Q655" i="1"/>
  <c r="R655" i="1" s="1"/>
  <c r="Q632" i="1"/>
  <c r="R632" i="1" s="1"/>
  <c r="Q630" i="1"/>
  <c r="R630" i="1" s="1"/>
  <c r="Q650" i="1"/>
  <c r="R650" i="1" s="1"/>
  <c r="Q648" i="1"/>
  <c r="R648" i="1" s="1"/>
  <c r="Q647" i="1"/>
  <c r="R647" i="1" s="1"/>
  <c r="Q646" i="1"/>
  <c r="R646" i="1" s="1"/>
  <c r="Q652" i="1"/>
  <c r="R652" i="1" s="1"/>
  <c r="Q644" i="1"/>
  <c r="R644" i="1" s="1"/>
  <c r="Q651" i="1"/>
  <c r="R651" i="1" s="1"/>
  <c r="Q649" i="1"/>
  <c r="R649" i="1" s="1"/>
  <c r="Q676" i="1"/>
  <c r="R676" i="1" s="1"/>
  <c r="Q692" i="1"/>
  <c r="R692" i="1" s="1"/>
  <c r="Q388" i="1"/>
  <c r="R388" i="1" s="1"/>
  <c r="Q348" i="1"/>
  <c r="R348" i="1" s="1"/>
  <c r="Q216" i="1"/>
  <c r="R216" i="1" s="1"/>
  <c r="Q349" i="1"/>
  <c r="R349" i="1" s="1"/>
  <c r="Q309" i="1"/>
  <c r="R309" i="1" s="1"/>
  <c r="R289" i="1"/>
  <c r="Q321" i="1"/>
  <c r="R321" i="1" s="1"/>
  <c r="Q330" i="1"/>
  <c r="R330" i="1" s="1"/>
  <c r="Q329" i="1"/>
  <c r="R329" i="1" s="1"/>
  <c r="Q339" i="1"/>
  <c r="R339" i="1" s="1"/>
  <c r="Q338" i="1"/>
  <c r="R338" i="1" s="1"/>
  <c r="Q337" i="1"/>
  <c r="R337" i="1" s="1"/>
  <c r="Q347" i="1"/>
  <c r="R347" i="1" s="1"/>
  <c r="Q346" i="1"/>
  <c r="R346" i="1" s="1"/>
  <c r="Q345" i="1"/>
  <c r="R345" i="1" s="1"/>
  <c r="Q354" i="1"/>
  <c r="R354" i="1" s="1"/>
  <c r="Q353" i="1"/>
  <c r="R353" i="1" s="1"/>
  <c r="Q334" i="1"/>
  <c r="R334" i="1" s="1"/>
  <c r="Q333" i="1"/>
  <c r="R333" i="1" s="1"/>
  <c r="Q378" i="1"/>
  <c r="R378" i="1" s="1"/>
  <c r="Q377" i="1"/>
  <c r="R377" i="1" s="1"/>
  <c r="Q395" i="1"/>
  <c r="R395" i="1" s="1"/>
  <c r="Q394" i="1"/>
  <c r="R394" i="1" s="1"/>
  <c r="Q393" i="1"/>
  <c r="R393" i="1" s="1"/>
  <c r="Q398" i="1"/>
  <c r="R398" i="1" s="1"/>
  <c r="Q138" i="1"/>
  <c r="R138" i="1" s="1"/>
  <c r="Q137" i="1"/>
  <c r="R137" i="1" s="1"/>
  <c r="Q417" i="1"/>
  <c r="R417" i="1" s="1"/>
  <c r="Q140" i="1"/>
  <c r="R140" i="1" s="1"/>
  <c r="Q434" i="1"/>
  <c r="R434" i="1" s="1"/>
  <c r="Q433" i="1"/>
  <c r="R433" i="1" s="1"/>
  <c r="Q467" i="1"/>
  <c r="R467" i="1" s="1"/>
  <c r="Q466" i="1"/>
  <c r="R466" i="1" s="1"/>
  <c r="Q465" i="1"/>
  <c r="R465" i="1" s="1"/>
  <c r="Q473" i="1"/>
  <c r="R473" i="1" s="1"/>
  <c r="Q9" i="1"/>
  <c r="R9" i="1" s="1"/>
  <c r="Q12" i="1"/>
  <c r="R12" i="1" s="1"/>
  <c r="Q550" i="1"/>
  <c r="R550" i="1" s="1"/>
  <c r="Q11" i="1"/>
  <c r="R11" i="1" s="1"/>
  <c r="Q10" i="1"/>
  <c r="R10" i="1" s="1"/>
  <c r="Q547" i="1"/>
  <c r="R547" i="1" s="1"/>
  <c r="Q545" i="1"/>
  <c r="R545" i="1" s="1"/>
  <c r="Q705" i="1"/>
  <c r="R705" i="1" s="1"/>
  <c r="Q710" i="1"/>
  <c r="R710" i="1" s="1"/>
  <c r="Q706" i="1"/>
  <c r="R706" i="1" s="1"/>
  <c r="Q571" i="1"/>
  <c r="R571" i="1" s="1"/>
  <c r="Q617" i="1"/>
  <c r="R617" i="1" s="1"/>
  <c r="Q657" i="1"/>
  <c r="R657" i="1" s="1"/>
  <c r="Q4" i="1"/>
  <c r="R4" i="1" s="1"/>
  <c r="Q688" i="1"/>
  <c r="R688" i="1" s="1"/>
  <c r="Q6" i="1"/>
  <c r="R6" i="1" s="1"/>
  <c r="Q5" i="1"/>
  <c r="R5" i="1" s="1"/>
  <c r="Q684" i="1"/>
  <c r="R684" i="1" s="1"/>
  <c r="Q681" i="1"/>
  <c r="R681" i="1" s="1"/>
  <c r="Q7" i="1"/>
  <c r="R7" i="1" s="1"/>
  <c r="Q689" i="1"/>
  <c r="R689" i="1" s="1"/>
  <c r="Q8" i="1"/>
  <c r="R8" i="1" s="1"/>
  <c r="Q397" i="1"/>
  <c r="R397" i="1" s="1"/>
  <c r="Q139" i="1"/>
  <c r="R139" i="1" s="1"/>
  <c r="Q461" i="1"/>
  <c r="R461" i="1" s="1"/>
</calcChain>
</file>

<file path=xl/sharedStrings.xml><?xml version="1.0" encoding="utf-8"?>
<sst xmlns="http://schemas.openxmlformats.org/spreadsheetml/2006/main" count="3584" uniqueCount="408">
  <si>
    <t>id</t>
  </si>
  <si>
    <t>Dia-mes</t>
  </si>
  <si>
    <t>Tallerista</t>
  </si>
  <si>
    <t>Sector</t>
  </si>
  <si>
    <t>Descripcion</t>
  </si>
  <si>
    <t>KG</t>
  </si>
  <si>
    <t>Cajones</t>
  </si>
  <si>
    <t>Unidades</t>
  </si>
  <si>
    <t>KG/Cajon</t>
  </si>
  <si>
    <t>Prom Art.</t>
  </si>
  <si>
    <t>N envios art.</t>
  </si>
  <si>
    <t>Desvio % vs prom</t>
  </si>
  <si>
    <t>03/02</t>
  </si>
  <si>
    <t>Carlos</t>
  </si>
  <si>
    <t>LLF7B</t>
  </si>
  <si>
    <t>Arandela Batidor Pera</t>
  </si>
  <si>
    <t>06/01</t>
  </si>
  <si>
    <t>12/01</t>
  </si>
  <si>
    <t>12/03</t>
  </si>
  <si>
    <t>22/01</t>
  </si>
  <si>
    <t>02/03</t>
  </si>
  <si>
    <t>PA13</t>
  </si>
  <si>
    <t>Capuchon Batidor LK</t>
  </si>
  <si>
    <t>08/04</t>
  </si>
  <si>
    <t>12/02</t>
  </si>
  <si>
    <t>16/04</t>
  </si>
  <si>
    <t>PA18</t>
  </si>
  <si>
    <t>Capuchon Espatula LK</t>
  </si>
  <si>
    <t>GRJ3</t>
  </si>
  <si>
    <t>Cepillo Limp Vaso Mamadera</t>
  </si>
  <si>
    <t>A15</t>
  </si>
  <si>
    <t>Cpo Uña Crom. LK C/M</t>
  </si>
  <si>
    <t>A10</t>
  </si>
  <si>
    <t>Cpo Uña LK C/M Pint.</t>
  </si>
  <si>
    <t>26/03</t>
  </si>
  <si>
    <t>27/03</t>
  </si>
  <si>
    <t>31/03</t>
  </si>
  <si>
    <t>PB3</t>
  </si>
  <si>
    <t>Cuchara Ny Loeke (Serif.)</t>
  </si>
  <si>
    <t>Z32</t>
  </si>
  <si>
    <t>Descarozador de Manzana</t>
  </si>
  <si>
    <t>PB6</t>
  </si>
  <si>
    <t>Inser. Neg. Espat</t>
  </si>
  <si>
    <t>PA17</t>
  </si>
  <si>
    <t>Mango LK Cuch y P Torta</t>
  </si>
  <si>
    <t>PC10</t>
  </si>
  <si>
    <t>Mango LK Espatula</t>
  </si>
  <si>
    <t>18/03</t>
  </si>
  <si>
    <t>PA19</t>
  </si>
  <si>
    <t>Mangos Chef</t>
  </si>
  <si>
    <t>V9</t>
  </si>
  <si>
    <t>Remache uña niq.</t>
  </si>
  <si>
    <t>20/02</t>
  </si>
  <si>
    <t>LLF8</t>
  </si>
  <si>
    <t>Resorte Batidor Pera</t>
  </si>
  <si>
    <t>C10</t>
  </si>
  <si>
    <t>Uña Zincada</t>
  </si>
  <si>
    <t>Fleje31</t>
  </si>
  <si>
    <t>Varilla B Pera Corta</t>
  </si>
  <si>
    <t>Fleje32</t>
  </si>
  <si>
    <t>Varilla B Pera Larga</t>
  </si>
  <si>
    <t>30/03</t>
  </si>
  <si>
    <t>Garcia</t>
  </si>
  <si>
    <t>Z25A</t>
  </si>
  <si>
    <t>Argolla Grande</t>
  </si>
  <si>
    <t>D9</t>
  </si>
  <si>
    <t>Clavos 505 Niq.</t>
  </si>
  <si>
    <t>05/01</t>
  </si>
  <si>
    <t>07/01</t>
  </si>
  <si>
    <t>11/03</t>
  </si>
  <si>
    <t>13/03</t>
  </si>
  <si>
    <t>23/01</t>
  </si>
  <si>
    <t>26/02</t>
  </si>
  <si>
    <t>26/12</t>
  </si>
  <si>
    <t>Z23</t>
  </si>
  <si>
    <t>Cuch. Pelapapa  Loeke</t>
  </si>
  <si>
    <t>04/02</t>
  </si>
  <si>
    <t>05/03</t>
  </si>
  <si>
    <t>08/01</t>
  </si>
  <si>
    <t>09/04</t>
  </si>
  <si>
    <t>16/01</t>
  </si>
  <si>
    <t>19/01</t>
  </si>
  <si>
    <t>19/03</t>
  </si>
  <si>
    <t>20/01</t>
  </si>
  <si>
    <t>20/03</t>
  </si>
  <si>
    <t>21/01</t>
  </si>
  <si>
    <t>21/04</t>
  </si>
  <si>
    <t>23/02</t>
  </si>
  <si>
    <t>23/12/2025</t>
  </si>
  <si>
    <t>24/02</t>
  </si>
  <si>
    <t>25/02</t>
  </si>
  <si>
    <t>26/01</t>
  </si>
  <si>
    <t>26/12/2025</t>
  </si>
  <si>
    <t>27/01</t>
  </si>
  <si>
    <t>27/02</t>
  </si>
  <si>
    <t>28/01</t>
  </si>
  <si>
    <t>29/01</t>
  </si>
  <si>
    <t>29/12/2025</t>
  </si>
  <si>
    <t>30/01</t>
  </si>
  <si>
    <t>31/12/2025</t>
  </si>
  <si>
    <t>C5</t>
  </si>
  <si>
    <t>Destapa Corona Crom</t>
  </si>
  <si>
    <t>Z22</t>
  </si>
  <si>
    <t>Destapador Pie Pintado</t>
  </si>
  <si>
    <t>PC2B</t>
  </si>
  <si>
    <t>Mgo Pelapapa 123</t>
  </si>
  <si>
    <t>PC2A</t>
  </si>
  <si>
    <t>Mgo Pelapapa 505 Calado</t>
  </si>
  <si>
    <t>German</t>
  </si>
  <si>
    <t>PA10</t>
  </si>
  <si>
    <t>Capuchon ф 8</t>
  </si>
  <si>
    <t>17/03</t>
  </si>
  <si>
    <t>04/12/2025</t>
  </si>
  <si>
    <t>PA10B</t>
  </si>
  <si>
    <t>Capuchon ф 8 S/Serig</t>
  </si>
  <si>
    <t>18/11/2025</t>
  </si>
  <si>
    <t>22/12/2025</t>
  </si>
  <si>
    <t>25/03</t>
  </si>
  <si>
    <t>30/10/2025</t>
  </si>
  <si>
    <t>M1</t>
  </si>
  <si>
    <t>Disco Inox C/  Vastago Alu</t>
  </si>
  <si>
    <t>06/02</t>
  </si>
  <si>
    <t>18/02</t>
  </si>
  <si>
    <t>PB8B</t>
  </si>
  <si>
    <t>Inser. Neg. Batidor Calado</t>
  </si>
  <si>
    <t>PC11</t>
  </si>
  <si>
    <t>Mangos ф 8</t>
  </si>
  <si>
    <t>16/12/2025</t>
  </si>
  <si>
    <t>04/12</t>
  </si>
  <si>
    <t>PV5</t>
  </si>
  <si>
    <t>Pisa papa Nylon</t>
  </si>
  <si>
    <t>16/12</t>
  </si>
  <si>
    <t>30/10</t>
  </si>
  <si>
    <t>Log/ Fabr</t>
  </si>
  <si>
    <t>D16A</t>
  </si>
  <si>
    <t>Ahueca Frutas Crom.</t>
  </si>
  <si>
    <t>D16B</t>
  </si>
  <si>
    <t>Ahueca Papa Crom.</t>
  </si>
  <si>
    <t>Z19A</t>
  </si>
  <si>
    <t>Alambre  Corta Queso</t>
  </si>
  <si>
    <t>W5</t>
  </si>
  <si>
    <t>Arandela</t>
  </si>
  <si>
    <t>GRJ10</t>
  </si>
  <si>
    <t>Batidor Pera</t>
  </si>
  <si>
    <t>GRJ14</t>
  </si>
  <si>
    <t>Bombilla Pico de Loro</t>
  </si>
  <si>
    <t>GRJ15</t>
  </si>
  <si>
    <t>Bombilla Plana Ancha</t>
  </si>
  <si>
    <t>GRJ13</t>
  </si>
  <si>
    <t>Bowls 330ml</t>
  </si>
  <si>
    <t>PC8</t>
  </si>
  <si>
    <t>Cachas Azules</t>
  </si>
  <si>
    <t>PC4</t>
  </si>
  <si>
    <t>Cierra Bolsas Blanc.</t>
  </si>
  <si>
    <t>PB1</t>
  </si>
  <si>
    <t>Cilindro Corta Queso</t>
  </si>
  <si>
    <t>C13</t>
  </si>
  <si>
    <t>Corta Queso bastidor</t>
  </si>
  <si>
    <t>PV11</t>
  </si>
  <si>
    <t>Cuchara Calada 1 Pz Ny</t>
  </si>
  <si>
    <t>PV1</t>
  </si>
  <si>
    <t>Cuchara Fideos 1 Pz Ny</t>
  </si>
  <si>
    <t>PV6</t>
  </si>
  <si>
    <t>Cucharon 1 Pz Ny</t>
  </si>
  <si>
    <t>PEP9</t>
  </si>
  <si>
    <t>Cuchillo de Untar Blanc</t>
  </si>
  <si>
    <t>PV9</t>
  </si>
  <si>
    <t>Espatula Lisa 1 Pz</t>
  </si>
  <si>
    <t>E7</t>
  </si>
  <si>
    <t>Hoja</t>
  </si>
  <si>
    <t>PA4</t>
  </si>
  <si>
    <t>Mang Cuch Unt Rojo</t>
  </si>
  <si>
    <t>PA3</t>
  </si>
  <si>
    <t>Muñeco Antiderrame</t>
  </si>
  <si>
    <t>E6</t>
  </si>
  <si>
    <t>Pala Canelon</t>
  </si>
  <si>
    <t>D5</t>
  </si>
  <si>
    <t>Pieza Abierta Crom</t>
  </si>
  <si>
    <t>D6</t>
  </si>
  <si>
    <t>Pieza Cerrada Crom</t>
  </si>
  <si>
    <t>F9</t>
  </si>
  <si>
    <t>Pinza Fiambre Lisa</t>
  </si>
  <si>
    <t>F14</t>
  </si>
  <si>
    <t>Pinza Fideo Der</t>
  </si>
  <si>
    <t>F13</t>
  </si>
  <si>
    <t>Pinza Fideo Izq</t>
  </si>
  <si>
    <t>F10</t>
  </si>
  <si>
    <t>Puntera Fiambre Izquierda Inox.</t>
  </si>
  <si>
    <t>F11</t>
  </si>
  <si>
    <t>Puntero IZQ/DER</t>
  </si>
  <si>
    <t>V4</t>
  </si>
  <si>
    <t>Rem Rompenuez</t>
  </si>
  <si>
    <t>V10</t>
  </si>
  <si>
    <t>Rem. Alum Canel</t>
  </si>
  <si>
    <t>Rem. Rompenuez Niq.</t>
  </si>
  <si>
    <t>C9</t>
  </si>
  <si>
    <t>Resorte U Crom</t>
  </si>
  <si>
    <t>B2</t>
  </si>
  <si>
    <t>Rompenuez Abierto Ch Pint.</t>
  </si>
  <si>
    <t>B1</t>
  </si>
  <si>
    <t>Rompenuez Cerrado Ch Pint.</t>
  </si>
  <si>
    <t>F2</t>
  </si>
  <si>
    <t>Vastago corto</t>
  </si>
  <si>
    <t>Lucho</t>
  </si>
  <si>
    <t>20/04</t>
  </si>
  <si>
    <t>06/04</t>
  </si>
  <si>
    <t>13/01</t>
  </si>
  <si>
    <t>13/02</t>
  </si>
  <si>
    <t>13/04</t>
  </si>
  <si>
    <t>A9</t>
  </si>
  <si>
    <t>Cpo corta queso completo</t>
  </si>
  <si>
    <t>01/04</t>
  </si>
  <si>
    <t>06/03</t>
  </si>
  <si>
    <t>07/04</t>
  </si>
  <si>
    <t>09/02</t>
  </si>
  <si>
    <t>10/02</t>
  </si>
  <si>
    <t>10/04</t>
  </si>
  <si>
    <t>14/04</t>
  </si>
  <si>
    <t>15/01</t>
  </si>
  <si>
    <t>15/04</t>
  </si>
  <si>
    <t>16/03</t>
  </si>
  <si>
    <t>17/04</t>
  </si>
  <si>
    <t>19/02</t>
  </si>
  <si>
    <t>23/03</t>
  </si>
  <si>
    <t>Z23B</t>
  </si>
  <si>
    <t>Cuchilla Laser</t>
  </si>
  <si>
    <t>PEP3</t>
  </si>
  <si>
    <t>Mango Pelador LK 586 c/Serig</t>
  </si>
  <si>
    <t>PEP1</t>
  </si>
  <si>
    <t>Mangos Pelador Negro</t>
  </si>
  <si>
    <t>02/02</t>
  </si>
  <si>
    <t>PEP7</t>
  </si>
  <si>
    <t>Mgo Sacafuente Pizzero 7.25mm</t>
  </si>
  <si>
    <t>E10</t>
  </si>
  <si>
    <t>Sacafuente Pizzero</t>
  </si>
  <si>
    <t>E2</t>
  </si>
  <si>
    <t>Vastago Pelapapa Laser</t>
  </si>
  <si>
    <t>Martin</t>
  </si>
  <si>
    <t>LLF1</t>
  </si>
  <si>
    <t>"S" C/ Pizza/Raviol</t>
  </si>
  <si>
    <t>22/04</t>
  </si>
  <si>
    <t>C4</t>
  </si>
  <si>
    <t>3 En 1 LK</t>
  </si>
  <si>
    <t>C3</t>
  </si>
  <si>
    <t>3 En 1 Sin Marca</t>
  </si>
  <si>
    <t>C1</t>
  </si>
  <si>
    <t>Abrelata Pie Uña Serig</t>
  </si>
  <si>
    <t>PEP4</t>
  </si>
  <si>
    <t>Afila Caladas</t>
  </si>
  <si>
    <t>E3</t>
  </si>
  <si>
    <t>Arandela Chica Afila</t>
  </si>
  <si>
    <t>F7</t>
  </si>
  <si>
    <t>Arandela Gde Afila Zinc.</t>
  </si>
  <si>
    <t>C15</t>
  </si>
  <si>
    <t>C Sacacorcho 520 Crom</t>
  </si>
  <si>
    <t>C16</t>
  </si>
  <si>
    <t>C Sacacorcho 521 Crom</t>
  </si>
  <si>
    <t>D4</t>
  </si>
  <si>
    <t>Cabezal Crom.</t>
  </si>
  <si>
    <t>B7</t>
  </si>
  <si>
    <t>Cpo Sacacorcho CH Serig</t>
  </si>
  <si>
    <t>B4</t>
  </si>
  <si>
    <t>Cpo Sacacorcho Pint Azul LK/CH</t>
  </si>
  <si>
    <t>E16</t>
  </si>
  <si>
    <t>Cpo Sacacorcho Zincado</t>
  </si>
  <si>
    <t>A8</t>
  </si>
  <si>
    <t>Cpo Uña C/M CH 706</t>
  </si>
  <si>
    <t>X1</t>
  </si>
  <si>
    <t>Cuchilla Pelapapa Abierta</t>
  </si>
  <si>
    <t>E15</t>
  </si>
  <si>
    <t>Cuchufli Zincado</t>
  </si>
  <si>
    <t>LLF3</t>
  </si>
  <si>
    <t>Disco C/ Pizza Ø6</t>
  </si>
  <si>
    <t>LLF4</t>
  </si>
  <si>
    <t>Disco C/ Pizza Ø8</t>
  </si>
  <si>
    <t>D1</t>
  </si>
  <si>
    <t>Espiral 520 Chino</t>
  </si>
  <si>
    <t>23/04</t>
  </si>
  <si>
    <t>PEP8</t>
  </si>
  <si>
    <t>Mgo Corta Pizza</t>
  </si>
  <si>
    <t>PB8A</t>
  </si>
  <si>
    <t>Mgo Sacac Plast</t>
  </si>
  <si>
    <t>PC12</t>
  </si>
  <si>
    <t>Mgo Sacafuente Articulado 4.25mm</t>
  </si>
  <si>
    <t>Z20</t>
  </si>
  <si>
    <t>Pala Torta</t>
  </si>
  <si>
    <t>PA1</t>
  </si>
  <si>
    <t>Plaquita 3 en 1 LK</t>
  </si>
  <si>
    <t>Z1A</t>
  </si>
  <si>
    <t>Pza Chica Sacaf. Articu. LK/CH</t>
  </si>
  <si>
    <t>Z2A</t>
  </si>
  <si>
    <t>Pza Gde Sacaf. Articu. LK</t>
  </si>
  <si>
    <t>V13</t>
  </si>
  <si>
    <t>Rem Plaquita 3 en 1</t>
  </si>
  <si>
    <t>V12</t>
  </si>
  <si>
    <t>Rem. C/ Pizza/Raviol</t>
  </si>
  <si>
    <t>V2</t>
  </si>
  <si>
    <t>Rem. Cabezal Niq</t>
  </si>
  <si>
    <t>21/03</t>
  </si>
  <si>
    <t>V3</t>
  </si>
  <si>
    <t>Rem. Sacatapita Niq</t>
  </si>
  <si>
    <t>V5</t>
  </si>
  <si>
    <t>Rem. afila niq.</t>
  </si>
  <si>
    <t>V1</t>
  </si>
  <si>
    <t>Remache Espiral</t>
  </si>
  <si>
    <t>V11</t>
  </si>
  <si>
    <t>Remache Sacacorcho Plast</t>
  </si>
  <si>
    <t>D14</t>
  </si>
  <si>
    <t>Resorte 520 Niquel</t>
  </si>
  <si>
    <t>C8</t>
  </si>
  <si>
    <t>Sacatapita Crom</t>
  </si>
  <si>
    <t>E4</t>
  </si>
  <si>
    <t>Tochos Afila Cuchillo</t>
  </si>
  <si>
    <t>E9</t>
  </si>
  <si>
    <t>Vast corta Pizza Gast</t>
  </si>
  <si>
    <t>E12</t>
  </si>
  <si>
    <t>Vastago C/ Pizza Cico/ Ravioles</t>
  </si>
  <si>
    <t>W8</t>
  </si>
  <si>
    <t>Vastago Sacafuente Pizzero</t>
  </si>
  <si>
    <t>Pedernera</t>
  </si>
  <si>
    <t>N7</t>
  </si>
  <si>
    <t>Pinza Chica</t>
  </si>
  <si>
    <t>N8</t>
  </si>
  <si>
    <t>Pinza Grande</t>
  </si>
  <si>
    <t>Poly</t>
  </si>
  <si>
    <t>FC3</t>
  </si>
  <si>
    <t>Alambre Filtro Café</t>
  </si>
  <si>
    <t>04/03</t>
  </si>
  <si>
    <t>05/02</t>
  </si>
  <si>
    <t>14/01</t>
  </si>
  <si>
    <t>W9P</t>
  </si>
  <si>
    <t>Arandela Fina Marip Niq.</t>
  </si>
  <si>
    <t>11/02</t>
  </si>
  <si>
    <t>PA8A</t>
  </si>
  <si>
    <t>Buje Blanco</t>
  </si>
  <si>
    <t>PA8B</t>
  </si>
  <si>
    <t>Buje Negro</t>
  </si>
  <si>
    <t>PA9</t>
  </si>
  <si>
    <t>Capuchon Mariposa 512</t>
  </si>
  <si>
    <t>Clavos 505 niq.</t>
  </si>
  <si>
    <t>24/04</t>
  </si>
  <si>
    <t>W7P</t>
  </si>
  <si>
    <t>Engranaje Chico</t>
  </si>
  <si>
    <t>M8</t>
  </si>
  <si>
    <t>Mango Pelapapa CH p/Cromar</t>
  </si>
  <si>
    <t>M6</t>
  </si>
  <si>
    <t>Mango Pelapapa LK p/Cromar</t>
  </si>
  <si>
    <t>B11</t>
  </si>
  <si>
    <t>Mariposa Abrelata</t>
  </si>
  <si>
    <t>Z30</t>
  </si>
  <si>
    <t>Mariposa Abrelata SUPER</t>
  </si>
  <si>
    <t>M10</t>
  </si>
  <si>
    <t>Mgo Met Pelador s/Doblar C/Marca</t>
  </si>
  <si>
    <t>M9</t>
  </si>
  <si>
    <t>Mgo Met Pelador s/Doblar S/Marca</t>
  </si>
  <si>
    <t>Z42</t>
  </si>
  <si>
    <t>Mgo Plano 066 Negro</t>
  </si>
  <si>
    <t>Z29</t>
  </si>
  <si>
    <t>Mgo Plano 512</t>
  </si>
  <si>
    <t>B9</t>
  </si>
  <si>
    <t>Mgo plano crom 502</t>
  </si>
  <si>
    <t>PA7B</t>
  </si>
  <si>
    <t>Pirolo Negro</t>
  </si>
  <si>
    <t>PA12</t>
  </si>
  <si>
    <t>Pirolo Rojo</t>
  </si>
  <si>
    <t>V7</t>
  </si>
  <si>
    <t>Rem. Abrelatas Niq</t>
  </si>
  <si>
    <t>B13</t>
  </si>
  <si>
    <t>Varilla C/ Cuchilla Crom.</t>
  </si>
  <si>
    <t>Z41</t>
  </si>
  <si>
    <t>Varilla C/ Cuchilla SUPER</t>
  </si>
  <si>
    <t>Rafael</t>
  </si>
  <si>
    <t>D2</t>
  </si>
  <si>
    <t>Aleta Derecha</t>
  </si>
  <si>
    <t>D3</t>
  </si>
  <si>
    <t>Aleta Izquierda</t>
  </si>
  <si>
    <t>W3P</t>
  </si>
  <si>
    <t>Arandela   fina Niq.</t>
  </si>
  <si>
    <t>W4</t>
  </si>
  <si>
    <t>Arandela Base Inox</t>
  </si>
  <si>
    <t>W6</t>
  </si>
  <si>
    <t>Arandelas Inox p/Mgo</t>
  </si>
  <si>
    <t>W1P</t>
  </si>
  <si>
    <t>Buje Abrelata Manija</t>
  </si>
  <si>
    <t>PC15A</t>
  </si>
  <si>
    <t>Cpo de doble aleta LK</t>
  </si>
  <si>
    <t>E8</t>
  </si>
  <si>
    <t>Cuchillo Untar Inox p/Plast</t>
  </si>
  <si>
    <t>30/12</t>
  </si>
  <si>
    <t>PC15B</t>
  </si>
  <si>
    <t>Cuerpo Sac Aleta Plast Ch</t>
  </si>
  <si>
    <t>W2P</t>
  </si>
  <si>
    <t>Engranaje Grande</t>
  </si>
  <si>
    <t>PC13</t>
  </si>
  <si>
    <t>Manguito Abrelat. Blanc</t>
  </si>
  <si>
    <t>PC14</t>
  </si>
  <si>
    <t>Manguito Abrelat. Rojo</t>
  </si>
  <si>
    <t>C6</t>
  </si>
  <si>
    <t>Manija   Redonda Crom.</t>
  </si>
  <si>
    <t>A4</t>
  </si>
  <si>
    <t>Mgo Plano 501 Serig</t>
  </si>
  <si>
    <t>A7</t>
  </si>
  <si>
    <t>Mgo Plano 701 Crom</t>
  </si>
  <si>
    <t>PA7A</t>
  </si>
  <si>
    <t>Pirolo Blanco</t>
  </si>
  <si>
    <t>V8</t>
  </si>
  <si>
    <t>Remache Doble Aleta</t>
  </si>
  <si>
    <t>Raro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</si>
</sst>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92D050"/>
        <bgColor rgb="FFF8CBA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E699"/>
      </patternFill>
    </fill>
    <fill>
      <patternFill patternType="solid">
        <fgColor rgb="FFFFC000"/>
        <bgColor rgb="FFF8CBAD"/>
      </patternFill>
    </fill>
    <fill>
      <patternFill patternType="solid">
        <fgColor rgb="FFFFC000"/>
        <bgColor rgb="FFFFE699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6" fontId="0" fillId="9" borderId="0" xfId="0" applyNumberFormat="1" applyFill="1"/>
    <xf numFmtId="0" fontId="0" fillId="10" borderId="0" xfId="0" applyFill="1"/>
    <xf numFmtId="165" fontId="0" fillId="0" borderId="0" xfId="1" applyNumberFormat="1" applyFont="1"/>
    <xf numFmtId="0" fontId="0" fillId="0" borderId="0" xfId="0" applyFill="1"/>
    <xf numFmtId="9" fontId="0" fillId="0" borderId="0" xfId="2" applyFont="1"/>
    <xf numFmtId="165" fontId="1" fillId="2" borderId="0" xfId="1" applyNumberFormat="1" applyFont="1" applyFill="1" applyAlignment="1">
      <alignment horizontal="center"/>
    </xf>
    <xf numFmtId="165" fontId="0" fillId="0" borderId="0" xfId="1" applyNumberFormat="1" applyFont="1" applyFill="1"/>
    <xf numFmtId="0" fontId="0" fillId="11" borderId="0" xfId="0" applyFill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713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D717" sqref="D717"/>
    </sheetView>
  </sheetViews>
  <sheetFormatPr baseColWidth="10" defaultColWidth="9.140625" defaultRowHeight="15" x14ac:dyDescent="0.25"/>
  <cols>
    <col min="1" max="1" width="8" customWidth="1"/>
    <col min="2" max="2" width="12" customWidth="1"/>
    <col min="3" max="3" width="14" customWidth="1"/>
    <col min="4" max="4" width="10" customWidth="1"/>
    <col min="5" max="5" width="40" customWidth="1"/>
    <col min="6" max="8" width="10" customWidth="1"/>
    <col min="9" max="9" width="11" style="11" customWidth="1"/>
    <col min="10" max="11" width="11" hidden="1" customWidth="1"/>
    <col min="12" max="12" width="16" hidden="1" customWidth="1"/>
    <col min="16" max="16" width="10" customWidth="1"/>
    <col min="17" max="17" width="9.140625" style="1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4" t="s">
        <v>8</v>
      </c>
      <c r="J1" s="1" t="s">
        <v>9</v>
      </c>
      <c r="K1" s="1" t="s">
        <v>10</v>
      </c>
      <c r="L1" s="1" t="s">
        <v>11</v>
      </c>
      <c r="P1" s="1" t="s">
        <v>3</v>
      </c>
    </row>
    <row r="2" spans="1:18" hidden="1" x14ac:dyDescent="0.25">
      <c r="A2" s="4">
        <v>2065</v>
      </c>
      <c r="B2" s="4" t="s">
        <v>20</v>
      </c>
      <c r="C2" s="4" t="s">
        <v>13</v>
      </c>
      <c r="D2" s="4" t="s">
        <v>26</v>
      </c>
      <c r="E2" s="4" t="s">
        <v>27</v>
      </c>
      <c r="F2" s="4">
        <v>4.4000000000000004</v>
      </c>
      <c r="G2" s="4">
        <v>1</v>
      </c>
      <c r="H2" s="4">
        <v>0</v>
      </c>
      <c r="I2" s="15">
        <f>+F2/G2</f>
        <v>4.4000000000000004</v>
      </c>
      <c r="J2" s="7">
        <v>3.3</v>
      </c>
      <c r="K2" s="7">
        <v>2</v>
      </c>
      <c r="L2" s="7">
        <v>33.299999999999997</v>
      </c>
      <c r="P2" s="4" t="s">
        <v>26</v>
      </c>
      <c r="Q2" s="11">
        <f>+AVERAGEIFS(I:I,D:D,P2)</f>
        <v>15.648333333333332</v>
      </c>
      <c r="R2" s="13">
        <f>+I2/Q2-1</f>
        <v>-0.7188198956225369</v>
      </c>
    </row>
    <row r="3" spans="1:18" hidden="1" x14ac:dyDescent="0.25">
      <c r="A3" s="8">
        <v>2086</v>
      </c>
      <c r="B3" s="8" t="s">
        <v>35</v>
      </c>
      <c r="C3" s="8" t="s">
        <v>13</v>
      </c>
      <c r="D3" s="8" t="s">
        <v>32</v>
      </c>
      <c r="E3" s="8" t="s">
        <v>33</v>
      </c>
      <c r="F3" s="8">
        <v>70.599999999999994</v>
      </c>
      <c r="G3" s="8">
        <v>2</v>
      </c>
      <c r="H3" s="8">
        <v>0</v>
      </c>
      <c r="I3" s="15">
        <f>+F3/G3</f>
        <v>35.299999999999997</v>
      </c>
      <c r="J3" s="8">
        <v>29.46</v>
      </c>
      <c r="K3" s="8">
        <v>6</v>
      </c>
      <c r="L3" s="8">
        <v>19.8</v>
      </c>
      <c r="P3" s="8" t="s">
        <v>32</v>
      </c>
      <c r="Q3" s="11">
        <f>+AVERAGEIFS(I:I,D:D,P3)</f>
        <v>30.626666666666665</v>
      </c>
      <c r="R3" s="13">
        <f>+I3/Q3-1</f>
        <v>0.15259033521985188</v>
      </c>
    </row>
    <row r="4" spans="1:18" hidden="1" x14ac:dyDescent="0.25">
      <c r="A4">
        <v>1868</v>
      </c>
      <c r="B4" t="s">
        <v>16</v>
      </c>
      <c r="C4" t="s">
        <v>371</v>
      </c>
      <c r="D4" t="s">
        <v>399</v>
      </c>
      <c r="E4" t="s">
        <v>400</v>
      </c>
      <c r="F4">
        <v>103</v>
      </c>
      <c r="G4">
        <v>3</v>
      </c>
      <c r="H4">
        <v>0</v>
      </c>
      <c r="I4" s="15">
        <f>+F4/G4</f>
        <v>34.333333333333336</v>
      </c>
      <c r="J4">
        <v>29.95</v>
      </c>
      <c r="K4">
        <v>8</v>
      </c>
      <c r="L4">
        <v>14.6</v>
      </c>
      <c r="P4" t="s">
        <v>399</v>
      </c>
      <c r="Q4" s="11">
        <f>+AVERAGEIFS(I:I,D:D,P4)</f>
        <v>29.774708333333333</v>
      </c>
      <c r="R4" s="13">
        <f>+I4/Q4-1</f>
        <v>0.15310393468729755</v>
      </c>
    </row>
    <row r="5" spans="1:18" hidden="1" x14ac:dyDescent="0.25">
      <c r="A5" s="6">
        <v>1943</v>
      </c>
      <c r="B5" s="6" t="s">
        <v>35</v>
      </c>
      <c r="C5" s="6" t="s">
        <v>371</v>
      </c>
      <c r="D5" s="6" t="s">
        <v>399</v>
      </c>
      <c r="E5" s="6" t="s">
        <v>400</v>
      </c>
      <c r="F5" s="6">
        <v>94.6</v>
      </c>
      <c r="G5" s="6">
        <v>4</v>
      </c>
      <c r="H5" s="6">
        <v>0</v>
      </c>
      <c r="I5" s="15">
        <f>+F5/G5</f>
        <v>23.65</v>
      </c>
      <c r="J5" s="3">
        <v>29.95</v>
      </c>
      <c r="K5" s="3">
        <v>8</v>
      </c>
      <c r="L5" s="3">
        <v>-21</v>
      </c>
      <c r="P5" s="6" t="s">
        <v>399</v>
      </c>
      <c r="Q5" s="11">
        <f>+AVERAGEIFS(I:I,D:D,P5)</f>
        <v>29.774708333333333</v>
      </c>
      <c r="R5" s="13">
        <f>+I5/Q5-1</f>
        <v>-0.20570170712559466</v>
      </c>
    </row>
    <row r="6" spans="1:18" hidden="1" x14ac:dyDescent="0.25">
      <c r="A6" s="6">
        <v>1901</v>
      </c>
      <c r="B6" s="6" t="s">
        <v>95</v>
      </c>
      <c r="C6" s="6" t="s">
        <v>371</v>
      </c>
      <c r="D6" s="6" t="s">
        <v>399</v>
      </c>
      <c r="E6" s="6" t="s">
        <v>400</v>
      </c>
      <c r="F6" s="6">
        <v>126.48</v>
      </c>
      <c r="G6" s="6">
        <v>5</v>
      </c>
      <c r="H6" s="6">
        <v>0</v>
      </c>
      <c r="I6" s="15">
        <f>+F6/G6</f>
        <v>25.295999999999999</v>
      </c>
      <c r="J6" s="3">
        <v>29.95</v>
      </c>
      <c r="K6" s="3">
        <v>8</v>
      </c>
      <c r="L6" s="3">
        <v>-15.5</v>
      </c>
      <c r="P6" s="6" t="s">
        <v>399</v>
      </c>
      <c r="Q6" s="11">
        <f>+AVERAGEIFS(I:I,D:D,P6)</f>
        <v>29.774708333333333</v>
      </c>
      <c r="R6" s="13">
        <f>+I6/Q6-1</f>
        <v>-0.15041988936359574</v>
      </c>
    </row>
    <row r="7" spans="1:18" hidden="1" x14ac:dyDescent="0.25">
      <c r="A7">
        <v>1944</v>
      </c>
      <c r="B7" t="s">
        <v>35</v>
      </c>
      <c r="C7" t="s">
        <v>371</v>
      </c>
      <c r="D7" t="s">
        <v>401</v>
      </c>
      <c r="E7" t="s">
        <v>402</v>
      </c>
      <c r="F7">
        <v>46.8</v>
      </c>
      <c r="G7">
        <v>2</v>
      </c>
      <c r="H7">
        <v>0</v>
      </c>
      <c r="I7" s="15">
        <f>+F7/G7</f>
        <v>23.4</v>
      </c>
      <c r="J7">
        <v>26.94</v>
      </c>
      <c r="K7">
        <v>3</v>
      </c>
      <c r="L7">
        <v>-13.1</v>
      </c>
      <c r="P7" t="s">
        <v>401</v>
      </c>
      <c r="Q7" s="11">
        <f>+AVERAGEIFS(I:I,D:D,P7)</f>
        <v>27.244444444444444</v>
      </c>
      <c r="R7" s="13">
        <f>+I7/Q7-1</f>
        <v>-0.14110929853181076</v>
      </c>
    </row>
    <row r="8" spans="1:18" hidden="1" x14ac:dyDescent="0.25">
      <c r="A8" s="3">
        <v>1955</v>
      </c>
      <c r="B8" s="3" t="s">
        <v>36</v>
      </c>
      <c r="C8" s="3" t="s">
        <v>371</v>
      </c>
      <c r="D8" s="3" t="s">
        <v>401</v>
      </c>
      <c r="E8" s="3" t="s">
        <v>402</v>
      </c>
      <c r="F8" s="3">
        <v>66.400000000000006</v>
      </c>
      <c r="G8" s="3">
        <v>2</v>
      </c>
      <c r="H8" s="3">
        <v>0</v>
      </c>
      <c r="I8" s="15">
        <f>+F8/G8</f>
        <v>33.200000000000003</v>
      </c>
      <c r="J8" s="3">
        <v>26.94</v>
      </c>
      <c r="K8" s="3">
        <v>3</v>
      </c>
      <c r="L8" s="3">
        <v>23.2</v>
      </c>
      <c r="P8" s="3" t="s">
        <v>401</v>
      </c>
      <c r="Q8" s="11">
        <f>+AVERAGEIFS(I:I,D:D,P8)</f>
        <v>27.244444444444444</v>
      </c>
      <c r="R8" s="13">
        <f>+I8/Q8-1</f>
        <v>0.21859706362153353</v>
      </c>
    </row>
    <row r="9" spans="1:18" hidden="1" x14ac:dyDescent="0.25">
      <c r="A9">
        <v>2150</v>
      </c>
      <c r="B9" t="s">
        <v>328</v>
      </c>
      <c r="C9" t="s">
        <v>324</v>
      </c>
      <c r="D9" t="s">
        <v>347</v>
      </c>
      <c r="E9" t="s">
        <v>348</v>
      </c>
      <c r="F9">
        <v>159</v>
      </c>
      <c r="G9">
        <v>5</v>
      </c>
      <c r="H9">
        <v>0</v>
      </c>
      <c r="I9" s="15">
        <f>+F9/G9</f>
        <v>31.8</v>
      </c>
      <c r="J9">
        <v>29.25</v>
      </c>
      <c r="K9">
        <v>7</v>
      </c>
      <c r="L9">
        <v>8.6999999999999993</v>
      </c>
      <c r="P9" t="s">
        <v>347</v>
      </c>
      <c r="Q9" s="11">
        <f>+AVERAGEIFS(I:I,D:D,P9)</f>
        <v>28.585714285714285</v>
      </c>
      <c r="R9" s="13">
        <f>+I9/Q9-1</f>
        <v>0.11244377811094464</v>
      </c>
    </row>
    <row r="10" spans="1:18" hidden="1" x14ac:dyDescent="0.25">
      <c r="A10" s="6">
        <v>2165</v>
      </c>
      <c r="B10" s="6" t="s">
        <v>332</v>
      </c>
      <c r="C10" s="6" t="s">
        <v>324</v>
      </c>
      <c r="D10" s="6" t="s">
        <v>347</v>
      </c>
      <c r="E10" s="6" t="s">
        <v>348</v>
      </c>
      <c r="F10" s="6">
        <v>24</v>
      </c>
      <c r="G10" s="6">
        <v>1</v>
      </c>
      <c r="H10" s="6">
        <v>0</v>
      </c>
      <c r="I10" s="15">
        <f>+F10/G10</f>
        <v>24</v>
      </c>
      <c r="J10" s="3">
        <v>29.25</v>
      </c>
      <c r="K10" s="3">
        <v>7</v>
      </c>
      <c r="L10" s="3">
        <v>-17.899999999999999</v>
      </c>
      <c r="P10" s="6" t="s">
        <v>347</v>
      </c>
      <c r="Q10" s="11">
        <f>+AVERAGEIFS(I:I,D:D,P10)</f>
        <v>28.585714285714285</v>
      </c>
      <c r="R10" s="13">
        <f>+I10/Q10-1</f>
        <v>-0.16041979010494756</v>
      </c>
    </row>
    <row r="11" spans="1:18" hidden="1" x14ac:dyDescent="0.25">
      <c r="A11" s="4">
        <v>2209</v>
      </c>
      <c r="B11" s="4" t="s">
        <v>69</v>
      </c>
      <c r="C11" s="4" t="s">
        <v>324</v>
      </c>
      <c r="D11" s="4" t="s">
        <v>347</v>
      </c>
      <c r="E11" s="4" t="s">
        <v>348</v>
      </c>
      <c r="F11" s="4">
        <v>40.6</v>
      </c>
      <c r="G11" s="4">
        <v>2</v>
      </c>
      <c r="H11" s="4">
        <v>0</v>
      </c>
      <c r="I11" s="15">
        <f>+F11/G11</f>
        <v>20.3</v>
      </c>
      <c r="J11" s="2">
        <v>29.25</v>
      </c>
      <c r="K11" s="2">
        <v>7</v>
      </c>
      <c r="L11" s="2">
        <v>-30.6</v>
      </c>
      <c r="P11" s="4" t="s">
        <v>347</v>
      </c>
      <c r="Q11" s="11">
        <f>+AVERAGEIFS(I:I,D:D,P11)</f>
        <v>28.585714285714285</v>
      </c>
      <c r="R11" s="13">
        <f>+I11/Q11-1</f>
        <v>-0.28985507246376807</v>
      </c>
    </row>
    <row r="12" spans="1:18" hidden="1" x14ac:dyDescent="0.25">
      <c r="A12">
        <v>2177</v>
      </c>
      <c r="B12" t="s">
        <v>87</v>
      </c>
      <c r="C12" t="s">
        <v>324</v>
      </c>
      <c r="D12" t="s">
        <v>347</v>
      </c>
      <c r="E12" t="s">
        <v>348</v>
      </c>
      <c r="F12">
        <v>32.799999999999997</v>
      </c>
      <c r="G12">
        <v>1</v>
      </c>
      <c r="H12">
        <v>0</v>
      </c>
      <c r="I12" s="15">
        <f>+F12/G12</f>
        <v>32.799999999999997</v>
      </c>
      <c r="J12">
        <v>29.25</v>
      </c>
      <c r="K12">
        <v>7</v>
      </c>
      <c r="L12">
        <v>12.1</v>
      </c>
      <c r="P12" t="s">
        <v>347</v>
      </c>
      <c r="Q12" s="11">
        <f>+AVERAGEIFS(I:I,D:D,P12)</f>
        <v>28.585714285714285</v>
      </c>
      <c r="R12" s="13">
        <f>+I12/Q12-1</f>
        <v>0.14742628685657166</v>
      </c>
    </row>
    <row r="13" spans="1:18" hidden="1" x14ac:dyDescent="0.25">
      <c r="A13">
        <v>2068</v>
      </c>
      <c r="B13" t="s">
        <v>20</v>
      </c>
      <c r="C13" t="s">
        <v>13</v>
      </c>
      <c r="D13" t="s">
        <v>28</v>
      </c>
      <c r="E13" t="s">
        <v>29</v>
      </c>
      <c r="F13">
        <v>15.2</v>
      </c>
      <c r="G13">
        <v>8</v>
      </c>
      <c r="H13">
        <v>0</v>
      </c>
      <c r="I13" s="12">
        <f>+F13/G13</f>
        <v>1.9</v>
      </c>
      <c r="J13">
        <v>1.92</v>
      </c>
      <c r="K13">
        <v>4</v>
      </c>
      <c r="L13">
        <v>-0.9</v>
      </c>
      <c r="P13" t="s">
        <v>28</v>
      </c>
      <c r="Q13" s="11">
        <f>+AVERAGEIFS(I:I,D:D,P13)</f>
        <v>1.8755580357142856</v>
      </c>
      <c r="R13" s="13">
        <f>+I13/Q13-1</f>
        <v>1.30318357631658E-2</v>
      </c>
    </row>
    <row r="14" spans="1:18" hidden="1" x14ac:dyDescent="0.25">
      <c r="A14">
        <v>2098</v>
      </c>
      <c r="B14" t="s">
        <v>23</v>
      </c>
      <c r="C14" t="s">
        <v>13</v>
      </c>
      <c r="D14" t="s">
        <v>28</v>
      </c>
      <c r="E14" t="s">
        <v>29</v>
      </c>
      <c r="F14">
        <v>10.199999999999999</v>
      </c>
      <c r="G14">
        <v>6</v>
      </c>
      <c r="H14">
        <v>0</v>
      </c>
      <c r="I14" s="12">
        <f>+F14/G14</f>
        <v>1.7</v>
      </c>
      <c r="J14">
        <v>1.92</v>
      </c>
      <c r="K14">
        <v>4</v>
      </c>
      <c r="L14">
        <v>-11.3</v>
      </c>
      <c r="P14" t="s">
        <v>28</v>
      </c>
      <c r="Q14" s="11">
        <f>+AVERAGEIFS(I:I,D:D,P14)</f>
        <v>1.8755580357142856</v>
      </c>
      <c r="R14" s="13">
        <f>+I14/Q14-1</f>
        <v>-9.3603094317167512E-2</v>
      </c>
    </row>
    <row r="15" spans="1:18" hidden="1" x14ac:dyDescent="0.25">
      <c r="A15">
        <v>2060</v>
      </c>
      <c r="B15" t="s">
        <v>24</v>
      </c>
      <c r="C15" t="s">
        <v>13</v>
      </c>
      <c r="D15" t="s">
        <v>28</v>
      </c>
      <c r="E15" t="s">
        <v>29</v>
      </c>
      <c r="F15">
        <v>31.35</v>
      </c>
      <c r="G15">
        <v>16</v>
      </c>
      <c r="H15">
        <v>0</v>
      </c>
      <c r="I15" s="12">
        <f>+F15/G15</f>
        <v>1.9593750000000001</v>
      </c>
      <c r="J15">
        <v>1.92</v>
      </c>
      <c r="K15">
        <v>4</v>
      </c>
      <c r="L15">
        <v>2.2000000000000002</v>
      </c>
      <c r="P15" t="s">
        <v>28</v>
      </c>
      <c r="Q15" s="11">
        <f>+AVERAGEIFS(I:I,D:D,P15)</f>
        <v>1.8755580357142856</v>
      </c>
      <c r="R15" s="13">
        <f>+I15/Q15-1</f>
        <v>4.468908063076471E-2</v>
      </c>
    </row>
    <row r="16" spans="1:18" hidden="1" x14ac:dyDescent="0.25">
      <c r="A16">
        <v>2104</v>
      </c>
      <c r="B16" t="s">
        <v>25</v>
      </c>
      <c r="C16" t="s">
        <v>13</v>
      </c>
      <c r="D16" t="s">
        <v>28</v>
      </c>
      <c r="E16" t="s">
        <v>29</v>
      </c>
      <c r="F16">
        <v>54.4</v>
      </c>
      <c r="G16">
        <v>28</v>
      </c>
      <c r="H16">
        <v>0</v>
      </c>
      <c r="I16" s="12">
        <f>+F16/G16</f>
        <v>1.9428571428571428</v>
      </c>
      <c r="J16">
        <v>1.92</v>
      </c>
      <c r="K16">
        <v>4</v>
      </c>
      <c r="L16">
        <v>1.4</v>
      </c>
      <c r="P16" t="s">
        <v>28</v>
      </c>
      <c r="Q16" s="11">
        <f>+AVERAGEIFS(I:I,D:D,P16)</f>
        <v>1.8755580357142856</v>
      </c>
      <c r="R16" s="13">
        <f>+I16/Q16-1</f>
        <v>3.5882177923237224E-2</v>
      </c>
    </row>
    <row r="17" spans="1:18" hidden="1" x14ac:dyDescent="0.25">
      <c r="A17">
        <v>2054</v>
      </c>
      <c r="B17" t="s">
        <v>24</v>
      </c>
      <c r="C17" t="s">
        <v>13</v>
      </c>
      <c r="D17" t="s">
        <v>30</v>
      </c>
      <c r="E17" t="s">
        <v>31</v>
      </c>
      <c r="F17">
        <v>30.4</v>
      </c>
      <c r="G17">
        <v>1</v>
      </c>
      <c r="H17">
        <v>0</v>
      </c>
      <c r="I17" s="12">
        <f>+F17/G17</f>
        <v>30.4</v>
      </c>
      <c r="J17">
        <v>29.91</v>
      </c>
      <c r="K17">
        <v>3</v>
      </c>
      <c r="L17">
        <v>1.6</v>
      </c>
      <c r="P17" t="s">
        <v>30</v>
      </c>
      <c r="Q17" s="11">
        <f>+AVERAGEIFS(I:I,D:D,P17)</f>
        <v>30.396825396825395</v>
      </c>
      <c r="R17" s="13">
        <f>+I17/Q17-1</f>
        <v>1.044386422976995E-4</v>
      </c>
    </row>
    <row r="18" spans="1:18" hidden="1" x14ac:dyDescent="0.25">
      <c r="A18">
        <v>2070</v>
      </c>
      <c r="B18" t="s">
        <v>18</v>
      </c>
      <c r="C18" t="s">
        <v>13</v>
      </c>
      <c r="D18" t="s">
        <v>30</v>
      </c>
      <c r="E18" t="s">
        <v>31</v>
      </c>
      <c r="F18">
        <v>203.4</v>
      </c>
      <c r="G18">
        <v>7</v>
      </c>
      <c r="H18">
        <v>0</v>
      </c>
      <c r="I18" s="12">
        <f>+F18/G18</f>
        <v>29.057142857142857</v>
      </c>
      <c r="J18">
        <v>29.91</v>
      </c>
      <c r="K18">
        <v>3</v>
      </c>
      <c r="L18">
        <v>-2.8</v>
      </c>
      <c r="P18" t="s">
        <v>30</v>
      </c>
      <c r="Q18" s="11">
        <f>+AVERAGEIFS(I:I,D:D,P18)</f>
        <v>30.396825396825395</v>
      </c>
      <c r="R18" s="13">
        <f>+I18/Q18-1</f>
        <v>-4.4073107049608318E-2</v>
      </c>
    </row>
    <row r="19" spans="1:18" hidden="1" x14ac:dyDescent="0.25">
      <c r="A19">
        <v>2043</v>
      </c>
      <c r="B19" t="s">
        <v>19</v>
      </c>
      <c r="C19" t="s">
        <v>13</v>
      </c>
      <c r="D19" t="s">
        <v>30</v>
      </c>
      <c r="E19" t="s">
        <v>31</v>
      </c>
      <c r="F19">
        <v>95.2</v>
      </c>
      <c r="G19">
        <v>3</v>
      </c>
      <c r="H19">
        <v>0</v>
      </c>
      <c r="I19" s="12">
        <f>+F19/G19</f>
        <v>31.733333333333334</v>
      </c>
      <c r="J19">
        <v>29.91</v>
      </c>
      <c r="K19">
        <v>3</v>
      </c>
      <c r="L19">
        <v>6.1</v>
      </c>
      <c r="P19" t="s">
        <v>30</v>
      </c>
      <c r="Q19" s="11">
        <f>+AVERAGEIFS(I:I,D:D,P19)</f>
        <v>30.396825396825395</v>
      </c>
      <c r="R19" s="13">
        <f>+I19/Q19-1</f>
        <v>4.396866840731084E-2</v>
      </c>
    </row>
    <row r="20" spans="1:18" hidden="1" x14ac:dyDescent="0.25">
      <c r="A20">
        <v>2085</v>
      </c>
      <c r="B20" t="s">
        <v>24</v>
      </c>
      <c r="C20" t="s">
        <v>13</v>
      </c>
      <c r="D20" t="s">
        <v>32</v>
      </c>
      <c r="E20" t="s">
        <v>33</v>
      </c>
      <c r="F20">
        <v>454.4</v>
      </c>
      <c r="G20">
        <v>15</v>
      </c>
      <c r="H20">
        <v>0</v>
      </c>
      <c r="I20" s="12">
        <f>+F20/G20</f>
        <v>30.293333333333333</v>
      </c>
      <c r="J20">
        <v>29.46</v>
      </c>
      <c r="K20">
        <v>6</v>
      </c>
      <c r="L20">
        <v>2.8</v>
      </c>
      <c r="P20" t="s">
        <v>32</v>
      </c>
      <c r="Q20" s="11">
        <f>+AVERAGEIFS(I:I,D:D,P20)</f>
        <v>30.626666666666665</v>
      </c>
      <c r="R20" s="13">
        <f>+I20/Q20-1</f>
        <v>-1.0883761427949445E-2</v>
      </c>
    </row>
    <row r="21" spans="1:18" hidden="1" x14ac:dyDescent="0.25">
      <c r="A21">
        <v>2195</v>
      </c>
      <c r="B21" t="s">
        <v>327</v>
      </c>
      <c r="C21" t="s">
        <v>324</v>
      </c>
      <c r="D21" t="s">
        <v>367</v>
      </c>
      <c r="E21" t="s">
        <v>368</v>
      </c>
      <c r="F21">
        <v>156.80000000000001</v>
      </c>
      <c r="G21">
        <v>5</v>
      </c>
      <c r="H21">
        <v>0</v>
      </c>
      <c r="I21" s="15">
        <f>+F21/G21</f>
        <v>31.360000000000003</v>
      </c>
      <c r="J21">
        <v>29.84</v>
      </c>
      <c r="K21">
        <v>13</v>
      </c>
      <c r="L21">
        <v>5.0999999999999996</v>
      </c>
      <c r="P21" t="s">
        <v>367</v>
      </c>
      <c r="Q21" s="11">
        <f>+AVERAGEIFS(I:I,D:D,P21)</f>
        <v>28.224653769841268</v>
      </c>
      <c r="R21" s="13">
        <f>+I21/Q21-1</f>
        <v>0.11108537435838906</v>
      </c>
    </row>
    <row r="22" spans="1:18" hidden="1" x14ac:dyDescent="0.25">
      <c r="A22">
        <v>2084</v>
      </c>
      <c r="B22" t="s">
        <v>19</v>
      </c>
      <c r="C22" t="s">
        <v>13</v>
      </c>
      <c r="D22" t="s">
        <v>32</v>
      </c>
      <c r="E22" t="s">
        <v>33</v>
      </c>
      <c r="F22">
        <v>191.8</v>
      </c>
      <c r="G22">
        <v>6</v>
      </c>
      <c r="H22">
        <v>0</v>
      </c>
      <c r="I22" s="12">
        <f>+F22/G22</f>
        <v>31.966666666666669</v>
      </c>
      <c r="J22">
        <v>29.46</v>
      </c>
      <c r="K22">
        <v>6</v>
      </c>
      <c r="L22">
        <v>8.5</v>
      </c>
      <c r="P22" t="s">
        <v>32</v>
      </c>
      <c r="Q22" s="11">
        <f>+AVERAGEIFS(I:I,D:D,P22)</f>
        <v>30.626666666666665</v>
      </c>
      <c r="R22" s="13">
        <f>+I22/Q22-1</f>
        <v>4.3752720940357204E-2</v>
      </c>
    </row>
    <row r="23" spans="1:18" hidden="1" x14ac:dyDescent="0.25">
      <c r="A23">
        <v>2081</v>
      </c>
      <c r="B23" t="s">
        <v>34</v>
      </c>
      <c r="C23" t="s">
        <v>13</v>
      </c>
      <c r="D23" t="s">
        <v>32</v>
      </c>
      <c r="E23" t="s">
        <v>33</v>
      </c>
      <c r="F23">
        <v>151</v>
      </c>
      <c r="G23">
        <v>5</v>
      </c>
      <c r="H23">
        <v>0</v>
      </c>
      <c r="I23" s="12">
        <f>+F23/G23</f>
        <v>30.2</v>
      </c>
      <c r="J23">
        <v>29.46</v>
      </c>
      <c r="K23">
        <v>6</v>
      </c>
      <c r="L23">
        <v>2.5</v>
      </c>
      <c r="P23" t="s">
        <v>32</v>
      </c>
      <c r="Q23" s="11">
        <f>+AVERAGEIFS(I:I,D:D,P23)</f>
        <v>30.626666666666665</v>
      </c>
      <c r="R23" s="13">
        <f>+I23/Q23-1</f>
        <v>-1.3931214627775357E-2</v>
      </c>
    </row>
    <row r="24" spans="1:18" hidden="1" x14ac:dyDescent="0.25">
      <c r="A24">
        <v>2109</v>
      </c>
      <c r="B24" t="s">
        <v>78</v>
      </c>
      <c r="C24" t="s">
        <v>324</v>
      </c>
      <c r="D24" t="s">
        <v>367</v>
      </c>
      <c r="E24" t="s">
        <v>368</v>
      </c>
      <c r="F24">
        <v>100</v>
      </c>
      <c r="G24">
        <v>3</v>
      </c>
      <c r="H24">
        <v>0</v>
      </c>
      <c r="I24" s="15">
        <f>+F24/G24</f>
        <v>33.333333333333336</v>
      </c>
      <c r="J24">
        <v>29.84</v>
      </c>
      <c r="K24">
        <v>13</v>
      </c>
      <c r="L24">
        <v>11.7</v>
      </c>
      <c r="P24" t="s">
        <v>367</v>
      </c>
      <c r="Q24" s="11">
        <f>+AVERAGEIFS(I:I,D:D,P24)</f>
        <v>28.224653769841268</v>
      </c>
      <c r="R24" s="13">
        <f>+I24/Q24-1</f>
        <v>0.18100061049998839</v>
      </c>
    </row>
    <row r="25" spans="1:18" hidden="1" x14ac:dyDescent="0.25">
      <c r="A25">
        <v>2087</v>
      </c>
      <c r="B25" t="s">
        <v>36</v>
      </c>
      <c r="C25" t="s">
        <v>13</v>
      </c>
      <c r="D25" t="s">
        <v>32</v>
      </c>
      <c r="E25" t="s">
        <v>33</v>
      </c>
      <c r="F25">
        <v>217</v>
      </c>
      <c r="G25">
        <v>7</v>
      </c>
      <c r="H25">
        <v>0</v>
      </c>
      <c r="I25" s="12">
        <f>+F25/G25</f>
        <v>31</v>
      </c>
      <c r="J25">
        <v>29.46</v>
      </c>
      <c r="K25">
        <v>6</v>
      </c>
      <c r="L25">
        <v>5.2</v>
      </c>
      <c r="P25" t="s">
        <v>32</v>
      </c>
      <c r="Q25" s="11">
        <f>+AVERAGEIFS(I:I,D:D,P25)</f>
        <v>30.626666666666665</v>
      </c>
      <c r="R25" s="13">
        <f>+I25/Q25-1</f>
        <v>1.2189812799303423E-2</v>
      </c>
    </row>
    <row r="26" spans="1:18" hidden="1" x14ac:dyDescent="0.25">
      <c r="A26">
        <v>2059</v>
      </c>
      <c r="B26" t="s">
        <v>24</v>
      </c>
      <c r="C26" t="s">
        <v>13</v>
      </c>
      <c r="D26" t="s">
        <v>37</v>
      </c>
      <c r="E26" t="s">
        <v>38</v>
      </c>
      <c r="F26">
        <v>50.8</v>
      </c>
      <c r="G26">
        <v>4</v>
      </c>
      <c r="H26">
        <v>0</v>
      </c>
      <c r="I26" s="12">
        <f>+F26/G26</f>
        <v>12.7</v>
      </c>
      <c r="J26">
        <v>12.7</v>
      </c>
      <c r="K26">
        <v>1</v>
      </c>
      <c r="L26">
        <v>0</v>
      </c>
      <c r="P26" t="s">
        <v>37</v>
      </c>
      <c r="Q26" s="11">
        <f>+AVERAGEIFS(I:I,D:D,P26)</f>
        <v>12.7</v>
      </c>
      <c r="R26" s="13">
        <f>+I26/Q26-1</f>
        <v>0</v>
      </c>
    </row>
    <row r="27" spans="1:18" hidden="1" x14ac:dyDescent="0.25">
      <c r="A27">
        <v>2063</v>
      </c>
      <c r="B27" t="s">
        <v>20</v>
      </c>
      <c r="C27" t="s">
        <v>13</v>
      </c>
      <c r="D27" t="s">
        <v>39</v>
      </c>
      <c r="E27" t="s">
        <v>40</v>
      </c>
      <c r="F27">
        <v>12.6</v>
      </c>
      <c r="G27">
        <v>1</v>
      </c>
      <c r="H27">
        <v>0</v>
      </c>
      <c r="I27" s="12">
        <f>+F27/G27</f>
        <v>12.6</v>
      </c>
      <c r="J27">
        <v>12.6</v>
      </c>
      <c r="K27">
        <v>1</v>
      </c>
      <c r="L27">
        <v>0</v>
      </c>
      <c r="P27" t="s">
        <v>39</v>
      </c>
      <c r="Q27" s="11">
        <f>+AVERAGEIFS(I:I,D:D,P27)</f>
        <v>12.6</v>
      </c>
      <c r="R27" s="13">
        <f>+I27/Q27-1</f>
        <v>0</v>
      </c>
    </row>
    <row r="28" spans="1:18" hidden="1" x14ac:dyDescent="0.25">
      <c r="A28">
        <v>2096</v>
      </c>
      <c r="B28" t="s">
        <v>23</v>
      </c>
      <c r="C28" t="s">
        <v>13</v>
      </c>
      <c r="D28" t="s">
        <v>41</v>
      </c>
      <c r="E28" t="s">
        <v>42</v>
      </c>
      <c r="F28">
        <v>16.8</v>
      </c>
      <c r="G28">
        <v>2</v>
      </c>
      <c r="H28">
        <v>0</v>
      </c>
      <c r="I28" s="12">
        <f>+F28/G28</f>
        <v>8.4</v>
      </c>
      <c r="J28">
        <v>8.4</v>
      </c>
      <c r="K28">
        <v>1</v>
      </c>
      <c r="L28">
        <v>0</v>
      </c>
      <c r="P28" t="s">
        <v>41</v>
      </c>
      <c r="Q28" s="11">
        <f>+AVERAGEIFS(I:I,D:D,P28)</f>
        <v>8.4</v>
      </c>
      <c r="R28" s="13">
        <f>+I28/Q28-1</f>
        <v>0</v>
      </c>
    </row>
    <row r="29" spans="1:18" hidden="1" x14ac:dyDescent="0.25">
      <c r="A29">
        <v>2069</v>
      </c>
      <c r="B29" t="s">
        <v>20</v>
      </c>
      <c r="C29" t="s">
        <v>13</v>
      </c>
      <c r="D29" t="s">
        <v>43</v>
      </c>
      <c r="E29" t="s">
        <v>44</v>
      </c>
      <c r="F29">
        <v>16.8</v>
      </c>
      <c r="G29">
        <v>1</v>
      </c>
      <c r="H29">
        <v>0</v>
      </c>
      <c r="I29" s="12">
        <f>+F29/G29</f>
        <v>16.8</v>
      </c>
      <c r="J29">
        <v>16.670000000000002</v>
      </c>
      <c r="K29">
        <v>4</v>
      </c>
      <c r="L29">
        <v>0.8</v>
      </c>
      <c r="P29" t="s">
        <v>43</v>
      </c>
      <c r="Q29" s="11">
        <f>+AVERAGEIFS(I:I,D:D,P29)</f>
        <v>16.62222222222222</v>
      </c>
      <c r="R29" s="13">
        <f>+I29/Q29-1</f>
        <v>1.0695187165775666E-2</v>
      </c>
    </row>
    <row r="30" spans="1:18" hidden="1" x14ac:dyDescent="0.25">
      <c r="A30">
        <v>2095</v>
      </c>
      <c r="B30" t="s">
        <v>23</v>
      </c>
      <c r="C30" t="s">
        <v>13</v>
      </c>
      <c r="D30" t="s">
        <v>43</v>
      </c>
      <c r="E30" t="s">
        <v>44</v>
      </c>
      <c r="F30">
        <v>16.600000000000001</v>
      </c>
      <c r="G30">
        <v>1</v>
      </c>
      <c r="H30">
        <v>0</v>
      </c>
      <c r="I30" s="12">
        <f>+F30/G30</f>
        <v>16.600000000000001</v>
      </c>
      <c r="J30">
        <v>16.670000000000002</v>
      </c>
      <c r="K30">
        <v>4</v>
      </c>
      <c r="L30">
        <v>-0.4</v>
      </c>
      <c r="P30" t="s">
        <v>43</v>
      </c>
      <c r="Q30" s="11">
        <f>+AVERAGEIFS(I:I,D:D,P30)</f>
        <v>16.62222222222222</v>
      </c>
      <c r="R30" s="13">
        <f>+I30/Q30-1</f>
        <v>-1.3368983957217084E-3</v>
      </c>
    </row>
    <row r="31" spans="1:18" hidden="1" x14ac:dyDescent="0.25">
      <c r="A31">
        <v>2058</v>
      </c>
      <c r="B31" t="s">
        <v>24</v>
      </c>
      <c r="C31" t="s">
        <v>13</v>
      </c>
      <c r="D31" t="s">
        <v>43</v>
      </c>
      <c r="E31" t="s">
        <v>44</v>
      </c>
      <c r="F31">
        <v>16.399999999999999</v>
      </c>
      <c r="G31">
        <v>1</v>
      </c>
      <c r="H31">
        <v>0</v>
      </c>
      <c r="I31" s="12">
        <f>+F31/G31</f>
        <v>16.399999999999999</v>
      </c>
      <c r="J31">
        <v>16.670000000000002</v>
      </c>
      <c r="K31">
        <v>4</v>
      </c>
      <c r="L31">
        <v>-1.6</v>
      </c>
      <c r="P31" t="s">
        <v>43</v>
      </c>
      <c r="Q31" s="11">
        <f>+AVERAGEIFS(I:I,D:D,P31)</f>
        <v>16.62222222222222</v>
      </c>
      <c r="R31" s="13">
        <f>+I31/Q31-1</f>
        <v>-1.3368983957219194E-2</v>
      </c>
    </row>
    <row r="32" spans="1:18" hidden="1" x14ac:dyDescent="0.25">
      <c r="A32">
        <v>2103</v>
      </c>
      <c r="B32" t="s">
        <v>25</v>
      </c>
      <c r="C32" t="s">
        <v>13</v>
      </c>
      <c r="D32" t="s">
        <v>43</v>
      </c>
      <c r="E32" t="s">
        <v>44</v>
      </c>
      <c r="F32">
        <v>50.2</v>
      </c>
      <c r="G32">
        <v>3</v>
      </c>
      <c r="H32">
        <v>0</v>
      </c>
      <c r="I32" s="12">
        <f>+F32/G32</f>
        <v>16.733333333333334</v>
      </c>
      <c r="J32">
        <v>16.670000000000002</v>
      </c>
      <c r="K32">
        <v>4</v>
      </c>
      <c r="L32">
        <v>0.4</v>
      </c>
      <c r="P32" t="s">
        <v>43</v>
      </c>
      <c r="Q32" s="11">
        <f>+AVERAGEIFS(I:I,D:D,P32)</f>
        <v>16.62222222222222</v>
      </c>
      <c r="R32" s="13">
        <f>+I32/Q32-1</f>
        <v>6.6844919786097634E-3</v>
      </c>
    </row>
    <row r="33" spans="1:18" hidden="1" x14ac:dyDescent="0.25">
      <c r="A33">
        <v>2210</v>
      </c>
      <c r="B33" t="s">
        <v>69</v>
      </c>
      <c r="C33" t="s">
        <v>324</v>
      </c>
      <c r="D33" t="s">
        <v>367</v>
      </c>
      <c r="E33" t="s">
        <v>368</v>
      </c>
      <c r="F33">
        <v>157.74</v>
      </c>
      <c r="G33">
        <v>5</v>
      </c>
      <c r="H33">
        <v>0</v>
      </c>
      <c r="I33" s="15">
        <f>+F33/G33</f>
        <v>31.548000000000002</v>
      </c>
      <c r="J33">
        <v>29.84</v>
      </c>
      <c r="K33">
        <v>13</v>
      </c>
      <c r="L33">
        <v>5.7</v>
      </c>
      <c r="P33" t="s">
        <v>367</v>
      </c>
      <c r="Q33" s="11">
        <f>+AVERAGEIFS(I:I,D:D,P33)</f>
        <v>28.224653769841268</v>
      </c>
      <c r="R33" s="13">
        <f>+I33/Q33-1</f>
        <v>0.11774621780160888</v>
      </c>
    </row>
    <row r="34" spans="1:18" hidden="1" x14ac:dyDescent="0.25">
      <c r="A34">
        <v>2114</v>
      </c>
      <c r="B34" t="s">
        <v>206</v>
      </c>
      <c r="C34" t="s">
        <v>324</v>
      </c>
      <c r="D34" t="s">
        <v>367</v>
      </c>
      <c r="E34" t="s">
        <v>368</v>
      </c>
      <c r="F34">
        <v>64</v>
      </c>
      <c r="G34">
        <v>2</v>
      </c>
      <c r="H34">
        <v>0</v>
      </c>
      <c r="I34" s="15">
        <f>+F34/G34</f>
        <v>32</v>
      </c>
      <c r="J34">
        <v>29.84</v>
      </c>
      <c r="K34">
        <v>13</v>
      </c>
      <c r="L34">
        <v>7.2</v>
      </c>
      <c r="P34" t="s">
        <v>367</v>
      </c>
      <c r="Q34" s="11">
        <f>+AVERAGEIFS(I:I,D:D,P34)</f>
        <v>28.224653769841268</v>
      </c>
      <c r="R34" s="13">
        <f>+I34/Q34-1</f>
        <v>0.13376058607998864</v>
      </c>
    </row>
    <row r="35" spans="1:18" hidden="1" x14ac:dyDescent="0.25">
      <c r="A35" s="3">
        <v>2178</v>
      </c>
      <c r="B35" s="3" t="s">
        <v>87</v>
      </c>
      <c r="C35" s="3" t="s">
        <v>324</v>
      </c>
      <c r="D35" s="3" t="s">
        <v>367</v>
      </c>
      <c r="E35" s="3" t="s">
        <v>368</v>
      </c>
      <c r="F35" s="3">
        <v>180.9</v>
      </c>
      <c r="G35" s="3">
        <v>5</v>
      </c>
      <c r="H35" s="3">
        <v>0</v>
      </c>
      <c r="I35" s="15">
        <f>+F35/G35</f>
        <v>36.18</v>
      </c>
      <c r="J35" s="3">
        <v>29.84</v>
      </c>
      <c r="K35" s="3">
        <v>13</v>
      </c>
      <c r="L35" s="3">
        <v>21.2</v>
      </c>
      <c r="P35" s="3" t="s">
        <v>367</v>
      </c>
      <c r="Q35" s="11">
        <f>+AVERAGEIFS(I:I,D:D,P35)</f>
        <v>28.224653769841268</v>
      </c>
      <c r="R35" s="13">
        <f>+I35/Q35-1</f>
        <v>0.28185806263668733</v>
      </c>
    </row>
    <row r="36" spans="1:18" hidden="1" x14ac:dyDescent="0.25">
      <c r="A36" s="4">
        <v>2138</v>
      </c>
      <c r="B36" s="4" t="s">
        <v>93</v>
      </c>
      <c r="C36" s="4" t="s">
        <v>324</v>
      </c>
      <c r="D36" s="4" t="s">
        <v>367</v>
      </c>
      <c r="E36" s="4" t="s">
        <v>368</v>
      </c>
      <c r="F36" s="4">
        <v>2</v>
      </c>
      <c r="G36" s="4">
        <v>2</v>
      </c>
      <c r="H36" s="4">
        <v>0</v>
      </c>
      <c r="I36" s="15">
        <f>+F36/G36</f>
        <v>1</v>
      </c>
      <c r="J36" s="2">
        <v>29.84</v>
      </c>
      <c r="K36" s="2">
        <v>13</v>
      </c>
      <c r="L36" s="2">
        <v>-96.6</v>
      </c>
      <c r="M36" t="s">
        <v>407</v>
      </c>
      <c r="P36" s="4" t="s">
        <v>367</v>
      </c>
      <c r="Q36" s="11">
        <f>+AVERAGEIFS(I:I,D:D,P36)</f>
        <v>28.224653769841268</v>
      </c>
      <c r="R36" s="13">
        <f>+I36/Q36-1</f>
        <v>-0.96456998168500041</v>
      </c>
    </row>
    <row r="37" spans="1:18" hidden="1" x14ac:dyDescent="0.25">
      <c r="A37" s="3">
        <v>1926</v>
      </c>
      <c r="B37" s="3" t="s">
        <v>77</v>
      </c>
      <c r="C37" s="3" t="s">
        <v>371</v>
      </c>
      <c r="D37" s="3" t="s">
        <v>367</v>
      </c>
      <c r="E37" s="3" t="s">
        <v>368</v>
      </c>
      <c r="F37" s="3">
        <v>103</v>
      </c>
      <c r="G37" s="3">
        <v>3</v>
      </c>
      <c r="H37" s="3">
        <v>0</v>
      </c>
      <c r="I37" s="15">
        <f>+F37/G37</f>
        <v>34.333333333333336</v>
      </c>
      <c r="J37" s="3">
        <v>29.83</v>
      </c>
      <c r="K37" s="3">
        <v>11</v>
      </c>
      <c r="L37" s="3">
        <v>15.1</v>
      </c>
      <c r="P37" s="3" t="s">
        <v>367</v>
      </c>
      <c r="Q37" s="11">
        <f>+AVERAGEIFS(I:I,D:D,P37)</f>
        <v>28.224653769841268</v>
      </c>
      <c r="R37" s="13">
        <f>+I37/Q37-1</f>
        <v>0.21643062881498798</v>
      </c>
    </row>
    <row r="38" spans="1:18" hidden="1" x14ac:dyDescent="0.25">
      <c r="A38" s="4">
        <v>1869</v>
      </c>
      <c r="B38" s="4" t="s">
        <v>16</v>
      </c>
      <c r="C38" s="4" t="s">
        <v>371</v>
      </c>
      <c r="D38" s="4" t="s">
        <v>367</v>
      </c>
      <c r="E38" s="4" t="s">
        <v>368</v>
      </c>
      <c r="F38" s="4">
        <v>2.7</v>
      </c>
      <c r="G38" s="4">
        <v>1</v>
      </c>
      <c r="H38" s="4">
        <v>0</v>
      </c>
      <c r="I38" s="15">
        <f>+F38/G38</f>
        <v>2.7</v>
      </c>
      <c r="J38" s="2">
        <v>29.83</v>
      </c>
      <c r="K38" s="2">
        <v>11</v>
      </c>
      <c r="L38" s="2">
        <v>-90.9</v>
      </c>
      <c r="M38" t="s">
        <v>407</v>
      </c>
      <c r="P38" s="4" t="s">
        <v>367</v>
      </c>
      <c r="Q38" s="11">
        <f>+AVERAGEIFS(I:I,D:D,P38)</f>
        <v>28.224653769841268</v>
      </c>
      <c r="R38" s="13">
        <f>+I38/Q38-1</f>
        <v>-0.90433895054950098</v>
      </c>
    </row>
    <row r="39" spans="1:18" hidden="1" x14ac:dyDescent="0.25">
      <c r="A39">
        <v>2097</v>
      </c>
      <c r="B39" t="s">
        <v>23</v>
      </c>
      <c r="C39" t="s">
        <v>13</v>
      </c>
      <c r="D39" t="s">
        <v>48</v>
      </c>
      <c r="E39" t="s">
        <v>49</v>
      </c>
      <c r="F39">
        <v>13</v>
      </c>
      <c r="G39">
        <v>1</v>
      </c>
      <c r="H39">
        <v>0</v>
      </c>
      <c r="I39" s="12">
        <f>+F39/G39</f>
        <v>13</v>
      </c>
      <c r="J39">
        <v>12.2</v>
      </c>
      <c r="K39">
        <v>2</v>
      </c>
      <c r="L39">
        <v>6.6</v>
      </c>
      <c r="P39" t="s">
        <v>48</v>
      </c>
      <c r="Q39" s="11">
        <f>+AVERAGEIFS(I:I,D:D,P39)</f>
        <v>12.879999999999999</v>
      </c>
      <c r="R39" s="13">
        <f>+I39/Q39-1</f>
        <v>9.3167701863354768E-3</v>
      </c>
    </row>
    <row r="40" spans="1:18" hidden="1" x14ac:dyDescent="0.25">
      <c r="A40" s="6">
        <v>1914</v>
      </c>
      <c r="B40" s="6" t="s">
        <v>215</v>
      </c>
      <c r="C40" s="6" t="s">
        <v>371</v>
      </c>
      <c r="D40" s="6" t="s">
        <v>367</v>
      </c>
      <c r="E40" s="6" t="s">
        <v>368</v>
      </c>
      <c r="F40" s="6">
        <v>124.3</v>
      </c>
      <c r="G40" s="6">
        <v>5</v>
      </c>
      <c r="H40" s="6">
        <v>0</v>
      </c>
      <c r="I40" s="15">
        <f>+F40/G40</f>
        <v>24.86</v>
      </c>
      <c r="J40" s="3">
        <v>29.83</v>
      </c>
      <c r="K40" s="3">
        <v>11</v>
      </c>
      <c r="L40" s="3">
        <v>-16.7</v>
      </c>
      <c r="P40" s="6" t="s">
        <v>367</v>
      </c>
      <c r="Q40" s="11">
        <f>+AVERAGEIFS(I:I,D:D,P40)</f>
        <v>28.224653769841268</v>
      </c>
      <c r="R40" s="13">
        <f>+I40/Q40-1</f>
        <v>-0.11920974468910872</v>
      </c>
    </row>
    <row r="41" spans="1:18" hidden="1" x14ac:dyDescent="0.25">
      <c r="A41" s="3">
        <v>1931</v>
      </c>
      <c r="B41" s="3" t="s">
        <v>18</v>
      </c>
      <c r="C41" s="3" t="s">
        <v>371</v>
      </c>
      <c r="D41" s="3" t="s">
        <v>367</v>
      </c>
      <c r="E41" s="3" t="s">
        <v>368</v>
      </c>
      <c r="F41" s="3">
        <v>182.9</v>
      </c>
      <c r="G41" s="3">
        <v>5</v>
      </c>
      <c r="H41" s="3">
        <v>0</v>
      </c>
      <c r="I41" s="15">
        <f>+F41/G41</f>
        <v>36.58</v>
      </c>
      <c r="J41" s="3">
        <v>29.83</v>
      </c>
      <c r="K41" s="3">
        <v>11</v>
      </c>
      <c r="L41" s="3">
        <v>22.6</v>
      </c>
      <c r="P41" s="3" t="s">
        <v>367</v>
      </c>
      <c r="Q41" s="11">
        <f>+AVERAGEIFS(I:I,D:D,P41)</f>
        <v>28.224653769841268</v>
      </c>
      <c r="R41" s="13">
        <f>+I41/Q41-1</f>
        <v>0.29603006996268699</v>
      </c>
    </row>
    <row r="42" spans="1:18" hidden="1" x14ac:dyDescent="0.25">
      <c r="A42">
        <v>1923</v>
      </c>
      <c r="B42" t="s">
        <v>87</v>
      </c>
      <c r="C42" t="s">
        <v>371</v>
      </c>
      <c r="D42" t="s">
        <v>367</v>
      </c>
      <c r="E42" t="s">
        <v>368</v>
      </c>
      <c r="F42">
        <v>228.43</v>
      </c>
      <c r="G42">
        <v>7</v>
      </c>
      <c r="H42">
        <v>0</v>
      </c>
      <c r="I42" s="15">
        <f>+F42/G42</f>
        <v>32.632857142857141</v>
      </c>
      <c r="J42">
        <v>29.83</v>
      </c>
      <c r="K42">
        <v>11</v>
      </c>
      <c r="L42">
        <v>9.4</v>
      </c>
      <c r="P42" t="s">
        <v>367</v>
      </c>
      <c r="Q42" s="11">
        <f>+AVERAGEIFS(I:I,D:D,P42)</f>
        <v>28.224653769841268</v>
      </c>
      <c r="R42" s="13">
        <f>+I42/Q42-1</f>
        <v>0.15618272624219554</v>
      </c>
    </row>
    <row r="43" spans="1:18" hidden="1" x14ac:dyDescent="0.25">
      <c r="A43" s="2">
        <v>2191</v>
      </c>
      <c r="B43" s="2" t="s">
        <v>327</v>
      </c>
      <c r="C43" s="2" t="s">
        <v>324</v>
      </c>
      <c r="D43" s="2" t="s">
        <v>359</v>
      </c>
      <c r="E43" s="2" t="s">
        <v>360</v>
      </c>
      <c r="F43" s="2">
        <v>105.85</v>
      </c>
      <c r="G43" s="2">
        <v>3</v>
      </c>
      <c r="H43" s="2">
        <v>0</v>
      </c>
      <c r="I43" s="15">
        <f>+F43/G43</f>
        <v>35.283333333333331</v>
      </c>
      <c r="J43" s="2">
        <v>27.14</v>
      </c>
      <c r="K43" s="2">
        <v>9</v>
      </c>
      <c r="L43" s="2">
        <v>30</v>
      </c>
      <c r="P43" s="2" t="s">
        <v>359</v>
      </c>
      <c r="Q43" s="11">
        <f>+AVERAGEIFS(I:I,D:D,P43)</f>
        <v>27.328131313131312</v>
      </c>
      <c r="R43" s="13">
        <f>+I43/Q43-1</f>
        <v>0.2910993777455797</v>
      </c>
    </row>
    <row r="44" spans="1:18" hidden="1" x14ac:dyDescent="0.25">
      <c r="A44" s="4">
        <v>2264</v>
      </c>
      <c r="B44" s="4" t="s">
        <v>208</v>
      </c>
      <c r="C44" s="4" t="s">
        <v>324</v>
      </c>
      <c r="D44" s="4" t="s">
        <v>359</v>
      </c>
      <c r="E44" s="4" t="s">
        <v>360</v>
      </c>
      <c r="F44" s="4">
        <v>37.200000000000003</v>
      </c>
      <c r="G44" s="4">
        <v>2</v>
      </c>
      <c r="H44" s="4">
        <v>0</v>
      </c>
      <c r="I44" s="15">
        <f>+F44/G44</f>
        <v>18.600000000000001</v>
      </c>
      <c r="J44" s="2">
        <v>27.14</v>
      </c>
      <c r="K44" s="2">
        <v>9</v>
      </c>
      <c r="L44" s="2">
        <v>-31.5</v>
      </c>
      <c r="P44" s="4" t="s">
        <v>359</v>
      </c>
      <c r="Q44" s="11">
        <f>+AVERAGEIFS(I:I,D:D,P44)</f>
        <v>27.328131313131312</v>
      </c>
      <c r="R44" s="13">
        <f>+I44/Q44-1</f>
        <v>-0.31938266151909911</v>
      </c>
    </row>
    <row r="45" spans="1:18" hidden="1" x14ac:dyDescent="0.25">
      <c r="A45">
        <v>2050</v>
      </c>
      <c r="B45" t="s">
        <v>12</v>
      </c>
      <c r="C45" t="s">
        <v>13</v>
      </c>
      <c r="D45" t="s">
        <v>53</v>
      </c>
      <c r="E45" t="s">
        <v>54</v>
      </c>
      <c r="F45">
        <v>175.8</v>
      </c>
      <c r="G45">
        <v>10</v>
      </c>
      <c r="H45">
        <v>0</v>
      </c>
      <c r="I45" s="12">
        <f>+F45/G45</f>
        <v>17.580000000000002</v>
      </c>
      <c r="J45">
        <v>18.48</v>
      </c>
      <c r="K45">
        <v>6</v>
      </c>
      <c r="L45">
        <v>-4.8</v>
      </c>
      <c r="P45" t="s">
        <v>53</v>
      </c>
      <c r="Q45" s="11">
        <f>+AVERAGEIFS(I:I,D:D,P45)</f>
        <v>18.925811965811967</v>
      </c>
      <c r="R45" s="13">
        <f>+I45/Q45-1</f>
        <v>-7.1109866685935108E-2</v>
      </c>
    </row>
    <row r="46" spans="1:18" hidden="1" x14ac:dyDescent="0.25">
      <c r="A46">
        <v>2035</v>
      </c>
      <c r="B46" t="s">
        <v>16</v>
      </c>
      <c r="C46" t="s">
        <v>13</v>
      </c>
      <c r="D46" t="s">
        <v>53</v>
      </c>
      <c r="E46" t="s">
        <v>54</v>
      </c>
      <c r="F46">
        <v>107.4</v>
      </c>
      <c r="G46">
        <v>6</v>
      </c>
      <c r="H46">
        <v>0</v>
      </c>
      <c r="I46" s="12">
        <f>+F46/G46</f>
        <v>17.900000000000002</v>
      </c>
      <c r="J46">
        <v>18.48</v>
      </c>
      <c r="K46">
        <v>6</v>
      </c>
      <c r="L46">
        <v>-3.1</v>
      </c>
      <c r="P46" t="s">
        <v>53</v>
      </c>
      <c r="Q46" s="11">
        <f>+AVERAGEIFS(I:I,D:D,P46)</f>
        <v>18.925811965811967</v>
      </c>
      <c r="R46" s="13">
        <f>+I46/Q46-1</f>
        <v>-5.4201741392391312E-2</v>
      </c>
    </row>
    <row r="47" spans="1:18" hidden="1" x14ac:dyDescent="0.25">
      <c r="A47">
        <v>2039</v>
      </c>
      <c r="B47" t="s">
        <v>17</v>
      </c>
      <c r="C47" t="s">
        <v>13</v>
      </c>
      <c r="D47" t="s">
        <v>53</v>
      </c>
      <c r="E47" t="s">
        <v>54</v>
      </c>
      <c r="F47">
        <v>105.2</v>
      </c>
      <c r="G47">
        <v>6</v>
      </c>
      <c r="H47">
        <v>0</v>
      </c>
      <c r="I47" s="12">
        <f>+F47/G47</f>
        <v>17.533333333333335</v>
      </c>
      <c r="J47">
        <v>18.48</v>
      </c>
      <c r="K47">
        <v>6</v>
      </c>
      <c r="L47">
        <v>-5.0999999999999996</v>
      </c>
      <c r="P47" t="s">
        <v>53</v>
      </c>
      <c r="Q47" s="11">
        <f>+AVERAGEIFS(I:I,D:D,P47)</f>
        <v>18.925811965811967</v>
      </c>
      <c r="R47" s="13">
        <f>+I47/Q47-1</f>
        <v>-7.3575634957910307E-2</v>
      </c>
    </row>
    <row r="48" spans="1:18" hidden="1" x14ac:dyDescent="0.25">
      <c r="A48" s="8">
        <v>2071</v>
      </c>
      <c r="B48" s="9">
        <v>46093</v>
      </c>
      <c r="C48" s="8" t="s">
        <v>13</v>
      </c>
      <c r="D48" s="8" t="s">
        <v>55</v>
      </c>
      <c r="E48" s="8" t="s">
        <v>56</v>
      </c>
      <c r="F48" s="8">
        <v>35.1</v>
      </c>
      <c r="G48" s="8">
        <v>1</v>
      </c>
      <c r="H48" s="8">
        <v>0</v>
      </c>
      <c r="I48" s="15">
        <f>+F48/G48</f>
        <v>35.1</v>
      </c>
      <c r="J48" s="8">
        <v>28.92</v>
      </c>
      <c r="K48" s="8">
        <v>8</v>
      </c>
      <c r="L48" s="8">
        <v>21.4</v>
      </c>
      <c r="P48" s="8" t="s">
        <v>55</v>
      </c>
      <c r="Q48" s="11">
        <f>+AVERAGEIFS(I:I,D:D,P48)</f>
        <v>29.118333333333332</v>
      </c>
      <c r="R48" s="13">
        <f>+I48/Q48-1</f>
        <v>0.20542613473756521</v>
      </c>
    </row>
    <row r="49" spans="1:18" hidden="1" x14ac:dyDescent="0.25">
      <c r="A49">
        <v>2045</v>
      </c>
      <c r="B49" t="s">
        <v>19</v>
      </c>
      <c r="C49" t="s">
        <v>13</v>
      </c>
      <c r="D49" t="s">
        <v>53</v>
      </c>
      <c r="E49" t="s">
        <v>54</v>
      </c>
      <c r="F49">
        <v>140.80000000000001</v>
      </c>
      <c r="G49">
        <v>8</v>
      </c>
      <c r="H49">
        <v>0</v>
      </c>
      <c r="I49" s="12">
        <f>+F49/G49</f>
        <v>17.600000000000001</v>
      </c>
      <c r="J49">
        <v>18.48</v>
      </c>
      <c r="K49">
        <v>6</v>
      </c>
      <c r="L49">
        <v>-4.7</v>
      </c>
      <c r="P49" t="s">
        <v>53</v>
      </c>
      <c r="Q49" s="11">
        <f>+AVERAGEIFS(I:I,D:D,P49)</f>
        <v>18.925811965811967</v>
      </c>
      <c r="R49" s="13">
        <f>+I49/Q49-1</f>
        <v>-7.0053108855088642E-2</v>
      </c>
    </row>
    <row r="50" spans="1:18" hidden="1" x14ac:dyDescent="0.25">
      <c r="A50">
        <v>2089</v>
      </c>
      <c r="B50" t="s">
        <v>36</v>
      </c>
      <c r="C50" t="s">
        <v>13</v>
      </c>
      <c r="D50" t="s">
        <v>53</v>
      </c>
      <c r="E50" t="s">
        <v>54</v>
      </c>
      <c r="F50">
        <v>232.2</v>
      </c>
      <c r="G50">
        <v>13</v>
      </c>
      <c r="H50">
        <v>0</v>
      </c>
      <c r="I50" s="12">
        <f>+F50/G50</f>
        <v>17.861538461538462</v>
      </c>
      <c r="J50">
        <v>18.48</v>
      </c>
      <c r="K50">
        <v>6</v>
      </c>
      <c r="L50">
        <v>-3.3</v>
      </c>
      <c r="P50" t="s">
        <v>53</v>
      </c>
      <c r="Q50" s="11">
        <f>+AVERAGEIFS(I:I,D:D,P50)</f>
        <v>18.925811965811967</v>
      </c>
      <c r="R50" s="13">
        <f>+I50/Q50-1</f>
        <v>-5.6233967990173106E-2</v>
      </c>
    </row>
    <row r="51" spans="1:18" hidden="1" x14ac:dyDescent="0.25">
      <c r="A51">
        <v>2055</v>
      </c>
      <c r="B51" t="s">
        <v>24</v>
      </c>
      <c r="C51" t="s">
        <v>13</v>
      </c>
      <c r="D51" t="s">
        <v>55</v>
      </c>
      <c r="E51" t="s">
        <v>56</v>
      </c>
      <c r="F51">
        <v>54.2</v>
      </c>
      <c r="G51">
        <v>2</v>
      </c>
      <c r="H51">
        <v>0</v>
      </c>
      <c r="I51" s="12">
        <f>+F51/G51</f>
        <v>27.1</v>
      </c>
      <c r="J51">
        <v>28.92</v>
      </c>
      <c r="K51">
        <v>8</v>
      </c>
      <c r="L51">
        <v>-6.3</v>
      </c>
      <c r="P51" t="s">
        <v>55</v>
      </c>
      <c r="Q51" s="11">
        <f>+AVERAGEIFS(I:I,D:D,P51)</f>
        <v>29.118333333333332</v>
      </c>
      <c r="R51" s="13">
        <f>+I51/Q51-1</f>
        <v>-6.9314864632819995E-2</v>
      </c>
    </row>
    <row r="52" spans="1:18" hidden="1" x14ac:dyDescent="0.25">
      <c r="A52" s="5">
        <v>2346</v>
      </c>
      <c r="B52" s="5" t="s">
        <v>117</v>
      </c>
      <c r="C52" s="5" t="s">
        <v>237</v>
      </c>
      <c r="D52" s="5" t="s">
        <v>253</v>
      </c>
      <c r="E52" s="5" t="s">
        <v>254</v>
      </c>
      <c r="F52" s="5">
        <v>76.599999999999994</v>
      </c>
      <c r="G52" s="5">
        <v>3</v>
      </c>
      <c r="H52" s="5">
        <v>0</v>
      </c>
      <c r="I52" s="15">
        <f>+F52/G52</f>
        <v>25.533333333333331</v>
      </c>
      <c r="J52">
        <v>29.34</v>
      </c>
      <c r="K52">
        <v>3</v>
      </c>
      <c r="L52">
        <v>-13</v>
      </c>
      <c r="P52" s="5" t="s">
        <v>253</v>
      </c>
      <c r="Q52" s="11">
        <f>+AVERAGEIFS(I:I,D:D,P52)</f>
        <v>29.977777777777778</v>
      </c>
      <c r="R52" s="13">
        <f>+I52/Q52-1</f>
        <v>-0.14825796886582665</v>
      </c>
    </row>
    <row r="53" spans="1:18" hidden="1" x14ac:dyDescent="0.25">
      <c r="A53">
        <v>2105</v>
      </c>
      <c r="B53" t="s">
        <v>25</v>
      </c>
      <c r="C53" t="s">
        <v>13</v>
      </c>
      <c r="D53" t="s">
        <v>55</v>
      </c>
      <c r="E53" t="s">
        <v>56</v>
      </c>
      <c r="F53">
        <v>58.33</v>
      </c>
      <c r="G53">
        <v>2</v>
      </c>
      <c r="H53">
        <v>0</v>
      </c>
      <c r="I53" s="12">
        <f>+F53/G53</f>
        <v>29.164999999999999</v>
      </c>
      <c r="J53">
        <v>28.92</v>
      </c>
      <c r="K53">
        <v>8</v>
      </c>
      <c r="L53">
        <v>0.9</v>
      </c>
      <c r="P53" t="s">
        <v>55</v>
      </c>
      <c r="Q53" s="11">
        <f>+AVERAGEIFS(I:I,D:D,P53)</f>
        <v>29.118333333333332</v>
      </c>
      <c r="R53" s="13">
        <f>+I53/Q53-1</f>
        <v>1.6026558296606819E-3</v>
      </c>
    </row>
    <row r="54" spans="1:18" hidden="1" x14ac:dyDescent="0.25">
      <c r="A54">
        <v>2100</v>
      </c>
      <c r="B54" t="s">
        <v>25</v>
      </c>
      <c r="C54" t="s">
        <v>13</v>
      </c>
      <c r="D54" t="s">
        <v>55</v>
      </c>
      <c r="E54" t="s">
        <v>56</v>
      </c>
      <c r="F54">
        <v>31.03</v>
      </c>
      <c r="G54">
        <v>1</v>
      </c>
      <c r="H54">
        <v>0</v>
      </c>
      <c r="I54" s="12">
        <f>+F54/G54</f>
        <v>31.03</v>
      </c>
      <c r="J54">
        <v>28.92</v>
      </c>
      <c r="K54">
        <v>8</v>
      </c>
      <c r="L54">
        <v>7.3</v>
      </c>
      <c r="P54" t="s">
        <v>55</v>
      </c>
      <c r="Q54" s="11">
        <f>+AVERAGEIFS(I:I,D:D,P54)</f>
        <v>29.118333333333332</v>
      </c>
      <c r="R54" s="13">
        <f>+I54/Q54-1</f>
        <v>6.5651651307881753E-2</v>
      </c>
    </row>
    <row r="55" spans="1:18" hidden="1" x14ac:dyDescent="0.25">
      <c r="A55">
        <v>2061</v>
      </c>
      <c r="B55" t="s">
        <v>52</v>
      </c>
      <c r="C55" t="s">
        <v>13</v>
      </c>
      <c r="D55" t="s">
        <v>55</v>
      </c>
      <c r="E55" t="s">
        <v>56</v>
      </c>
      <c r="F55">
        <v>26.1</v>
      </c>
      <c r="G55">
        <v>1</v>
      </c>
      <c r="H55">
        <v>0</v>
      </c>
      <c r="I55" s="12">
        <f>+F55/G55</f>
        <v>26.1</v>
      </c>
      <c r="J55">
        <v>28.92</v>
      </c>
      <c r="K55">
        <v>8</v>
      </c>
      <c r="L55">
        <v>-9.6999999999999993</v>
      </c>
      <c r="P55" t="s">
        <v>55</v>
      </c>
      <c r="Q55" s="11">
        <f>+AVERAGEIFS(I:I,D:D,P55)</f>
        <v>29.118333333333332</v>
      </c>
      <c r="R55" s="13">
        <f>+I55/Q55-1</f>
        <v>-0.10365748955411813</v>
      </c>
    </row>
    <row r="56" spans="1:18" hidden="1" x14ac:dyDescent="0.25">
      <c r="A56">
        <v>2044</v>
      </c>
      <c r="B56" t="s">
        <v>19</v>
      </c>
      <c r="C56" t="s">
        <v>13</v>
      </c>
      <c r="D56" t="s">
        <v>55</v>
      </c>
      <c r="E56" t="s">
        <v>56</v>
      </c>
      <c r="F56">
        <v>56.54</v>
      </c>
      <c r="G56">
        <v>2</v>
      </c>
      <c r="H56">
        <v>0</v>
      </c>
      <c r="I56" s="12">
        <f>+F56/G56</f>
        <v>28.27</v>
      </c>
      <c r="J56">
        <v>28.92</v>
      </c>
      <c r="K56">
        <v>8</v>
      </c>
      <c r="L56">
        <v>-2.2000000000000002</v>
      </c>
      <c r="P56" t="s">
        <v>55</v>
      </c>
      <c r="Q56" s="11">
        <f>+AVERAGEIFS(I:I,D:D,P56)</f>
        <v>29.118333333333332</v>
      </c>
      <c r="R56" s="13">
        <f>+I56/Q56-1</f>
        <v>-2.9133993474901199E-2</v>
      </c>
    </row>
    <row r="57" spans="1:18" hidden="1" x14ac:dyDescent="0.25">
      <c r="A57">
        <v>2082</v>
      </c>
      <c r="B57" t="s">
        <v>34</v>
      </c>
      <c r="C57" t="s">
        <v>13</v>
      </c>
      <c r="D57" t="s">
        <v>55</v>
      </c>
      <c r="E57" t="s">
        <v>56</v>
      </c>
      <c r="F57">
        <v>55.4</v>
      </c>
      <c r="G57">
        <v>2</v>
      </c>
      <c r="H57">
        <v>0</v>
      </c>
      <c r="I57" s="12">
        <f>+F57/G57</f>
        <v>27.7</v>
      </c>
      <c r="J57">
        <v>28.92</v>
      </c>
      <c r="K57">
        <v>8</v>
      </c>
      <c r="L57">
        <v>-4.2</v>
      </c>
      <c r="P57" t="s">
        <v>55</v>
      </c>
      <c r="Q57" s="11">
        <f>+AVERAGEIFS(I:I,D:D,P57)</f>
        <v>29.118333333333332</v>
      </c>
      <c r="R57" s="13">
        <f>+I57/Q57-1</f>
        <v>-4.8709289680041179E-2</v>
      </c>
    </row>
    <row r="58" spans="1:18" hidden="1" x14ac:dyDescent="0.25">
      <c r="A58">
        <v>2088</v>
      </c>
      <c r="B58" t="s">
        <v>36</v>
      </c>
      <c r="C58" t="s">
        <v>13</v>
      </c>
      <c r="D58" t="s">
        <v>55</v>
      </c>
      <c r="E58" t="s">
        <v>56</v>
      </c>
      <c r="F58">
        <v>30.3</v>
      </c>
      <c r="G58">
        <v>1</v>
      </c>
      <c r="H58">
        <v>0</v>
      </c>
      <c r="I58" s="12">
        <f>+F58/G58</f>
        <v>30.3</v>
      </c>
      <c r="J58">
        <v>28.92</v>
      </c>
      <c r="K58">
        <v>8</v>
      </c>
      <c r="L58">
        <v>4.8</v>
      </c>
      <c r="P58" t="s">
        <v>55</v>
      </c>
      <c r="Q58" s="11">
        <f>+AVERAGEIFS(I:I,D:D,P58)</f>
        <v>29.118333333333332</v>
      </c>
      <c r="R58" s="13">
        <f>+I58/Q58-1</f>
        <v>4.0581535115334022E-2</v>
      </c>
    </row>
    <row r="59" spans="1:18" hidden="1" x14ac:dyDescent="0.25">
      <c r="A59">
        <v>2051</v>
      </c>
      <c r="B59" t="s">
        <v>12</v>
      </c>
      <c r="C59" t="s">
        <v>13</v>
      </c>
      <c r="D59" t="s">
        <v>57</v>
      </c>
      <c r="E59" t="s">
        <v>58</v>
      </c>
      <c r="F59">
        <v>151.19999999999999</v>
      </c>
      <c r="G59">
        <v>12</v>
      </c>
      <c r="H59">
        <v>0</v>
      </c>
      <c r="I59" s="12">
        <f>+F59/G59</f>
        <v>12.6</v>
      </c>
      <c r="J59">
        <v>12.62</v>
      </c>
      <c r="K59">
        <v>6</v>
      </c>
      <c r="L59">
        <v>-0.2</v>
      </c>
      <c r="P59" t="s">
        <v>57</v>
      </c>
      <c r="Q59" s="11">
        <f>+AVERAGEIFS(I:I,D:D,P59)</f>
        <v>12.595138016105757</v>
      </c>
      <c r="R59" s="13">
        <f>+I59/Q59-1</f>
        <v>3.8602069211357559E-4</v>
      </c>
    </row>
    <row r="60" spans="1:18" hidden="1" x14ac:dyDescent="0.25">
      <c r="A60">
        <v>2036</v>
      </c>
      <c r="B60" t="s">
        <v>16</v>
      </c>
      <c r="C60" t="s">
        <v>13</v>
      </c>
      <c r="D60" t="s">
        <v>57</v>
      </c>
      <c r="E60" t="s">
        <v>58</v>
      </c>
      <c r="F60">
        <v>197</v>
      </c>
      <c r="G60">
        <v>15</v>
      </c>
      <c r="H60">
        <v>0</v>
      </c>
      <c r="I60" s="12">
        <f>+F60/G60</f>
        <v>13.133333333333333</v>
      </c>
      <c r="J60">
        <v>12.62</v>
      </c>
      <c r="K60">
        <v>6</v>
      </c>
      <c r="L60">
        <v>4</v>
      </c>
      <c r="P60" t="s">
        <v>57</v>
      </c>
      <c r="Q60" s="11">
        <f>+AVERAGEIFS(I:I,D:D,P60)</f>
        <v>12.595138016105757</v>
      </c>
      <c r="R60" s="13">
        <f>+I60/Q60-1</f>
        <v>4.2730402520351207E-2</v>
      </c>
    </row>
    <row r="61" spans="1:18" hidden="1" x14ac:dyDescent="0.25">
      <c r="A61">
        <v>2040</v>
      </c>
      <c r="B61" t="s">
        <v>17</v>
      </c>
      <c r="C61" t="s">
        <v>13</v>
      </c>
      <c r="D61" t="s">
        <v>57</v>
      </c>
      <c r="E61" t="s">
        <v>58</v>
      </c>
      <c r="F61">
        <v>200</v>
      </c>
      <c r="G61">
        <v>16</v>
      </c>
      <c r="H61">
        <v>0</v>
      </c>
      <c r="I61" s="12">
        <f>+F61/G61</f>
        <v>12.5</v>
      </c>
      <c r="J61">
        <v>12.62</v>
      </c>
      <c r="K61">
        <v>6</v>
      </c>
      <c r="L61">
        <v>-1</v>
      </c>
      <c r="P61" t="s">
        <v>57</v>
      </c>
      <c r="Q61" s="11">
        <f>+AVERAGEIFS(I:I,D:D,P61)</f>
        <v>12.595138016105757</v>
      </c>
      <c r="R61" s="13">
        <f>+I61/Q61-1</f>
        <v>-7.5535509006809942E-3</v>
      </c>
    </row>
    <row r="62" spans="1:18" hidden="1" x14ac:dyDescent="0.25">
      <c r="A62">
        <v>2073</v>
      </c>
      <c r="B62" t="s">
        <v>18</v>
      </c>
      <c r="C62" t="s">
        <v>13</v>
      </c>
      <c r="D62" t="s">
        <v>57</v>
      </c>
      <c r="E62" t="s">
        <v>58</v>
      </c>
      <c r="F62">
        <v>131.5</v>
      </c>
      <c r="G62">
        <v>11</v>
      </c>
      <c r="H62">
        <v>0</v>
      </c>
      <c r="I62" s="12">
        <f>+F62/G62</f>
        <v>11.954545454545455</v>
      </c>
      <c r="J62">
        <v>12.62</v>
      </c>
      <c r="K62">
        <v>6</v>
      </c>
      <c r="L62">
        <v>-5.3</v>
      </c>
      <c r="P62" t="s">
        <v>57</v>
      </c>
      <c r="Q62" s="11">
        <f>+AVERAGEIFS(I:I,D:D,P62)</f>
        <v>12.595138016105757</v>
      </c>
      <c r="R62" s="13">
        <f>+I62/Q62-1</f>
        <v>-5.0860305043196719E-2</v>
      </c>
    </row>
    <row r="63" spans="1:18" hidden="1" x14ac:dyDescent="0.25">
      <c r="A63">
        <v>2046</v>
      </c>
      <c r="B63" t="s">
        <v>19</v>
      </c>
      <c r="C63" t="s">
        <v>13</v>
      </c>
      <c r="D63" t="s">
        <v>57</v>
      </c>
      <c r="E63" t="s">
        <v>58</v>
      </c>
      <c r="F63">
        <v>178.6</v>
      </c>
      <c r="G63">
        <v>14</v>
      </c>
      <c r="H63">
        <v>0</v>
      </c>
      <c r="I63" s="12">
        <f>+F63/G63</f>
        <v>12.757142857142856</v>
      </c>
      <c r="J63">
        <v>12.62</v>
      </c>
      <c r="K63">
        <v>6</v>
      </c>
      <c r="L63">
        <v>1.1000000000000001</v>
      </c>
      <c r="P63" t="s">
        <v>57</v>
      </c>
      <c r="Q63" s="11">
        <f>+AVERAGEIFS(I:I,D:D,P63)</f>
        <v>12.595138016105757</v>
      </c>
      <c r="R63" s="13">
        <f>+I63/Q63-1</f>
        <v>1.2862490337933519E-2</v>
      </c>
    </row>
    <row r="64" spans="1:18" hidden="1" x14ac:dyDescent="0.25">
      <c r="A64">
        <v>2090</v>
      </c>
      <c r="B64" t="s">
        <v>36</v>
      </c>
      <c r="C64" t="s">
        <v>13</v>
      </c>
      <c r="D64" t="s">
        <v>57</v>
      </c>
      <c r="E64" t="s">
        <v>58</v>
      </c>
      <c r="F64">
        <v>391.4</v>
      </c>
      <c r="G64">
        <v>31</v>
      </c>
      <c r="H64">
        <v>0</v>
      </c>
      <c r="I64" s="12">
        <f>+F64/G64</f>
        <v>12.625806451612902</v>
      </c>
      <c r="J64">
        <v>12.62</v>
      </c>
      <c r="K64">
        <v>6</v>
      </c>
      <c r="L64">
        <v>0</v>
      </c>
      <c r="P64" t="s">
        <v>57</v>
      </c>
      <c r="Q64" s="11">
        <f>+AVERAGEIFS(I:I,D:D,P64)</f>
        <v>12.595138016105757</v>
      </c>
      <c r="R64" s="13">
        <f>+I64/Q64-1</f>
        <v>2.4349423934797443E-3</v>
      </c>
    </row>
    <row r="65" spans="1:18" hidden="1" x14ac:dyDescent="0.25">
      <c r="A65">
        <v>2052</v>
      </c>
      <c r="B65" t="s">
        <v>12</v>
      </c>
      <c r="C65" t="s">
        <v>13</v>
      </c>
      <c r="D65" t="s">
        <v>59</v>
      </c>
      <c r="E65" t="s">
        <v>60</v>
      </c>
      <c r="F65">
        <v>88</v>
      </c>
      <c r="G65">
        <v>6</v>
      </c>
      <c r="H65">
        <v>0</v>
      </c>
      <c r="I65" s="12">
        <f>+F65/G65</f>
        <v>14.666666666666666</v>
      </c>
      <c r="J65">
        <v>14.2</v>
      </c>
      <c r="K65">
        <v>6</v>
      </c>
      <c r="L65">
        <v>3.3</v>
      </c>
      <c r="P65" t="s">
        <v>59</v>
      </c>
      <c r="Q65" s="11">
        <f>+AVERAGEIFS(I:I,D:D,P65)</f>
        <v>14.319999999999999</v>
      </c>
      <c r="R65" s="13">
        <f>+I65/Q65-1</f>
        <v>2.420856610800759E-2</v>
      </c>
    </row>
    <row r="66" spans="1:18" hidden="1" x14ac:dyDescent="0.25">
      <c r="A66">
        <v>2037</v>
      </c>
      <c r="B66" t="s">
        <v>16</v>
      </c>
      <c r="C66" t="s">
        <v>13</v>
      </c>
      <c r="D66" t="s">
        <v>59</v>
      </c>
      <c r="E66" t="s">
        <v>60</v>
      </c>
      <c r="F66">
        <v>58</v>
      </c>
      <c r="G66">
        <v>4</v>
      </c>
      <c r="H66">
        <v>0</v>
      </c>
      <c r="I66" s="12">
        <f>+F66/G66</f>
        <v>14.5</v>
      </c>
      <c r="J66">
        <v>14.2</v>
      </c>
      <c r="K66">
        <v>6</v>
      </c>
      <c r="L66">
        <v>2.1</v>
      </c>
      <c r="P66" t="s">
        <v>59</v>
      </c>
      <c r="Q66" s="11">
        <f>+AVERAGEIFS(I:I,D:D,P66)</f>
        <v>14.319999999999999</v>
      </c>
      <c r="R66" s="13">
        <f>+I66/Q66-1</f>
        <v>1.2569832402234749E-2</v>
      </c>
    </row>
    <row r="67" spans="1:18" hidden="1" x14ac:dyDescent="0.25">
      <c r="A67" s="2">
        <v>2307</v>
      </c>
      <c r="B67" s="2" t="s">
        <v>212</v>
      </c>
      <c r="C67" s="2" t="s">
        <v>237</v>
      </c>
      <c r="D67" s="2" t="s">
        <v>255</v>
      </c>
      <c r="E67" s="2" t="s">
        <v>256</v>
      </c>
      <c r="F67" s="2">
        <v>17.8</v>
      </c>
      <c r="G67" s="2">
        <v>5</v>
      </c>
      <c r="H67" s="2">
        <v>0</v>
      </c>
      <c r="I67" s="15">
        <f>+F67/G67</f>
        <v>3.56</v>
      </c>
      <c r="J67" s="2">
        <v>19.84</v>
      </c>
      <c r="K67" s="2">
        <v>3</v>
      </c>
      <c r="L67" s="2">
        <v>-82.1</v>
      </c>
      <c r="M67" t="s">
        <v>407</v>
      </c>
      <c r="P67" s="2" t="s">
        <v>255</v>
      </c>
      <c r="Q67" s="11">
        <f>+AVERAGEIFS(I:I,D:D,P67)</f>
        <v>19.525555555555552</v>
      </c>
      <c r="R67" s="13">
        <f>+I67/Q67-1</f>
        <v>-0.81767484208729302</v>
      </c>
    </row>
    <row r="68" spans="1:18" hidden="1" x14ac:dyDescent="0.25">
      <c r="A68" s="3">
        <v>2403</v>
      </c>
      <c r="B68" s="3" t="s">
        <v>213</v>
      </c>
      <c r="C68" s="3" t="s">
        <v>237</v>
      </c>
      <c r="D68" s="3" t="s">
        <v>255</v>
      </c>
      <c r="E68" s="3" t="s">
        <v>256</v>
      </c>
      <c r="F68" s="3">
        <v>147.69999999999999</v>
      </c>
      <c r="G68" s="3">
        <v>6</v>
      </c>
      <c r="H68" s="3">
        <v>0</v>
      </c>
      <c r="I68" s="15">
        <f>+F68/G68</f>
        <v>24.616666666666664</v>
      </c>
      <c r="J68" s="3">
        <v>19.84</v>
      </c>
      <c r="K68" s="3">
        <v>3</v>
      </c>
      <c r="L68" s="3">
        <v>24.1</v>
      </c>
      <c r="P68" s="3" t="s">
        <v>255</v>
      </c>
      <c r="Q68" s="11">
        <f>+AVERAGEIFS(I:I,D:D,P68)</f>
        <v>19.525555555555552</v>
      </c>
      <c r="R68" s="13">
        <f>+I68/Q68-1</f>
        <v>0.2607409093495705</v>
      </c>
    </row>
    <row r="69" spans="1:18" hidden="1" x14ac:dyDescent="0.25">
      <c r="A69">
        <v>2047</v>
      </c>
      <c r="B69" t="s">
        <v>19</v>
      </c>
      <c r="C69" t="s">
        <v>13</v>
      </c>
      <c r="D69" t="s">
        <v>59</v>
      </c>
      <c r="E69" t="s">
        <v>60</v>
      </c>
      <c r="F69">
        <v>66.8</v>
      </c>
      <c r="G69">
        <v>5</v>
      </c>
      <c r="H69">
        <v>0</v>
      </c>
      <c r="I69" s="12">
        <f>+F69/G69</f>
        <v>13.36</v>
      </c>
      <c r="J69">
        <v>14.2</v>
      </c>
      <c r="K69">
        <v>6</v>
      </c>
      <c r="L69">
        <v>-5.9</v>
      </c>
      <c r="P69" t="s">
        <v>59</v>
      </c>
      <c r="Q69" s="11">
        <f>+AVERAGEIFS(I:I,D:D,P69)</f>
        <v>14.319999999999999</v>
      </c>
      <c r="R69" s="13">
        <f>+I69/Q69-1</f>
        <v>-6.7039106145251326E-2</v>
      </c>
    </row>
    <row r="70" spans="1:18" hidden="1" x14ac:dyDescent="0.25">
      <c r="A70" s="2">
        <v>2321</v>
      </c>
      <c r="B70" s="2" t="s">
        <v>18</v>
      </c>
      <c r="C70" s="2" t="s">
        <v>237</v>
      </c>
      <c r="D70" s="2" t="s">
        <v>255</v>
      </c>
      <c r="E70" s="2" t="s">
        <v>256</v>
      </c>
      <c r="F70" s="2">
        <v>152</v>
      </c>
      <c r="G70" s="2">
        <v>5</v>
      </c>
      <c r="H70" s="2">
        <v>0</v>
      </c>
      <c r="I70" s="15">
        <f>+F70/G70</f>
        <v>30.4</v>
      </c>
      <c r="J70" s="2">
        <v>19.84</v>
      </c>
      <c r="K70" s="2">
        <v>3</v>
      </c>
      <c r="L70" s="2">
        <v>53.2</v>
      </c>
      <c r="P70" s="2" t="s">
        <v>255</v>
      </c>
      <c r="Q70" s="11">
        <f>+AVERAGEIFS(I:I,D:D,P70)</f>
        <v>19.525555555555552</v>
      </c>
      <c r="R70" s="13">
        <f>+I70/Q70-1</f>
        <v>0.55693393273772274</v>
      </c>
    </row>
    <row r="71" spans="1:18" hidden="1" x14ac:dyDescent="0.25">
      <c r="A71">
        <v>2025</v>
      </c>
      <c r="B71" t="s">
        <v>61</v>
      </c>
      <c r="C71" t="s">
        <v>62</v>
      </c>
      <c r="D71" t="s">
        <v>63</v>
      </c>
      <c r="E71" t="s">
        <v>64</v>
      </c>
      <c r="F71">
        <v>3.2</v>
      </c>
      <c r="G71">
        <v>1</v>
      </c>
      <c r="H71">
        <v>0</v>
      </c>
      <c r="I71" s="12">
        <f>+F71/G71</f>
        <v>3.2</v>
      </c>
      <c r="J71">
        <v>3.2</v>
      </c>
      <c r="K71">
        <v>1</v>
      </c>
      <c r="L71">
        <v>0</v>
      </c>
      <c r="P71" t="s">
        <v>63</v>
      </c>
      <c r="Q71" s="11">
        <f>+AVERAGEIFS(I:I,D:D,P71)</f>
        <v>3.2</v>
      </c>
      <c r="R71" s="13">
        <f>+I71/Q71-1</f>
        <v>0</v>
      </c>
    </row>
    <row r="72" spans="1:18" hidden="1" x14ac:dyDescent="0.25">
      <c r="A72">
        <v>1998</v>
      </c>
      <c r="B72" t="s">
        <v>12</v>
      </c>
      <c r="C72" t="s">
        <v>62</v>
      </c>
      <c r="D72" t="s">
        <v>65</v>
      </c>
      <c r="E72" t="s">
        <v>66</v>
      </c>
      <c r="F72">
        <v>58.6</v>
      </c>
      <c r="G72">
        <v>2</v>
      </c>
      <c r="H72">
        <v>0</v>
      </c>
      <c r="I72" s="12">
        <f>+F72/G72</f>
        <v>29.3</v>
      </c>
      <c r="J72">
        <v>28.18</v>
      </c>
      <c r="K72">
        <v>9</v>
      </c>
      <c r="L72">
        <v>4</v>
      </c>
      <c r="P72" t="s">
        <v>65</v>
      </c>
      <c r="Q72" s="11">
        <f>+AVERAGEIFS(I:I,D:D,P72)</f>
        <v>26.819444444444436</v>
      </c>
      <c r="R72" s="13">
        <f>+I72/Q72-1</f>
        <v>9.2490937338167045E-2</v>
      </c>
    </row>
    <row r="73" spans="1:18" hidden="1" x14ac:dyDescent="0.25">
      <c r="A73" s="6">
        <v>1976</v>
      </c>
      <c r="B73" s="6" t="s">
        <v>68</v>
      </c>
      <c r="C73" s="6" t="s">
        <v>62</v>
      </c>
      <c r="D73" s="6" t="s">
        <v>100</v>
      </c>
      <c r="E73" s="6" t="s">
        <v>101</v>
      </c>
      <c r="F73" s="6">
        <v>14.6</v>
      </c>
      <c r="G73" s="6">
        <v>1</v>
      </c>
      <c r="H73" s="6">
        <v>0</v>
      </c>
      <c r="I73" s="15">
        <f>+F73/G73</f>
        <v>14.6</v>
      </c>
      <c r="J73" s="3">
        <v>18.09</v>
      </c>
      <c r="K73" s="3">
        <v>5</v>
      </c>
      <c r="L73" s="3">
        <v>-19.3</v>
      </c>
      <c r="P73" s="6" t="s">
        <v>100</v>
      </c>
      <c r="Q73" s="11">
        <f>+AVERAGEIFS(I:I,D:D,P73)</f>
        <v>17.326000000000001</v>
      </c>
      <c r="R73" s="13">
        <f>+I73/Q73-1</f>
        <v>-0.15733579591365587</v>
      </c>
    </row>
    <row r="74" spans="1:18" hidden="1" x14ac:dyDescent="0.25">
      <c r="A74" s="3">
        <v>2031</v>
      </c>
      <c r="B74" s="3" t="s">
        <v>25</v>
      </c>
      <c r="C74" s="3" t="s">
        <v>62</v>
      </c>
      <c r="D74" s="3" t="s">
        <v>100</v>
      </c>
      <c r="E74" s="3" t="s">
        <v>101</v>
      </c>
      <c r="F74" s="3">
        <v>43.8</v>
      </c>
      <c r="G74" s="3">
        <v>2</v>
      </c>
      <c r="H74" s="3">
        <v>0</v>
      </c>
      <c r="I74" s="15">
        <f>+F74/G74</f>
        <v>21.9</v>
      </c>
      <c r="J74" s="3">
        <v>18.09</v>
      </c>
      <c r="K74" s="3">
        <v>5</v>
      </c>
      <c r="L74" s="3">
        <v>21.1</v>
      </c>
      <c r="P74" s="3" t="s">
        <v>100</v>
      </c>
      <c r="Q74" s="11">
        <f>+AVERAGEIFS(I:I,D:D,P74)</f>
        <v>17.326000000000001</v>
      </c>
      <c r="R74" s="13">
        <f>+I74/Q74-1</f>
        <v>0.2639963061295163</v>
      </c>
    </row>
    <row r="75" spans="1:18" hidden="1" x14ac:dyDescent="0.25">
      <c r="A75" s="3">
        <v>1927</v>
      </c>
      <c r="B75" s="3" t="s">
        <v>77</v>
      </c>
      <c r="C75" s="3" t="s">
        <v>371</v>
      </c>
      <c r="D75" s="3" t="s">
        <v>397</v>
      </c>
      <c r="E75" s="3" t="s">
        <v>398</v>
      </c>
      <c r="F75" s="3">
        <v>286</v>
      </c>
      <c r="G75" s="3">
        <v>9</v>
      </c>
      <c r="H75" s="3">
        <v>0</v>
      </c>
      <c r="I75" s="15">
        <f>+F75/G75</f>
        <v>31.777777777777779</v>
      </c>
      <c r="J75" s="3">
        <v>26.89</v>
      </c>
      <c r="K75" s="3">
        <v>9</v>
      </c>
      <c r="L75" s="3">
        <v>18.2</v>
      </c>
      <c r="P75" s="3" t="s">
        <v>397</v>
      </c>
      <c r="Q75" s="11">
        <f>+AVERAGEIFS(I:I,D:D,P75)</f>
        <v>26.008934904601567</v>
      </c>
      <c r="R75" s="13">
        <f>+I75/Q75-1</f>
        <v>0.22180234962853373</v>
      </c>
    </row>
    <row r="76" spans="1:18" hidden="1" x14ac:dyDescent="0.25">
      <c r="A76">
        <v>1870</v>
      </c>
      <c r="B76" t="s">
        <v>16</v>
      </c>
      <c r="C76" t="s">
        <v>371</v>
      </c>
      <c r="D76" t="s">
        <v>397</v>
      </c>
      <c r="E76" t="s">
        <v>398</v>
      </c>
      <c r="F76">
        <v>57.8</v>
      </c>
      <c r="G76">
        <v>2</v>
      </c>
      <c r="H76">
        <v>0</v>
      </c>
      <c r="I76" s="15">
        <f>+F76/G76</f>
        <v>28.9</v>
      </c>
      <c r="J76">
        <v>26.89</v>
      </c>
      <c r="K76">
        <v>9</v>
      </c>
      <c r="L76">
        <v>7.5</v>
      </c>
      <c r="P76" t="s">
        <v>397</v>
      </c>
      <c r="Q76" s="11">
        <f>+AVERAGEIFS(I:I,D:D,P76)</f>
        <v>26.008934904601567</v>
      </c>
      <c r="R76" s="13">
        <f>+I76/Q76-1</f>
        <v>0.11115661237196361</v>
      </c>
    </row>
    <row r="77" spans="1:18" hidden="1" x14ac:dyDescent="0.25">
      <c r="A77">
        <v>1876</v>
      </c>
      <c r="B77" t="s">
        <v>218</v>
      </c>
      <c r="C77" t="s">
        <v>371</v>
      </c>
      <c r="D77" t="s">
        <v>397</v>
      </c>
      <c r="E77" t="s">
        <v>398</v>
      </c>
      <c r="F77">
        <v>179.19</v>
      </c>
      <c r="G77">
        <v>6</v>
      </c>
      <c r="H77">
        <v>0</v>
      </c>
      <c r="I77" s="15">
        <f>+F77/G77</f>
        <v>29.864999999999998</v>
      </c>
      <c r="J77">
        <v>26.89</v>
      </c>
      <c r="K77">
        <v>9</v>
      </c>
      <c r="L77">
        <v>11</v>
      </c>
      <c r="P77" t="s">
        <v>397</v>
      </c>
      <c r="Q77" s="11">
        <f>+AVERAGEIFS(I:I,D:D,P77)</f>
        <v>26.008934904601567</v>
      </c>
      <c r="R77" s="13">
        <f>+I77/Q77-1</f>
        <v>0.14825924666050838</v>
      </c>
    </row>
    <row r="78" spans="1:18" hidden="1" x14ac:dyDescent="0.25">
      <c r="A78">
        <v>1937</v>
      </c>
      <c r="B78" t="s">
        <v>47</v>
      </c>
      <c r="C78" t="s">
        <v>371</v>
      </c>
      <c r="D78" t="s">
        <v>397</v>
      </c>
      <c r="E78" t="s">
        <v>398</v>
      </c>
      <c r="F78">
        <v>298.7</v>
      </c>
      <c r="G78">
        <v>10</v>
      </c>
      <c r="H78">
        <v>0</v>
      </c>
      <c r="I78" s="15">
        <f>+F78/G78</f>
        <v>29.869999999999997</v>
      </c>
      <c r="J78">
        <v>26.89</v>
      </c>
      <c r="K78">
        <v>9</v>
      </c>
      <c r="L78">
        <v>11.1</v>
      </c>
      <c r="P78" t="s">
        <v>397</v>
      </c>
      <c r="Q78" s="11">
        <f>+AVERAGEIFS(I:I,D:D,P78)</f>
        <v>26.008934904601567</v>
      </c>
      <c r="R78" s="13">
        <f>+I78/Q78-1</f>
        <v>0.1484514882889465</v>
      </c>
    </row>
    <row r="79" spans="1:18" hidden="1" x14ac:dyDescent="0.25">
      <c r="A79" s="4">
        <v>1952</v>
      </c>
      <c r="B79" s="4" t="s">
        <v>36</v>
      </c>
      <c r="C79" s="4" t="s">
        <v>371</v>
      </c>
      <c r="D79" s="4" t="s">
        <v>397</v>
      </c>
      <c r="E79" s="4" t="s">
        <v>398</v>
      </c>
      <c r="F79" s="4">
        <v>16.96</v>
      </c>
      <c r="G79" s="4">
        <v>5</v>
      </c>
      <c r="H79" s="4">
        <v>0</v>
      </c>
      <c r="I79" s="15">
        <f>+F79/G79</f>
        <v>3.3920000000000003</v>
      </c>
      <c r="J79" s="2">
        <v>26.89</v>
      </c>
      <c r="K79" s="2">
        <v>9</v>
      </c>
      <c r="L79" s="2">
        <v>-87.4</v>
      </c>
      <c r="M79" t="s">
        <v>407</v>
      </c>
      <c r="P79" s="4" t="s">
        <v>397</v>
      </c>
      <c r="Q79" s="11">
        <f>+AVERAGEIFS(I:I,D:D,P79)</f>
        <v>26.008934904601567</v>
      </c>
      <c r="R79" s="13">
        <f>+I79/Q79-1</f>
        <v>-0.8695832792676228</v>
      </c>
    </row>
    <row r="80" spans="1:18" hidden="1" x14ac:dyDescent="0.25">
      <c r="A80">
        <v>1966</v>
      </c>
      <c r="B80" t="s">
        <v>73</v>
      </c>
      <c r="C80" t="s">
        <v>62</v>
      </c>
      <c r="D80" t="s">
        <v>65</v>
      </c>
      <c r="E80" t="s">
        <v>66</v>
      </c>
      <c r="F80">
        <v>29.1</v>
      </c>
      <c r="G80">
        <v>1</v>
      </c>
      <c r="H80">
        <v>0</v>
      </c>
      <c r="I80" s="12">
        <f>+F80/G80</f>
        <v>29.1</v>
      </c>
      <c r="J80">
        <v>28.18</v>
      </c>
      <c r="K80">
        <v>9</v>
      </c>
      <c r="L80">
        <v>3.3</v>
      </c>
      <c r="P80" t="s">
        <v>65</v>
      </c>
      <c r="Q80" s="11">
        <f>+AVERAGEIFS(I:I,D:D,P80)</f>
        <v>26.819444444444436</v>
      </c>
      <c r="R80" s="13">
        <f>+I80/Q80-1</f>
        <v>8.5033661315381037E-2</v>
      </c>
    </row>
    <row r="81" spans="1:18" hidden="1" x14ac:dyDescent="0.25">
      <c r="A81" s="4">
        <v>2012</v>
      </c>
      <c r="B81" s="4" t="s">
        <v>20</v>
      </c>
      <c r="C81" s="4" t="s">
        <v>62</v>
      </c>
      <c r="D81" s="4" t="s">
        <v>74</v>
      </c>
      <c r="E81" s="4" t="s">
        <v>75</v>
      </c>
      <c r="F81" s="4">
        <v>4.2</v>
      </c>
      <c r="G81" s="4">
        <v>1</v>
      </c>
      <c r="H81" s="4">
        <v>0</v>
      </c>
      <c r="I81" s="15">
        <f>+F81/G81</f>
        <v>4.2</v>
      </c>
      <c r="J81" s="4">
        <v>6.77</v>
      </c>
      <c r="K81" s="4">
        <v>35</v>
      </c>
      <c r="L81" s="4">
        <v>-37.9</v>
      </c>
      <c r="P81" s="4" t="s">
        <v>74</v>
      </c>
      <c r="Q81" s="11">
        <f>+AVERAGEIFS(I:I,D:D,P81)</f>
        <v>7.9465789473684207</v>
      </c>
      <c r="R81" s="13">
        <f>+I81/Q81-1</f>
        <v>-0.47147067589495639</v>
      </c>
    </row>
    <row r="82" spans="1:18" hidden="1" x14ac:dyDescent="0.25">
      <c r="A82" s="4">
        <v>1999</v>
      </c>
      <c r="B82" s="4" t="s">
        <v>12</v>
      </c>
      <c r="C82" s="4" t="s">
        <v>62</v>
      </c>
      <c r="D82" s="4" t="s">
        <v>74</v>
      </c>
      <c r="E82" s="4" t="s">
        <v>75</v>
      </c>
      <c r="F82" s="4">
        <v>10</v>
      </c>
      <c r="G82" s="4">
        <v>1</v>
      </c>
      <c r="H82" s="4">
        <v>0</v>
      </c>
      <c r="I82" s="15">
        <f>+F82/G82</f>
        <v>10</v>
      </c>
      <c r="J82" s="4">
        <v>6.77</v>
      </c>
      <c r="K82" s="4">
        <v>35</v>
      </c>
      <c r="L82" s="4">
        <v>47.8</v>
      </c>
      <c r="P82" s="4" t="s">
        <v>74</v>
      </c>
      <c r="Q82" s="11">
        <f>+AVERAGEIFS(I:I,D:D,P82)</f>
        <v>7.9465789473684207</v>
      </c>
      <c r="R82" s="13">
        <f>+I82/Q82-1</f>
        <v>0.25840315263105618</v>
      </c>
    </row>
    <row r="83" spans="1:18" hidden="1" x14ac:dyDescent="0.25">
      <c r="A83">
        <v>2000</v>
      </c>
      <c r="B83" t="s">
        <v>76</v>
      </c>
      <c r="C83" t="s">
        <v>62</v>
      </c>
      <c r="D83" t="s">
        <v>74</v>
      </c>
      <c r="E83" t="s">
        <v>75</v>
      </c>
      <c r="F83">
        <v>7.7</v>
      </c>
      <c r="G83">
        <v>1</v>
      </c>
      <c r="H83">
        <v>0</v>
      </c>
      <c r="I83" s="12">
        <f>+F83/G83</f>
        <v>7.7</v>
      </c>
      <c r="J83">
        <v>6.77</v>
      </c>
      <c r="K83">
        <v>35</v>
      </c>
      <c r="L83">
        <v>13.8</v>
      </c>
      <c r="P83" t="s">
        <v>74</v>
      </c>
      <c r="Q83" s="11">
        <f>+AVERAGEIFS(I:I,D:D,P83)</f>
        <v>7.9465789473684207</v>
      </c>
      <c r="R83" s="13">
        <f>+I83/Q83-1</f>
        <v>-3.1029572474086775E-2</v>
      </c>
    </row>
    <row r="84" spans="1:18" hidden="1" x14ac:dyDescent="0.25">
      <c r="A84" s="6">
        <v>1970</v>
      </c>
      <c r="B84" s="6" t="s">
        <v>67</v>
      </c>
      <c r="C84" s="6" t="s">
        <v>62</v>
      </c>
      <c r="D84" s="6" t="s">
        <v>74</v>
      </c>
      <c r="E84" s="6" t="s">
        <v>75</v>
      </c>
      <c r="F84" s="6">
        <v>5.7</v>
      </c>
      <c r="G84" s="6">
        <v>1</v>
      </c>
      <c r="H84" s="6">
        <v>0</v>
      </c>
      <c r="I84" s="15">
        <f>+F84/G84</f>
        <v>5.7</v>
      </c>
      <c r="J84" s="6">
        <v>6.77</v>
      </c>
      <c r="K84" s="6">
        <v>35</v>
      </c>
      <c r="L84" s="6">
        <v>-15.8</v>
      </c>
      <c r="P84" s="6" t="s">
        <v>74</v>
      </c>
      <c r="Q84" s="11">
        <f>+AVERAGEIFS(I:I,D:D,P84)</f>
        <v>7.9465789473684207</v>
      </c>
      <c r="R84" s="13">
        <f>+I84/Q84-1</f>
        <v>-0.28271020300029803</v>
      </c>
    </row>
    <row r="85" spans="1:18" hidden="1" x14ac:dyDescent="0.25">
      <c r="A85" s="4">
        <v>2011</v>
      </c>
      <c r="B85" s="4" t="s">
        <v>77</v>
      </c>
      <c r="C85" s="4" t="s">
        <v>62</v>
      </c>
      <c r="D85" s="4" t="s">
        <v>74</v>
      </c>
      <c r="E85" s="4" t="s">
        <v>75</v>
      </c>
      <c r="F85" s="4">
        <v>9</v>
      </c>
      <c r="G85" s="4">
        <v>1</v>
      </c>
      <c r="H85" s="4">
        <v>0</v>
      </c>
      <c r="I85" s="15">
        <f>+F85/G85</f>
        <v>9</v>
      </c>
      <c r="J85" s="4">
        <v>6.77</v>
      </c>
      <c r="K85" s="4">
        <v>35</v>
      </c>
      <c r="L85" s="4">
        <v>33</v>
      </c>
      <c r="P85" s="4" t="s">
        <v>74</v>
      </c>
      <c r="Q85" s="11">
        <f>+AVERAGEIFS(I:I,D:D,P85)</f>
        <v>7.9465789473684207</v>
      </c>
      <c r="R85" s="13">
        <f>+I85/Q85-1</f>
        <v>0.1325628373679506</v>
      </c>
    </row>
    <row r="86" spans="1:18" hidden="1" x14ac:dyDescent="0.25">
      <c r="A86" s="10">
        <v>1972</v>
      </c>
      <c r="B86" s="10" t="s">
        <v>68</v>
      </c>
      <c r="C86" s="10" t="s">
        <v>62</v>
      </c>
      <c r="D86" s="10" t="s">
        <v>74</v>
      </c>
      <c r="E86" s="10" t="s">
        <v>75</v>
      </c>
      <c r="F86" s="10">
        <v>12.1</v>
      </c>
      <c r="G86" s="10">
        <v>2</v>
      </c>
      <c r="H86" s="10">
        <v>0</v>
      </c>
      <c r="I86" s="15">
        <f>+F86/G86</f>
        <v>6.05</v>
      </c>
      <c r="J86" s="10">
        <v>6.77</v>
      </c>
      <c r="K86" s="10">
        <v>35</v>
      </c>
      <c r="L86" s="10">
        <v>-10.6</v>
      </c>
      <c r="P86" s="10" t="s">
        <v>74</v>
      </c>
      <c r="Q86" s="11">
        <f>+AVERAGEIFS(I:I,D:D,P86)</f>
        <v>7.9465789473684207</v>
      </c>
      <c r="R86" s="13">
        <f>+I86/Q86-1</f>
        <v>-0.23866609265821104</v>
      </c>
    </row>
    <row r="87" spans="1:18" hidden="1" x14ac:dyDescent="0.25">
      <c r="A87">
        <v>1980</v>
      </c>
      <c r="B87" t="s">
        <v>78</v>
      </c>
      <c r="C87" t="s">
        <v>62</v>
      </c>
      <c r="D87" t="s">
        <v>74</v>
      </c>
      <c r="E87" t="s">
        <v>75</v>
      </c>
      <c r="F87">
        <v>7.4</v>
      </c>
      <c r="G87">
        <v>1</v>
      </c>
      <c r="H87">
        <v>0</v>
      </c>
      <c r="I87" s="12">
        <f>+F87/G87</f>
        <v>7.4</v>
      </c>
      <c r="J87">
        <v>6.77</v>
      </c>
      <c r="K87">
        <v>35</v>
      </c>
      <c r="L87">
        <v>9.4</v>
      </c>
      <c r="P87" t="s">
        <v>74</v>
      </c>
      <c r="Q87" s="11">
        <f>+AVERAGEIFS(I:I,D:D,P87)</f>
        <v>7.9465789473684207</v>
      </c>
      <c r="R87" s="13">
        <f>+I87/Q87-1</f>
        <v>-6.8781667053018469E-2</v>
      </c>
    </row>
    <row r="88" spans="1:18" hidden="1" x14ac:dyDescent="0.25">
      <c r="A88" s="6">
        <v>1979</v>
      </c>
      <c r="B88" s="6" t="s">
        <v>78</v>
      </c>
      <c r="C88" s="6" t="s">
        <v>62</v>
      </c>
      <c r="D88" s="6" t="s">
        <v>74</v>
      </c>
      <c r="E88" s="6" t="s">
        <v>75</v>
      </c>
      <c r="F88" s="6">
        <v>5.4</v>
      </c>
      <c r="G88" s="6">
        <v>1</v>
      </c>
      <c r="H88" s="6">
        <v>0</v>
      </c>
      <c r="I88" s="15">
        <f>+F88/G88</f>
        <v>5.4</v>
      </c>
      <c r="J88" s="6">
        <v>6.77</v>
      </c>
      <c r="K88" s="6">
        <v>35</v>
      </c>
      <c r="L88" s="6">
        <v>-20.2</v>
      </c>
      <c r="P88" s="6" t="s">
        <v>74</v>
      </c>
      <c r="Q88" s="11">
        <f>+AVERAGEIFS(I:I,D:D,P88)</f>
        <v>7.9465789473684207</v>
      </c>
      <c r="R88" s="13">
        <f>+I88/Q88-1</f>
        <v>-0.32046229757922962</v>
      </c>
    </row>
    <row r="89" spans="1:18" hidden="1" x14ac:dyDescent="0.25">
      <c r="A89" s="4">
        <v>2027</v>
      </c>
      <c r="B89" s="4" t="s">
        <v>79</v>
      </c>
      <c r="C89" s="4" t="s">
        <v>62</v>
      </c>
      <c r="D89" s="4" t="s">
        <v>74</v>
      </c>
      <c r="E89" s="4" t="s">
        <v>75</v>
      </c>
      <c r="F89" s="4">
        <v>11</v>
      </c>
      <c r="G89" s="4">
        <v>1</v>
      </c>
      <c r="H89" s="4">
        <v>0</v>
      </c>
      <c r="I89" s="15">
        <f>+F89/G89</f>
        <v>11</v>
      </c>
      <c r="J89" s="4">
        <v>6.77</v>
      </c>
      <c r="K89" s="4">
        <v>35</v>
      </c>
      <c r="L89" s="4">
        <v>62.5</v>
      </c>
      <c r="P89" s="4" t="s">
        <v>74</v>
      </c>
      <c r="Q89" s="11">
        <f>+AVERAGEIFS(I:I,D:D,P89)</f>
        <v>7.9465789473684207</v>
      </c>
      <c r="R89" s="13">
        <f>+I89/Q89-1</f>
        <v>0.38424346789416175</v>
      </c>
    </row>
    <row r="90" spans="1:18" hidden="1" x14ac:dyDescent="0.25">
      <c r="A90" s="7">
        <v>2014</v>
      </c>
      <c r="B90" s="7" t="s">
        <v>69</v>
      </c>
      <c r="C90" s="7" t="s">
        <v>62</v>
      </c>
      <c r="D90" s="7" t="s">
        <v>74</v>
      </c>
      <c r="E90" s="7" t="s">
        <v>75</v>
      </c>
      <c r="F90" s="7">
        <v>16.48</v>
      </c>
      <c r="G90" s="7">
        <v>1</v>
      </c>
      <c r="H90" s="7">
        <v>0</v>
      </c>
      <c r="I90" s="15">
        <f>+F90/G90</f>
        <v>16.48</v>
      </c>
      <c r="J90" s="7">
        <v>6.77</v>
      </c>
      <c r="K90" s="7">
        <v>35</v>
      </c>
      <c r="L90" s="7">
        <v>143.5</v>
      </c>
      <c r="P90" s="7" t="s">
        <v>74</v>
      </c>
      <c r="Q90" s="11">
        <f>+AVERAGEIFS(I:I,D:D,P90)</f>
        <v>7.9465789473684207</v>
      </c>
      <c r="R90" s="13">
        <f>+I90/Q90-1</f>
        <v>1.0738483955359803</v>
      </c>
    </row>
    <row r="91" spans="1:18" hidden="1" x14ac:dyDescent="0.25">
      <c r="A91" s="4">
        <v>2001</v>
      </c>
      <c r="B91" s="4" t="s">
        <v>24</v>
      </c>
      <c r="C91" s="4" t="s">
        <v>62</v>
      </c>
      <c r="D91" s="4" t="s">
        <v>74</v>
      </c>
      <c r="E91" s="4" t="s">
        <v>75</v>
      </c>
      <c r="F91" s="4">
        <v>10</v>
      </c>
      <c r="G91" s="4">
        <v>1</v>
      </c>
      <c r="H91" s="4">
        <v>0</v>
      </c>
      <c r="I91" s="15">
        <f>+F91/G91</f>
        <v>10</v>
      </c>
      <c r="J91" s="4">
        <v>6.77</v>
      </c>
      <c r="K91" s="4">
        <v>35</v>
      </c>
      <c r="L91" s="4">
        <v>47.8</v>
      </c>
      <c r="P91" s="4" t="s">
        <v>74</v>
      </c>
      <c r="Q91" s="11">
        <f>+AVERAGEIFS(I:I,D:D,P91)</f>
        <v>7.9465789473684207</v>
      </c>
      <c r="R91" s="13">
        <f>+I91/Q91-1</f>
        <v>0.25840315263105618</v>
      </c>
    </row>
    <row r="92" spans="1:18" hidden="1" x14ac:dyDescent="0.25">
      <c r="A92" s="6">
        <v>2015</v>
      </c>
      <c r="B92" s="6" t="s">
        <v>18</v>
      </c>
      <c r="C92" s="6" t="s">
        <v>62</v>
      </c>
      <c r="D92" s="6" t="s">
        <v>74</v>
      </c>
      <c r="E92" s="6" t="s">
        <v>75</v>
      </c>
      <c r="F92" s="6">
        <v>7.8</v>
      </c>
      <c r="G92" s="6">
        <v>1</v>
      </c>
      <c r="H92" s="6">
        <v>0</v>
      </c>
      <c r="I92" s="12">
        <f>+F92/G92</f>
        <v>7.8</v>
      </c>
      <c r="J92" s="6">
        <v>6.77</v>
      </c>
      <c r="K92" s="6">
        <v>35</v>
      </c>
      <c r="L92" s="6">
        <v>15.3</v>
      </c>
      <c r="P92" s="6" t="s">
        <v>74</v>
      </c>
      <c r="Q92" s="11">
        <f>+AVERAGEIFS(I:I,D:D,P92)</f>
        <v>7.9465789473684207</v>
      </c>
      <c r="R92" s="13">
        <f>+I92/Q92-1</f>
        <v>-1.8445540947776284E-2</v>
      </c>
    </row>
    <row r="93" spans="1:18" hidden="1" x14ac:dyDescent="0.25">
      <c r="A93" s="6">
        <v>2019</v>
      </c>
      <c r="B93" s="6" t="s">
        <v>70</v>
      </c>
      <c r="C93" s="6" t="s">
        <v>62</v>
      </c>
      <c r="D93" s="6" t="s">
        <v>74</v>
      </c>
      <c r="E93" s="6" t="s">
        <v>75</v>
      </c>
      <c r="F93" s="6">
        <v>8.3000000000000007</v>
      </c>
      <c r="G93" s="6">
        <v>1</v>
      </c>
      <c r="H93" s="6">
        <v>0</v>
      </c>
      <c r="I93" s="12">
        <f>+F93/G93</f>
        <v>8.3000000000000007</v>
      </c>
      <c r="J93" s="6">
        <v>6.77</v>
      </c>
      <c r="K93" s="6">
        <v>35</v>
      </c>
      <c r="L93" s="6">
        <v>22.7</v>
      </c>
      <c r="P93" s="6" t="s">
        <v>74</v>
      </c>
      <c r="Q93" s="11">
        <f>+AVERAGEIFS(I:I,D:D,P93)</f>
        <v>7.9465789473684207</v>
      </c>
      <c r="R93" s="13">
        <f>+I93/Q93-1</f>
        <v>4.4474616683776613E-2</v>
      </c>
    </row>
    <row r="94" spans="1:18" hidden="1" x14ac:dyDescent="0.25">
      <c r="A94" s="4">
        <v>1985</v>
      </c>
      <c r="B94" s="4" t="s">
        <v>80</v>
      </c>
      <c r="C94" s="4" t="s">
        <v>62</v>
      </c>
      <c r="D94" s="4" t="s">
        <v>74</v>
      </c>
      <c r="E94" s="4" t="s">
        <v>75</v>
      </c>
      <c r="F94" s="4">
        <v>10</v>
      </c>
      <c r="G94" s="4">
        <v>1</v>
      </c>
      <c r="H94" s="4">
        <v>0</v>
      </c>
      <c r="I94" s="15">
        <f>+F94/G94</f>
        <v>10</v>
      </c>
      <c r="J94" s="4">
        <v>6.77</v>
      </c>
      <c r="K94" s="4">
        <v>35</v>
      </c>
      <c r="L94" s="4">
        <v>47.8</v>
      </c>
      <c r="P94" s="4" t="s">
        <v>74</v>
      </c>
      <c r="Q94" s="11">
        <f>+AVERAGEIFS(I:I,D:D,P94)</f>
        <v>7.9465789473684207</v>
      </c>
      <c r="R94" s="13">
        <f>+I94/Q94-1</f>
        <v>0.25840315263105618</v>
      </c>
    </row>
    <row r="95" spans="1:18" hidden="1" x14ac:dyDescent="0.25">
      <c r="A95" s="4">
        <v>1982</v>
      </c>
      <c r="B95" s="4" t="s">
        <v>81</v>
      </c>
      <c r="C95" s="4" t="s">
        <v>62</v>
      </c>
      <c r="D95" s="4" t="s">
        <v>74</v>
      </c>
      <c r="E95" s="4" t="s">
        <v>75</v>
      </c>
      <c r="F95" s="4">
        <v>3.85</v>
      </c>
      <c r="G95" s="4">
        <v>1</v>
      </c>
      <c r="H95" s="4">
        <v>0</v>
      </c>
      <c r="I95" s="15">
        <f>+F95/G95</f>
        <v>3.85</v>
      </c>
      <c r="J95" s="4">
        <v>6.77</v>
      </c>
      <c r="K95" s="4">
        <v>35</v>
      </c>
      <c r="L95" s="4">
        <v>-43.1</v>
      </c>
      <c r="P95" s="4" t="s">
        <v>74</v>
      </c>
      <c r="Q95" s="11">
        <f>+AVERAGEIFS(I:I,D:D,P95)</f>
        <v>7.9465789473684207</v>
      </c>
      <c r="R95" s="13">
        <f>+I95/Q95-1</f>
        <v>-0.51551478623704339</v>
      </c>
    </row>
    <row r="96" spans="1:18" hidden="1" x14ac:dyDescent="0.25">
      <c r="A96" s="4">
        <v>2021</v>
      </c>
      <c r="B96" s="4" t="s">
        <v>82</v>
      </c>
      <c r="C96" s="4" t="s">
        <v>62</v>
      </c>
      <c r="D96" s="4" t="s">
        <v>74</v>
      </c>
      <c r="E96" s="4" t="s">
        <v>75</v>
      </c>
      <c r="F96" s="4">
        <v>10</v>
      </c>
      <c r="G96" s="4">
        <v>1</v>
      </c>
      <c r="H96" s="4">
        <v>0</v>
      </c>
      <c r="I96" s="15">
        <f>+F96/G96</f>
        <v>10</v>
      </c>
      <c r="J96" s="4">
        <v>6.77</v>
      </c>
      <c r="K96" s="4">
        <v>35</v>
      </c>
      <c r="L96" s="4">
        <v>47.8</v>
      </c>
      <c r="P96" s="4" t="s">
        <v>74</v>
      </c>
      <c r="Q96" s="11">
        <f>+AVERAGEIFS(I:I,D:D,P96)</f>
        <v>7.9465789473684207</v>
      </c>
      <c r="R96" s="13">
        <f>+I96/Q96-1</f>
        <v>0.25840315263105618</v>
      </c>
    </row>
    <row r="97" spans="1:18" hidden="1" x14ac:dyDescent="0.25">
      <c r="A97" s="4">
        <v>1986</v>
      </c>
      <c r="B97" s="4" t="s">
        <v>83</v>
      </c>
      <c r="C97" s="4" t="s">
        <v>62</v>
      </c>
      <c r="D97" s="4" t="s">
        <v>74</v>
      </c>
      <c r="E97" s="4" t="s">
        <v>75</v>
      </c>
      <c r="F97" s="4">
        <v>3.82</v>
      </c>
      <c r="G97" s="4">
        <v>1</v>
      </c>
      <c r="H97" s="4">
        <v>0</v>
      </c>
      <c r="I97" s="15">
        <f>+F97/G97</f>
        <v>3.82</v>
      </c>
      <c r="J97" s="4">
        <v>6.77</v>
      </c>
      <c r="K97" s="4">
        <v>35</v>
      </c>
      <c r="L97" s="4">
        <v>-43.6</v>
      </c>
      <c r="P97" s="4" t="s">
        <v>74</v>
      </c>
      <c r="Q97" s="11">
        <f>+AVERAGEIFS(I:I,D:D,P97)</f>
        <v>7.9465789473684207</v>
      </c>
      <c r="R97" s="13">
        <f>+I97/Q97-1</f>
        <v>-0.51928999569493661</v>
      </c>
    </row>
    <row r="98" spans="1:18" hidden="1" x14ac:dyDescent="0.25">
      <c r="A98">
        <v>2022</v>
      </c>
      <c r="B98" t="s">
        <v>84</v>
      </c>
      <c r="C98" t="s">
        <v>62</v>
      </c>
      <c r="D98" t="s">
        <v>74</v>
      </c>
      <c r="E98" t="s">
        <v>75</v>
      </c>
      <c r="F98">
        <v>6</v>
      </c>
      <c r="G98">
        <v>1</v>
      </c>
      <c r="H98">
        <v>0</v>
      </c>
      <c r="I98" s="15">
        <f>+F98/G98</f>
        <v>6</v>
      </c>
      <c r="J98">
        <v>6.77</v>
      </c>
      <c r="K98">
        <v>35</v>
      </c>
      <c r="L98">
        <v>-11.3</v>
      </c>
      <c r="P98" t="s">
        <v>74</v>
      </c>
      <c r="Q98" s="11">
        <f>+AVERAGEIFS(I:I,D:D,P98)</f>
        <v>7.9465789473684207</v>
      </c>
      <c r="R98" s="13">
        <f>+I98/Q98-1</f>
        <v>-0.24495810842136634</v>
      </c>
    </row>
    <row r="99" spans="1:18" hidden="1" x14ac:dyDescent="0.25">
      <c r="A99" s="4">
        <v>1987</v>
      </c>
      <c r="B99" s="4" t="s">
        <v>85</v>
      </c>
      <c r="C99" s="4" t="s">
        <v>62</v>
      </c>
      <c r="D99" s="4" t="s">
        <v>74</v>
      </c>
      <c r="E99" s="4" t="s">
        <v>75</v>
      </c>
      <c r="F99" s="4">
        <v>4.1500000000000004</v>
      </c>
      <c r="G99" s="4">
        <v>1</v>
      </c>
      <c r="H99" s="4">
        <v>0</v>
      </c>
      <c r="I99" s="15">
        <f>+F99/G99</f>
        <v>4.1500000000000004</v>
      </c>
      <c r="J99" s="4">
        <v>6.77</v>
      </c>
      <c r="K99" s="4">
        <v>35</v>
      </c>
      <c r="L99" s="4">
        <v>-38.700000000000003</v>
      </c>
      <c r="P99" s="4" t="s">
        <v>74</v>
      </c>
      <c r="Q99" s="11">
        <f>+AVERAGEIFS(I:I,D:D,P99)</f>
        <v>7.9465789473684207</v>
      </c>
      <c r="R99" s="13">
        <f>+I99/Q99-1</f>
        <v>-0.47776269165811169</v>
      </c>
    </row>
    <row r="100" spans="1:18" hidden="1" x14ac:dyDescent="0.25">
      <c r="A100">
        <v>2034</v>
      </c>
      <c r="B100" t="s">
        <v>86</v>
      </c>
      <c r="C100" t="s">
        <v>62</v>
      </c>
      <c r="D100" t="s">
        <v>74</v>
      </c>
      <c r="E100" t="s">
        <v>75</v>
      </c>
      <c r="F100">
        <v>7.2</v>
      </c>
      <c r="G100">
        <v>1</v>
      </c>
      <c r="H100">
        <v>0</v>
      </c>
      <c r="I100" s="12">
        <f>+F100/G100</f>
        <v>7.2</v>
      </c>
      <c r="J100">
        <v>6.77</v>
      </c>
      <c r="K100">
        <v>35</v>
      </c>
      <c r="L100">
        <v>6.4</v>
      </c>
      <c r="P100" t="s">
        <v>74</v>
      </c>
      <c r="Q100" s="11">
        <f>+AVERAGEIFS(I:I,D:D,P100)</f>
        <v>7.9465789473684207</v>
      </c>
      <c r="R100" s="13">
        <f>+I100/Q100-1</f>
        <v>-9.3949730105639562E-2</v>
      </c>
    </row>
    <row r="101" spans="1:18" hidden="1" x14ac:dyDescent="0.25">
      <c r="A101" s="4">
        <v>1988</v>
      </c>
      <c r="B101" s="4" t="s">
        <v>19</v>
      </c>
      <c r="C101" s="4" t="s">
        <v>62</v>
      </c>
      <c r="D101" s="4" t="s">
        <v>74</v>
      </c>
      <c r="E101" s="4" t="s">
        <v>75</v>
      </c>
      <c r="F101" s="4">
        <v>4.92</v>
      </c>
      <c r="G101" s="4">
        <v>1</v>
      </c>
      <c r="H101" s="4">
        <v>0</v>
      </c>
      <c r="I101" s="15">
        <f>+F101/G101</f>
        <v>4.92</v>
      </c>
      <c r="J101" s="4">
        <v>6.77</v>
      </c>
      <c r="K101" s="4">
        <v>35</v>
      </c>
      <c r="L101" s="4">
        <v>-27.3</v>
      </c>
      <c r="P101" s="4" t="s">
        <v>74</v>
      </c>
      <c r="Q101" s="11">
        <f>+AVERAGEIFS(I:I,D:D,P101)</f>
        <v>7.9465789473684207</v>
      </c>
      <c r="R101" s="13">
        <f>+I101/Q101-1</f>
        <v>-0.38086564890552044</v>
      </c>
    </row>
    <row r="102" spans="1:18" hidden="1" x14ac:dyDescent="0.25">
      <c r="A102" s="4">
        <v>1990</v>
      </c>
      <c r="B102" s="4" t="s">
        <v>71</v>
      </c>
      <c r="C102" s="4" t="s">
        <v>62</v>
      </c>
      <c r="D102" s="4" t="s">
        <v>74</v>
      </c>
      <c r="E102" s="4" t="s">
        <v>75</v>
      </c>
      <c r="F102" s="4">
        <v>4.7</v>
      </c>
      <c r="G102" s="4">
        <v>1</v>
      </c>
      <c r="H102" s="4">
        <v>0</v>
      </c>
      <c r="I102" s="15">
        <f>+F102/G102</f>
        <v>4.7</v>
      </c>
      <c r="J102" s="4">
        <v>6.77</v>
      </c>
      <c r="K102" s="4">
        <v>35</v>
      </c>
      <c r="L102" s="4">
        <v>-30.5</v>
      </c>
      <c r="P102" s="4" t="s">
        <v>74</v>
      </c>
      <c r="Q102" s="11">
        <f>+AVERAGEIFS(I:I,D:D,P102)</f>
        <v>7.9465789473684207</v>
      </c>
      <c r="R102" s="13">
        <f>+I102/Q102-1</f>
        <v>-0.40855051826340361</v>
      </c>
    </row>
    <row r="103" spans="1:18" hidden="1" x14ac:dyDescent="0.25">
      <c r="A103">
        <v>2002</v>
      </c>
      <c r="B103" t="s">
        <v>87</v>
      </c>
      <c r="C103" t="s">
        <v>62</v>
      </c>
      <c r="D103" t="s">
        <v>74</v>
      </c>
      <c r="E103" t="s">
        <v>75</v>
      </c>
      <c r="F103">
        <v>6</v>
      </c>
      <c r="G103">
        <v>1</v>
      </c>
      <c r="H103">
        <v>0</v>
      </c>
      <c r="I103" s="15">
        <f>+F103/G103</f>
        <v>6</v>
      </c>
      <c r="J103">
        <v>6.77</v>
      </c>
      <c r="K103">
        <v>35</v>
      </c>
      <c r="L103">
        <v>-11.3</v>
      </c>
      <c r="P103" t="s">
        <v>74</v>
      </c>
      <c r="Q103" s="11">
        <f>+AVERAGEIFS(I:I,D:D,P103)</f>
        <v>7.9465789473684207</v>
      </c>
      <c r="R103" s="13">
        <f>+I103/Q103-1</f>
        <v>-0.24495810842136634</v>
      </c>
    </row>
    <row r="104" spans="1:18" hidden="1" x14ac:dyDescent="0.25">
      <c r="A104" s="4">
        <v>1963</v>
      </c>
      <c r="B104" s="4" t="s">
        <v>88</v>
      </c>
      <c r="C104" s="4" t="s">
        <v>62</v>
      </c>
      <c r="D104" s="4" t="s">
        <v>74</v>
      </c>
      <c r="E104" s="4" t="s">
        <v>75</v>
      </c>
      <c r="F104" s="4">
        <v>4.5999999999999996</v>
      </c>
      <c r="G104" s="4">
        <v>1</v>
      </c>
      <c r="H104" s="4">
        <v>0</v>
      </c>
      <c r="I104" s="15">
        <f>+F104/G104</f>
        <v>4.5999999999999996</v>
      </c>
      <c r="J104" s="4">
        <v>6.77</v>
      </c>
      <c r="K104" s="4">
        <v>35</v>
      </c>
      <c r="L104" s="4">
        <v>-32</v>
      </c>
      <c r="P104" s="4" t="s">
        <v>74</v>
      </c>
      <c r="Q104" s="11">
        <f>+AVERAGEIFS(I:I,D:D,P104)</f>
        <v>7.9465789473684207</v>
      </c>
      <c r="R104" s="13">
        <f>+I104/Q104-1</f>
        <v>-0.42113454978971421</v>
      </c>
    </row>
    <row r="105" spans="1:18" hidden="1" x14ac:dyDescent="0.25">
      <c r="A105" s="4">
        <v>2003</v>
      </c>
      <c r="B105" s="4" t="s">
        <v>89</v>
      </c>
      <c r="C105" s="4" t="s">
        <v>62</v>
      </c>
      <c r="D105" s="4" t="s">
        <v>74</v>
      </c>
      <c r="E105" s="4" t="s">
        <v>75</v>
      </c>
      <c r="F105" s="4">
        <v>4.8</v>
      </c>
      <c r="G105" s="4">
        <v>1</v>
      </c>
      <c r="H105" s="4">
        <v>0</v>
      </c>
      <c r="I105" s="15">
        <f>+F105/G105</f>
        <v>4.8</v>
      </c>
      <c r="J105" s="4">
        <v>6.77</v>
      </c>
      <c r="K105" s="4">
        <v>35</v>
      </c>
      <c r="L105" s="4">
        <v>-29.1</v>
      </c>
      <c r="P105" s="4" t="s">
        <v>74</v>
      </c>
      <c r="Q105" s="11">
        <f>+AVERAGEIFS(I:I,D:D,P105)</f>
        <v>7.9465789473684207</v>
      </c>
      <c r="R105" s="13">
        <f>+I105/Q105-1</f>
        <v>-0.39596648673709312</v>
      </c>
    </row>
    <row r="106" spans="1:18" hidden="1" x14ac:dyDescent="0.25">
      <c r="A106" s="4">
        <v>2004</v>
      </c>
      <c r="B106" s="4" t="s">
        <v>90</v>
      </c>
      <c r="C106" s="4" t="s">
        <v>62</v>
      </c>
      <c r="D106" s="4" t="s">
        <v>74</v>
      </c>
      <c r="E106" s="4" t="s">
        <v>75</v>
      </c>
      <c r="F106" s="4">
        <v>5</v>
      </c>
      <c r="G106" s="4">
        <v>1</v>
      </c>
      <c r="H106" s="4">
        <v>0</v>
      </c>
      <c r="I106" s="15">
        <f>+F106/G106</f>
        <v>5</v>
      </c>
      <c r="J106" s="4">
        <v>6.77</v>
      </c>
      <c r="K106" s="4">
        <v>35</v>
      </c>
      <c r="L106" s="4">
        <v>-26.1</v>
      </c>
      <c r="P106" s="4" t="s">
        <v>74</v>
      </c>
      <c r="Q106" s="11">
        <f>+AVERAGEIFS(I:I,D:D,P106)</f>
        <v>7.9465789473684207</v>
      </c>
      <c r="R106" s="13">
        <f>+I106/Q106-1</f>
        <v>-0.37079842368447191</v>
      </c>
    </row>
    <row r="107" spans="1:18" hidden="1" x14ac:dyDescent="0.25">
      <c r="A107" s="4">
        <v>1991</v>
      </c>
      <c r="B107" s="4" t="s">
        <v>91</v>
      </c>
      <c r="C107" s="4" t="s">
        <v>62</v>
      </c>
      <c r="D107" s="4" t="s">
        <v>74</v>
      </c>
      <c r="E107" s="4" t="s">
        <v>75</v>
      </c>
      <c r="F107" s="4">
        <v>5</v>
      </c>
      <c r="G107" s="4">
        <v>1</v>
      </c>
      <c r="H107" s="4">
        <v>0</v>
      </c>
      <c r="I107" s="15">
        <f>+F107/G107</f>
        <v>5</v>
      </c>
      <c r="J107" s="4">
        <v>6.77</v>
      </c>
      <c r="K107" s="4">
        <v>35</v>
      </c>
      <c r="L107" s="4">
        <v>-26.1</v>
      </c>
      <c r="P107" s="4" t="s">
        <v>74</v>
      </c>
      <c r="Q107" s="11">
        <f>+AVERAGEIFS(I:I,D:D,P107)</f>
        <v>7.9465789473684207</v>
      </c>
      <c r="R107" s="13">
        <f>+I107/Q107-1</f>
        <v>-0.37079842368447191</v>
      </c>
    </row>
    <row r="108" spans="1:18" hidden="1" x14ac:dyDescent="0.25">
      <c r="A108" s="4">
        <v>1965</v>
      </c>
      <c r="B108" s="4" t="s">
        <v>92</v>
      </c>
      <c r="C108" s="4" t="s">
        <v>62</v>
      </c>
      <c r="D108" s="4" t="s">
        <v>74</v>
      </c>
      <c r="E108" s="4" t="s">
        <v>75</v>
      </c>
      <c r="F108" s="4">
        <v>4</v>
      </c>
      <c r="G108" s="4">
        <v>1</v>
      </c>
      <c r="H108" s="4">
        <v>0</v>
      </c>
      <c r="I108" s="15">
        <f>+F108/G108</f>
        <v>4</v>
      </c>
      <c r="J108" s="4">
        <v>6.77</v>
      </c>
      <c r="K108" s="4">
        <v>35</v>
      </c>
      <c r="L108" s="4">
        <v>-40.9</v>
      </c>
      <c r="P108" s="4" t="s">
        <v>74</v>
      </c>
      <c r="Q108" s="11">
        <f>+AVERAGEIFS(I:I,D:D,P108)</f>
        <v>7.9465789473684207</v>
      </c>
      <c r="R108" s="13">
        <f>+I108/Q108-1</f>
        <v>-0.4966387389475776</v>
      </c>
    </row>
    <row r="109" spans="1:18" hidden="1" x14ac:dyDescent="0.25">
      <c r="A109" s="4">
        <v>1992</v>
      </c>
      <c r="B109" s="4" t="s">
        <v>93</v>
      </c>
      <c r="C109" s="4" t="s">
        <v>62</v>
      </c>
      <c r="D109" s="4" t="s">
        <v>74</v>
      </c>
      <c r="E109" s="4" t="s">
        <v>75</v>
      </c>
      <c r="F109" s="4">
        <v>4.8</v>
      </c>
      <c r="G109" s="4">
        <v>1</v>
      </c>
      <c r="H109" s="4">
        <v>0</v>
      </c>
      <c r="I109" s="15">
        <f>+F109/G109</f>
        <v>4.8</v>
      </c>
      <c r="J109" s="4">
        <v>6.77</v>
      </c>
      <c r="K109" s="4">
        <v>35</v>
      </c>
      <c r="L109" s="4">
        <v>-29.1</v>
      </c>
      <c r="P109" s="4" t="s">
        <v>74</v>
      </c>
      <c r="Q109" s="11">
        <f>+AVERAGEIFS(I:I,D:D,P109)</f>
        <v>7.9465789473684207</v>
      </c>
      <c r="R109" s="13">
        <f>+I109/Q109-1</f>
        <v>-0.39596648673709312</v>
      </c>
    </row>
    <row r="110" spans="1:18" hidden="1" x14ac:dyDescent="0.25">
      <c r="A110">
        <v>2005</v>
      </c>
      <c r="B110" t="s">
        <v>94</v>
      </c>
      <c r="C110" t="s">
        <v>62</v>
      </c>
      <c r="D110" t="s">
        <v>74</v>
      </c>
      <c r="E110" t="s">
        <v>75</v>
      </c>
      <c r="F110">
        <v>7.2</v>
      </c>
      <c r="G110">
        <v>1</v>
      </c>
      <c r="H110">
        <v>0</v>
      </c>
      <c r="I110" s="12">
        <f>+F110/G110</f>
        <v>7.2</v>
      </c>
      <c r="J110">
        <v>6.77</v>
      </c>
      <c r="K110">
        <v>35</v>
      </c>
      <c r="L110">
        <v>6.4</v>
      </c>
      <c r="P110" t="s">
        <v>74</v>
      </c>
      <c r="Q110" s="11">
        <f>+AVERAGEIFS(I:I,D:D,P110)</f>
        <v>7.9465789473684207</v>
      </c>
      <c r="R110" s="13">
        <f>+I110/Q110-1</f>
        <v>-9.3949730105639562E-2</v>
      </c>
    </row>
    <row r="111" spans="1:18" hidden="1" x14ac:dyDescent="0.25">
      <c r="A111">
        <v>1993</v>
      </c>
      <c r="B111" t="s">
        <v>95</v>
      </c>
      <c r="C111" t="s">
        <v>62</v>
      </c>
      <c r="D111" t="s">
        <v>74</v>
      </c>
      <c r="E111" t="s">
        <v>75</v>
      </c>
      <c r="F111">
        <v>6.1</v>
      </c>
      <c r="G111">
        <v>1</v>
      </c>
      <c r="H111">
        <v>0</v>
      </c>
      <c r="I111" s="15">
        <f>+F111/G111</f>
        <v>6.1</v>
      </c>
      <c r="J111">
        <v>6.77</v>
      </c>
      <c r="K111">
        <v>35</v>
      </c>
      <c r="L111">
        <v>-9.9</v>
      </c>
      <c r="P111" t="s">
        <v>74</v>
      </c>
      <c r="Q111" s="11">
        <f>+AVERAGEIFS(I:I,D:D,P111)</f>
        <v>7.9465789473684207</v>
      </c>
      <c r="R111" s="13">
        <f>+I111/Q111-1</f>
        <v>-0.23237407689505585</v>
      </c>
    </row>
    <row r="112" spans="1:18" hidden="1" x14ac:dyDescent="0.25">
      <c r="A112">
        <v>1994</v>
      </c>
      <c r="B112" t="s">
        <v>96</v>
      </c>
      <c r="C112" t="s">
        <v>62</v>
      </c>
      <c r="D112" t="s">
        <v>74</v>
      </c>
      <c r="E112" t="s">
        <v>75</v>
      </c>
      <c r="F112">
        <v>6.7</v>
      </c>
      <c r="G112">
        <v>1</v>
      </c>
      <c r="H112">
        <v>0</v>
      </c>
      <c r="I112" s="15">
        <f>+F112/G112</f>
        <v>6.7</v>
      </c>
      <c r="J112">
        <v>6.77</v>
      </c>
      <c r="K112">
        <v>35</v>
      </c>
      <c r="L112">
        <v>-1</v>
      </c>
      <c r="P112" t="s">
        <v>74</v>
      </c>
      <c r="Q112" s="11">
        <f>+AVERAGEIFS(I:I,D:D,P112)</f>
        <v>7.9465789473684207</v>
      </c>
      <c r="R112" s="13">
        <f>+I112/Q112-1</f>
        <v>-0.15686988773719235</v>
      </c>
    </row>
    <row r="113" spans="1:18" hidden="1" x14ac:dyDescent="0.25">
      <c r="A113">
        <v>1967</v>
      </c>
      <c r="B113" t="s">
        <v>97</v>
      </c>
      <c r="C113" t="s">
        <v>62</v>
      </c>
      <c r="D113" t="s">
        <v>74</v>
      </c>
      <c r="E113" t="s">
        <v>75</v>
      </c>
      <c r="F113">
        <v>6</v>
      </c>
      <c r="G113">
        <v>1</v>
      </c>
      <c r="H113">
        <v>0</v>
      </c>
      <c r="I113" s="15">
        <f>+F113/G113</f>
        <v>6</v>
      </c>
      <c r="J113">
        <v>6.77</v>
      </c>
      <c r="K113">
        <v>35</v>
      </c>
      <c r="L113">
        <v>-11.3</v>
      </c>
      <c r="P113" t="s">
        <v>74</v>
      </c>
      <c r="Q113" s="11">
        <f>+AVERAGEIFS(I:I,D:D,P113)</f>
        <v>7.9465789473684207</v>
      </c>
      <c r="R113" s="13">
        <f>+I113/Q113-1</f>
        <v>-0.24495810842136634</v>
      </c>
    </row>
    <row r="114" spans="1:18" hidden="1" x14ac:dyDescent="0.25">
      <c r="A114">
        <v>1995</v>
      </c>
      <c r="B114" t="s">
        <v>98</v>
      </c>
      <c r="C114" t="s">
        <v>62</v>
      </c>
      <c r="D114" t="s">
        <v>74</v>
      </c>
      <c r="E114" t="s">
        <v>75</v>
      </c>
      <c r="F114">
        <v>6.2</v>
      </c>
      <c r="G114">
        <v>1</v>
      </c>
      <c r="H114">
        <v>0</v>
      </c>
      <c r="I114" s="15">
        <f>+F114/G114</f>
        <v>6.2</v>
      </c>
      <c r="J114">
        <v>6.77</v>
      </c>
      <c r="K114">
        <v>35</v>
      </c>
      <c r="L114">
        <v>-8.4</v>
      </c>
      <c r="P114" t="s">
        <v>74</v>
      </c>
      <c r="Q114" s="11">
        <f>+AVERAGEIFS(I:I,D:D,P114)</f>
        <v>7.9465789473684207</v>
      </c>
      <c r="R114" s="13">
        <f>+I114/Q114-1</f>
        <v>-0.21979004536874513</v>
      </c>
    </row>
    <row r="115" spans="1:18" hidden="1" x14ac:dyDescent="0.25">
      <c r="A115">
        <v>1968</v>
      </c>
      <c r="B115" t="s">
        <v>99</v>
      </c>
      <c r="C115" t="s">
        <v>62</v>
      </c>
      <c r="D115" t="s">
        <v>74</v>
      </c>
      <c r="E115" t="s">
        <v>75</v>
      </c>
      <c r="F115">
        <v>7.5</v>
      </c>
      <c r="G115">
        <v>1</v>
      </c>
      <c r="H115">
        <v>0</v>
      </c>
      <c r="I115" s="12">
        <f>+F115/G115</f>
        <v>7.5</v>
      </c>
      <c r="J115">
        <v>6.77</v>
      </c>
      <c r="K115">
        <v>35</v>
      </c>
      <c r="L115">
        <v>10.8</v>
      </c>
      <c r="P115" t="s">
        <v>74</v>
      </c>
      <c r="Q115" s="11">
        <f>+AVERAGEIFS(I:I,D:D,P115)</f>
        <v>7.9465789473684207</v>
      </c>
      <c r="R115" s="13">
        <f>+I115/Q115-1</f>
        <v>-5.6197635526707868E-2</v>
      </c>
    </row>
    <row r="116" spans="1:18" hidden="1" x14ac:dyDescent="0.25">
      <c r="A116" s="3">
        <v>2420</v>
      </c>
      <c r="B116" s="3" t="s">
        <v>211</v>
      </c>
      <c r="C116" s="3" t="s">
        <v>237</v>
      </c>
      <c r="D116" s="3" t="s">
        <v>309</v>
      </c>
      <c r="E116" s="3" t="s">
        <v>310</v>
      </c>
      <c r="F116" s="3">
        <v>29.5</v>
      </c>
      <c r="G116" s="3">
        <v>1</v>
      </c>
      <c r="H116" s="3">
        <v>0</v>
      </c>
      <c r="I116" s="15">
        <f>+F116/G116</f>
        <v>29.5</v>
      </c>
      <c r="J116" s="3">
        <v>24.38</v>
      </c>
      <c r="K116" s="3">
        <v>4</v>
      </c>
      <c r="L116" s="3">
        <v>21</v>
      </c>
      <c r="P116" s="3" t="s">
        <v>309</v>
      </c>
      <c r="Q116" s="11">
        <f>+AVERAGEIFS(I:I,D:D,P116)</f>
        <v>24.375000000000004</v>
      </c>
      <c r="R116" s="13">
        <f>+I116/Q116-1</f>
        <v>0.21025641025641018</v>
      </c>
    </row>
    <row r="117" spans="1:18" hidden="1" x14ac:dyDescent="0.25">
      <c r="A117">
        <v>2028</v>
      </c>
      <c r="B117" t="s">
        <v>79</v>
      </c>
      <c r="C117" t="s">
        <v>62</v>
      </c>
      <c r="D117" t="s">
        <v>100</v>
      </c>
      <c r="E117" t="s">
        <v>101</v>
      </c>
      <c r="F117">
        <v>16.8</v>
      </c>
      <c r="G117">
        <v>1</v>
      </c>
      <c r="H117">
        <v>0</v>
      </c>
      <c r="I117" s="12">
        <f>+F117/G117</f>
        <v>16.8</v>
      </c>
      <c r="J117">
        <v>18.09</v>
      </c>
      <c r="K117">
        <v>5</v>
      </c>
      <c r="L117">
        <v>-7.1</v>
      </c>
      <c r="P117" t="s">
        <v>100</v>
      </c>
      <c r="Q117" s="11">
        <f>+AVERAGEIFS(I:I,D:D,P117)</f>
        <v>17.326000000000001</v>
      </c>
      <c r="R117" s="13">
        <f>+I117/Q117-1</f>
        <v>-3.0358998037631313E-2</v>
      </c>
    </row>
    <row r="118" spans="1:18" hidden="1" x14ac:dyDescent="0.25">
      <c r="A118">
        <v>2018</v>
      </c>
      <c r="B118" t="s">
        <v>70</v>
      </c>
      <c r="C118" t="s">
        <v>62</v>
      </c>
      <c r="D118" t="s">
        <v>100</v>
      </c>
      <c r="E118" t="s">
        <v>101</v>
      </c>
      <c r="F118">
        <v>16.23</v>
      </c>
      <c r="G118">
        <v>1</v>
      </c>
      <c r="H118">
        <v>0</v>
      </c>
      <c r="I118" s="12">
        <f>+F118/G118</f>
        <v>16.23</v>
      </c>
      <c r="J118">
        <v>18.09</v>
      </c>
      <c r="K118">
        <v>5</v>
      </c>
      <c r="L118">
        <v>-10.3</v>
      </c>
      <c r="P118" t="s">
        <v>100</v>
      </c>
      <c r="Q118" s="11">
        <f>+AVERAGEIFS(I:I,D:D,P118)</f>
        <v>17.326000000000001</v>
      </c>
      <c r="R118" s="13">
        <f>+I118/Q118-1</f>
        <v>-6.3257532032783059E-2</v>
      </c>
    </row>
    <row r="119" spans="1:18" hidden="1" x14ac:dyDescent="0.25">
      <c r="A119" s="5">
        <v>2304</v>
      </c>
      <c r="B119" s="5" t="s">
        <v>212</v>
      </c>
      <c r="C119" s="5" t="s">
        <v>237</v>
      </c>
      <c r="D119" s="5" t="s">
        <v>309</v>
      </c>
      <c r="E119" s="5" t="s">
        <v>310</v>
      </c>
      <c r="F119" s="5">
        <v>21.2</v>
      </c>
      <c r="G119" s="5">
        <v>1</v>
      </c>
      <c r="H119" s="5">
        <v>0</v>
      </c>
      <c r="I119" s="15">
        <f>+F119/G119</f>
        <v>21.2</v>
      </c>
      <c r="J119">
        <v>24.38</v>
      </c>
      <c r="K119">
        <v>4</v>
      </c>
      <c r="L119">
        <v>-13</v>
      </c>
      <c r="P119" s="5" t="s">
        <v>309</v>
      </c>
      <c r="Q119" s="11">
        <f>+AVERAGEIFS(I:I,D:D,P119)</f>
        <v>24.375000000000004</v>
      </c>
      <c r="R119" s="13">
        <f>+I119/Q119-1</f>
        <v>-0.13025641025641044</v>
      </c>
    </row>
    <row r="120" spans="1:18" hidden="1" x14ac:dyDescent="0.25">
      <c r="A120">
        <v>2008</v>
      </c>
      <c r="B120" t="s">
        <v>72</v>
      </c>
      <c r="C120" t="s">
        <v>62</v>
      </c>
      <c r="D120" t="s">
        <v>100</v>
      </c>
      <c r="E120" t="s">
        <v>101</v>
      </c>
      <c r="F120">
        <v>17.100000000000001</v>
      </c>
      <c r="G120">
        <v>1</v>
      </c>
      <c r="H120">
        <v>0</v>
      </c>
      <c r="I120" s="12">
        <f>+F120/G120</f>
        <v>17.100000000000001</v>
      </c>
      <c r="J120">
        <v>18.09</v>
      </c>
      <c r="K120">
        <v>5</v>
      </c>
      <c r="L120">
        <v>-5.5</v>
      </c>
      <c r="P120" t="s">
        <v>100</v>
      </c>
      <c r="Q120" s="11">
        <f>+AVERAGEIFS(I:I,D:D,P120)</f>
        <v>17.326000000000001</v>
      </c>
      <c r="R120" s="13">
        <f>+I120/Q120-1</f>
        <v>-1.3043980145446055E-2</v>
      </c>
    </row>
    <row r="121" spans="1:18" hidden="1" x14ac:dyDescent="0.25">
      <c r="A121">
        <v>2024</v>
      </c>
      <c r="B121" t="s">
        <v>61</v>
      </c>
      <c r="C121" t="s">
        <v>62</v>
      </c>
      <c r="D121" t="s">
        <v>102</v>
      </c>
      <c r="E121" t="s">
        <v>103</v>
      </c>
      <c r="F121">
        <v>16.8</v>
      </c>
      <c r="G121">
        <v>1</v>
      </c>
      <c r="H121">
        <v>0</v>
      </c>
      <c r="I121" s="12">
        <f>+F121/G121</f>
        <v>16.8</v>
      </c>
      <c r="J121">
        <v>16.8</v>
      </c>
      <c r="K121">
        <v>1</v>
      </c>
      <c r="L121">
        <v>0</v>
      </c>
      <c r="P121" t="s">
        <v>102</v>
      </c>
      <c r="Q121" s="11">
        <f>+AVERAGEIFS(I:I,D:D,P121)</f>
        <v>16.8</v>
      </c>
      <c r="R121" s="13">
        <f>+I121/Q121-1</f>
        <v>0</v>
      </c>
    </row>
    <row r="122" spans="1:18" hidden="1" x14ac:dyDescent="0.25">
      <c r="A122">
        <v>1997</v>
      </c>
      <c r="B122" t="s">
        <v>12</v>
      </c>
      <c r="C122" t="s">
        <v>62</v>
      </c>
      <c r="D122" t="s">
        <v>104</v>
      </c>
      <c r="E122" t="s">
        <v>105</v>
      </c>
      <c r="F122">
        <v>20.399999999999999</v>
      </c>
      <c r="G122">
        <v>2</v>
      </c>
      <c r="H122">
        <v>0</v>
      </c>
      <c r="I122" s="12">
        <f>+F122/G122</f>
        <v>10.199999999999999</v>
      </c>
      <c r="J122">
        <v>9.4499999999999993</v>
      </c>
      <c r="K122">
        <v>3</v>
      </c>
      <c r="L122">
        <v>7.9</v>
      </c>
      <c r="P122" t="s">
        <v>104</v>
      </c>
      <c r="Q122" s="11">
        <f>+AVERAGEIFS(I:I,D:D,P122)</f>
        <v>9.6133333333333333</v>
      </c>
      <c r="R122" s="13">
        <f>+I122/Q122-1</f>
        <v>6.1026352288488184E-2</v>
      </c>
    </row>
    <row r="123" spans="1:18" hidden="1" x14ac:dyDescent="0.25">
      <c r="A123">
        <v>1974</v>
      </c>
      <c r="B123" t="s">
        <v>68</v>
      </c>
      <c r="C123" t="s">
        <v>62</v>
      </c>
      <c r="D123" t="s">
        <v>104</v>
      </c>
      <c r="E123" t="s">
        <v>105</v>
      </c>
      <c r="F123">
        <v>10.199999999999999</v>
      </c>
      <c r="G123">
        <v>1</v>
      </c>
      <c r="H123">
        <v>0</v>
      </c>
      <c r="I123" s="12">
        <f>+F123/G123</f>
        <v>10.199999999999999</v>
      </c>
      <c r="J123">
        <v>9.4499999999999993</v>
      </c>
      <c r="K123">
        <v>3</v>
      </c>
      <c r="L123">
        <v>7.9</v>
      </c>
      <c r="P123" t="s">
        <v>104</v>
      </c>
      <c r="Q123" s="11">
        <f>+AVERAGEIFS(I:I,D:D,P123)</f>
        <v>9.6133333333333333</v>
      </c>
      <c r="R123" s="13">
        <f>+I123/Q123-1</f>
        <v>6.1026352288488184E-2</v>
      </c>
    </row>
    <row r="124" spans="1:18" hidden="1" x14ac:dyDescent="0.25">
      <c r="A124" s="6">
        <v>2401</v>
      </c>
      <c r="B124" s="6" t="s">
        <v>213</v>
      </c>
      <c r="C124" s="6" t="s">
        <v>237</v>
      </c>
      <c r="D124" s="6" t="s">
        <v>309</v>
      </c>
      <c r="E124" s="6" t="s">
        <v>310</v>
      </c>
      <c r="F124" s="6">
        <v>19.100000000000001</v>
      </c>
      <c r="G124" s="6">
        <v>1</v>
      </c>
      <c r="H124" s="6">
        <v>0</v>
      </c>
      <c r="I124" s="15">
        <f>+F124/G124</f>
        <v>19.100000000000001</v>
      </c>
      <c r="J124" s="3">
        <v>24.38</v>
      </c>
      <c r="K124" s="3">
        <v>4</v>
      </c>
      <c r="L124" s="3">
        <v>-21.6</v>
      </c>
      <c r="P124" s="6" t="s">
        <v>309</v>
      </c>
      <c r="Q124" s="11">
        <f>+AVERAGEIFS(I:I,D:D,P124)</f>
        <v>24.375000000000004</v>
      </c>
      <c r="R124" s="13">
        <f>+I124/Q124-1</f>
        <v>-0.21641025641025646</v>
      </c>
    </row>
    <row r="125" spans="1:18" hidden="1" x14ac:dyDescent="0.25">
      <c r="A125">
        <v>1996</v>
      </c>
      <c r="B125" t="s">
        <v>12</v>
      </c>
      <c r="C125" t="s">
        <v>62</v>
      </c>
      <c r="D125" t="s">
        <v>106</v>
      </c>
      <c r="E125" t="s">
        <v>107</v>
      </c>
      <c r="F125">
        <v>61.4</v>
      </c>
      <c r="G125">
        <v>6</v>
      </c>
      <c r="H125">
        <v>0</v>
      </c>
      <c r="I125" s="12">
        <f>+F125/G125</f>
        <v>10.233333333333333</v>
      </c>
      <c r="J125">
        <v>10.210000000000001</v>
      </c>
      <c r="K125">
        <v>5</v>
      </c>
      <c r="L125">
        <v>0.3</v>
      </c>
      <c r="P125" t="s">
        <v>106</v>
      </c>
      <c r="Q125" s="11">
        <f>+AVERAGEIFS(I:I,D:D,P125)</f>
        <v>10.147166666666665</v>
      </c>
      <c r="R125" s="13">
        <f>+I125/Q125-1</f>
        <v>8.4916971896917826E-3</v>
      </c>
    </row>
    <row r="126" spans="1:18" hidden="1" x14ac:dyDescent="0.25">
      <c r="A126">
        <v>1973</v>
      </c>
      <c r="B126" t="s">
        <v>68</v>
      </c>
      <c r="C126" t="s">
        <v>62</v>
      </c>
      <c r="D126" t="s">
        <v>106</v>
      </c>
      <c r="E126" t="s">
        <v>107</v>
      </c>
      <c r="F126">
        <v>81.400000000000006</v>
      </c>
      <c r="G126">
        <v>8</v>
      </c>
      <c r="H126">
        <v>0</v>
      </c>
      <c r="I126" s="12">
        <f>+F126/G126</f>
        <v>10.175000000000001</v>
      </c>
      <c r="J126">
        <v>10.210000000000001</v>
      </c>
      <c r="K126">
        <v>5</v>
      </c>
      <c r="L126">
        <v>-0.3</v>
      </c>
      <c r="P126" t="s">
        <v>106</v>
      </c>
      <c r="Q126" s="11">
        <f>+AVERAGEIFS(I:I,D:D,P126)</f>
        <v>10.147166666666665</v>
      </c>
      <c r="R126" s="13">
        <f>+I126/Q126-1</f>
        <v>2.7429660167865855E-3</v>
      </c>
    </row>
    <row r="127" spans="1:18" hidden="1" x14ac:dyDescent="0.25">
      <c r="A127">
        <v>2016</v>
      </c>
      <c r="B127" t="s">
        <v>70</v>
      </c>
      <c r="C127" t="s">
        <v>62</v>
      </c>
      <c r="D127" t="s">
        <v>106</v>
      </c>
      <c r="E127" t="s">
        <v>107</v>
      </c>
      <c r="F127">
        <v>60.8</v>
      </c>
      <c r="G127">
        <v>6</v>
      </c>
      <c r="H127">
        <v>0</v>
      </c>
      <c r="I127" s="12">
        <f>+F127/G127</f>
        <v>10.133333333333333</v>
      </c>
      <c r="J127">
        <v>10.210000000000001</v>
      </c>
      <c r="K127">
        <v>5</v>
      </c>
      <c r="L127">
        <v>-0.7</v>
      </c>
      <c r="P127" t="s">
        <v>106</v>
      </c>
      <c r="Q127" s="11">
        <f>+AVERAGEIFS(I:I,D:D,P127)</f>
        <v>10.147166666666665</v>
      </c>
      <c r="R127" s="13">
        <f>+I127/Q127-1</f>
        <v>-1.3632705352889518E-3</v>
      </c>
    </row>
    <row r="128" spans="1:18" hidden="1" x14ac:dyDescent="0.25">
      <c r="A128">
        <v>2029</v>
      </c>
      <c r="B128" t="s">
        <v>25</v>
      </c>
      <c r="C128" t="s">
        <v>62</v>
      </c>
      <c r="D128" t="s">
        <v>106</v>
      </c>
      <c r="E128" t="s">
        <v>107</v>
      </c>
      <c r="F128">
        <v>10.4</v>
      </c>
      <c r="G128">
        <v>1</v>
      </c>
      <c r="H128">
        <v>0</v>
      </c>
      <c r="I128" s="12">
        <f>+F128/G128</f>
        <v>10.4</v>
      </c>
      <c r="J128">
        <v>10.210000000000001</v>
      </c>
      <c r="K128">
        <v>5</v>
      </c>
      <c r="L128">
        <v>1.9</v>
      </c>
      <c r="P128" t="s">
        <v>106</v>
      </c>
      <c r="Q128" s="11">
        <f>+AVERAGEIFS(I:I,D:D,P128)</f>
        <v>10.147166666666665</v>
      </c>
      <c r="R128" s="13">
        <f>+I128/Q128-1</f>
        <v>2.4916643397993044E-2</v>
      </c>
    </row>
    <row r="129" spans="1:18" hidden="1" x14ac:dyDescent="0.25">
      <c r="A129">
        <v>2006</v>
      </c>
      <c r="B129" t="s">
        <v>72</v>
      </c>
      <c r="C129" t="s">
        <v>62</v>
      </c>
      <c r="D129" t="s">
        <v>106</v>
      </c>
      <c r="E129" t="s">
        <v>107</v>
      </c>
      <c r="F129">
        <v>61.6</v>
      </c>
      <c r="G129">
        <v>6</v>
      </c>
      <c r="H129">
        <v>0</v>
      </c>
      <c r="I129" s="12">
        <f>+F129/G129</f>
        <v>10.266666666666667</v>
      </c>
      <c r="J129">
        <v>10.210000000000001</v>
      </c>
      <c r="K129">
        <v>5</v>
      </c>
      <c r="L129">
        <v>0.6</v>
      </c>
      <c r="P129" t="s">
        <v>106</v>
      </c>
      <c r="Q129" s="11">
        <f>+AVERAGEIFS(I:I,D:D,P129)</f>
        <v>10.147166666666665</v>
      </c>
      <c r="R129" s="13">
        <f>+I129/Q129-1</f>
        <v>1.1776686431352212E-2</v>
      </c>
    </row>
    <row r="130" spans="1:18" hidden="1" x14ac:dyDescent="0.25">
      <c r="A130">
        <v>2345</v>
      </c>
      <c r="B130" t="s">
        <v>117</v>
      </c>
      <c r="C130" t="s">
        <v>237</v>
      </c>
      <c r="D130" t="s">
        <v>309</v>
      </c>
      <c r="E130" t="s">
        <v>310</v>
      </c>
      <c r="F130">
        <v>27.7</v>
      </c>
      <c r="G130">
        <v>1</v>
      </c>
      <c r="H130">
        <v>0</v>
      </c>
      <c r="I130" s="15">
        <f>+F130/G130</f>
        <v>27.7</v>
      </c>
      <c r="J130">
        <v>24.38</v>
      </c>
      <c r="K130">
        <v>4</v>
      </c>
      <c r="L130">
        <v>13.6</v>
      </c>
      <c r="P130" t="s">
        <v>309</v>
      </c>
      <c r="Q130" s="11">
        <f>+AVERAGEIFS(I:I,D:D,P130)</f>
        <v>24.375000000000004</v>
      </c>
      <c r="R130" s="13">
        <f>+I130/Q130-1</f>
        <v>0.13641025641025628</v>
      </c>
    </row>
    <row r="131" spans="1:18" hidden="1" x14ac:dyDescent="0.25">
      <c r="A131" s="2">
        <v>2404</v>
      </c>
      <c r="B131" s="2" t="s">
        <v>213</v>
      </c>
      <c r="C131" s="2" t="s">
        <v>237</v>
      </c>
      <c r="D131" s="2" t="s">
        <v>275</v>
      </c>
      <c r="E131" s="2" t="s">
        <v>276</v>
      </c>
      <c r="F131" s="2">
        <v>32</v>
      </c>
      <c r="G131" s="2">
        <v>2</v>
      </c>
      <c r="H131" s="2">
        <v>0</v>
      </c>
      <c r="I131" s="15">
        <f>+F131/G131</f>
        <v>16</v>
      </c>
      <c r="J131" s="2">
        <v>12.38</v>
      </c>
      <c r="K131" s="2">
        <v>7</v>
      </c>
      <c r="L131" s="2">
        <v>29.3</v>
      </c>
      <c r="P131" s="2" t="s">
        <v>275</v>
      </c>
      <c r="Q131" s="11">
        <f>+AVERAGEIFS(I:I,D:D,P131)</f>
        <v>13.572380952380952</v>
      </c>
      <c r="R131" s="13">
        <f>+I131/Q131-1</f>
        <v>0.17886464107781919</v>
      </c>
    </row>
    <row r="132" spans="1:18" hidden="1" x14ac:dyDescent="0.25">
      <c r="A132" s="4">
        <v>2333</v>
      </c>
      <c r="B132" s="4" t="s">
        <v>220</v>
      </c>
      <c r="C132" s="4" t="s">
        <v>237</v>
      </c>
      <c r="D132" s="4" t="s">
        <v>275</v>
      </c>
      <c r="E132" s="4" t="s">
        <v>276</v>
      </c>
      <c r="F132" s="4">
        <v>11</v>
      </c>
      <c r="G132" s="4">
        <v>3</v>
      </c>
      <c r="H132" s="4">
        <v>0</v>
      </c>
      <c r="I132" s="15">
        <f>+F132/G132</f>
        <v>3.6666666666666665</v>
      </c>
      <c r="J132" s="2">
        <v>12.38</v>
      </c>
      <c r="K132" s="2">
        <v>7</v>
      </c>
      <c r="L132" s="2">
        <v>-70.400000000000006</v>
      </c>
      <c r="P132" s="4" t="s">
        <v>275</v>
      </c>
      <c r="Q132" s="11">
        <f>+AVERAGEIFS(I:I,D:D,P132)</f>
        <v>13.572380952380952</v>
      </c>
      <c r="R132" s="13">
        <f>+I132/Q132-1</f>
        <v>-0.72984351975299977</v>
      </c>
    </row>
    <row r="133" spans="1:18" hidden="1" x14ac:dyDescent="0.25">
      <c r="A133" s="2">
        <v>2320</v>
      </c>
      <c r="B133" s="2" t="s">
        <v>277</v>
      </c>
      <c r="C133" s="2" t="s">
        <v>237</v>
      </c>
      <c r="D133" s="2" t="s">
        <v>275</v>
      </c>
      <c r="E133" s="2" t="s">
        <v>276</v>
      </c>
      <c r="F133" s="2">
        <v>43.6</v>
      </c>
      <c r="G133" s="2">
        <v>2</v>
      </c>
      <c r="H133" s="2">
        <v>0</v>
      </c>
      <c r="I133" s="15">
        <f>+F133/G133</f>
        <v>21.8</v>
      </c>
      <c r="J133" s="2">
        <v>12.38</v>
      </c>
      <c r="K133" s="2">
        <v>7</v>
      </c>
      <c r="L133" s="2">
        <v>76.099999999999994</v>
      </c>
      <c r="P133" s="2" t="s">
        <v>275</v>
      </c>
      <c r="Q133" s="11">
        <f>+AVERAGEIFS(I:I,D:D,P133)</f>
        <v>13.572380952380952</v>
      </c>
      <c r="R133" s="13">
        <f>+I133/Q133-1</f>
        <v>0.60620307346852864</v>
      </c>
    </row>
    <row r="134" spans="1:18" hidden="1" x14ac:dyDescent="0.25">
      <c r="A134">
        <v>2447</v>
      </c>
      <c r="B134" t="s">
        <v>111</v>
      </c>
      <c r="C134" t="s">
        <v>108</v>
      </c>
      <c r="D134" t="s">
        <v>109</v>
      </c>
      <c r="E134" t="s">
        <v>110</v>
      </c>
      <c r="F134">
        <v>4</v>
      </c>
      <c r="G134">
        <v>2</v>
      </c>
      <c r="H134">
        <v>0</v>
      </c>
      <c r="I134" s="12">
        <f>+F134/G134</f>
        <v>2</v>
      </c>
      <c r="J134">
        <v>1.89</v>
      </c>
      <c r="K134">
        <v>5</v>
      </c>
      <c r="L134">
        <v>5.7</v>
      </c>
      <c r="P134" t="s">
        <v>109</v>
      </c>
      <c r="Q134" s="11">
        <f>+AVERAGEIFS(I:I,D:D,P134)</f>
        <v>1.8566666666666667</v>
      </c>
      <c r="R134" s="13">
        <f>+I134/Q134-1</f>
        <v>7.719928186714542E-2</v>
      </c>
    </row>
    <row r="135" spans="1:18" hidden="1" x14ac:dyDescent="0.25">
      <c r="A135" s="6">
        <v>2347</v>
      </c>
      <c r="B135" s="6" t="s">
        <v>117</v>
      </c>
      <c r="C135" s="6" t="s">
        <v>237</v>
      </c>
      <c r="D135" s="6" t="s">
        <v>275</v>
      </c>
      <c r="E135" s="6" t="s">
        <v>276</v>
      </c>
      <c r="F135" s="6">
        <v>48.2</v>
      </c>
      <c r="G135" s="6">
        <v>5</v>
      </c>
      <c r="H135" s="6">
        <v>0</v>
      </c>
      <c r="I135" s="15">
        <f>+F135/G135</f>
        <v>9.64</v>
      </c>
      <c r="J135" s="3">
        <v>12.38</v>
      </c>
      <c r="K135" s="3">
        <v>7</v>
      </c>
      <c r="L135" s="3">
        <v>-22.1</v>
      </c>
      <c r="P135" s="6" t="s">
        <v>275</v>
      </c>
      <c r="Q135" s="11">
        <f>+AVERAGEIFS(I:I,D:D,P135)</f>
        <v>13.572380952380952</v>
      </c>
      <c r="R135" s="13">
        <f>+I135/Q135-1</f>
        <v>-0.2897340537506139</v>
      </c>
    </row>
    <row r="136" spans="1:18" hidden="1" x14ac:dyDescent="0.25">
      <c r="A136">
        <v>2426</v>
      </c>
      <c r="B136" t="s">
        <v>115</v>
      </c>
      <c r="C136" t="s">
        <v>108</v>
      </c>
      <c r="D136" t="s">
        <v>113</v>
      </c>
      <c r="E136" t="s">
        <v>114</v>
      </c>
      <c r="F136">
        <v>4.2</v>
      </c>
      <c r="G136">
        <v>1</v>
      </c>
      <c r="H136">
        <v>0</v>
      </c>
      <c r="I136" s="12">
        <f>+F136/G136</f>
        <v>4.2</v>
      </c>
      <c r="J136">
        <v>3.8</v>
      </c>
      <c r="K136">
        <v>6</v>
      </c>
      <c r="L136">
        <v>10.5</v>
      </c>
      <c r="P136" t="s">
        <v>113</v>
      </c>
      <c r="Q136" s="11">
        <f>+AVERAGEIFS(I:I,D:D,P136)</f>
        <v>4.083333333333333</v>
      </c>
      <c r="R136" s="13">
        <f>+I136/Q136-1</f>
        <v>2.8571428571428692E-2</v>
      </c>
    </row>
    <row r="137" spans="1:18" hidden="1" x14ac:dyDescent="0.25">
      <c r="A137" s="2">
        <v>2406</v>
      </c>
      <c r="B137" s="2" t="s">
        <v>213</v>
      </c>
      <c r="C137" s="2" t="s">
        <v>237</v>
      </c>
      <c r="D137" s="2" t="s">
        <v>307</v>
      </c>
      <c r="E137" s="2" t="s">
        <v>308</v>
      </c>
      <c r="F137" s="2">
        <v>33.5</v>
      </c>
      <c r="G137" s="2">
        <v>1</v>
      </c>
      <c r="H137" s="2">
        <v>0</v>
      </c>
      <c r="I137" s="15">
        <f>+F137/G137</f>
        <v>33.5</v>
      </c>
      <c r="J137" s="2">
        <v>24</v>
      </c>
      <c r="K137" s="2">
        <v>6</v>
      </c>
      <c r="L137" s="2">
        <v>39.6</v>
      </c>
      <c r="P137" s="2" t="s">
        <v>307</v>
      </c>
      <c r="Q137" s="11">
        <f>+AVERAGEIFS(I:I,D:D,P137)</f>
        <v>23.400000000000002</v>
      </c>
      <c r="R137" s="13">
        <f>+I137/Q137-1</f>
        <v>0.43162393162393142</v>
      </c>
    </row>
    <row r="138" spans="1:18" hidden="1" x14ac:dyDescent="0.25">
      <c r="A138" s="6">
        <v>2324</v>
      </c>
      <c r="B138" s="6" t="s">
        <v>18</v>
      </c>
      <c r="C138" s="6" t="s">
        <v>237</v>
      </c>
      <c r="D138" s="6" t="s">
        <v>307</v>
      </c>
      <c r="E138" s="6" t="s">
        <v>308</v>
      </c>
      <c r="F138" s="6">
        <v>20</v>
      </c>
      <c r="G138" s="6">
        <v>1</v>
      </c>
      <c r="H138" s="6">
        <v>0</v>
      </c>
      <c r="I138" s="15">
        <f>+F138/G138</f>
        <v>20</v>
      </c>
      <c r="J138" s="3">
        <v>24</v>
      </c>
      <c r="K138" s="3">
        <v>6</v>
      </c>
      <c r="L138" s="3">
        <v>-16.7</v>
      </c>
      <c r="P138" s="6" t="s">
        <v>307</v>
      </c>
      <c r="Q138" s="11">
        <f>+AVERAGEIFS(I:I,D:D,P138)</f>
        <v>23.400000000000002</v>
      </c>
      <c r="R138" s="13">
        <f>+I138/Q138-1</f>
        <v>-0.14529914529914534</v>
      </c>
    </row>
    <row r="139" spans="1:18" hidden="1" x14ac:dyDescent="0.25">
      <c r="A139" s="4">
        <v>2339</v>
      </c>
      <c r="B139" s="4" t="s">
        <v>298</v>
      </c>
      <c r="C139" s="4" t="s">
        <v>237</v>
      </c>
      <c r="D139" s="4" t="s">
        <v>307</v>
      </c>
      <c r="E139" s="4" t="s">
        <v>308</v>
      </c>
      <c r="F139" s="4">
        <v>11.5</v>
      </c>
      <c r="G139" s="4">
        <v>1</v>
      </c>
      <c r="H139" s="4">
        <v>0</v>
      </c>
      <c r="I139" s="15">
        <f>+F139/G139</f>
        <v>11.5</v>
      </c>
      <c r="J139" s="2">
        <v>24</v>
      </c>
      <c r="K139" s="2">
        <v>6</v>
      </c>
      <c r="L139" s="2">
        <v>-52.1</v>
      </c>
      <c r="P139" s="4" t="s">
        <v>307</v>
      </c>
      <c r="Q139" s="11">
        <f>+AVERAGEIFS(I:I,D:D,P139)</f>
        <v>23.400000000000002</v>
      </c>
      <c r="R139" s="13">
        <f>+I139/Q139-1</f>
        <v>-0.50854700854700852</v>
      </c>
    </row>
    <row r="140" spans="1:18" hidden="1" x14ac:dyDescent="0.25">
      <c r="A140">
        <v>2349</v>
      </c>
      <c r="B140" t="s">
        <v>117</v>
      </c>
      <c r="C140" t="s">
        <v>237</v>
      </c>
      <c r="D140" t="s">
        <v>307</v>
      </c>
      <c r="E140" t="s">
        <v>308</v>
      </c>
      <c r="F140">
        <v>54.4</v>
      </c>
      <c r="G140">
        <v>2</v>
      </c>
      <c r="H140">
        <v>0</v>
      </c>
      <c r="I140" s="15">
        <f>+F140/G140</f>
        <v>27.2</v>
      </c>
      <c r="J140">
        <v>24</v>
      </c>
      <c r="K140">
        <v>6</v>
      </c>
      <c r="L140">
        <v>13.3</v>
      </c>
      <c r="P140" t="s">
        <v>307</v>
      </c>
      <c r="Q140" s="11">
        <f>+AVERAGEIFS(I:I,D:D,P140)</f>
        <v>23.400000000000002</v>
      </c>
      <c r="R140" s="13">
        <f>+I140/Q140-1</f>
        <v>0.16239316239316226</v>
      </c>
    </row>
    <row r="141" spans="1:18" hidden="1" x14ac:dyDescent="0.25">
      <c r="A141">
        <v>2443</v>
      </c>
      <c r="B141" t="s">
        <v>20</v>
      </c>
      <c r="C141" t="s">
        <v>108</v>
      </c>
      <c r="D141" t="s">
        <v>119</v>
      </c>
      <c r="E141" t="s">
        <v>120</v>
      </c>
      <c r="F141">
        <v>88.3</v>
      </c>
      <c r="G141">
        <v>9</v>
      </c>
      <c r="H141">
        <v>0</v>
      </c>
      <c r="I141" s="12">
        <f>+F141/G141</f>
        <v>9.81111111111111</v>
      </c>
      <c r="J141">
        <v>9.1999999999999993</v>
      </c>
      <c r="K141">
        <v>13</v>
      </c>
      <c r="L141">
        <v>6.6</v>
      </c>
      <c r="P141" t="s">
        <v>119</v>
      </c>
      <c r="Q141" s="11">
        <f>+AVERAGEIFS(I:I,D:D,P141)</f>
        <v>9.5472954822954836</v>
      </c>
      <c r="R141" s="13">
        <f>+I141/Q141-1</f>
        <v>2.7632498575627773E-2</v>
      </c>
    </row>
    <row r="142" spans="1:18" hidden="1" x14ac:dyDescent="0.25">
      <c r="A142">
        <v>2436</v>
      </c>
      <c r="B142" t="s">
        <v>121</v>
      </c>
      <c r="C142" t="s">
        <v>108</v>
      </c>
      <c r="D142" t="s">
        <v>119</v>
      </c>
      <c r="E142" t="s">
        <v>120</v>
      </c>
      <c r="F142">
        <v>78.2</v>
      </c>
      <c r="G142">
        <v>8</v>
      </c>
      <c r="H142">
        <v>0</v>
      </c>
      <c r="I142" s="12">
        <f>+F142/G142</f>
        <v>9.7750000000000004</v>
      </c>
      <c r="J142">
        <v>9.1999999999999993</v>
      </c>
      <c r="K142">
        <v>13</v>
      </c>
      <c r="L142">
        <v>6.2</v>
      </c>
      <c r="P142" t="s">
        <v>119</v>
      </c>
      <c r="Q142" s="11">
        <f>+AVERAGEIFS(I:I,D:D,P142)</f>
        <v>9.5472954822954836</v>
      </c>
      <c r="R142" s="13">
        <f>+I142/Q142-1</f>
        <v>2.3850159254709569E-2</v>
      </c>
    </row>
    <row r="143" spans="1:18" hidden="1" x14ac:dyDescent="0.25">
      <c r="A143">
        <v>2437</v>
      </c>
      <c r="B143" t="s">
        <v>17</v>
      </c>
      <c r="C143" t="s">
        <v>108</v>
      </c>
      <c r="D143" t="s">
        <v>119</v>
      </c>
      <c r="E143" t="s">
        <v>120</v>
      </c>
      <c r="F143">
        <v>91</v>
      </c>
      <c r="G143">
        <v>10</v>
      </c>
      <c r="H143">
        <v>0</v>
      </c>
      <c r="I143" s="12">
        <f>+F143/G143</f>
        <v>9.1</v>
      </c>
      <c r="J143">
        <v>9.1999999999999993</v>
      </c>
      <c r="K143">
        <v>13</v>
      </c>
      <c r="L143">
        <v>-1.1000000000000001</v>
      </c>
      <c r="P143" t="s">
        <v>119</v>
      </c>
      <c r="Q143" s="11">
        <f>+AVERAGEIFS(I:I,D:D,P143)</f>
        <v>9.5472954822954836</v>
      </c>
      <c r="R143" s="13">
        <f>+I143/Q143-1</f>
        <v>-4.6850491128608063E-2</v>
      </c>
    </row>
    <row r="144" spans="1:18" hidden="1" x14ac:dyDescent="0.25">
      <c r="A144">
        <v>2439</v>
      </c>
      <c r="B144" t="s">
        <v>18</v>
      </c>
      <c r="C144" t="s">
        <v>108</v>
      </c>
      <c r="D144" t="s">
        <v>119</v>
      </c>
      <c r="E144" t="s">
        <v>120</v>
      </c>
      <c r="F144">
        <v>89.5</v>
      </c>
      <c r="G144">
        <v>9</v>
      </c>
      <c r="H144">
        <v>0</v>
      </c>
      <c r="I144" s="12">
        <f>+F144/G144</f>
        <v>9.9444444444444446</v>
      </c>
      <c r="J144">
        <v>9.1999999999999993</v>
      </c>
      <c r="K144">
        <v>13</v>
      </c>
      <c r="L144">
        <v>8.1</v>
      </c>
      <c r="P144" t="s">
        <v>119</v>
      </c>
      <c r="Q144" s="11">
        <f>+AVERAGEIFS(I:I,D:D,P144)</f>
        <v>9.5472954822954836</v>
      </c>
      <c r="R144" s="13">
        <f>+I144/Q144-1</f>
        <v>4.1598059145171895E-2</v>
      </c>
    </row>
    <row r="145" spans="1:18" hidden="1" x14ac:dyDescent="0.25">
      <c r="A145">
        <v>2442</v>
      </c>
      <c r="B145" t="s">
        <v>25</v>
      </c>
      <c r="C145" t="s">
        <v>108</v>
      </c>
      <c r="D145" t="s">
        <v>119</v>
      </c>
      <c r="E145" t="s">
        <v>120</v>
      </c>
      <c r="F145">
        <v>105.6</v>
      </c>
      <c r="G145">
        <v>12</v>
      </c>
      <c r="H145">
        <v>0</v>
      </c>
      <c r="I145" s="12">
        <f>+F145/G145</f>
        <v>8.7999999999999989</v>
      </c>
      <c r="J145">
        <v>9.1999999999999993</v>
      </c>
      <c r="K145">
        <v>13</v>
      </c>
      <c r="L145">
        <v>-4.4000000000000004</v>
      </c>
      <c r="P145" t="s">
        <v>119</v>
      </c>
      <c r="Q145" s="11">
        <f>+AVERAGEIFS(I:I,D:D,P145)</f>
        <v>9.5472954822954836</v>
      </c>
      <c r="R145" s="13">
        <f>+I145/Q145-1</f>
        <v>-7.8273002410082504E-2</v>
      </c>
    </row>
    <row r="146" spans="1:18" hidden="1" x14ac:dyDescent="0.25">
      <c r="A146">
        <v>2446</v>
      </c>
      <c r="B146" t="s">
        <v>111</v>
      </c>
      <c r="C146" t="s">
        <v>108</v>
      </c>
      <c r="D146" t="s">
        <v>119</v>
      </c>
      <c r="E146" t="s">
        <v>120</v>
      </c>
      <c r="F146">
        <v>97.6</v>
      </c>
      <c r="G146">
        <v>10</v>
      </c>
      <c r="H146">
        <v>0</v>
      </c>
      <c r="I146" s="12">
        <f>+F146/G146</f>
        <v>9.76</v>
      </c>
      <c r="J146">
        <v>9.1999999999999993</v>
      </c>
      <c r="K146">
        <v>13</v>
      </c>
      <c r="L146">
        <v>6.1</v>
      </c>
      <c r="P146" t="s">
        <v>119</v>
      </c>
      <c r="Q146" s="11">
        <f>+AVERAGEIFS(I:I,D:D,P146)</f>
        <v>9.5472954822954836</v>
      </c>
      <c r="R146" s="13">
        <f>+I146/Q146-1</f>
        <v>2.2279033690635774E-2</v>
      </c>
    </row>
    <row r="147" spans="1:18" hidden="1" x14ac:dyDescent="0.25">
      <c r="A147">
        <v>1969</v>
      </c>
      <c r="B147" t="s">
        <v>67</v>
      </c>
      <c r="C147" t="s">
        <v>62</v>
      </c>
      <c r="D147" t="s">
        <v>65</v>
      </c>
      <c r="E147" t="s">
        <v>66</v>
      </c>
      <c r="F147">
        <v>30</v>
      </c>
      <c r="G147">
        <v>1</v>
      </c>
      <c r="H147">
        <v>0</v>
      </c>
      <c r="I147" s="15">
        <f>+F147/G147</f>
        <v>30</v>
      </c>
      <c r="J147">
        <v>28.18</v>
      </c>
      <c r="K147">
        <v>9</v>
      </c>
      <c r="L147">
        <v>6.4</v>
      </c>
      <c r="P147" t="s">
        <v>65</v>
      </c>
      <c r="Q147" s="11">
        <f>+AVERAGEIFS(I:I,D:D,P147)</f>
        <v>26.819444444444436</v>
      </c>
      <c r="R147" s="13">
        <f>+I147/Q147-1</f>
        <v>0.11859140341791852</v>
      </c>
    </row>
    <row r="148" spans="1:18" hidden="1" x14ac:dyDescent="0.25">
      <c r="A148">
        <v>1975</v>
      </c>
      <c r="B148" t="s">
        <v>68</v>
      </c>
      <c r="C148" t="s">
        <v>62</v>
      </c>
      <c r="D148" t="s">
        <v>65</v>
      </c>
      <c r="E148" t="s">
        <v>66</v>
      </c>
      <c r="F148">
        <v>62.4</v>
      </c>
      <c r="G148">
        <v>2</v>
      </c>
      <c r="H148">
        <v>0</v>
      </c>
      <c r="I148" s="15">
        <f>+F148/G148</f>
        <v>31.2</v>
      </c>
      <c r="J148">
        <v>28.18</v>
      </c>
      <c r="K148">
        <v>9</v>
      </c>
      <c r="L148">
        <v>10.7</v>
      </c>
      <c r="P148" t="s">
        <v>65</v>
      </c>
      <c r="Q148" s="11">
        <f>+AVERAGEIFS(I:I,D:D,P148)</f>
        <v>26.819444444444436</v>
      </c>
      <c r="R148" s="13">
        <f>+I148/Q148-1</f>
        <v>0.16333505955463523</v>
      </c>
    </row>
    <row r="149" spans="1:18" hidden="1" x14ac:dyDescent="0.25">
      <c r="A149">
        <v>2441</v>
      </c>
      <c r="B149" t="s">
        <v>117</v>
      </c>
      <c r="C149" t="s">
        <v>108</v>
      </c>
      <c r="D149" t="s">
        <v>119</v>
      </c>
      <c r="E149" t="s">
        <v>120</v>
      </c>
      <c r="F149">
        <v>19</v>
      </c>
      <c r="G149">
        <v>2</v>
      </c>
      <c r="H149">
        <v>0</v>
      </c>
      <c r="I149" s="12">
        <f>+F149/G149</f>
        <v>9.5</v>
      </c>
      <c r="J149">
        <v>9.1999999999999993</v>
      </c>
      <c r="K149">
        <v>13</v>
      </c>
      <c r="L149">
        <v>3.2</v>
      </c>
      <c r="P149" t="s">
        <v>119</v>
      </c>
      <c r="Q149" s="11">
        <f>+AVERAGEIFS(I:I,D:D,P149)</f>
        <v>9.5472954822954836</v>
      </c>
      <c r="R149" s="13">
        <f>+I149/Q149-1</f>
        <v>-4.9538094199753635E-3</v>
      </c>
    </row>
    <row r="150" spans="1:18" hidden="1" x14ac:dyDescent="0.25">
      <c r="A150">
        <v>2432</v>
      </c>
      <c r="B150" t="s">
        <v>92</v>
      </c>
      <c r="C150" t="s">
        <v>108</v>
      </c>
      <c r="D150" t="s">
        <v>119</v>
      </c>
      <c r="E150" t="s">
        <v>120</v>
      </c>
      <c r="F150">
        <v>18.8</v>
      </c>
      <c r="G150">
        <v>2</v>
      </c>
      <c r="H150">
        <v>0</v>
      </c>
      <c r="I150" s="12">
        <f>+F150/G150</f>
        <v>9.4</v>
      </c>
      <c r="J150">
        <v>9.1999999999999993</v>
      </c>
      <c r="K150">
        <v>13</v>
      </c>
      <c r="L150">
        <v>2.1</v>
      </c>
      <c r="P150" t="s">
        <v>119</v>
      </c>
      <c r="Q150" s="11">
        <f>+AVERAGEIFS(I:I,D:D,P150)</f>
        <v>9.5472954822954836</v>
      </c>
      <c r="R150" s="13">
        <f>+I150/Q150-1</f>
        <v>-1.5427979847133511E-2</v>
      </c>
    </row>
    <row r="151" spans="1:18" hidden="1" x14ac:dyDescent="0.25">
      <c r="A151">
        <v>2013</v>
      </c>
      <c r="B151" t="s">
        <v>69</v>
      </c>
      <c r="C151" t="s">
        <v>62</v>
      </c>
      <c r="D151" t="s">
        <v>65</v>
      </c>
      <c r="E151" t="s">
        <v>66</v>
      </c>
      <c r="F151">
        <v>29.9</v>
      </c>
      <c r="G151">
        <v>1</v>
      </c>
      <c r="H151">
        <v>0</v>
      </c>
      <c r="I151" s="15">
        <f>+F151/G151</f>
        <v>29.9</v>
      </c>
      <c r="J151">
        <v>28.18</v>
      </c>
      <c r="K151">
        <v>9</v>
      </c>
      <c r="L151">
        <v>6.1</v>
      </c>
      <c r="P151" t="s">
        <v>65</v>
      </c>
      <c r="Q151" s="11">
        <f>+AVERAGEIFS(I:I,D:D,P151)</f>
        <v>26.819444444444436</v>
      </c>
      <c r="R151" s="13">
        <f>+I151/Q151-1</f>
        <v>0.11486276540652551</v>
      </c>
    </row>
    <row r="152" spans="1:18" hidden="1" x14ac:dyDescent="0.25">
      <c r="A152">
        <v>2017</v>
      </c>
      <c r="B152" t="s">
        <v>70</v>
      </c>
      <c r="C152" t="s">
        <v>62</v>
      </c>
      <c r="D152" t="s">
        <v>65</v>
      </c>
      <c r="E152" t="s">
        <v>66</v>
      </c>
      <c r="F152">
        <v>119.2</v>
      </c>
      <c r="G152">
        <v>4</v>
      </c>
      <c r="H152">
        <v>0</v>
      </c>
      <c r="I152" s="15">
        <f>+F152/G152</f>
        <v>29.8</v>
      </c>
      <c r="J152">
        <v>28.18</v>
      </c>
      <c r="K152">
        <v>9</v>
      </c>
      <c r="L152">
        <v>5.7</v>
      </c>
      <c r="P152" t="s">
        <v>65</v>
      </c>
      <c r="Q152" s="11">
        <f>+AVERAGEIFS(I:I,D:D,P152)</f>
        <v>26.819444444444436</v>
      </c>
      <c r="R152" s="13">
        <f>+I152/Q152-1</f>
        <v>0.11113412739513251</v>
      </c>
    </row>
    <row r="153" spans="1:18" hidden="1" x14ac:dyDescent="0.25">
      <c r="A153">
        <v>2030</v>
      </c>
      <c r="B153" t="s">
        <v>25</v>
      </c>
      <c r="C153" t="s">
        <v>62</v>
      </c>
      <c r="D153" t="s">
        <v>65</v>
      </c>
      <c r="E153" t="s">
        <v>66</v>
      </c>
      <c r="F153">
        <v>31.3</v>
      </c>
      <c r="G153">
        <v>1</v>
      </c>
      <c r="H153">
        <v>0</v>
      </c>
      <c r="I153" s="15">
        <f>+F153/G153</f>
        <v>31.3</v>
      </c>
      <c r="J153">
        <v>28.18</v>
      </c>
      <c r="K153">
        <v>9</v>
      </c>
      <c r="L153">
        <v>11.1</v>
      </c>
      <c r="P153" t="s">
        <v>65</v>
      </c>
      <c r="Q153" s="11">
        <f>+AVERAGEIFS(I:I,D:D,P153)</f>
        <v>26.819444444444436</v>
      </c>
      <c r="R153" s="13">
        <f>+I153/Q153-1</f>
        <v>0.16706369756602846</v>
      </c>
    </row>
    <row r="154" spans="1:18" hidden="1" x14ac:dyDescent="0.25">
      <c r="A154">
        <v>1847</v>
      </c>
      <c r="B154" t="s">
        <v>122</v>
      </c>
      <c r="C154" t="s">
        <v>108</v>
      </c>
      <c r="D154" t="s">
        <v>123</v>
      </c>
      <c r="E154" t="s">
        <v>124</v>
      </c>
      <c r="F154">
        <v>1.2</v>
      </c>
      <c r="G154">
        <v>1</v>
      </c>
      <c r="H154">
        <v>0</v>
      </c>
      <c r="I154" s="12">
        <f>+F154/G154</f>
        <v>1.2</v>
      </c>
      <c r="J154">
        <v>1.2</v>
      </c>
      <c r="K154">
        <v>1</v>
      </c>
      <c r="L154">
        <v>0</v>
      </c>
      <c r="P154" t="s">
        <v>123</v>
      </c>
      <c r="Q154" s="11">
        <f>+AVERAGEIFS(I:I,D:D,P154)</f>
        <v>1.2</v>
      </c>
      <c r="R154" s="13">
        <f>+I154/Q154-1</f>
        <v>0</v>
      </c>
    </row>
    <row r="155" spans="1:18" hidden="1" x14ac:dyDescent="0.25">
      <c r="A155">
        <v>1843</v>
      </c>
      <c r="B155" t="s">
        <v>121</v>
      </c>
      <c r="C155" t="s">
        <v>108</v>
      </c>
      <c r="D155" t="s">
        <v>48</v>
      </c>
      <c r="E155" t="s">
        <v>49</v>
      </c>
      <c r="F155">
        <v>13.4</v>
      </c>
      <c r="G155">
        <v>1</v>
      </c>
      <c r="H155">
        <v>0</v>
      </c>
      <c r="I155" s="12">
        <f>+F155/G155</f>
        <v>13.4</v>
      </c>
      <c r="J155">
        <v>13.4</v>
      </c>
      <c r="K155">
        <v>2</v>
      </c>
      <c r="L155">
        <v>0</v>
      </c>
      <c r="P155" t="s">
        <v>48</v>
      </c>
      <c r="Q155" s="11">
        <f>+AVERAGEIFS(I:I,D:D,P155)</f>
        <v>12.879999999999999</v>
      </c>
      <c r="R155" s="13">
        <f>+I155/Q155-1</f>
        <v>4.0372670807453437E-2</v>
      </c>
    </row>
    <row r="156" spans="1:18" hidden="1" x14ac:dyDescent="0.25">
      <c r="A156">
        <v>1862</v>
      </c>
      <c r="B156" t="s">
        <v>117</v>
      </c>
      <c r="C156" t="s">
        <v>108</v>
      </c>
      <c r="D156" t="s">
        <v>48</v>
      </c>
      <c r="E156" t="s">
        <v>49</v>
      </c>
      <c r="F156">
        <v>13.4</v>
      </c>
      <c r="G156">
        <v>1</v>
      </c>
      <c r="H156">
        <v>0</v>
      </c>
      <c r="I156" s="12">
        <f>+F156/G156</f>
        <v>13.4</v>
      </c>
      <c r="J156">
        <v>13.4</v>
      </c>
      <c r="K156">
        <v>2</v>
      </c>
      <c r="L156">
        <v>0</v>
      </c>
      <c r="P156" t="s">
        <v>48</v>
      </c>
      <c r="Q156" s="11">
        <f>+AVERAGEIFS(I:I,D:D,P156)</f>
        <v>12.879999999999999</v>
      </c>
      <c r="R156" s="13">
        <f>+I156/Q156-1</f>
        <v>4.0372670807453437E-2</v>
      </c>
    </row>
    <row r="157" spans="1:18" hidden="1" x14ac:dyDescent="0.25">
      <c r="A157">
        <v>2445</v>
      </c>
      <c r="B157" t="s">
        <v>20</v>
      </c>
      <c r="C157" t="s">
        <v>108</v>
      </c>
      <c r="D157" t="s">
        <v>125</v>
      </c>
      <c r="E157" t="s">
        <v>126</v>
      </c>
      <c r="F157">
        <v>31.2</v>
      </c>
      <c r="G157">
        <v>2</v>
      </c>
      <c r="H157">
        <v>0</v>
      </c>
      <c r="I157" s="12">
        <f>+F157/G157</f>
        <v>15.6</v>
      </c>
      <c r="J157">
        <v>15.29</v>
      </c>
      <c r="K157">
        <v>13</v>
      </c>
      <c r="L157">
        <v>2</v>
      </c>
      <c r="P157" t="s">
        <v>125</v>
      </c>
      <c r="Q157" s="11">
        <f>+AVERAGEIFS(I:I,D:D,P157)</f>
        <v>15.364102564102565</v>
      </c>
      <c r="R157" s="13">
        <f>+I157/Q157-1</f>
        <v>1.5353805073431204E-2</v>
      </c>
    </row>
    <row r="158" spans="1:18" hidden="1" x14ac:dyDescent="0.25">
      <c r="A158">
        <v>1829</v>
      </c>
      <c r="B158" t="s">
        <v>112</v>
      </c>
      <c r="C158" t="s">
        <v>108</v>
      </c>
      <c r="D158" t="s">
        <v>125</v>
      </c>
      <c r="E158" t="s">
        <v>126</v>
      </c>
      <c r="F158">
        <v>45.2</v>
      </c>
      <c r="G158">
        <v>3</v>
      </c>
      <c r="H158">
        <v>0</v>
      </c>
      <c r="I158" s="12">
        <f>+F158/G158</f>
        <v>15.066666666666668</v>
      </c>
      <c r="J158">
        <v>15.29</v>
      </c>
      <c r="K158">
        <v>13</v>
      </c>
      <c r="L158">
        <v>-1.4</v>
      </c>
      <c r="P158" t="s">
        <v>125</v>
      </c>
      <c r="Q158" s="11">
        <f>+AVERAGEIFS(I:I,D:D,P158)</f>
        <v>15.364102564102565</v>
      </c>
      <c r="R158" s="13">
        <f>+I158/Q158-1</f>
        <v>-1.9359145527369725E-2</v>
      </c>
    </row>
    <row r="159" spans="1:18" hidden="1" x14ac:dyDescent="0.25">
      <c r="A159">
        <v>1842</v>
      </c>
      <c r="B159" t="s">
        <v>121</v>
      </c>
      <c r="C159" t="s">
        <v>108</v>
      </c>
      <c r="D159" t="s">
        <v>125</v>
      </c>
      <c r="E159" t="s">
        <v>126</v>
      </c>
      <c r="F159">
        <v>55.2</v>
      </c>
      <c r="G159">
        <v>4</v>
      </c>
      <c r="H159">
        <v>0</v>
      </c>
      <c r="I159" s="12">
        <f>+F159/G159</f>
        <v>13.8</v>
      </c>
      <c r="J159">
        <v>15.29</v>
      </c>
      <c r="K159">
        <v>13</v>
      </c>
      <c r="L159">
        <v>-9.6999999999999993</v>
      </c>
      <c r="P159" t="s">
        <v>125</v>
      </c>
      <c r="Q159" s="11">
        <f>+AVERAGEIFS(I:I,D:D,P159)</f>
        <v>15.364102564102565</v>
      </c>
      <c r="R159" s="13">
        <f>+I159/Q159-1</f>
        <v>-0.10180240320427236</v>
      </c>
    </row>
    <row r="160" spans="1:18" hidden="1" x14ac:dyDescent="0.25">
      <c r="A160">
        <v>1855</v>
      </c>
      <c r="B160" t="s">
        <v>18</v>
      </c>
      <c r="C160" t="s">
        <v>108</v>
      </c>
      <c r="D160" t="s">
        <v>125</v>
      </c>
      <c r="E160" t="s">
        <v>126</v>
      </c>
      <c r="F160">
        <v>31.6</v>
      </c>
      <c r="G160">
        <v>2</v>
      </c>
      <c r="H160">
        <v>0</v>
      </c>
      <c r="I160" s="12">
        <f>+F160/G160</f>
        <v>15.8</v>
      </c>
      <c r="J160">
        <v>15.29</v>
      </c>
      <c r="K160">
        <v>13</v>
      </c>
      <c r="L160">
        <v>3.3</v>
      </c>
      <c r="P160" t="s">
        <v>125</v>
      </c>
      <c r="Q160" s="11">
        <f>+AVERAGEIFS(I:I,D:D,P160)</f>
        <v>15.364102564102565</v>
      </c>
      <c r="R160" s="13">
        <f>+I160/Q160-1</f>
        <v>2.8371161548731649E-2</v>
      </c>
    </row>
    <row r="161" spans="1:18" hidden="1" x14ac:dyDescent="0.25">
      <c r="A161">
        <v>1866</v>
      </c>
      <c r="B161" t="s">
        <v>25</v>
      </c>
      <c r="C161" t="s">
        <v>108</v>
      </c>
      <c r="D161" t="s">
        <v>125</v>
      </c>
      <c r="E161" t="s">
        <v>126</v>
      </c>
      <c r="F161">
        <v>32.4</v>
      </c>
      <c r="G161">
        <v>2</v>
      </c>
      <c r="H161">
        <v>0</v>
      </c>
      <c r="I161" s="12">
        <f>+F161/G161</f>
        <v>16.2</v>
      </c>
      <c r="J161">
        <v>15.29</v>
      </c>
      <c r="K161">
        <v>13</v>
      </c>
      <c r="L161">
        <v>6</v>
      </c>
      <c r="P161" t="s">
        <v>125</v>
      </c>
      <c r="Q161" s="11">
        <f>+AVERAGEIFS(I:I,D:D,P161)</f>
        <v>15.364102564102565</v>
      </c>
      <c r="R161" s="13">
        <f>+I161/Q161-1</f>
        <v>5.4405874499332318E-2</v>
      </c>
    </row>
    <row r="162" spans="1:18" hidden="1" x14ac:dyDescent="0.25">
      <c r="A162">
        <v>1831</v>
      </c>
      <c r="B162" t="s">
        <v>127</v>
      </c>
      <c r="C162" t="s">
        <v>108</v>
      </c>
      <c r="D162" t="s">
        <v>125</v>
      </c>
      <c r="E162" t="s">
        <v>126</v>
      </c>
      <c r="F162">
        <v>16</v>
      </c>
      <c r="G162">
        <v>1</v>
      </c>
      <c r="H162">
        <v>0</v>
      </c>
      <c r="I162" s="12">
        <f>+F162/G162</f>
        <v>16</v>
      </c>
      <c r="J162">
        <v>15.29</v>
      </c>
      <c r="K162">
        <v>13</v>
      </c>
      <c r="L162">
        <v>4.7</v>
      </c>
      <c r="P162" t="s">
        <v>125</v>
      </c>
      <c r="Q162" s="11">
        <f>+AVERAGEIFS(I:I,D:D,P162)</f>
        <v>15.364102564102565</v>
      </c>
      <c r="R162" s="13">
        <f>+I162/Q162-1</f>
        <v>4.1388518024032095E-2</v>
      </c>
    </row>
    <row r="163" spans="1:18" hidden="1" x14ac:dyDescent="0.25">
      <c r="A163">
        <v>1989</v>
      </c>
      <c r="B163" t="s">
        <v>71</v>
      </c>
      <c r="C163" t="s">
        <v>62</v>
      </c>
      <c r="D163" t="s">
        <v>65</v>
      </c>
      <c r="E163" t="s">
        <v>66</v>
      </c>
      <c r="F163">
        <v>30.23</v>
      </c>
      <c r="G163">
        <v>1</v>
      </c>
      <c r="H163">
        <v>0</v>
      </c>
      <c r="I163" s="15">
        <f>+F163/G163</f>
        <v>30.23</v>
      </c>
      <c r="J163">
        <v>28.18</v>
      </c>
      <c r="K163">
        <v>9</v>
      </c>
      <c r="L163">
        <v>7.3</v>
      </c>
      <c r="P163" t="s">
        <v>65</v>
      </c>
      <c r="Q163" s="11">
        <f>+AVERAGEIFS(I:I,D:D,P163)</f>
        <v>26.819444444444436</v>
      </c>
      <c r="R163" s="13">
        <f>+I163/Q163-1</f>
        <v>0.12716727084412249</v>
      </c>
    </row>
    <row r="164" spans="1:18" hidden="1" x14ac:dyDescent="0.25">
      <c r="A164">
        <v>1848</v>
      </c>
      <c r="B164" t="s">
        <v>122</v>
      </c>
      <c r="C164" t="s">
        <v>108</v>
      </c>
      <c r="D164" t="s">
        <v>125</v>
      </c>
      <c r="E164" t="s">
        <v>126</v>
      </c>
      <c r="F164">
        <v>31.2</v>
      </c>
      <c r="G164">
        <v>2</v>
      </c>
      <c r="H164">
        <v>0</v>
      </c>
      <c r="I164" s="12">
        <f>+F164/G164</f>
        <v>15.6</v>
      </c>
      <c r="J164">
        <v>15.29</v>
      </c>
      <c r="K164">
        <v>13</v>
      </c>
      <c r="L164">
        <v>2</v>
      </c>
      <c r="P164" t="s">
        <v>125</v>
      </c>
      <c r="Q164" s="11">
        <f>+AVERAGEIFS(I:I,D:D,P164)</f>
        <v>15.364102564102565</v>
      </c>
      <c r="R164" s="13">
        <f>+I164/Q164-1</f>
        <v>1.5353805073431204E-2</v>
      </c>
    </row>
    <row r="165" spans="1:18" hidden="1" x14ac:dyDescent="0.25">
      <c r="A165">
        <v>1826</v>
      </c>
      <c r="B165" t="s">
        <v>115</v>
      </c>
      <c r="C165" t="s">
        <v>108</v>
      </c>
      <c r="D165" t="s">
        <v>125</v>
      </c>
      <c r="E165" t="s">
        <v>126</v>
      </c>
      <c r="F165">
        <v>32</v>
      </c>
      <c r="G165">
        <v>2</v>
      </c>
      <c r="H165">
        <v>0</v>
      </c>
      <c r="I165" s="12">
        <f>+F165/G165</f>
        <v>16</v>
      </c>
      <c r="J165">
        <v>15.29</v>
      </c>
      <c r="K165">
        <v>13</v>
      </c>
      <c r="L165">
        <v>4.7</v>
      </c>
      <c r="P165" t="s">
        <v>125</v>
      </c>
      <c r="Q165" s="11">
        <f>+AVERAGEIFS(I:I,D:D,P165)</f>
        <v>15.364102564102565</v>
      </c>
      <c r="R165" s="13">
        <f>+I165/Q165-1</f>
        <v>4.1388518024032095E-2</v>
      </c>
    </row>
    <row r="166" spans="1:18" hidden="1" x14ac:dyDescent="0.25">
      <c r="A166">
        <v>1835</v>
      </c>
      <c r="B166" t="s">
        <v>116</v>
      </c>
      <c r="C166" t="s">
        <v>108</v>
      </c>
      <c r="D166" t="s">
        <v>125</v>
      </c>
      <c r="E166" t="s">
        <v>126</v>
      </c>
      <c r="F166">
        <v>15.6</v>
      </c>
      <c r="G166">
        <v>1</v>
      </c>
      <c r="H166">
        <v>0</v>
      </c>
      <c r="I166" s="12">
        <f>+F166/G166</f>
        <v>15.6</v>
      </c>
      <c r="J166">
        <v>15.29</v>
      </c>
      <c r="K166">
        <v>13</v>
      </c>
      <c r="L166">
        <v>2</v>
      </c>
      <c r="P166" t="s">
        <v>125</v>
      </c>
      <c r="Q166" s="11">
        <f>+AVERAGEIFS(I:I,D:D,P166)</f>
        <v>15.364102564102565</v>
      </c>
      <c r="R166" s="13">
        <f>+I166/Q166-1</f>
        <v>1.5353805073431204E-2</v>
      </c>
    </row>
    <row r="167" spans="1:18" hidden="1" x14ac:dyDescent="0.25">
      <c r="A167">
        <v>1861</v>
      </c>
      <c r="B167" t="s">
        <v>117</v>
      </c>
      <c r="C167" t="s">
        <v>108</v>
      </c>
      <c r="D167" t="s">
        <v>125</v>
      </c>
      <c r="E167" t="s">
        <v>126</v>
      </c>
      <c r="F167">
        <v>47.6</v>
      </c>
      <c r="G167">
        <v>3</v>
      </c>
      <c r="H167">
        <v>0</v>
      </c>
      <c r="I167" s="12">
        <f>+F167/G167</f>
        <v>15.866666666666667</v>
      </c>
      <c r="J167">
        <v>15.29</v>
      </c>
      <c r="K167">
        <v>13</v>
      </c>
      <c r="L167">
        <v>3.8</v>
      </c>
      <c r="P167" t="s">
        <v>125</v>
      </c>
      <c r="Q167" s="11">
        <f>+AVERAGEIFS(I:I,D:D,P167)</f>
        <v>15.364102564102565</v>
      </c>
      <c r="R167" s="13">
        <f>+I167/Q167-1</f>
        <v>3.2710280373831724E-2</v>
      </c>
    </row>
    <row r="168" spans="1:18" hidden="1" x14ac:dyDescent="0.25">
      <c r="A168">
        <v>1838</v>
      </c>
      <c r="B168" t="s">
        <v>96</v>
      </c>
      <c r="C168" t="s">
        <v>108</v>
      </c>
      <c r="D168" t="s">
        <v>125</v>
      </c>
      <c r="E168" t="s">
        <v>126</v>
      </c>
      <c r="F168">
        <v>16</v>
      </c>
      <c r="G168">
        <v>1</v>
      </c>
      <c r="H168">
        <v>0</v>
      </c>
      <c r="I168" s="12">
        <f>+F168/G168</f>
        <v>16</v>
      </c>
      <c r="J168">
        <v>15.29</v>
      </c>
      <c r="K168">
        <v>13</v>
      </c>
      <c r="L168">
        <v>4.7</v>
      </c>
      <c r="P168" t="s">
        <v>125</v>
      </c>
      <c r="Q168" s="11">
        <f>+AVERAGEIFS(I:I,D:D,P168)</f>
        <v>15.364102564102565</v>
      </c>
      <c r="R168" s="13">
        <f>+I168/Q168-1</f>
        <v>4.1388518024032095E-2</v>
      </c>
    </row>
    <row r="169" spans="1:18" hidden="1" x14ac:dyDescent="0.25">
      <c r="A169">
        <v>1824</v>
      </c>
      <c r="B169" t="s">
        <v>118</v>
      </c>
      <c r="C169" t="s">
        <v>108</v>
      </c>
      <c r="D169" t="s">
        <v>125</v>
      </c>
      <c r="E169" t="s">
        <v>126</v>
      </c>
      <c r="F169">
        <v>15.8</v>
      </c>
      <c r="G169">
        <v>1</v>
      </c>
      <c r="H169">
        <v>0</v>
      </c>
      <c r="I169" s="12">
        <f>+F169/G169</f>
        <v>15.8</v>
      </c>
      <c r="J169">
        <v>15.29</v>
      </c>
      <c r="K169">
        <v>13</v>
      </c>
      <c r="L169">
        <v>3.3</v>
      </c>
      <c r="P169" t="s">
        <v>125</v>
      </c>
      <c r="Q169" s="11">
        <f>+AVERAGEIFS(I:I,D:D,P169)</f>
        <v>15.364102564102565</v>
      </c>
      <c r="R169" s="13">
        <f>+I169/Q169-1</f>
        <v>2.8371161548731649E-2</v>
      </c>
    </row>
    <row r="170" spans="1:18" hidden="1" x14ac:dyDescent="0.25">
      <c r="A170" s="7">
        <v>2007</v>
      </c>
      <c r="B170" s="7" t="s">
        <v>72</v>
      </c>
      <c r="C170" s="7" t="s">
        <v>62</v>
      </c>
      <c r="D170" s="7" t="s">
        <v>65</v>
      </c>
      <c r="E170" s="7" t="s">
        <v>66</v>
      </c>
      <c r="F170" s="7">
        <v>60.2</v>
      </c>
      <c r="G170" s="7">
        <v>3</v>
      </c>
      <c r="H170" s="7">
        <v>0</v>
      </c>
      <c r="I170" s="15">
        <f>+F170/G170</f>
        <v>20.066666666666666</v>
      </c>
      <c r="J170" s="7">
        <v>28.18</v>
      </c>
      <c r="K170" s="7">
        <v>9</v>
      </c>
      <c r="L170" s="7">
        <v>-28.8</v>
      </c>
      <c r="P170" s="7" t="s">
        <v>65</v>
      </c>
      <c r="Q170" s="11">
        <f>+AVERAGEIFS(I:I,D:D,P170)</f>
        <v>26.819444444444436</v>
      </c>
      <c r="R170" s="13">
        <f>+I170/Q170-1</f>
        <v>-0.25178663904712562</v>
      </c>
    </row>
    <row r="171" spans="1:18" hidden="1" x14ac:dyDescent="0.25">
      <c r="A171" s="2">
        <v>1820</v>
      </c>
      <c r="B171" s="2" t="s">
        <v>121</v>
      </c>
      <c r="C171" s="2" t="s">
        <v>203</v>
      </c>
      <c r="D171" s="2" t="s">
        <v>65</v>
      </c>
      <c r="E171" s="2" t="s">
        <v>66</v>
      </c>
      <c r="F171" s="2">
        <v>2</v>
      </c>
      <c r="G171" s="2">
        <v>2</v>
      </c>
      <c r="H171" s="2">
        <v>0</v>
      </c>
      <c r="I171" s="15">
        <f>+F171/G171</f>
        <v>1</v>
      </c>
      <c r="J171" s="2">
        <v>24.71</v>
      </c>
      <c r="K171" s="2">
        <v>11</v>
      </c>
      <c r="L171" s="2">
        <v>-96</v>
      </c>
      <c r="M171" t="s">
        <v>407</v>
      </c>
      <c r="P171" s="2" t="s">
        <v>65</v>
      </c>
      <c r="Q171" s="11">
        <f>+AVERAGEIFS(I:I,D:D,P171)</f>
        <v>26.819444444444436</v>
      </c>
      <c r="R171" s="13">
        <f>+I171/Q171-1</f>
        <v>-0.9627136198860694</v>
      </c>
    </row>
    <row r="172" spans="1:18" hidden="1" x14ac:dyDescent="0.25">
      <c r="A172" s="3">
        <v>1724</v>
      </c>
      <c r="B172" s="3" t="s">
        <v>205</v>
      </c>
      <c r="C172" s="3" t="s">
        <v>203</v>
      </c>
      <c r="D172" s="3" t="s">
        <v>65</v>
      </c>
      <c r="E172" s="3" t="s">
        <v>66</v>
      </c>
      <c r="F172" s="3">
        <v>61.37</v>
      </c>
      <c r="G172" s="3">
        <v>2</v>
      </c>
      <c r="H172" s="3">
        <v>0</v>
      </c>
      <c r="I172" s="15">
        <f>+F172/G172</f>
        <v>30.684999999999999</v>
      </c>
      <c r="J172" s="3">
        <v>24.71</v>
      </c>
      <c r="K172" s="3">
        <v>11</v>
      </c>
      <c r="L172" s="3">
        <v>24.2</v>
      </c>
      <c r="P172" s="3" t="s">
        <v>65</v>
      </c>
      <c r="Q172" s="11">
        <f>+AVERAGEIFS(I:I,D:D,P172)</f>
        <v>26.819444444444436</v>
      </c>
      <c r="R172" s="13">
        <f>+I172/Q172-1</f>
        <v>0.14413257379596089</v>
      </c>
    </row>
    <row r="173" spans="1:18" hidden="1" x14ac:dyDescent="0.25">
      <c r="A173" s="3">
        <v>1714</v>
      </c>
      <c r="B173" s="3" t="s">
        <v>208</v>
      </c>
      <c r="C173" s="3" t="s">
        <v>203</v>
      </c>
      <c r="D173" s="3" t="s">
        <v>65</v>
      </c>
      <c r="E173" s="3" t="s">
        <v>66</v>
      </c>
      <c r="F173" s="3">
        <v>60</v>
      </c>
      <c r="G173" s="3">
        <v>2</v>
      </c>
      <c r="H173" s="3">
        <v>0</v>
      </c>
      <c r="I173" s="15">
        <f>+F173/G173</f>
        <v>30</v>
      </c>
      <c r="J173" s="3">
        <v>24.71</v>
      </c>
      <c r="K173" s="3">
        <v>11</v>
      </c>
      <c r="L173" s="3">
        <v>21.4</v>
      </c>
      <c r="P173" s="3" t="s">
        <v>65</v>
      </c>
      <c r="Q173" s="11">
        <f>+AVERAGEIFS(I:I,D:D,P173)</f>
        <v>26.819444444444436</v>
      </c>
      <c r="R173" s="13">
        <f>+I173/Q173-1</f>
        <v>0.11859140341791852</v>
      </c>
    </row>
    <row r="174" spans="1:18" hidden="1" x14ac:dyDescent="0.25">
      <c r="A174" s="2">
        <v>1779</v>
      </c>
      <c r="B174" s="2" t="s">
        <v>52</v>
      </c>
      <c r="C174" s="2" t="s">
        <v>203</v>
      </c>
      <c r="D174" s="2" t="s">
        <v>65</v>
      </c>
      <c r="E174" s="2" t="s">
        <v>66</v>
      </c>
      <c r="F174" s="2">
        <v>5.2</v>
      </c>
      <c r="G174" s="2">
        <v>2</v>
      </c>
      <c r="H174" s="2">
        <v>0</v>
      </c>
      <c r="I174" s="15">
        <f>+F174/G174</f>
        <v>2.6</v>
      </c>
      <c r="J174" s="2">
        <v>24.71</v>
      </c>
      <c r="K174" s="2">
        <v>11</v>
      </c>
      <c r="L174" s="2">
        <v>-89.5</v>
      </c>
      <c r="M174" t="s">
        <v>407</v>
      </c>
      <c r="P174" s="2" t="s">
        <v>65</v>
      </c>
      <c r="Q174" s="11">
        <f>+AVERAGEIFS(I:I,D:D,P174)</f>
        <v>26.819444444444436</v>
      </c>
      <c r="R174" s="13">
        <f>+I174/Q174-1</f>
        <v>-0.90305541170378034</v>
      </c>
    </row>
    <row r="175" spans="1:18" hidden="1" x14ac:dyDescent="0.25">
      <c r="A175" s="3">
        <v>1774</v>
      </c>
      <c r="B175" s="3" t="s">
        <v>90</v>
      </c>
      <c r="C175" s="3" t="s">
        <v>203</v>
      </c>
      <c r="D175" s="3" t="s">
        <v>65</v>
      </c>
      <c r="E175" s="3" t="s">
        <v>66</v>
      </c>
      <c r="F175" s="3">
        <v>60.4</v>
      </c>
      <c r="G175" s="3">
        <v>2</v>
      </c>
      <c r="H175" s="3">
        <v>0</v>
      </c>
      <c r="I175" s="15">
        <f>+F175/G175</f>
        <v>30.2</v>
      </c>
      <c r="J175" s="3">
        <v>24.71</v>
      </c>
      <c r="K175" s="3">
        <v>11</v>
      </c>
      <c r="L175" s="3">
        <v>22.2</v>
      </c>
      <c r="P175" s="3" t="s">
        <v>65</v>
      </c>
      <c r="Q175" s="11">
        <f>+AVERAGEIFS(I:I,D:D,P175)</f>
        <v>26.819444444444436</v>
      </c>
      <c r="R175" s="13">
        <f>+I175/Q175-1</f>
        <v>0.12604867944070475</v>
      </c>
    </row>
    <row r="176" spans="1:18" hidden="1" x14ac:dyDescent="0.25">
      <c r="A176">
        <v>1016</v>
      </c>
      <c r="B176" t="s">
        <v>25</v>
      </c>
      <c r="C176" t="s">
        <v>133</v>
      </c>
      <c r="D176" t="s">
        <v>134</v>
      </c>
      <c r="E176" t="s">
        <v>135</v>
      </c>
      <c r="F176">
        <v>100</v>
      </c>
      <c r="G176">
        <v>1</v>
      </c>
      <c r="H176">
        <v>0</v>
      </c>
      <c r="I176" s="12">
        <f>+F176/G176</f>
        <v>100</v>
      </c>
      <c r="J176">
        <v>100</v>
      </c>
      <c r="K176">
        <v>1</v>
      </c>
      <c r="L176">
        <v>0</v>
      </c>
      <c r="P176" t="s">
        <v>134</v>
      </c>
      <c r="Q176" s="11">
        <f>+AVERAGEIFS(I:I,D:D,P176)</f>
        <v>100</v>
      </c>
      <c r="R176" s="13">
        <f>+I176/Q176-1</f>
        <v>0</v>
      </c>
    </row>
    <row r="177" spans="1:18" hidden="1" x14ac:dyDescent="0.25">
      <c r="A177">
        <v>1017</v>
      </c>
      <c r="B177" t="s">
        <v>25</v>
      </c>
      <c r="C177" t="s">
        <v>133</v>
      </c>
      <c r="D177" t="s">
        <v>136</v>
      </c>
      <c r="E177" t="s">
        <v>137</v>
      </c>
      <c r="F177">
        <v>100</v>
      </c>
      <c r="G177">
        <v>1</v>
      </c>
      <c r="H177">
        <v>0</v>
      </c>
      <c r="I177" s="12">
        <f>+F177/G177</f>
        <v>100</v>
      </c>
      <c r="J177">
        <v>100</v>
      </c>
      <c r="K177">
        <v>1</v>
      </c>
      <c r="L177">
        <v>0</v>
      </c>
      <c r="P177" t="s">
        <v>136</v>
      </c>
      <c r="Q177" s="11">
        <f>+AVERAGEIFS(I:I,D:D,P177)</f>
        <v>100</v>
      </c>
      <c r="R177" s="13">
        <f>+I177/Q177-1</f>
        <v>0</v>
      </c>
    </row>
    <row r="178" spans="1:18" hidden="1" x14ac:dyDescent="0.25">
      <c r="A178">
        <v>1032</v>
      </c>
      <c r="B178" t="s">
        <v>25</v>
      </c>
      <c r="C178" t="s">
        <v>133</v>
      </c>
      <c r="D178" t="s">
        <v>138</v>
      </c>
      <c r="E178" t="s">
        <v>139</v>
      </c>
      <c r="F178">
        <v>100</v>
      </c>
      <c r="G178">
        <v>1</v>
      </c>
      <c r="H178">
        <v>0</v>
      </c>
      <c r="I178" s="12">
        <f>+F178/G178</f>
        <v>100</v>
      </c>
      <c r="J178">
        <v>100</v>
      </c>
      <c r="K178">
        <v>1</v>
      </c>
      <c r="L178">
        <v>0</v>
      </c>
      <c r="P178" t="s">
        <v>138</v>
      </c>
      <c r="Q178" s="11">
        <f>+AVERAGEIFS(I:I,D:D,P178)</f>
        <v>100</v>
      </c>
      <c r="R178" s="13">
        <f>+I178/Q178-1</f>
        <v>0</v>
      </c>
    </row>
    <row r="179" spans="1:18" hidden="1" x14ac:dyDescent="0.25">
      <c r="A179">
        <v>1031</v>
      </c>
      <c r="B179" t="s">
        <v>25</v>
      </c>
      <c r="C179" t="s">
        <v>133</v>
      </c>
      <c r="D179" t="s">
        <v>140</v>
      </c>
      <c r="E179" t="s">
        <v>141</v>
      </c>
      <c r="F179">
        <v>100</v>
      </c>
      <c r="G179">
        <v>1</v>
      </c>
      <c r="H179">
        <v>0</v>
      </c>
      <c r="I179" s="12">
        <f>+F179/G179</f>
        <v>100</v>
      </c>
      <c r="J179">
        <v>100</v>
      </c>
      <c r="K179">
        <v>1</v>
      </c>
      <c r="L179">
        <v>0</v>
      </c>
      <c r="P179" t="s">
        <v>140</v>
      </c>
      <c r="Q179" s="11">
        <f>+AVERAGEIFS(I:I,D:D,P179)</f>
        <v>100</v>
      </c>
      <c r="R179" s="13">
        <f>+I179/Q179-1</f>
        <v>0</v>
      </c>
    </row>
    <row r="180" spans="1:18" hidden="1" x14ac:dyDescent="0.25">
      <c r="A180">
        <v>1045</v>
      </c>
      <c r="B180" t="s">
        <v>25</v>
      </c>
      <c r="C180" t="s">
        <v>133</v>
      </c>
      <c r="D180" t="s">
        <v>142</v>
      </c>
      <c r="E180" t="s">
        <v>143</v>
      </c>
      <c r="F180">
        <v>100</v>
      </c>
      <c r="G180">
        <v>1</v>
      </c>
      <c r="H180">
        <v>0</v>
      </c>
      <c r="I180" s="12">
        <f>+F180/G180</f>
        <v>100</v>
      </c>
      <c r="J180">
        <v>100</v>
      </c>
      <c r="K180">
        <v>1</v>
      </c>
      <c r="L180">
        <v>0</v>
      </c>
      <c r="P180" t="s">
        <v>142</v>
      </c>
      <c r="Q180" s="11">
        <f>+AVERAGEIFS(I:I,D:D,P180)</f>
        <v>100</v>
      </c>
      <c r="R180" s="13">
        <f>+I180/Q180-1</f>
        <v>0</v>
      </c>
    </row>
    <row r="181" spans="1:18" hidden="1" x14ac:dyDescent="0.25">
      <c r="A181">
        <v>1047</v>
      </c>
      <c r="B181" t="s">
        <v>25</v>
      </c>
      <c r="C181" t="s">
        <v>133</v>
      </c>
      <c r="D181" t="s">
        <v>144</v>
      </c>
      <c r="E181" t="s">
        <v>145</v>
      </c>
      <c r="F181">
        <v>100</v>
      </c>
      <c r="G181">
        <v>11</v>
      </c>
      <c r="H181">
        <v>0</v>
      </c>
      <c r="I181" s="12">
        <f>+F181/G181</f>
        <v>9.0909090909090917</v>
      </c>
      <c r="J181">
        <v>9.09</v>
      </c>
      <c r="K181">
        <v>1</v>
      </c>
      <c r="L181">
        <v>0</v>
      </c>
      <c r="P181" t="s">
        <v>144</v>
      </c>
      <c r="Q181" s="11">
        <f>+AVERAGEIFS(I:I,D:D,P181)</f>
        <v>9.0909090909090917</v>
      </c>
      <c r="R181" s="13">
        <f>+I181/Q181-1</f>
        <v>0</v>
      </c>
    </row>
    <row r="182" spans="1:18" hidden="1" x14ac:dyDescent="0.25">
      <c r="A182">
        <v>1048</v>
      </c>
      <c r="B182" t="s">
        <v>25</v>
      </c>
      <c r="C182" t="s">
        <v>133</v>
      </c>
      <c r="D182" t="s">
        <v>146</v>
      </c>
      <c r="E182" t="s">
        <v>147</v>
      </c>
      <c r="F182">
        <v>100</v>
      </c>
      <c r="G182">
        <v>1</v>
      </c>
      <c r="H182">
        <v>0</v>
      </c>
      <c r="I182" s="12">
        <f>+F182/G182</f>
        <v>100</v>
      </c>
      <c r="J182">
        <v>100</v>
      </c>
      <c r="K182">
        <v>1</v>
      </c>
      <c r="L182">
        <v>0</v>
      </c>
      <c r="P182" t="s">
        <v>146</v>
      </c>
      <c r="Q182" s="11">
        <f>+AVERAGEIFS(I:I,D:D,P182)</f>
        <v>100</v>
      </c>
      <c r="R182" s="13">
        <f>+I182/Q182-1</f>
        <v>0</v>
      </c>
    </row>
    <row r="183" spans="1:18" hidden="1" x14ac:dyDescent="0.25">
      <c r="A183">
        <v>1046</v>
      </c>
      <c r="B183" t="s">
        <v>25</v>
      </c>
      <c r="C183" t="s">
        <v>133</v>
      </c>
      <c r="D183" t="s">
        <v>148</v>
      </c>
      <c r="E183" t="s">
        <v>149</v>
      </c>
      <c r="F183">
        <v>100</v>
      </c>
      <c r="G183">
        <v>1</v>
      </c>
      <c r="H183">
        <v>0</v>
      </c>
      <c r="I183" s="12">
        <f>+F183/G183</f>
        <v>100</v>
      </c>
      <c r="J183">
        <v>100</v>
      </c>
      <c r="K183">
        <v>1</v>
      </c>
      <c r="L183">
        <v>0</v>
      </c>
      <c r="P183" t="s">
        <v>148</v>
      </c>
      <c r="Q183" s="11">
        <f>+AVERAGEIFS(I:I,D:D,P183)</f>
        <v>100</v>
      </c>
      <c r="R183" s="13">
        <f>+I183/Q183-1</f>
        <v>0</v>
      </c>
    </row>
    <row r="184" spans="1:18" hidden="1" x14ac:dyDescent="0.25">
      <c r="A184">
        <v>1039</v>
      </c>
      <c r="B184" t="s">
        <v>25</v>
      </c>
      <c r="C184" t="s">
        <v>133</v>
      </c>
      <c r="D184" t="s">
        <v>150</v>
      </c>
      <c r="E184" t="s">
        <v>151</v>
      </c>
      <c r="F184">
        <v>100</v>
      </c>
      <c r="G184">
        <v>1</v>
      </c>
      <c r="H184">
        <v>0</v>
      </c>
      <c r="I184" s="12">
        <f>+F184/G184</f>
        <v>100</v>
      </c>
      <c r="J184">
        <v>100</v>
      </c>
      <c r="K184">
        <v>1</v>
      </c>
      <c r="L184">
        <v>0</v>
      </c>
      <c r="P184" t="s">
        <v>150</v>
      </c>
      <c r="Q184" s="11">
        <f>+AVERAGEIFS(I:I,D:D,P184)</f>
        <v>100</v>
      </c>
      <c r="R184" s="13">
        <f>+I184/Q184-1</f>
        <v>0</v>
      </c>
    </row>
    <row r="185" spans="1:18" hidden="1" x14ac:dyDescent="0.25">
      <c r="A185" s="3">
        <v>1737</v>
      </c>
      <c r="B185" s="3" t="s">
        <v>34</v>
      </c>
      <c r="C185" s="3" t="s">
        <v>203</v>
      </c>
      <c r="D185" s="3" t="s">
        <v>65</v>
      </c>
      <c r="E185" s="3" t="s">
        <v>66</v>
      </c>
      <c r="F185" s="3">
        <v>151.30000000000001</v>
      </c>
      <c r="G185" s="3">
        <v>5</v>
      </c>
      <c r="H185" s="3">
        <v>0</v>
      </c>
      <c r="I185" s="15">
        <f>+F185/G185</f>
        <v>30.26</v>
      </c>
      <c r="J185" s="3">
        <v>24.71</v>
      </c>
      <c r="K185" s="3">
        <v>11</v>
      </c>
      <c r="L185" s="3">
        <v>22.5</v>
      </c>
      <c r="P185" s="3" t="s">
        <v>65</v>
      </c>
      <c r="Q185" s="11">
        <f>+AVERAGEIFS(I:I,D:D,P185)</f>
        <v>26.819444444444436</v>
      </c>
      <c r="R185" s="13">
        <f>+I185/Q185-1</f>
        <v>0.12828586224754046</v>
      </c>
    </row>
    <row r="186" spans="1:18" hidden="1" x14ac:dyDescent="0.25">
      <c r="A186">
        <v>1038</v>
      </c>
      <c r="B186" t="s">
        <v>25</v>
      </c>
      <c r="C186" t="s">
        <v>133</v>
      </c>
      <c r="D186" t="s">
        <v>152</v>
      </c>
      <c r="E186" t="s">
        <v>153</v>
      </c>
      <c r="F186">
        <v>100</v>
      </c>
      <c r="G186">
        <v>11</v>
      </c>
      <c r="H186">
        <v>0</v>
      </c>
      <c r="I186" s="12">
        <f>+F186/G186</f>
        <v>9.0909090909090917</v>
      </c>
      <c r="J186">
        <v>9.09</v>
      </c>
      <c r="K186">
        <v>1</v>
      </c>
      <c r="L186">
        <v>0</v>
      </c>
      <c r="P186" t="s">
        <v>152</v>
      </c>
      <c r="Q186" s="11">
        <f>+AVERAGEIFS(I:I,D:D,P186)</f>
        <v>9.0909090909090917</v>
      </c>
      <c r="R186" s="13">
        <f>+I186/Q186-1</f>
        <v>0</v>
      </c>
    </row>
    <row r="187" spans="1:18" hidden="1" x14ac:dyDescent="0.25">
      <c r="A187">
        <v>2212</v>
      </c>
      <c r="B187" t="s">
        <v>69</v>
      </c>
      <c r="C187" t="s">
        <v>324</v>
      </c>
      <c r="D187" t="s">
        <v>65</v>
      </c>
      <c r="E187" t="s">
        <v>339</v>
      </c>
      <c r="F187">
        <v>30.62</v>
      </c>
      <c r="G187">
        <v>1</v>
      </c>
      <c r="H187">
        <v>0</v>
      </c>
      <c r="I187" s="15">
        <f>+F187/G187</f>
        <v>30.62</v>
      </c>
      <c r="J187">
        <v>28.17</v>
      </c>
      <c r="K187">
        <v>10</v>
      </c>
      <c r="L187">
        <v>8.6999999999999993</v>
      </c>
      <c r="P187" t="s">
        <v>65</v>
      </c>
      <c r="Q187" s="11">
        <f>+AVERAGEIFS(I:I,D:D,P187)</f>
        <v>26.819444444444436</v>
      </c>
      <c r="R187" s="13">
        <f>+I187/Q187-1</f>
        <v>0.14170895908855563</v>
      </c>
    </row>
    <row r="188" spans="1:18" hidden="1" x14ac:dyDescent="0.25">
      <c r="A188">
        <v>1014</v>
      </c>
      <c r="B188" t="s">
        <v>25</v>
      </c>
      <c r="C188" t="s">
        <v>133</v>
      </c>
      <c r="D188" t="s">
        <v>156</v>
      </c>
      <c r="E188" t="s">
        <v>157</v>
      </c>
      <c r="F188">
        <v>100</v>
      </c>
      <c r="G188">
        <v>1</v>
      </c>
      <c r="H188">
        <v>0</v>
      </c>
      <c r="I188" s="12">
        <f>+F188/G188</f>
        <v>100</v>
      </c>
      <c r="J188">
        <v>100</v>
      </c>
      <c r="K188">
        <v>1</v>
      </c>
      <c r="L188">
        <v>0</v>
      </c>
      <c r="P188" t="s">
        <v>156</v>
      </c>
      <c r="Q188" s="11">
        <f>+AVERAGEIFS(I:I,D:D,P188)</f>
        <v>100</v>
      </c>
      <c r="R188" s="13">
        <f>+I188/Q188-1</f>
        <v>0</v>
      </c>
    </row>
    <row r="189" spans="1:18" hidden="1" x14ac:dyDescent="0.25">
      <c r="A189">
        <v>1042</v>
      </c>
      <c r="B189" t="s">
        <v>25</v>
      </c>
      <c r="C189" t="s">
        <v>133</v>
      </c>
      <c r="D189" t="s">
        <v>158</v>
      </c>
      <c r="E189" t="s">
        <v>159</v>
      </c>
      <c r="F189">
        <v>100</v>
      </c>
      <c r="G189">
        <v>1</v>
      </c>
      <c r="H189">
        <v>0</v>
      </c>
      <c r="I189" s="12">
        <f>+F189/G189</f>
        <v>100</v>
      </c>
      <c r="J189">
        <v>100</v>
      </c>
      <c r="K189">
        <v>1</v>
      </c>
      <c r="L189">
        <v>0</v>
      </c>
      <c r="P189" t="s">
        <v>158</v>
      </c>
      <c r="Q189" s="11">
        <f>+AVERAGEIFS(I:I,D:D,P189)</f>
        <v>100</v>
      </c>
      <c r="R189" s="13">
        <f>+I189/Q189-1</f>
        <v>0</v>
      </c>
    </row>
    <row r="190" spans="1:18" hidden="1" x14ac:dyDescent="0.25">
      <c r="A190">
        <v>1041</v>
      </c>
      <c r="B190" t="s">
        <v>25</v>
      </c>
      <c r="C190" t="s">
        <v>133</v>
      </c>
      <c r="D190" t="s">
        <v>160</v>
      </c>
      <c r="E190" t="s">
        <v>161</v>
      </c>
      <c r="F190">
        <v>100</v>
      </c>
      <c r="G190">
        <v>11</v>
      </c>
      <c r="H190">
        <v>0</v>
      </c>
      <c r="I190" s="12">
        <f>+F190/G190</f>
        <v>9.0909090909090917</v>
      </c>
      <c r="J190">
        <v>9.09</v>
      </c>
      <c r="K190">
        <v>1</v>
      </c>
      <c r="L190">
        <v>0</v>
      </c>
      <c r="P190" t="s">
        <v>160</v>
      </c>
      <c r="Q190" s="11">
        <f>+AVERAGEIFS(I:I,D:D,P190)</f>
        <v>9.0909090909090917</v>
      </c>
      <c r="R190" s="13">
        <f>+I190/Q190-1</f>
        <v>0</v>
      </c>
    </row>
    <row r="191" spans="1:18" hidden="1" x14ac:dyDescent="0.25">
      <c r="A191">
        <v>1043</v>
      </c>
      <c r="B191" t="s">
        <v>25</v>
      </c>
      <c r="C191" t="s">
        <v>133</v>
      </c>
      <c r="D191" t="s">
        <v>162</v>
      </c>
      <c r="E191" t="s">
        <v>163</v>
      </c>
      <c r="F191">
        <v>100</v>
      </c>
      <c r="G191">
        <v>11</v>
      </c>
      <c r="H191">
        <v>0</v>
      </c>
      <c r="I191" s="12">
        <f>+F191/G191</f>
        <v>9.0909090909090917</v>
      </c>
      <c r="J191">
        <v>9.09</v>
      </c>
      <c r="K191">
        <v>1</v>
      </c>
      <c r="L191">
        <v>0</v>
      </c>
      <c r="P191" t="s">
        <v>162</v>
      </c>
      <c r="Q191" s="11">
        <f>+AVERAGEIFS(I:I,D:D,P191)</f>
        <v>9.0909090909090917</v>
      </c>
      <c r="R191" s="13">
        <f>+I191/Q191-1</f>
        <v>0</v>
      </c>
    </row>
    <row r="192" spans="1:18" hidden="1" x14ac:dyDescent="0.25">
      <c r="A192">
        <v>1040</v>
      </c>
      <c r="B192" t="s">
        <v>25</v>
      </c>
      <c r="C192" t="s">
        <v>133</v>
      </c>
      <c r="D192" t="s">
        <v>164</v>
      </c>
      <c r="E192" t="s">
        <v>165</v>
      </c>
      <c r="F192">
        <v>100</v>
      </c>
      <c r="G192">
        <v>1</v>
      </c>
      <c r="H192">
        <v>0</v>
      </c>
      <c r="I192" s="12">
        <f>+F192/G192</f>
        <v>100</v>
      </c>
      <c r="J192">
        <v>100</v>
      </c>
      <c r="K192">
        <v>1</v>
      </c>
      <c r="L192">
        <v>0</v>
      </c>
      <c r="P192" t="s">
        <v>164</v>
      </c>
      <c r="Q192" s="11">
        <f>+AVERAGEIFS(I:I,D:D,P192)</f>
        <v>100</v>
      </c>
      <c r="R192" s="13">
        <f>+I192/Q192-1</f>
        <v>0</v>
      </c>
    </row>
    <row r="193" spans="1:18" hidden="1" x14ac:dyDescent="0.25">
      <c r="A193">
        <v>1044</v>
      </c>
      <c r="B193" t="s">
        <v>25</v>
      </c>
      <c r="C193" t="s">
        <v>133</v>
      </c>
      <c r="D193" t="s">
        <v>166</v>
      </c>
      <c r="E193" t="s">
        <v>167</v>
      </c>
      <c r="F193">
        <v>100</v>
      </c>
      <c r="G193">
        <v>1</v>
      </c>
      <c r="H193">
        <v>0</v>
      </c>
      <c r="I193" s="12">
        <f>+F193/G193</f>
        <v>100</v>
      </c>
      <c r="J193">
        <v>100</v>
      </c>
      <c r="K193">
        <v>1</v>
      </c>
      <c r="L193">
        <v>0</v>
      </c>
      <c r="P193" t="s">
        <v>166</v>
      </c>
      <c r="Q193" s="11">
        <f>+AVERAGEIFS(I:I,D:D,P193)</f>
        <v>100</v>
      </c>
      <c r="R193" s="13">
        <f>+I193/Q193-1</f>
        <v>0</v>
      </c>
    </row>
    <row r="194" spans="1:18" hidden="1" x14ac:dyDescent="0.25">
      <c r="A194">
        <v>1021</v>
      </c>
      <c r="B194" t="s">
        <v>25</v>
      </c>
      <c r="C194" t="s">
        <v>133</v>
      </c>
      <c r="D194" t="s">
        <v>168</v>
      </c>
      <c r="E194" t="s">
        <v>169</v>
      </c>
      <c r="F194">
        <v>100</v>
      </c>
      <c r="G194">
        <v>1</v>
      </c>
      <c r="H194">
        <v>0</v>
      </c>
      <c r="I194" s="12">
        <f>+F194/G194</f>
        <v>100</v>
      </c>
      <c r="J194">
        <v>100</v>
      </c>
      <c r="K194">
        <v>1</v>
      </c>
      <c r="L194">
        <v>0</v>
      </c>
      <c r="P194" t="s">
        <v>168</v>
      </c>
      <c r="Q194" s="11">
        <f>+AVERAGEIFS(I:I,D:D,P194)</f>
        <v>100</v>
      </c>
      <c r="R194" s="13">
        <f>+I194/Q194-1</f>
        <v>0</v>
      </c>
    </row>
    <row r="195" spans="1:18" hidden="1" x14ac:dyDescent="0.25">
      <c r="A195">
        <v>1035</v>
      </c>
      <c r="B195" t="s">
        <v>25</v>
      </c>
      <c r="C195" t="s">
        <v>133</v>
      </c>
      <c r="D195" t="s">
        <v>170</v>
      </c>
      <c r="E195" t="s">
        <v>171</v>
      </c>
      <c r="F195">
        <v>100</v>
      </c>
      <c r="G195">
        <v>1</v>
      </c>
      <c r="H195">
        <v>0</v>
      </c>
      <c r="I195" s="12">
        <f>+F195/G195</f>
        <v>100</v>
      </c>
      <c r="J195">
        <v>100</v>
      </c>
      <c r="K195">
        <v>1</v>
      </c>
      <c r="L195">
        <v>0</v>
      </c>
      <c r="P195" t="s">
        <v>170</v>
      </c>
      <c r="Q195" s="11">
        <f>+AVERAGEIFS(I:I,D:D,P195)</f>
        <v>100</v>
      </c>
      <c r="R195" s="13">
        <f>+I195/Q195-1</f>
        <v>0</v>
      </c>
    </row>
    <row r="196" spans="1:18" hidden="1" x14ac:dyDescent="0.25">
      <c r="A196">
        <v>2115</v>
      </c>
      <c r="B196" t="s">
        <v>206</v>
      </c>
      <c r="C196" t="s">
        <v>324</v>
      </c>
      <c r="D196" t="s">
        <v>65</v>
      </c>
      <c r="E196" t="s">
        <v>339</v>
      </c>
      <c r="F196">
        <v>59.4</v>
      </c>
      <c r="G196">
        <v>2</v>
      </c>
      <c r="H196">
        <v>0</v>
      </c>
      <c r="I196" s="15">
        <f>+F196/G196</f>
        <v>29.7</v>
      </c>
      <c r="J196">
        <v>28.17</v>
      </c>
      <c r="K196">
        <v>10</v>
      </c>
      <c r="L196">
        <v>5.4</v>
      </c>
      <c r="P196" t="s">
        <v>65</v>
      </c>
      <c r="Q196" s="11">
        <f>+AVERAGEIFS(I:I,D:D,P196)</f>
        <v>26.819444444444436</v>
      </c>
      <c r="R196" s="13">
        <f>+I196/Q196-1</f>
        <v>0.10740548938373928</v>
      </c>
    </row>
    <row r="197" spans="1:18" hidden="1" x14ac:dyDescent="0.25">
      <c r="A197">
        <v>1034</v>
      </c>
      <c r="B197" t="s">
        <v>25</v>
      </c>
      <c r="C197" t="s">
        <v>133</v>
      </c>
      <c r="D197" t="s">
        <v>172</v>
      </c>
      <c r="E197" t="s">
        <v>173</v>
      </c>
      <c r="F197">
        <v>100</v>
      </c>
      <c r="G197">
        <v>1</v>
      </c>
      <c r="H197">
        <v>0</v>
      </c>
      <c r="I197" s="12">
        <f>+F197/G197</f>
        <v>100</v>
      </c>
      <c r="J197">
        <v>100</v>
      </c>
      <c r="K197">
        <v>1</v>
      </c>
      <c r="L197">
        <v>0</v>
      </c>
      <c r="P197" t="s">
        <v>172</v>
      </c>
      <c r="Q197" s="11">
        <f>+AVERAGEIFS(I:I,D:D,P197)</f>
        <v>100</v>
      </c>
      <c r="R197" s="13">
        <f>+I197/Q197-1</f>
        <v>0</v>
      </c>
    </row>
    <row r="198" spans="1:18" hidden="1" x14ac:dyDescent="0.25">
      <c r="A198">
        <v>1020</v>
      </c>
      <c r="B198" t="s">
        <v>25</v>
      </c>
      <c r="C198" t="s">
        <v>133</v>
      </c>
      <c r="D198" t="s">
        <v>174</v>
      </c>
      <c r="E198" t="s">
        <v>175</v>
      </c>
      <c r="F198">
        <v>100</v>
      </c>
      <c r="G198">
        <v>1</v>
      </c>
      <c r="H198">
        <v>0</v>
      </c>
      <c r="I198" s="12">
        <f>+F198/G198</f>
        <v>100</v>
      </c>
      <c r="J198">
        <v>100</v>
      </c>
      <c r="K198">
        <v>1</v>
      </c>
      <c r="L198">
        <v>0</v>
      </c>
      <c r="P198" t="s">
        <v>174</v>
      </c>
      <c r="Q198" s="11">
        <f>+AVERAGEIFS(I:I,D:D,P198)</f>
        <v>100</v>
      </c>
      <c r="R198" s="13">
        <f>+I198/Q198-1</f>
        <v>0</v>
      </c>
    </row>
    <row r="199" spans="1:18" hidden="1" x14ac:dyDescent="0.25">
      <c r="A199">
        <v>1018</v>
      </c>
      <c r="B199" t="s">
        <v>25</v>
      </c>
      <c r="C199" t="s">
        <v>133</v>
      </c>
      <c r="D199" t="s">
        <v>176</v>
      </c>
      <c r="E199" t="s">
        <v>177</v>
      </c>
      <c r="F199">
        <v>100</v>
      </c>
      <c r="G199">
        <v>11</v>
      </c>
      <c r="H199">
        <v>0</v>
      </c>
      <c r="I199" s="12">
        <f>+F199/G199</f>
        <v>9.0909090909090917</v>
      </c>
      <c r="J199">
        <v>9.09</v>
      </c>
      <c r="K199">
        <v>1</v>
      </c>
      <c r="L199">
        <v>0</v>
      </c>
      <c r="P199" t="s">
        <v>176</v>
      </c>
      <c r="Q199" s="11">
        <f>+AVERAGEIFS(I:I,D:D,P199)</f>
        <v>9.0909090909090917</v>
      </c>
      <c r="R199" s="13">
        <f>+I199/Q199-1</f>
        <v>0</v>
      </c>
    </row>
    <row r="200" spans="1:18" hidden="1" x14ac:dyDescent="0.25">
      <c r="A200">
        <v>1019</v>
      </c>
      <c r="B200" t="s">
        <v>25</v>
      </c>
      <c r="C200" t="s">
        <v>133</v>
      </c>
      <c r="D200" t="s">
        <v>178</v>
      </c>
      <c r="E200" t="s">
        <v>179</v>
      </c>
      <c r="F200">
        <v>100</v>
      </c>
      <c r="G200">
        <v>1</v>
      </c>
      <c r="H200">
        <v>0</v>
      </c>
      <c r="I200" s="12">
        <f>+F200/G200</f>
        <v>100</v>
      </c>
      <c r="J200">
        <v>100</v>
      </c>
      <c r="K200">
        <v>1</v>
      </c>
      <c r="L200">
        <v>0</v>
      </c>
      <c r="P200" t="s">
        <v>178</v>
      </c>
      <c r="Q200" s="11">
        <f>+AVERAGEIFS(I:I,D:D,P200)</f>
        <v>100</v>
      </c>
      <c r="R200" s="13">
        <f>+I200/Q200-1</f>
        <v>0</v>
      </c>
    </row>
    <row r="201" spans="1:18" hidden="1" x14ac:dyDescent="0.25">
      <c r="A201">
        <v>1027</v>
      </c>
      <c r="B201" t="s">
        <v>25</v>
      </c>
      <c r="C201" t="s">
        <v>133</v>
      </c>
      <c r="D201" t="s">
        <v>180</v>
      </c>
      <c r="E201" t="s">
        <v>181</v>
      </c>
      <c r="F201">
        <v>100</v>
      </c>
      <c r="G201">
        <v>1</v>
      </c>
      <c r="H201">
        <v>0</v>
      </c>
      <c r="I201" s="12">
        <f>+F201/G201</f>
        <v>100</v>
      </c>
      <c r="J201">
        <v>100</v>
      </c>
      <c r="K201">
        <v>1</v>
      </c>
      <c r="L201">
        <v>0</v>
      </c>
      <c r="P201" t="s">
        <v>180</v>
      </c>
      <c r="Q201" s="11">
        <f>+AVERAGEIFS(I:I,D:D,P201)</f>
        <v>100</v>
      </c>
      <c r="R201" s="13">
        <f>+I201/Q201-1</f>
        <v>0</v>
      </c>
    </row>
    <row r="202" spans="1:18" hidden="1" x14ac:dyDescent="0.25">
      <c r="A202">
        <v>1025</v>
      </c>
      <c r="B202" t="s">
        <v>25</v>
      </c>
      <c r="C202" t="s">
        <v>133</v>
      </c>
      <c r="D202" t="s">
        <v>182</v>
      </c>
      <c r="E202" t="s">
        <v>183</v>
      </c>
      <c r="F202">
        <v>100</v>
      </c>
      <c r="G202">
        <v>1</v>
      </c>
      <c r="H202">
        <v>0</v>
      </c>
      <c r="I202" s="12">
        <f>+F202/G202</f>
        <v>100</v>
      </c>
      <c r="J202">
        <v>100</v>
      </c>
      <c r="K202">
        <v>1</v>
      </c>
      <c r="L202">
        <v>0</v>
      </c>
      <c r="P202" t="s">
        <v>182</v>
      </c>
      <c r="Q202" s="11">
        <f>+AVERAGEIFS(I:I,D:D,P202)</f>
        <v>100</v>
      </c>
      <c r="R202" s="13">
        <f>+I202/Q202-1</f>
        <v>0</v>
      </c>
    </row>
    <row r="203" spans="1:18" hidden="1" x14ac:dyDescent="0.25">
      <c r="A203">
        <v>1024</v>
      </c>
      <c r="B203" t="s">
        <v>25</v>
      </c>
      <c r="C203" t="s">
        <v>133</v>
      </c>
      <c r="D203" t="s">
        <v>184</v>
      </c>
      <c r="E203" t="s">
        <v>185</v>
      </c>
      <c r="F203">
        <v>100</v>
      </c>
      <c r="G203">
        <v>1</v>
      </c>
      <c r="H203">
        <v>0</v>
      </c>
      <c r="I203" s="12">
        <f>+F203/G203</f>
        <v>100</v>
      </c>
      <c r="J203">
        <v>100</v>
      </c>
      <c r="K203">
        <v>1</v>
      </c>
      <c r="L203">
        <v>0</v>
      </c>
      <c r="P203" t="s">
        <v>184</v>
      </c>
      <c r="Q203" s="11">
        <f>+AVERAGEIFS(I:I,D:D,P203)</f>
        <v>100</v>
      </c>
      <c r="R203" s="13">
        <f>+I203/Q203-1</f>
        <v>0</v>
      </c>
    </row>
    <row r="204" spans="1:18" hidden="1" x14ac:dyDescent="0.25">
      <c r="A204">
        <v>1022</v>
      </c>
      <c r="B204" t="s">
        <v>25</v>
      </c>
      <c r="C204" t="s">
        <v>133</v>
      </c>
      <c r="D204" t="s">
        <v>186</v>
      </c>
      <c r="E204" t="s">
        <v>187</v>
      </c>
      <c r="F204">
        <v>100</v>
      </c>
      <c r="G204">
        <v>1</v>
      </c>
      <c r="H204">
        <v>0</v>
      </c>
      <c r="I204" s="12">
        <f>+F204/G204</f>
        <v>100</v>
      </c>
      <c r="J204">
        <v>100</v>
      </c>
      <c r="K204">
        <v>1</v>
      </c>
      <c r="L204">
        <v>0</v>
      </c>
      <c r="P204" t="s">
        <v>186</v>
      </c>
      <c r="Q204" s="11">
        <f>+AVERAGEIFS(I:I,D:D,P204)</f>
        <v>100</v>
      </c>
      <c r="R204" s="13">
        <f>+I204/Q204-1</f>
        <v>0</v>
      </c>
    </row>
    <row r="205" spans="1:18" hidden="1" x14ac:dyDescent="0.25">
      <c r="A205">
        <v>1023</v>
      </c>
      <c r="B205" t="s">
        <v>25</v>
      </c>
      <c r="C205" t="s">
        <v>133</v>
      </c>
      <c r="D205" t="s">
        <v>188</v>
      </c>
      <c r="E205" t="s">
        <v>189</v>
      </c>
      <c r="F205">
        <v>100</v>
      </c>
      <c r="G205">
        <v>1</v>
      </c>
      <c r="H205">
        <v>0</v>
      </c>
      <c r="I205" s="12">
        <f>+F205/G205</f>
        <v>100</v>
      </c>
      <c r="J205">
        <v>100</v>
      </c>
      <c r="K205">
        <v>1</v>
      </c>
      <c r="L205">
        <v>0</v>
      </c>
      <c r="P205" t="s">
        <v>188</v>
      </c>
      <c r="Q205" s="11">
        <f>+AVERAGEIFS(I:I,D:D,P205)</f>
        <v>100</v>
      </c>
      <c r="R205" s="13">
        <f>+I205/Q205-1</f>
        <v>0</v>
      </c>
    </row>
    <row r="206" spans="1:18" hidden="1" x14ac:dyDescent="0.25">
      <c r="A206">
        <v>1029</v>
      </c>
      <c r="B206" t="s">
        <v>25</v>
      </c>
      <c r="C206" t="s">
        <v>133</v>
      </c>
      <c r="D206" t="s">
        <v>190</v>
      </c>
      <c r="E206" t="s">
        <v>191</v>
      </c>
      <c r="F206">
        <v>100</v>
      </c>
      <c r="G206">
        <v>1</v>
      </c>
      <c r="H206">
        <v>0</v>
      </c>
      <c r="I206" s="12">
        <f>+F206/G206</f>
        <v>100</v>
      </c>
      <c r="J206">
        <v>100</v>
      </c>
      <c r="K206">
        <v>1</v>
      </c>
      <c r="L206">
        <v>0</v>
      </c>
      <c r="P206" t="s">
        <v>190</v>
      </c>
      <c r="Q206" s="11">
        <f>+AVERAGEIFS(I:I,D:D,P206)</f>
        <v>100</v>
      </c>
      <c r="R206" s="13">
        <f>+I206/Q206-1</f>
        <v>0</v>
      </c>
    </row>
    <row r="207" spans="1:18" hidden="1" x14ac:dyDescent="0.25">
      <c r="A207">
        <v>1028</v>
      </c>
      <c r="B207" t="s">
        <v>25</v>
      </c>
      <c r="C207" t="s">
        <v>133</v>
      </c>
      <c r="D207" t="s">
        <v>192</v>
      </c>
      <c r="E207" t="s">
        <v>193</v>
      </c>
      <c r="F207">
        <v>100</v>
      </c>
      <c r="G207">
        <v>1</v>
      </c>
      <c r="H207">
        <v>0</v>
      </c>
      <c r="I207" s="12">
        <f>+F207/G207</f>
        <v>100</v>
      </c>
      <c r="J207">
        <v>100</v>
      </c>
      <c r="K207">
        <v>1</v>
      </c>
      <c r="L207">
        <v>0</v>
      </c>
      <c r="P207" t="s">
        <v>192</v>
      </c>
      <c r="Q207" s="11">
        <f>+AVERAGEIFS(I:I,D:D,P207)</f>
        <v>100</v>
      </c>
      <c r="R207" s="13">
        <f>+I207/Q207-1</f>
        <v>0</v>
      </c>
    </row>
    <row r="208" spans="1:18" hidden="1" x14ac:dyDescent="0.25">
      <c r="A208">
        <v>1030</v>
      </c>
      <c r="B208" t="s">
        <v>25</v>
      </c>
      <c r="C208" t="s">
        <v>133</v>
      </c>
      <c r="D208" t="s">
        <v>190</v>
      </c>
      <c r="E208" t="s">
        <v>194</v>
      </c>
      <c r="F208">
        <v>100</v>
      </c>
      <c r="G208">
        <v>1</v>
      </c>
      <c r="H208">
        <v>0</v>
      </c>
      <c r="I208" s="12">
        <f>+F208/G208</f>
        <v>100</v>
      </c>
      <c r="J208">
        <v>100</v>
      </c>
      <c r="K208">
        <v>1</v>
      </c>
      <c r="L208">
        <v>0</v>
      </c>
      <c r="P208" t="s">
        <v>190</v>
      </c>
      <c r="Q208" s="11">
        <f>+AVERAGEIFS(I:I,D:D,P208)</f>
        <v>100</v>
      </c>
      <c r="R208" s="13">
        <f>+I208/Q208-1</f>
        <v>0</v>
      </c>
    </row>
    <row r="209" spans="1:18" hidden="1" x14ac:dyDescent="0.25">
      <c r="A209">
        <v>1015</v>
      </c>
      <c r="B209" t="s">
        <v>25</v>
      </c>
      <c r="C209" t="s">
        <v>133</v>
      </c>
      <c r="D209" t="s">
        <v>195</v>
      </c>
      <c r="E209" t="s">
        <v>196</v>
      </c>
      <c r="F209">
        <v>100</v>
      </c>
      <c r="G209">
        <v>1</v>
      </c>
      <c r="H209">
        <v>0</v>
      </c>
      <c r="I209" s="12">
        <f>+F209/G209</f>
        <v>100</v>
      </c>
      <c r="J209">
        <v>100</v>
      </c>
      <c r="K209">
        <v>1</v>
      </c>
      <c r="L209">
        <v>0</v>
      </c>
      <c r="P209" t="s">
        <v>195</v>
      </c>
      <c r="Q209" s="11">
        <f>+AVERAGEIFS(I:I,D:D,P209)</f>
        <v>100</v>
      </c>
      <c r="R209" s="13">
        <f>+I209/Q209-1</f>
        <v>0</v>
      </c>
    </row>
    <row r="210" spans="1:18" hidden="1" x14ac:dyDescent="0.25">
      <c r="A210">
        <v>1013</v>
      </c>
      <c r="B210" t="s">
        <v>25</v>
      </c>
      <c r="C210" t="s">
        <v>133</v>
      </c>
      <c r="D210" t="s">
        <v>197</v>
      </c>
      <c r="E210" t="s">
        <v>198</v>
      </c>
      <c r="F210">
        <v>100</v>
      </c>
      <c r="G210">
        <v>1</v>
      </c>
      <c r="H210">
        <v>0</v>
      </c>
      <c r="I210" s="12">
        <f>+F210/G210</f>
        <v>100</v>
      </c>
      <c r="J210">
        <v>100</v>
      </c>
      <c r="K210">
        <v>1</v>
      </c>
      <c r="L210">
        <v>0</v>
      </c>
      <c r="P210" t="s">
        <v>197</v>
      </c>
      <c r="Q210" s="11">
        <f>+AVERAGEIFS(I:I,D:D,P210)</f>
        <v>100</v>
      </c>
      <c r="R210" s="13">
        <f>+I210/Q210-1</f>
        <v>0</v>
      </c>
    </row>
    <row r="211" spans="1:18" hidden="1" x14ac:dyDescent="0.25">
      <c r="A211">
        <v>1012</v>
      </c>
      <c r="B211" t="s">
        <v>25</v>
      </c>
      <c r="C211" t="s">
        <v>133</v>
      </c>
      <c r="D211" t="s">
        <v>199</v>
      </c>
      <c r="E211" t="s">
        <v>200</v>
      </c>
      <c r="F211">
        <v>100</v>
      </c>
      <c r="G211">
        <v>1</v>
      </c>
      <c r="H211">
        <v>0</v>
      </c>
      <c r="I211" s="12">
        <f>+F211/G211</f>
        <v>100</v>
      </c>
      <c r="J211">
        <v>100</v>
      </c>
      <c r="K211">
        <v>1</v>
      </c>
      <c r="L211">
        <v>0</v>
      </c>
      <c r="P211" t="s">
        <v>199</v>
      </c>
      <c r="Q211" s="11">
        <f>+AVERAGEIFS(I:I,D:D,P211)</f>
        <v>100</v>
      </c>
      <c r="R211" s="13">
        <f>+I211/Q211-1</f>
        <v>0</v>
      </c>
    </row>
    <row r="212" spans="1:18" hidden="1" x14ac:dyDescent="0.25">
      <c r="A212">
        <v>1026</v>
      </c>
      <c r="B212" t="s">
        <v>25</v>
      </c>
      <c r="C212" t="s">
        <v>133</v>
      </c>
      <c r="D212" t="s">
        <v>201</v>
      </c>
      <c r="E212" t="s">
        <v>202</v>
      </c>
      <c r="F212">
        <v>100</v>
      </c>
      <c r="G212">
        <v>1</v>
      </c>
      <c r="H212">
        <v>0</v>
      </c>
      <c r="I212" s="12">
        <f>+F212/G212</f>
        <v>100</v>
      </c>
      <c r="J212">
        <v>100</v>
      </c>
      <c r="K212">
        <v>1</v>
      </c>
      <c r="L212">
        <v>0</v>
      </c>
      <c r="P212" t="s">
        <v>201</v>
      </c>
      <c r="Q212" s="11">
        <f>+AVERAGEIFS(I:I,D:D,P212)</f>
        <v>100</v>
      </c>
      <c r="R212" s="13">
        <f>+I212/Q212-1</f>
        <v>0</v>
      </c>
    </row>
    <row r="213" spans="1:18" hidden="1" x14ac:dyDescent="0.25">
      <c r="A213">
        <v>2170</v>
      </c>
      <c r="B213" t="s">
        <v>222</v>
      </c>
      <c r="C213" t="s">
        <v>324</v>
      </c>
      <c r="D213" t="s">
        <v>65</v>
      </c>
      <c r="E213" t="s">
        <v>339</v>
      </c>
      <c r="F213">
        <v>89.89</v>
      </c>
      <c r="G213">
        <v>3</v>
      </c>
      <c r="H213">
        <v>0</v>
      </c>
      <c r="I213" s="15">
        <f>+F213/G213</f>
        <v>29.963333333333335</v>
      </c>
      <c r="J213">
        <v>28.17</v>
      </c>
      <c r="K213">
        <v>10</v>
      </c>
      <c r="L213">
        <v>6.4</v>
      </c>
      <c r="P213" t="s">
        <v>65</v>
      </c>
      <c r="Q213" s="11">
        <f>+AVERAGEIFS(I:I,D:D,P213)</f>
        <v>26.819444444444436</v>
      </c>
      <c r="R213" s="13">
        <f>+I213/Q213-1</f>
        <v>0.11722423614707456</v>
      </c>
    </row>
    <row r="214" spans="1:18" hidden="1" x14ac:dyDescent="0.25">
      <c r="A214">
        <v>2277</v>
      </c>
      <c r="B214" t="s">
        <v>240</v>
      </c>
      <c r="C214" t="s">
        <v>324</v>
      </c>
      <c r="D214" t="s">
        <v>65</v>
      </c>
      <c r="E214" t="s">
        <v>339</v>
      </c>
      <c r="F214">
        <v>118.7</v>
      </c>
      <c r="G214">
        <v>4</v>
      </c>
      <c r="H214">
        <v>0</v>
      </c>
      <c r="I214" s="15">
        <f>+F214/G214</f>
        <v>29.675000000000001</v>
      </c>
      <c r="J214">
        <v>28.17</v>
      </c>
      <c r="K214">
        <v>10</v>
      </c>
      <c r="L214">
        <v>5.3</v>
      </c>
      <c r="P214" t="s">
        <v>65</v>
      </c>
      <c r="Q214" s="11">
        <f>+AVERAGEIFS(I:I,D:D,P214)</f>
        <v>26.819444444444436</v>
      </c>
      <c r="R214" s="13">
        <f>+I214/Q214-1</f>
        <v>0.10647332988089109</v>
      </c>
    </row>
    <row r="215" spans="1:18" hidden="1" x14ac:dyDescent="0.25">
      <c r="A215" s="6">
        <v>2238</v>
      </c>
      <c r="B215" s="6" t="s">
        <v>223</v>
      </c>
      <c r="C215" s="6" t="s">
        <v>324</v>
      </c>
      <c r="D215" s="6" t="s">
        <v>65</v>
      </c>
      <c r="E215" s="6" t="s">
        <v>339</v>
      </c>
      <c r="F215" s="6">
        <v>22.3</v>
      </c>
      <c r="G215" s="6">
        <v>1</v>
      </c>
      <c r="H215" s="6">
        <v>0</v>
      </c>
      <c r="I215" s="15">
        <f>+F215/G215</f>
        <v>22.3</v>
      </c>
      <c r="J215" s="3">
        <v>28.17</v>
      </c>
      <c r="K215" s="3">
        <v>10</v>
      </c>
      <c r="L215" s="3">
        <v>-20.8</v>
      </c>
      <c r="P215" s="6" t="s">
        <v>65</v>
      </c>
      <c r="Q215" s="11">
        <f>+AVERAGEIFS(I:I,D:D,P215)</f>
        <v>26.819444444444436</v>
      </c>
      <c r="R215" s="13">
        <f>+I215/Q215-1</f>
        <v>-0.16851372345934723</v>
      </c>
    </row>
    <row r="216" spans="1:18" hidden="1" x14ac:dyDescent="0.25">
      <c r="A216" s="2">
        <v>1798</v>
      </c>
      <c r="B216" s="2" t="s">
        <v>230</v>
      </c>
      <c r="C216" s="2" t="s">
        <v>203</v>
      </c>
      <c r="D216" s="2" t="s">
        <v>233</v>
      </c>
      <c r="E216" s="2" t="s">
        <v>234</v>
      </c>
      <c r="F216" s="2">
        <v>34.340000000000003</v>
      </c>
      <c r="G216" s="2">
        <v>2</v>
      </c>
      <c r="H216" s="2">
        <v>0</v>
      </c>
      <c r="I216" s="15">
        <f>+F216/G216</f>
        <v>17.170000000000002</v>
      </c>
      <c r="J216" s="2">
        <v>24.91</v>
      </c>
      <c r="K216" s="2">
        <v>4</v>
      </c>
      <c r="L216" s="2">
        <v>-31.1</v>
      </c>
      <c r="P216" s="2" t="s">
        <v>233</v>
      </c>
      <c r="Q216" s="11">
        <f>+AVERAGEIFS(I:I,D:D,P216)</f>
        <v>23.451666666666668</v>
      </c>
      <c r="R216" s="13">
        <f>+I216/Q216-1</f>
        <v>-0.26785587378295783</v>
      </c>
    </row>
    <row r="217" spans="1:18" hidden="1" x14ac:dyDescent="0.25">
      <c r="A217">
        <v>1804</v>
      </c>
      <c r="B217" t="s">
        <v>91</v>
      </c>
      <c r="C217" t="s">
        <v>203</v>
      </c>
      <c r="D217" t="s">
        <v>233</v>
      </c>
      <c r="E217" t="s">
        <v>234</v>
      </c>
      <c r="F217">
        <v>164.92</v>
      </c>
      <c r="G217">
        <v>6</v>
      </c>
      <c r="H217">
        <v>0</v>
      </c>
      <c r="I217" s="15">
        <f>+F217/G217</f>
        <v>27.486666666666665</v>
      </c>
      <c r="J217">
        <v>24.91</v>
      </c>
      <c r="K217">
        <v>4</v>
      </c>
      <c r="L217">
        <v>10.3</v>
      </c>
      <c r="P217" t="s">
        <v>233</v>
      </c>
      <c r="Q217" s="11">
        <f>+AVERAGEIFS(I:I,D:D,P217)</f>
        <v>23.451666666666668</v>
      </c>
      <c r="R217" s="13">
        <f>+I217/Q217-1</f>
        <v>0.17205600170563562</v>
      </c>
    </row>
    <row r="218" spans="1:18" hidden="1" x14ac:dyDescent="0.25">
      <c r="A218">
        <v>1715</v>
      </c>
      <c r="B218" t="s">
        <v>208</v>
      </c>
      <c r="C218" t="s">
        <v>203</v>
      </c>
      <c r="D218" t="s">
        <v>235</v>
      </c>
      <c r="E218" t="s">
        <v>236</v>
      </c>
      <c r="F218">
        <v>47</v>
      </c>
      <c r="G218">
        <v>2</v>
      </c>
      <c r="H218">
        <v>0</v>
      </c>
      <c r="I218" s="15">
        <f>+F218/G218</f>
        <v>23.5</v>
      </c>
      <c r="J218">
        <v>27.57</v>
      </c>
      <c r="K218">
        <v>4</v>
      </c>
      <c r="L218">
        <v>-14.8</v>
      </c>
      <c r="P218" t="s">
        <v>235</v>
      </c>
      <c r="Q218" s="11">
        <f>+AVERAGEIFS(I:I,D:D,P218)</f>
        <v>28.074999999999999</v>
      </c>
      <c r="R218" s="13">
        <f>+I218/Q218-1</f>
        <v>-0.16295636687444348</v>
      </c>
    </row>
    <row r="219" spans="1:18" hidden="1" x14ac:dyDescent="0.25">
      <c r="A219" s="3">
        <v>1813</v>
      </c>
      <c r="B219" s="3" t="s">
        <v>206</v>
      </c>
      <c r="C219" s="3" t="s">
        <v>203</v>
      </c>
      <c r="D219" s="3" t="s">
        <v>65</v>
      </c>
      <c r="E219" s="3" t="s">
        <v>66</v>
      </c>
      <c r="F219" s="3">
        <v>87.7</v>
      </c>
      <c r="G219" s="3">
        <v>3</v>
      </c>
      <c r="H219" s="3">
        <v>0</v>
      </c>
      <c r="I219" s="12">
        <f>+F219/G219</f>
        <v>29.233333333333334</v>
      </c>
      <c r="J219" s="3">
        <v>24.71</v>
      </c>
      <c r="K219" s="3">
        <v>11</v>
      </c>
      <c r="L219" s="3">
        <v>18.3</v>
      </c>
      <c r="P219" s="3" t="s">
        <v>65</v>
      </c>
      <c r="Q219" s="11">
        <f>+AVERAGEIFS(I:I,D:D,P219)</f>
        <v>26.819444444444436</v>
      </c>
      <c r="R219" s="13">
        <f>+I219/Q219-1</f>
        <v>9.0005178663905117E-2</v>
      </c>
    </row>
    <row r="220" spans="1:18" hidden="1" x14ac:dyDescent="0.25">
      <c r="A220" s="3">
        <v>1787</v>
      </c>
      <c r="B220" s="3" t="s">
        <v>207</v>
      </c>
      <c r="C220" s="3" t="s">
        <v>203</v>
      </c>
      <c r="D220" s="3" t="s">
        <v>65</v>
      </c>
      <c r="E220" s="3" t="s">
        <v>66</v>
      </c>
      <c r="F220" s="3">
        <v>29.3</v>
      </c>
      <c r="G220" s="3">
        <v>1</v>
      </c>
      <c r="H220" s="3">
        <v>0</v>
      </c>
      <c r="I220" s="12">
        <f>+F220/G220</f>
        <v>29.3</v>
      </c>
      <c r="J220" s="3">
        <v>24.71</v>
      </c>
      <c r="K220" s="3">
        <v>11</v>
      </c>
      <c r="L220" s="3">
        <v>18.600000000000001</v>
      </c>
      <c r="P220" s="3" t="s">
        <v>65</v>
      </c>
      <c r="Q220" s="11">
        <f>+AVERAGEIFS(I:I,D:D,P220)</f>
        <v>26.819444444444436</v>
      </c>
      <c r="R220" s="13">
        <f>+I220/Q220-1</f>
        <v>9.2490937338167045E-2</v>
      </c>
    </row>
    <row r="221" spans="1:18" hidden="1" x14ac:dyDescent="0.25">
      <c r="A221" s="5">
        <v>2407</v>
      </c>
      <c r="B221" s="5" t="s">
        <v>213</v>
      </c>
      <c r="C221" s="5" t="s">
        <v>237</v>
      </c>
      <c r="D221" s="5" t="s">
        <v>311</v>
      </c>
      <c r="E221" s="5" t="s">
        <v>312</v>
      </c>
      <c r="F221" s="5">
        <v>89.2</v>
      </c>
      <c r="G221" s="5">
        <v>4</v>
      </c>
      <c r="H221" s="5">
        <v>0</v>
      </c>
      <c r="I221" s="15">
        <f>+F221/G221</f>
        <v>22.3</v>
      </c>
      <c r="J221">
        <v>25.44</v>
      </c>
      <c r="K221">
        <v>4</v>
      </c>
      <c r="L221">
        <v>-12.3</v>
      </c>
      <c r="P221" s="5" t="s">
        <v>311</v>
      </c>
      <c r="Q221" s="11">
        <f>+AVERAGEIFS(I:I,D:D,P221)</f>
        <v>26.082749999999997</v>
      </c>
      <c r="R221" s="13">
        <f>+I221/Q221-1</f>
        <v>-0.14502880256107953</v>
      </c>
    </row>
    <row r="222" spans="1:18" hidden="1" x14ac:dyDescent="0.25">
      <c r="A222">
        <v>1759</v>
      </c>
      <c r="B222" t="s">
        <v>111</v>
      </c>
      <c r="C222" t="s">
        <v>203</v>
      </c>
      <c r="D222" t="s">
        <v>65</v>
      </c>
      <c r="E222" t="s">
        <v>66</v>
      </c>
      <c r="F222">
        <v>75.5</v>
      </c>
      <c r="G222">
        <v>3</v>
      </c>
      <c r="H222">
        <v>0</v>
      </c>
      <c r="I222" s="12">
        <f>+F222/G222</f>
        <v>25.166666666666668</v>
      </c>
      <c r="J222">
        <v>24.71</v>
      </c>
      <c r="K222">
        <v>11</v>
      </c>
      <c r="L222">
        <v>1.8</v>
      </c>
      <c r="P222" t="s">
        <v>65</v>
      </c>
      <c r="Q222" s="11">
        <f>+AVERAGEIFS(I:I,D:D,P222)</f>
        <v>26.819444444444436</v>
      </c>
      <c r="R222" s="13">
        <f>+I222/Q222-1</f>
        <v>-6.1626100466079414E-2</v>
      </c>
    </row>
    <row r="223" spans="1:18" hidden="1" x14ac:dyDescent="0.25">
      <c r="A223" s="3">
        <v>1808</v>
      </c>
      <c r="B223" s="3" t="s">
        <v>81</v>
      </c>
      <c r="C223" s="3" t="s">
        <v>203</v>
      </c>
      <c r="D223" s="3" t="s">
        <v>65</v>
      </c>
      <c r="E223" s="3" t="s">
        <v>66</v>
      </c>
      <c r="F223" s="3">
        <v>58.54</v>
      </c>
      <c r="G223" s="3">
        <v>2</v>
      </c>
      <c r="H223" s="3">
        <v>0</v>
      </c>
      <c r="I223" s="12">
        <f>+F223/G223</f>
        <v>29.27</v>
      </c>
      <c r="J223" s="3">
        <v>24.71</v>
      </c>
      <c r="K223" s="3">
        <v>11</v>
      </c>
      <c r="L223" s="3">
        <v>18.5</v>
      </c>
      <c r="P223" s="3" t="s">
        <v>65</v>
      </c>
      <c r="Q223" s="11">
        <f>+AVERAGEIFS(I:I,D:D,P223)</f>
        <v>26.819444444444436</v>
      </c>
      <c r="R223" s="13">
        <f>+I223/Q223-1</f>
        <v>9.1372345934749077E-2</v>
      </c>
    </row>
    <row r="224" spans="1:18" hidden="1" x14ac:dyDescent="0.25">
      <c r="A224" s="3">
        <v>2335</v>
      </c>
      <c r="B224" s="3" t="s">
        <v>111</v>
      </c>
      <c r="C224" s="3" t="s">
        <v>237</v>
      </c>
      <c r="D224" s="3" t="s">
        <v>311</v>
      </c>
      <c r="E224" s="3" t="s">
        <v>312</v>
      </c>
      <c r="F224" s="3">
        <v>61.53</v>
      </c>
      <c r="G224" s="3">
        <v>2</v>
      </c>
      <c r="H224" s="3">
        <v>0</v>
      </c>
      <c r="I224" s="15">
        <f>+F224/G224</f>
        <v>30.765000000000001</v>
      </c>
      <c r="J224" s="3">
        <v>25.44</v>
      </c>
      <c r="K224" s="3">
        <v>4</v>
      </c>
      <c r="L224" s="3">
        <v>20.9</v>
      </c>
      <c r="P224" s="3" t="s">
        <v>311</v>
      </c>
      <c r="Q224" s="11">
        <f>+AVERAGEIFS(I:I,D:D,P224)</f>
        <v>26.082749999999997</v>
      </c>
      <c r="R224" s="13">
        <f>+I224/Q224-1</f>
        <v>0.17951519682548822</v>
      </c>
    </row>
    <row r="225" spans="1:18" hidden="1" x14ac:dyDescent="0.25">
      <c r="A225" s="2">
        <v>1936</v>
      </c>
      <c r="B225" s="2" t="s">
        <v>47</v>
      </c>
      <c r="C225" s="2" t="s">
        <v>371</v>
      </c>
      <c r="D225" s="2" t="s">
        <v>386</v>
      </c>
      <c r="E225" s="2" t="s">
        <v>387</v>
      </c>
      <c r="F225" s="2">
        <v>36.9</v>
      </c>
      <c r="G225" s="2">
        <v>1</v>
      </c>
      <c r="H225" s="2">
        <v>0</v>
      </c>
      <c r="I225" s="15">
        <f>+F225/G225</f>
        <v>36.9</v>
      </c>
      <c r="J225" s="2">
        <v>24.8</v>
      </c>
      <c r="K225" s="2">
        <v>3</v>
      </c>
      <c r="L225" s="2">
        <v>48.8</v>
      </c>
      <c r="P225" s="2" t="s">
        <v>386</v>
      </c>
      <c r="Q225" s="11">
        <f>+AVERAGEIFS(I:I,D:D,P225)</f>
        <v>24.566666666666666</v>
      </c>
      <c r="R225" s="13">
        <f>+I225/Q225-1</f>
        <v>0.50203527815468107</v>
      </c>
    </row>
    <row r="226" spans="1:18" hidden="1" x14ac:dyDescent="0.25">
      <c r="A226" s="4">
        <v>1867</v>
      </c>
      <c r="B226" s="4" t="s">
        <v>388</v>
      </c>
      <c r="C226" s="4" t="s">
        <v>371</v>
      </c>
      <c r="D226" s="4" t="s">
        <v>386</v>
      </c>
      <c r="E226" s="4" t="s">
        <v>387</v>
      </c>
      <c r="F226" s="4">
        <v>11.3</v>
      </c>
      <c r="G226" s="4">
        <v>1</v>
      </c>
      <c r="H226" s="4">
        <v>0</v>
      </c>
      <c r="I226" s="15">
        <f>+F226/G226</f>
        <v>11.3</v>
      </c>
      <c r="J226" s="2">
        <v>24.8</v>
      </c>
      <c r="K226" s="2">
        <v>3</v>
      </c>
      <c r="L226" s="2">
        <v>-54.4</v>
      </c>
      <c r="P226" s="4" t="s">
        <v>386</v>
      </c>
      <c r="Q226" s="11">
        <f>+AVERAGEIFS(I:I,D:D,P226)</f>
        <v>24.566666666666666</v>
      </c>
      <c r="R226" s="13">
        <f>+I226/Q226-1</f>
        <v>-0.5400271370420624</v>
      </c>
    </row>
    <row r="227" spans="1:18" hidden="1" x14ac:dyDescent="0.25">
      <c r="A227">
        <v>1733</v>
      </c>
      <c r="B227" t="s">
        <v>36</v>
      </c>
      <c r="C227" t="s">
        <v>203</v>
      </c>
      <c r="D227" t="s">
        <v>65</v>
      </c>
      <c r="E227" t="s">
        <v>66</v>
      </c>
      <c r="F227">
        <v>26.43</v>
      </c>
      <c r="G227">
        <v>1</v>
      </c>
      <c r="H227">
        <v>0</v>
      </c>
      <c r="I227" s="12">
        <f>+F227/G227</f>
        <v>26.43</v>
      </c>
      <c r="J227">
        <v>24.71</v>
      </c>
      <c r="K227">
        <v>11</v>
      </c>
      <c r="L227">
        <v>7</v>
      </c>
      <c r="P227" t="s">
        <v>65</v>
      </c>
      <c r="Q227" s="11">
        <f>+AVERAGEIFS(I:I,D:D,P227)</f>
        <v>26.819444444444436</v>
      </c>
      <c r="R227" s="13">
        <f>+I227/Q227-1</f>
        <v>-1.4520973588813768E-2</v>
      </c>
    </row>
    <row r="228" spans="1:18" hidden="1" x14ac:dyDescent="0.25">
      <c r="A228">
        <v>1709</v>
      </c>
      <c r="B228" t="s">
        <v>204</v>
      </c>
      <c r="C228" t="s">
        <v>203</v>
      </c>
      <c r="D228" t="s">
        <v>209</v>
      </c>
      <c r="E228" t="s">
        <v>210</v>
      </c>
      <c r="F228">
        <v>427.14</v>
      </c>
      <c r="G228">
        <v>25</v>
      </c>
      <c r="H228">
        <v>0</v>
      </c>
      <c r="I228" s="12">
        <f>+F228/G228</f>
        <v>17.085599999999999</v>
      </c>
      <c r="J228">
        <v>17.09</v>
      </c>
      <c r="K228">
        <v>1</v>
      </c>
      <c r="L228">
        <v>0</v>
      </c>
      <c r="P228" t="s">
        <v>209</v>
      </c>
      <c r="Q228" s="11">
        <f>+AVERAGEIFS(I:I,D:D,P228)</f>
        <v>17.085599999999999</v>
      </c>
      <c r="R228" s="13">
        <f>+I228/Q228-1</f>
        <v>0</v>
      </c>
    </row>
    <row r="229" spans="1:18" hidden="1" x14ac:dyDescent="0.25">
      <c r="A229">
        <v>1730</v>
      </c>
      <c r="B229" t="s">
        <v>211</v>
      </c>
      <c r="C229" t="s">
        <v>203</v>
      </c>
      <c r="D229" t="s">
        <v>74</v>
      </c>
      <c r="E229" t="s">
        <v>75</v>
      </c>
      <c r="F229">
        <v>10</v>
      </c>
      <c r="G229">
        <v>1</v>
      </c>
      <c r="H229">
        <v>0</v>
      </c>
      <c r="I229" s="15">
        <f>+F229/G229</f>
        <v>10</v>
      </c>
      <c r="J229">
        <v>8.94</v>
      </c>
      <c r="K229">
        <v>41</v>
      </c>
      <c r="L229">
        <v>11.9</v>
      </c>
      <c r="P229" t="s">
        <v>74</v>
      </c>
      <c r="Q229" s="11">
        <f>+AVERAGEIFS(I:I,D:D,P229)</f>
        <v>7.9465789473684207</v>
      </c>
      <c r="R229" s="13">
        <f>+I229/Q229-1</f>
        <v>0.25840315263105618</v>
      </c>
    </row>
    <row r="230" spans="1:18" hidden="1" x14ac:dyDescent="0.25">
      <c r="A230" s="2">
        <v>1773</v>
      </c>
      <c r="B230" s="2" t="s">
        <v>20</v>
      </c>
      <c r="C230" s="2" t="s">
        <v>203</v>
      </c>
      <c r="D230" s="2" t="s">
        <v>74</v>
      </c>
      <c r="E230" s="2" t="s">
        <v>75</v>
      </c>
      <c r="F230" s="2">
        <v>14.1</v>
      </c>
      <c r="G230" s="2">
        <v>1</v>
      </c>
      <c r="H230" s="2">
        <v>0</v>
      </c>
      <c r="I230" s="15">
        <f>+F230/G230</f>
        <v>14.1</v>
      </c>
      <c r="J230" s="2">
        <v>8.94</v>
      </c>
      <c r="K230" s="2">
        <v>41</v>
      </c>
      <c r="L230" s="2">
        <v>57.7</v>
      </c>
      <c r="P230" s="2" t="s">
        <v>74</v>
      </c>
      <c r="Q230" s="11">
        <f>+AVERAGEIFS(I:I,D:D,P230)</f>
        <v>7.9465789473684207</v>
      </c>
      <c r="R230" s="13">
        <f>+I230/Q230-1</f>
        <v>0.77434844520978907</v>
      </c>
    </row>
    <row r="231" spans="1:18" hidden="1" x14ac:dyDescent="0.25">
      <c r="A231">
        <v>1795</v>
      </c>
      <c r="B231" t="s">
        <v>12</v>
      </c>
      <c r="C231" t="s">
        <v>203</v>
      </c>
      <c r="D231" t="s">
        <v>74</v>
      </c>
      <c r="E231" t="s">
        <v>75</v>
      </c>
      <c r="F231">
        <v>10</v>
      </c>
      <c r="G231">
        <v>1</v>
      </c>
      <c r="H231">
        <v>0</v>
      </c>
      <c r="I231" s="15">
        <f>+F231/G231</f>
        <v>10</v>
      </c>
      <c r="J231">
        <v>8.94</v>
      </c>
      <c r="K231">
        <v>41</v>
      </c>
      <c r="L231">
        <v>11.9</v>
      </c>
      <c r="P231" t="s">
        <v>74</v>
      </c>
      <c r="Q231" s="11">
        <f>+AVERAGEIFS(I:I,D:D,P231)</f>
        <v>7.9465789473684207</v>
      </c>
      <c r="R231" s="13">
        <f>+I231/Q231-1</f>
        <v>0.25840315263105618</v>
      </c>
    </row>
    <row r="232" spans="1:18" hidden="1" x14ac:dyDescent="0.25">
      <c r="A232" s="2">
        <v>1797</v>
      </c>
      <c r="B232" s="2" t="s">
        <v>76</v>
      </c>
      <c r="C232" s="2" t="s">
        <v>203</v>
      </c>
      <c r="D232" s="2" t="s">
        <v>74</v>
      </c>
      <c r="E232" s="2" t="s">
        <v>75</v>
      </c>
      <c r="F232" s="2">
        <v>6</v>
      </c>
      <c r="G232" s="2">
        <v>1</v>
      </c>
      <c r="H232" s="2">
        <v>0</v>
      </c>
      <c r="I232" s="15">
        <f>+F232/G232</f>
        <v>6</v>
      </c>
      <c r="J232" s="2">
        <v>8.94</v>
      </c>
      <c r="K232" s="2">
        <v>41</v>
      </c>
      <c r="L232" s="2">
        <v>-32.9</v>
      </c>
      <c r="P232" s="2" t="s">
        <v>74</v>
      </c>
      <c r="Q232" s="11">
        <f>+AVERAGEIFS(I:I,D:D,P232)</f>
        <v>7.9465789473684207</v>
      </c>
      <c r="R232" s="13">
        <f>+I232/Q232-1</f>
        <v>-0.24495810842136634</v>
      </c>
    </row>
    <row r="233" spans="1:18" hidden="1" x14ac:dyDescent="0.25">
      <c r="A233" s="2">
        <v>1794</v>
      </c>
      <c r="B233" s="2" t="s">
        <v>121</v>
      </c>
      <c r="C233" s="2" t="s">
        <v>203</v>
      </c>
      <c r="D233" s="2" t="s">
        <v>74</v>
      </c>
      <c r="E233" s="2" t="s">
        <v>75</v>
      </c>
      <c r="F233" s="2">
        <v>6.4</v>
      </c>
      <c r="G233" s="2">
        <v>1</v>
      </c>
      <c r="H233" s="2">
        <v>0</v>
      </c>
      <c r="I233" s="15">
        <f>+F233/G233</f>
        <v>6.4</v>
      </c>
      <c r="J233" s="2">
        <v>8.94</v>
      </c>
      <c r="K233" s="2">
        <v>41</v>
      </c>
      <c r="L233" s="2">
        <v>-28.4</v>
      </c>
      <c r="P233" s="2" t="s">
        <v>74</v>
      </c>
      <c r="Q233" s="11">
        <f>+AVERAGEIFS(I:I,D:D,P233)</f>
        <v>7.9465789473684207</v>
      </c>
      <c r="R233" s="13">
        <f>+I233/Q233-1</f>
        <v>-0.19462198231612404</v>
      </c>
    </row>
    <row r="234" spans="1:18" hidden="1" x14ac:dyDescent="0.25">
      <c r="A234" s="2">
        <v>1772</v>
      </c>
      <c r="B234" s="2" t="s">
        <v>212</v>
      </c>
      <c r="C234" s="2" t="s">
        <v>203</v>
      </c>
      <c r="D234" s="2" t="s">
        <v>74</v>
      </c>
      <c r="E234" s="2" t="s">
        <v>75</v>
      </c>
      <c r="F234" s="2">
        <v>11.2</v>
      </c>
      <c r="G234" s="2">
        <v>1</v>
      </c>
      <c r="H234" s="2">
        <v>0</v>
      </c>
      <c r="I234" s="15">
        <f>+F234/G234</f>
        <v>11.2</v>
      </c>
      <c r="J234" s="2">
        <v>8.94</v>
      </c>
      <c r="K234" s="2">
        <v>41</v>
      </c>
      <c r="L234" s="2">
        <v>25.3</v>
      </c>
      <c r="P234" s="2" t="s">
        <v>74</v>
      </c>
      <c r="Q234" s="11">
        <f>+AVERAGEIFS(I:I,D:D,P234)</f>
        <v>7.9465789473684207</v>
      </c>
      <c r="R234" s="13">
        <f>+I234/Q234-1</f>
        <v>0.40941153094678273</v>
      </c>
    </row>
    <row r="235" spans="1:18" hidden="1" x14ac:dyDescent="0.25">
      <c r="A235" s="2">
        <v>1723</v>
      </c>
      <c r="B235" s="2" t="s">
        <v>205</v>
      </c>
      <c r="C235" s="2" t="s">
        <v>203</v>
      </c>
      <c r="D235" s="2" t="s">
        <v>74</v>
      </c>
      <c r="E235" s="2" t="s">
        <v>75</v>
      </c>
      <c r="F235" s="2">
        <v>11.65</v>
      </c>
      <c r="G235" s="2">
        <v>1</v>
      </c>
      <c r="H235" s="2">
        <v>0</v>
      </c>
      <c r="I235" s="15">
        <f>+F235/G235</f>
        <v>11.65</v>
      </c>
      <c r="J235" s="2">
        <v>8.94</v>
      </c>
      <c r="K235" s="2">
        <v>41</v>
      </c>
      <c r="L235" s="2">
        <v>30.3</v>
      </c>
      <c r="P235" s="2" t="s">
        <v>74</v>
      </c>
      <c r="Q235" s="11">
        <f>+AVERAGEIFS(I:I,D:D,P235)</f>
        <v>7.9465789473684207</v>
      </c>
      <c r="R235" s="13">
        <f>+I235/Q235-1</f>
        <v>0.46603967281518033</v>
      </c>
    </row>
    <row r="236" spans="1:18" hidden="1" x14ac:dyDescent="0.25">
      <c r="A236" s="2">
        <v>1722</v>
      </c>
      <c r="B236" s="2" t="s">
        <v>213</v>
      </c>
      <c r="C236" s="2" t="s">
        <v>203</v>
      </c>
      <c r="D236" s="2" t="s">
        <v>74</v>
      </c>
      <c r="E236" s="2" t="s">
        <v>75</v>
      </c>
      <c r="F236" s="2">
        <v>11.5</v>
      </c>
      <c r="G236" s="2">
        <v>1</v>
      </c>
      <c r="H236" s="2">
        <v>0</v>
      </c>
      <c r="I236" s="15">
        <f>+F236/G236</f>
        <v>11.5</v>
      </c>
      <c r="J236" s="2">
        <v>8.94</v>
      </c>
      <c r="K236" s="2">
        <v>41</v>
      </c>
      <c r="L236" s="2">
        <v>28.6</v>
      </c>
      <c r="P236" s="2" t="s">
        <v>74</v>
      </c>
      <c r="Q236" s="11">
        <f>+AVERAGEIFS(I:I,D:D,P236)</f>
        <v>7.9465789473684207</v>
      </c>
      <c r="R236" s="13">
        <f>+I236/Q236-1</f>
        <v>0.44716362552571454</v>
      </c>
    </row>
    <row r="237" spans="1:18" hidden="1" x14ac:dyDescent="0.25">
      <c r="A237" s="2">
        <v>1721</v>
      </c>
      <c r="B237" s="2" t="s">
        <v>23</v>
      </c>
      <c r="C237" s="2" t="s">
        <v>203</v>
      </c>
      <c r="D237" s="2" t="s">
        <v>74</v>
      </c>
      <c r="E237" s="2" t="s">
        <v>75</v>
      </c>
      <c r="F237" s="2">
        <v>12</v>
      </c>
      <c r="G237" s="2">
        <v>1</v>
      </c>
      <c r="H237" s="2">
        <v>0</v>
      </c>
      <c r="I237" s="15">
        <f>+F237/G237</f>
        <v>12</v>
      </c>
      <c r="J237" s="2">
        <v>8.94</v>
      </c>
      <c r="K237" s="2">
        <v>41</v>
      </c>
      <c r="L237" s="2">
        <v>34.200000000000003</v>
      </c>
      <c r="P237" s="2" t="s">
        <v>74</v>
      </c>
      <c r="Q237" s="11">
        <f>+AVERAGEIFS(I:I,D:D,P237)</f>
        <v>7.9465789473684207</v>
      </c>
      <c r="R237" s="13">
        <f>+I237/Q237-1</f>
        <v>0.51008378315726732</v>
      </c>
    </row>
    <row r="238" spans="1:18" hidden="1" x14ac:dyDescent="0.25">
      <c r="A238">
        <v>1793</v>
      </c>
      <c r="B238" t="s">
        <v>214</v>
      </c>
      <c r="C238" t="s">
        <v>203</v>
      </c>
      <c r="D238" t="s">
        <v>74</v>
      </c>
      <c r="E238" t="s">
        <v>75</v>
      </c>
      <c r="F238">
        <v>9</v>
      </c>
      <c r="G238">
        <v>1</v>
      </c>
      <c r="H238">
        <v>0</v>
      </c>
      <c r="I238" s="15">
        <f>+F238/G238</f>
        <v>9</v>
      </c>
      <c r="J238">
        <v>8.94</v>
      </c>
      <c r="K238">
        <v>41</v>
      </c>
      <c r="L238">
        <v>0.7</v>
      </c>
      <c r="P238" t="s">
        <v>74</v>
      </c>
      <c r="Q238" s="11">
        <f>+AVERAGEIFS(I:I,D:D,P238)</f>
        <v>7.9465789473684207</v>
      </c>
      <c r="R238" s="13">
        <f>+I238/Q238-1</f>
        <v>0.1325628373679506</v>
      </c>
    </row>
    <row r="239" spans="1:18" hidden="1" x14ac:dyDescent="0.25">
      <c r="A239" s="3">
        <v>1720</v>
      </c>
      <c r="B239" s="3" t="s">
        <v>79</v>
      </c>
      <c r="C239" s="3" t="s">
        <v>203</v>
      </c>
      <c r="D239" s="3" t="s">
        <v>74</v>
      </c>
      <c r="E239" s="3" t="s">
        <v>75</v>
      </c>
      <c r="F239" s="3">
        <v>11</v>
      </c>
      <c r="G239" s="3">
        <v>1</v>
      </c>
      <c r="H239" s="3">
        <v>0</v>
      </c>
      <c r="I239" s="15">
        <f>+F239/G239</f>
        <v>11</v>
      </c>
      <c r="J239" s="3">
        <v>8.94</v>
      </c>
      <c r="K239" s="3">
        <v>41</v>
      </c>
      <c r="L239" s="3">
        <v>23</v>
      </c>
      <c r="P239" s="3" t="s">
        <v>74</v>
      </c>
      <c r="Q239" s="11">
        <f>+AVERAGEIFS(I:I,D:D,P239)</f>
        <v>7.9465789473684207</v>
      </c>
      <c r="R239" s="13">
        <f>+I239/Q239-1</f>
        <v>0.38424346789416175</v>
      </c>
    </row>
    <row r="240" spans="1:18" hidden="1" x14ac:dyDescent="0.25">
      <c r="A240">
        <v>1792</v>
      </c>
      <c r="B240" t="s">
        <v>215</v>
      </c>
      <c r="C240" t="s">
        <v>203</v>
      </c>
      <c r="D240" t="s">
        <v>74</v>
      </c>
      <c r="E240" t="s">
        <v>75</v>
      </c>
      <c r="F240">
        <v>9.3000000000000007</v>
      </c>
      <c r="G240">
        <v>1</v>
      </c>
      <c r="H240">
        <v>0</v>
      </c>
      <c r="I240" s="15">
        <f>+F240/G240</f>
        <v>9.3000000000000007</v>
      </c>
      <c r="J240">
        <v>8.94</v>
      </c>
      <c r="K240">
        <v>41</v>
      </c>
      <c r="L240">
        <v>4</v>
      </c>
      <c r="P240" t="s">
        <v>74</v>
      </c>
      <c r="Q240" s="11">
        <f>+AVERAGEIFS(I:I,D:D,P240)</f>
        <v>7.9465789473684207</v>
      </c>
      <c r="R240" s="13">
        <f>+I240/Q240-1</f>
        <v>0.17031493194688219</v>
      </c>
    </row>
    <row r="241" spans="1:18" hidden="1" x14ac:dyDescent="0.25">
      <c r="A241">
        <v>1719</v>
      </c>
      <c r="B241" t="s">
        <v>216</v>
      </c>
      <c r="C241" t="s">
        <v>203</v>
      </c>
      <c r="D241" t="s">
        <v>74</v>
      </c>
      <c r="E241" t="s">
        <v>75</v>
      </c>
      <c r="F241">
        <v>8</v>
      </c>
      <c r="G241">
        <v>1</v>
      </c>
      <c r="H241">
        <v>0</v>
      </c>
      <c r="I241" s="12">
        <f>+F241/G241</f>
        <v>8</v>
      </c>
      <c r="J241">
        <v>8.94</v>
      </c>
      <c r="K241">
        <v>41</v>
      </c>
      <c r="L241">
        <v>-10.5</v>
      </c>
      <c r="P241" t="s">
        <v>74</v>
      </c>
      <c r="Q241" s="11">
        <f>+AVERAGEIFS(I:I,D:D,P241)</f>
        <v>7.9465789473684207</v>
      </c>
      <c r="R241" s="13">
        <f>+I241/Q241-1</f>
        <v>6.7225221048448081E-3</v>
      </c>
    </row>
    <row r="242" spans="1:18" hidden="1" x14ac:dyDescent="0.25">
      <c r="A242">
        <v>1771</v>
      </c>
      <c r="B242" t="s">
        <v>69</v>
      </c>
      <c r="C242" t="s">
        <v>203</v>
      </c>
      <c r="D242" t="s">
        <v>74</v>
      </c>
      <c r="E242" t="s">
        <v>75</v>
      </c>
      <c r="F242">
        <v>10</v>
      </c>
      <c r="G242">
        <v>1</v>
      </c>
      <c r="H242">
        <v>0</v>
      </c>
      <c r="I242" s="15">
        <f>+F242/G242</f>
        <v>10</v>
      </c>
      <c r="J242">
        <v>8.94</v>
      </c>
      <c r="K242">
        <v>41</v>
      </c>
      <c r="L242">
        <v>11.9</v>
      </c>
      <c r="P242" t="s">
        <v>74</v>
      </c>
      <c r="Q242" s="11">
        <f>+AVERAGEIFS(I:I,D:D,P242)</f>
        <v>7.9465789473684207</v>
      </c>
      <c r="R242" s="13">
        <f>+I242/Q242-1</f>
        <v>0.25840315263105618</v>
      </c>
    </row>
    <row r="243" spans="1:18" hidden="1" x14ac:dyDescent="0.25">
      <c r="A243" s="3">
        <v>1791</v>
      </c>
      <c r="B243" s="3" t="s">
        <v>24</v>
      </c>
      <c r="C243" s="3" t="s">
        <v>203</v>
      </c>
      <c r="D243" s="3" t="s">
        <v>74</v>
      </c>
      <c r="E243" s="3" t="s">
        <v>75</v>
      </c>
      <c r="F243" s="3">
        <v>11.1</v>
      </c>
      <c r="G243" s="3">
        <v>1</v>
      </c>
      <c r="H243" s="3">
        <v>0</v>
      </c>
      <c r="I243" s="15">
        <f>+F243/G243</f>
        <v>11.1</v>
      </c>
      <c r="J243" s="3">
        <v>8.94</v>
      </c>
      <c r="K243" s="3">
        <v>41</v>
      </c>
      <c r="L243" s="3">
        <v>24.2</v>
      </c>
      <c r="P243" s="3" t="s">
        <v>74</v>
      </c>
      <c r="Q243" s="11">
        <f>+AVERAGEIFS(I:I,D:D,P243)</f>
        <v>7.9465789473684207</v>
      </c>
      <c r="R243" s="13">
        <f>+I243/Q243-1</f>
        <v>0.39682749942047235</v>
      </c>
    </row>
    <row r="244" spans="1:18" hidden="1" x14ac:dyDescent="0.25">
      <c r="A244">
        <v>1770</v>
      </c>
      <c r="B244" t="s">
        <v>18</v>
      </c>
      <c r="C244" t="s">
        <v>203</v>
      </c>
      <c r="D244" t="s">
        <v>74</v>
      </c>
      <c r="E244" t="s">
        <v>75</v>
      </c>
      <c r="F244">
        <v>10</v>
      </c>
      <c r="G244">
        <v>1</v>
      </c>
      <c r="H244">
        <v>0</v>
      </c>
      <c r="I244" s="15">
        <f>+F244/G244</f>
        <v>10</v>
      </c>
      <c r="J244">
        <v>8.94</v>
      </c>
      <c r="K244">
        <v>41</v>
      </c>
      <c r="L244">
        <v>11.9</v>
      </c>
      <c r="P244" t="s">
        <v>74</v>
      </c>
      <c r="Q244" s="11">
        <f>+AVERAGEIFS(I:I,D:D,P244)</f>
        <v>7.9465789473684207</v>
      </c>
      <c r="R244" s="13">
        <f>+I244/Q244-1</f>
        <v>0.25840315263105618</v>
      </c>
    </row>
    <row r="245" spans="1:18" hidden="1" x14ac:dyDescent="0.25">
      <c r="A245" s="3">
        <v>1812</v>
      </c>
      <c r="B245" s="3" t="s">
        <v>206</v>
      </c>
      <c r="C245" s="3" t="s">
        <v>203</v>
      </c>
      <c r="D245" s="3" t="s">
        <v>74</v>
      </c>
      <c r="E245" s="3" t="s">
        <v>75</v>
      </c>
      <c r="F245" s="3">
        <v>7.32</v>
      </c>
      <c r="G245" s="3">
        <v>1</v>
      </c>
      <c r="H245" s="3">
        <v>0</v>
      </c>
      <c r="I245" s="12">
        <f>+F245/G245</f>
        <v>7.32</v>
      </c>
      <c r="J245" s="3">
        <v>8.94</v>
      </c>
      <c r="K245" s="3">
        <v>41</v>
      </c>
      <c r="L245" s="3">
        <v>-18.100000000000001</v>
      </c>
      <c r="P245" s="3" t="s">
        <v>74</v>
      </c>
      <c r="Q245" s="11">
        <f>+AVERAGEIFS(I:I,D:D,P245)</f>
        <v>7.9465789473684207</v>
      </c>
      <c r="R245" s="13">
        <f>+I245/Q245-1</f>
        <v>-7.8848892274066884E-2</v>
      </c>
    </row>
    <row r="246" spans="1:18" hidden="1" x14ac:dyDescent="0.25">
      <c r="A246">
        <v>1786</v>
      </c>
      <c r="B246" t="s">
        <v>207</v>
      </c>
      <c r="C246" t="s">
        <v>203</v>
      </c>
      <c r="D246" t="s">
        <v>74</v>
      </c>
      <c r="E246" t="s">
        <v>75</v>
      </c>
      <c r="F246">
        <v>9.99</v>
      </c>
      <c r="G246">
        <v>1</v>
      </c>
      <c r="H246">
        <v>0</v>
      </c>
      <c r="I246" s="15">
        <f>+F246/G246</f>
        <v>9.99</v>
      </c>
      <c r="J246">
        <v>8.94</v>
      </c>
      <c r="K246">
        <v>41</v>
      </c>
      <c r="L246">
        <v>11.7</v>
      </c>
      <c r="P246" t="s">
        <v>74</v>
      </c>
      <c r="Q246" s="11">
        <f>+AVERAGEIFS(I:I,D:D,P246)</f>
        <v>7.9465789473684207</v>
      </c>
      <c r="R246" s="13">
        <f>+I246/Q246-1</f>
        <v>0.25714474947842514</v>
      </c>
    </row>
    <row r="247" spans="1:18" hidden="1" x14ac:dyDescent="0.25">
      <c r="A247">
        <v>1713</v>
      </c>
      <c r="B247" t="s">
        <v>217</v>
      </c>
      <c r="C247" t="s">
        <v>203</v>
      </c>
      <c r="D247" t="s">
        <v>74</v>
      </c>
      <c r="E247" t="s">
        <v>75</v>
      </c>
      <c r="F247">
        <v>9.4</v>
      </c>
      <c r="G247">
        <v>1</v>
      </c>
      <c r="H247">
        <v>0</v>
      </c>
      <c r="I247" s="15">
        <f>+F247/G247</f>
        <v>9.4</v>
      </c>
      <c r="J247">
        <v>8.94</v>
      </c>
      <c r="K247">
        <v>41</v>
      </c>
      <c r="L247">
        <v>5.0999999999999996</v>
      </c>
      <c r="P247" t="s">
        <v>74</v>
      </c>
      <c r="Q247" s="11">
        <f>+AVERAGEIFS(I:I,D:D,P247)</f>
        <v>7.9465789473684207</v>
      </c>
      <c r="R247" s="13">
        <f>+I247/Q247-1</f>
        <v>0.18289896347319279</v>
      </c>
    </row>
    <row r="248" spans="1:18" hidden="1" x14ac:dyDescent="0.25">
      <c r="A248" s="2">
        <v>1810</v>
      </c>
      <c r="B248" s="2" t="s">
        <v>218</v>
      </c>
      <c r="C248" s="2" t="s">
        <v>203</v>
      </c>
      <c r="D248" s="2" t="s">
        <v>74</v>
      </c>
      <c r="E248" s="2" t="s">
        <v>75</v>
      </c>
      <c r="F248" s="2">
        <v>5.7</v>
      </c>
      <c r="G248" s="2">
        <v>1</v>
      </c>
      <c r="H248" s="2">
        <v>0</v>
      </c>
      <c r="I248" s="15">
        <f>+F248/G248</f>
        <v>5.7</v>
      </c>
      <c r="J248" s="2">
        <v>8.94</v>
      </c>
      <c r="K248" s="2">
        <v>41</v>
      </c>
      <c r="L248" s="2">
        <v>-36.200000000000003</v>
      </c>
      <c r="P248" s="2" t="s">
        <v>74</v>
      </c>
      <c r="Q248" s="11">
        <f>+AVERAGEIFS(I:I,D:D,P248)</f>
        <v>7.9465789473684207</v>
      </c>
      <c r="R248" s="13">
        <f>+I248/Q248-1</f>
        <v>-0.28271020300029803</v>
      </c>
    </row>
    <row r="249" spans="1:18" hidden="1" x14ac:dyDescent="0.25">
      <c r="A249">
        <v>1712</v>
      </c>
      <c r="B249" t="s">
        <v>219</v>
      </c>
      <c r="C249" t="s">
        <v>203</v>
      </c>
      <c r="D249" t="s">
        <v>74</v>
      </c>
      <c r="E249" t="s">
        <v>75</v>
      </c>
      <c r="F249">
        <v>8.6</v>
      </c>
      <c r="G249">
        <v>1</v>
      </c>
      <c r="H249">
        <v>0</v>
      </c>
      <c r="I249" s="12">
        <f>+F249/G249</f>
        <v>8.6</v>
      </c>
      <c r="J249">
        <v>8.94</v>
      </c>
      <c r="K249">
        <v>41</v>
      </c>
      <c r="L249">
        <v>-3.8</v>
      </c>
      <c r="P249" t="s">
        <v>74</v>
      </c>
      <c r="Q249" s="11">
        <f>+AVERAGEIFS(I:I,D:D,P249)</f>
        <v>7.9465789473684207</v>
      </c>
      <c r="R249" s="13">
        <f>+I249/Q249-1</f>
        <v>8.2226711262708196E-2</v>
      </c>
    </row>
    <row r="250" spans="1:18" hidden="1" x14ac:dyDescent="0.25">
      <c r="A250">
        <v>1769</v>
      </c>
      <c r="B250" t="s">
        <v>220</v>
      </c>
      <c r="C250" t="s">
        <v>203</v>
      </c>
      <c r="D250" t="s">
        <v>74</v>
      </c>
      <c r="E250" t="s">
        <v>75</v>
      </c>
      <c r="F250">
        <v>9</v>
      </c>
      <c r="G250">
        <v>1</v>
      </c>
      <c r="H250">
        <v>0</v>
      </c>
      <c r="I250" s="15">
        <f>+F250/G250</f>
        <v>9</v>
      </c>
      <c r="J250">
        <v>8.94</v>
      </c>
      <c r="K250">
        <v>41</v>
      </c>
      <c r="L250">
        <v>0.7</v>
      </c>
      <c r="P250" t="s">
        <v>74</v>
      </c>
      <c r="Q250" s="11">
        <f>+AVERAGEIFS(I:I,D:D,P250)</f>
        <v>7.9465789473684207</v>
      </c>
      <c r="R250" s="13">
        <f>+I250/Q250-1</f>
        <v>0.1325628373679506</v>
      </c>
    </row>
    <row r="251" spans="1:18" hidden="1" x14ac:dyDescent="0.25">
      <c r="A251">
        <v>1711</v>
      </c>
      <c r="B251" t="s">
        <v>25</v>
      </c>
      <c r="C251" t="s">
        <v>203</v>
      </c>
      <c r="D251" t="s">
        <v>74</v>
      </c>
      <c r="E251" t="s">
        <v>75</v>
      </c>
      <c r="F251">
        <v>9.8000000000000007</v>
      </c>
      <c r="G251">
        <v>1</v>
      </c>
      <c r="H251">
        <v>0</v>
      </c>
      <c r="I251" s="15">
        <f>+F251/G251</f>
        <v>9.8000000000000007</v>
      </c>
      <c r="J251">
        <v>8.94</v>
      </c>
      <c r="K251">
        <v>41</v>
      </c>
      <c r="L251">
        <v>9.6</v>
      </c>
      <c r="P251" t="s">
        <v>74</v>
      </c>
      <c r="Q251" s="11">
        <f>+AVERAGEIFS(I:I,D:D,P251)</f>
        <v>7.9465789473684207</v>
      </c>
      <c r="R251" s="13">
        <f>+I251/Q251-1</f>
        <v>0.23323508957843497</v>
      </c>
    </row>
    <row r="252" spans="1:18" hidden="1" x14ac:dyDescent="0.25">
      <c r="A252">
        <v>1750</v>
      </c>
      <c r="B252" t="s">
        <v>111</v>
      </c>
      <c r="C252" t="s">
        <v>203</v>
      </c>
      <c r="D252" t="s">
        <v>74</v>
      </c>
      <c r="E252" t="s">
        <v>75</v>
      </c>
      <c r="F252">
        <v>8.1</v>
      </c>
      <c r="G252">
        <v>1</v>
      </c>
      <c r="H252">
        <v>0</v>
      </c>
      <c r="I252" s="12">
        <f>+F252/G252</f>
        <v>8.1</v>
      </c>
      <c r="J252">
        <v>8.94</v>
      </c>
      <c r="K252">
        <v>41</v>
      </c>
      <c r="L252">
        <v>-9.4</v>
      </c>
      <c r="P252" t="s">
        <v>74</v>
      </c>
      <c r="Q252" s="11">
        <f>+AVERAGEIFS(I:I,D:D,P252)</f>
        <v>7.9465789473684207</v>
      </c>
      <c r="R252" s="13">
        <f>+I252/Q252-1</f>
        <v>1.930655363115541E-2</v>
      </c>
    </row>
    <row r="253" spans="1:18" hidden="1" x14ac:dyDescent="0.25">
      <c r="A253">
        <v>1710</v>
      </c>
      <c r="B253" t="s">
        <v>221</v>
      </c>
      <c r="C253" t="s">
        <v>203</v>
      </c>
      <c r="D253" t="s">
        <v>74</v>
      </c>
      <c r="E253" t="s">
        <v>75</v>
      </c>
      <c r="F253">
        <v>8.8000000000000007</v>
      </c>
      <c r="G253">
        <v>1</v>
      </c>
      <c r="H253">
        <v>0</v>
      </c>
      <c r="I253" s="15">
        <f>+F253/G253</f>
        <v>8.8000000000000007</v>
      </c>
      <c r="J253">
        <v>8.94</v>
      </c>
      <c r="K253">
        <v>41</v>
      </c>
      <c r="L253">
        <v>-1.6</v>
      </c>
      <c r="P253" t="s">
        <v>74</v>
      </c>
      <c r="Q253" s="11">
        <f>+AVERAGEIFS(I:I,D:D,P253)</f>
        <v>7.9465789473684207</v>
      </c>
      <c r="R253" s="13">
        <f>+I253/Q253-1</f>
        <v>0.1073947743153294</v>
      </c>
    </row>
    <row r="254" spans="1:18" hidden="1" x14ac:dyDescent="0.25">
      <c r="A254" s="3">
        <v>1785</v>
      </c>
      <c r="B254" s="3" t="s">
        <v>122</v>
      </c>
      <c r="C254" s="3" t="s">
        <v>203</v>
      </c>
      <c r="D254" s="3" t="s">
        <v>74</v>
      </c>
      <c r="E254" s="3" t="s">
        <v>75</v>
      </c>
      <c r="F254" s="3">
        <v>10.4</v>
      </c>
      <c r="G254" s="3">
        <v>1</v>
      </c>
      <c r="H254" s="3">
        <v>0</v>
      </c>
      <c r="I254" s="15">
        <f>+F254/G254</f>
        <v>10.4</v>
      </c>
      <c r="J254" s="3">
        <v>8.94</v>
      </c>
      <c r="K254" s="3">
        <v>41</v>
      </c>
      <c r="L254" s="3">
        <v>16.3</v>
      </c>
      <c r="P254" s="3" t="s">
        <v>74</v>
      </c>
      <c r="Q254" s="11">
        <f>+AVERAGEIFS(I:I,D:D,P254)</f>
        <v>7.9465789473684207</v>
      </c>
      <c r="R254" s="13">
        <f>+I254/Q254-1</f>
        <v>0.30873927873629836</v>
      </c>
    </row>
    <row r="255" spans="1:18" hidden="1" x14ac:dyDescent="0.25">
      <c r="A255">
        <v>1807</v>
      </c>
      <c r="B255" t="s">
        <v>81</v>
      </c>
      <c r="C255" t="s">
        <v>203</v>
      </c>
      <c r="D255" t="s">
        <v>74</v>
      </c>
      <c r="E255" t="s">
        <v>75</v>
      </c>
      <c r="F255">
        <v>10</v>
      </c>
      <c r="G255">
        <v>1</v>
      </c>
      <c r="H255">
        <v>0</v>
      </c>
      <c r="I255" s="15">
        <f>+F255/G255</f>
        <v>10</v>
      </c>
      <c r="J255">
        <v>8.94</v>
      </c>
      <c r="K255">
        <v>41</v>
      </c>
      <c r="L255">
        <v>11.9</v>
      </c>
      <c r="P255" t="s">
        <v>74</v>
      </c>
      <c r="Q255" s="11">
        <f>+AVERAGEIFS(I:I,D:D,P255)</f>
        <v>7.9465789473684207</v>
      </c>
      <c r="R255" s="13">
        <f>+I255/Q255-1</f>
        <v>0.25840315263105618</v>
      </c>
    </row>
    <row r="256" spans="1:18" hidden="1" x14ac:dyDescent="0.25">
      <c r="A256">
        <v>1783</v>
      </c>
      <c r="B256" t="s">
        <v>222</v>
      </c>
      <c r="C256" t="s">
        <v>203</v>
      </c>
      <c r="D256" t="s">
        <v>74</v>
      </c>
      <c r="E256" t="s">
        <v>75</v>
      </c>
      <c r="F256">
        <v>7.9</v>
      </c>
      <c r="G256">
        <v>1</v>
      </c>
      <c r="H256">
        <v>0</v>
      </c>
      <c r="I256" s="12">
        <f>+F256/G256</f>
        <v>7.9</v>
      </c>
      <c r="J256">
        <v>8.94</v>
      </c>
      <c r="K256">
        <v>41</v>
      </c>
      <c r="L256">
        <v>-11.6</v>
      </c>
      <c r="P256" t="s">
        <v>74</v>
      </c>
      <c r="Q256" s="11">
        <f>+AVERAGEIFS(I:I,D:D,P256)</f>
        <v>7.9465789473684207</v>
      </c>
      <c r="R256" s="13">
        <f>+I256/Q256-1</f>
        <v>-5.8615094214655716E-3</v>
      </c>
    </row>
    <row r="257" spans="1:18" hidden="1" x14ac:dyDescent="0.25">
      <c r="A257">
        <v>1749</v>
      </c>
      <c r="B257" t="s">
        <v>82</v>
      </c>
      <c r="C257" t="s">
        <v>203</v>
      </c>
      <c r="D257" t="s">
        <v>74</v>
      </c>
      <c r="E257" t="s">
        <v>75</v>
      </c>
      <c r="F257">
        <v>10</v>
      </c>
      <c r="G257">
        <v>1</v>
      </c>
      <c r="H257">
        <v>0</v>
      </c>
      <c r="I257" s="15">
        <f>+F257/G257</f>
        <v>10</v>
      </c>
      <c r="J257">
        <v>8.94</v>
      </c>
      <c r="K257">
        <v>41</v>
      </c>
      <c r="L257">
        <v>11.9</v>
      </c>
      <c r="P257" t="s">
        <v>74</v>
      </c>
      <c r="Q257" s="11">
        <f>+AVERAGEIFS(I:I,D:D,P257)</f>
        <v>7.9465789473684207</v>
      </c>
      <c r="R257" s="13">
        <f>+I257/Q257-1</f>
        <v>0.25840315263105618</v>
      </c>
    </row>
    <row r="258" spans="1:18" hidden="1" x14ac:dyDescent="0.25">
      <c r="A258" s="2">
        <v>1748</v>
      </c>
      <c r="B258" s="2" t="s">
        <v>84</v>
      </c>
      <c r="C258" s="2" t="s">
        <v>203</v>
      </c>
      <c r="D258" s="2" t="s">
        <v>74</v>
      </c>
      <c r="E258" s="2" t="s">
        <v>75</v>
      </c>
      <c r="F258" s="2">
        <v>6</v>
      </c>
      <c r="G258" s="2">
        <v>1</v>
      </c>
      <c r="H258" s="2">
        <v>0</v>
      </c>
      <c r="I258" s="15">
        <f>+F258/G258</f>
        <v>6</v>
      </c>
      <c r="J258" s="2">
        <v>8.94</v>
      </c>
      <c r="K258" s="2">
        <v>41</v>
      </c>
      <c r="L258" s="2">
        <v>-32.9</v>
      </c>
      <c r="P258" s="2" t="s">
        <v>74</v>
      </c>
      <c r="Q258" s="11">
        <f>+AVERAGEIFS(I:I,D:D,P258)</f>
        <v>7.9465789473684207</v>
      </c>
      <c r="R258" s="13">
        <f>+I258/Q258-1</f>
        <v>-0.24495810842136634</v>
      </c>
    </row>
    <row r="259" spans="1:18" hidden="1" x14ac:dyDescent="0.25">
      <c r="A259" s="2">
        <v>1806</v>
      </c>
      <c r="B259" s="2" t="s">
        <v>71</v>
      </c>
      <c r="C259" s="2" t="s">
        <v>203</v>
      </c>
      <c r="D259" s="2" t="s">
        <v>74</v>
      </c>
      <c r="E259" s="2" t="s">
        <v>75</v>
      </c>
      <c r="F259" s="2">
        <v>4</v>
      </c>
      <c r="G259" s="2">
        <v>1</v>
      </c>
      <c r="H259" s="2">
        <v>0</v>
      </c>
      <c r="I259" s="15">
        <f>+F259/G259</f>
        <v>4</v>
      </c>
      <c r="J259" s="2">
        <v>8.94</v>
      </c>
      <c r="K259" s="2">
        <v>41</v>
      </c>
      <c r="L259" s="2">
        <v>-55.3</v>
      </c>
      <c r="P259" s="2" t="s">
        <v>74</v>
      </c>
      <c r="Q259" s="11">
        <f>+AVERAGEIFS(I:I,D:D,P259)</f>
        <v>7.9465789473684207</v>
      </c>
      <c r="R259" s="13">
        <f>+I259/Q259-1</f>
        <v>-0.4966387389475776</v>
      </c>
    </row>
    <row r="260" spans="1:18" hidden="1" x14ac:dyDescent="0.25">
      <c r="A260" s="2">
        <v>1778</v>
      </c>
      <c r="B260" s="2" t="s">
        <v>87</v>
      </c>
      <c r="C260" s="2" t="s">
        <v>203</v>
      </c>
      <c r="D260" s="2" t="s">
        <v>74</v>
      </c>
      <c r="E260" s="2" t="s">
        <v>75</v>
      </c>
      <c r="F260" s="2">
        <v>6</v>
      </c>
      <c r="G260" s="2">
        <v>1</v>
      </c>
      <c r="H260" s="2">
        <v>0</v>
      </c>
      <c r="I260" s="15">
        <f>+F260/G260</f>
        <v>6</v>
      </c>
      <c r="J260" s="2">
        <v>8.94</v>
      </c>
      <c r="K260" s="2">
        <v>41</v>
      </c>
      <c r="L260" s="2">
        <v>-32.9</v>
      </c>
      <c r="P260" s="2" t="s">
        <v>74</v>
      </c>
      <c r="Q260" s="11">
        <f>+AVERAGEIFS(I:I,D:D,P260)</f>
        <v>7.9465789473684207</v>
      </c>
      <c r="R260" s="13">
        <f>+I260/Q260-1</f>
        <v>-0.24495810842136634</v>
      </c>
    </row>
    <row r="261" spans="1:18" hidden="1" x14ac:dyDescent="0.25">
      <c r="A261" s="3">
        <v>1747</v>
      </c>
      <c r="B261" s="3" t="s">
        <v>223</v>
      </c>
      <c r="C261" s="3" t="s">
        <v>203</v>
      </c>
      <c r="D261" s="3" t="s">
        <v>74</v>
      </c>
      <c r="E261" s="3" t="s">
        <v>75</v>
      </c>
      <c r="F261" s="3">
        <v>7.4</v>
      </c>
      <c r="G261" s="3">
        <v>1</v>
      </c>
      <c r="H261" s="3">
        <v>0</v>
      </c>
      <c r="I261" s="12">
        <f>+F261/G261</f>
        <v>7.4</v>
      </c>
      <c r="J261" s="3">
        <v>8.94</v>
      </c>
      <c r="K261" s="3">
        <v>41</v>
      </c>
      <c r="L261" s="3">
        <v>-17.2</v>
      </c>
      <c r="P261" s="3" t="s">
        <v>74</v>
      </c>
      <c r="Q261" s="11">
        <f>+AVERAGEIFS(I:I,D:D,P261)</f>
        <v>7.9465789473684207</v>
      </c>
      <c r="R261" s="13">
        <f>+I261/Q261-1</f>
        <v>-6.8781667053018469E-2</v>
      </c>
    </row>
    <row r="262" spans="1:18" hidden="1" x14ac:dyDescent="0.25">
      <c r="A262" s="2">
        <v>1777</v>
      </c>
      <c r="B262" s="2" t="s">
        <v>89</v>
      </c>
      <c r="C262" s="2" t="s">
        <v>203</v>
      </c>
      <c r="D262" s="2" t="s">
        <v>74</v>
      </c>
      <c r="E262" s="2" t="s">
        <v>75</v>
      </c>
      <c r="F262" s="2">
        <v>5.6</v>
      </c>
      <c r="G262" s="2">
        <v>1</v>
      </c>
      <c r="H262" s="2">
        <v>0</v>
      </c>
      <c r="I262" s="15">
        <f>+F262/G262</f>
        <v>5.6</v>
      </c>
      <c r="J262" s="2">
        <v>8.94</v>
      </c>
      <c r="K262" s="2">
        <v>41</v>
      </c>
      <c r="L262" s="2">
        <v>-37.4</v>
      </c>
      <c r="P262" s="2" t="s">
        <v>74</v>
      </c>
      <c r="Q262" s="11">
        <f>+AVERAGEIFS(I:I,D:D,P262)</f>
        <v>7.9465789473684207</v>
      </c>
      <c r="R262" s="13">
        <f>+I262/Q262-1</f>
        <v>-0.29529423452660863</v>
      </c>
    </row>
    <row r="263" spans="1:18" hidden="1" x14ac:dyDescent="0.25">
      <c r="A263" s="3">
        <v>1746</v>
      </c>
      <c r="B263" s="3" t="s">
        <v>117</v>
      </c>
      <c r="C263" s="3" t="s">
        <v>203</v>
      </c>
      <c r="D263" s="3" t="s">
        <v>74</v>
      </c>
      <c r="E263" s="3" t="s">
        <v>75</v>
      </c>
      <c r="F263" s="3">
        <v>11</v>
      </c>
      <c r="G263" s="3">
        <v>1</v>
      </c>
      <c r="H263" s="3">
        <v>0</v>
      </c>
      <c r="I263" s="15">
        <f>+F263/G263</f>
        <v>11</v>
      </c>
      <c r="J263" s="3">
        <v>8.94</v>
      </c>
      <c r="K263" s="3">
        <v>41</v>
      </c>
      <c r="L263" s="3">
        <v>23</v>
      </c>
      <c r="P263" s="3" t="s">
        <v>74</v>
      </c>
      <c r="Q263" s="11">
        <f>+AVERAGEIFS(I:I,D:D,P263)</f>
        <v>7.9465789473684207</v>
      </c>
      <c r="R263" s="13">
        <f>+I263/Q263-1</f>
        <v>0.38424346789416175</v>
      </c>
    </row>
    <row r="264" spans="1:18" hidden="1" x14ac:dyDescent="0.25">
      <c r="A264">
        <v>1803</v>
      </c>
      <c r="B264" t="s">
        <v>91</v>
      </c>
      <c r="C264" t="s">
        <v>203</v>
      </c>
      <c r="D264" t="s">
        <v>74</v>
      </c>
      <c r="E264" t="s">
        <v>75</v>
      </c>
      <c r="F264">
        <v>8</v>
      </c>
      <c r="G264">
        <v>1</v>
      </c>
      <c r="H264">
        <v>0</v>
      </c>
      <c r="I264" s="12">
        <f>+F264/G264</f>
        <v>8</v>
      </c>
      <c r="J264">
        <v>8.94</v>
      </c>
      <c r="K264">
        <v>41</v>
      </c>
      <c r="L264">
        <v>-10.5</v>
      </c>
      <c r="P264" t="s">
        <v>74</v>
      </c>
      <c r="Q264" s="11">
        <f>+AVERAGEIFS(I:I,D:D,P264)</f>
        <v>7.9465789473684207</v>
      </c>
      <c r="R264" s="13">
        <f>+I264/Q264-1</f>
        <v>6.7225221048448081E-3</v>
      </c>
    </row>
    <row r="265" spans="1:18" hidden="1" x14ac:dyDescent="0.25">
      <c r="A265" s="2">
        <v>1802</v>
      </c>
      <c r="B265" s="2" t="s">
        <v>93</v>
      </c>
      <c r="C265" s="2" t="s">
        <v>203</v>
      </c>
      <c r="D265" s="2" t="s">
        <v>74</v>
      </c>
      <c r="E265" s="2" t="s">
        <v>75</v>
      </c>
      <c r="F265" s="2">
        <v>5</v>
      </c>
      <c r="G265" s="2">
        <v>1</v>
      </c>
      <c r="H265" s="2">
        <v>0</v>
      </c>
      <c r="I265" s="15">
        <f>+F265/G265</f>
        <v>5</v>
      </c>
      <c r="J265" s="2">
        <v>8.94</v>
      </c>
      <c r="K265" s="2">
        <v>41</v>
      </c>
      <c r="L265" s="2">
        <v>-44.1</v>
      </c>
      <c r="P265" s="2" t="s">
        <v>74</v>
      </c>
      <c r="Q265" s="11">
        <f>+AVERAGEIFS(I:I,D:D,P265)</f>
        <v>7.9465789473684207</v>
      </c>
      <c r="R265" s="13">
        <f>+I265/Q265-1</f>
        <v>-0.37079842368447191</v>
      </c>
    </row>
    <row r="266" spans="1:18" hidden="1" x14ac:dyDescent="0.25">
      <c r="A266" s="2">
        <v>1801</v>
      </c>
      <c r="B266" s="2" t="s">
        <v>95</v>
      </c>
      <c r="C266" s="2" t="s">
        <v>203</v>
      </c>
      <c r="D266" s="2" t="s">
        <v>74</v>
      </c>
      <c r="E266" s="2" t="s">
        <v>75</v>
      </c>
      <c r="F266" s="2">
        <v>6</v>
      </c>
      <c r="G266" s="2">
        <v>1</v>
      </c>
      <c r="H266" s="2">
        <v>0</v>
      </c>
      <c r="I266" s="15">
        <f>+F266/G266</f>
        <v>6</v>
      </c>
      <c r="J266" s="2">
        <v>8.94</v>
      </c>
      <c r="K266" s="2">
        <v>41</v>
      </c>
      <c r="L266" s="2">
        <v>-32.9</v>
      </c>
      <c r="P266" s="2" t="s">
        <v>74</v>
      </c>
      <c r="Q266" s="11">
        <f>+AVERAGEIFS(I:I,D:D,P266)</f>
        <v>7.9465789473684207</v>
      </c>
      <c r="R266" s="13">
        <f>+I266/Q266-1</f>
        <v>-0.24495810842136634</v>
      </c>
    </row>
    <row r="267" spans="1:18" hidden="1" x14ac:dyDescent="0.25">
      <c r="A267" s="3">
        <v>1800</v>
      </c>
      <c r="B267" s="3" t="s">
        <v>98</v>
      </c>
      <c r="C267" s="3" t="s">
        <v>203</v>
      </c>
      <c r="D267" s="3" t="s">
        <v>74</v>
      </c>
      <c r="E267" s="3" t="s">
        <v>75</v>
      </c>
      <c r="F267" s="3">
        <v>7</v>
      </c>
      <c r="G267" s="3">
        <v>1</v>
      </c>
      <c r="H267" s="3">
        <v>0</v>
      </c>
      <c r="I267" s="15">
        <f>+F267/G267</f>
        <v>7</v>
      </c>
      <c r="J267" s="3">
        <v>8.94</v>
      </c>
      <c r="K267" s="3">
        <v>41</v>
      </c>
      <c r="L267" s="3">
        <v>-21.7</v>
      </c>
      <c r="P267" s="3" t="s">
        <v>74</v>
      </c>
      <c r="Q267" s="11">
        <f>+AVERAGEIFS(I:I,D:D,P267)</f>
        <v>7.9465789473684207</v>
      </c>
      <c r="R267" s="13">
        <f>+I267/Q267-1</f>
        <v>-0.11911779315826077</v>
      </c>
    </row>
    <row r="268" spans="1:18" hidden="1" x14ac:dyDescent="0.25">
      <c r="A268" s="3">
        <v>1736</v>
      </c>
      <c r="B268" s="3" t="s">
        <v>61</v>
      </c>
      <c r="C268" s="3" t="s">
        <v>203</v>
      </c>
      <c r="D268" s="3" t="s">
        <v>74</v>
      </c>
      <c r="E268" s="3" t="s">
        <v>75</v>
      </c>
      <c r="F268" s="3">
        <v>11</v>
      </c>
      <c r="G268" s="3">
        <v>1</v>
      </c>
      <c r="H268" s="3">
        <v>0</v>
      </c>
      <c r="I268" s="15">
        <f>+F268/G268</f>
        <v>11</v>
      </c>
      <c r="J268" s="3">
        <v>8.94</v>
      </c>
      <c r="K268" s="3">
        <v>41</v>
      </c>
      <c r="L268" s="3">
        <v>23</v>
      </c>
      <c r="P268" s="3" t="s">
        <v>74</v>
      </c>
      <c r="Q268" s="11">
        <f>+AVERAGEIFS(I:I,D:D,P268)</f>
        <v>7.9465789473684207</v>
      </c>
      <c r="R268" s="13">
        <f>+I268/Q268-1</f>
        <v>0.38424346789416175</v>
      </c>
    </row>
    <row r="269" spans="1:18" hidden="1" x14ac:dyDescent="0.25">
      <c r="A269" s="2">
        <v>1732</v>
      </c>
      <c r="B269" s="2" t="s">
        <v>36</v>
      </c>
      <c r="C269" s="2" t="s">
        <v>203</v>
      </c>
      <c r="D269" s="2" t="s">
        <v>74</v>
      </c>
      <c r="E269" s="2" t="s">
        <v>75</v>
      </c>
      <c r="F269" s="2">
        <v>13.3</v>
      </c>
      <c r="G269" s="2">
        <v>1</v>
      </c>
      <c r="H269" s="2">
        <v>0</v>
      </c>
      <c r="I269" s="15">
        <f>+F269/G269</f>
        <v>13.3</v>
      </c>
      <c r="J269" s="2">
        <v>8.94</v>
      </c>
      <c r="K269" s="2">
        <v>41</v>
      </c>
      <c r="L269" s="2">
        <v>48.8</v>
      </c>
      <c r="P269" s="2" t="s">
        <v>74</v>
      </c>
      <c r="Q269" s="11">
        <f>+AVERAGEIFS(I:I,D:D,P269)</f>
        <v>7.9465789473684207</v>
      </c>
      <c r="R269" s="13">
        <f>+I269/Q269-1</f>
        <v>0.6736761929993047</v>
      </c>
    </row>
    <row r="270" spans="1:18" hidden="1" x14ac:dyDescent="0.25">
      <c r="A270" s="2">
        <v>1811</v>
      </c>
      <c r="B270" s="2" t="s">
        <v>206</v>
      </c>
      <c r="C270" s="2" t="s">
        <v>203</v>
      </c>
      <c r="D270" s="2" t="s">
        <v>224</v>
      </c>
      <c r="E270" s="2" t="s">
        <v>225</v>
      </c>
      <c r="F270" s="2">
        <v>4</v>
      </c>
      <c r="G270" s="2">
        <v>1</v>
      </c>
      <c r="H270" s="2">
        <v>0</v>
      </c>
      <c r="I270" s="15">
        <f>+F270/G270</f>
        <v>4</v>
      </c>
      <c r="J270" s="2">
        <v>7.6</v>
      </c>
      <c r="K270" s="2">
        <v>2</v>
      </c>
      <c r="L270" s="2">
        <v>-47.4</v>
      </c>
      <c r="P270" s="2" t="s">
        <v>224</v>
      </c>
      <c r="Q270" s="11">
        <f>+AVERAGEIFS(I:I,D:D,P270)</f>
        <v>7.6</v>
      </c>
      <c r="R270" s="13">
        <f>+I270/Q270-1</f>
        <v>-0.47368421052631582</v>
      </c>
    </row>
    <row r="271" spans="1:18" hidden="1" x14ac:dyDescent="0.25">
      <c r="A271" s="2">
        <v>1731</v>
      </c>
      <c r="B271" s="2" t="s">
        <v>36</v>
      </c>
      <c r="C271" s="2" t="s">
        <v>203</v>
      </c>
      <c r="D271" s="2" t="s">
        <v>224</v>
      </c>
      <c r="E271" s="2" t="s">
        <v>225</v>
      </c>
      <c r="F271" s="2">
        <v>11.2</v>
      </c>
      <c r="G271" s="2">
        <v>1</v>
      </c>
      <c r="H271" s="2">
        <v>0</v>
      </c>
      <c r="I271" s="15">
        <f>+F271/G271</f>
        <v>11.2</v>
      </c>
      <c r="J271" s="2">
        <v>7.6</v>
      </c>
      <c r="K271" s="2">
        <v>2</v>
      </c>
      <c r="L271" s="2">
        <v>47.4</v>
      </c>
      <c r="P271" s="2" t="s">
        <v>224</v>
      </c>
      <c r="Q271" s="11">
        <f>+AVERAGEIFS(I:I,D:D,P271)</f>
        <v>7.6</v>
      </c>
      <c r="R271" s="13">
        <f>+I271/Q271-1</f>
        <v>0.47368421052631571</v>
      </c>
    </row>
    <row r="272" spans="1:18" hidden="1" x14ac:dyDescent="0.25">
      <c r="A272">
        <v>2253</v>
      </c>
      <c r="B272" t="s">
        <v>211</v>
      </c>
      <c r="C272" t="s">
        <v>324</v>
      </c>
      <c r="D272" t="s">
        <v>325</v>
      </c>
      <c r="E272" t="s">
        <v>326</v>
      </c>
      <c r="F272">
        <v>50.2</v>
      </c>
      <c r="G272">
        <v>5</v>
      </c>
      <c r="H272">
        <v>0</v>
      </c>
      <c r="I272" s="15">
        <f>+F272/G272</f>
        <v>10.040000000000001</v>
      </c>
      <c r="J272">
        <v>10.85</v>
      </c>
      <c r="K272">
        <v>11</v>
      </c>
      <c r="L272">
        <v>-7.5</v>
      </c>
      <c r="P272" t="s">
        <v>325</v>
      </c>
      <c r="Q272" s="11">
        <f>+AVERAGEIFS(I:I,D:D,P272)</f>
        <v>13.663484848484849</v>
      </c>
      <c r="R272" s="13">
        <f>+I272/Q272-1</f>
        <v>-0.26519477927233615</v>
      </c>
    </row>
    <row r="273" spans="1:18" hidden="1" x14ac:dyDescent="0.25">
      <c r="A273" s="2">
        <v>2147</v>
      </c>
      <c r="B273" s="2" t="s">
        <v>230</v>
      </c>
      <c r="C273" s="2" t="s">
        <v>324</v>
      </c>
      <c r="D273" s="2" t="s">
        <v>325</v>
      </c>
      <c r="E273" s="2" t="s">
        <v>326</v>
      </c>
      <c r="F273" s="2">
        <v>50</v>
      </c>
      <c r="G273" s="2">
        <v>1</v>
      </c>
      <c r="H273" s="2">
        <v>0</v>
      </c>
      <c r="I273" s="15">
        <f>+F273/G273</f>
        <v>50</v>
      </c>
      <c r="J273" s="2">
        <v>10.85</v>
      </c>
      <c r="K273" s="2">
        <v>11</v>
      </c>
      <c r="L273" s="2">
        <v>360.7</v>
      </c>
      <c r="P273" s="2" t="s">
        <v>325</v>
      </c>
      <c r="Q273" s="11">
        <f>+AVERAGEIFS(I:I,D:D,P273)</f>
        <v>13.663484848484849</v>
      </c>
      <c r="R273" s="13">
        <f>+I273/Q273-1</f>
        <v>2.6593885494405569</v>
      </c>
    </row>
    <row r="274" spans="1:18" hidden="1" x14ac:dyDescent="0.25">
      <c r="A274">
        <v>2201</v>
      </c>
      <c r="B274" t="s">
        <v>327</v>
      </c>
      <c r="C274" t="s">
        <v>324</v>
      </c>
      <c r="D274" t="s">
        <v>325</v>
      </c>
      <c r="E274" t="s">
        <v>326</v>
      </c>
      <c r="F274">
        <v>30</v>
      </c>
      <c r="G274">
        <v>3</v>
      </c>
      <c r="H274">
        <v>0</v>
      </c>
      <c r="I274" s="15">
        <f>+F274/G274</f>
        <v>10</v>
      </c>
      <c r="J274">
        <v>10.85</v>
      </c>
      <c r="K274">
        <v>11</v>
      </c>
      <c r="L274">
        <v>-7.9</v>
      </c>
      <c r="P274" t="s">
        <v>325</v>
      </c>
      <c r="Q274" s="11">
        <f>+AVERAGEIFS(I:I,D:D,P274)</f>
        <v>13.663484848484849</v>
      </c>
      <c r="R274" s="13">
        <f>+I274/Q274-1</f>
        <v>-0.26812229011188859</v>
      </c>
    </row>
    <row r="275" spans="1:18" hidden="1" x14ac:dyDescent="0.25">
      <c r="A275">
        <v>2160</v>
      </c>
      <c r="B275" t="s">
        <v>328</v>
      </c>
      <c r="C275" t="s">
        <v>324</v>
      </c>
      <c r="D275" t="s">
        <v>325</v>
      </c>
      <c r="E275" t="s">
        <v>326</v>
      </c>
      <c r="F275">
        <v>30</v>
      </c>
      <c r="G275">
        <v>3</v>
      </c>
      <c r="H275">
        <v>0</v>
      </c>
      <c r="I275" s="15">
        <f>+F275/G275</f>
        <v>10</v>
      </c>
      <c r="J275">
        <v>10.85</v>
      </c>
      <c r="K275">
        <v>11</v>
      </c>
      <c r="L275">
        <v>-7.9</v>
      </c>
      <c r="P275" t="s">
        <v>325</v>
      </c>
      <c r="Q275" s="11">
        <f>+AVERAGEIFS(I:I,D:D,P275)</f>
        <v>13.663484848484849</v>
      </c>
      <c r="R275" s="13">
        <f>+I275/Q275-1</f>
        <v>-0.26812229011188859</v>
      </c>
    </row>
    <row r="276" spans="1:18" hidden="1" x14ac:dyDescent="0.25">
      <c r="A276">
        <v>1818</v>
      </c>
      <c r="B276" t="s">
        <v>121</v>
      </c>
      <c r="C276" t="s">
        <v>203</v>
      </c>
      <c r="D276" t="s">
        <v>226</v>
      </c>
      <c r="E276" t="s">
        <v>227</v>
      </c>
      <c r="F276">
        <v>71.8</v>
      </c>
      <c r="G276">
        <v>17</v>
      </c>
      <c r="H276">
        <v>0</v>
      </c>
      <c r="I276" s="12">
        <f>+F276/G276</f>
        <v>4.223529411764706</v>
      </c>
      <c r="J276">
        <v>4.42</v>
      </c>
      <c r="K276">
        <v>9</v>
      </c>
      <c r="L276">
        <v>-4.5</v>
      </c>
      <c r="P276" t="s">
        <v>226</v>
      </c>
      <c r="Q276" s="11">
        <f>+AVERAGEIFS(I:I,D:D,P276)</f>
        <v>4.5586501951207836</v>
      </c>
      <c r="R276" s="13">
        <f>+I276/Q276-1</f>
        <v>-7.3513160477801986E-2</v>
      </c>
    </row>
    <row r="277" spans="1:18" hidden="1" x14ac:dyDescent="0.25">
      <c r="A277">
        <v>1727</v>
      </c>
      <c r="B277" t="s">
        <v>205</v>
      </c>
      <c r="C277" t="s">
        <v>203</v>
      </c>
      <c r="D277" t="s">
        <v>226</v>
      </c>
      <c r="E277" t="s">
        <v>227</v>
      </c>
      <c r="F277">
        <v>42.6</v>
      </c>
      <c r="G277">
        <v>10</v>
      </c>
      <c r="H277">
        <v>0</v>
      </c>
      <c r="I277" s="12">
        <f>+F277/G277</f>
        <v>4.26</v>
      </c>
      <c r="J277">
        <v>4.42</v>
      </c>
      <c r="K277">
        <v>9</v>
      </c>
      <c r="L277">
        <v>-3.7</v>
      </c>
      <c r="P277" t="s">
        <v>226</v>
      </c>
      <c r="Q277" s="11">
        <f>+AVERAGEIFS(I:I,D:D,P277)</f>
        <v>4.5586501951207836</v>
      </c>
      <c r="R277" s="13">
        <f>+I277/Q277-1</f>
        <v>-6.5512856292512911E-2</v>
      </c>
    </row>
    <row r="278" spans="1:18" hidden="1" x14ac:dyDescent="0.25">
      <c r="A278">
        <v>1816</v>
      </c>
      <c r="B278" t="s">
        <v>206</v>
      </c>
      <c r="C278" t="s">
        <v>203</v>
      </c>
      <c r="D278" t="s">
        <v>226</v>
      </c>
      <c r="E278" t="s">
        <v>227</v>
      </c>
      <c r="F278">
        <v>67.400000000000006</v>
      </c>
      <c r="G278">
        <v>15</v>
      </c>
      <c r="H278">
        <v>0</v>
      </c>
      <c r="I278" s="12">
        <f>+F278/G278</f>
        <v>4.4933333333333341</v>
      </c>
      <c r="J278">
        <v>4.42</v>
      </c>
      <c r="K278">
        <v>9</v>
      </c>
      <c r="L278">
        <v>1.6</v>
      </c>
      <c r="P278" t="s">
        <v>226</v>
      </c>
      <c r="Q278" s="11">
        <f>+AVERAGEIFS(I:I,D:D,P278)</f>
        <v>4.5586501951207836</v>
      </c>
      <c r="R278" s="13">
        <f>+I278/Q278-1</f>
        <v>-1.4328114461899188E-2</v>
      </c>
    </row>
    <row r="279" spans="1:18" hidden="1" x14ac:dyDescent="0.25">
      <c r="A279">
        <v>1789</v>
      </c>
      <c r="B279" t="s">
        <v>207</v>
      </c>
      <c r="C279" t="s">
        <v>203</v>
      </c>
      <c r="D279" t="s">
        <v>226</v>
      </c>
      <c r="E279" t="s">
        <v>227</v>
      </c>
      <c r="F279">
        <v>31.2</v>
      </c>
      <c r="G279">
        <v>7</v>
      </c>
      <c r="H279">
        <v>0</v>
      </c>
      <c r="I279" s="12">
        <f>+F279/G279</f>
        <v>4.4571428571428573</v>
      </c>
      <c r="J279">
        <v>4.42</v>
      </c>
      <c r="K279">
        <v>9</v>
      </c>
      <c r="L279">
        <v>0.8</v>
      </c>
      <c r="P279" t="s">
        <v>226</v>
      </c>
      <c r="Q279" s="11">
        <f>+AVERAGEIFS(I:I,D:D,P279)</f>
        <v>4.5586501951207836</v>
      </c>
      <c r="R279" s="13">
        <f>+I279/Q279-1</f>
        <v>-2.2266972378484295E-2</v>
      </c>
    </row>
    <row r="280" spans="1:18" hidden="1" x14ac:dyDescent="0.25">
      <c r="A280">
        <v>1718</v>
      </c>
      <c r="B280" t="s">
        <v>208</v>
      </c>
      <c r="C280" t="s">
        <v>203</v>
      </c>
      <c r="D280" t="s">
        <v>226</v>
      </c>
      <c r="E280" t="s">
        <v>227</v>
      </c>
      <c r="F280">
        <v>56.6</v>
      </c>
      <c r="G280">
        <v>13</v>
      </c>
      <c r="H280">
        <v>0</v>
      </c>
      <c r="I280" s="12">
        <f>+F280/G280</f>
        <v>4.3538461538461544</v>
      </c>
      <c r="J280">
        <v>4.42</v>
      </c>
      <c r="K280">
        <v>9</v>
      </c>
      <c r="L280">
        <v>-1.6</v>
      </c>
      <c r="P280" t="s">
        <v>226</v>
      </c>
      <c r="Q280" s="11">
        <f>+AVERAGEIFS(I:I,D:D,P280)</f>
        <v>4.5586501951207836</v>
      </c>
      <c r="R280" s="13">
        <f>+I280/Q280-1</f>
        <v>-4.4926465622178058E-2</v>
      </c>
    </row>
    <row r="281" spans="1:18" hidden="1" x14ac:dyDescent="0.25">
      <c r="A281">
        <v>1764</v>
      </c>
      <c r="B281" t="s">
        <v>111</v>
      </c>
      <c r="C281" t="s">
        <v>203</v>
      </c>
      <c r="D281" t="s">
        <v>226</v>
      </c>
      <c r="E281" t="s">
        <v>227</v>
      </c>
      <c r="F281">
        <v>38.4</v>
      </c>
      <c r="G281">
        <v>9</v>
      </c>
      <c r="H281">
        <v>0</v>
      </c>
      <c r="I281" s="12">
        <f>+F281/G281</f>
        <v>4.2666666666666666</v>
      </c>
      <c r="J281">
        <v>4.42</v>
      </c>
      <c r="K281">
        <v>9</v>
      </c>
      <c r="L281">
        <v>-3.6</v>
      </c>
      <c r="P281" t="s">
        <v>226</v>
      </c>
      <c r="Q281" s="11">
        <f>+AVERAGEIFS(I:I,D:D,P281)</f>
        <v>4.5586501951207836</v>
      </c>
      <c r="R281" s="13">
        <f>+I281/Q281-1</f>
        <v>-6.4050435097352532E-2</v>
      </c>
    </row>
    <row r="282" spans="1:18" hidden="1" x14ac:dyDescent="0.25">
      <c r="A282">
        <v>1782</v>
      </c>
      <c r="B282" t="s">
        <v>52</v>
      </c>
      <c r="C282" t="s">
        <v>203</v>
      </c>
      <c r="D282" t="s">
        <v>226</v>
      </c>
      <c r="E282" t="s">
        <v>227</v>
      </c>
      <c r="F282">
        <v>13.4</v>
      </c>
      <c r="G282">
        <v>3</v>
      </c>
      <c r="H282">
        <v>0</v>
      </c>
      <c r="I282" s="12">
        <f>+F282/G282</f>
        <v>4.4666666666666668</v>
      </c>
      <c r="J282">
        <v>4.42</v>
      </c>
      <c r="K282">
        <v>9</v>
      </c>
      <c r="L282">
        <v>1</v>
      </c>
      <c r="P282" t="s">
        <v>226</v>
      </c>
      <c r="Q282" s="11">
        <f>+AVERAGEIFS(I:I,D:D,P282)</f>
        <v>4.5586501951207836</v>
      </c>
      <c r="R282" s="13">
        <f>+I282/Q282-1</f>
        <v>-2.0177799242540817E-2</v>
      </c>
    </row>
    <row r="283" spans="1:18" hidden="1" x14ac:dyDescent="0.25">
      <c r="A283">
        <v>1775</v>
      </c>
      <c r="B283" t="s">
        <v>90</v>
      </c>
      <c r="C283" t="s">
        <v>203</v>
      </c>
      <c r="D283" t="s">
        <v>226</v>
      </c>
      <c r="E283" t="s">
        <v>227</v>
      </c>
      <c r="F283">
        <v>67.599999999999994</v>
      </c>
      <c r="G283">
        <v>15</v>
      </c>
      <c r="H283">
        <v>0</v>
      </c>
      <c r="I283" s="12">
        <f>+F283/G283</f>
        <v>4.5066666666666659</v>
      </c>
      <c r="J283">
        <v>4.42</v>
      </c>
      <c r="K283">
        <v>9</v>
      </c>
      <c r="L283">
        <v>1.9</v>
      </c>
      <c r="P283" t="s">
        <v>226</v>
      </c>
      <c r="Q283" s="11">
        <f>+AVERAGEIFS(I:I,D:D,P283)</f>
        <v>4.5586501951207836</v>
      </c>
      <c r="R283" s="13">
        <f>+I283/Q283-1</f>
        <v>-1.1403272071578763E-2</v>
      </c>
    </row>
    <row r="284" spans="1:18" hidden="1" x14ac:dyDescent="0.25">
      <c r="A284">
        <v>2261</v>
      </c>
      <c r="B284" t="s">
        <v>213</v>
      </c>
      <c r="C284" t="s">
        <v>324</v>
      </c>
      <c r="D284" t="s">
        <v>325</v>
      </c>
      <c r="E284" t="s">
        <v>326</v>
      </c>
      <c r="F284">
        <v>80.599999999999994</v>
      </c>
      <c r="G284">
        <v>8</v>
      </c>
      <c r="H284">
        <v>0</v>
      </c>
      <c r="I284" s="15">
        <f>+F284/G284</f>
        <v>10.074999999999999</v>
      </c>
      <c r="J284">
        <v>10.85</v>
      </c>
      <c r="K284">
        <v>11</v>
      </c>
      <c r="L284">
        <v>-7.2</v>
      </c>
      <c r="P284" t="s">
        <v>325</v>
      </c>
      <c r="Q284" s="11">
        <f>+AVERAGEIFS(I:I,D:D,P284)</f>
        <v>13.663484848484849</v>
      </c>
      <c r="R284" s="13">
        <f>+I284/Q284-1</f>
        <v>-0.26263320728772788</v>
      </c>
    </row>
    <row r="285" spans="1:18" hidden="1" x14ac:dyDescent="0.25">
      <c r="A285">
        <v>1796</v>
      </c>
      <c r="B285" t="s">
        <v>12</v>
      </c>
      <c r="C285" t="s">
        <v>203</v>
      </c>
      <c r="D285" t="s">
        <v>228</v>
      </c>
      <c r="E285" t="s">
        <v>229</v>
      </c>
      <c r="F285">
        <v>55.4</v>
      </c>
      <c r="G285">
        <v>13</v>
      </c>
      <c r="H285">
        <v>0</v>
      </c>
      <c r="I285" s="12">
        <f>+F285/G285</f>
        <v>4.2615384615384615</v>
      </c>
      <c r="J285">
        <v>4.3</v>
      </c>
      <c r="K285">
        <v>11</v>
      </c>
      <c r="L285">
        <v>-0.8</v>
      </c>
      <c r="P285" t="s">
        <v>228</v>
      </c>
      <c r="Q285" s="11">
        <f>+AVERAGEIFS(I:I,D:D,P285)</f>
        <v>4.3075503284594188</v>
      </c>
      <c r="R285" s="13">
        <f>+I285/Q285-1</f>
        <v>-1.0681678311908027E-2</v>
      </c>
    </row>
    <row r="286" spans="1:18" hidden="1" x14ac:dyDescent="0.25">
      <c r="A286">
        <v>1728</v>
      </c>
      <c r="B286" t="s">
        <v>205</v>
      </c>
      <c r="C286" t="s">
        <v>203</v>
      </c>
      <c r="D286" t="s">
        <v>228</v>
      </c>
      <c r="E286" t="s">
        <v>229</v>
      </c>
      <c r="F286">
        <v>38</v>
      </c>
      <c r="G286">
        <v>9</v>
      </c>
      <c r="H286">
        <v>0</v>
      </c>
      <c r="I286" s="12">
        <f>+F286/G286</f>
        <v>4.2222222222222223</v>
      </c>
      <c r="J286">
        <v>4.3</v>
      </c>
      <c r="K286">
        <v>11</v>
      </c>
      <c r="L286">
        <v>-1.7</v>
      </c>
      <c r="P286" t="s">
        <v>228</v>
      </c>
      <c r="Q286" s="11">
        <f>+AVERAGEIFS(I:I,D:D,P286)</f>
        <v>4.3075503284594188</v>
      </c>
      <c r="R286" s="13">
        <f>+I286/Q286-1</f>
        <v>-1.9808963269319246E-2</v>
      </c>
    </row>
    <row r="287" spans="1:18" hidden="1" x14ac:dyDescent="0.25">
      <c r="A287">
        <v>1817</v>
      </c>
      <c r="B287" t="s">
        <v>206</v>
      </c>
      <c r="C287" t="s">
        <v>203</v>
      </c>
      <c r="D287" t="s">
        <v>228</v>
      </c>
      <c r="E287" t="s">
        <v>229</v>
      </c>
      <c r="F287">
        <v>17.8</v>
      </c>
      <c r="G287">
        <v>4</v>
      </c>
      <c r="H287">
        <v>0</v>
      </c>
      <c r="I287" s="12">
        <f>+F287/G287</f>
        <v>4.45</v>
      </c>
      <c r="J287">
        <v>4.3</v>
      </c>
      <c r="K287">
        <v>11</v>
      </c>
      <c r="L287">
        <v>3.6</v>
      </c>
      <c r="P287" t="s">
        <v>228</v>
      </c>
      <c r="Q287" s="11">
        <f>+AVERAGEIFS(I:I,D:D,P287)</f>
        <v>4.3075503284594188</v>
      </c>
      <c r="R287" s="13">
        <f>+I287/Q287-1</f>
        <v>3.3069763712204381E-2</v>
      </c>
    </row>
    <row r="288" spans="1:18" hidden="1" x14ac:dyDescent="0.25">
      <c r="A288">
        <v>1790</v>
      </c>
      <c r="B288" t="s">
        <v>207</v>
      </c>
      <c r="C288" t="s">
        <v>203</v>
      </c>
      <c r="D288" t="s">
        <v>228</v>
      </c>
      <c r="E288" t="s">
        <v>229</v>
      </c>
      <c r="F288">
        <v>21.7</v>
      </c>
      <c r="G288">
        <v>5</v>
      </c>
      <c r="H288">
        <v>0</v>
      </c>
      <c r="I288" s="12">
        <f>+F288/G288</f>
        <v>4.34</v>
      </c>
      <c r="J288">
        <v>4.3</v>
      </c>
      <c r="K288">
        <v>11</v>
      </c>
      <c r="L288">
        <v>1</v>
      </c>
      <c r="P288" t="s">
        <v>228</v>
      </c>
      <c r="Q288" s="11">
        <f>+AVERAGEIFS(I:I,D:D,P288)</f>
        <v>4.3075503284594188</v>
      </c>
      <c r="R288" s="13">
        <f>+I288/Q288-1</f>
        <v>7.5332077552734411E-3</v>
      </c>
    </row>
    <row r="289" spans="1:18" hidden="1" x14ac:dyDescent="0.25">
      <c r="A289">
        <v>1717</v>
      </c>
      <c r="B289" t="s">
        <v>208</v>
      </c>
      <c r="C289" t="s">
        <v>203</v>
      </c>
      <c r="D289" t="s">
        <v>228</v>
      </c>
      <c r="E289" t="s">
        <v>229</v>
      </c>
      <c r="F289">
        <v>8.4</v>
      </c>
      <c r="G289">
        <v>2</v>
      </c>
      <c r="H289">
        <v>0</v>
      </c>
      <c r="I289" s="12">
        <f>+F289/G289</f>
        <v>4.2</v>
      </c>
      <c r="J289">
        <v>4.3</v>
      </c>
      <c r="K289">
        <v>11</v>
      </c>
      <c r="L289">
        <v>-2.2000000000000002</v>
      </c>
      <c r="P289" t="s">
        <v>228</v>
      </c>
      <c r="Q289" s="11">
        <f>+AVERAGEIFS(I:I,D:D,P289)</f>
        <v>4.3075503284594188</v>
      </c>
      <c r="R289" s="13">
        <f>+I289/Q289-1</f>
        <v>-2.4967863462638573E-2</v>
      </c>
    </row>
    <row r="290" spans="1:18" hidden="1" x14ac:dyDescent="0.25">
      <c r="A290">
        <v>1765</v>
      </c>
      <c r="B290" t="s">
        <v>111</v>
      </c>
      <c r="C290" t="s">
        <v>203</v>
      </c>
      <c r="D290" t="s">
        <v>228</v>
      </c>
      <c r="E290" t="s">
        <v>229</v>
      </c>
      <c r="F290">
        <v>26</v>
      </c>
      <c r="G290">
        <v>6</v>
      </c>
      <c r="H290">
        <v>0</v>
      </c>
      <c r="I290" s="12">
        <f>+F290/G290</f>
        <v>4.333333333333333</v>
      </c>
      <c r="J290">
        <v>4.3</v>
      </c>
      <c r="K290">
        <v>11</v>
      </c>
      <c r="L290">
        <v>0.9</v>
      </c>
      <c r="P290" t="s">
        <v>228</v>
      </c>
      <c r="Q290" s="11">
        <f>+AVERAGEIFS(I:I,D:D,P290)</f>
        <v>4.3075503284594188</v>
      </c>
      <c r="R290" s="13">
        <f>+I290/Q290-1</f>
        <v>5.9855376972774987E-3</v>
      </c>
    </row>
    <row r="291" spans="1:18" hidden="1" x14ac:dyDescent="0.25">
      <c r="A291">
        <v>2218</v>
      </c>
      <c r="B291" t="s">
        <v>69</v>
      </c>
      <c r="C291" t="s">
        <v>324</v>
      </c>
      <c r="D291" t="s">
        <v>325</v>
      </c>
      <c r="E291" t="s">
        <v>326</v>
      </c>
      <c r="F291">
        <v>40.4</v>
      </c>
      <c r="G291">
        <v>4</v>
      </c>
      <c r="H291">
        <v>0</v>
      </c>
      <c r="I291" s="15">
        <f>+F291/G291</f>
        <v>10.1</v>
      </c>
      <c r="J291">
        <v>10.85</v>
      </c>
      <c r="K291">
        <v>11</v>
      </c>
      <c r="L291">
        <v>-6.9</v>
      </c>
      <c r="P291" t="s">
        <v>325</v>
      </c>
      <c r="Q291" s="11">
        <f>+AVERAGEIFS(I:I,D:D,P291)</f>
        <v>13.663484848484849</v>
      </c>
      <c r="R291" s="13">
        <f>+I291/Q291-1</f>
        <v>-0.26080351301300753</v>
      </c>
    </row>
    <row r="292" spans="1:18" hidden="1" x14ac:dyDescent="0.25">
      <c r="A292">
        <v>1780</v>
      </c>
      <c r="B292" t="s">
        <v>52</v>
      </c>
      <c r="C292" t="s">
        <v>203</v>
      </c>
      <c r="D292" t="s">
        <v>228</v>
      </c>
      <c r="E292" t="s">
        <v>229</v>
      </c>
      <c r="F292">
        <v>26.6</v>
      </c>
      <c r="G292">
        <v>6</v>
      </c>
      <c r="H292">
        <v>0</v>
      </c>
      <c r="I292" s="12">
        <f>+F292/G292</f>
        <v>4.4333333333333336</v>
      </c>
      <c r="J292">
        <v>4.3</v>
      </c>
      <c r="K292">
        <v>11</v>
      </c>
      <c r="L292">
        <v>3.2</v>
      </c>
      <c r="P292" t="s">
        <v>228</v>
      </c>
      <c r="Q292" s="11">
        <f>+AVERAGEIFS(I:I,D:D,P292)</f>
        <v>4.3075503284594188</v>
      </c>
      <c r="R292" s="13">
        <f>+I292/Q292-1</f>
        <v>2.9200588567214858E-2</v>
      </c>
    </row>
    <row r="293" spans="1:18" hidden="1" x14ac:dyDescent="0.25">
      <c r="A293">
        <v>1776</v>
      </c>
      <c r="B293" t="s">
        <v>90</v>
      </c>
      <c r="C293" t="s">
        <v>203</v>
      </c>
      <c r="D293" t="s">
        <v>228</v>
      </c>
      <c r="E293" t="s">
        <v>229</v>
      </c>
      <c r="F293">
        <v>49</v>
      </c>
      <c r="G293">
        <v>11</v>
      </c>
      <c r="H293">
        <v>0</v>
      </c>
      <c r="I293" s="12">
        <f>+F293/G293</f>
        <v>4.4545454545454541</v>
      </c>
      <c r="J293">
        <v>4.3</v>
      </c>
      <c r="K293">
        <v>11</v>
      </c>
      <c r="L293">
        <v>3.7</v>
      </c>
      <c r="P293" t="s">
        <v>228</v>
      </c>
      <c r="Q293" s="11">
        <f>+AVERAGEIFS(I:I,D:D,P293)</f>
        <v>4.3075503284594188</v>
      </c>
      <c r="R293" s="13">
        <f>+I293/Q293-1</f>
        <v>3.4124993297201422E-2</v>
      </c>
    </row>
    <row r="294" spans="1:18" hidden="1" x14ac:dyDescent="0.25">
      <c r="A294">
        <v>1742</v>
      </c>
      <c r="B294" t="s">
        <v>34</v>
      </c>
      <c r="C294" t="s">
        <v>203</v>
      </c>
      <c r="D294" t="s">
        <v>228</v>
      </c>
      <c r="E294" t="s">
        <v>229</v>
      </c>
      <c r="F294">
        <v>48</v>
      </c>
      <c r="G294">
        <v>11</v>
      </c>
      <c r="H294">
        <v>0</v>
      </c>
      <c r="I294" s="12">
        <f>+F294/G294</f>
        <v>4.3636363636363633</v>
      </c>
      <c r="J294">
        <v>4.3</v>
      </c>
      <c r="K294">
        <v>11</v>
      </c>
      <c r="L294">
        <v>1.6</v>
      </c>
      <c r="P294" t="s">
        <v>228</v>
      </c>
      <c r="Q294" s="11">
        <f>+AVERAGEIFS(I:I,D:D,P294)</f>
        <v>4.3075503284594188</v>
      </c>
      <c r="R294" s="13">
        <f>+I294/Q294-1</f>
        <v>1.3020401597258591E-2</v>
      </c>
    </row>
    <row r="295" spans="1:18" hidden="1" x14ac:dyDescent="0.25">
      <c r="A295">
        <v>1735</v>
      </c>
      <c r="B295" t="s">
        <v>36</v>
      </c>
      <c r="C295" t="s">
        <v>203</v>
      </c>
      <c r="D295" t="s">
        <v>228</v>
      </c>
      <c r="E295" t="s">
        <v>229</v>
      </c>
      <c r="F295">
        <v>22.4</v>
      </c>
      <c r="G295">
        <v>5</v>
      </c>
      <c r="H295">
        <v>0</v>
      </c>
      <c r="I295" s="12">
        <f>+F295/G295</f>
        <v>4.4799999999999995</v>
      </c>
      <c r="J295">
        <v>4.3</v>
      </c>
      <c r="K295">
        <v>11</v>
      </c>
      <c r="L295">
        <v>4.3</v>
      </c>
      <c r="P295" t="s">
        <v>228</v>
      </c>
      <c r="Q295" s="11">
        <f>+AVERAGEIFS(I:I,D:D,P295)</f>
        <v>4.3075503284594188</v>
      </c>
      <c r="R295" s="13">
        <f>+I295/Q295-1</f>
        <v>4.0034278973185344E-2</v>
      </c>
    </row>
    <row r="296" spans="1:18" hidden="1" x14ac:dyDescent="0.25">
      <c r="A296">
        <v>1726</v>
      </c>
      <c r="B296" t="s">
        <v>205</v>
      </c>
      <c r="C296" t="s">
        <v>203</v>
      </c>
      <c r="D296" t="s">
        <v>104</v>
      </c>
      <c r="E296" t="s">
        <v>105</v>
      </c>
      <c r="F296">
        <v>61</v>
      </c>
      <c r="G296">
        <v>6</v>
      </c>
      <c r="H296">
        <v>0</v>
      </c>
      <c r="I296" s="12">
        <f>+F296/G296</f>
        <v>10.166666666666666</v>
      </c>
      <c r="J296">
        <v>10.220000000000001</v>
      </c>
      <c r="K296">
        <v>2</v>
      </c>
      <c r="L296">
        <v>-0.5</v>
      </c>
      <c r="P296" t="s">
        <v>104</v>
      </c>
      <c r="Q296" s="11">
        <f>+AVERAGEIFS(I:I,D:D,P296)</f>
        <v>9.6133333333333333</v>
      </c>
      <c r="R296" s="13">
        <f>+I296/Q296-1</f>
        <v>5.7558945908460446E-2</v>
      </c>
    </row>
    <row r="297" spans="1:18" hidden="1" x14ac:dyDescent="0.25">
      <c r="A297">
        <v>1716</v>
      </c>
      <c r="B297" t="s">
        <v>208</v>
      </c>
      <c r="C297" t="s">
        <v>203</v>
      </c>
      <c r="D297" t="s">
        <v>104</v>
      </c>
      <c r="E297" t="s">
        <v>105</v>
      </c>
      <c r="F297">
        <v>41.2</v>
      </c>
      <c r="G297">
        <v>4</v>
      </c>
      <c r="H297">
        <v>0</v>
      </c>
      <c r="I297" s="12">
        <f>+F297/G297</f>
        <v>10.3</v>
      </c>
      <c r="J297">
        <v>10.220000000000001</v>
      </c>
      <c r="K297">
        <v>2</v>
      </c>
      <c r="L297">
        <v>0.8</v>
      </c>
      <c r="P297" t="s">
        <v>104</v>
      </c>
      <c r="Q297" s="11">
        <f>+AVERAGEIFS(I:I,D:D,P297)</f>
        <v>9.6133333333333333</v>
      </c>
      <c r="R297" s="13">
        <f>+I297/Q297-1</f>
        <v>7.1428571428571397E-2</v>
      </c>
    </row>
    <row r="298" spans="1:18" hidden="1" x14ac:dyDescent="0.25">
      <c r="A298">
        <v>1819</v>
      </c>
      <c r="B298" t="s">
        <v>121</v>
      </c>
      <c r="C298" t="s">
        <v>203</v>
      </c>
      <c r="D298" t="s">
        <v>106</v>
      </c>
      <c r="E298" t="s">
        <v>107</v>
      </c>
      <c r="F298">
        <v>51.4</v>
      </c>
      <c r="G298">
        <v>5</v>
      </c>
      <c r="H298">
        <v>0</v>
      </c>
      <c r="I298" s="12">
        <f>+F298/G298</f>
        <v>10.28</v>
      </c>
      <c r="J298">
        <v>10.08</v>
      </c>
      <c r="K298">
        <v>5</v>
      </c>
      <c r="L298">
        <v>2</v>
      </c>
      <c r="P298" t="s">
        <v>106</v>
      </c>
      <c r="Q298" s="11">
        <f>+AVERAGEIFS(I:I,D:D,P298)</f>
        <v>10.147166666666665</v>
      </c>
      <c r="R298" s="13">
        <f>+I298/Q298-1</f>
        <v>1.3090682128016118E-2</v>
      </c>
    </row>
    <row r="299" spans="1:18" hidden="1" x14ac:dyDescent="0.25">
      <c r="A299">
        <v>1815</v>
      </c>
      <c r="B299" t="s">
        <v>206</v>
      </c>
      <c r="C299" t="s">
        <v>203</v>
      </c>
      <c r="D299" t="s">
        <v>106</v>
      </c>
      <c r="E299" t="s">
        <v>107</v>
      </c>
      <c r="F299">
        <v>80.400000000000006</v>
      </c>
      <c r="G299">
        <v>8</v>
      </c>
      <c r="H299">
        <v>0</v>
      </c>
      <c r="I299" s="12">
        <f>+F299/G299</f>
        <v>10.050000000000001</v>
      </c>
      <c r="J299">
        <v>10.08</v>
      </c>
      <c r="K299">
        <v>5</v>
      </c>
      <c r="L299">
        <v>-0.3</v>
      </c>
      <c r="P299" t="s">
        <v>106</v>
      </c>
      <c r="Q299" s="11">
        <f>+AVERAGEIFS(I:I,D:D,P299)</f>
        <v>10.147166666666665</v>
      </c>
      <c r="R299" s="13">
        <f>+I299/Q299-1</f>
        <v>-9.5757436394393602E-3</v>
      </c>
    </row>
    <row r="300" spans="1:18" hidden="1" x14ac:dyDescent="0.25">
      <c r="A300">
        <v>1763</v>
      </c>
      <c r="B300" t="s">
        <v>111</v>
      </c>
      <c r="C300" t="s">
        <v>203</v>
      </c>
      <c r="D300" t="s">
        <v>106</v>
      </c>
      <c r="E300" t="s">
        <v>107</v>
      </c>
      <c r="F300">
        <v>60.8</v>
      </c>
      <c r="G300">
        <v>6</v>
      </c>
      <c r="H300">
        <v>0</v>
      </c>
      <c r="I300" s="12">
        <f>+F300/G300</f>
        <v>10.133333333333333</v>
      </c>
      <c r="J300">
        <v>10.08</v>
      </c>
      <c r="K300">
        <v>5</v>
      </c>
      <c r="L300">
        <v>0.5</v>
      </c>
      <c r="P300" t="s">
        <v>106</v>
      </c>
      <c r="Q300" s="11">
        <f>+AVERAGEIFS(I:I,D:D,P300)</f>
        <v>10.147166666666665</v>
      </c>
      <c r="R300" s="13">
        <f>+I300/Q300-1</f>
        <v>-1.3632705352889518E-3</v>
      </c>
    </row>
    <row r="301" spans="1:18" hidden="1" x14ac:dyDescent="0.25">
      <c r="A301">
        <v>1781</v>
      </c>
      <c r="B301" t="s">
        <v>52</v>
      </c>
      <c r="C301" t="s">
        <v>203</v>
      </c>
      <c r="D301" t="s">
        <v>106</v>
      </c>
      <c r="E301" t="s">
        <v>107</v>
      </c>
      <c r="F301">
        <v>31.4</v>
      </c>
      <c r="G301">
        <v>3</v>
      </c>
      <c r="H301">
        <v>0</v>
      </c>
      <c r="I301" s="12">
        <f>+F301/G301</f>
        <v>10.466666666666667</v>
      </c>
      <c r="J301">
        <v>10.08</v>
      </c>
      <c r="K301">
        <v>5</v>
      </c>
      <c r="L301">
        <v>3.8</v>
      </c>
      <c r="P301" t="s">
        <v>106</v>
      </c>
      <c r="Q301" s="11">
        <f>+AVERAGEIFS(I:I,D:D,P301)</f>
        <v>10.147166666666665</v>
      </c>
      <c r="R301" s="13">
        <f>+I301/Q301-1</f>
        <v>3.1486621881313459E-2</v>
      </c>
    </row>
    <row r="302" spans="1:18" hidden="1" x14ac:dyDescent="0.25">
      <c r="A302">
        <v>1740</v>
      </c>
      <c r="B302" t="s">
        <v>34</v>
      </c>
      <c r="C302" t="s">
        <v>203</v>
      </c>
      <c r="D302" t="s">
        <v>106</v>
      </c>
      <c r="E302" t="s">
        <v>107</v>
      </c>
      <c r="F302">
        <v>28</v>
      </c>
      <c r="G302">
        <v>3</v>
      </c>
      <c r="H302">
        <v>0</v>
      </c>
      <c r="I302" s="12">
        <f>+F302/G302</f>
        <v>9.3333333333333339</v>
      </c>
      <c r="J302">
        <v>10.08</v>
      </c>
      <c r="K302">
        <v>5</v>
      </c>
      <c r="L302">
        <v>-7.4</v>
      </c>
      <c r="P302" t="s">
        <v>106</v>
      </c>
      <c r="Q302" s="11">
        <f>+AVERAGEIFS(I:I,D:D,P302)</f>
        <v>10.147166666666665</v>
      </c>
      <c r="R302" s="13">
        <f>+I302/Q302-1</f>
        <v>-8.0203012335134383E-2</v>
      </c>
    </row>
    <row r="303" spans="1:18" hidden="1" x14ac:dyDescent="0.25">
      <c r="A303">
        <v>2118</v>
      </c>
      <c r="B303" t="s">
        <v>329</v>
      </c>
      <c r="C303" t="s">
        <v>324</v>
      </c>
      <c r="D303" t="s">
        <v>325</v>
      </c>
      <c r="E303" t="s">
        <v>326</v>
      </c>
      <c r="F303">
        <v>50</v>
      </c>
      <c r="G303">
        <v>5</v>
      </c>
      <c r="H303">
        <v>0</v>
      </c>
      <c r="I303" s="15">
        <f>+F303/G303</f>
        <v>10</v>
      </c>
      <c r="J303">
        <v>10.85</v>
      </c>
      <c r="K303">
        <v>11</v>
      </c>
      <c r="L303">
        <v>-7.9</v>
      </c>
      <c r="P303" t="s">
        <v>325</v>
      </c>
      <c r="Q303" s="11">
        <f>+AVERAGEIFS(I:I,D:D,P303)</f>
        <v>13.663484848484849</v>
      </c>
      <c r="R303" s="13">
        <f>+I303/Q303-1</f>
        <v>-0.26812229011188859</v>
      </c>
    </row>
    <row r="304" spans="1:18" hidden="1" x14ac:dyDescent="0.25">
      <c r="A304">
        <v>2174</v>
      </c>
      <c r="B304" t="s">
        <v>122</v>
      </c>
      <c r="C304" t="s">
        <v>324</v>
      </c>
      <c r="D304" t="s">
        <v>325</v>
      </c>
      <c r="E304" t="s">
        <v>326</v>
      </c>
      <c r="F304">
        <v>30</v>
      </c>
      <c r="G304">
        <v>3</v>
      </c>
      <c r="H304">
        <v>0</v>
      </c>
      <c r="I304" s="15">
        <f>+F304/G304</f>
        <v>10</v>
      </c>
      <c r="J304">
        <v>10.85</v>
      </c>
      <c r="K304">
        <v>11</v>
      </c>
      <c r="L304">
        <v>-7.9</v>
      </c>
      <c r="P304" t="s">
        <v>325</v>
      </c>
      <c r="Q304" s="11">
        <f>+AVERAGEIFS(I:I,D:D,P304)</f>
        <v>13.663484848484849</v>
      </c>
      <c r="R304" s="13">
        <f>+I304/Q304-1</f>
        <v>-0.26812229011188859</v>
      </c>
    </row>
    <row r="305" spans="1:18" hidden="1" x14ac:dyDescent="0.25">
      <c r="A305">
        <v>2236</v>
      </c>
      <c r="B305" t="s">
        <v>82</v>
      </c>
      <c r="C305" t="s">
        <v>324</v>
      </c>
      <c r="D305" t="s">
        <v>325</v>
      </c>
      <c r="E305" t="s">
        <v>326</v>
      </c>
      <c r="F305">
        <v>120.4</v>
      </c>
      <c r="G305">
        <v>12</v>
      </c>
      <c r="H305">
        <v>0</v>
      </c>
      <c r="I305" s="15">
        <f>+F305/G305</f>
        <v>10.033333333333333</v>
      </c>
      <c r="J305">
        <v>10.85</v>
      </c>
      <c r="K305">
        <v>11</v>
      </c>
      <c r="L305">
        <v>-7.6</v>
      </c>
      <c r="P305" t="s">
        <v>325</v>
      </c>
      <c r="Q305" s="11">
        <f>+AVERAGEIFS(I:I,D:D,P305)</f>
        <v>13.663484848484849</v>
      </c>
      <c r="R305" s="13">
        <f>+I305/Q305-1</f>
        <v>-0.26568269774559494</v>
      </c>
    </row>
    <row r="306" spans="1:18" hidden="1" x14ac:dyDescent="0.25">
      <c r="A306">
        <v>2183</v>
      </c>
      <c r="B306" t="s">
        <v>87</v>
      </c>
      <c r="C306" t="s">
        <v>324</v>
      </c>
      <c r="D306" t="s">
        <v>325</v>
      </c>
      <c r="E306" t="s">
        <v>326</v>
      </c>
      <c r="F306">
        <v>40.200000000000003</v>
      </c>
      <c r="G306">
        <v>4</v>
      </c>
      <c r="H306">
        <v>0</v>
      </c>
      <c r="I306" s="15">
        <f>+F306/G306</f>
        <v>10.050000000000001</v>
      </c>
      <c r="J306">
        <v>10.85</v>
      </c>
      <c r="K306">
        <v>11</v>
      </c>
      <c r="L306">
        <v>-7.4</v>
      </c>
      <c r="P306" t="s">
        <v>325</v>
      </c>
      <c r="Q306" s="11">
        <f>+AVERAGEIFS(I:I,D:D,P306)</f>
        <v>13.663484848484849</v>
      </c>
      <c r="R306" s="13">
        <f>+I306/Q306-1</f>
        <v>-0.26446290156244801</v>
      </c>
    </row>
    <row r="307" spans="1:18" hidden="1" x14ac:dyDescent="0.25">
      <c r="A307">
        <v>2135</v>
      </c>
      <c r="B307" t="s">
        <v>91</v>
      </c>
      <c r="C307" t="s">
        <v>324</v>
      </c>
      <c r="D307" t="s">
        <v>325</v>
      </c>
      <c r="E307" t="s">
        <v>326</v>
      </c>
      <c r="F307">
        <v>10</v>
      </c>
      <c r="G307">
        <v>1</v>
      </c>
      <c r="H307">
        <v>0</v>
      </c>
      <c r="I307" s="15">
        <f>+F307/G307</f>
        <v>10</v>
      </c>
      <c r="J307">
        <v>10.85</v>
      </c>
      <c r="K307">
        <v>11</v>
      </c>
      <c r="L307">
        <v>-7.9</v>
      </c>
      <c r="P307" t="s">
        <v>325</v>
      </c>
      <c r="Q307" s="11">
        <f>+AVERAGEIFS(I:I,D:D,P307)</f>
        <v>13.663484848484849</v>
      </c>
      <c r="R307" s="13">
        <f>+I307/Q307-1</f>
        <v>-0.26812229011188859</v>
      </c>
    </row>
    <row r="308" spans="1:18" hidden="1" x14ac:dyDescent="0.25">
      <c r="A308">
        <v>2067</v>
      </c>
      <c r="B308" t="s">
        <v>20</v>
      </c>
      <c r="C308" t="s">
        <v>13</v>
      </c>
      <c r="D308" t="s">
        <v>48</v>
      </c>
      <c r="E308" t="s">
        <v>49</v>
      </c>
      <c r="F308">
        <v>11.4</v>
      </c>
      <c r="G308">
        <v>1</v>
      </c>
      <c r="H308">
        <v>0</v>
      </c>
      <c r="I308" s="15">
        <f>+F308/G308</f>
        <v>11.4</v>
      </c>
      <c r="J308">
        <v>12.2</v>
      </c>
      <c r="K308">
        <v>2</v>
      </c>
      <c r="L308">
        <v>-6.6</v>
      </c>
      <c r="P308" t="s">
        <v>48</v>
      </c>
      <c r="Q308" s="11">
        <f>+AVERAGEIFS(I:I,D:D,P308)</f>
        <v>12.879999999999999</v>
      </c>
      <c r="R308" s="13">
        <f>+I308/Q308-1</f>
        <v>-0.11490683229813659</v>
      </c>
    </row>
    <row r="309" spans="1:18" hidden="1" x14ac:dyDescent="0.25">
      <c r="A309">
        <v>1760</v>
      </c>
      <c r="B309" t="s">
        <v>111</v>
      </c>
      <c r="C309" t="s">
        <v>203</v>
      </c>
      <c r="D309" t="s">
        <v>233</v>
      </c>
      <c r="E309" t="s">
        <v>234</v>
      </c>
      <c r="F309">
        <v>100.6</v>
      </c>
      <c r="G309">
        <v>4</v>
      </c>
      <c r="H309">
        <v>0</v>
      </c>
      <c r="I309" s="12">
        <f>+F309/G309</f>
        <v>25.15</v>
      </c>
      <c r="J309">
        <v>24.91</v>
      </c>
      <c r="K309">
        <v>4</v>
      </c>
      <c r="L309">
        <v>1</v>
      </c>
      <c r="P309" t="s">
        <v>233</v>
      </c>
      <c r="Q309" s="11">
        <f>+AVERAGEIFS(I:I,D:D,P309)</f>
        <v>23.451666666666668</v>
      </c>
      <c r="R309" s="13">
        <f>+I309/Q309-1</f>
        <v>7.2418449292871667E-2</v>
      </c>
    </row>
    <row r="310" spans="1:18" hidden="1" x14ac:dyDescent="0.25">
      <c r="A310" s="8">
        <v>2074</v>
      </c>
      <c r="B310" s="8" t="s">
        <v>18</v>
      </c>
      <c r="C310" s="8" t="s">
        <v>13</v>
      </c>
      <c r="D310" s="8" t="s">
        <v>59</v>
      </c>
      <c r="E310" s="8" t="s">
        <v>60</v>
      </c>
      <c r="F310" s="8">
        <v>84.5</v>
      </c>
      <c r="G310" s="8">
        <v>5</v>
      </c>
      <c r="H310" s="8">
        <v>0</v>
      </c>
      <c r="I310" s="15">
        <f>+F310/G310</f>
        <v>16.899999999999999</v>
      </c>
      <c r="J310" s="8">
        <v>14.2</v>
      </c>
      <c r="K310" s="8">
        <v>6</v>
      </c>
      <c r="L310" s="8">
        <v>19</v>
      </c>
      <c r="P310" s="8" t="s">
        <v>59</v>
      </c>
      <c r="Q310" s="11">
        <f>+AVERAGEIFS(I:I,D:D,P310)</f>
        <v>14.319999999999999</v>
      </c>
      <c r="R310" s="13">
        <f>+I310/Q310-1</f>
        <v>0.18016759776536317</v>
      </c>
    </row>
    <row r="311" spans="1:18" hidden="1" x14ac:dyDescent="0.25">
      <c r="A311">
        <v>1738</v>
      </c>
      <c r="B311" t="s">
        <v>34</v>
      </c>
      <c r="C311" t="s">
        <v>203</v>
      </c>
      <c r="D311" t="s">
        <v>233</v>
      </c>
      <c r="E311" t="s">
        <v>234</v>
      </c>
      <c r="F311">
        <v>24</v>
      </c>
      <c r="G311">
        <v>1</v>
      </c>
      <c r="H311">
        <v>0</v>
      </c>
      <c r="I311" s="12">
        <f>+F311/G311</f>
        <v>24</v>
      </c>
      <c r="J311">
        <v>24.91</v>
      </c>
      <c r="K311">
        <v>4</v>
      </c>
      <c r="L311">
        <v>-3.7</v>
      </c>
      <c r="P311" t="s">
        <v>233</v>
      </c>
      <c r="Q311" s="11">
        <f>+AVERAGEIFS(I:I,D:D,P311)</f>
        <v>23.451666666666668</v>
      </c>
      <c r="R311" s="13">
        <f>+I311/Q311-1</f>
        <v>2.3381422784450212E-2</v>
      </c>
    </row>
    <row r="312" spans="1:18" hidden="1" x14ac:dyDescent="0.25">
      <c r="A312">
        <v>1725</v>
      </c>
      <c r="B312" t="s">
        <v>205</v>
      </c>
      <c r="C312" t="s">
        <v>203</v>
      </c>
      <c r="D312" t="s">
        <v>235</v>
      </c>
      <c r="E312" t="s">
        <v>236</v>
      </c>
      <c r="F312">
        <v>59.2</v>
      </c>
      <c r="G312">
        <v>2</v>
      </c>
      <c r="H312">
        <v>0</v>
      </c>
      <c r="I312" s="12">
        <f>+F312/G312</f>
        <v>29.6</v>
      </c>
      <c r="J312">
        <v>27.57</v>
      </c>
      <c r="K312">
        <v>4</v>
      </c>
      <c r="L312">
        <v>7.4</v>
      </c>
      <c r="P312" t="s">
        <v>235</v>
      </c>
      <c r="Q312" s="11">
        <f>+AVERAGEIFS(I:I,D:D,P312)</f>
        <v>28.074999999999999</v>
      </c>
      <c r="R312" s="13">
        <f>+I312/Q312-1</f>
        <v>5.431878895814779E-2</v>
      </c>
    </row>
    <row r="313" spans="1:18" hidden="1" x14ac:dyDescent="0.25">
      <c r="A313">
        <v>1814</v>
      </c>
      <c r="B313" t="s">
        <v>206</v>
      </c>
      <c r="C313" t="s">
        <v>203</v>
      </c>
      <c r="D313" t="s">
        <v>235</v>
      </c>
      <c r="E313" t="s">
        <v>236</v>
      </c>
      <c r="F313">
        <v>29.7</v>
      </c>
      <c r="G313">
        <v>1</v>
      </c>
      <c r="H313">
        <v>0</v>
      </c>
      <c r="I313" s="12">
        <f>+F313/G313</f>
        <v>29.7</v>
      </c>
      <c r="J313">
        <v>27.57</v>
      </c>
      <c r="K313">
        <v>4</v>
      </c>
      <c r="L313">
        <v>7.7</v>
      </c>
      <c r="P313" t="s">
        <v>235</v>
      </c>
      <c r="Q313" s="11">
        <f>+AVERAGEIFS(I:I,D:D,P313)</f>
        <v>28.074999999999999</v>
      </c>
      <c r="R313" s="13">
        <f>+I313/Q313-1</f>
        <v>5.7880676758682137E-2</v>
      </c>
    </row>
    <row r="314" spans="1:18" hidden="1" x14ac:dyDescent="0.25">
      <c r="A314">
        <v>1788</v>
      </c>
      <c r="B314" t="s">
        <v>207</v>
      </c>
      <c r="C314" t="s">
        <v>203</v>
      </c>
      <c r="D314" t="s">
        <v>235</v>
      </c>
      <c r="E314" t="s">
        <v>236</v>
      </c>
      <c r="F314">
        <v>29.5</v>
      </c>
      <c r="G314">
        <v>1</v>
      </c>
      <c r="H314">
        <v>0</v>
      </c>
      <c r="I314" s="12">
        <f>+F314/G314</f>
        <v>29.5</v>
      </c>
      <c r="J314">
        <v>27.57</v>
      </c>
      <c r="K314">
        <v>4</v>
      </c>
      <c r="L314">
        <v>7</v>
      </c>
      <c r="P314" t="s">
        <v>235</v>
      </c>
      <c r="Q314" s="11">
        <f>+AVERAGEIFS(I:I,D:D,P314)</f>
        <v>28.074999999999999</v>
      </c>
      <c r="R314" s="13">
        <f>+I314/Q314-1</f>
        <v>5.0756901157613665E-2</v>
      </c>
    </row>
    <row r="315" spans="1:18" hidden="1" x14ac:dyDescent="0.25">
      <c r="A315">
        <v>2091</v>
      </c>
      <c r="B315" t="s">
        <v>36</v>
      </c>
      <c r="C315" t="s">
        <v>13</v>
      </c>
      <c r="D315" t="s">
        <v>59</v>
      </c>
      <c r="E315" t="s">
        <v>60</v>
      </c>
      <c r="F315">
        <v>79.8</v>
      </c>
      <c r="G315">
        <v>5</v>
      </c>
      <c r="H315">
        <v>0</v>
      </c>
      <c r="I315" s="15">
        <f>+F315/G315</f>
        <v>15.959999999999999</v>
      </c>
      <c r="J315">
        <v>14.2</v>
      </c>
      <c r="K315">
        <v>6</v>
      </c>
      <c r="L315">
        <v>12.4</v>
      </c>
      <c r="P315" t="s">
        <v>59</v>
      </c>
      <c r="Q315" s="11">
        <f>+AVERAGEIFS(I:I,D:D,P315)</f>
        <v>14.319999999999999</v>
      </c>
      <c r="R315" s="13">
        <f>+I315/Q315-1</f>
        <v>0.1145251396648046</v>
      </c>
    </row>
    <row r="316" spans="1:18" hidden="1" x14ac:dyDescent="0.25">
      <c r="A316" s="4">
        <v>2369</v>
      </c>
      <c r="B316" s="4" t="s">
        <v>18</v>
      </c>
      <c r="C316" s="4" t="s">
        <v>237</v>
      </c>
      <c r="D316" s="4" t="s">
        <v>238</v>
      </c>
      <c r="E316" s="4" t="s">
        <v>239</v>
      </c>
      <c r="F316" s="4">
        <v>7.8</v>
      </c>
      <c r="G316" s="4">
        <v>1</v>
      </c>
      <c r="H316" s="4">
        <v>0</v>
      </c>
      <c r="I316" s="15">
        <f>+F316/G316</f>
        <v>7.8</v>
      </c>
      <c r="J316" s="2">
        <v>21.8</v>
      </c>
      <c r="K316" s="2">
        <v>3</v>
      </c>
      <c r="L316" s="2">
        <v>-64.2</v>
      </c>
      <c r="P316" s="4" t="s">
        <v>238</v>
      </c>
      <c r="Q316" s="11">
        <f>+AVERAGEIFS(I:I,D:D,P316)</f>
        <v>21.8</v>
      </c>
      <c r="R316" s="13">
        <f>+I316/Q316-1</f>
        <v>-0.64220183486238536</v>
      </c>
    </row>
    <row r="317" spans="1:18" hidden="1" x14ac:dyDescent="0.25">
      <c r="A317">
        <v>2387</v>
      </c>
      <c r="B317" t="s">
        <v>240</v>
      </c>
      <c r="C317" t="s">
        <v>237</v>
      </c>
      <c r="D317" t="s">
        <v>238</v>
      </c>
      <c r="E317" t="s">
        <v>239</v>
      </c>
      <c r="F317">
        <v>22.2</v>
      </c>
      <c r="G317">
        <v>1</v>
      </c>
      <c r="H317">
        <v>0</v>
      </c>
      <c r="I317" s="12">
        <f>+F317/G317</f>
        <v>22.2</v>
      </c>
      <c r="J317">
        <v>21.8</v>
      </c>
      <c r="K317">
        <v>3</v>
      </c>
      <c r="L317">
        <v>1.8</v>
      </c>
      <c r="P317" t="s">
        <v>238</v>
      </c>
      <c r="Q317" s="11">
        <f>+AVERAGEIFS(I:I,D:D,P317)</f>
        <v>21.8</v>
      </c>
      <c r="R317" s="13">
        <f>+I317/Q317-1</f>
        <v>1.8348623853210899E-2</v>
      </c>
    </row>
    <row r="318" spans="1:18" hidden="1" x14ac:dyDescent="0.25">
      <c r="A318" s="2">
        <v>2367</v>
      </c>
      <c r="B318" s="2" t="s">
        <v>117</v>
      </c>
      <c r="C318" s="2" t="s">
        <v>237</v>
      </c>
      <c r="D318" s="2" t="s">
        <v>238</v>
      </c>
      <c r="E318" s="2" t="s">
        <v>239</v>
      </c>
      <c r="F318" s="2">
        <v>35.4</v>
      </c>
      <c r="G318" s="2">
        <v>1</v>
      </c>
      <c r="H318" s="2">
        <v>0</v>
      </c>
      <c r="I318" s="15">
        <f>+F318/G318</f>
        <v>35.4</v>
      </c>
      <c r="J318" s="2">
        <v>21.8</v>
      </c>
      <c r="K318" s="2">
        <v>3</v>
      </c>
      <c r="L318" s="2">
        <v>62.4</v>
      </c>
      <c r="P318" s="2" t="s">
        <v>238</v>
      </c>
      <c r="Q318" s="11">
        <f>+AVERAGEIFS(I:I,D:D,P318)</f>
        <v>21.8</v>
      </c>
      <c r="R318" s="13">
        <f>+I318/Q318-1</f>
        <v>0.62385321100917412</v>
      </c>
    </row>
    <row r="319" spans="1:18" hidden="1" x14ac:dyDescent="0.25">
      <c r="A319">
        <v>2344</v>
      </c>
      <c r="B319" t="s">
        <v>117</v>
      </c>
      <c r="C319" t="s">
        <v>237</v>
      </c>
      <c r="D319" t="s">
        <v>241</v>
      </c>
      <c r="E319" t="s">
        <v>242</v>
      </c>
      <c r="F319">
        <v>20.9</v>
      </c>
      <c r="G319">
        <v>1</v>
      </c>
      <c r="H319">
        <v>0</v>
      </c>
      <c r="I319" s="12">
        <f>+F319/G319</f>
        <v>20.9</v>
      </c>
      <c r="J319">
        <v>20.9</v>
      </c>
      <c r="K319">
        <v>1</v>
      </c>
      <c r="L319">
        <v>0</v>
      </c>
      <c r="P319" t="s">
        <v>241</v>
      </c>
      <c r="Q319" s="11">
        <f>+AVERAGEIFS(I:I,D:D,P319)</f>
        <v>20.9</v>
      </c>
      <c r="R319" s="13">
        <f>+I319/Q319-1</f>
        <v>0</v>
      </c>
    </row>
    <row r="320" spans="1:18" hidden="1" x14ac:dyDescent="0.25">
      <c r="A320">
        <v>2390</v>
      </c>
      <c r="B320" t="s">
        <v>219</v>
      </c>
      <c r="C320" t="s">
        <v>237</v>
      </c>
      <c r="D320" t="s">
        <v>243</v>
      </c>
      <c r="E320" t="s">
        <v>244</v>
      </c>
      <c r="F320">
        <v>41.4</v>
      </c>
      <c r="G320">
        <v>2</v>
      </c>
      <c r="H320">
        <v>0</v>
      </c>
      <c r="I320" s="12">
        <f>+F320/G320</f>
        <v>20.7</v>
      </c>
      <c r="J320">
        <v>20.7</v>
      </c>
      <c r="K320">
        <v>1</v>
      </c>
      <c r="L320">
        <v>0</v>
      </c>
      <c r="P320" t="s">
        <v>243</v>
      </c>
      <c r="Q320" s="11">
        <f>+AVERAGEIFS(I:I,D:D,P320)</f>
        <v>20.7</v>
      </c>
      <c r="R320" s="13">
        <f>+I320/Q320-1</f>
        <v>0</v>
      </c>
    </row>
    <row r="321" spans="1:18" hidden="1" x14ac:dyDescent="0.25">
      <c r="A321">
        <v>2400</v>
      </c>
      <c r="B321" t="s">
        <v>213</v>
      </c>
      <c r="C321" t="s">
        <v>237</v>
      </c>
      <c r="D321" t="s">
        <v>245</v>
      </c>
      <c r="E321" t="s">
        <v>246</v>
      </c>
      <c r="F321">
        <v>29.3</v>
      </c>
      <c r="G321">
        <v>1</v>
      </c>
      <c r="H321">
        <v>0</v>
      </c>
      <c r="I321" s="12">
        <f>+F321/G321</f>
        <v>29.3</v>
      </c>
      <c r="J321">
        <v>29.3</v>
      </c>
      <c r="K321">
        <v>1</v>
      </c>
      <c r="L321">
        <v>0</v>
      </c>
      <c r="P321" t="s">
        <v>245</v>
      </c>
      <c r="Q321" s="11">
        <f>+AVERAGEIFS(I:I,D:D,P321)</f>
        <v>29.3</v>
      </c>
      <c r="R321" s="13">
        <f>+I321/Q321-1</f>
        <v>0</v>
      </c>
    </row>
    <row r="322" spans="1:18" hidden="1" x14ac:dyDescent="0.25">
      <c r="A322">
        <v>2317</v>
      </c>
      <c r="B322" t="s">
        <v>212</v>
      </c>
      <c r="C322" t="s">
        <v>237</v>
      </c>
      <c r="D322" t="s">
        <v>247</v>
      </c>
      <c r="E322" t="s">
        <v>248</v>
      </c>
      <c r="F322">
        <v>13.85</v>
      </c>
      <c r="G322">
        <v>2</v>
      </c>
      <c r="H322">
        <v>0</v>
      </c>
      <c r="I322" s="12">
        <f>+F322/G322</f>
        <v>6.9249999999999998</v>
      </c>
      <c r="J322">
        <v>6.88</v>
      </c>
      <c r="K322">
        <v>3</v>
      </c>
      <c r="L322">
        <v>0.7</v>
      </c>
      <c r="P322" t="s">
        <v>247</v>
      </c>
      <c r="Q322" s="11">
        <f>+AVERAGEIFS(I:I,D:D,P322)</f>
        <v>6.8696913580246912</v>
      </c>
      <c r="R322" s="13">
        <f>+I322/Q322-1</f>
        <v>8.0511101726137291E-3</v>
      </c>
    </row>
    <row r="323" spans="1:18" hidden="1" x14ac:dyDescent="0.25">
      <c r="A323">
        <v>2385</v>
      </c>
      <c r="B323" t="s">
        <v>240</v>
      </c>
      <c r="C323" t="s">
        <v>237</v>
      </c>
      <c r="D323" t="s">
        <v>247</v>
      </c>
      <c r="E323" t="s">
        <v>248</v>
      </c>
      <c r="F323">
        <v>132.19999999999999</v>
      </c>
      <c r="G323">
        <v>20</v>
      </c>
      <c r="H323">
        <v>0</v>
      </c>
      <c r="I323" s="12">
        <f>+F323/G323</f>
        <v>6.6099999999999994</v>
      </c>
      <c r="J323">
        <v>6.88</v>
      </c>
      <c r="K323">
        <v>3</v>
      </c>
      <c r="L323">
        <v>-3.9</v>
      </c>
      <c r="P323" t="s">
        <v>247</v>
      </c>
      <c r="Q323" s="11">
        <f>+AVERAGEIFS(I:I,D:D,P323)</f>
        <v>6.8696913580246912</v>
      </c>
      <c r="R323" s="13">
        <f>+I323/Q323-1</f>
        <v>-3.7802478232350056E-2</v>
      </c>
    </row>
    <row r="324" spans="1:18" hidden="1" x14ac:dyDescent="0.25">
      <c r="A324">
        <v>2362</v>
      </c>
      <c r="B324" t="s">
        <v>117</v>
      </c>
      <c r="C324" t="s">
        <v>237</v>
      </c>
      <c r="D324" t="s">
        <v>247</v>
      </c>
      <c r="E324" t="s">
        <v>248</v>
      </c>
      <c r="F324">
        <v>191</v>
      </c>
      <c r="G324">
        <v>27</v>
      </c>
      <c r="H324">
        <v>0</v>
      </c>
      <c r="I324" s="12">
        <f>+F324/G324</f>
        <v>7.0740740740740744</v>
      </c>
      <c r="J324">
        <v>6.88</v>
      </c>
      <c r="K324">
        <v>3</v>
      </c>
      <c r="L324">
        <v>2.8</v>
      </c>
      <c r="P324" t="s">
        <v>247</v>
      </c>
      <c r="Q324" s="11">
        <f>+AVERAGEIFS(I:I,D:D,P324)</f>
        <v>6.8696913580246912</v>
      </c>
      <c r="R324" s="13">
        <f>+I324/Q324-1</f>
        <v>2.9751368059736327E-2</v>
      </c>
    </row>
    <row r="325" spans="1:18" hidden="1" x14ac:dyDescent="0.25">
      <c r="A325">
        <v>2414</v>
      </c>
      <c r="B325" t="s">
        <v>79</v>
      </c>
      <c r="C325" t="s">
        <v>237</v>
      </c>
      <c r="D325" t="s">
        <v>249</v>
      </c>
      <c r="E325" t="s">
        <v>250</v>
      </c>
      <c r="F325">
        <v>29.7</v>
      </c>
      <c r="G325">
        <v>1</v>
      </c>
      <c r="H325">
        <v>0</v>
      </c>
      <c r="I325" s="12">
        <f>+F325/G325</f>
        <v>29.7</v>
      </c>
      <c r="J325">
        <v>31.07</v>
      </c>
      <c r="K325">
        <v>4</v>
      </c>
      <c r="L325">
        <v>-4.4000000000000004</v>
      </c>
      <c r="P325" t="s">
        <v>249</v>
      </c>
      <c r="Q325" s="11">
        <f>+AVERAGEIFS(I:I,D:D,P325)</f>
        <v>31.074999999999999</v>
      </c>
      <c r="R325" s="13">
        <f>+I325/Q325-1</f>
        <v>-4.4247787610619427E-2</v>
      </c>
    </row>
    <row r="326" spans="1:18" hidden="1" x14ac:dyDescent="0.25">
      <c r="A326">
        <v>2395</v>
      </c>
      <c r="B326" t="s">
        <v>216</v>
      </c>
      <c r="C326" t="s">
        <v>237</v>
      </c>
      <c r="D326" t="s">
        <v>249</v>
      </c>
      <c r="E326" t="s">
        <v>250</v>
      </c>
      <c r="F326">
        <v>30.6</v>
      </c>
      <c r="G326">
        <v>1</v>
      </c>
      <c r="H326">
        <v>0</v>
      </c>
      <c r="I326" s="12">
        <f>+F326/G326</f>
        <v>30.6</v>
      </c>
      <c r="J326">
        <v>31.07</v>
      </c>
      <c r="K326">
        <v>4</v>
      </c>
      <c r="L326">
        <v>-1.5</v>
      </c>
      <c r="P326" t="s">
        <v>249</v>
      </c>
      <c r="Q326" s="11">
        <f>+AVERAGEIFS(I:I,D:D,P326)</f>
        <v>31.074999999999999</v>
      </c>
      <c r="R326" s="13">
        <f>+I326/Q326-1</f>
        <v>-1.5285599356395729E-2</v>
      </c>
    </row>
    <row r="327" spans="1:18" hidden="1" x14ac:dyDescent="0.25">
      <c r="A327">
        <v>2388</v>
      </c>
      <c r="B327" t="s">
        <v>240</v>
      </c>
      <c r="C327" t="s">
        <v>237</v>
      </c>
      <c r="D327" t="s">
        <v>249</v>
      </c>
      <c r="E327" t="s">
        <v>250</v>
      </c>
      <c r="F327">
        <v>34.200000000000003</v>
      </c>
      <c r="G327">
        <v>1</v>
      </c>
      <c r="H327">
        <v>0</v>
      </c>
      <c r="I327" s="12">
        <f>+F327/G327</f>
        <v>34.200000000000003</v>
      </c>
      <c r="J327">
        <v>31.07</v>
      </c>
      <c r="K327">
        <v>4</v>
      </c>
      <c r="L327">
        <v>10.1</v>
      </c>
      <c r="P327" t="s">
        <v>249</v>
      </c>
      <c r="Q327" s="11">
        <f>+AVERAGEIFS(I:I,D:D,P327)</f>
        <v>31.074999999999999</v>
      </c>
      <c r="R327" s="13">
        <f>+I327/Q327-1</f>
        <v>0.10056315366049895</v>
      </c>
    </row>
    <row r="328" spans="1:18" hidden="1" x14ac:dyDescent="0.25">
      <c r="A328">
        <v>2352</v>
      </c>
      <c r="B328" t="s">
        <v>117</v>
      </c>
      <c r="C328" t="s">
        <v>237</v>
      </c>
      <c r="D328" t="s">
        <v>249</v>
      </c>
      <c r="E328" t="s">
        <v>250</v>
      </c>
      <c r="F328">
        <v>29.8</v>
      </c>
      <c r="G328">
        <v>1</v>
      </c>
      <c r="H328">
        <v>0</v>
      </c>
      <c r="I328" s="12">
        <f>+F328/G328</f>
        <v>29.8</v>
      </c>
      <c r="J328">
        <v>31.07</v>
      </c>
      <c r="K328">
        <v>4</v>
      </c>
      <c r="L328">
        <v>-4.0999999999999996</v>
      </c>
      <c r="P328" t="s">
        <v>249</v>
      </c>
      <c r="Q328" s="11">
        <f>+AVERAGEIFS(I:I,D:D,P328)</f>
        <v>31.074999999999999</v>
      </c>
      <c r="R328" s="13">
        <f>+I328/Q328-1</f>
        <v>-4.102976669348346E-2</v>
      </c>
    </row>
    <row r="329" spans="1:18" hidden="1" x14ac:dyDescent="0.25">
      <c r="A329">
        <v>2412</v>
      </c>
      <c r="B329" t="s">
        <v>213</v>
      </c>
      <c r="C329" t="s">
        <v>237</v>
      </c>
      <c r="D329" t="s">
        <v>251</v>
      </c>
      <c r="E329" t="s">
        <v>252</v>
      </c>
      <c r="F329">
        <v>166.7</v>
      </c>
      <c r="G329">
        <v>5</v>
      </c>
      <c r="H329">
        <v>0</v>
      </c>
      <c r="I329" s="12">
        <f>+F329/G329</f>
        <v>33.339999999999996</v>
      </c>
      <c r="J329">
        <v>33.729999999999997</v>
      </c>
      <c r="K329">
        <v>2</v>
      </c>
      <c r="L329">
        <v>-1.2</v>
      </c>
      <c r="P329" t="s">
        <v>251</v>
      </c>
      <c r="Q329" s="11">
        <f>+AVERAGEIFS(I:I,D:D,P329)</f>
        <v>33.731999999999999</v>
      </c>
      <c r="R329" s="13">
        <f>+I329/Q329-1</f>
        <v>-1.1621012688248666E-2</v>
      </c>
    </row>
    <row r="330" spans="1:18" hidden="1" x14ac:dyDescent="0.25">
      <c r="A330">
        <v>2359</v>
      </c>
      <c r="B330" t="s">
        <v>117</v>
      </c>
      <c r="C330" t="s">
        <v>237</v>
      </c>
      <c r="D330" t="s">
        <v>251</v>
      </c>
      <c r="E330" t="s">
        <v>252</v>
      </c>
      <c r="F330">
        <v>170.62</v>
      </c>
      <c r="G330">
        <v>5</v>
      </c>
      <c r="H330">
        <v>0</v>
      </c>
      <c r="I330" s="12">
        <f>+F330/G330</f>
        <v>34.124000000000002</v>
      </c>
      <c r="J330">
        <v>33.729999999999997</v>
      </c>
      <c r="K330">
        <v>2</v>
      </c>
      <c r="L330">
        <v>1.2</v>
      </c>
      <c r="P330" t="s">
        <v>251</v>
      </c>
      <c r="Q330" s="11">
        <f>+AVERAGEIFS(I:I,D:D,P330)</f>
        <v>33.731999999999999</v>
      </c>
      <c r="R330" s="13">
        <f>+I330/Q330-1</f>
        <v>1.1621012688248555E-2</v>
      </c>
    </row>
    <row r="331" spans="1:18" hidden="1" x14ac:dyDescent="0.25">
      <c r="A331">
        <v>2306</v>
      </c>
      <c r="B331" t="s">
        <v>212</v>
      </c>
      <c r="C331" t="s">
        <v>237</v>
      </c>
      <c r="D331" t="s">
        <v>253</v>
      </c>
      <c r="E331" t="s">
        <v>254</v>
      </c>
      <c r="F331">
        <v>64.400000000000006</v>
      </c>
      <c r="G331">
        <v>2</v>
      </c>
      <c r="H331">
        <v>0</v>
      </c>
      <c r="I331" s="12">
        <f>+F331/G331</f>
        <v>32.200000000000003</v>
      </c>
      <c r="J331">
        <v>29.34</v>
      </c>
      <c r="K331">
        <v>3</v>
      </c>
      <c r="L331">
        <v>9.6999999999999993</v>
      </c>
      <c r="P331" t="s">
        <v>253</v>
      </c>
      <c r="Q331" s="11">
        <f>+AVERAGEIFS(I:I,D:D,P331)</f>
        <v>29.977777777777778</v>
      </c>
      <c r="R331" s="13">
        <f>+I331/Q331-1</f>
        <v>7.4128984432913381E-2</v>
      </c>
    </row>
    <row r="332" spans="1:18" hidden="1" x14ac:dyDescent="0.25">
      <c r="A332">
        <v>2402</v>
      </c>
      <c r="B332" t="s">
        <v>213</v>
      </c>
      <c r="C332" t="s">
        <v>237</v>
      </c>
      <c r="D332" t="s">
        <v>253</v>
      </c>
      <c r="E332" t="s">
        <v>254</v>
      </c>
      <c r="F332">
        <v>64.400000000000006</v>
      </c>
      <c r="G332">
        <v>2</v>
      </c>
      <c r="H332">
        <v>0</v>
      </c>
      <c r="I332" s="12">
        <f>+F332/G332</f>
        <v>32.200000000000003</v>
      </c>
      <c r="J332">
        <v>29.34</v>
      </c>
      <c r="K332">
        <v>3</v>
      </c>
      <c r="L332">
        <v>9.6999999999999993</v>
      </c>
      <c r="P332" t="s">
        <v>253</v>
      </c>
      <c r="Q332" s="11">
        <f>+AVERAGEIFS(I:I,D:D,P332)</f>
        <v>29.977777777777778</v>
      </c>
      <c r="R332" s="13">
        <f>+I332/Q332-1</f>
        <v>7.4128984432913381E-2</v>
      </c>
    </row>
    <row r="333" spans="1:18" hidden="1" x14ac:dyDescent="0.25">
      <c r="A333" s="6">
        <v>2377</v>
      </c>
      <c r="B333" s="6" t="s">
        <v>240</v>
      </c>
      <c r="C333" s="6" t="s">
        <v>237</v>
      </c>
      <c r="D333" s="6" t="s">
        <v>273</v>
      </c>
      <c r="E333" s="6" t="s">
        <v>274</v>
      </c>
      <c r="F333" s="6">
        <v>21.63</v>
      </c>
      <c r="G333" s="6">
        <v>1</v>
      </c>
      <c r="H333" s="6">
        <v>0</v>
      </c>
      <c r="I333" s="15">
        <f>+F333/G333</f>
        <v>21.63</v>
      </c>
      <c r="J333" s="3">
        <v>26.96</v>
      </c>
      <c r="K333" s="3">
        <v>2</v>
      </c>
      <c r="L333" s="3">
        <v>-19.8</v>
      </c>
      <c r="P333" s="6" t="s">
        <v>273</v>
      </c>
      <c r="Q333" s="11">
        <f>+AVERAGEIFS(I:I,D:D,P333)</f>
        <v>26.964999999999996</v>
      </c>
      <c r="R333" s="13">
        <f>+I333/Q333-1</f>
        <v>-0.1978490636009641</v>
      </c>
    </row>
    <row r="334" spans="1:18" hidden="1" x14ac:dyDescent="0.25">
      <c r="A334" s="3">
        <v>2351</v>
      </c>
      <c r="B334" s="3" t="s">
        <v>117</v>
      </c>
      <c r="C334" s="3" t="s">
        <v>237</v>
      </c>
      <c r="D334" s="3" t="s">
        <v>273</v>
      </c>
      <c r="E334" s="3" t="s">
        <v>274</v>
      </c>
      <c r="F334" s="3">
        <v>32.299999999999997</v>
      </c>
      <c r="G334" s="3">
        <v>1</v>
      </c>
      <c r="H334" s="3">
        <v>0</v>
      </c>
      <c r="I334" s="15">
        <f>+F334/G334</f>
        <v>32.299999999999997</v>
      </c>
      <c r="J334" s="3">
        <v>26.96</v>
      </c>
      <c r="K334" s="3">
        <v>2</v>
      </c>
      <c r="L334" s="3">
        <v>19.8</v>
      </c>
      <c r="P334" s="3" t="s">
        <v>273</v>
      </c>
      <c r="Q334" s="11">
        <f>+AVERAGEIFS(I:I,D:D,P334)</f>
        <v>26.964999999999996</v>
      </c>
      <c r="R334" s="13">
        <f>+I334/Q334-1</f>
        <v>0.19784906360096421</v>
      </c>
    </row>
    <row r="335" spans="1:18" hidden="1" x14ac:dyDescent="0.25">
      <c r="A335">
        <v>2066</v>
      </c>
      <c r="B335" t="s">
        <v>20</v>
      </c>
      <c r="C335" t="s">
        <v>13</v>
      </c>
      <c r="D335" t="s">
        <v>45</v>
      </c>
      <c r="E335" t="s">
        <v>46</v>
      </c>
      <c r="F335">
        <v>16.2</v>
      </c>
      <c r="G335">
        <v>1</v>
      </c>
      <c r="H335">
        <v>0</v>
      </c>
      <c r="I335" s="15">
        <f>+F335/G335</f>
        <v>16.2</v>
      </c>
      <c r="J335">
        <v>15.97</v>
      </c>
      <c r="K335">
        <v>5</v>
      </c>
      <c r="L335">
        <v>1.5</v>
      </c>
      <c r="P335" t="s">
        <v>45</v>
      </c>
      <c r="Q335" s="11">
        <f>+AVERAGEIFS(I:I,D:D,P335)</f>
        <v>22.375</v>
      </c>
      <c r="R335" s="13">
        <f>+I335/Q335-1</f>
        <v>-0.2759776536312849</v>
      </c>
    </row>
    <row r="336" spans="1:18" hidden="1" x14ac:dyDescent="0.25">
      <c r="A336" s="4">
        <v>2053</v>
      </c>
      <c r="B336" s="4" t="s">
        <v>12</v>
      </c>
      <c r="C336" s="4" t="s">
        <v>13</v>
      </c>
      <c r="D336" s="4" t="s">
        <v>14</v>
      </c>
      <c r="E336" s="4" t="s">
        <v>15</v>
      </c>
      <c r="F336" s="4">
        <v>7.9</v>
      </c>
      <c r="G336" s="4">
        <v>1</v>
      </c>
      <c r="H336" s="4">
        <v>0</v>
      </c>
      <c r="I336" s="15">
        <f>+F336/G336</f>
        <v>7.9</v>
      </c>
      <c r="J336" s="7">
        <v>13.48</v>
      </c>
      <c r="K336" s="7">
        <v>5</v>
      </c>
      <c r="L336" s="7">
        <v>-41.4</v>
      </c>
      <c r="P336" s="4" t="s">
        <v>14</v>
      </c>
      <c r="Q336" s="11">
        <f>+AVERAGEIFS(I:I,D:D,P336)</f>
        <v>13.48</v>
      </c>
      <c r="R336" s="13">
        <f>+I336/Q336-1</f>
        <v>-0.41394658753709201</v>
      </c>
    </row>
    <row r="337" spans="1:18" hidden="1" x14ac:dyDescent="0.25">
      <c r="A337">
        <v>2308</v>
      </c>
      <c r="B337" t="s">
        <v>212</v>
      </c>
      <c r="C337" t="s">
        <v>237</v>
      </c>
      <c r="D337" t="s">
        <v>257</v>
      </c>
      <c r="E337" t="s">
        <v>258</v>
      </c>
      <c r="F337">
        <v>82</v>
      </c>
      <c r="G337">
        <v>3</v>
      </c>
      <c r="H337">
        <v>0</v>
      </c>
      <c r="I337" s="12">
        <f>+F337/G337</f>
        <v>27.333333333333332</v>
      </c>
      <c r="J337">
        <v>26.36</v>
      </c>
      <c r="K337">
        <v>5</v>
      </c>
      <c r="L337">
        <v>3.7</v>
      </c>
      <c r="P337" t="s">
        <v>257</v>
      </c>
      <c r="Q337" s="11">
        <f>+AVERAGEIFS(I:I,D:D,P337)</f>
        <v>26.151999999999997</v>
      </c>
      <c r="R337" s="13">
        <f>+I337/Q337-1</f>
        <v>4.5171816049760505E-2</v>
      </c>
    </row>
    <row r="338" spans="1:18" hidden="1" x14ac:dyDescent="0.25">
      <c r="A338">
        <v>2405</v>
      </c>
      <c r="B338" t="s">
        <v>213</v>
      </c>
      <c r="C338" t="s">
        <v>237</v>
      </c>
      <c r="D338" t="s">
        <v>257</v>
      </c>
      <c r="E338" t="s">
        <v>258</v>
      </c>
      <c r="F338">
        <v>126.5</v>
      </c>
      <c r="G338">
        <v>5</v>
      </c>
      <c r="H338">
        <v>0</v>
      </c>
      <c r="I338" s="12">
        <f>+F338/G338</f>
        <v>25.3</v>
      </c>
      <c r="J338">
        <v>26.36</v>
      </c>
      <c r="K338">
        <v>5</v>
      </c>
      <c r="L338">
        <v>-4</v>
      </c>
      <c r="P338" t="s">
        <v>257</v>
      </c>
      <c r="Q338" s="11">
        <f>+AVERAGEIFS(I:I,D:D,P338)</f>
        <v>26.151999999999997</v>
      </c>
      <c r="R338" s="13">
        <f>+I338/Q338-1</f>
        <v>-3.2578770266136314E-2</v>
      </c>
    </row>
    <row r="339" spans="1:18" hidden="1" x14ac:dyDescent="0.25">
      <c r="A339">
        <v>2322</v>
      </c>
      <c r="B339" t="s">
        <v>18</v>
      </c>
      <c r="C339" t="s">
        <v>237</v>
      </c>
      <c r="D339" t="s">
        <v>257</v>
      </c>
      <c r="E339" t="s">
        <v>258</v>
      </c>
      <c r="F339">
        <v>163.6</v>
      </c>
      <c r="G339">
        <v>6</v>
      </c>
      <c r="H339">
        <v>0</v>
      </c>
      <c r="I339" s="12">
        <f>+F339/G339</f>
        <v>27.266666666666666</v>
      </c>
      <c r="J339">
        <v>26.36</v>
      </c>
      <c r="K339">
        <v>5</v>
      </c>
      <c r="L339">
        <v>3.5</v>
      </c>
      <c r="P339" t="s">
        <v>257</v>
      </c>
      <c r="Q339" s="11">
        <f>+AVERAGEIFS(I:I,D:D,P339)</f>
        <v>26.151999999999997</v>
      </c>
      <c r="R339" s="13">
        <f>+I339/Q339-1</f>
        <v>4.2622616498419585E-2</v>
      </c>
    </row>
    <row r="340" spans="1:18" hidden="1" x14ac:dyDescent="0.25">
      <c r="A340">
        <v>2373</v>
      </c>
      <c r="B340" t="s">
        <v>240</v>
      </c>
      <c r="C340" t="s">
        <v>237</v>
      </c>
      <c r="D340" t="s">
        <v>257</v>
      </c>
      <c r="E340" t="s">
        <v>258</v>
      </c>
      <c r="F340">
        <v>48.6</v>
      </c>
      <c r="G340">
        <v>2</v>
      </c>
      <c r="H340">
        <v>0</v>
      </c>
      <c r="I340" s="12">
        <f>+F340/G340</f>
        <v>24.3</v>
      </c>
      <c r="J340">
        <v>26.36</v>
      </c>
      <c r="K340">
        <v>5</v>
      </c>
      <c r="L340">
        <v>-7.8</v>
      </c>
      <c r="P340" t="s">
        <v>257</v>
      </c>
      <c r="Q340" s="11">
        <f>+AVERAGEIFS(I:I,D:D,P340)</f>
        <v>26.151999999999997</v>
      </c>
      <c r="R340" s="13">
        <f>+I340/Q340-1</f>
        <v>-7.081676353624955E-2</v>
      </c>
    </row>
    <row r="341" spans="1:18" hidden="1" x14ac:dyDescent="0.25">
      <c r="A341">
        <v>2348</v>
      </c>
      <c r="B341" t="s">
        <v>117</v>
      </c>
      <c r="C341" t="s">
        <v>237</v>
      </c>
      <c r="D341" t="s">
        <v>257</v>
      </c>
      <c r="E341" t="s">
        <v>258</v>
      </c>
      <c r="F341">
        <v>132.80000000000001</v>
      </c>
      <c r="G341">
        <v>5</v>
      </c>
      <c r="H341">
        <v>0</v>
      </c>
      <c r="I341" s="12">
        <f>+F341/G341</f>
        <v>26.560000000000002</v>
      </c>
      <c r="J341">
        <v>26.36</v>
      </c>
      <c r="K341">
        <v>5</v>
      </c>
      <c r="L341">
        <v>0.8</v>
      </c>
      <c r="P341" t="s">
        <v>257</v>
      </c>
      <c r="Q341" s="11">
        <f>+AVERAGEIFS(I:I,D:D,P341)</f>
        <v>26.151999999999997</v>
      </c>
      <c r="R341" s="13">
        <f>+I341/Q341-1</f>
        <v>1.5601101254206329E-2</v>
      </c>
    </row>
    <row r="342" spans="1:18" hidden="1" x14ac:dyDescent="0.25">
      <c r="A342" s="4">
        <v>2038</v>
      </c>
      <c r="B342" s="4" t="s">
        <v>16</v>
      </c>
      <c r="C342" s="4" t="s">
        <v>13</v>
      </c>
      <c r="D342" s="4" t="s">
        <v>14</v>
      </c>
      <c r="E342" s="4" t="s">
        <v>15</v>
      </c>
      <c r="F342" s="4">
        <v>7</v>
      </c>
      <c r="G342" s="4">
        <v>1</v>
      </c>
      <c r="H342" s="4">
        <v>0</v>
      </c>
      <c r="I342" s="15">
        <f>+F342/G342</f>
        <v>7</v>
      </c>
      <c r="J342" s="4">
        <v>13.48</v>
      </c>
      <c r="K342" s="4">
        <v>5</v>
      </c>
      <c r="L342" s="4">
        <v>-48.1</v>
      </c>
      <c r="P342" s="4" t="s">
        <v>14</v>
      </c>
      <c r="Q342" s="11">
        <f>+AVERAGEIFS(I:I,D:D,P342)</f>
        <v>13.48</v>
      </c>
      <c r="R342" s="13">
        <f>+I342/Q342-1</f>
        <v>-0.48071216617210688</v>
      </c>
    </row>
    <row r="343" spans="1:18" hidden="1" x14ac:dyDescent="0.25">
      <c r="A343" s="7">
        <v>2075</v>
      </c>
      <c r="B343" s="7" t="s">
        <v>18</v>
      </c>
      <c r="C343" s="7" t="s">
        <v>13</v>
      </c>
      <c r="D343" s="7" t="s">
        <v>14</v>
      </c>
      <c r="E343" s="7" t="s">
        <v>15</v>
      </c>
      <c r="F343" s="7">
        <v>24.2</v>
      </c>
      <c r="G343" s="7">
        <v>1</v>
      </c>
      <c r="H343" s="7">
        <v>0</v>
      </c>
      <c r="I343" s="15">
        <f>+F343/G343</f>
        <v>24.2</v>
      </c>
      <c r="J343" s="7">
        <v>13.48</v>
      </c>
      <c r="K343" s="7">
        <v>5</v>
      </c>
      <c r="L343" s="7">
        <v>79.5</v>
      </c>
      <c r="P343" s="7" t="s">
        <v>14</v>
      </c>
      <c r="Q343" s="11">
        <f>+AVERAGEIFS(I:I,D:D,P343)</f>
        <v>13.48</v>
      </c>
      <c r="R343" s="13">
        <f>+I343/Q343-1</f>
        <v>0.79525222551928776</v>
      </c>
    </row>
    <row r="344" spans="1:18" hidden="1" x14ac:dyDescent="0.25">
      <c r="A344" s="7">
        <v>2048</v>
      </c>
      <c r="B344" s="7" t="s">
        <v>19</v>
      </c>
      <c r="C344" s="7" t="s">
        <v>13</v>
      </c>
      <c r="D344" s="7" t="s">
        <v>14</v>
      </c>
      <c r="E344" s="7" t="s">
        <v>15</v>
      </c>
      <c r="F344" s="7">
        <v>20.8</v>
      </c>
      <c r="G344" s="7">
        <v>1</v>
      </c>
      <c r="H344" s="7">
        <v>0</v>
      </c>
      <c r="I344" s="15">
        <f>+F344/G344</f>
        <v>20.8</v>
      </c>
      <c r="J344" s="7">
        <v>13.48</v>
      </c>
      <c r="K344" s="7">
        <v>5</v>
      </c>
      <c r="L344" s="7">
        <v>54.3</v>
      </c>
      <c r="P344" s="7" t="s">
        <v>14</v>
      </c>
      <c r="Q344" s="11">
        <f>+AVERAGEIFS(I:I,D:D,P344)</f>
        <v>13.48</v>
      </c>
      <c r="R344" s="13">
        <f>+I344/Q344-1</f>
        <v>0.54302670623145399</v>
      </c>
    </row>
    <row r="345" spans="1:18" hidden="1" x14ac:dyDescent="0.25">
      <c r="A345">
        <v>2303</v>
      </c>
      <c r="B345" t="s">
        <v>212</v>
      </c>
      <c r="C345" t="s">
        <v>237</v>
      </c>
      <c r="D345" t="s">
        <v>259</v>
      </c>
      <c r="E345" t="s">
        <v>260</v>
      </c>
      <c r="F345">
        <v>28.9</v>
      </c>
      <c r="G345">
        <v>1</v>
      </c>
      <c r="H345">
        <v>0</v>
      </c>
      <c r="I345" s="12">
        <f>+F345/G345</f>
        <v>28.9</v>
      </c>
      <c r="J345">
        <v>29.1</v>
      </c>
      <c r="K345">
        <v>3</v>
      </c>
      <c r="L345">
        <v>-0.7</v>
      </c>
      <c r="P345" t="s">
        <v>259</v>
      </c>
      <c r="Q345" s="11">
        <f>+AVERAGEIFS(I:I,D:D,P345)</f>
        <v>29.066666666666663</v>
      </c>
      <c r="R345" s="13">
        <f>+I345/Q345-1</f>
        <v>-5.7339449541283782E-3</v>
      </c>
    </row>
    <row r="346" spans="1:18" hidden="1" x14ac:dyDescent="0.25">
      <c r="A346">
        <v>2398</v>
      </c>
      <c r="B346" t="s">
        <v>213</v>
      </c>
      <c r="C346" t="s">
        <v>237</v>
      </c>
      <c r="D346" t="s">
        <v>259</v>
      </c>
      <c r="E346" t="s">
        <v>260</v>
      </c>
      <c r="F346">
        <v>58.4</v>
      </c>
      <c r="G346">
        <v>2</v>
      </c>
      <c r="H346">
        <v>0</v>
      </c>
      <c r="I346" s="12">
        <f>+F346/G346</f>
        <v>29.2</v>
      </c>
      <c r="J346">
        <v>29.1</v>
      </c>
      <c r="K346">
        <v>3</v>
      </c>
      <c r="L346">
        <v>0.3</v>
      </c>
      <c r="P346" t="s">
        <v>259</v>
      </c>
      <c r="Q346" s="11">
        <f>+AVERAGEIFS(I:I,D:D,P346)</f>
        <v>29.066666666666663</v>
      </c>
      <c r="R346" s="13">
        <f>+I346/Q346-1</f>
        <v>4.5871559633028358E-3</v>
      </c>
    </row>
    <row r="347" spans="1:18" hidden="1" x14ac:dyDescent="0.25">
      <c r="A347">
        <v>2342</v>
      </c>
      <c r="B347" t="s">
        <v>117</v>
      </c>
      <c r="C347" t="s">
        <v>237</v>
      </c>
      <c r="D347" t="s">
        <v>259</v>
      </c>
      <c r="E347" t="s">
        <v>260</v>
      </c>
      <c r="F347">
        <v>29.1</v>
      </c>
      <c r="G347">
        <v>1</v>
      </c>
      <c r="H347">
        <v>0</v>
      </c>
      <c r="I347" s="12">
        <f>+F347/G347</f>
        <v>29.1</v>
      </c>
      <c r="J347">
        <v>29.1</v>
      </c>
      <c r="K347">
        <v>3</v>
      </c>
      <c r="L347">
        <v>0</v>
      </c>
      <c r="P347" t="s">
        <v>259</v>
      </c>
      <c r="Q347" s="11">
        <f>+AVERAGEIFS(I:I,D:D,P347)</f>
        <v>29.066666666666663</v>
      </c>
      <c r="R347" s="13">
        <f>+I347/Q347-1</f>
        <v>1.1467889908258755E-3</v>
      </c>
    </row>
    <row r="348" spans="1:18" hidden="1" x14ac:dyDescent="0.25">
      <c r="A348">
        <v>2399</v>
      </c>
      <c r="B348" t="s">
        <v>213</v>
      </c>
      <c r="C348" t="s">
        <v>237</v>
      </c>
      <c r="D348" t="s">
        <v>261</v>
      </c>
      <c r="E348" t="s">
        <v>262</v>
      </c>
      <c r="F348">
        <v>62</v>
      </c>
      <c r="G348">
        <v>2</v>
      </c>
      <c r="H348">
        <v>0</v>
      </c>
      <c r="I348" s="12">
        <f>+F348/G348</f>
        <v>31</v>
      </c>
      <c r="J348">
        <v>30.77</v>
      </c>
      <c r="K348">
        <v>4</v>
      </c>
      <c r="L348">
        <v>0.7</v>
      </c>
      <c r="P348" t="s">
        <v>261</v>
      </c>
      <c r="Q348" s="11">
        <f>+AVERAGEIFS(I:I,D:D,P348)</f>
        <v>30.526666666666667</v>
      </c>
      <c r="R348" s="13">
        <f>+I348/Q348-1</f>
        <v>1.5505568901506894E-2</v>
      </c>
    </row>
    <row r="349" spans="1:18" hidden="1" x14ac:dyDescent="0.25">
      <c r="A349">
        <v>2323</v>
      </c>
      <c r="B349" t="s">
        <v>18</v>
      </c>
      <c r="C349" t="s">
        <v>237</v>
      </c>
      <c r="D349" t="s">
        <v>261</v>
      </c>
      <c r="E349" t="s">
        <v>262</v>
      </c>
      <c r="F349">
        <v>56.88</v>
      </c>
      <c r="G349">
        <v>2</v>
      </c>
      <c r="H349">
        <v>0</v>
      </c>
      <c r="I349" s="12">
        <f>+F349/G349</f>
        <v>28.44</v>
      </c>
      <c r="J349">
        <v>30.77</v>
      </c>
      <c r="K349">
        <v>4</v>
      </c>
      <c r="L349">
        <v>-7.6</v>
      </c>
      <c r="P349" t="s">
        <v>261</v>
      </c>
      <c r="Q349" s="11">
        <f>+AVERAGEIFS(I:I,D:D,P349)</f>
        <v>30.526666666666667</v>
      </c>
      <c r="R349" s="13">
        <f>+I349/Q349-1</f>
        <v>-6.835553614326273E-2</v>
      </c>
    </row>
    <row r="350" spans="1:18" hidden="1" x14ac:dyDescent="0.25">
      <c r="A350">
        <v>2372</v>
      </c>
      <c r="B350" t="s">
        <v>240</v>
      </c>
      <c r="C350" t="s">
        <v>237</v>
      </c>
      <c r="D350" t="s">
        <v>261</v>
      </c>
      <c r="E350" t="s">
        <v>262</v>
      </c>
      <c r="F350">
        <v>62.8</v>
      </c>
      <c r="G350">
        <v>2</v>
      </c>
      <c r="H350">
        <v>0</v>
      </c>
      <c r="I350" s="12">
        <f>+F350/G350</f>
        <v>31.4</v>
      </c>
      <c r="J350">
        <v>30.77</v>
      </c>
      <c r="K350">
        <v>4</v>
      </c>
      <c r="L350">
        <v>2</v>
      </c>
      <c r="P350" t="s">
        <v>261</v>
      </c>
      <c r="Q350" s="11">
        <f>+AVERAGEIFS(I:I,D:D,P350)</f>
        <v>30.526666666666667</v>
      </c>
      <c r="R350" s="13">
        <f>+I350/Q350-1</f>
        <v>2.8608866564752145E-2</v>
      </c>
    </row>
    <row r="351" spans="1:18" hidden="1" x14ac:dyDescent="0.25">
      <c r="A351">
        <v>2343</v>
      </c>
      <c r="B351" t="s">
        <v>117</v>
      </c>
      <c r="C351" t="s">
        <v>237</v>
      </c>
      <c r="D351" t="s">
        <v>261</v>
      </c>
      <c r="E351" t="s">
        <v>262</v>
      </c>
      <c r="F351">
        <v>187.6</v>
      </c>
      <c r="G351">
        <v>6</v>
      </c>
      <c r="H351">
        <v>0</v>
      </c>
      <c r="I351" s="12">
        <f>+F351/G351</f>
        <v>31.266666666666666</v>
      </c>
      <c r="J351">
        <v>30.77</v>
      </c>
      <c r="K351">
        <v>4</v>
      </c>
      <c r="L351">
        <v>1.6</v>
      </c>
      <c r="P351" t="s">
        <v>261</v>
      </c>
      <c r="Q351" s="11">
        <f>+AVERAGEIFS(I:I,D:D,P351)</f>
        <v>30.526666666666667</v>
      </c>
      <c r="R351" s="13">
        <f>+I351/Q351-1</f>
        <v>2.424110067700358E-2</v>
      </c>
    </row>
    <row r="352" spans="1:18" hidden="1" x14ac:dyDescent="0.25">
      <c r="A352">
        <v>2413</v>
      </c>
      <c r="B352" t="s">
        <v>79</v>
      </c>
      <c r="C352" t="s">
        <v>237</v>
      </c>
      <c r="D352" t="s">
        <v>263</v>
      </c>
      <c r="E352" t="s">
        <v>264</v>
      </c>
      <c r="F352">
        <v>61.8</v>
      </c>
      <c r="G352">
        <v>2</v>
      </c>
      <c r="H352">
        <v>0</v>
      </c>
      <c r="I352" s="12">
        <f>+F352/G352</f>
        <v>30.9</v>
      </c>
      <c r="J352">
        <v>30.9</v>
      </c>
      <c r="K352">
        <v>1</v>
      </c>
      <c r="L352">
        <v>0</v>
      </c>
      <c r="P352" t="s">
        <v>263</v>
      </c>
      <c r="Q352" s="11">
        <f>+AVERAGEIFS(I:I,D:D,P352)</f>
        <v>30.9</v>
      </c>
      <c r="R352" s="13">
        <f>+I352/Q352-1</f>
        <v>0</v>
      </c>
    </row>
    <row r="353" spans="1:18" hidden="1" x14ac:dyDescent="0.25">
      <c r="A353">
        <v>2302</v>
      </c>
      <c r="B353" t="s">
        <v>212</v>
      </c>
      <c r="C353" t="s">
        <v>237</v>
      </c>
      <c r="D353" t="s">
        <v>265</v>
      </c>
      <c r="E353" t="s">
        <v>266</v>
      </c>
      <c r="F353">
        <v>31.8</v>
      </c>
      <c r="G353">
        <v>1</v>
      </c>
      <c r="H353">
        <v>0</v>
      </c>
      <c r="I353" s="12">
        <f>+F353/G353</f>
        <v>31.8</v>
      </c>
      <c r="J353">
        <v>32.9</v>
      </c>
      <c r="K353">
        <v>2</v>
      </c>
      <c r="L353">
        <v>-3.3</v>
      </c>
      <c r="P353" t="s">
        <v>265</v>
      </c>
      <c r="Q353" s="11">
        <f>+AVERAGEIFS(I:I,D:D,P353)</f>
        <v>32.9</v>
      </c>
      <c r="R353" s="13">
        <f>+I353/Q353-1</f>
        <v>-3.3434650455926973E-2</v>
      </c>
    </row>
    <row r="354" spans="1:18" hidden="1" x14ac:dyDescent="0.25">
      <c r="A354">
        <v>2371</v>
      </c>
      <c r="B354" t="s">
        <v>240</v>
      </c>
      <c r="C354" t="s">
        <v>237</v>
      </c>
      <c r="D354" t="s">
        <v>265</v>
      </c>
      <c r="E354" t="s">
        <v>266</v>
      </c>
      <c r="F354">
        <v>34</v>
      </c>
      <c r="G354">
        <v>1</v>
      </c>
      <c r="H354">
        <v>0</v>
      </c>
      <c r="I354" s="12">
        <f>+F354/G354</f>
        <v>34</v>
      </c>
      <c r="J354">
        <v>32.9</v>
      </c>
      <c r="K354">
        <v>2</v>
      </c>
      <c r="L354">
        <v>3.3</v>
      </c>
      <c r="P354" t="s">
        <v>265</v>
      </c>
      <c r="Q354" s="11">
        <f>+AVERAGEIFS(I:I,D:D,P354)</f>
        <v>32.9</v>
      </c>
      <c r="R354" s="13">
        <f>+I354/Q354-1</f>
        <v>3.3434650455927084E-2</v>
      </c>
    </row>
    <row r="355" spans="1:18" hidden="1" x14ac:dyDescent="0.25">
      <c r="A355">
        <v>2319</v>
      </c>
      <c r="B355" t="s">
        <v>212</v>
      </c>
      <c r="C355" t="s">
        <v>237</v>
      </c>
      <c r="D355" t="s">
        <v>267</v>
      </c>
      <c r="E355" t="s">
        <v>268</v>
      </c>
      <c r="F355">
        <v>113.3</v>
      </c>
      <c r="G355">
        <v>6</v>
      </c>
      <c r="H355">
        <v>0</v>
      </c>
      <c r="I355" s="12">
        <f>+F355/G355</f>
        <v>18.883333333333333</v>
      </c>
      <c r="J355">
        <v>19.239999999999998</v>
      </c>
      <c r="K355">
        <v>3</v>
      </c>
      <c r="L355">
        <v>-1.9</v>
      </c>
      <c r="P355" t="s">
        <v>267</v>
      </c>
      <c r="Q355" s="11">
        <f>+AVERAGEIFS(I:I,D:D,P355)</f>
        <v>19.201851851851853</v>
      </c>
      <c r="R355" s="13">
        <f>+I355/Q355-1</f>
        <v>-1.6587906259041385E-2</v>
      </c>
    </row>
    <row r="356" spans="1:18" hidden="1" x14ac:dyDescent="0.25">
      <c r="A356">
        <v>2331</v>
      </c>
      <c r="B356" t="s">
        <v>220</v>
      </c>
      <c r="C356" t="s">
        <v>237</v>
      </c>
      <c r="D356" t="s">
        <v>267</v>
      </c>
      <c r="E356" t="s">
        <v>268</v>
      </c>
      <c r="F356">
        <v>177.75</v>
      </c>
      <c r="G356">
        <v>9</v>
      </c>
      <c r="H356">
        <v>0</v>
      </c>
      <c r="I356" s="12">
        <f>+F356/G356</f>
        <v>19.75</v>
      </c>
      <c r="J356">
        <v>19.239999999999998</v>
      </c>
      <c r="K356">
        <v>3</v>
      </c>
      <c r="L356">
        <v>2.6</v>
      </c>
      <c r="P356" t="s">
        <v>267</v>
      </c>
      <c r="Q356" s="11">
        <f>+AVERAGEIFS(I:I,D:D,P356)</f>
        <v>19.201851851851853</v>
      </c>
      <c r="R356" s="13">
        <f>+I356/Q356-1</f>
        <v>2.854662937602459E-2</v>
      </c>
    </row>
    <row r="357" spans="1:18" hidden="1" x14ac:dyDescent="0.25">
      <c r="A357">
        <v>2386</v>
      </c>
      <c r="B357" t="s">
        <v>240</v>
      </c>
      <c r="C357" t="s">
        <v>237</v>
      </c>
      <c r="D357" t="s">
        <v>267</v>
      </c>
      <c r="E357" t="s">
        <v>268</v>
      </c>
      <c r="F357">
        <v>170.75</v>
      </c>
      <c r="G357">
        <v>9</v>
      </c>
      <c r="H357">
        <v>0</v>
      </c>
      <c r="I357" s="12">
        <f>+F357/G357</f>
        <v>18.972222222222221</v>
      </c>
      <c r="J357">
        <v>19.239999999999998</v>
      </c>
      <c r="K357">
        <v>3</v>
      </c>
      <c r="L357">
        <v>-1.4</v>
      </c>
      <c r="P357" t="s">
        <v>267</v>
      </c>
      <c r="Q357" s="11">
        <f>+AVERAGEIFS(I:I,D:D,P357)</f>
        <v>19.201851851851853</v>
      </c>
      <c r="R357" s="13">
        <f>+I357/Q357-1</f>
        <v>-1.1958723116983427E-2</v>
      </c>
    </row>
    <row r="358" spans="1:18" hidden="1" x14ac:dyDescent="0.25">
      <c r="A358">
        <v>2368</v>
      </c>
      <c r="B358" t="s">
        <v>34</v>
      </c>
      <c r="C358" t="s">
        <v>237</v>
      </c>
      <c r="D358" t="s">
        <v>269</v>
      </c>
      <c r="E358" t="s">
        <v>270</v>
      </c>
      <c r="F358">
        <v>26.7</v>
      </c>
      <c r="G358">
        <v>1</v>
      </c>
      <c r="H358">
        <v>0</v>
      </c>
      <c r="I358" s="12">
        <f>+F358/G358</f>
        <v>26.7</v>
      </c>
      <c r="J358">
        <v>26.7</v>
      </c>
      <c r="K358">
        <v>1</v>
      </c>
      <c r="L358">
        <v>0</v>
      </c>
      <c r="P358" t="s">
        <v>269</v>
      </c>
      <c r="Q358" s="11">
        <f>+AVERAGEIFS(I:I,D:D,P358)</f>
        <v>26.7</v>
      </c>
      <c r="R358" s="13">
        <f>+I358/Q358-1</f>
        <v>0</v>
      </c>
    </row>
    <row r="359" spans="1:18" hidden="1" x14ac:dyDescent="0.25">
      <c r="A359">
        <v>2394</v>
      </c>
      <c r="B359" t="s">
        <v>216</v>
      </c>
      <c r="C359" t="s">
        <v>237</v>
      </c>
      <c r="D359" t="s">
        <v>271</v>
      </c>
      <c r="E359" t="s">
        <v>272</v>
      </c>
      <c r="F359">
        <v>28.5</v>
      </c>
      <c r="G359">
        <v>1</v>
      </c>
      <c r="H359">
        <v>0</v>
      </c>
      <c r="I359" s="12">
        <f>+F359/G359</f>
        <v>28.5</v>
      </c>
      <c r="J359">
        <v>31</v>
      </c>
      <c r="K359">
        <v>2</v>
      </c>
      <c r="L359">
        <v>-8.1</v>
      </c>
      <c r="P359" t="s">
        <v>271</v>
      </c>
      <c r="Q359" s="11">
        <f>+AVERAGEIFS(I:I,D:D,P359)</f>
        <v>31</v>
      </c>
      <c r="R359" s="13">
        <f>+I359/Q359-1</f>
        <v>-8.064516129032262E-2</v>
      </c>
    </row>
    <row r="360" spans="1:18" hidden="1" x14ac:dyDescent="0.25">
      <c r="A360">
        <v>2370</v>
      </c>
      <c r="B360" t="s">
        <v>18</v>
      </c>
      <c r="C360" t="s">
        <v>237</v>
      </c>
      <c r="D360" t="s">
        <v>271</v>
      </c>
      <c r="E360" t="s">
        <v>272</v>
      </c>
      <c r="F360">
        <v>33.5</v>
      </c>
      <c r="G360">
        <v>1</v>
      </c>
      <c r="H360">
        <v>0</v>
      </c>
      <c r="I360" s="12">
        <f>+F360/G360</f>
        <v>33.5</v>
      </c>
      <c r="J360">
        <v>31</v>
      </c>
      <c r="K360">
        <v>2</v>
      </c>
      <c r="L360">
        <v>8.1</v>
      </c>
      <c r="P360" t="s">
        <v>271</v>
      </c>
      <c r="Q360" s="11">
        <f>+AVERAGEIFS(I:I,D:D,P360)</f>
        <v>31</v>
      </c>
      <c r="R360" s="13">
        <f>+I360/Q360-1</f>
        <v>8.0645161290322509E-2</v>
      </c>
    </row>
    <row r="361" spans="1:18" hidden="1" x14ac:dyDescent="0.25">
      <c r="A361" s="7">
        <v>2072</v>
      </c>
      <c r="B361" s="7" t="s">
        <v>18</v>
      </c>
      <c r="C361" s="7" t="s">
        <v>13</v>
      </c>
      <c r="D361" s="7" t="s">
        <v>53</v>
      </c>
      <c r="E361" s="7" t="s">
        <v>54</v>
      </c>
      <c r="F361" s="7">
        <v>125.4</v>
      </c>
      <c r="G361" s="7">
        <v>5</v>
      </c>
      <c r="H361" s="7">
        <v>0</v>
      </c>
      <c r="I361" s="15">
        <f>+F361/G361</f>
        <v>25.080000000000002</v>
      </c>
      <c r="J361" s="7">
        <v>18.48</v>
      </c>
      <c r="K361" s="7">
        <v>6</v>
      </c>
      <c r="L361" s="7">
        <v>35.799999999999997</v>
      </c>
      <c r="P361" s="7" t="s">
        <v>53</v>
      </c>
      <c r="Q361" s="11">
        <f>+AVERAGEIFS(I:I,D:D,P361)</f>
        <v>18.925811965811967</v>
      </c>
      <c r="R361" s="13">
        <f>+I361/Q361-1</f>
        <v>0.3251743198814987</v>
      </c>
    </row>
    <row r="362" spans="1:18" hidden="1" x14ac:dyDescent="0.25">
      <c r="A362" s="2">
        <v>2438</v>
      </c>
      <c r="B362" s="2" t="s">
        <v>122</v>
      </c>
      <c r="C362" s="2" t="s">
        <v>108</v>
      </c>
      <c r="D362" s="2" t="s">
        <v>119</v>
      </c>
      <c r="E362" s="2" t="s">
        <v>120</v>
      </c>
      <c r="F362" s="2">
        <v>12.2</v>
      </c>
      <c r="G362" s="2">
        <v>1</v>
      </c>
      <c r="H362" s="2">
        <v>0</v>
      </c>
      <c r="I362" s="15">
        <f>+F362/G362</f>
        <v>12.2</v>
      </c>
      <c r="J362" s="2">
        <v>9.1999999999999993</v>
      </c>
      <c r="K362" s="2">
        <v>13</v>
      </c>
      <c r="L362" s="2">
        <v>32.6</v>
      </c>
      <c r="P362" s="2" t="s">
        <v>119</v>
      </c>
      <c r="Q362" s="11">
        <f>+AVERAGEIFS(I:I,D:D,P362)</f>
        <v>9.5472954822954836</v>
      </c>
      <c r="R362" s="13">
        <f>+I362/Q362-1</f>
        <v>0.27784879211329461</v>
      </c>
    </row>
    <row r="363" spans="1:18" hidden="1" x14ac:dyDescent="0.25">
      <c r="A363" s="3">
        <v>2421</v>
      </c>
      <c r="B363" s="3" t="s">
        <v>211</v>
      </c>
      <c r="C363" s="3" t="s">
        <v>237</v>
      </c>
      <c r="D363" s="3" t="s">
        <v>275</v>
      </c>
      <c r="E363" s="3" t="s">
        <v>276</v>
      </c>
      <c r="F363" s="3">
        <v>14.6</v>
      </c>
      <c r="G363" s="3">
        <v>1</v>
      </c>
      <c r="H363" s="3">
        <v>0</v>
      </c>
      <c r="I363" s="12">
        <f>+F363/G363</f>
        <v>14.6</v>
      </c>
      <c r="J363" s="3">
        <v>12.38</v>
      </c>
      <c r="K363" s="3">
        <v>7</v>
      </c>
      <c r="L363" s="3">
        <v>18</v>
      </c>
      <c r="P363" s="3" t="s">
        <v>275</v>
      </c>
      <c r="Q363" s="11">
        <f>+AVERAGEIFS(I:I,D:D,P363)</f>
        <v>13.572380952380952</v>
      </c>
      <c r="R363" s="13">
        <f>+I363/Q363-1</f>
        <v>7.5713984983510008E-2</v>
      </c>
    </row>
    <row r="364" spans="1:18" x14ac:dyDescent="0.25">
      <c r="A364">
        <v>2433</v>
      </c>
      <c r="B364" t="s">
        <v>116</v>
      </c>
      <c r="C364" t="s">
        <v>108</v>
      </c>
      <c r="D364" t="s">
        <v>119</v>
      </c>
      <c r="E364" t="s">
        <v>120</v>
      </c>
      <c r="F364">
        <v>39.299999999999997</v>
      </c>
      <c r="G364">
        <v>5</v>
      </c>
      <c r="H364">
        <v>0</v>
      </c>
      <c r="I364" s="15">
        <f>+F364/G364</f>
        <v>7.8599999999999994</v>
      </c>
      <c r="J364">
        <v>9.1999999999999993</v>
      </c>
      <c r="K364">
        <v>13</v>
      </c>
      <c r="L364">
        <v>-14.6</v>
      </c>
      <c r="P364" t="s">
        <v>119</v>
      </c>
      <c r="Q364" s="11">
        <f>+AVERAGEIFS(I:I,D:D,P364)</f>
        <v>9.5472954822954836</v>
      </c>
      <c r="R364" s="13">
        <f>+I364/Q364-1</f>
        <v>-0.17673020442536913</v>
      </c>
    </row>
    <row r="365" spans="1:18" hidden="1" x14ac:dyDescent="0.25">
      <c r="A365" s="3">
        <v>2329</v>
      </c>
      <c r="B365" s="3" t="s">
        <v>18</v>
      </c>
      <c r="C365" s="3" t="s">
        <v>237</v>
      </c>
      <c r="D365" s="3" t="s">
        <v>275</v>
      </c>
      <c r="E365" s="3" t="s">
        <v>276</v>
      </c>
      <c r="F365" s="3">
        <v>58.8</v>
      </c>
      <c r="G365" s="3">
        <v>4</v>
      </c>
      <c r="H365" s="3">
        <v>0</v>
      </c>
      <c r="I365" s="12">
        <f>+F365/G365</f>
        <v>14.7</v>
      </c>
      <c r="J365" s="3">
        <v>12.38</v>
      </c>
      <c r="K365" s="3">
        <v>7</v>
      </c>
      <c r="L365" s="3">
        <v>18.8</v>
      </c>
      <c r="P365" s="3" t="s">
        <v>275</v>
      </c>
      <c r="Q365" s="11">
        <f>+AVERAGEIFS(I:I,D:D,P365)</f>
        <v>13.572380952380952</v>
      </c>
      <c r="R365" s="13">
        <f>+I365/Q365-1</f>
        <v>8.3081888990246267E-2</v>
      </c>
    </row>
    <row r="366" spans="1:18" hidden="1" x14ac:dyDescent="0.25">
      <c r="A366" s="2">
        <v>2435</v>
      </c>
      <c r="B366" s="2" t="s">
        <v>96</v>
      </c>
      <c r="C366" s="2" t="s">
        <v>108</v>
      </c>
      <c r="D366" s="2" t="s">
        <v>119</v>
      </c>
      <c r="E366" s="2" t="s">
        <v>120</v>
      </c>
      <c r="F366" s="2">
        <v>24.9</v>
      </c>
      <c r="G366" s="2">
        <v>2</v>
      </c>
      <c r="H366" s="2">
        <v>0</v>
      </c>
      <c r="I366" s="15">
        <f>+F366/G366</f>
        <v>12.45</v>
      </c>
      <c r="J366" s="2">
        <v>9.1999999999999993</v>
      </c>
      <c r="K366" s="2">
        <v>13</v>
      </c>
      <c r="L366" s="2">
        <v>35.299999999999997</v>
      </c>
      <c r="P366" s="2" t="s">
        <v>119</v>
      </c>
      <c r="Q366" s="11">
        <f>+AVERAGEIFS(I:I,D:D,P366)</f>
        <v>9.5472954822954836</v>
      </c>
      <c r="R366" s="13">
        <f>+I366/Q366-1</f>
        <v>0.30403421818119014</v>
      </c>
    </row>
    <row r="367" spans="1:18" x14ac:dyDescent="0.25">
      <c r="A367" s="6">
        <v>2431</v>
      </c>
      <c r="B367" s="6" t="s">
        <v>118</v>
      </c>
      <c r="C367" s="6" t="s">
        <v>108</v>
      </c>
      <c r="D367" s="6" t="s">
        <v>119</v>
      </c>
      <c r="E367" s="6" t="s">
        <v>120</v>
      </c>
      <c r="F367" s="6">
        <v>49.3</v>
      </c>
      <c r="G367" s="6">
        <v>7</v>
      </c>
      <c r="H367" s="6">
        <v>0</v>
      </c>
      <c r="I367" s="15">
        <f>+F367/G367</f>
        <v>7.0428571428571427</v>
      </c>
      <c r="J367" s="3">
        <v>9.1999999999999993</v>
      </c>
      <c r="K367" s="3">
        <v>13</v>
      </c>
      <c r="L367" s="3">
        <v>-23.5</v>
      </c>
      <c r="P367" s="6" t="s">
        <v>119</v>
      </c>
      <c r="Q367" s="11">
        <f>+AVERAGEIFS(I:I,D:D,P367)</f>
        <v>9.5472954822954836</v>
      </c>
      <c r="R367" s="13">
        <f>+I367/Q367-1</f>
        <v>-0.26231913991586142</v>
      </c>
    </row>
    <row r="368" spans="1:18" x14ac:dyDescent="0.25">
      <c r="A368">
        <v>2434</v>
      </c>
      <c r="B368" t="s">
        <v>99</v>
      </c>
      <c r="C368" t="s">
        <v>108</v>
      </c>
      <c r="D368" t="s">
        <v>119</v>
      </c>
      <c r="E368" t="s">
        <v>120</v>
      </c>
      <c r="F368">
        <v>59.3</v>
      </c>
      <c r="G368">
        <v>7</v>
      </c>
      <c r="H368">
        <v>0</v>
      </c>
      <c r="I368" s="15">
        <f>+F368/G368</f>
        <v>8.4714285714285715</v>
      </c>
      <c r="J368">
        <v>9.1999999999999993</v>
      </c>
      <c r="K368">
        <v>13</v>
      </c>
      <c r="L368">
        <v>-7.9</v>
      </c>
      <c r="P368" t="s">
        <v>119</v>
      </c>
      <c r="Q368" s="11">
        <f>+AVERAGEIFS(I:I,D:D,P368)</f>
        <v>9.5472954822954836</v>
      </c>
      <c r="R368" s="13">
        <f>+I368/Q368-1</f>
        <v>-0.1126881338136021</v>
      </c>
    </row>
    <row r="369" spans="1:18" hidden="1" x14ac:dyDescent="0.25">
      <c r="A369" s="3">
        <v>2422</v>
      </c>
      <c r="B369" s="3" t="s">
        <v>36</v>
      </c>
      <c r="C369" s="3" t="s">
        <v>237</v>
      </c>
      <c r="D369" s="3" t="s">
        <v>275</v>
      </c>
      <c r="E369" s="3" t="s">
        <v>276</v>
      </c>
      <c r="F369" s="3">
        <v>14.6</v>
      </c>
      <c r="G369" s="3">
        <v>1</v>
      </c>
      <c r="H369" s="3">
        <v>0</v>
      </c>
      <c r="I369" s="12">
        <f>+F369/G369</f>
        <v>14.6</v>
      </c>
      <c r="J369" s="3">
        <v>12.38</v>
      </c>
      <c r="K369" s="3">
        <v>7</v>
      </c>
      <c r="L369" s="3">
        <v>18</v>
      </c>
      <c r="P369" s="3" t="s">
        <v>275</v>
      </c>
      <c r="Q369" s="11">
        <f>+AVERAGEIFS(I:I,D:D,P369)</f>
        <v>13.572380952380952</v>
      </c>
      <c r="R369" s="13">
        <f>+I369/Q369-1</f>
        <v>7.5713984983510008E-2</v>
      </c>
    </row>
    <row r="370" spans="1:18" hidden="1" x14ac:dyDescent="0.25">
      <c r="A370">
        <v>2417</v>
      </c>
      <c r="B370" t="s">
        <v>23</v>
      </c>
      <c r="C370" t="s">
        <v>237</v>
      </c>
      <c r="D370" t="s">
        <v>43</v>
      </c>
      <c r="E370" t="s">
        <v>44</v>
      </c>
      <c r="F370">
        <v>16.600000000000001</v>
      </c>
      <c r="G370">
        <v>1</v>
      </c>
      <c r="H370">
        <v>0</v>
      </c>
      <c r="I370" s="12">
        <f>+F370/G370</f>
        <v>16.600000000000001</v>
      </c>
      <c r="J370">
        <v>16.600000000000001</v>
      </c>
      <c r="K370">
        <v>2</v>
      </c>
      <c r="L370">
        <v>0</v>
      </c>
      <c r="P370" t="s">
        <v>43</v>
      </c>
      <c r="Q370" s="11">
        <f>+AVERAGEIFS(I:I,D:D,P370)</f>
        <v>16.62222222222222</v>
      </c>
      <c r="R370" s="13">
        <f>+I370/Q370-1</f>
        <v>-1.3368983957217084E-3</v>
      </c>
    </row>
    <row r="371" spans="1:18" hidden="1" x14ac:dyDescent="0.25">
      <c r="A371">
        <v>2383</v>
      </c>
      <c r="B371" t="s">
        <v>240</v>
      </c>
      <c r="C371" t="s">
        <v>237</v>
      </c>
      <c r="D371" t="s">
        <v>43</v>
      </c>
      <c r="E371" t="s">
        <v>44</v>
      </c>
      <c r="F371">
        <v>16.600000000000001</v>
      </c>
      <c r="G371">
        <v>1</v>
      </c>
      <c r="H371">
        <v>0</v>
      </c>
      <c r="I371" s="12">
        <f>+F371/G371</f>
        <v>16.600000000000001</v>
      </c>
      <c r="J371">
        <v>16.600000000000001</v>
      </c>
      <c r="K371">
        <v>2</v>
      </c>
      <c r="L371">
        <v>0</v>
      </c>
      <c r="P371" t="s">
        <v>43</v>
      </c>
      <c r="Q371" s="11">
        <f>+AVERAGEIFS(I:I,D:D,P371)</f>
        <v>16.62222222222222</v>
      </c>
      <c r="R371" s="13">
        <f>+I371/Q371-1</f>
        <v>-1.3368983957217084E-3</v>
      </c>
    </row>
    <row r="372" spans="1:18" hidden="1" x14ac:dyDescent="0.25">
      <c r="A372">
        <v>2145</v>
      </c>
      <c r="B372" t="s">
        <v>230</v>
      </c>
      <c r="C372" t="s">
        <v>324</v>
      </c>
      <c r="D372" t="s">
        <v>345</v>
      </c>
      <c r="E372" t="s">
        <v>346</v>
      </c>
      <c r="F372">
        <v>63.85</v>
      </c>
      <c r="G372">
        <v>4</v>
      </c>
      <c r="H372">
        <v>0</v>
      </c>
      <c r="I372" s="15">
        <f>+F372/G372</f>
        <v>15.9625</v>
      </c>
      <c r="J372">
        <v>14.19</v>
      </c>
      <c r="K372">
        <v>15</v>
      </c>
      <c r="L372">
        <v>12.5</v>
      </c>
      <c r="P372" t="s">
        <v>345</v>
      </c>
      <c r="Q372" s="11">
        <f>+AVERAGEIFS(I:I,D:D,P372)</f>
        <v>14.267976190476192</v>
      </c>
      <c r="R372" s="13">
        <f>+I372/Q372-1</f>
        <v>0.11876413213072889</v>
      </c>
    </row>
    <row r="373" spans="1:18" hidden="1" x14ac:dyDescent="0.25">
      <c r="A373" s="4">
        <v>2197</v>
      </c>
      <c r="B373" s="4" t="s">
        <v>327</v>
      </c>
      <c r="C373" s="4" t="s">
        <v>324</v>
      </c>
      <c r="D373" s="4" t="s">
        <v>345</v>
      </c>
      <c r="E373" s="4" t="s">
        <v>346</v>
      </c>
      <c r="F373" s="4">
        <v>63.6</v>
      </c>
      <c r="G373" s="4">
        <v>6</v>
      </c>
      <c r="H373" s="4">
        <v>0</v>
      </c>
      <c r="I373" s="15">
        <f>+F373/G373</f>
        <v>10.6</v>
      </c>
      <c r="J373" s="2">
        <v>14.19</v>
      </c>
      <c r="K373" s="2">
        <v>15</v>
      </c>
      <c r="L373" s="2">
        <v>-25.3</v>
      </c>
      <c r="P373" s="4" t="s">
        <v>345</v>
      </c>
      <c r="Q373" s="11">
        <f>+AVERAGEIFS(I:I,D:D,P373)</f>
        <v>14.267976190476192</v>
      </c>
      <c r="R373" s="13">
        <f>+I373/Q373-1</f>
        <v>-0.25707753794294597</v>
      </c>
    </row>
    <row r="374" spans="1:18" hidden="1" x14ac:dyDescent="0.25">
      <c r="A374">
        <v>2365</v>
      </c>
      <c r="B374" t="s">
        <v>117</v>
      </c>
      <c r="C374" t="s">
        <v>237</v>
      </c>
      <c r="D374" t="s">
        <v>48</v>
      </c>
      <c r="E374" t="s">
        <v>49</v>
      </c>
      <c r="F374">
        <v>13.2</v>
      </c>
      <c r="G374">
        <v>1</v>
      </c>
      <c r="H374">
        <v>0</v>
      </c>
      <c r="I374" s="12">
        <f>+F374/G374</f>
        <v>13.2</v>
      </c>
      <c r="J374">
        <v>13.2</v>
      </c>
      <c r="K374">
        <v>1</v>
      </c>
      <c r="L374">
        <v>0</v>
      </c>
      <c r="P374" t="s">
        <v>48</v>
      </c>
      <c r="Q374" s="11">
        <f>+AVERAGEIFS(I:I,D:D,P374)</f>
        <v>12.879999999999999</v>
      </c>
      <c r="R374" s="13">
        <f>+I374/Q374-1</f>
        <v>2.4844720496894457E-2</v>
      </c>
    </row>
    <row r="375" spans="1:18" hidden="1" x14ac:dyDescent="0.25">
      <c r="A375">
        <v>2314</v>
      </c>
      <c r="B375" t="s">
        <v>212</v>
      </c>
      <c r="C375" t="s">
        <v>237</v>
      </c>
      <c r="D375" t="s">
        <v>278</v>
      </c>
      <c r="E375" t="s">
        <v>279</v>
      </c>
      <c r="F375">
        <v>13.4</v>
      </c>
      <c r="G375">
        <v>1</v>
      </c>
      <c r="H375">
        <v>0</v>
      </c>
      <c r="I375" s="12">
        <f>+F375/G375</f>
        <v>13.4</v>
      </c>
      <c r="J375">
        <v>13.3</v>
      </c>
      <c r="K375">
        <v>2</v>
      </c>
      <c r="L375">
        <v>0.8</v>
      </c>
      <c r="P375" t="s">
        <v>278</v>
      </c>
      <c r="Q375" s="11">
        <f>+AVERAGEIFS(I:I,D:D,P375)</f>
        <v>13.3</v>
      </c>
      <c r="R375" s="13">
        <f>+I375/Q375-1</f>
        <v>7.5187969924812581E-3</v>
      </c>
    </row>
    <row r="376" spans="1:18" hidden="1" x14ac:dyDescent="0.25">
      <c r="A376">
        <v>2360</v>
      </c>
      <c r="B376" t="s">
        <v>117</v>
      </c>
      <c r="C376" t="s">
        <v>237</v>
      </c>
      <c r="D376" t="s">
        <v>278</v>
      </c>
      <c r="E376" t="s">
        <v>279</v>
      </c>
      <c r="F376">
        <v>13.2</v>
      </c>
      <c r="G376">
        <v>1</v>
      </c>
      <c r="H376">
        <v>0</v>
      </c>
      <c r="I376" s="12">
        <f>+F376/G376</f>
        <v>13.2</v>
      </c>
      <c r="J376">
        <v>13.3</v>
      </c>
      <c r="K376">
        <v>2</v>
      </c>
      <c r="L376">
        <v>-0.8</v>
      </c>
      <c r="P376" t="s">
        <v>278</v>
      </c>
      <c r="Q376" s="11">
        <f>+AVERAGEIFS(I:I,D:D,P376)</f>
        <v>13.3</v>
      </c>
      <c r="R376" s="13">
        <f>+I376/Q376-1</f>
        <v>-7.5187969924812581E-3</v>
      </c>
    </row>
    <row r="377" spans="1:18" hidden="1" x14ac:dyDescent="0.25">
      <c r="A377">
        <v>2316</v>
      </c>
      <c r="B377" t="s">
        <v>212</v>
      </c>
      <c r="C377" t="s">
        <v>237</v>
      </c>
      <c r="D377" t="s">
        <v>280</v>
      </c>
      <c r="E377" t="s">
        <v>281</v>
      </c>
      <c r="F377">
        <v>42.2</v>
      </c>
      <c r="G377">
        <v>5</v>
      </c>
      <c r="H377">
        <v>0</v>
      </c>
      <c r="I377" s="12">
        <f>+F377/G377</f>
        <v>8.4400000000000013</v>
      </c>
      <c r="J377">
        <v>8.4499999999999993</v>
      </c>
      <c r="K377">
        <v>2</v>
      </c>
      <c r="L377">
        <v>-0.1</v>
      </c>
      <c r="P377" t="s">
        <v>280</v>
      </c>
      <c r="Q377" s="11">
        <f>+AVERAGEIFS(I:I,D:D,P377)</f>
        <v>8.4533333333333331</v>
      </c>
      <c r="R377" s="13">
        <f>+I377/Q377-1</f>
        <v>-1.577287066245936E-3</v>
      </c>
    </row>
    <row r="378" spans="1:18" hidden="1" x14ac:dyDescent="0.25">
      <c r="A378">
        <v>2326</v>
      </c>
      <c r="B378" t="s">
        <v>18</v>
      </c>
      <c r="C378" t="s">
        <v>237</v>
      </c>
      <c r="D378" t="s">
        <v>280</v>
      </c>
      <c r="E378" t="s">
        <v>281</v>
      </c>
      <c r="F378">
        <v>25.4</v>
      </c>
      <c r="G378">
        <v>3</v>
      </c>
      <c r="H378">
        <v>0</v>
      </c>
      <c r="I378" s="12">
        <f>+F378/G378</f>
        <v>8.4666666666666668</v>
      </c>
      <c r="J378">
        <v>8.4499999999999993</v>
      </c>
      <c r="K378">
        <v>2</v>
      </c>
      <c r="L378">
        <v>0.2</v>
      </c>
      <c r="P378" t="s">
        <v>280</v>
      </c>
      <c r="Q378" s="11">
        <f>+AVERAGEIFS(I:I,D:D,P378)</f>
        <v>8.4533333333333331</v>
      </c>
      <c r="R378" s="13">
        <f>+I378/Q378-1</f>
        <v>1.577287066246047E-3</v>
      </c>
    </row>
    <row r="379" spans="1:18" hidden="1" x14ac:dyDescent="0.25">
      <c r="A379">
        <v>2315</v>
      </c>
      <c r="B379" t="s">
        <v>212</v>
      </c>
      <c r="C379" t="s">
        <v>237</v>
      </c>
      <c r="D379" t="s">
        <v>282</v>
      </c>
      <c r="E379" t="s">
        <v>283</v>
      </c>
      <c r="F379">
        <v>13.8</v>
      </c>
      <c r="G379">
        <v>1</v>
      </c>
      <c r="H379">
        <v>0</v>
      </c>
      <c r="I379" s="12">
        <f>+F379/G379</f>
        <v>13.8</v>
      </c>
      <c r="J379">
        <v>14.69</v>
      </c>
      <c r="K379">
        <v>5</v>
      </c>
      <c r="L379">
        <v>-6.1</v>
      </c>
      <c r="P379" t="s">
        <v>282</v>
      </c>
      <c r="Q379" s="11">
        <f>+AVERAGEIFS(I:I,D:D,P379)</f>
        <v>14.533333333333335</v>
      </c>
      <c r="R379" s="13">
        <f>+I379/Q379-1</f>
        <v>-5.0458715596330306E-2</v>
      </c>
    </row>
    <row r="380" spans="1:18" hidden="1" x14ac:dyDescent="0.25">
      <c r="A380">
        <v>2419</v>
      </c>
      <c r="B380" t="s">
        <v>23</v>
      </c>
      <c r="C380" t="s">
        <v>237</v>
      </c>
      <c r="D380" t="s">
        <v>282</v>
      </c>
      <c r="E380" t="s">
        <v>283</v>
      </c>
      <c r="F380">
        <v>45.6</v>
      </c>
      <c r="G380">
        <v>3</v>
      </c>
      <c r="H380">
        <v>0</v>
      </c>
      <c r="I380" s="12">
        <f>+F380/G380</f>
        <v>15.200000000000001</v>
      </c>
      <c r="J380">
        <v>14.69</v>
      </c>
      <c r="K380">
        <v>5</v>
      </c>
      <c r="L380">
        <v>3.5</v>
      </c>
      <c r="P380" t="s">
        <v>282</v>
      </c>
      <c r="Q380" s="11">
        <f>+AVERAGEIFS(I:I,D:D,P380)</f>
        <v>14.533333333333335</v>
      </c>
      <c r="R380" s="13">
        <f>+I380/Q380-1</f>
        <v>4.587155963302747E-2</v>
      </c>
    </row>
    <row r="381" spans="1:18" hidden="1" x14ac:dyDescent="0.25">
      <c r="A381">
        <v>2325</v>
      </c>
      <c r="B381" t="s">
        <v>18</v>
      </c>
      <c r="C381" t="s">
        <v>237</v>
      </c>
      <c r="D381" t="s">
        <v>282</v>
      </c>
      <c r="E381" t="s">
        <v>283</v>
      </c>
      <c r="F381">
        <v>28</v>
      </c>
      <c r="G381">
        <v>2</v>
      </c>
      <c r="H381">
        <v>0</v>
      </c>
      <c r="I381" s="12">
        <f>+F381/G381</f>
        <v>14</v>
      </c>
      <c r="J381">
        <v>14.69</v>
      </c>
      <c r="K381">
        <v>5</v>
      </c>
      <c r="L381">
        <v>-4.7</v>
      </c>
      <c r="P381" t="s">
        <v>282</v>
      </c>
      <c r="Q381" s="11">
        <f>+AVERAGEIFS(I:I,D:D,P381)</f>
        <v>14.533333333333335</v>
      </c>
      <c r="R381" s="13">
        <f>+I381/Q381-1</f>
        <v>-3.6697247706422131E-2</v>
      </c>
    </row>
    <row r="382" spans="1:18" hidden="1" x14ac:dyDescent="0.25">
      <c r="A382">
        <v>2384</v>
      </c>
      <c r="B382" t="s">
        <v>240</v>
      </c>
      <c r="C382" t="s">
        <v>237</v>
      </c>
      <c r="D382" t="s">
        <v>282</v>
      </c>
      <c r="E382" t="s">
        <v>283</v>
      </c>
      <c r="F382">
        <v>44.6</v>
      </c>
      <c r="G382">
        <v>3</v>
      </c>
      <c r="H382">
        <v>0</v>
      </c>
      <c r="I382" s="12">
        <f>+F382/G382</f>
        <v>14.866666666666667</v>
      </c>
      <c r="J382">
        <v>14.69</v>
      </c>
      <c r="K382">
        <v>5</v>
      </c>
      <c r="L382">
        <v>1.2</v>
      </c>
      <c r="P382" t="s">
        <v>282</v>
      </c>
      <c r="Q382" s="11">
        <f>+AVERAGEIFS(I:I,D:D,P382)</f>
        <v>14.533333333333335</v>
      </c>
      <c r="R382" s="13">
        <f>+I382/Q382-1</f>
        <v>2.2935779816513735E-2</v>
      </c>
    </row>
    <row r="383" spans="1:18" hidden="1" x14ac:dyDescent="0.25">
      <c r="A383">
        <v>2361</v>
      </c>
      <c r="B383" t="s">
        <v>117</v>
      </c>
      <c r="C383" t="s">
        <v>237</v>
      </c>
      <c r="D383" t="s">
        <v>282</v>
      </c>
      <c r="E383" t="s">
        <v>283</v>
      </c>
      <c r="F383">
        <v>29.6</v>
      </c>
      <c r="G383">
        <v>2</v>
      </c>
      <c r="H383">
        <v>0</v>
      </c>
      <c r="I383" s="12">
        <f>+F383/G383</f>
        <v>14.8</v>
      </c>
      <c r="J383">
        <v>14.69</v>
      </c>
      <c r="K383">
        <v>5</v>
      </c>
      <c r="L383">
        <v>0.7</v>
      </c>
      <c r="P383" t="s">
        <v>282</v>
      </c>
      <c r="Q383" s="11">
        <f>+AVERAGEIFS(I:I,D:D,P383)</f>
        <v>14.533333333333335</v>
      </c>
      <c r="R383" s="13">
        <f>+I383/Q383-1</f>
        <v>1.8348623853210899E-2</v>
      </c>
    </row>
    <row r="384" spans="1:18" hidden="1" x14ac:dyDescent="0.25">
      <c r="A384">
        <v>2415</v>
      </c>
      <c r="B384" t="s">
        <v>23</v>
      </c>
      <c r="C384" t="s">
        <v>237</v>
      </c>
      <c r="D384" t="s">
        <v>284</v>
      </c>
      <c r="E384" t="s">
        <v>285</v>
      </c>
      <c r="F384">
        <v>30.4</v>
      </c>
      <c r="G384">
        <v>2</v>
      </c>
      <c r="H384">
        <v>0</v>
      </c>
      <c r="I384" s="12">
        <f>+F384/G384</f>
        <v>15.2</v>
      </c>
      <c r="J384">
        <v>14.55</v>
      </c>
      <c r="K384">
        <v>2</v>
      </c>
      <c r="L384">
        <v>4.5</v>
      </c>
      <c r="P384" t="s">
        <v>284</v>
      </c>
      <c r="Q384" s="11">
        <f>+AVERAGEIFS(I:I,D:D,P384)</f>
        <v>14.55</v>
      </c>
      <c r="R384" s="13">
        <f>+I384/Q384-1</f>
        <v>4.4673539518900185E-2</v>
      </c>
    </row>
    <row r="385" spans="1:18" hidden="1" x14ac:dyDescent="0.25">
      <c r="A385">
        <v>2392</v>
      </c>
      <c r="B385" t="s">
        <v>219</v>
      </c>
      <c r="C385" t="s">
        <v>237</v>
      </c>
      <c r="D385" t="s">
        <v>284</v>
      </c>
      <c r="E385" t="s">
        <v>285</v>
      </c>
      <c r="F385">
        <v>27.8</v>
      </c>
      <c r="G385">
        <v>2</v>
      </c>
      <c r="H385">
        <v>0</v>
      </c>
      <c r="I385" s="12">
        <f>+F385/G385</f>
        <v>13.9</v>
      </c>
      <c r="J385">
        <v>14.55</v>
      </c>
      <c r="K385">
        <v>2</v>
      </c>
      <c r="L385">
        <v>-4.5</v>
      </c>
      <c r="P385" t="s">
        <v>284</v>
      </c>
      <c r="Q385" s="11">
        <f>+AVERAGEIFS(I:I,D:D,P385)</f>
        <v>14.55</v>
      </c>
      <c r="R385" s="13">
        <f>+I385/Q385-1</f>
        <v>-4.4673539518900407E-2</v>
      </c>
    </row>
    <row r="386" spans="1:18" hidden="1" x14ac:dyDescent="0.25">
      <c r="A386">
        <v>2363</v>
      </c>
      <c r="B386" t="s">
        <v>117</v>
      </c>
      <c r="C386" t="s">
        <v>237</v>
      </c>
      <c r="D386" t="s">
        <v>286</v>
      </c>
      <c r="E386" t="s">
        <v>287</v>
      </c>
      <c r="F386">
        <v>4.8</v>
      </c>
      <c r="G386">
        <v>1</v>
      </c>
      <c r="H386">
        <v>0</v>
      </c>
      <c r="I386" s="12">
        <f>+F386/G386</f>
        <v>4.8</v>
      </c>
      <c r="J386">
        <v>4.8</v>
      </c>
      <c r="K386">
        <v>1</v>
      </c>
      <c r="L386">
        <v>0</v>
      </c>
      <c r="P386" t="s">
        <v>286</v>
      </c>
      <c r="Q386" s="11">
        <f>+AVERAGEIFS(I:I,D:D,P386)</f>
        <v>4.8</v>
      </c>
      <c r="R386" s="13">
        <f>+I386/Q386-1</f>
        <v>0</v>
      </c>
    </row>
    <row r="387" spans="1:18" hidden="1" x14ac:dyDescent="0.25">
      <c r="A387">
        <v>2332</v>
      </c>
      <c r="B387" t="s">
        <v>220</v>
      </c>
      <c r="C387" t="s">
        <v>237</v>
      </c>
      <c r="D387" t="s">
        <v>288</v>
      </c>
      <c r="E387" t="s">
        <v>289</v>
      </c>
      <c r="F387">
        <v>16.8</v>
      </c>
      <c r="G387">
        <v>1</v>
      </c>
      <c r="H387">
        <v>0</v>
      </c>
      <c r="I387" s="12">
        <f>+F387/G387</f>
        <v>16.8</v>
      </c>
      <c r="J387">
        <v>16.8</v>
      </c>
      <c r="K387">
        <v>1</v>
      </c>
      <c r="L387">
        <v>0</v>
      </c>
      <c r="P387" t="s">
        <v>288</v>
      </c>
      <c r="Q387" s="11">
        <f>+AVERAGEIFS(I:I,D:D,P387)</f>
        <v>16.8</v>
      </c>
      <c r="R387" s="13">
        <f>+I387/Q387-1</f>
        <v>0</v>
      </c>
    </row>
    <row r="388" spans="1:18" hidden="1" x14ac:dyDescent="0.25">
      <c r="A388">
        <v>2376</v>
      </c>
      <c r="B388" t="s">
        <v>240</v>
      </c>
      <c r="C388" t="s">
        <v>237</v>
      </c>
      <c r="D388" t="s">
        <v>290</v>
      </c>
      <c r="E388" t="s">
        <v>291</v>
      </c>
      <c r="F388">
        <v>33.200000000000003</v>
      </c>
      <c r="G388">
        <v>2</v>
      </c>
      <c r="H388">
        <v>0</v>
      </c>
      <c r="I388" s="12">
        <f>+F388/G388</f>
        <v>16.600000000000001</v>
      </c>
      <c r="J388">
        <v>16.600000000000001</v>
      </c>
      <c r="K388">
        <v>1</v>
      </c>
      <c r="L388">
        <v>0</v>
      </c>
      <c r="P388" t="s">
        <v>290</v>
      </c>
      <c r="Q388" s="11">
        <f>+AVERAGEIFS(I:I,D:D,P388)</f>
        <v>16.600000000000001</v>
      </c>
      <c r="R388" s="13">
        <f>+I388/Q388-1</f>
        <v>0</v>
      </c>
    </row>
    <row r="389" spans="1:18" hidden="1" x14ac:dyDescent="0.25">
      <c r="A389">
        <v>2389</v>
      </c>
      <c r="B389" t="s">
        <v>204</v>
      </c>
      <c r="C389" t="s">
        <v>237</v>
      </c>
      <c r="D389" t="s">
        <v>292</v>
      </c>
      <c r="E389" t="s">
        <v>293</v>
      </c>
      <c r="F389">
        <v>1.1000000000000001</v>
      </c>
      <c r="G389">
        <v>1</v>
      </c>
      <c r="H389">
        <v>0</v>
      </c>
      <c r="I389" s="12">
        <f>+F389/G389</f>
        <v>1.1000000000000001</v>
      </c>
      <c r="J389">
        <v>1.1000000000000001</v>
      </c>
      <c r="K389">
        <v>1</v>
      </c>
      <c r="L389">
        <v>0</v>
      </c>
      <c r="P389" t="s">
        <v>292</v>
      </c>
      <c r="Q389" s="11">
        <f>+AVERAGEIFS(I:I,D:D,P389)</f>
        <v>1.1000000000000001</v>
      </c>
      <c r="R389" s="13">
        <f>+I389/Q389-1</f>
        <v>0</v>
      </c>
    </row>
    <row r="390" spans="1:18" hidden="1" x14ac:dyDescent="0.25">
      <c r="A390">
        <v>2408</v>
      </c>
      <c r="B390" t="s">
        <v>213</v>
      </c>
      <c r="C390" t="s">
        <v>237</v>
      </c>
      <c r="D390" t="s">
        <v>294</v>
      </c>
      <c r="E390" t="s">
        <v>295</v>
      </c>
      <c r="F390">
        <v>2</v>
      </c>
      <c r="G390">
        <v>1</v>
      </c>
      <c r="H390">
        <v>0</v>
      </c>
      <c r="I390" s="12">
        <f>+F390/G390</f>
        <v>2</v>
      </c>
      <c r="J390">
        <v>2</v>
      </c>
      <c r="K390">
        <v>3</v>
      </c>
      <c r="L390">
        <v>0</v>
      </c>
      <c r="P390" t="s">
        <v>294</v>
      </c>
      <c r="Q390" s="11">
        <f>+AVERAGEIFS(I:I,D:D,P390)</f>
        <v>2</v>
      </c>
      <c r="R390" s="13">
        <f>+I390/Q390-1</f>
        <v>0</v>
      </c>
    </row>
    <row r="391" spans="1:18" hidden="1" x14ac:dyDescent="0.25">
      <c r="A391">
        <v>2396</v>
      </c>
      <c r="B391" t="s">
        <v>216</v>
      </c>
      <c r="C391" t="s">
        <v>237</v>
      </c>
      <c r="D391" t="s">
        <v>294</v>
      </c>
      <c r="E391" t="s">
        <v>295</v>
      </c>
      <c r="F391">
        <v>2</v>
      </c>
      <c r="G391">
        <v>1</v>
      </c>
      <c r="H391">
        <v>0</v>
      </c>
      <c r="I391" s="12">
        <f>+F391/G391</f>
        <v>2</v>
      </c>
      <c r="J391">
        <v>2</v>
      </c>
      <c r="K391">
        <v>3</v>
      </c>
      <c r="L391">
        <v>0</v>
      </c>
      <c r="P391" t="s">
        <v>294</v>
      </c>
      <c r="Q391" s="11">
        <f>+AVERAGEIFS(I:I,D:D,P391)</f>
        <v>2</v>
      </c>
      <c r="R391" s="13">
        <f>+I391/Q391-1</f>
        <v>0</v>
      </c>
    </row>
    <row r="392" spans="1:18" hidden="1" x14ac:dyDescent="0.25">
      <c r="A392">
        <v>2354</v>
      </c>
      <c r="B392" t="s">
        <v>117</v>
      </c>
      <c r="C392" t="s">
        <v>237</v>
      </c>
      <c r="D392" t="s">
        <v>294</v>
      </c>
      <c r="E392" t="s">
        <v>295</v>
      </c>
      <c r="F392">
        <v>2</v>
      </c>
      <c r="G392">
        <v>1</v>
      </c>
      <c r="H392">
        <v>0</v>
      </c>
      <c r="I392" s="12">
        <f>+F392/G392</f>
        <v>2</v>
      </c>
      <c r="J392">
        <v>2</v>
      </c>
      <c r="K392">
        <v>3</v>
      </c>
      <c r="L392">
        <v>0</v>
      </c>
      <c r="P392" t="s">
        <v>294</v>
      </c>
      <c r="Q392" s="11">
        <f>+AVERAGEIFS(I:I,D:D,P392)</f>
        <v>2</v>
      </c>
      <c r="R392" s="13">
        <f>+I392/Q392-1</f>
        <v>0</v>
      </c>
    </row>
    <row r="393" spans="1:18" hidden="1" x14ac:dyDescent="0.25">
      <c r="A393">
        <v>2312</v>
      </c>
      <c r="B393" t="s">
        <v>212</v>
      </c>
      <c r="C393" t="s">
        <v>237</v>
      </c>
      <c r="D393" t="s">
        <v>296</v>
      </c>
      <c r="E393" t="s">
        <v>297</v>
      </c>
      <c r="F393">
        <v>4</v>
      </c>
      <c r="G393">
        <v>2</v>
      </c>
      <c r="H393">
        <v>0</v>
      </c>
      <c r="I393" s="12">
        <f>+F393/G393</f>
        <v>2</v>
      </c>
      <c r="J393">
        <v>2.02</v>
      </c>
      <c r="K393">
        <v>6</v>
      </c>
      <c r="L393">
        <v>-0.8</v>
      </c>
      <c r="P393" t="s">
        <v>296</v>
      </c>
      <c r="Q393" s="11">
        <f>+AVERAGEIFS(I:I,D:D,P393)</f>
        <v>2.0166666666666666</v>
      </c>
      <c r="R393" s="13">
        <f>+I393/Q393-1</f>
        <v>-8.2644628099173278E-3</v>
      </c>
    </row>
    <row r="394" spans="1:18" hidden="1" x14ac:dyDescent="0.25">
      <c r="A394">
        <v>2411</v>
      </c>
      <c r="B394" t="s">
        <v>213</v>
      </c>
      <c r="C394" t="s">
        <v>237</v>
      </c>
      <c r="D394" t="s">
        <v>296</v>
      </c>
      <c r="E394" t="s">
        <v>297</v>
      </c>
      <c r="F394">
        <v>5.8</v>
      </c>
      <c r="G394">
        <v>3</v>
      </c>
      <c r="H394">
        <v>0</v>
      </c>
      <c r="I394" s="12">
        <f>+F394/G394</f>
        <v>1.9333333333333333</v>
      </c>
      <c r="J394">
        <v>2.02</v>
      </c>
      <c r="K394">
        <v>6</v>
      </c>
      <c r="L394">
        <v>-4.0999999999999996</v>
      </c>
      <c r="P394" t="s">
        <v>296</v>
      </c>
      <c r="Q394" s="11">
        <f>+AVERAGEIFS(I:I,D:D,P394)</f>
        <v>2.0166666666666666</v>
      </c>
      <c r="R394" s="13">
        <f>+I394/Q394-1</f>
        <v>-4.132231404958675E-2</v>
      </c>
    </row>
    <row r="395" spans="1:18" hidden="1" x14ac:dyDescent="0.25">
      <c r="A395">
        <v>2330</v>
      </c>
      <c r="B395" t="s">
        <v>18</v>
      </c>
      <c r="C395" t="s">
        <v>237</v>
      </c>
      <c r="D395" t="s">
        <v>296</v>
      </c>
      <c r="E395" t="s">
        <v>297</v>
      </c>
      <c r="F395">
        <v>2</v>
      </c>
      <c r="G395">
        <v>1</v>
      </c>
      <c r="H395">
        <v>0</v>
      </c>
      <c r="I395" s="12">
        <f>+F395/G395</f>
        <v>2</v>
      </c>
      <c r="J395">
        <v>2.02</v>
      </c>
      <c r="K395">
        <v>6</v>
      </c>
      <c r="L395">
        <v>-0.8</v>
      </c>
      <c r="P395" t="s">
        <v>296</v>
      </c>
      <c r="Q395" s="11">
        <f>+AVERAGEIFS(I:I,D:D,P395)</f>
        <v>2.0166666666666666</v>
      </c>
      <c r="R395" s="13">
        <f>+I395/Q395-1</f>
        <v>-8.2644628099173278E-3</v>
      </c>
    </row>
    <row r="396" spans="1:18" hidden="1" x14ac:dyDescent="0.25">
      <c r="A396">
        <v>2341</v>
      </c>
      <c r="B396" t="s">
        <v>298</v>
      </c>
      <c r="C396" t="s">
        <v>237</v>
      </c>
      <c r="D396" t="s">
        <v>296</v>
      </c>
      <c r="E396" t="s">
        <v>297</v>
      </c>
      <c r="F396">
        <v>2</v>
      </c>
      <c r="G396">
        <v>1</v>
      </c>
      <c r="H396">
        <v>0</v>
      </c>
      <c r="I396" s="12">
        <f>+F396/G396</f>
        <v>2</v>
      </c>
      <c r="J396">
        <v>2.02</v>
      </c>
      <c r="K396">
        <v>6</v>
      </c>
      <c r="L396">
        <v>-0.8</v>
      </c>
      <c r="P396" t="s">
        <v>296</v>
      </c>
      <c r="Q396" s="11">
        <f>+AVERAGEIFS(I:I,D:D,P396)</f>
        <v>2.0166666666666666</v>
      </c>
      <c r="R396" s="13">
        <f>+I396/Q396-1</f>
        <v>-8.2644628099173278E-3</v>
      </c>
    </row>
    <row r="397" spans="1:18" hidden="1" x14ac:dyDescent="0.25">
      <c r="A397">
        <v>2381</v>
      </c>
      <c r="B397" t="s">
        <v>240</v>
      </c>
      <c r="C397" t="s">
        <v>237</v>
      </c>
      <c r="D397" t="s">
        <v>296</v>
      </c>
      <c r="E397" t="s">
        <v>297</v>
      </c>
      <c r="F397">
        <v>6.2</v>
      </c>
      <c r="G397">
        <v>3</v>
      </c>
      <c r="H397">
        <v>0</v>
      </c>
      <c r="I397" s="12">
        <f>+F397/G397</f>
        <v>2.0666666666666669</v>
      </c>
      <c r="J397">
        <v>2.02</v>
      </c>
      <c r="K397">
        <v>6</v>
      </c>
      <c r="L397">
        <v>2.5</v>
      </c>
      <c r="P397" t="s">
        <v>296</v>
      </c>
      <c r="Q397" s="11">
        <f>+AVERAGEIFS(I:I,D:D,P397)</f>
        <v>2.0166666666666666</v>
      </c>
      <c r="R397" s="13">
        <f>+I397/Q397-1</f>
        <v>2.4793388429752206E-2</v>
      </c>
    </row>
    <row r="398" spans="1:18" hidden="1" x14ac:dyDescent="0.25">
      <c r="A398">
        <v>2357</v>
      </c>
      <c r="B398" t="s">
        <v>117</v>
      </c>
      <c r="C398" t="s">
        <v>237</v>
      </c>
      <c r="D398" t="s">
        <v>296</v>
      </c>
      <c r="E398" t="s">
        <v>297</v>
      </c>
      <c r="F398">
        <v>4.2</v>
      </c>
      <c r="G398">
        <v>2</v>
      </c>
      <c r="H398">
        <v>0</v>
      </c>
      <c r="I398" s="12">
        <f>+F398/G398</f>
        <v>2.1</v>
      </c>
      <c r="J398">
        <v>2.02</v>
      </c>
      <c r="K398">
        <v>6</v>
      </c>
      <c r="L398">
        <v>4.0999999999999996</v>
      </c>
      <c r="P398" t="s">
        <v>296</v>
      </c>
      <c r="Q398" s="11">
        <f>+AVERAGEIFS(I:I,D:D,P398)</f>
        <v>2.0166666666666666</v>
      </c>
      <c r="R398" s="13">
        <f>+I398/Q398-1</f>
        <v>4.1322314049586861E-2</v>
      </c>
    </row>
    <row r="399" spans="1:18" hidden="1" x14ac:dyDescent="0.25">
      <c r="A399" s="3">
        <v>2107</v>
      </c>
      <c r="B399" s="3" t="s">
        <v>16</v>
      </c>
      <c r="C399" s="3" t="s">
        <v>324</v>
      </c>
      <c r="D399" s="3" t="s">
        <v>345</v>
      </c>
      <c r="E399" s="3" t="s">
        <v>346</v>
      </c>
      <c r="F399" s="3">
        <v>122</v>
      </c>
      <c r="G399" s="3">
        <v>7</v>
      </c>
      <c r="H399" s="3">
        <v>0</v>
      </c>
      <c r="I399" s="15">
        <f>+F399/G399</f>
        <v>17.428571428571427</v>
      </c>
      <c r="J399" s="3">
        <v>14.19</v>
      </c>
      <c r="K399" s="3">
        <v>15</v>
      </c>
      <c r="L399" s="3">
        <v>22.9</v>
      </c>
      <c r="P399" s="3" t="s">
        <v>345</v>
      </c>
      <c r="Q399" s="11">
        <f>+AVERAGEIFS(I:I,D:D,P399)</f>
        <v>14.267976190476192</v>
      </c>
      <c r="R399" s="13">
        <f>+I399/Q399-1</f>
        <v>0.22151671658976535</v>
      </c>
    </row>
    <row r="400" spans="1:18" hidden="1" x14ac:dyDescent="0.25">
      <c r="A400">
        <v>2161</v>
      </c>
      <c r="B400" t="s">
        <v>121</v>
      </c>
      <c r="C400" t="s">
        <v>324</v>
      </c>
      <c r="D400" t="s">
        <v>345</v>
      </c>
      <c r="E400" t="s">
        <v>346</v>
      </c>
      <c r="F400">
        <v>63.6</v>
      </c>
      <c r="G400">
        <v>4</v>
      </c>
      <c r="H400">
        <v>0</v>
      </c>
      <c r="I400" s="15">
        <f>+F400/G400</f>
        <v>15.9</v>
      </c>
      <c r="J400">
        <v>14.19</v>
      </c>
      <c r="K400">
        <v>15</v>
      </c>
      <c r="L400">
        <v>12.1</v>
      </c>
      <c r="P400" t="s">
        <v>345</v>
      </c>
      <c r="Q400" s="11">
        <f>+AVERAGEIFS(I:I,D:D,P400)</f>
        <v>14.267976190476192</v>
      </c>
      <c r="R400" s="13">
        <f>+I400/Q400-1</f>
        <v>0.11438369308558105</v>
      </c>
    </row>
    <row r="401" spans="1:18" hidden="1" x14ac:dyDescent="0.25">
      <c r="A401" s="2">
        <v>2116</v>
      </c>
      <c r="B401" s="2" t="s">
        <v>206</v>
      </c>
      <c r="C401" s="2" t="s">
        <v>324</v>
      </c>
      <c r="D401" s="2" t="s">
        <v>345</v>
      </c>
      <c r="E401" s="2" t="s">
        <v>346</v>
      </c>
      <c r="F401" s="2">
        <v>124.9</v>
      </c>
      <c r="G401" s="2">
        <v>7</v>
      </c>
      <c r="H401" s="2">
        <v>0</v>
      </c>
      <c r="I401" s="15">
        <f>+F401/G401</f>
        <v>17.842857142857145</v>
      </c>
      <c r="J401" s="2">
        <v>14.19</v>
      </c>
      <c r="K401" s="2">
        <v>15</v>
      </c>
      <c r="L401" s="2">
        <v>25.8</v>
      </c>
      <c r="P401" s="2" t="s">
        <v>345</v>
      </c>
      <c r="Q401" s="11">
        <f>+AVERAGEIFS(I:I,D:D,P401)</f>
        <v>14.267976190476192</v>
      </c>
      <c r="R401" s="13">
        <f>+I401/Q401-1</f>
        <v>0.25055276968903062</v>
      </c>
    </row>
    <row r="402" spans="1:18" hidden="1" x14ac:dyDescent="0.25">
      <c r="A402">
        <v>2269</v>
      </c>
      <c r="B402" t="s">
        <v>217</v>
      </c>
      <c r="C402" t="s">
        <v>324</v>
      </c>
      <c r="D402" t="s">
        <v>345</v>
      </c>
      <c r="E402" t="s">
        <v>346</v>
      </c>
      <c r="F402">
        <v>16.2</v>
      </c>
      <c r="G402">
        <v>1</v>
      </c>
      <c r="H402">
        <v>0</v>
      </c>
      <c r="I402" s="15">
        <f>+F402/G402</f>
        <v>16.2</v>
      </c>
      <c r="J402">
        <v>14.19</v>
      </c>
      <c r="K402">
        <v>15</v>
      </c>
      <c r="L402">
        <v>14.2</v>
      </c>
      <c r="P402" t="s">
        <v>345</v>
      </c>
      <c r="Q402" s="11">
        <f>+AVERAGEIFS(I:I,D:D,P402)</f>
        <v>14.267976190476192</v>
      </c>
      <c r="R402" s="13">
        <f>+I402/Q402-1</f>
        <v>0.13540980050229012</v>
      </c>
    </row>
    <row r="403" spans="1:18" hidden="1" x14ac:dyDescent="0.25">
      <c r="A403">
        <v>2219</v>
      </c>
      <c r="B403" t="s">
        <v>220</v>
      </c>
      <c r="C403" t="s">
        <v>324</v>
      </c>
      <c r="D403" t="s">
        <v>345</v>
      </c>
      <c r="E403" t="s">
        <v>346</v>
      </c>
      <c r="F403">
        <v>87.9</v>
      </c>
      <c r="G403">
        <v>7</v>
      </c>
      <c r="H403">
        <v>0</v>
      </c>
      <c r="I403" s="15">
        <f>+F403/G403</f>
        <v>12.557142857142859</v>
      </c>
      <c r="J403">
        <v>14.19</v>
      </c>
      <c r="K403">
        <v>15</v>
      </c>
      <c r="L403">
        <v>-11.5</v>
      </c>
      <c r="P403" t="s">
        <v>345</v>
      </c>
      <c r="Q403" s="11">
        <f>+AVERAGEIFS(I:I,D:D,P403)</f>
        <v>14.267976190476192</v>
      </c>
      <c r="R403" s="13">
        <f>+I403/Q403-1</f>
        <v>-0.11990721812917704</v>
      </c>
    </row>
    <row r="404" spans="1:18" hidden="1" x14ac:dyDescent="0.25">
      <c r="A404" s="6">
        <v>2171</v>
      </c>
      <c r="B404" s="6" t="s">
        <v>222</v>
      </c>
      <c r="C404" s="6" t="s">
        <v>324</v>
      </c>
      <c r="D404" s="6" t="s">
        <v>345</v>
      </c>
      <c r="E404" s="6" t="s">
        <v>346</v>
      </c>
      <c r="F404" s="6">
        <v>56.9</v>
      </c>
      <c r="G404" s="6">
        <v>5</v>
      </c>
      <c r="H404" s="6">
        <v>0</v>
      </c>
      <c r="I404" s="15">
        <f>+F404/G404</f>
        <v>11.379999999999999</v>
      </c>
      <c r="J404" s="3">
        <v>14.19</v>
      </c>
      <c r="K404" s="3">
        <v>15</v>
      </c>
      <c r="L404" s="3">
        <v>-19.8</v>
      </c>
      <c r="P404" s="6" t="s">
        <v>345</v>
      </c>
      <c r="Q404" s="11">
        <f>+AVERAGEIFS(I:I,D:D,P404)</f>
        <v>14.267976190476192</v>
      </c>
      <c r="R404" s="13">
        <f>+I404/Q404-1</f>
        <v>-0.20240965865950233</v>
      </c>
    </row>
    <row r="405" spans="1:18" hidden="1" x14ac:dyDescent="0.25">
      <c r="A405">
        <v>2240</v>
      </c>
      <c r="B405" t="s">
        <v>34</v>
      </c>
      <c r="C405" t="s">
        <v>324</v>
      </c>
      <c r="D405" t="s">
        <v>345</v>
      </c>
      <c r="E405" t="s">
        <v>346</v>
      </c>
      <c r="F405">
        <v>61.8</v>
      </c>
      <c r="G405">
        <v>5</v>
      </c>
      <c r="H405">
        <v>0</v>
      </c>
      <c r="I405" s="15">
        <f>+F405/G405</f>
        <v>12.36</v>
      </c>
      <c r="J405">
        <v>14.19</v>
      </c>
      <c r="K405">
        <v>15</v>
      </c>
      <c r="L405">
        <v>-12.9</v>
      </c>
      <c r="P405" t="s">
        <v>345</v>
      </c>
      <c r="Q405" s="11">
        <f>+AVERAGEIFS(I:I,D:D,P405)</f>
        <v>14.267976190476192</v>
      </c>
      <c r="R405" s="13">
        <f>+I405/Q405-1</f>
        <v>-0.13372437443158602</v>
      </c>
    </row>
    <row r="406" spans="1:18" hidden="1" x14ac:dyDescent="0.25">
      <c r="A406">
        <v>2248</v>
      </c>
      <c r="B406" t="s">
        <v>36</v>
      </c>
      <c r="C406" t="s">
        <v>324</v>
      </c>
      <c r="D406" t="s">
        <v>345</v>
      </c>
      <c r="E406" t="s">
        <v>346</v>
      </c>
      <c r="F406">
        <v>60.7</v>
      </c>
      <c r="G406">
        <v>5</v>
      </c>
      <c r="H406">
        <v>0</v>
      </c>
      <c r="I406" s="15">
        <f>+F406/G406</f>
        <v>12.14</v>
      </c>
      <c r="J406">
        <v>14.19</v>
      </c>
      <c r="K406">
        <v>15</v>
      </c>
      <c r="L406">
        <v>-14.4</v>
      </c>
      <c r="P406" t="s">
        <v>345</v>
      </c>
      <c r="Q406" s="11">
        <f>+AVERAGEIFS(I:I,D:D,P406)</f>
        <v>14.267976190476192</v>
      </c>
      <c r="R406" s="13">
        <f>+I406/Q406-1</f>
        <v>-0.14914351987050589</v>
      </c>
    </row>
    <row r="407" spans="1:18" hidden="1" x14ac:dyDescent="0.25">
      <c r="A407">
        <v>2311</v>
      </c>
      <c r="B407" t="s">
        <v>212</v>
      </c>
      <c r="C407" t="s">
        <v>237</v>
      </c>
      <c r="D407" t="s">
        <v>303</v>
      </c>
      <c r="E407" t="s">
        <v>304</v>
      </c>
      <c r="F407">
        <v>2</v>
      </c>
      <c r="G407">
        <v>1</v>
      </c>
      <c r="H407">
        <v>0</v>
      </c>
      <c r="I407" s="12">
        <f>+F407/G407</f>
        <v>2</v>
      </c>
      <c r="J407">
        <v>2.0299999999999998</v>
      </c>
      <c r="K407">
        <v>6</v>
      </c>
      <c r="L407">
        <v>-1.4</v>
      </c>
      <c r="P407" t="s">
        <v>303</v>
      </c>
      <c r="Q407" s="11">
        <f>+AVERAGEIFS(I:I,D:D,P407)</f>
        <v>2.0333333333333332</v>
      </c>
      <c r="R407" s="13">
        <f>+I407/Q407-1</f>
        <v>-1.6393442622950727E-2</v>
      </c>
    </row>
    <row r="408" spans="1:18" hidden="1" x14ac:dyDescent="0.25">
      <c r="A408">
        <v>2410</v>
      </c>
      <c r="B408" t="s">
        <v>213</v>
      </c>
      <c r="C408" t="s">
        <v>237</v>
      </c>
      <c r="D408" t="s">
        <v>303</v>
      </c>
      <c r="E408" t="s">
        <v>304</v>
      </c>
      <c r="F408">
        <v>2</v>
      </c>
      <c r="G408">
        <v>1</v>
      </c>
      <c r="H408">
        <v>0</v>
      </c>
      <c r="I408" s="12">
        <f>+F408/G408</f>
        <v>2</v>
      </c>
      <c r="J408">
        <v>2.0299999999999998</v>
      </c>
      <c r="K408">
        <v>6</v>
      </c>
      <c r="L408">
        <v>-1.4</v>
      </c>
      <c r="P408" t="s">
        <v>303</v>
      </c>
      <c r="Q408" s="11">
        <f>+AVERAGEIFS(I:I,D:D,P408)</f>
        <v>2.0333333333333332</v>
      </c>
      <c r="R408" s="13">
        <f>+I408/Q408-1</f>
        <v>-1.6393442622950727E-2</v>
      </c>
    </row>
    <row r="409" spans="1:18" hidden="1" x14ac:dyDescent="0.25">
      <c r="A409">
        <v>2334</v>
      </c>
      <c r="B409" t="s">
        <v>220</v>
      </c>
      <c r="C409" t="s">
        <v>237</v>
      </c>
      <c r="D409" t="s">
        <v>303</v>
      </c>
      <c r="E409" t="s">
        <v>304</v>
      </c>
      <c r="F409">
        <v>2.2000000000000002</v>
      </c>
      <c r="G409">
        <v>1</v>
      </c>
      <c r="H409">
        <v>0</v>
      </c>
      <c r="I409" s="12">
        <f>+F409/G409</f>
        <v>2.2000000000000002</v>
      </c>
      <c r="J409">
        <v>2.0299999999999998</v>
      </c>
      <c r="K409">
        <v>6</v>
      </c>
      <c r="L409">
        <v>8.5</v>
      </c>
      <c r="P409" t="s">
        <v>303</v>
      </c>
      <c r="Q409" s="11">
        <f>+AVERAGEIFS(I:I,D:D,P409)</f>
        <v>2.0333333333333332</v>
      </c>
      <c r="R409" s="13">
        <f>+I409/Q409-1</f>
        <v>8.1967213114754189E-2</v>
      </c>
    </row>
    <row r="410" spans="1:18" hidden="1" x14ac:dyDescent="0.25">
      <c r="A410">
        <v>2340</v>
      </c>
      <c r="B410" t="s">
        <v>298</v>
      </c>
      <c r="C410" t="s">
        <v>237</v>
      </c>
      <c r="D410" t="s">
        <v>303</v>
      </c>
      <c r="E410" t="s">
        <v>304</v>
      </c>
      <c r="F410">
        <v>2</v>
      </c>
      <c r="G410">
        <v>1</v>
      </c>
      <c r="H410">
        <v>0</v>
      </c>
      <c r="I410" s="12">
        <f>+F410/G410</f>
        <v>2</v>
      </c>
      <c r="J410">
        <v>2.0299999999999998</v>
      </c>
      <c r="K410">
        <v>6</v>
      </c>
      <c r="L410">
        <v>-1.4</v>
      </c>
      <c r="P410" t="s">
        <v>303</v>
      </c>
      <c r="Q410" s="11">
        <f>+AVERAGEIFS(I:I,D:D,P410)</f>
        <v>2.0333333333333332</v>
      </c>
      <c r="R410" s="13">
        <f>+I410/Q410-1</f>
        <v>-1.6393442622950727E-2</v>
      </c>
    </row>
    <row r="411" spans="1:18" hidden="1" x14ac:dyDescent="0.25">
      <c r="A411">
        <v>2380</v>
      </c>
      <c r="B411" t="s">
        <v>240</v>
      </c>
      <c r="C411" t="s">
        <v>237</v>
      </c>
      <c r="D411" t="s">
        <v>303</v>
      </c>
      <c r="E411" t="s">
        <v>304</v>
      </c>
      <c r="F411">
        <v>2</v>
      </c>
      <c r="G411">
        <v>1</v>
      </c>
      <c r="H411">
        <v>0</v>
      </c>
      <c r="I411" s="12">
        <f>+F411/G411</f>
        <v>2</v>
      </c>
      <c r="J411">
        <v>2.0299999999999998</v>
      </c>
      <c r="K411">
        <v>6</v>
      </c>
      <c r="L411">
        <v>-1.4</v>
      </c>
      <c r="P411" t="s">
        <v>303</v>
      </c>
      <c r="Q411" s="11">
        <f>+AVERAGEIFS(I:I,D:D,P411)</f>
        <v>2.0333333333333332</v>
      </c>
      <c r="R411" s="13">
        <f>+I411/Q411-1</f>
        <v>-1.6393442622950727E-2</v>
      </c>
    </row>
    <row r="412" spans="1:18" hidden="1" x14ac:dyDescent="0.25">
      <c r="A412">
        <v>2356</v>
      </c>
      <c r="B412" t="s">
        <v>117</v>
      </c>
      <c r="C412" t="s">
        <v>237</v>
      </c>
      <c r="D412" t="s">
        <v>303</v>
      </c>
      <c r="E412" t="s">
        <v>304</v>
      </c>
      <c r="F412">
        <v>4</v>
      </c>
      <c r="G412">
        <v>2</v>
      </c>
      <c r="H412">
        <v>0</v>
      </c>
      <c r="I412" s="12">
        <f>+F412/G412</f>
        <v>2</v>
      </c>
      <c r="J412">
        <v>2.0299999999999998</v>
      </c>
      <c r="K412">
        <v>6</v>
      </c>
      <c r="L412">
        <v>-1.4</v>
      </c>
      <c r="P412" t="s">
        <v>303</v>
      </c>
      <c r="Q412" s="11">
        <f>+AVERAGEIFS(I:I,D:D,P412)</f>
        <v>2.0333333333333332</v>
      </c>
      <c r="R412" s="13">
        <f>+I412/Q412-1</f>
        <v>-1.6393442622950727E-2</v>
      </c>
    </row>
    <row r="413" spans="1:18" hidden="1" x14ac:dyDescent="0.25">
      <c r="A413">
        <v>2397</v>
      </c>
      <c r="B413" t="s">
        <v>216</v>
      </c>
      <c r="C413" t="s">
        <v>237</v>
      </c>
      <c r="D413" t="s">
        <v>305</v>
      </c>
      <c r="E413" t="s">
        <v>306</v>
      </c>
      <c r="F413">
        <v>2.2000000000000002</v>
      </c>
      <c r="G413">
        <v>1</v>
      </c>
      <c r="H413">
        <v>0</v>
      </c>
      <c r="I413" s="12">
        <f>+F413/G413</f>
        <v>2.2000000000000002</v>
      </c>
      <c r="J413">
        <v>2</v>
      </c>
      <c r="K413">
        <v>2</v>
      </c>
      <c r="L413">
        <v>10</v>
      </c>
      <c r="P413" t="s">
        <v>305</v>
      </c>
      <c r="Q413" s="11">
        <f>+AVERAGEIFS(I:I,D:D,P413)</f>
        <v>2</v>
      </c>
      <c r="R413" s="13">
        <f>+I413/Q413-1</f>
        <v>0.10000000000000009</v>
      </c>
    </row>
    <row r="414" spans="1:18" hidden="1" x14ac:dyDescent="0.25">
      <c r="A414">
        <v>2355</v>
      </c>
      <c r="B414" t="s">
        <v>117</v>
      </c>
      <c r="C414" t="s">
        <v>237</v>
      </c>
      <c r="D414" t="s">
        <v>305</v>
      </c>
      <c r="E414" t="s">
        <v>306</v>
      </c>
      <c r="F414">
        <v>1.8</v>
      </c>
      <c r="G414">
        <v>1</v>
      </c>
      <c r="H414">
        <v>0</v>
      </c>
      <c r="I414" s="12">
        <f>+F414/G414</f>
        <v>1.8</v>
      </c>
      <c r="J414">
        <v>2</v>
      </c>
      <c r="K414">
        <v>2</v>
      </c>
      <c r="L414">
        <v>-10</v>
      </c>
      <c r="P414" t="s">
        <v>305</v>
      </c>
      <c r="Q414" s="11">
        <f>+AVERAGEIFS(I:I,D:D,P414)</f>
        <v>2</v>
      </c>
      <c r="R414" s="13">
        <f>+I414/Q414-1</f>
        <v>-9.9999999999999978E-2</v>
      </c>
    </row>
    <row r="415" spans="1:18" hidden="1" x14ac:dyDescent="0.25">
      <c r="A415">
        <v>2188</v>
      </c>
      <c r="B415" t="s">
        <v>20</v>
      </c>
      <c r="C415" t="s">
        <v>324</v>
      </c>
      <c r="D415" t="s">
        <v>343</v>
      </c>
      <c r="E415" t="s">
        <v>344</v>
      </c>
      <c r="F415">
        <v>75.900000000000006</v>
      </c>
      <c r="G415">
        <v>5</v>
      </c>
      <c r="H415">
        <v>0</v>
      </c>
      <c r="I415" s="15">
        <f>+F415/G415</f>
        <v>15.180000000000001</v>
      </c>
      <c r="J415">
        <v>13.62</v>
      </c>
      <c r="K415">
        <v>3</v>
      </c>
      <c r="L415">
        <v>11.5</v>
      </c>
      <c r="P415" t="s">
        <v>343</v>
      </c>
      <c r="Q415" s="11">
        <f>+AVERAGEIFS(I:I,D:D,P415)</f>
        <v>13.432222222222222</v>
      </c>
      <c r="R415" s="13">
        <f>+I415/Q415-1</f>
        <v>0.13011828935395831</v>
      </c>
    </row>
    <row r="416" spans="1:18" hidden="1" x14ac:dyDescent="0.25">
      <c r="A416">
        <v>2444</v>
      </c>
      <c r="B416" t="s">
        <v>20</v>
      </c>
      <c r="C416" t="s">
        <v>108</v>
      </c>
      <c r="D416" t="s">
        <v>109</v>
      </c>
      <c r="E416" t="s">
        <v>110</v>
      </c>
      <c r="F416">
        <v>4.3</v>
      </c>
      <c r="G416">
        <v>2</v>
      </c>
      <c r="H416">
        <v>0</v>
      </c>
      <c r="I416" s="15">
        <f>+F416/G416</f>
        <v>2.15</v>
      </c>
      <c r="J416">
        <v>1.89</v>
      </c>
      <c r="K416">
        <v>5</v>
      </c>
      <c r="L416">
        <v>13.7</v>
      </c>
      <c r="P416" t="s">
        <v>109</v>
      </c>
      <c r="Q416" s="11">
        <f>+AVERAGEIFS(I:I,D:D,P416)</f>
        <v>1.8566666666666667</v>
      </c>
      <c r="R416" s="13">
        <f>+I416/Q416-1</f>
        <v>0.15798922800718129</v>
      </c>
    </row>
    <row r="417" spans="1:18" hidden="1" x14ac:dyDescent="0.25">
      <c r="A417">
        <v>2309</v>
      </c>
      <c r="B417" t="s">
        <v>212</v>
      </c>
      <c r="C417" t="s">
        <v>237</v>
      </c>
      <c r="D417" t="s">
        <v>307</v>
      </c>
      <c r="E417" t="s">
        <v>308</v>
      </c>
      <c r="F417">
        <v>23.8</v>
      </c>
      <c r="G417">
        <v>1</v>
      </c>
      <c r="H417">
        <v>0</v>
      </c>
      <c r="I417" s="12">
        <f>+F417/G417</f>
        <v>23.8</v>
      </c>
      <c r="J417">
        <v>24</v>
      </c>
      <c r="K417">
        <v>6</v>
      </c>
      <c r="L417">
        <v>-0.8</v>
      </c>
      <c r="P417" t="s">
        <v>307</v>
      </c>
      <c r="Q417" s="11">
        <f>+AVERAGEIFS(I:I,D:D,P417)</f>
        <v>23.400000000000002</v>
      </c>
      <c r="R417" s="13">
        <f>+I417/Q417-1</f>
        <v>1.7094017094017033E-2</v>
      </c>
    </row>
    <row r="418" spans="1:18" hidden="1" x14ac:dyDescent="0.25">
      <c r="A418">
        <v>1845</v>
      </c>
      <c r="B418" t="s">
        <v>17</v>
      </c>
      <c r="C418" t="s">
        <v>108</v>
      </c>
      <c r="D418" t="s">
        <v>109</v>
      </c>
      <c r="E418" t="s">
        <v>110</v>
      </c>
      <c r="F418">
        <v>6.2</v>
      </c>
      <c r="G418">
        <v>3</v>
      </c>
      <c r="H418">
        <v>0</v>
      </c>
      <c r="I418" s="15">
        <f>+F418/G418</f>
        <v>2.0666666666666669</v>
      </c>
      <c r="J418">
        <v>1.89</v>
      </c>
      <c r="K418">
        <v>5</v>
      </c>
      <c r="L418">
        <v>9.3000000000000007</v>
      </c>
      <c r="P418" t="s">
        <v>109</v>
      </c>
      <c r="Q418" s="11">
        <f>+AVERAGEIFS(I:I,D:D,P418)</f>
        <v>1.8566666666666667</v>
      </c>
      <c r="R418" s="13">
        <f>+I418/Q418-1</f>
        <v>0.1131059245960504</v>
      </c>
    </row>
    <row r="419" spans="1:18" hidden="1" x14ac:dyDescent="0.25">
      <c r="A419">
        <v>1854</v>
      </c>
      <c r="B419" t="s">
        <v>18</v>
      </c>
      <c r="C419" t="s">
        <v>108</v>
      </c>
      <c r="D419" t="s">
        <v>109</v>
      </c>
      <c r="E419" t="s">
        <v>110</v>
      </c>
      <c r="F419">
        <v>6.2</v>
      </c>
      <c r="G419">
        <v>3</v>
      </c>
      <c r="H419">
        <v>0</v>
      </c>
      <c r="I419" s="15">
        <f>+F419/G419</f>
        <v>2.0666666666666669</v>
      </c>
      <c r="J419">
        <v>1.89</v>
      </c>
      <c r="K419">
        <v>5</v>
      </c>
      <c r="L419">
        <v>9.3000000000000007</v>
      </c>
      <c r="P419" t="s">
        <v>109</v>
      </c>
      <c r="Q419" s="11">
        <f>+AVERAGEIFS(I:I,D:D,P419)</f>
        <v>1.8566666666666667</v>
      </c>
      <c r="R419" s="13">
        <f>+I419/Q419-1</f>
        <v>0.1131059245960504</v>
      </c>
    </row>
    <row r="420" spans="1:18" x14ac:dyDescent="0.25">
      <c r="A420" s="4">
        <v>1865</v>
      </c>
      <c r="B420" s="4" t="s">
        <v>25</v>
      </c>
      <c r="C420" s="4" t="s">
        <v>108</v>
      </c>
      <c r="D420" s="4" t="s">
        <v>109</v>
      </c>
      <c r="E420" s="4" t="s">
        <v>110</v>
      </c>
      <c r="F420" s="4">
        <v>2</v>
      </c>
      <c r="G420" s="4">
        <v>2</v>
      </c>
      <c r="H420" s="4">
        <v>0</v>
      </c>
      <c r="I420" s="15">
        <f>+F420/G420</f>
        <v>1</v>
      </c>
      <c r="J420" s="2">
        <v>1.89</v>
      </c>
      <c r="K420" s="2">
        <v>5</v>
      </c>
      <c r="L420" s="2">
        <v>-47.1</v>
      </c>
      <c r="P420" s="4" t="s">
        <v>109</v>
      </c>
      <c r="Q420" s="11">
        <f>+AVERAGEIFS(I:I,D:D,P420)</f>
        <v>1.8566666666666667</v>
      </c>
      <c r="R420" s="13">
        <f>+I420/Q420-1</f>
        <v>-0.46140035906642729</v>
      </c>
    </row>
    <row r="421" spans="1:18" hidden="1" x14ac:dyDescent="0.25">
      <c r="A421">
        <v>2374</v>
      </c>
      <c r="B421" t="s">
        <v>240</v>
      </c>
      <c r="C421" t="s">
        <v>237</v>
      </c>
      <c r="D421" t="s">
        <v>307</v>
      </c>
      <c r="E421" t="s">
        <v>308</v>
      </c>
      <c r="F421">
        <v>48.8</v>
      </c>
      <c r="G421">
        <v>2</v>
      </c>
      <c r="H421">
        <v>0</v>
      </c>
      <c r="I421" s="12">
        <f>+F421/G421</f>
        <v>24.4</v>
      </c>
      <c r="J421">
        <v>24</v>
      </c>
      <c r="K421">
        <v>6</v>
      </c>
      <c r="L421">
        <v>1.7</v>
      </c>
      <c r="P421" t="s">
        <v>307</v>
      </c>
      <c r="Q421" s="11">
        <f>+AVERAGEIFS(I:I,D:D,P421)</f>
        <v>23.400000000000002</v>
      </c>
      <c r="R421" s="13">
        <f>+I421/Q421-1</f>
        <v>4.2735042735042583E-2</v>
      </c>
    </row>
    <row r="422" spans="1:18" hidden="1" x14ac:dyDescent="0.25">
      <c r="A422" s="2">
        <v>2427</v>
      </c>
      <c r="B422" s="2" t="s">
        <v>112</v>
      </c>
      <c r="C422" s="2" t="s">
        <v>108</v>
      </c>
      <c r="D422" s="2" t="s">
        <v>113</v>
      </c>
      <c r="E422" s="2" t="s">
        <v>114</v>
      </c>
      <c r="F422" s="2">
        <v>8</v>
      </c>
      <c r="G422" s="2">
        <v>1</v>
      </c>
      <c r="H422" s="2">
        <v>0</v>
      </c>
      <c r="I422" s="15">
        <f>+F422/G422</f>
        <v>8</v>
      </c>
      <c r="J422" s="2">
        <v>3.8</v>
      </c>
      <c r="K422" s="2">
        <v>6</v>
      </c>
      <c r="L422" s="2">
        <v>110.5</v>
      </c>
      <c r="P422" s="2" t="s">
        <v>113</v>
      </c>
      <c r="Q422" s="11">
        <f>+AVERAGEIFS(I:I,D:D,P422)</f>
        <v>4.083333333333333</v>
      </c>
      <c r="R422" s="13">
        <f>+I422/Q422-1</f>
        <v>0.95918367346938793</v>
      </c>
    </row>
    <row r="423" spans="1:18" hidden="1" x14ac:dyDescent="0.25">
      <c r="A423" s="2">
        <v>2428</v>
      </c>
      <c r="B423" s="2" t="s">
        <v>116</v>
      </c>
      <c r="C423" s="2" t="s">
        <v>108</v>
      </c>
      <c r="D423" s="2" t="s">
        <v>113</v>
      </c>
      <c r="E423" s="2" t="s">
        <v>114</v>
      </c>
      <c r="F423" s="2">
        <v>6.2</v>
      </c>
      <c r="G423" s="2">
        <v>1</v>
      </c>
      <c r="H423" s="2">
        <v>0</v>
      </c>
      <c r="I423" s="15">
        <f>+F423/G423</f>
        <v>6.2</v>
      </c>
      <c r="J423" s="2">
        <v>3.8</v>
      </c>
      <c r="K423" s="2">
        <v>6</v>
      </c>
      <c r="L423" s="2">
        <v>63.2</v>
      </c>
      <c r="P423" s="2" t="s">
        <v>113</v>
      </c>
      <c r="Q423" s="11">
        <f>+AVERAGEIFS(I:I,D:D,P423)</f>
        <v>4.083333333333333</v>
      </c>
      <c r="R423" s="13">
        <f>+I423/Q423-1</f>
        <v>0.51836734693877573</v>
      </c>
    </row>
    <row r="424" spans="1:18" x14ac:dyDescent="0.25">
      <c r="A424" s="4">
        <v>2430</v>
      </c>
      <c r="B424" s="4" t="s">
        <v>117</v>
      </c>
      <c r="C424" s="4" t="s">
        <v>108</v>
      </c>
      <c r="D424" s="4" t="s">
        <v>113</v>
      </c>
      <c r="E424" s="4" t="s">
        <v>114</v>
      </c>
      <c r="F424" s="4">
        <v>4.2</v>
      </c>
      <c r="G424" s="4">
        <v>2</v>
      </c>
      <c r="H424" s="4">
        <v>0</v>
      </c>
      <c r="I424" s="15">
        <f>+F424/G424</f>
        <v>2.1</v>
      </c>
      <c r="J424" s="2">
        <v>3.8</v>
      </c>
      <c r="K424" s="2">
        <v>6</v>
      </c>
      <c r="L424" s="2">
        <v>-44.7</v>
      </c>
      <c r="P424" s="4" t="s">
        <v>113</v>
      </c>
      <c r="Q424" s="11">
        <f>+AVERAGEIFS(I:I,D:D,P424)</f>
        <v>4.083333333333333</v>
      </c>
      <c r="R424" s="13">
        <f>+I424/Q424-1</f>
        <v>-0.48571428571428565</v>
      </c>
    </row>
    <row r="425" spans="1:18" x14ac:dyDescent="0.25">
      <c r="A425" s="4">
        <v>2429</v>
      </c>
      <c r="B425" s="4" t="s">
        <v>96</v>
      </c>
      <c r="C425" s="4" t="s">
        <v>108</v>
      </c>
      <c r="D425" s="4" t="s">
        <v>113</v>
      </c>
      <c r="E425" s="4" t="s">
        <v>114</v>
      </c>
      <c r="F425" s="4">
        <v>2</v>
      </c>
      <c r="G425" s="4">
        <v>1</v>
      </c>
      <c r="H425" s="4">
        <v>0</v>
      </c>
      <c r="I425" s="15">
        <f>+F425/G425</f>
        <v>2</v>
      </c>
      <c r="J425" s="2">
        <v>3.8</v>
      </c>
      <c r="K425" s="2">
        <v>6</v>
      </c>
      <c r="L425" s="2">
        <v>-47.4</v>
      </c>
      <c r="P425" s="4" t="s">
        <v>113</v>
      </c>
      <c r="Q425" s="11">
        <f>+AVERAGEIFS(I:I,D:D,P425)</f>
        <v>4.083333333333333</v>
      </c>
      <c r="R425" s="13">
        <f>+I425/Q425-1</f>
        <v>-0.51020408163265296</v>
      </c>
    </row>
    <row r="426" spans="1:18" x14ac:dyDescent="0.25">
      <c r="A426" s="4">
        <v>2425</v>
      </c>
      <c r="B426" s="4" t="s">
        <v>118</v>
      </c>
      <c r="C426" s="4" t="s">
        <v>108</v>
      </c>
      <c r="D426" s="4" t="s">
        <v>113</v>
      </c>
      <c r="E426" s="4" t="s">
        <v>114</v>
      </c>
      <c r="F426" s="4">
        <v>2</v>
      </c>
      <c r="G426" s="4">
        <v>1</v>
      </c>
      <c r="H426" s="4">
        <v>0</v>
      </c>
      <c r="I426" s="15">
        <f>+F426/G426</f>
        <v>2</v>
      </c>
      <c r="J426" s="2">
        <v>3.8</v>
      </c>
      <c r="K426" s="2">
        <v>6</v>
      </c>
      <c r="L426" s="2">
        <v>-47.4</v>
      </c>
      <c r="P426" s="4" t="s">
        <v>113</v>
      </c>
      <c r="Q426" s="11">
        <f>+AVERAGEIFS(I:I,D:D,P426)</f>
        <v>4.083333333333333</v>
      </c>
      <c r="R426" s="13">
        <f>+I426/Q426-1</f>
        <v>-0.51020408163265296</v>
      </c>
    </row>
    <row r="427" spans="1:18" hidden="1" x14ac:dyDescent="0.25">
      <c r="A427" s="2">
        <v>2159</v>
      </c>
      <c r="B427" s="2" t="s">
        <v>328</v>
      </c>
      <c r="C427" s="2" t="s">
        <v>324</v>
      </c>
      <c r="D427" s="2" t="s">
        <v>363</v>
      </c>
      <c r="E427" s="2" t="s">
        <v>364</v>
      </c>
      <c r="F427" s="2">
        <v>6.6</v>
      </c>
      <c r="G427" s="2">
        <v>1</v>
      </c>
      <c r="H427" s="2">
        <v>0</v>
      </c>
      <c r="I427" s="15">
        <f>+F427/G427</f>
        <v>6.6</v>
      </c>
      <c r="J427" s="2">
        <v>3.25</v>
      </c>
      <c r="K427" s="2">
        <v>5</v>
      </c>
      <c r="L427" s="2">
        <v>103.2</v>
      </c>
      <c r="P427" s="2" t="s">
        <v>363</v>
      </c>
      <c r="Q427" s="11">
        <f>+AVERAGEIFS(I:I,D:D,P427)</f>
        <v>2.8766666666666669</v>
      </c>
      <c r="R427" s="13">
        <f>+I427/Q427-1</f>
        <v>1.2943221320973346</v>
      </c>
    </row>
    <row r="428" spans="1:18" hidden="1" x14ac:dyDescent="0.25">
      <c r="A428" s="4">
        <v>2268</v>
      </c>
      <c r="B428" s="4" t="s">
        <v>208</v>
      </c>
      <c r="C428" s="4" t="s">
        <v>324</v>
      </c>
      <c r="D428" s="4" t="s">
        <v>363</v>
      </c>
      <c r="E428" s="4" t="s">
        <v>364</v>
      </c>
      <c r="F428" s="4">
        <v>2.4</v>
      </c>
      <c r="G428" s="4">
        <v>1</v>
      </c>
      <c r="H428" s="4">
        <v>0</v>
      </c>
      <c r="I428" s="15">
        <f>+F428/G428</f>
        <v>2.4</v>
      </c>
      <c r="J428" s="2">
        <v>3.25</v>
      </c>
      <c r="K428" s="2">
        <v>5</v>
      </c>
      <c r="L428" s="2">
        <v>-26.1</v>
      </c>
      <c r="P428" s="4" t="s">
        <v>363</v>
      </c>
      <c r="Q428" s="11">
        <f>+AVERAGEIFS(I:I,D:D,P428)</f>
        <v>2.8766666666666669</v>
      </c>
      <c r="R428" s="13">
        <f>+I428/Q428-1</f>
        <v>-0.16570104287369647</v>
      </c>
    </row>
    <row r="429" spans="1:18" hidden="1" x14ac:dyDescent="0.25">
      <c r="A429">
        <v>2375</v>
      </c>
      <c r="B429" t="s">
        <v>240</v>
      </c>
      <c r="C429" t="s">
        <v>237</v>
      </c>
      <c r="D429" t="s">
        <v>311</v>
      </c>
      <c r="E429" t="s">
        <v>312</v>
      </c>
      <c r="F429">
        <v>124.3</v>
      </c>
      <c r="G429">
        <v>5</v>
      </c>
      <c r="H429">
        <v>0</v>
      </c>
      <c r="I429" s="12">
        <f>+F429/G429</f>
        <v>24.86</v>
      </c>
      <c r="J429">
        <v>25.44</v>
      </c>
      <c r="K429">
        <v>4</v>
      </c>
      <c r="L429">
        <v>-2.2999999999999998</v>
      </c>
      <c r="P429" t="s">
        <v>311</v>
      </c>
      <c r="Q429" s="11">
        <f>+AVERAGEIFS(I:I,D:D,P429)</f>
        <v>26.082749999999997</v>
      </c>
      <c r="R429" s="13">
        <f>+I429/Q429-1</f>
        <v>-4.6879642675714761E-2</v>
      </c>
    </row>
    <row r="430" spans="1:18" hidden="1" x14ac:dyDescent="0.25">
      <c r="A430">
        <v>2350</v>
      </c>
      <c r="B430" t="s">
        <v>117</v>
      </c>
      <c r="C430" t="s">
        <v>237</v>
      </c>
      <c r="D430" t="s">
        <v>311</v>
      </c>
      <c r="E430" t="s">
        <v>312</v>
      </c>
      <c r="F430">
        <v>132.03</v>
      </c>
      <c r="G430">
        <v>5</v>
      </c>
      <c r="H430">
        <v>0</v>
      </c>
      <c r="I430" s="12">
        <f>+F430/G430</f>
        <v>26.405999999999999</v>
      </c>
      <c r="J430">
        <v>25.44</v>
      </c>
      <c r="K430">
        <v>4</v>
      </c>
      <c r="L430">
        <v>3.8</v>
      </c>
      <c r="P430" t="s">
        <v>311</v>
      </c>
      <c r="Q430" s="11">
        <f>+AVERAGEIFS(I:I,D:D,P430)</f>
        <v>26.082749999999997</v>
      </c>
      <c r="R430" s="13">
        <f>+I430/Q430-1</f>
        <v>1.239324841130629E-2</v>
      </c>
    </row>
    <row r="431" spans="1:18" hidden="1" x14ac:dyDescent="0.25">
      <c r="A431">
        <v>2305</v>
      </c>
      <c r="B431" t="s">
        <v>212</v>
      </c>
      <c r="C431" t="s">
        <v>237</v>
      </c>
      <c r="D431" t="s">
        <v>55</v>
      </c>
      <c r="E431" t="s">
        <v>56</v>
      </c>
      <c r="F431">
        <v>54.6</v>
      </c>
      <c r="G431">
        <v>2</v>
      </c>
      <c r="H431">
        <v>0</v>
      </c>
      <c r="I431" s="12">
        <f>+F431/G431</f>
        <v>27.3</v>
      </c>
      <c r="J431">
        <v>27.3</v>
      </c>
      <c r="K431">
        <v>1</v>
      </c>
      <c r="L431">
        <v>0</v>
      </c>
      <c r="P431" t="s">
        <v>55</v>
      </c>
      <c r="Q431" s="11">
        <f>+AVERAGEIFS(I:I,D:D,P431)</f>
        <v>29.118333333333332</v>
      </c>
      <c r="R431" s="13">
        <f>+I431/Q431-1</f>
        <v>-6.2446339648560389E-2</v>
      </c>
    </row>
    <row r="432" spans="1:18" hidden="1" x14ac:dyDescent="0.25">
      <c r="A432">
        <v>2391</v>
      </c>
      <c r="B432" t="s">
        <v>219</v>
      </c>
      <c r="C432" t="s">
        <v>237</v>
      </c>
      <c r="D432" t="s">
        <v>313</v>
      </c>
      <c r="E432" t="s">
        <v>314</v>
      </c>
      <c r="F432">
        <v>39.799999999999997</v>
      </c>
      <c r="G432">
        <v>1</v>
      </c>
      <c r="H432">
        <v>0</v>
      </c>
      <c r="I432" s="12">
        <f>+F432/G432</f>
        <v>39.799999999999997</v>
      </c>
      <c r="J432">
        <v>39.799999999999997</v>
      </c>
      <c r="K432">
        <v>1</v>
      </c>
      <c r="L432">
        <v>0</v>
      </c>
      <c r="P432" t="s">
        <v>313</v>
      </c>
      <c r="Q432" s="11">
        <f>+AVERAGEIFS(I:I,D:D,P432)</f>
        <v>39.799999999999997</v>
      </c>
      <c r="R432" s="13">
        <f>+I432/Q432-1</f>
        <v>0</v>
      </c>
    </row>
    <row r="433" spans="1:18" hidden="1" x14ac:dyDescent="0.25">
      <c r="A433">
        <v>2416</v>
      </c>
      <c r="B433" t="s">
        <v>23</v>
      </c>
      <c r="C433" t="s">
        <v>237</v>
      </c>
      <c r="D433" t="s">
        <v>315</v>
      </c>
      <c r="E433" t="s">
        <v>316</v>
      </c>
      <c r="F433">
        <v>19.5</v>
      </c>
      <c r="G433">
        <v>1</v>
      </c>
      <c r="H433">
        <v>0</v>
      </c>
      <c r="I433" s="12">
        <f>+F433/G433</f>
        <v>19.5</v>
      </c>
      <c r="J433">
        <v>19.899999999999999</v>
      </c>
      <c r="K433">
        <v>2</v>
      </c>
      <c r="L433">
        <v>-2</v>
      </c>
      <c r="P433" t="s">
        <v>315</v>
      </c>
      <c r="Q433" s="11">
        <f>+AVERAGEIFS(I:I,D:D,P433)</f>
        <v>19.899999999999999</v>
      </c>
      <c r="R433" s="13">
        <f>+I433/Q433-1</f>
        <v>-2.010050251256279E-2</v>
      </c>
    </row>
    <row r="434" spans="1:18" hidden="1" x14ac:dyDescent="0.25">
      <c r="A434">
        <v>2366</v>
      </c>
      <c r="B434" t="s">
        <v>117</v>
      </c>
      <c r="C434" t="s">
        <v>237</v>
      </c>
      <c r="D434" t="s">
        <v>315</v>
      </c>
      <c r="E434" t="s">
        <v>316</v>
      </c>
      <c r="F434">
        <v>20.3</v>
      </c>
      <c r="G434">
        <v>1</v>
      </c>
      <c r="H434">
        <v>0</v>
      </c>
      <c r="I434" s="12">
        <f>+F434/G434</f>
        <v>20.3</v>
      </c>
      <c r="J434">
        <v>19.899999999999999</v>
      </c>
      <c r="K434">
        <v>2</v>
      </c>
      <c r="L434">
        <v>2</v>
      </c>
      <c r="P434" t="s">
        <v>315</v>
      </c>
      <c r="Q434" s="11">
        <f>+AVERAGEIFS(I:I,D:D,P434)</f>
        <v>19.899999999999999</v>
      </c>
      <c r="R434" s="13">
        <f>+I434/Q434-1</f>
        <v>2.0100502512562901E-2</v>
      </c>
    </row>
    <row r="435" spans="1:18" hidden="1" x14ac:dyDescent="0.25">
      <c r="A435">
        <v>2393</v>
      </c>
      <c r="B435" t="s">
        <v>219</v>
      </c>
      <c r="C435" t="s">
        <v>237</v>
      </c>
      <c r="D435" t="s">
        <v>317</v>
      </c>
      <c r="E435" t="s">
        <v>318</v>
      </c>
      <c r="F435">
        <v>20</v>
      </c>
      <c r="G435">
        <v>1</v>
      </c>
      <c r="H435">
        <v>0</v>
      </c>
      <c r="I435" s="12">
        <f>+F435/G435</f>
        <v>20</v>
      </c>
      <c r="J435">
        <v>20</v>
      </c>
      <c r="K435">
        <v>1</v>
      </c>
      <c r="L435">
        <v>0</v>
      </c>
      <c r="P435" t="s">
        <v>317</v>
      </c>
      <c r="Q435" s="11">
        <f>+AVERAGEIFS(I:I,D:D,P435)</f>
        <v>20</v>
      </c>
      <c r="R435" s="13">
        <f>+I435/Q435-1</f>
        <v>0</v>
      </c>
    </row>
    <row r="436" spans="1:18" hidden="1" x14ac:dyDescent="0.25">
      <c r="A436">
        <v>1192</v>
      </c>
      <c r="B436" t="s">
        <v>25</v>
      </c>
      <c r="C436" t="s">
        <v>319</v>
      </c>
      <c r="D436" t="s">
        <v>142</v>
      </c>
      <c r="E436" t="s">
        <v>143</v>
      </c>
      <c r="F436">
        <v>100</v>
      </c>
      <c r="G436">
        <v>1</v>
      </c>
      <c r="H436">
        <v>0</v>
      </c>
      <c r="I436" s="12">
        <f>+F436/G436</f>
        <v>100</v>
      </c>
      <c r="J436">
        <v>100</v>
      </c>
      <c r="K436">
        <v>1</v>
      </c>
      <c r="L436">
        <v>0</v>
      </c>
      <c r="P436" t="s">
        <v>142</v>
      </c>
      <c r="Q436" s="11">
        <f>+AVERAGEIFS(I:I,D:D,P436)</f>
        <v>100</v>
      </c>
      <c r="R436" s="13">
        <f>+I436/Q436-1</f>
        <v>0</v>
      </c>
    </row>
    <row r="437" spans="1:18" hidden="1" x14ac:dyDescent="0.25">
      <c r="A437">
        <v>1190</v>
      </c>
      <c r="B437" t="s">
        <v>25</v>
      </c>
      <c r="C437" t="s">
        <v>319</v>
      </c>
      <c r="D437" t="s">
        <v>320</v>
      </c>
      <c r="E437" t="s">
        <v>321</v>
      </c>
      <c r="F437">
        <v>100</v>
      </c>
      <c r="G437">
        <v>1</v>
      </c>
      <c r="H437">
        <v>0</v>
      </c>
      <c r="I437" s="12">
        <f>+F437/G437</f>
        <v>100</v>
      </c>
      <c r="J437">
        <v>100</v>
      </c>
      <c r="K437">
        <v>1</v>
      </c>
      <c r="L437">
        <v>0</v>
      </c>
      <c r="P437" t="s">
        <v>320</v>
      </c>
      <c r="Q437" s="11">
        <f>+AVERAGEIFS(I:I,D:D,P437)</f>
        <v>100</v>
      </c>
      <c r="R437" s="13">
        <f>+I437/Q437-1</f>
        <v>0</v>
      </c>
    </row>
    <row r="438" spans="1:18" hidden="1" x14ac:dyDescent="0.25">
      <c r="A438">
        <v>1191</v>
      </c>
      <c r="B438" t="s">
        <v>25</v>
      </c>
      <c r="C438" t="s">
        <v>319</v>
      </c>
      <c r="D438" t="s">
        <v>322</v>
      </c>
      <c r="E438" t="s">
        <v>323</v>
      </c>
      <c r="F438">
        <v>100</v>
      </c>
      <c r="G438">
        <v>1</v>
      </c>
      <c r="H438">
        <v>0</v>
      </c>
      <c r="I438" s="12">
        <f>+F438/G438</f>
        <v>100</v>
      </c>
      <c r="J438">
        <v>100</v>
      </c>
      <c r="K438">
        <v>1</v>
      </c>
      <c r="L438">
        <v>0</v>
      </c>
      <c r="P438" t="s">
        <v>322</v>
      </c>
      <c r="Q438" s="11">
        <f>+AVERAGEIFS(I:I,D:D,P438)</f>
        <v>100</v>
      </c>
      <c r="R438" s="13">
        <f>+I438/Q438-1</f>
        <v>0</v>
      </c>
    </row>
    <row r="439" spans="1:18" hidden="1" x14ac:dyDescent="0.25">
      <c r="A439" s="4">
        <v>2452</v>
      </c>
      <c r="B439" s="4" t="s">
        <v>81</v>
      </c>
      <c r="C439" s="4" t="s">
        <v>324</v>
      </c>
      <c r="D439" s="4" t="s">
        <v>363</v>
      </c>
      <c r="E439" s="4" t="s">
        <v>364</v>
      </c>
      <c r="F439" s="4">
        <v>1.84</v>
      </c>
      <c r="G439" s="4">
        <v>1</v>
      </c>
      <c r="H439" s="4">
        <v>0</v>
      </c>
      <c r="I439" s="15">
        <f>+F439/G439</f>
        <v>1.84</v>
      </c>
      <c r="J439" s="2">
        <v>3.25</v>
      </c>
      <c r="K439" s="2">
        <v>5</v>
      </c>
      <c r="L439" s="2">
        <v>-43.3</v>
      </c>
      <c r="P439" s="4" t="s">
        <v>363</v>
      </c>
      <c r="Q439" s="11">
        <f>+AVERAGEIFS(I:I,D:D,P439)</f>
        <v>2.8766666666666669</v>
      </c>
      <c r="R439" s="13">
        <f>+I439/Q439-1</f>
        <v>-0.36037079953650064</v>
      </c>
    </row>
    <row r="440" spans="1:18" hidden="1" x14ac:dyDescent="0.25">
      <c r="A440" s="4">
        <v>2235</v>
      </c>
      <c r="B440" s="4" t="s">
        <v>82</v>
      </c>
      <c r="C440" s="4" t="s">
        <v>324</v>
      </c>
      <c r="D440" s="4" t="s">
        <v>363</v>
      </c>
      <c r="E440" s="4" t="s">
        <v>364</v>
      </c>
      <c r="F440" s="4">
        <v>2.4</v>
      </c>
      <c r="G440" s="4">
        <v>1</v>
      </c>
      <c r="H440" s="4">
        <v>0</v>
      </c>
      <c r="I440" s="15">
        <f>+F440/G440</f>
        <v>2.4</v>
      </c>
      <c r="J440" s="2">
        <v>3.25</v>
      </c>
      <c r="K440" s="2">
        <v>5</v>
      </c>
      <c r="L440" s="2">
        <v>-26.1</v>
      </c>
      <c r="P440" s="4" t="s">
        <v>363</v>
      </c>
      <c r="Q440" s="11">
        <f>+AVERAGEIFS(I:I,D:D,P440)</f>
        <v>2.8766666666666669</v>
      </c>
      <c r="R440" s="13">
        <f>+I440/Q440-1</f>
        <v>-0.16570104287369647</v>
      </c>
    </row>
    <row r="441" spans="1:18" hidden="1" x14ac:dyDescent="0.25">
      <c r="A441">
        <v>1934</v>
      </c>
      <c r="B441" t="s">
        <v>18</v>
      </c>
      <c r="C441" t="s">
        <v>371</v>
      </c>
      <c r="D441" t="s">
        <v>363</v>
      </c>
      <c r="E441" t="s">
        <v>364</v>
      </c>
      <c r="F441">
        <v>2.4</v>
      </c>
      <c r="G441">
        <v>1</v>
      </c>
      <c r="H441">
        <v>0</v>
      </c>
      <c r="I441" s="15">
        <f>+F441/G441</f>
        <v>2.4</v>
      </c>
      <c r="J441">
        <v>2.2599999999999998</v>
      </c>
      <c r="K441">
        <v>4</v>
      </c>
      <c r="L441">
        <v>6.3</v>
      </c>
      <c r="P441" t="s">
        <v>363</v>
      </c>
      <c r="Q441" s="11">
        <f>+AVERAGEIFS(I:I,D:D,P441)</f>
        <v>2.8766666666666669</v>
      </c>
      <c r="R441" s="13">
        <f>+I441/Q441-1</f>
        <v>-0.16570104287369647</v>
      </c>
    </row>
    <row r="442" spans="1:18" hidden="1" x14ac:dyDescent="0.25">
      <c r="A442">
        <v>1879</v>
      </c>
      <c r="B442" t="s">
        <v>218</v>
      </c>
      <c r="C442" t="s">
        <v>371</v>
      </c>
      <c r="D442" t="s">
        <v>363</v>
      </c>
      <c r="E442" t="s">
        <v>364</v>
      </c>
      <c r="F442">
        <v>2.4</v>
      </c>
      <c r="G442">
        <v>1</v>
      </c>
      <c r="H442">
        <v>0</v>
      </c>
      <c r="I442" s="15">
        <f>+F442/G442</f>
        <v>2.4</v>
      </c>
      <c r="J442">
        <v>2.2599999999999998</v>
      </c>
      <c r="K442">
        <v>4</v>
      </c>
      <c r="L442">
        <v>6.3</v>
      </c>
      <c r="P442" t="s">
        <v>363</v>
      </c>
      <c r="Q442" s="11">
        <f>+AVERAGEIFS(I:I,D:D,P442)</f>
        <v>2.8766666666666669</v>
      </c>
      <c r="R442" s="13">
        <f>+I442/Q442-1</f>
        <v>-0.16570104287369647</v>
      </c>
    </row>
    <row r="443" spans="1:18" hidden="1" x14ac:dyDescent="0.25">
      <c r="A443">
        <v>1899</v>
      </c>
      <c r="B443" t="s">
        <v>71</v>
      </c>
      <c r="C443" t="s">
        <v>371</v>
      </c>
      <c r="D443" t="s">
        <v>363</v>
      </c>
      <c r="E443" t="s">
        <v>364</v>
      </c>
      <c r="F443">
        <v>8.1999999999999993</v>
      </c>
      <c r="G443">
        <v>4</v>
      </c>
      <c r="H443">
        <v>0</v>
      </c>
      <c r="I443" s="15">
        <f>+F443/G443</f>
        <v>2.0499999999999998</v>
      </c>
      <c r="J443">
        <v>2.2599999999999998</v>
      </c>
      <c r="K443">
        <v>4</v>
      </c>
      <c r="L443">
        <v>-9.1999999999999993</v>
      </c>
      <c r="P443" t="s">
        <v>363</v>
      </c>
      <c r="Q443" s="11">
        <f>+AVERAGEIFS(I:I,D:D,P443)</f>
        <v>2.8766666666666669</v>
      </c>
      <c r="R443" s="13">
        <f>+I443/Q443-1</f>
        <v>-0.28736964078794913</v>
      </c>
    </row>
    <row r="444" spans="1:18" hidden="1" x14ac:dyDescent="0.25">
      <c r="A444" s="7">
        <v>2064</v>
      </c>
      <c r="B444" s="7" t="s">
        <v>20</v>
      </c>
      <c r="C444" s="7" t="s">
        <v>13</v>
      </c>
      <c r="D444" s="7" t="s">
        <v>21</v>
      </c>
      <c r="E444" s="7" t="s">
        <v>22</v>
      </c>
      <c r="F444" s="7">
        <v>4.2</v>
      </c>
      <c r="G444" s="7">
        <v>1</v>
      </c>
      <c r="H444" s="7">
        <v>0</v>
      </c>
      <c r="I444" s="15">
        <f>+F444/G444</f>
        <v>4.2</v>
      </c>
      <c r="J444" s="7">
        <v>2.73</v>
      </c>
      <c r="K444" s="7">
        <v>4</v>
      </c>
      <c r="L444" s="7">
        <v>53.7</v>
      </c>
      <c r="P444" s="7" t="s">
        <v>21</v>
      </c>
      <c r="Q444" s="11">
        <f>+AVERAGEIFS(I:I,D:D,P444)</f>
        <v>2.8933333333333335</v>
      </c>
      <c r="R444" s="13">
        <f>+I444/Q444-1</f>
        <v>0.45161290322580649</v>
      </c>
    </row>
    <row r="445" spans="1:18" hidden="1" x14ac:dyDescent="0.25">
      <c r="A445" s="7">
        <v>2092</v>
      </c>
      <c r="B445" s="7" t="s">
        <v>23</v>
      </c>
      <c r="C445" s="7" t="s">
        <v>13</v>
      </c>
      <c r="D445" s="7" t="s">
        <v>21</v>
      </c>
      <c r="E445" s="7" t="s">
        <v>22</v>
      </c>
      <c r="F445" s="7">
        <v>4.4000000000000004</v>
      </c>
      <c r="G445" s="7">
        <v>1</v>
      </c>
      <c r="H445" s="7">
        <v>0</v>
      </c>
      <c r="I445" s="15">
        <f>+F445/G445</f>
        <v>4.4000000000000004</v>
      </c>
      <c r="J445" s="7">
        <v>2.73</v>
      </c>
      <c r="K445" s="7">
        <v>4</v>
      </c>
      <c r="L445" s="7">
        <v>61</v>
      </c>
      <c r="P445" s="7" t="s">
        <v>21</v>
      </c>
      <c r="Q445" s="11">
        <f>+AVERAGEIFS(I:I,D:D,P445)</f>
        <v>2.8933333333333335</v>
      </c>
      <c r="R445" s="13">
        <f>+I445/Q445-1</f>
        <v>0.52073732718894017</v>
      </c>
    </row>
    <row r="446" spans="1:18" hidden="1" x14ac:dyDescent="0.25">
      <c r="A446" s="4">
        <v>2093</v>
      </c>
      <c r="B446" s="4" t="s">
        <v>23</v>
      </c>
      <c r="C446" s="4" t="s">
        <v>13</v>
      </c>
      <c r="D446" s="4" t="s">
        <v>26</v>
      </c>
      <c r="E446" s="4" t="s">
        <v>27</v>
      </c>
      <c r="F446" s="4">
        <v>2.2000000000000002</v>
      </c>
      <c r="G446" s="4">
        <v>1</v>
      </c>
      <c r="H446" s="4">
        <v>0</v>
      </c>
      <c r="I446" s="15">
        <f>+F446/G446</f>
        <v>2.2000000000000002</v>
      </c>
      <c r="J446" s="7">
        <v>3.3</v>
      </c>
      <c r="K446" s="7">
        <v>2</v>
      </c>
      <c r="L446" s="7">
        <v>-33.299999999999997</v>
      </c>
      <c r="M446" t="s">
        <v>407</v>
      </c>
      <c r="P446" s="4" t="s">
        <v>26</v>
      </c>
      <c r="Q446" s="11">
        <f>+AVERAGEIFS(I:I,D:D,P446)</f>
        <v>15.648333333333332</v>
      </c>
      <c r="R446" s="13">
        <f>+I446/Q446-1</f>
        <v>-0.85940994781126845</v>
      </c>
    </row>
    <row r="447" spans="1:18" hidden="1" x14ac:dyDescent="0.25">
      <c r="A447">
        <v>2094</v>
      </c>
      <c r="B447" t="s">
        <v>23</v>
      </c>
      <c r="C447" t="s">
        <v>13</v>
      </c>
      <c r="D447" t="s">
        <v>45</v>
      </c>
      <c r="E447" t="s">
        <v>46</v>
      </c>
      <c r="F447">
        <v>16</v>
      </c>
      <c r="G447">
        <v>1</v>
      </c>
      <c r="H447">
        <v>0</v>
      </c>
      <c r="I447" s="15">
        <f>+F447/G447</f>
        <v>16</v>
      </c>
      <c r="J447">
        <v>15.97</v>
      </c>
      <c r="K447">
        <v>5</v>
      </c>
      <c r="L447">
        <v>0.2</v>
      </c>
      <c r="P447" t="s">
        <v>45</v>
      </c>
      <c r="Q447" s="11">
        <f>+AVERAGEIFS(I:I,D:D,P447)</f>
        <v>22.375</v>
      </c>
      <c r="R447" s="13">
        <f>+I447/Q447-1</f>
        <v>-0.28491620111731841</v>
      </c>
    </row>
    <row r="448" spans="1:18" hidden="1" x14ac:dyDescent="0.25">
      <c r="A448" s="5">
        <v>2418</v>
      </c>
      <c r="B448" s="5" t="s">
        <v>23</v>
      </c>
      <c r="C448" s="5" t="s">
        <v>237</v>
      </c>
      <c r="D448" s="5" t="s">
        <v>21</v>
      </c>
      <c r="E448" s="5" t="s">
        <v>22</v>
      </c>
      <c r="F448" s="5">
        <v>1.8</v>
      </c>
      <c r="G448" s="5">
        <v>1</v>
      </c>
      <c r="H448" s="5">
        <v>0</v>
      </c>
      <c r="I448" s="15">
        <f>+F448/G448</f>
        <v>1.8</v>
      </c>
      <c r="J448">
        <v>1.8</v>
      </c>
      <c r="K448">
        <v>1</v>
      </c>
      <c r="L448">
        <v>0</v>
      </c>
      <c r="P448" s="5" t="s">
        <v>21</v>
      </c>
      <c r="Q448" s="11">
        <f>+AVERAGEIFS(I:I,D:D,P448)</f>
        <v>2.8933333333333335</v>
      </c>
      <c r="R448" s="13">
        <f>+I448/Q448-1</f>
        <v>-0.37788018433179726</v>
      </c>
    </row>
    <row r="449" spans="1:18" hidden="1" x14ac:dyDescent="0.25">
      <c r="A449" s="4">
        <v>2041</v>
      </c>
      <c r="B449" s="4" t="s">
        <v>17</v>
      </c>
      <c r="C449" s="4" t="s">
        <v>13</v>
      </c>
      <c r="D449" s="4" t="s">
        <v>59</v>
      </c>
      <c r="E449" s="4" t="s">
        <v>60</v>
      </c>
      <c r="F449" s="4">
        <v>63.2</v>
      </c>
      <c r="G449" s="4">
        <v>6</v>
      </c>
      <c r="H449" s="4">
        <v>0</v>
      </c>
      <c r="I449" s="15">
        <f>+F449/G449</f>
        <v>10.533333333333333</v>
      </c>
      <c r="J449" s="7">
        <v>14.2</v>
      </c>
      <c r="K449" s="7">
        <v>6</v>
      </c>
      <c r="L449" s="7">
        <v>-25.8</v>
      </c>
      <c r="P449" s="4" t="s">
        <v>59</v>
      </c>
      <c r="Q449" s="11">
        <f>+AVERAGEIFS(I:I,D:D,P449)</f>
        <v>14.319999999999999</v>
      </c>
      <c r="R449" s="13">
        <f>+I449/Q449-1</f>
        <v>-0.26443202979515823</v>
      </c>
    </row>
    <row r="450" spans="1:18" hidden="1" x14ac:dyDescent="0.25">
      <c r="A450">
        <v>2157</v>
      </c>
      <c r="B450" t="s">
        <v>328</v>
      </c>
      <c r="C450" t="s">
        <v>324</v>
      </c>
      <c r="D450" t="s">
        <v>330</v>
      </c>
      <c r="E450" t="s">
        <v>331</v>
      </c>
      <c r="F450">
        <v>4</v>
      </c>
      <c r="G450">
        <v>2</v>
      </c>
      <c r="H450">
        <v>0</v>
      </c>
      <c r="I450" s="12">
        <f>+F450/G450</f>
        <v>2</v>
      </c>
      <c r="J450">
        <v>1.96</v>
      </c>
      <c r="K450">
        <v>7</v>
      </c>
      <c r="L450">
        <v>2</v>
      </c>
      <c r="P450" t="s">
        <v>330</v>
      </c>
      <c r="Q450" s="11">
        <f>+AVERAGEIFS(I:I,D:D,P450)</f>
        <v>1.9928571428571431</v>
      </c>
      <c r="R450" s="13">
        <f>+I450/Q450-1</f>
        <v>3.5842293906809264E-3</v>
      </c>
    </row>
    <row r="451" spans="1:18" hidden="1" x14ac:dyDescent="0.25">
      <c r="A451">
        <v>2260</v>
      </c>
      <c r="B451" t="s">
        <v>213</v>
      </c>
      <c r="C451" t="s">
        <v>324</v>
      </c>
      <c r="D451" t="s">
        <v>330</v>
      </c>
      <c r="E451" t="s">
        <v>331</v>
      </c>
      <c r="F451">
        <v>4</v>
      </c>
      <c r="G451">
        <v>2</v>
      </c>
      <c r="H451">
        <v>0</v>
      </c>
      <c r="I451" s="12">
        <f>+F451/G451</f>
        <v>2</v>
      </c>
      <c r="J451">
        <v>1.96</v>
      </c>
      <c r="K451">
        <v>7</v>
      </c>
      <c r="L451">
        <v>2</v>
      </c>
      <c r="P451" t="s">
        <v>330</v>
      </c>
      <c r="Q451" s="11">
        <f>+AVERAGEIFS(I:I,D:D,P451)</f>
        <v>1.9928571428571431</v>
      </c>
      <c r="R451" s="13">
        <f>+I451/Q451-1</f>
        <v>3.5842293906809264E-3</v>
      </c>
    </row>
    <row r="452" spans="1:18" hidden="1" x14ac:dyDescent="0.25">
      <c r="A452" s="4">
        <v>2042</v>
      </c>
      <c r="B452" s="4" t="s">
        <v>17</v>
      </c>
      <c r="C452" s="4" t="s">
        <v>13</v>
      </c>
      <c r="D452" s="4" t="s">
        <v>14</v>
      </c>
      <c r="E452" s="4" t="s">
        <v>15</v>
      </c>
      <c r="F452" s="4">
        <v>7.5</v>
      </c>
      <c r="G452" s="4">
        <v>1</v>
      </c>
      <c r="H452" s="4">
        <v>0</v>
      </c>
      <c r="I452" s="15">
        <f>+F452/G452</f>
        <v>7.5</v>
      </c>
      <c r="J452" s="7">
        <v>13.48</v>
      </c>
      <c r="K452" s="7">
        <v>5</v>
      </c>
      <c r="L452" s="7">
        <v>-44.4</v>
      </c>
      <c r="P452" s="4" t="s">
        <v>14</v>
      </c>
      <c r="Q452" s="11">
        <f>+AVERAGEIFS(I:I,D:D,P452)</f>
        <v>13.48</v>
      </c>
      <c r="R452" s="13">
        <f>+I452/Q452-1</f>
        <v>-0.44362017804154308</v>
      </c>
    </row>
    <row r="453" spans="1:18" hidden="1" x14ac:dyDescent="0.25">
      <c r="A453">
        <v>2216</v>
      </c>
      <c r="B453" t="s">
        <v>69</v>
      </c>
      <c r="C453" t="s">
        <v>324</v>
      </c>
      <c r="D453" t="s">
        <v>330</v>
      </c>
      <c r="E453" t="s">
        <v>331</v>
      </c>
      <c r="F453">
        <v>2</v>
      </c>
      <c r="G453">
        <v>1</v>
      </c>
      <c r="H453">
        <v>0</v>
      </c>
      <c r="I453" s="12">
        <f>+F453/G453</f>
        <v>2</v>
      </c>
      <c r="J453">
        <v>1.96</v>
      </c>
      <c r="K453">
        <v>7</v>
      </c>
      <c r="L453">
        <v>2</v>
      </c>
      <c r="P453" t="s">
        <v>330</v>
      </c>
      <c r="Q453" s="11">
        <f>+AVERAGEIFS(I:I,D:D,P453)</f>
        <v>1.9928571428571431</v>
      </c>
      <c r="R453" s="13">
        <f>+I453/Q453-1</f>
        <v>3.5842293906809264E-3</v>
      </c>
    </row>
    <row r="454" spans="1:18" hidden="1" x14ac:dyDescent="0.25">
      <c r="A454">
        <v>2231</v>
      </c>
      <c r="B454" t="s">
        <v>82</v>
      </c>
      <c r="C454" t="s">
        <v>324</v>
      </c>
      <c r="D454" t="s">
        <v>330</v>
      </c>
      <c r="E454" t="s">
        <v>331</v>
      </c>
      <c r="F454">
        <v>8</v>
      </c>
      <c r="G454">
        <v>4</v>
      </c>
      <c r="H454">
        <v>0</v>
      </c>
      <c r="I454" s="12">
        <f>+F454/G454</f>
        <v>2</v>
      </c>
      <c r="J454">
        <v>1.96</v>
      </c>
      <c r="K454">
        <v>7</v>
      </c>
      <c r="L454">
        <v>2</v>
      </c>
      <c r="P454" t="s">
        <v>330</v>
      </c>
      <c r="Q454" s="11">
        <f>+AVERAGEIFS(I:I,D:D,P454)</f>
        <v>1.9928571428571431</v>
      </c>
      <c r="R454" s="13">
        <f>+I454/Q454-1</f>
        <v>3.5842293906809264E-3</v>
      </c>
    </row>
    <row r="455" spans="1:18" hidden="1" x14ac:dyDescent="0.25">
      <c r="A455">
        <v>1033</v>
      </c>
      <c r="B455" t="s">
        <v>25</v>
      </c>
      <c r="C455" t="s">
        <v>133</v>
      </c>
      <c r="D455" t="s">
        <v>26</v>
      </c>
      <c r="E455" t="s">
        <v>27</v>
      </c>
      <c r="F455">
        <v>100</v>
      </c>
      <c r="G455">
        <v>1</v>
      </c>
      <c r="H455">
        <v>0</v>
      </c>
      <c r="I455" s="15">
        <f>+F455/G455</f>
        <v>100</v>
      </c>
      <c r="J455">
        <v>100</v>
      </c>
      <c r="K455">
        <v>1</v>
      </c>
      <c r="L455">
        <v>0</v>
      </c>
      <c r="P455" t="s">
        <v>26</v>
      </c>
      <c r="Q455" s="11">
        <f>+AVERAGEIFS(I:I,D:D,P455)</f>
        <v>15.648333333333332</v>
      </c>
      <c r="R455" s="13">
        <f>+I455/Q455-1</f>
        <v>5.3904569176696144</v>
      </c>
    </row>
    <row r="456" spans="1:18" hidden="1" x14ac:dyDescent="0.25">
      <c r="A456">
        <v>2250</v>
      </c>
      <c r="B456" t="s">
        <v>36</v>
      </c>
      <c r="C456" t="s">
        <v>324</v>
      </c>
      <c r="D456" t="s">
        <v>330</v>
      </c>
      <c r="E456" t="s">
        <v>331</v>
      </c>
      <c r="F456">
        <v>2</v>
      </c>
      <c r="G456">
        <v>1</v>
      </c>
      <c r="H456">
        <v>0</v>
      </c>
      <c r="I456" s="12">
        <f>+F456/G456</f>
        <v>2</v>
      </c>
      <c r="J456">
        <v>1.96</v>
      </c>
      <c r="K456">
        <v>7</v>
      </c>
      <c r="L456">
        <v>2</v>
      </c>
      <c r="P456" t="s">
        <v>330</v>
      </c>
      <c r="Q456" s="11">
        <f>+AVERAGEIFS(I:I,D:D,P456)</f>
        <v>1.9928571428571431</v>
      </c>
      <c r="R456" s="13">
        <f>+I456/Q456-1</f>
        <v>3.5842293906809264E-3</v>
      </c>
    </row>
    <row r="457" spans="1:18" hidden="1" x14ac:dyDescent="0.25">
      <c r="A457" s="2">
        <v>1761</v>
      </c>
      <c r="B457" s="2" t="s">
        <v>111</v>
      </c>
      <c r="C457" s="2" t="s">
        <v>203</v>
      </c>
      <c r="D457" s="2" t="s">
        <v>26</v>
      </c>
      <c r="E457" s="2" t="s">
        <v>27</v>
      </c>
      <c r="F457" s="2">
        <v>4.2</v>
      </c>
      <c r="G457" s="2">
        <v>2</v>
      </c>
      <c r="H457" s="2">
        <v>0</v>
      </c>
      <c r="I457" s="15">
        <f>+F457/G457</f>
        <v>2.1</v>
      </c>
      <c r="J457" s="2">
        <v>3.84</v>
      </c>
      <c r="K457" s="2">
        <v>3</v>
      </c>
      <c r="L457" s="2">
        <v>-45.3</v>
      </c>
      <c r="M457" t="s">
        <v>407</v>
      </c>
      <c r="P457" s="2" t="s">
        <v>26</v>
      </c>
      <c r="Q457" s="11">
        <f>+AVERAGEIFS(I:I,D:D,P457)</f>
        <v>15.648333333333332</v>
      </c>
      <c r="R457" s="13">
        <f>+I457/Q457-1</f>
        <v>-0.86580040472893804</v>
      </c>
    </row>
    <row r="458" spans="1:18" hidden="1" x14ac:dyDescent="0.25">
      <c r="A458" s="2">
        <v>1706</v>
      </c>
      <c r="B458" s="2" t="s">
        <v>204</v>
      </c>
      <c r="C458" s="2" t="s">
        <v>203</v>
      </c>
      <c r="D458" s="2" t="s">
        <v>26</v>
      </c>
      <c r="E458" s="2" t="s">
        <v>27</v>
      </c>
      <c r="F458" s="2">
        <v>4.2</v>
      </c>
      <c r="G458" s="2">
        <v>2</v>
      </c>
      <c r="H458" s="2">
        <v>0</v>
      </c>
      <c r="I458" s="15">
        <f>+F458/G458</f>
        <v>2.1</v>
      </c>
      <c r="J458" s="2">
        <v>3.84</v>
      </c>
      <c r="K458" s="2">
        <v>3</v>
      </c>
      <c r="L458" s="2">
        <v>-45.3</v>
      </c>
      <c r="M458" t="s">
        <v>407</v>
      </c>
      <c r="P458" s="2" t="s">
        <v>26</v>
      </c>
      <c r="Q458" s="11">
        <f>+AVERAGEIFS(I:I,D:D,P458)</f>
        <v>15.648333333333332</v>
      </c>
      <c r="R458" s="13">
        <f>+I458/Q458-1</f>
        <v>-0.86580040472893804</v>
      </c>
    </row>
    <row r="459" spans="1:18" hidden="1" x14ac:dyDescent="0.25">
      <c r="A459" s="2">
        <v>1744</v>
      </c>
      <c r="B459" s="2" t="s">
        <v>34</v>
      </c>
      <c r="C459" s="2" t="s">
        <v>203</v>
      </c>
      <c r="D459" s="2" t="s">
        <v>26</v>
      </c>
      <c r="E459" s="2" t="s">
        <v>27</v>
      </c>
      <c r="F459" s="2">
        <v>10.8</v>
      </c>
      <c r="G459" s="2">
        <v>1</v>
      </c>
      <c r="H459" s="2">
        <v>0</v>
      </c>
      <c r="I459" s="15">
        <f>+F459/G459</f>
        <v>10.8</v>
      </c>
      <c r="J459" s="2">
        <v>3.84</v>
      </c>
      <c r="K459" s="2">
        <v>3</v>
      </c>
      <c r="L459" s="2">
        <v>181.2</v>
      </c>
      <c r="P459" s="2" t="s">
        <v>26</v>
      </c>
      <c r="Q459" s="11">
        <f>+AVERAGEIFS(I:I,D:D,P459)</f>
        <v>15.648333333333332</v>
      </c>
      <c r="R459" s="13">
        <f>+I459/Q459-1</f>
        <v>-0.30983065289168166</v>
      </c>
    </row>
    <row r="460" spans="1:18" hidden="1" x14ac:dyDescent="0.25">
      <c r="A460" s="5">
        <v>2318</v>
      </c>
      <c r="B460" s="5" t="s">
        <v>212</v>
      </c>
      <c r="C460" s="5" t="s">
        <v>237</v>
      </c>
      <c r="D460" s="5" t="s">
        <v>26</v>
      </c>
      <c r="E460" s="5" t="s">
        <v>27</v>
      </c>
      <c r="F460" s="5">
        <v>10.6</v>
      </c>
      <c r="G460" s="5">
        <v>5</v>
      </c>
      <c r="H460" s="5">
        <v>0</v>
      </c>
      <c r="I460" s="15">
        <f>+F460/G460</f>
        <v>2.12</v>
      </c>
      <c r="J460">
        <v>1.88</v>
      </c>
      <c r="K460">
        <v>2</v>
      </c>
      <c r="L460">
        <v>13.1</v>
      </c>
      <c r="M460" t="s">
        <v>407</v>
      </c>
      <c r="P460" s="5" t="s">
        <v>26</v>
      </c>
      <c r="Q460" s="11">
        <f>+AVERAGEIFS(I:I,D:D,P460)</f>
        <v>15.648333333333332</v>
      </c>
      <c r="R460" s="13">
        <f>+I460/Q460-1</f>
        <v>-0.86452231334540419</v>
      </c>
    </row>
    <row r="461" spans="1:18" hidden="1" x14ac:dyDescent="0.25">
      <c r="A461">
        <v>2232</v>
      </c>
      <c r="B461" t="s">
        <v>82</v>
      </c>
      <c r="C461" t="s">
        <v>324</v>
      </c>
      <c r="D461" t="s">
        <v>333</v>
      </c>
      <c r="E461" t="s">
        <v>334</v>
      </c>
      <c r="F461">
        <v>3.6</v>
      </c>
      <c r="G461">
        <v>1</v>
      </c>
      <c r="H461">
        <v>0</v>
      </c>
      <c r="I461" s="12">
        <f>+F461/G461</f>
        <v>3.6</v>
      </c>
      <c r="J461">
        <v>3.4</v>
      </c>
      <c r="K461">
        <v>6</v>
      </c>
      <c r="L461">
        <v>5.9</v>
      </c>
      <c r="P461" t="s">
        <v>333</v>
      </c>
      <c r="Q461" s="11">
        <f>+AVERAGEIFS(I:I,D:D,P461)</f>
        <v>3.4</v>
      </c>
      <c r="R461" s="13">
        <f>+I461/Q461-1</f>
        <v>5.8823529411764719E-2</v>
      </c>
    </row>
    <row r="462" spans="1:18" hidden="1" x14ac:dyDescent="0.25">
      <c r="A462" s="6">
        <v>2424</v>
      </c>
      <c r="B462" s="6" t="s">
        <v>36</v>
      </c>
      <c r="C462" s="6" t="s">
        <v>237</v>
      </c>
      <c r="D462" s="6" t="s">
        <v>26</v>
      </c>
      <c r="E462" s="6" t="s">
        <v>27</v>
      </c>
      <c r="F462" s="6">
        <v>4.4000000000000004</v>
      </c>
      <c r="G462" s="6">
        <v>3</v>
      </c>
      <c r="H462" s="6">
        <v>0</v>
      </c>
      <c r="I462" s="15">
        <f>+F462/G462</f>
        <v>1.4666666666666668</v>
      </c>
      <c r="J462" s="3">
        <v>1.88</v>
      </c>
      <c r="K462" s="3">
        <v>2</v>
      </c>
      <c r="L462" s="3">
        <v>-21.8</v>
      </c>
      <c r="M462" t="s">
        <v>407</v>
      </c>
      <c r="P462" s="6" t="s">
        <v>26</v>
      </c>
      <c r="Q462" s="11">
        <f>+AVERAGEIFS(I:I,D:D,P462)</f>
        <v>15.648333333333332</v>
      </c>
      <c r="R462" s="13">
        <f>+I462/Q462-1</f>
        <v>-0.90627329854084571</v>
      </c>
    </row>
    <row r="463" spans="1:18" hidden="1" x14ac:dyDescent="0.25">
      <c r="A463">
        <v>2204</v>
      </c>
      <c r="B463" t="s">
        <v>327</v>
      </c>
      <c r="C463" t="s">
        <v>324</v>
      </c>
      <c r="D463" t="s">
        <v>335</v>
      </c>
      <c r="E463" t="s">
        <v>336</v>
      </c>
      <c r="F463">
        <v>1.4</v>
      </c>
      <c r="G463">
        <v>1</v>
      </c>
      <c r="H463">
        <v>0</v>
      </c>
      <c r="I463" s="12">
        <f>+F463/G463</f>
        <v>1.4</v>
      </c>
      <c r="J463">
        <v>1.47</v>
      </c>
      <c r="K463">
        <v>3</v>
      </c>
      <c r="L463">
        <v>-4.5</v>
      </c>
      <c r="P463" t="s">
        <v>335</v>
      </c>
      <c r="Q463" s="11">
        <f>+AVERAGEIFS(I:I,D:D,P463)</f>
        <v>1.4666666666666668</v>
      </c>
      <c r="R463" s="13">
        <f>+I463/Q463-1</f>
        <v>-4.5454545454545636E-2</v>
      </c>
    </row>
    <row r="464" spans="1:18" hidden="1" x14ac:dyDescent="0.25">
      <c r="A464" s="6">
        <v>2056</v>
      </c>
      <c r="B464" s="6" t="s">
        <v>24</v>
      </c>
      <c r="C464" s="6" t="s">
        <v>13</v>
      </c>
      <c r="D464" s="6" t="s">
        <v>21</v>
      </c>
      <c r="E464" s="6" t="s">
        <v>22</v>
      </c>
      <c r="F464" s="6">
        <v>2.2000000000000002</v>
      </c>
      <c r="G464" s="6">
        <v>1</v>
      </c>
      <c r="H464" s="6">
        <v>0</v>
      </c>
      <c r="I464" s="15">
        <f>+F464/G464</f>
        <v>2.2000000000000002</v>
      </c>
      <c r="J464" s="8">
        <v>2.73</v>
      </c>
      <c r="K464" s="8">
        <v>4</v>
      </c>
      <c r="L464" s="8">
        <v>-19.5</v>
      </c>
      <c r="P464" s="6" t="s">
        <v>21</v>
      </c>
      <c r="Q464" s="11">
        <f>+AVERAGEIFS(I:I,D:D,P464)</f>
        <v>2.8933333333333335</v>
      </c>
      <c r="R464" s="13">
        <f>+I464/Q464-1</f>
        <v>-0.23963133640552992</v>
      </c>
    </row>
    <row r="465" spans="1:18" hidden="1" x14ac:dyDescent="0.25">
      <c r="A465" s="2">
        <v>2199</v>
      </c>
      <c r="B465" s="2" t="s">
        <v>327</v>
      </c>
      <c r="C465" s="2" t="s">
        <v>324</v>
      </c>
      <c r="D465" s="2" t="s">
        <v>333</v>
      </c>
      <c r="E465" s="2" t="s">
        <v>334</v>
      </c>
      <c r="F465" s="2">
        <v>4.5999999999999996</v>
      </c>
      <c r="G465" s="2">
        <v>1</v>
      </c>
      <c r="H465" s="2">
        <v>0</v>
      </c>
      <c r="I465" s="15">
        <f>+F465/G465</f>
        <v>4.5999999999999996</v>
      </c>
      <c r="J465" s="2">
        <v>3.4</v>
      </c>
      <c r="K465" s="2">
        <v>6</v>
      </c>
      <c r="L465" s="2">
        <v>35.299999999999997</v>
      </c>
      <c r="P465" s="2" t="s">
        <v>333</v>
      </c>
      <c r="Q465" s="11">
        <f>+AVERAGEIFS(I:I,D:D,P465)</f>
        <v>3.4</v>
      </c>
      <c r="R465" s="13">
        <f>+I465/Q465-1</f>
        <v>0.35294117647058809</v>
      </c>
    </row>
    <row r="466" spans="1:18" hidden="1" x14ac:dyDescent="0.25">
      <c r="A466" s="4">
        <v>2158</v>
      </c>
      <c r="B466" s="4" t="s">
        <v>328</v>
      </c>
      <c r="C466" s="4" t="s">
        <v>324</v>
      </c>
      <c r="D466" s="4" t="s">
        <v>333</v>
      </c>
      <c r="E466" s="4" t="s">
        <v>334</v>
      </c>
      <c r="F466" s="4">
        <v>2.2000000000000002</v>
      </c>
      <c r="G466" s="4">
        <v>1</v>
      </c>
      <c r="H466" s="4">
        <v>0</v>
      </c>
      <c r="I466" s="15">
        <f>+F466/G466</f>
        <v>2.2000000000000002</v>
      </c>
      <c r="J466" s="2">
        <v>3.4</v>
      </c>
      <c r="K466" s="2">
        <v>6</v>
      </c>
      <c r="L466" s="2">
        <v>-35.299999999999997</v>
      </c>
      <c r="P466" s="4" t="s">
        <v>333</v>
      </c>
      <c r="Q466" s="11">
        <f>+AVERAGEIFS(I:I,D:D,P466)</f>
        <v>3.4</v>
      </c>
      <c r="R466" s="13">
        <f>+I466/Q466-1</f>
        <v>-0.3529411764705882</v>
      </c>
    </row>
    <row r="467" spans="1:18" hidden="1" x14ac:dyDescent="0.25">
      <c r="A467" s="4">
        <v>2217</v>
      </c>
      <c r="B467" s="4" t="s">
        <v>69</v>
      </c>
      <c r="C467" s="4" t="s">
        <v>324</v>
      </c>
      <c r="D467" s="4" t="s">
        <v>333</v>
      </c>
      <c r="E467" s="4" t="s">
        <v>334</v>
      </c>
      <c r="F467" s="4">
        <v>1.4</v>
      </c>
      <c r="G467" s="4">
        <v>1</v>
      </c>
      <c r="H467" s="4">
        <v>0</v>
      </c>
      <c r="I467" s="15">
        <f>+F467/G467</f>
        <v>1.4</v>
      </c>
      <c r="J467" s="2">
        <v>3.4</v>
      </c>
      <c r="K467" s="2">
        <v>6</v>
      </c>
      <c r="L467" s="2">
        <v>-58.8</v>
      </c>
      <c r="P467" s="4" t="s">
        <v>333</v>
      </c>
      <c r="Q467" s="11">
        <f>+AVERAGEIFS(I:I,D:D,P467)</f>
        <v>3.4</v>
      </c>
      <c r="R467" s="13">
        <f>+I467/Q467-1</f>
        <v>-0.58823529411764708</v>
      </c>
    </row>
    <row r="468" spans="1:18" hidden="1" x14ac:dyDescent="0.25">
      <c r="A468">
        <v>2120</v>
      </c>
      <c r="B468" t="s">
        <v>81</v>
      </c>
      <c r="C468" t="s">
        <v>324</v>
      </c>
      <c r="D468" t="s">
        <v>337</v>
      </c>
      <c r="E468" t="s">
        <v>338</v>
      </c>
      <c r="F468">
        <v>4.83</v>
      </c>
      <c r="G468">
        <v>1</v>
      </c>
      <c r="H468">
        <v>0</v>
      </c>
      <c r="I468" s="12">
        <f>+F468/G468</f>
        <v>4.83</v>
      </c>
      <c r="J468">
        <v>5.36</v>
      </c>
      <c r="K468">
        <v>4</v>
      </c>
      <c r="L468">
        <v>-9.8000000000000007</v>
      </c>
      <c r="P468" t="s">
        <v>337</v>
      </c>
      <c r="Q468" s="11">
        <f>+AVERAGEIFS(I:I,D:D,P468)</f>
        <v>5.3574999999999999</v>
      </c>
      <c r="R468" s="13">
        <f>+I468/Q468-1</f>
        <v>-9.8460102659822635E-2</v>
      </c>
    </row>
    <row r="469" spans="1:18" hidden="1" x14ac:dyDescent="0.25">
      <c r="A469" s="2">
        <v>2266</v>
      </c>
      <c r="B469" s="2" t="s">
        <v>208</v>
      </c>
      <c r="C469" s="2" t="s">
        <v>324</v>
      </c>
      <c r="D469" s="2" t="s">
        <v>333</v>
      </c>
      <c r="E469" s="2" t="s">
        <v>334</v>
      </c>
      <c r="F469" s="2">
        <v>6</v>
      </c>
      <c r="G469" s="2">
        <v>1</v>
      </c>
      <c r="H469" s="2">
        <v>0</v>
      </c>
      <c r="I469" s="15">
        <f>+F469/G469</f>
        <v>6</v>
      </c>
      <c r="J469" s="2">
        <v>3.4</v>
      </c>
      <c r="K469" s="2">
        <v>6</v>
      </c>
      <c r="L469" s="2">
        <v>76.5</v>
      </c>
      <c r="P469" s="2" t="s">
        <v>333</v>
      </c>
      <c r="Q469" s="11">
        <f>+AVERAGEIFS(I:I,D:D,P469)</f>
        <v>3.4</v>
      </c>
      <c r="R469" s="13">
        <f>+I469/Q469-1</f>
        <v>0.76470588235294112</v>
      </c>
    </row>
    <row r="470" spans="1:18" hidden="1" x14ac:dyDescent="0.25">
      <c r="A470">
        <v>2153</v>
      </c>
      <c r="B470" t="s">
        <v>328</v>
      </c>
      <c r="C470" t="s">
        <v>324</v>
      </c>
      <c r="D470" t="s">
        <v>65</v>
      </c>
      <c r="E470" t="s">
        <v>339</v>
      </c>
      <c r="F470">
        <v>81.5</v>
      </c>
      <c r="G470">
        <v>3</v>
      </c>
      <c r="H470">
        <v>0</v>
      </c>
      <c r="I470" s="12">
        <f>+F470/G470</f>
        <v>27.166666666666668</v>
      </c>
      <c r="J470">
        <v>28.17</v>
      </c>
      <c r="K470">
        <v>10</v>
      </c>
      <c r="L470">
        <v>-3.6</v>
      </c>
      <c r="P470" t="s">
        <v>65</v>
      </c>
      <c r="Q470" s="11">
        <f>+AVERAGEIFS(I:I,D:D,P470)</f>
        <v>26.819444444444436</v>
      </c>
      <c r="R470" s="13">
        <f>+I470/Q470-1</f>
        <v>1.2946659761781776E-2</v>
      </c>
    </row>
    <row r="471" spans="1:18" hidden="1" x14ac:dyDescent="0.25">
      <c r="A471">
        <v>2106</v>
      </c>
      <c r="B471" t="s">
        <v>16</v>
      </c>
      <c r="C471" t="s">
        <v>324</v>
      </c>
      <c r="D471" t="s">
        <v>65</v>
      </c>
      <c r="E471" t="s">
        <v>339</v>
      </c>
      <c r="F471">
        <v>26.5</v>
      </c>
      <c r="G471">
        <v>1</v>
      </c>
      <c r="H471">
        <v>0</v>
      </c>
      <c r="I471" s="12">
        <f>+F471/G471</f>
        <v>26.5</v>
      </c>
      <c r="J471">
        <v>28.17</v>
      </c>
      <c r="K471">
        <v>10</v>
      </c>
      <c r="L471">
        <v>-5.9</v>
      </c>
      <c r="P471" t="s">
        <v>65</v>
      </c>
      <c r="Q471" s="11">
        <f>+AVERAGEIFS(I:I,D:D,P471)</f>
        <v>26.819444444444436</v>
      </c>
      <c r="R471" s="13">
        <f>+I471/Q471-1</f>
        <v>-1.1910926980838621E-2</v>
      </c>
    </row>
    <row r="472" spans="1:18" hidden="1" x14ac:dyDescent="0.25">
      <c r="A472">
        <v>2167</v>
      </c>
      <c r="B472" t="s">
        <v>332</v>
      </c>
      <c r="C472" t="s">
        <v>324</v>
      </c>
      <c r="D472" t="s">
        <v>65</v>
      </c>
      <c r="E472" t="s">
        <v>339</v>
      </c>
      <c r="F472">
        <v>59.1</v>
      </c>
      <c r="G472">
        <v>2</v>
      </c>
      <c r="H472">
        <v>0</v>
      </c>
      <c r="I472" s="12">
        <f>+F472/G472</f>
        <v>29.55</v>
      </c>
      <c r="J472">
        <v>28.17</v>
      </c>
      <c r="K472">
        <v>10</v>
      </c>
      <c r="L472">
        <v>4.9000000000000004</v>
      </c>
      <c r="P472" t="s">
        <v>65</v>
      </c>
      <c r="Q472" s="11">
        <f>+AVERAGEIFS(I:I,D:D,P472)</f>
        <v>26.819444444444436</v>
      </c>
      <c r="R472" s="13">
        <f>+I472/Q472-1</f>
        <v>0.10181253236664989</v>
      </c>
    </row>
    <row r="473" spans="1:18" hidden="1" x14ac:dyDescent="0.25">
      <c r="A473" s="6">
        <v>2181</v>
      </c>
      <c r="B473" s="6" t="s">
        <v>87</v>
      </c>
      <c r="C473" s="6" t="s">
        <v>324</v>
      </c>
      <c r="D473" s="6" t="s">
        <v>333</v>
      </c>
      <c r="E473" s="6" t="s">
        <v>334</v>
      </c>
      <c r="F473" s="6">
        <v>2.6</v>
      </c>
      <c r="G473" s="6">
        <v>1</v>
      </c>
      <c r="H473" s="6">
        <v>0</v>
      </c>
      <c r="I473" s="15">
        <f>+F473/G473</f>
        <v>2.6</v>
      </c>
      <c r="J473" s="3">
        <v>3.4</v>
      </c>
      <c r="K473" s="3">
        <v>6</v>
      </c>
      <c r="L473" s="3">
        <v>-23.5</v>
      </c>
      <c r="P473" s="6" t="s">
        <v>333</v>
      </c>
      <c r="Q473" s="11">
        <f>+AVERAGEIFS(I:I,D:D,P473)</f>
        <v>3.4</v>
      </c>
      <c r="R473" s="13">
        <f>+I473/Q473-1</f>
        <v>-0.23529411764705876</v>
      </c>
    </row>
    <row r="474" spans="1:18" hidden="1" x14ac:dyDescent="0.25">
      <c r="A474" s="2">
        <v>2233</v>
      </c>
      <c r="B474" s="2" t="s">
        <v>82</v>
      </c>
      <c r="C474" s="2" t="s">
        <v>324</v>
      </c>
      <c r="D474" s="2" t="s">
        <v>335</v>
      </c>
      <c r="E474" s="2" t="s">
        <v>336</v>
      </c>
      <c r="F474" s="2">
        <v>2</v>
      </c>
      <c r="G474" s="2">
        <v>1</v>
      </c>
      <c r="H474" s="2">
        <v>0</v>
      </c>
      <c r="I474" s="15">
        <f>+F474/G474</f>
        <v>2</v>
      </c>
      <c r="J474" s="2">
        <v>1.47</v>
      </c>
      <c r="K474" s="2">
        <v>3</v>
      </c>
      <c r="L474" s="2">
        <v>36.4</v>
      </c>
      <c r="P474" s="2" t="s">
        <v>335</v>
      </c>
      <c r="Q474" s="11">
        <f>+AVERAGEIFS(I:I,D:D,P474)</f>
        <v>1.4666666666666668</v>
      </c>
      <c r="R474" s="13">
        <f>+I474/Q474-1</f>
        <v>0.36363636363636354</v>
      </c>
    </row>
    <row r="475" spans="1:18" hidden="1" x14ac:dyDescent="0.25">
      <c r="A475" s="4">
        <v>2129</v>
      </c>
      <c r="B475" s="4" t="s">
        <v>19</v>
      </c>
      <c r="C475" s="4" t="s">
        <v>324</v>
      </c>
      <c r="D475" s="4" t="s">
        <v>335</v>
      </c>
      <c r="E475" s="4" t="s">
        <v>336</v>
      </c>
      <c r="F475" s="4">
        <v>1</v>
      </c>
      <c r="G475" s="4">
        <v>1</v>
      </c>
      <c r="H475" s="4">
        <v>0</v>
      </c>
      <c r="I475" s="15">
        <f>+F475/G475</f>
        <v>1</v>
      </c>
      <c r="J475" s="2">
        <v>1.47</v>
      </c>
      <c r="K475" s="2">
        <v>3</v>
      </c>
      <c r="L475" s="2">
        <v>-31.8</v>
      </c>
      <c r="P475" s="4" t="s">
        <v>335</v>
      </c>
      <c r="Q475" s="11">
        <f>+AVERAGEIFS(I:I,D:D,P475)</f>
        <v>1.4666666666666668</v>
      </c>
      <c r="R475" s="13">
        <f>+I475/Q475-1</f>
        <v>-0.31818181818181823</v>
      </c>
    </row>
    <row r="476" spans="1:18" hidden="1" x14ac:dyDescent="0.25">
      <c r="A476">
        <v>2227</v>
      </c>
      <c r="B476" t="s">
        <v>82</v>
      </c>
      <c r="C476" t="s">
        <v>324</v>
      </c>
      <c r="D476" t="s">
        <v>65</v>
      </c>
      <c r="E476" t="s">
        <v>339</v>
      </c>
      <c r="F476">
        <v>74.3</v>
      </c>
      <c r="G476">
        <v>3</v>
      </c>
      <c r="H476">
        <v>0</v>
      </c>
      <c r="I476" s="12">
        <f>+F476/G476</f>
        <v>24.766666666666666</v>
      </c>
      <c r="J476">
        <v>28.17</v>
      </c>
      <c r="K476">
        <v>10</v>
      </c>
      <c r="L476">
        <v>-12.1</v>
      </c>
      <c r="P476" t="s">
        <v>65</v>
      </c>
      <c r="Q476" s="11">
        <f>+AVERAGEIFS(I:I,D:D,P476)</f>
        <v>26.819444444444436</v>
      </c>
      <c r="R476" s="13">
        <f>+I476/Q476-1</f>
        <v>-7.6540652511651763E-2</v>
      </c>
    </row>
    <row r="477" spans="1:18" hidden="1" x14ac:dyDescent="0.25">
      <c r="A477" s="2">
        <v>2200</v>
      </c>
      <c r="B477" s="2" t="s">
        <v>327</v>
      </c>
      <c r="C477" s="2" t="s">
        <v>324</v>
      </c>
      <c r="D477" s="2" t="s">
        <v>337</v>
      </c>
      <c r="E477" s="2" t="s">
        <v>338</v>
      </c>
      <c r="F477" s="2">
        <v>7</v>
      </c>
      <c r="G477" s="2">
        <v>1</v>
      </c>
      <c r="H477" s="2">
        <v>0</v>
      </c>
      <c r="I477" s="15">
        <f>+F477/G477</f>
        <v>7</v>
      </c>
      <c r="J477" s="2">
        <v>5.36</v>
      </c>
      <c r="K477" s="2">
        <v>4</v>
      </c>
      <c r="L477" s="2">
        <v>30.7</v>
      </c>
      <c r="P477" s="2" t="s">
        <v>337</v>
      </c>
      <c r="Q477" s="11">
        <f>+AVERAGEIFS(I:I,D:D,P477)</f>
        <v>5.3574999999999999</v>
      </c>
      <c r="R477" s="13">
        <f>+I477/Q477-1</f>
        <v>0.30657956136257591</v>
      </c>
    </row>
    <row r="478" spans="1:18" hidden="1" x14ac:dyDescent="0.25">
      <c r="A478" s="4">
        <v>2267</v>
      </c>
      <c r="B478" s="4" t="s">
        <v>208</v>
      </c>
      <c r="C478" s="4" t="s">
        <v>324</v>
      </c>
      <c r="D478" s="4" t="s">
        <v>337</v>
      </c>
      <c r="E478" s="4" t="s">
        <v>338</v>
      </c>
      <c r="F478" s="4">
        <v>2.4</v>
      </c>
      <c r="G478" s="4">
        <v>1</v>
      </c>
      <c r="H478" s="4">
        <v>0</v>
      </c>
      <c r="I478" s="15">
        <f>+F478/G478</f>
        <v>2.4</v>
      </c>
      <c r="J478" s="2">
        <v>5.36</v>
      </c>
      <c r="K478" s="2">
        <v>4</v>
      </c>
      <c r="L478" s="2">
        <v>-55.2</v>
      </c>
      <c r="P478" s="4" t="s">
        <v>337</v>
      </c>
      <c r="Q478" s="11">
        <f>+AVERAGEIFS(I:I,D:D,P478)</f>
        <v>5.3574999999999999</v>
      </c>
      <c r="R478" s="13">
        <f>+I478/Q478-1</f>
        <v>-0.55202986467568826</v>
      </c>
    </row>
    <row r="479" spans="1:18" hidden="1" x14ac:dyDescent="0.25">
      <c r="A479">
        <v>2246</v>
      </c>
      <c r="B479" t="s">
        <v>36</v>
      </c>
      <c r="C479" t="s">
        <v>324</v>
      </c>
      <c r="D479" t="s">
        <v>65</v>
      </c>
      <c r="E479" t="s">
        <v>339</v>
      </c>
      <c r="F479">
        <v>29.3</v>
      </c>
      <c r="G479">
        <v>1</v>
      </c>
      <c r="H479">
        <v>0</v>
      </c>
      <c r="I479" s="12">
        <f>+F479/G479</f>
        <v>29.3</v>
      </c>
      <c r="J479">
        <v>28.17</v>
      </c>
      <c r="K479">
        <v>10</v>
      </c>
      <c r="L479">
        <v>4</v>
      </c>
      <c r="P479" t="s">
        <v>65</v>
      </c>
      <c r="Q479" s="11">
        <f>+AVERAGEIFS(I:I,D:D,P479)</f>
        <v>26.819444444444436</v>
      </c>
      <c r="R479" s="13">
        <f>+I479/Q479-1</f>
        <v>9.2490937338167045E-2</v>
      </c>
    </row>
    <row r="480" spans="1:18" hidden="1" x14ac:dyDescent="0.25">
      <c r="A480" s="2">
        <v>2146</v>
      </c>
      <c r="B480" s="2" t="s">
        <v>230</v>
      </c>
      <c r="C480" s="2" t="s">
        <v>324</v>
      </c>
      <c r="D480" s="2" t="s">
        <v>74</v>
      </c>
      <c r="E480" s="2" t="s">
        <v>75</v>
      </c>
      <c r="F480" s="2">
        <v>4.47</v>
      </c>
      <c r="G480" s="2">
        <v>1</v>
      </c>
      <c r="H480" s="2">
        <v>0</v>
      </c>
      <c r="I480" s="15">
        <f>+F480/G480</f>
        <v>4.47</v>
      </c>
      <c r="J480" s="2">
        <v>7.94</v>
      </c>
      <c r="K480" s="2">
        <v>38</v>
      </c>
      <c r="L480" s="2">
        <v>-43.7</v>
      </c>
      <c r="P480" s="2" t="s">
        <v>74</v>
      </c>
      <c r="Q480" s="11">
        <f>+AVERAGEIFS(I:I,D:D,P480)</f>
        <v>7.9465789473684207</v>
      </c>
      <c r="R480" s="13">
        <f>+I480/Q480-1</f>
        <v>-0.43749379077391792</v>
      </c>
    </row>
    <row r="481" spans="1:18" hidden="1" x14ac:dyDescent="0.25">
      <c r="A481" s="3">
        <v>2189</v>
      </c>
      <c r="B481" s="3" t="s">
        <v>20</v>
      </c>
      <c r="C481" s="3" t="s">
        <v>324</v>
      </c>
      <c r="D481" s="3" t="s">
        <v>74</v>
      </c>
      <c r="E481" s="3" t="s">
        <v>75</v>
      </c>
      <c r="F481" s="3">
        <v>6</v>
      </c>
      <c r="G481" s="3">
        <v>1</v>
      </c>
      <c r="H481" s="3">
        <v>0</v>
      </c>
      <c r="I481" s="15">
        <f>+F481/G481</f>
        <v>6</v>
      </c>
      <c r="J481" s="3">
        <v>7.94</v>
      </c>
      <c r="K481" s="3">
        <v>38</v>
      </c>
      <c r="L481" s="3">
        <v>-24.4</v>
      </c>
      <c r="P481" s="3" t="s">
        <v>74</v>
      </c>
      <c r="Q481" s="11">
        <f>+AVERAGEIFS(I:I,D:D,P481)</f>
        <v>7.9465789473684207</v>
      </c>
      <c r="R481" s="13">
        <f>+I481/Q481-1</f>
        <v>-0.24495810842136634</v>
      </c>
    </row>
    <row r="482" spans="1:18" hidden="1" x14ac:dyDescent="0.25">
      <c r="A482" s="3">
        <v>2148</v>
      </c>
      <c r="B482" s="3" t="s">
        <v>12</v>
      </c>
      <c r="C482" s="3" t="s">
        <v>324</v>
      </c>
      <c r="D482" s="3" t="s">
        <v>74</v>
      </c>
      <c r="E482" s="3" t="s">
        <v>75</v>
      </c>
      <c r="F482" s="3">
        <v>9.9</v>
      </c>
      <c r="G482" s="3">
        <v>1</v>
      </c>
      <c r="H482" s="3">
        <v>0</v>
      </c>
      <c r="I482" s="15">
        <f>+F482/G482</f>
        <v>9.9</v>
      </c>
      <c r="J482" s="3">
        <v>7.94</v>
      </c>
      <c r="K482" s="3">
        <v>38</v>
      </c>
      <c r="L482" s="3">
        <v>24.7</v>
      </c>
      <c r="P482" s="3" t="s">
        <v>74</v>
      </c>
      <c r="Q482" s="11">
        <f>+AVERAGEIFS(I:I,D:D,P482)</f>
        <v>7.9465789473684207</v>
      </c>
      <c r="R482" s="13">
        <f>+I482/Q482-1</f>
        <v>0.24581912110474557</v>
      </c>
    </row>
    <row r="483" spans="1:18" hidden="1" x14ac:dyDescent="0.25">
      <c r="A483" s="2">
        <v>2203</v>
      </c>
      <c r="B483" s="2" t="s">
        <v>327</v>
      </c>
      <c r="C483" s="2" t="s">
        <v>324</v>
      </c>
      <c r="D483" s="2" t="s">
        <v>74</v>
      </c>
      <c r="E483" s="2" t="s">
        <v>75</v>
      </c>
      <c r="F483" s="2">
        <v>10.6</v>
      </c>
      <c r="G483" s="2">
        <v>1</v>
      </c>
      <c r="H483" s="2">
        <v>0</v>
      </c>
      <c r="I483" s="15">
        <f>+F483/G483</f>
        <v>10.6</v>
      </c>
      <c r="J483" s="2">
        <v>7.94</v>
      </c>
      <c r="K483" s="2">
        <v>38</v>
      </c>
      <c r="L483" s="2">
        <v>33.5</v>
      </c>
      <c r="P483" s="2" t="s">
        <v>74</v>
      </c>
      <c r="Q483" s="11">
        <f>+AVERAGEIFS(I:I,D:D,P483)</f>
        <v>7.9465789473684207</v>
      </c>
      <c r="R483" s="13">
        <f>+I483/Q483-1</f>
        <v>0.33390734178891934</v>
      </c>
    </row>
    <row r="484" spans="1:18" hidden="1" x14ac:dyDescent="0.25">
      <c r="A484" s="3">
        <v>2154</v>
      </c>
      <c r="B484" s="3" t="s">
        <v>328</v>
      </c>
      <c r="C484" s="3" t="s">
        <v>324</v>
      </c>
      <c r="D484" s="3" t="s">
        <v>74</v>
      </c>
      <c r="E484" s="3" t="s">
        <v>75</v>
      </c>
      <c r="F484" s="3">
        <v>6</v>
      </c>
      <c r="G484" s="3">
        <v>1</v>
      </c>
      <c r="H484" s="3">
        <v>0</v>
      </c>
      <c r="I484" s="15">
        <f>+F484/G484</f>
        <v>6</v>
      </c>
      <c r="J484" s="3">
        <v>7.94</v>
      </c>
      <c r="K484" s="3">
        <v>38</v>
      </c>
      <c r="L484" s="3">
        <v>-24.4</v>
      </c>
      <c r="P484" s="3" t="s">
        <v>74</v>
      </c>
      <c r="Q484" s="11">
        <f>+AVERAGEIFS(I:I,D:D,P484)</f>
        <v>7.9465789473684207</v>
      </c>
      <c r="R484" s="13">
        <f>+I484/Q484-1</f>
        <v>-0.24495810842136634</v>
      </c>
    </row>
    <row r="485" spans="1:18" hidden="1" x14ac:dyDescent="0.25">
      <c r="A485" s="2">
        <v>2108</v>
      </c>
      <c r="B485" s="2" t="s">
        <v>16</v>
      </c>
      <c r="C485" s="2" t="s">
        <v>324</v>
      </c>
      <c r="D485" s="2" t="s">
        <v>74</v>
      </c>
      <c r="E485" s="2" t="s">
        <v>75</v>
      </c>
      <c r="F485" s="2">
        <v>10.4</v>
      </c>
      <c r="G485" s="2">
        <v>1</v>
      </c>
      <c r="H485" s="2">
        <v>0</v>
      </c>
      <c r="I485" s="15">
        <f>+F485/G485</f>
        <v>10.4</v>
      </c>
      <c r="J485" s="2">
        <v>7.94</v>
      </c>
      <c r="K485" s="2">
        <v>38</v>
      </c>
      <c r="L485" s="2">
        <v>31</v>
      </c>
      <c r="P485" s="2" t="s">
        <v>74</v>
      </c>
      <c r="Q485" s="11">
        <f>+AVERAGEIFS(I:I,D:D,P485)</f>
        <v>7.9465789473684207</v>
      </c>
      <c r="R485" s="13">
        <f>+I485/Q485-1</f>
        <v>0.30873927873629836</v>
      </c>
    </row>
    <row r="486" spans="1:18" hidden="1" x14ac:dyDescent="0.25">
      <c r="A486" s="3">
        <v>2162</v>
      </c>
      <c r="B486" s="3" t="s">
        <v>121</v>
      </c>
      <c r="C486" s="3" t="s">
        <v>324</v>
      </c>
      <c r="D486" s="3" t="s">
        <v>74</v>
      </c>
      <c r="E486" s="3" t="s">
        <v>75</v>
      </c>
      <c r="F486" s="3">
        <v>6.4</v>
      </c>
      <c r="G486" s="3">
        <v>1</v>
      </c>
      <c r="H486" s="3">
        <v>0</v>
      </c>
      <c r="I486" s="15">
        <f>+F486/G486</f>
        <v>6.4</v>
      </c>
      <c r="J486" s="3">
        <v>7.94</v>
      </c>
      <c r="K486" s="3">
        <v>38</v>
      </c>
      <c r="L486" s="3">
        <v>-19.399999999999999</v>
      </c>
      <c r="P486" s="3" t="s">
        <v>74</v>
      </c>
      <c r="Q486" s="11">
        <f>+AVERAGEIFS(I:I,D:D,P486)</f>
        <v>7.9465789473684207</v>
      </c>
      <c r="R486" s="13">
        <f>+I486/Q486-1</f>
        <v>-0.19462198231612404</v>
      </c>
    </row>
    <row r="487" spans="1:18" hidden="1" x14ac:dyDescent="0.25">
      <c r="A487" s="3">
        <v>2205</v>
      </c>
      <c r="B487" s="3" t="s">
        <v>212</v>
      </c>
      <c r="C487" s="3" t="s">
        <v>324</v>
      </c>
      <c r="D487" s="3" t="s">
        <v>74</v>
      </c>
      <c r="E487" s="3" t="s">
        <v>75</v>
      </c>
      <c r="F487" s="3">
        <v>9.5</v>
      </c>
      <c r="G487" s="3">
        <v>1</v>
      </c>
      <c r="H487" s="3">
        <v>0</v>
      </c>
      <c r="I487" s="15">
        <f>+F487/G487</f>
        <v>9.5</v>
      </c>
      <c r="J487" s="3">
        <v>7.94</v>
      </c>
      <c r="K487" s="3">
        <v>38</v>
      </c>
      <c r="L487" s="3">
        <v>19.600000000000001</v>
      </c>
      <c r="P487" s="3" t="s">
        <v>74</v>
      </c>
      <c r="Q487" s="11">
        <f>+AVERAGEIFS(I:I,D:D,P487)</f>
        <v>7.9465789473684207</v>
      </c>
      <c r="R487" s="13">
        <f>+I487/Q487-1</f>
        <v>0.19548299499950339</v>
      </c>
    </row>
    <row r="488" spans="1:18" hidden="1" x14ac:dyDescent="0.25">
      <c r="A488" s="2">
        <v>2257</v>
      </c>
      <c r="B488" s="2" t="s">
        <v>213</v>
      </c>
      <c r="C488" s="2" t="s">
        <v>324</v>
      </c>
      <c r="D488" s="2" t="s">
        <v>74</v>
      </c>
      <c r="E488" s="2" t="s">
        <v>75</v>
      </c>
      <c r="F488" s="2">
        <v>17.7</v>
      </c>
      <c r="G488" s="2">
        <v>1</v>
      </c>
      <c r="H488" s="2">
        <v>0</v>
      </c>
      <c r="I488" s="15">
        <f>+F488/G488</f>
        <v>17.7</v>
      </c>
      <c r="J488" s="2">
        <v>7.94</v>
      </c>
      <c r="K488" s="2">
        <v>38</v>
      </c>
      <c r="L488" s="2">
        <v>122.9</v>
      </c>
      <c r="P488" s="2" t="s">
        <v>74</v>
      </c>
      <c r="Q488" s="11">
        <f>+AVERAGEIFS(I:I,D:D,P488)</f>
        <v>7.9465789473684207</v>
      </c>
      <c r="R488" s="13">
        <f>+I488/Q488-1</f>
        <v>1.2273735801569692</v>
      </c>
    </row>
    <row r="489" spans="1:18" hidden="1" x14ac:dyDescent="0.25">
      <c r="A489" s="2">
        <v>2110</v>
      </c>
      <c r="B489" s="2" t="s">
        <v>78</v>
      </c>
      <c r="C489" s="2" t="s">
        <v>324</v>
      </c>
      <c r="D489" s="2" t="s">
        <v>74</v>
      </c>
      <c r="E489" s="2" t="s">
        <v>75</v>
      </c>
      <c r="F489" s="2">
        <v>5.8</v>
      </c>
      <c r="G489" s="2">
        <v>1</v>
      </c>
      <c r="H489" s="2">
        <v>0</v>
      </c>
      <c r="I489" s="15">
        <f>+F489/G489</f>
        <v>5.8</v>
      </c>
      <c r="J489" s="2">
        <v>7.94</v>
      </c>
      <c r="K489" s="2">
        <v>38</v>
      </c>
      <c r="L489" s="2">
        <v>-27</v>
      </c>
      <c r="P489" s="2" t="s">
        <v>74</v>
      </c>
      <c r="Q489" s="11">
        <f>+AVERAGEIFS(I:I,D:D,P489)</f>
        <v>7.9465789473684207</v>
      </c>
      <c r="R489" s="13">
        <f>+I489/Q489-1</f>
        <v>-0.27012617147398743</v>
      </c>
    </row>
    <row r="490" spans="1:18" hidden="1" x14ac:dyDescent="0.25">
      <c r="A490">
        <v>2163</v>
      </c>
      <c r="B490" t="s">
        <v>214</v>
      </c>
      <c r="C490" t="s">
        <v>324</v>
      </c>
      <c r="D490" t="s">
        <v>74</v>
      </c>
      <c r="E490" t="s">
        <v>75</v>
      </c>
      <c r="F490">
        <v>9</v>
      </c>
      <c r="G490">
        <v>1</v>
      </c>
      <c r="H490">
        <v>0</v>
      </c>
      <c r="I490" s="15">
        <f>+F490/G490</f>
        <v>9</v>
      </c>
      <c r="J490">
        <v>7.94</v>
      </c>
      <c r="K490">
        <v>38</v>
      </c>
      <c r="L490">
        <v>13.3</v>
      </c>
      <c r="P490" t="s">
        <v>74</v>
      </c>
      <c r="Q490" s="11">
        <f>+AVERAGEIFS(I:I,D:D,P490)</f>
        <v>7.9465789473684207</v>
      </c>
      <c r="R490" s="13">
        <f>+I490/Q490-1</f>
        <v>0.1325628373679506</v>
      </c>
    </row>
    <row r="491" spans="1:18" hidden="1" x14ac:dyDescent="0.25">
      <c r="A491" s="2">
        <v>2262</v>
      </c>
      <c r="B491" s="2" t="s">
        <v>79</v>
      </c>
      <c r="C491" s="2" t="s">
        <v>324</v>
      </c>
      <c r="D491" s="2" t="s">
        <v>74</v>
      </c>
      <c r="E491" s="2" t="s">
        <v>75</v>
      </c>
      <c r="F491" s="2">
        <v>11.4</v>
      </c>
      <c r="G491" s="2">
        <v>1</v>
      </c>
      <c r="H491" s="2">
        <v>0</v>
      </c>
      <c r="I491" s="15">
        <f>+F491/G491</f>
        <v>11.4</v>
      </c>
      <c r="J491" s="2">
        <v>7.94</v>
      </c>
      <c r="K491" s="2">
        <v>38</v>
      </c>
      <c r="L491" s="2">
        <v>43.5</v>
      </c>
      <c r="P491" s="2" t="s">
        <v>74</v>
      </c>
      <c r="Q491" s="11">
        <f>+AVERAGEIFS(I:I,D:D,P491)</f>
        <v>7.9465789473684207</v>
      </c>
      <c r="R491" s="13">
        <f>+I491/Q491-1</f>
        <v>0.43457959399940393</v>
      </c>
    </row>
    <row r="492" spans="1:18" hidden="1" x14ac:dyDescent="0.25">
      <c r="A492">
        <v>2164</v>
      </c>
      <c r="B492" t="s">
        <v>332</v>
      </c>
      <c r="C492" t="s">
        <v>324</v>
      </c>
      <c r="D492" t="s">
        <v>74</v>
      </c>
      <c r="E492" t="s">
        <v>75</v>
      </c>
      <c r="F492">
        <v>9</v>
      </c>
      <c r="G492">
        <v>1</v>
      </c>
      <c r="H492">
        <v>0</v>
      </c>
      <c r="I492" s="15">
        <f>+F492/G492</f>
        <v>9</v>
      </c>
      <c r="J492">
        <v>7.94</v>
      </c>
      <c r="K492">
        <v>38</v>
      </c>
      <c r="L492">
        <v>13.3</v>
      </c>
      <c r="P492" t="s">
        <v>74</v>
      </c>
      <c r="Q492" s="11">
        <f>+AVERAGEIFS(I:I,D:D,P492)</f>
        <v>7.9465789473684207</v>
      </c>
      <c r="R492" s="13">
        <f>+I492/Q492-1</f>
        <v>0.1325628373679506</v>
      </c>
    </row>
    <row r="493" spans="1:18" hidden="1" x14ac:dyDescent="0.25">
      <c r="A493" s="2">
        <v>2214</v>
      </c>
      <c r="B493" s="2" t="s">
        <v>69</v>
      </c>
      <c r="C493" s="2" t="s">
        <v>324</v>
      </c>
      <c r="D493" s="2" t="s">
        <v>74</v>
      </c>
      <c r="E493" s="2" t="s">
        <v>75</v>
      </c>
      <c r="F493" s="2">
        <v>17.16</v>
      </c>
      <c r="G493" s="2">
        <v>1</v>
      </c>
      <c r="H493" s="2">
        <v>0</v>
      </c>
      <c r="I493" s="15">
        <f>+F493/G493</f>
        <v>17.16</v>
      </c>
      <c r="J493" s="2">
        <v>7.94</v>
      </c>
      <c r="K493" s="2">
        <v>38</v>
      </c>
      <c r="L493" s="2">
        <v>116.1</v>
      </c>
      <c r="P493" s="2" t="s">
        <v>74</v>
      </c>
      <c r="Q493" s="11">
        <f>+AVERAGEIFS(I:I,D:D,P493)</f>
        <v>7.9465789473684207</v>
      </c>
      <c r="R493" s="13">
        <f>+I493/Q493-1</f>
        <v>1.1594198099148922</v>
      </c>
    </row>
    <row r="494" spans="1:18" hidden="1" x14ac:dyDescent="0.25">
      <c r="A494" s="3">
        <v>2113</v>
      </c>
      <c r="B494" s="3" t="s">
        <v>17</v>
      </c>
      <c r="C494" s="3" t="s">
        <v>324</v>
      </c>
      <c r="D494" s="3" t="s">
        <v>74</v>
      </c>
      <c r="E494" s="3" t="s">
        <v>75</v>
      </c>
      <c r="F494" s="3">
        <v>6</v>
      </c>
      <c r="G494" s="3">
        <v>1</v>
      </c>
      <c r="H494" s="3">
        <v>0</v>
      </c>
      <c r="I494" s="15">
        <f>+F494/G494</f>
        <v>6</v>
      </c>
      <c r="J494" s="3">
        <v>7.94</v>
      </c>
      <c r="K494" s="3">
        <v>38</v>
      </c>
      <c r="L494" s="3">
        <v>-24.4</v>
      </c>
      <c r="P494" s="3" t="s">
        <v>74</v>
      </c>
      <c r="Q494" s="11">
        <f>+AVERAGEIFS(I:I,D:D,P494)</f>
        <v>7.9465789473684207</v>
      </c>
      <c r="R494" s="13">
        <f>+I494/Q494-1</f>
        <v>-0.24495810842136634</v>
      </c>
    </row>
    <row r="495" spans="1:18" hidden="1" x14ac:dyDescent="0.25">
      <c r="A495" s="2">
        <v>2117</v>
      </c>
      <c r="B495" s="2" t="s">
        <v>329</v>
      </c>
      <c r="C495" s="2" t="s">
        <v>324</v>
      </c>
      <c r="D495" s="2" t="s">
        <v>74</v>
      </c>
      <c r="E495" s="2" t="s">
        <v>75</v>
      </c>
      <c r="F495" s="2">
        <v>5.7</v>
      </c>
      <c r="G495" s="2">
        <v>1</v>
      </c>
      <c r="H495" s="2">
        <v>0</v>
      </c>
      <c r="I495" s="15">
        <f>+F495/G495</f>
        <v>5.7</v>
      </c>
      <c r="J495" s="2">
        <v>7.94</v>
      </c>
      <c r="K495" s="2">
        <v>38</v>
      </c>
      <c r="L495" s="2">
        <v>-28.2</v>
      </c>
      <c r="P495" s="2" t="s">
        <v>74</v>
      </c>
      <c r="Q495" s="11">
        <f>+AVERAGEIFS(I:I,D:D,P495)</f>
        <v>7.9465789473684207</v>
      </c>
      <c r="R495" s="13">
        <f>+I495/Q495-1</f>
        <v>-0.28271020300029803</v>
      </c>
    </row>
    <row r="496" spans="1:18" hidden="1" x14ac:dyDescent="0.25">
      <c r="A496">
        <v>2270</v>
      </c>
      <c r="B496" t="s">
        <v>217</v>
      </c>
      <c r="C496" t="s">
        <v>324</v>
      </c>
      <c r="D496" t="s">
        <v>74</v>
      </c>
      <c r="E496" t="s">
        <v>75</v>
      </c>
      <c r="F496">
        <v>9</v>
      </c>
      <c r="G496">
        <v>1</v>
      </c>
      <c r="H496">
        <v>0</v>
      </c>
      <c r="I496" s="15">
        <f>+F496/G496</f>
        <v>9</v>
      </c>
      <c r="J496">
        <v>7.94</v>
      </c>
      <c r="K496">
        <v>38</v>
      </c>
      <c r="L496">
        <v>13.3</v>
      </c>
      <c r="P496" t="s">
        <v>74</v>
      </c>
      <c r="Q496" s="11">
        <f>+AVERAGEIFS(I:I,D:D,P496)</f>
        <v>7.9465789473684207</v>
      </c>
      <c r="R496" s="13">
        <f>+I496/Q496-1</f>
        <v>0.1325628373679506</v>
      </c>
    </row>
    <row r="497" spans="1:18" hidden="1" x14ac:dyDescent="0.25">
      <c r="A497" s="2">
        <v>2220</v>
      </c>
      <c r="B497" s="2" t="s">
        <v>220</v>
      </c>
      <c r="C497" s="2" t="s">
        <v>324</v>
      </c>
      <c r="D497" s="2" t="s">
        <v>74</v>
      </c>
      <c r="E497" s="2" t="s">
        <v>75</v>
      </c>
      <c r="F497" s="2">
        <v>5.85</v>
      </c>
      <c r="G497" s="2">
        <v>1</v>
      </c>
      <c r="H497" s="2">
        <v>0</v>
      </c>
      <c r="I497" s="15">
        <f>+F497/G497</f>
        <v>5.85</v>
      </c>
      <c r="J497" s="2">
        <v>7.94</v>
      </c>
      <c r="K497" s="2">
        <v>38</v>
      </c>
      <c r="L497" s="2">
        <v>-26.3</v>
      </c>
      <c r="P497" s="2" t="s">
        <v>74</v>
      </c>
      <c r="Q497" s="11">
        <f>+AVERAGEIFS(I:I,D:D,P497)</f>
        <v>7.9465789473684207</v>
      </c>
      <c r="R497" s="13">
        <f>+I497/Q497-1</f>
        <v>-0.26383415571083224</v>
      </c>
    </row>
    <row r="498" spans="1:18" hidden="1" x14ac:dyDescent="0.25">
      <c r="A498" s="2">
        <v>2272</v>
      </c>
      <c r="B498" s="2" t="s">
        <v>25</v>
      </c>
      <c r="C498" s="2" t="s">
        <v>324</v>
      </c>
      <c r="D498" s="2" t="s">
        <v>74</v>
      </c>
      <c r="E498" s="2" t="s">
        <v>75</v>
      </c>
      <c r="F498" s="2">
        <v>4</v>
      </c>
      <c r="G498" s="2">
        <v>1</v>
      </c>
      <c r="H498" s="2">
        <v>0</v>
      </c>
      <c r="I498" s="15">
        <f>+F498/G498</f>
        <v>4</v>
      </c>
      <c r="J498" s="2">
        <v>7.94</v>
      </c>
      <c r="K498" s="2">
        <v>38</v>
      </c>
      <c r="L498" s="2">
        <v>-49.6</v>
      </c>
      <c r="P498" s="2" t="s">
        <v>74</v>
      </c>
      <c r="Q498" s="11">
        <f>+AVERAGEIFS(I:I,D:D,P498)</f>
        <v>7.9465789473684207</v>
      </c>
      <c r="R498" s="13">
        <f>+I498/Q498-1</f>
        <v>-0.4966387389475776</v>
      </c>
    </row>
    <row r="499" spans="1:18" hidden="1" x14ac:dyDescent="0.25">
      <c r="A499">
        <v>2169</v>
      </c>
      <c r="B499" t="s">
        <v>122</v>
      </c>
      <c r="C499" t="s">
        <v>324</v>
      </c>
      <c r="D499" t="s">
        <v>74</v>
      </c>
      <c r="E499" t="s">
        <v>75</v>
      </c>
      <c r="F499">
        <v>8.4</v>
      </c>
      <c r="G499">
        <v>1</v>
      </c>
      <c r="H499">
        <v>0</v>
      </c>
      <c r="I499" s="12">
        <f>+F499/G499</f>
        <v>8.4</v>
      </c>
      <c r="J499">
        <v>7.94</v>
      </c>
      <c r="K499">
        <v>38</v>
      </c>
      <c r="L499">
        <v>5.8</v>
      </c>
      <c r="P499" t="s">
        <v>74</v>
      </c>
      <c r="Q499" s="11">
        <f>+AVERAGEIFS(I:I,D:D,P499)</f>
        <v>7.9465789473684207</v>
      </c>
      <c r="R499" s="13">
        <f>+I499/Q499-1</f>
        <v>5.7058648210087215E-2</v>
      </c>
    </row>
    <row r="500" spans="1:18" hidden="1" x14ac:dyDescent="0.25">
      <c r="A500" s="3">
        <v>2172</v>
      </c>
      <c r="B500" s="3" t="s">
        <v>222</v>
      </c>
      <c r="C500" s="3" t="s">
        <v>324</v>
      </c>
      <c r="D500" s="3" t="s">
        <v>74</v>
      </c>
      <c r="E500" s="3" t="s">
        <v>75</v>
      </c>
      <c r="F500" s="3">
        <v>6</v>
      </c>
      <c r="G500" s="3">
        <v>1</v>
      </c>
      <c r="H500" s="3">
        <v>0</v>
      </c>
      <c r="I500" s="15">
        <f>+F500/G500</f>
        <v>6</v>
      </c>
      <c r="J500" s="3">
        <v>7.94</v>
      </c>
      <c r="K500" s="3">
        <v>38</v>
      </c>
      <c r="L500" s="3">
        <v>-24.4</v>
      </c>
      <c r="P500" s="3" t="s">
        <v>74</v>
      </c>
      <c r="Q500" s="11">
        <f>+AVERAGEIFS(I:I,D:D,P500)</f>
        <v>7.9465789473684207</v>
      </c>
      <c r="R500" s="13">
        <f>+I500/Q500-1</f>
        <v>-0.24495810842136634</v>
      </c>
    </row>
    <row r="501" spans="1:18" hidden="1" x14ac:dyDescent="0.25">
      <c r="A501" s="2">
        <v>2228</v>
      </c>
      <c r="B501" s="2" t="s">
        <v>82</v>
      </c>
      <c r="C501" s="2" t="s">
        <v>324</v>
      </c>
      <c r="D501" s="2" t="s">
        <v>74</v>
      </c>
      <c r="E501" s="2" t="s">
        <v>75</v>
      </c>
      <c r="F501" s="2">
        <v>10.45</v>
      </c>
      <c r="G501" s="2">
        <v>1</v>
      </c>
      <c r="H501" s="2">
        <v>0</v>
      </c>
      <c r="I501" s="15">
        <f>+F501/G501</f>
        <v>10.45</v>
      </c>
      <c r="J501" s="2">
        <v>7.94</v>
      </c>
      <c r="K501" s="2">
        <v>38</v>
      </c>
      <c r="L501" s="2">
        <v>31.6</v>
      </c>
      <c r="P501" s="2" t="s">
        <v>74</v>
      </c>
      <c r="Q501" s="11">
        <f>+AVERAGEIFS(I:I,D:D,P501)</f>
        <v>7.9465789473684207</v>
      </c>
      <c r="R501" s="13">
        <f>+I501/Q501-1</f>
        <v>0.31503129449945355</v>
      </c>
    </row>
    <row r="502" spans="1:18" hidden="1" x14ac:dyDescent="0.25">
      <c r="A502" s="3">
        <v>2136</v>
      </c>
      <c r="B502" s="3" t="s">
        <v>83</v>
      </c>
      <c r="C502" s="3" t="s">
        <v>324</v>
      </c>
      <c r="D502" s="3" t="s">
        <v>74</v>
      </c>
      <c r="E502" s="3" t="s">
        <v>75</v>
      </c>
      <c r="F502" s="3">
        <v>6</v>
      </c>
      <c r="G502" s="3">
        <v>1</v>
      </c>
      <c r="H502" s="3">
        <v>0</v>
      </c>
      <c r="I502" s="15">
        <f>+F502/G502</f>
        <v>6</v>
      </c>
      <c r="J502" s="3">
        <v>7.94</v>
      </c>
      <c r="K502" s="3">
        <v>38</v>
      </c>
      <c r="L502" s="3">
        <v>-24.4</v>
      </c>
      <c r="P502" s="3" t="s">
        <v>74</v>
      </c>
      <c r="Q502" s="11">
        <f>+AVERAGEIFS(I:I,D:D,P502)</f>
        <v>7.9465789473684207</v>
      </c>
      <c r="R502" s="13">
        <f>+I502/Q502-1</f>
        <v>-0.24495810842136634</v>
      </c>
    </row>
    <row r="503" spans="1:18" hidden="1" x14ac:dyDescent="0.25">
      <c r="A503" s="2">
        <v>2122</v>
      </c>
      <c r="B503" s="2" t="s">
        <v>83</v>
      </c>
      <c r="C503" s="2" t="s">
        <v>324</v>
      </c>
      <c r="D503" s="2" t="s">
        <v>74</v>
      </c>
      <c r="E503" s="2" t="s">
        <v>75</v>
      </c>
      <c r="F503" s="2">
        <v>10</v>
      </c>
      <c r="G503" s="2">
        <v>1</v>
      </c>
      <c r="H503" s="2">
        <v>0</v>
      </c>
      <c r="I503" s="15">
        <f>+F503/G503</f>
        <v>10</v>
      </c>
      <c r="J503" s="2">
        <v>7.94</v>
      </c>
      <c r="K503" s="2">
        <v>38</v>
      </c>
      <c r="L503" s="2">
        <v>25.9</v>
      </c>
      <c r="P503" s="2" t="s">
        <v>74</v>
      </c>
      <c r="Q503" s="11">
        <f>+AVERAGEIFS(I:I,D:D,P503)</f>
        <v>7.9465789473684207</v>
      </c>
      <c r="R503" s="13">
        <f>+I503/Q503-1</f>
        <v>0.25840315263105618</v>
      </c>
    </row>
    <row r="504" spans="1:18" hidden="1" x14ac:dyDescent="0.25">
      <c r="A504" s="3">
        <v>2239</v>
      </c>
      <c r="B504" s="3" t="s">
        <v>84</v>
      </c>
      <c r="C504" s="3" t="s">
        <v>324</v>
      </c>
      <c r="D504" s="3" t="s">
        <v>74</v>
      </c>
      <c r="E504" s="3" t="s">
        <v>75</v>
      </c>
      <c r="F504" s="3">
        <v>6</v>
      </c>
      <c r="G504" s="3">
        <v>1</v>
      </c>
      <c r="H504" s="3">
        <v>0</v>
      </c>
      <c r="I504" s="15">
        <f>+F504/G504</f>
        <v>6</v>
      </c>
      <c r="J504" s="3">
        <v>7.94</v>
      </c>
      <c r="K504" s="3">
        <v>38</v>
      </c>
      <c r="L504" s="3">
        <v>-24.4</v>
      </c>
      <c r="P504" s="3" t="s">
        <v>74</v>
      </c>
      <c r="Q504" s="11">
        <f>+AVERAGEIFS(I:I,D:D,P504)</f>
        <v>7.9465789473684207</v>
      </c>
      <c r="R504" s="13">
        <f>+I504/Q504-1</f>
        <v>-0.24495810842136634</v>
      </c>
    </row>
    <row r="505" spans="1:18" hidden="1" x14ac:dyDescent="0.25">
      <c r="A505" s="2">
        <v>2123</v>
      </c>
      <c r="B505" s="2" t="s">
        <v>85</v>
      </c>
      <c r="C505" s="2" t="s">
        <v>324</v>
      </c>
      <c r="D505" s="2" t="s">
        <v>74</v>
      </c>
      <c r="E505" s="2" t="s">
        <v>75</v>
      </c>
      <c r="F505" s="2">
        <v>4</v>
      </c>
      <c r="G505" s="2">
        <v>1</v>
      </c>
      <c r="H505" s="2">
        <v>0</v>
      </c>
      <c r="I505" s="15">
        <f>+F505/G505</f>
        <v>4</v>
      </c>
      <c r="J505" s="2">
        <v>7.94</v>
      </c>
      <c r="K505" s="2">
        <v>38</v>
      </c>
      <c r="L505" s="2">
        <v>-49.6</v>
      </c>
      <c r="P505" s="2" t="s">
        <v>74</v>
      </c>
      <c r="Q505" s="11">
        <f>+AVERAGEIFS(I:I,D:D,P505)</f>
        <v>7.9465789473684207</v>
      </c>
      <c r="R505" s="13">
        <f>+I505/Q505-1</f>
        <v>-0.4966387389475776</v>
      </c>
    </row>
    <row r="506" spans="1:18" hidden="1" x14ac:dyDescent="0.25">
      <c r="A506">
        <v>2274</v>
      </c>
      <c r="B506" t="s">
        <v>86</v>
      </c>
      <c r="C506" t="s">
        <v>324</v>
      </c>
      <c r="D506" t="s">
        <v>74</v>
      </c>
      <c r="E506" t="s">
        <v>75</v>
      </c>
      <c r="F506">
        <v>7.2</v>
      </c>
      <c r="G506">
        <v>1</v>
      </c>
      <c r="H506">
        <v>0</v>
      </c>
      <c r="I506" s="12">
        <f>+F506/G506</f>
        <v>7.2</v>
      </c>
      <c r="J506">
        <v>7.94</v>
      </c>
      <c r="K506">
        <v>38</v>
      </c>
      <c r="L506">
        <v>-9.3000000000000007</v>
      </c>
      <c r="P506" t="s">
        <v>74</v>
      </c>
      <c r="Q506" s="11">
        <f>+AVERAGEIFS(I:I,D:D,P506)</f>
        <v>7.9465789473684207</v>
      </c>
      <c r="R506" s="13">
        <f>+I506/Q506-1</f>
        <v>-9.3949730105639562E-2</v>
      </c>
    </row>
    <row r="507" spans="1:18" hidden="1" x14ac:dyDescent="0.25">
      <c r="A507" s="3">
        <v>2278</v>
      </c>
      <c r="B507" s="3" t="s">
        <v>240</v>
      </c>
      <c r="C507" s="3" t="s">
        <v>324</v>
      </c>
      <c r="D507" s="3" t="s">
        <v>74</v>
      </c>
      <c r="E507" s="3" t="s">
        <v>75</v>
      </c>
      <c r="F507" s="3">
        <v>6.4</v>
      </c>
      <c r="G507" s="3">
        <v>1</v>
      </c>
      <c r="H507" s="3">
        <v>0</v>
      </c>
      <c r="I507" s="15">
        <f>+F507/G507</f>
        <v>6.4</v>
      </c>
      <c r="J507" s="3">
        <v>7.94</v>
      </c>
      <c r="K507" s="3">
        <v>38</v>
      </c>
      <c r="L507" s="3">
        <v>-19.399999999999999</v>
      </c>
      <c r="P507" s="3" t="s">
        <v>74</v>
      </c>
      <c r="Q507" s="11">
        <f>+AVERAGEIFS(I:I,D:D,P507)</f>
        <v>7.9465789473684207</v>
      </c>
      <c r="R507" s="13">
        <f>+I507/Q507-1</f>
        <v>-0.19462198231612404</v>
      </c>
    </row>
    <row r="508" spans="1:18" hidden="1" x14ac:dyDescent="0.25">
      <c r="A508" s="2">
        <v>2186</v>
      </c>
      <c r="B508" s="2" t="s">
        <v>89</v>
      </c>
      <c r="C508" s="2" t="s">
        <v>324</v>
      </c>
      <c r="D508" s="2" t="s">
        <v>74</v>
      </c>
      <c r="E508" s="2" t="s">
        <v>75</v>
      </c>
      <c r="F508" s="2">
        <v>5.2</v>
      </c>
      <c r="G508" s="2">
        <v>1</v>
      </c>
      <c r="H508" s="2">
        <v>0</v>
      </c>
      <c r="I508" s="15">
        <f>+F508/G508</f>
        <v>5.2</v>
      </c>
      <c r="J508" s="2">
        <v>7.94</v>
      </c>
      <c r="K508" s="2">
        <v>38</v>
      </c>
      <c r="L508" s="2">
        <v>-34.5</v>
      </c>
      <c r="P508" s="2" t="s">
        <v>74</v>
      </c>
      <c r="Q508" s="11">
        <f>+AVERAGEIFS(I:I,D:D,P508)</f>
        <v>7.9465789473684207</v>
      </c>
      <c r="R508" s="13">
        <f>+I508/Q508-1</f>
        <v>-0.34563036063185082</v>
      </c>
    </row>
    <row r="509" spans="1:18" hidden="1" x14ac:dyDescent="0.25">
      <c r="A509" s="2">
        <v>2286</v>
      </c>
      <c r="B509" s="2" t="s">
        <v>340</v>
      </c>
      <c r="C509" s="2" t="s">
        <v>324</v>
      </c>
      <c r="D509" s="2" t="s">
        <v>74</v>
      </c>
      <c r="E509" s="2" t="s">
        <v>75</v>
      </c>
      <c r="F509" s="2">
        <v>10.4</v>
      </c>
      <c r="G509" s="2">
        <v>1</v>
      </c>
      <c r="H509" s="2">
        <v>0</v>
      </c>
      <c r="I509" s="15">
        <f>+F509/G509</f>
        <v>10.4</v>
      </c>
      <c r="J509" s="2">
        <v>7.94</v>
      </c>
      <c r="K509" s="2">
        <v>38</v>
      </c>
      <c r="L509" s="2">
        <v>31</v>
      </c>
      <c r="P509" s="2" t="s">
        <v>74</v>
      </c>
      <c r="Q509" s="11">
        <f>+AVERAGEIFS(I:I,D:D,P509)</f>
        <v>7.9465789473684207</v>
      </c>
      <c r="R509" s="13">
        <f>+I509/Q509-1</f>
        <v>0.30873927873629836</v>
      </c>
    </row>
    <row r="510" spans="1:18" hidden="1" x14ac:dyDescent="0.25">
      <c r="A510" s="2">
        <v>2187</v>
      </c>
      <c r="B510" s="2" t="s">
        <v>90</v>
      </c>
      <c r="C510" s="2" t="s">
        <v>324</v>
      </c>
      <c r="D510" s="2" t="s">
        <v>74</v>
      </c>
      <c r="E510" s="2" t="s">
        <v>75</v>
      </c>
      <c r="F510" s="2">
        <v>5</v>
      </c>
      <c r="G510" s="2">
        <v>1</v>
      </c>
      <c r="H510" s="2">
        <v>0</v>
      </c>
      <c r="I510" s="15">
        <f>+F510/G510</f>
        <v>5</v>
      </c>
      <c r="J510" s="2">
        <v>7.94</v>
      </c>
      <c r="K510" s="2">
        <v>38</v>
      </c>
      <c r="L510" s="2">
        <v>-37</v>
      </c>
      <c r="P510" s="2" t="s">
        <v>74</v>
      </c>
      <c r="Q510" s="11">
        <f>+AVERAGEIFS(I:I,D:D,P510)</f>
        <v>7.9465789473684207</v>
      </c>
      <c r="R510" s="13">
        <f>+I510/Q510-1</f>
        <v>-0.37079842368447191</v>
      </c>
    </row>
    <row r="511" spans="1:18" hidden="1" x14ac:dyDescent="0.25">
      <c r="A511">
        <v>2241</v>
      </c>
      <c r="B511" t="s">
        <v>34</v>
      </c>
      <c r="C511" t="s">
        <v>324</v>
      </c>
      <c r="D511" t="s">
        <v>74</v>
      </c>
      <c r="E511" t="s">
        <v>75</v>
      </c>
      <c r="F511">
        <v>7.5</v>
      </c>
      <c r="G511">
        <v>1</v>
      </c>
      <c r="H511">
        <v>0</v>
      </c>
      <c r="I511" s="12">
        <f>+F511/G511</f>
        <v>7.5</v>
      </c>
      <c r="J511">
        <v>7.94</v>
      </c>
      <c r="K511">
        <v>38</v>
      </c>
      <c r="L511">
        <v>-5.6</v>
      </c>
      <c r="P511" t="s">
        <v>74</v>
      </c>
      <c r="Q511" s="11">
        <f>+AVERAGEIFS(I:I,D:D,P511)</f>
        <v>7.9465789473684207</v>
      </c>
      <c r="R511" s="13">
        <f>+I511/Q511-1</f>
        <v>-5.6197635526707868E-2</v>
      </c>
    </row>
    <row r="512" spans="1:18" hidden="1" x14ac:dyDescent="0.25">
      <c r="A512" s="2">
        <v>2139</v>
      </c>
      <c r="B512" s="2" t="s">
        <v>93</v>
      </c>
      <c r="C512" s="2" t="s">
        <v>324</v>
      </c>
      <c r="D512" s="2" t="s">
        <v>74</v>
      </c>
      <c r="E512" s="2" t="s">
        <v>75</v>
      </c>
      <c r="F512" s="2">
        <v>1</v>
      </c>
      <c r="G512" s="2">
        <v>1</v>
      </c>
      <c r="H512" s="2">
        <v>0</v>
      </c>
      <c r="I512" s="15">
        <f>+F512/G512</f>
        <v>1</v>
      </c>
      <c r="J512" s="2">
        <v>7.94</v>
      </c>
      <c r="K512" s="2">
        <v>38</v>
      </c>
      <c r="L512" s="2">
        <v>-87.4</v>
      </c>
      <c r="P512" s="2" t="s">
        <v>74</v>
      </c>
      <c r="Q512" s="11">
        <f>+AVERAGEIFS(I:I,D:D,P512)</f>
        <v>7.9465789473684207</v>
      </c>
      <c r="R512" s="13">
        <f>+I512/Q512-1</f>
        <v>-0.87415968473689443</v>
      </c>
    </row>
    <row r="513" spans="1:18" hidden="1" x14ac:dyDescent="0.25">
      <c r="A513" s="2">
        <v>2242</v>
      </c>
      <c r="B513" s="2" t="s">
        <v>35</v>
      </c>
      <c r="C513" s="2" t="s">
        <v>324</v>
      </c>
      <c r="D513" s="2" t="s">
        <v>74</v>
      </c>
      <c r="E513" s="2" t="s">
        <v>75</v>
      </c>
      <c r="F513" s="2">
        <v>11.2</v>
      </c>
      <c r="G513" s="2">
        <v>1</v>
      </c>
      <c r="H513" s="2">
        <v>0</v>
      </c>
      <c r="I513" s="15">
        <f>+F513/G513</f>
        <v>11.2</v>
      </c>
      <c r="J513" s="2">
        <v>7.94</v>
      </c>
      <c r="K513" s="2">
        <v>38</v>
      </c>
      <c r="L513" s="2">
        <v>41</v>
      </c>
      <c r="P513" s="2" t="s">
        <v>74</v>
      </c>
      <c r="Q513" s="11">
        <f>+AVERAGEIFS(I:I,D:D,P513)</f>
        <v>7.9465789473684207</v>
      </c>
      <c r="R513" s="13">
        <f>+I513/Q513-1</f>
        <v>0.40941153094678273</v>
      </c>
    </row>
    <row r="514" spans="1:18" hidden="1" x14ac:dyDescent="0.25">
      <c r="A514">
        <v>2141</v>
      </c>
      <c r="B514" t="s">
        <v>95</v>
      </c>
      <c r="C514" t="s">
        <v>324</v>
      </c>
      <c r="D514" t="s">
        <v>74</v>
      </c>
      <c r="E514" t="s">
        <v>75</v>
      </c>
      <c r="F514">
        <v>7</v>
      </c>
      <c r="G514">
        <v>1</v>
      </c>
      <c r="H514">
        <v>0</v>
      </c>
      <c r="I514" s="15">
        <f>+F514/G514</f>
        <v>7</v>
      </c>
      <c r="J514">
        <v>7.94</v>
      </c>
      <c r="K514">
        <v>38</v>
      </c>
      <c r="L514">
        <v>-11.9</v>
      </c>
      <c r="P514" t="s">
        <v>74</v>
      </c>
      <c r="Q514" s="11">
        <f>+AVERAGEIFS(I:I,D:D,P514)</f>
        <v>7.9465789473684207</v>
      </c>
      <c r="R514" s="13">
        <f>+I514/Q514-1</f>
        <v>-0.11911779315826077</v>
      </c>
    </row>
    <row r="515" spans="1:18" hidden="1" x14ac:dyDescent="0.25">
      <c r="A515" s="3">
        <v>2143</v>
      </c>
      <c r="B515" s="3" t="s">
        <v>96</v>
      </c>
      <c r="C515" s="3" t="s">
        <v>324</v>
      </c>
      <c r="D515" s="3" t="s">
        <v>74</v>
      </c>
      <c r="E515" s="3" t="s">
        <v>75</v>
      </c>
      <c r="F515" s="3">
        <v>6.5</v>
      </c>
      <c r="G515" s="3">
        <v>1</v>
      </c>
      <c r="H515" s="3">
        <v>0</v>
      </c>
      <c r="I515" s="15">
        <f>+F515/G515</f>
        <v>6.5</v>
      </c>
      <c r="J515" s="3">
        <v>7.94</v>
      </c>
      <c r="K515" s="3">
        <v>38</v>
      </c>
      <c r="L515" s="3">
        <v>-18.2</v>
      </c>
      <c r="P515" s="3" t="s">
        <v>74</v>
      </c>
      <c r="Q515" s="11">
        <f>+AVERAGEIFS(I:I,D:D,P515)</f>
        <v>7.9465789473684207</v>
      </c>
      <c r="R515" s="13">
        <f>+I515/Q515-1</f>
        <v>-0.18203795078981355</v>
      </c>
    </row>
    <row r="516" spans="1:18" hidden="1" x14ac:dyDescent="0.25">
      <c r="A516">
        <v>2144</v>
      </c>
      <c r="B516" t="s">
        <v>98</v>
      </c>
      <c r="C516" t="s">
        <v>324</v>
      </c>
      <c r="D516" t="s">
        <v>74</v>
      </c>
      <c r="E516" t="s">
        <v>75</v>
      </c>
      <c r="F516">
        <v>7</v>
      </c>
      <c r="G516">
        <v>1</v>
      </c>
      <c r="H516">
        <v>0</v>
      </c>
      <c r="I516" s="15">
        <f>+F516/G516</f>
        <v>7</v>
      </c>
      <c r="J516">
        <v>7.94</v>
      </c>
      <c r="K516">
        <v>38</v>
      </c>
      <c r="L516">
        <v>-11.9</v>
      </c>
      <c r="P516" t="s">
        <v>74</v>
      </c>
      <c r="Q516" s="11">
        <f>+AVERAGEIFS(I:I,D:D,P516)</f>
        <v>7.9465789473684207</v>
      </c>
      <c r="R516" s="13">
        <f>+I516/Q516-1</f>
        <v>-0.11911779315826077</v>
      </c>
    </row>
    <row r="517" spans="1:18" hidden="1" x14ac:dyDescent="0.25">
      <c r="A517" s="2">
        <v>2252</v>
      </c>
      <c r="B517" s="2" t="s">
        <v>36</v>
      </c>
      <c r="C517" s="2" t="s">
        <v>324</v>
      </c>
      <c r="D517" s="2" t="s">
        <v>74</v>
      </c>
      <c r="E517" s="2" t="s">
        <v>75</v>
      </c>
      <c r="F517" s="2">
        <v>12.65</v>
      </c>
      <c r="G517" s="2">
        <v>1</v>
      </c>
      <c r="H517" s="2">
        <v>0</v>
      </c>
      <c r="I517" s="15">
        <f>+F517/G517</f>
        <v>12.65</v>
      </c>
      <c r="J517" s="2">
        <v>7.94</v>
      </c>
      <c r="K517" s="2">
        <v>38</v>
      </c>
      <c r="L517" s="2">
        <v>59.3</v>
      </c>
      <c r="P517" s="2" t="s">
        <v>74</v>
      </c>
      <c r="Q517" s="11">
        <f>+AVERAGEIFS(I:I,D:D,P517)</f>
        <v>7.9465789473684207</v>
      </c>
      <c r="R517" s="13">
        <f>+I517/Q517-1</f>
        <v>0.59187998807828612</v>
      </c>
    </row>
    <row r="518" spans="1:18" hidden="1" x14ac:dyDescent="0.25">
      <c r="A518">
        <v>2198</v>
      </c>
      <c r="B518" t="s">
        <v>327</v>
      </c>
      <c r="C518" t="s">
        <v>324</v>
      </c>
      <c r="D518" t="s">
        <v>341</v>
      </c>
      <c r="E518" t="s">
        <v>342</v>
      </c>
      <c r="F518">
        <v>3.8</v>
      </c>
      <c r="G518">
        <v>2</v>
      </c>
      <c r="H518">
        <v>0</v>
      </c>
      <c r="I518" s="12">
        <f>+F518/G518</f>
        <v>1.9</v>
      </c>
      <c r="J518">
        <v>2.0099999999999998</v>
      </c>
      <c r="K518">
        <v>9</v>
      </c>
      <c r="L518">
        <v>-5.6</v>
      </c>
      <c r="P518" t="s">
        <v>341</v>
      </c>
      <c r="Q518" s="11">
        <f>+AVERAGEIFS(I:I,D:D,P518)</f>
        <v>2.0087301587301587</v>
      </c>
      <c r="R518" s="13">
        <f>+I518/Q518-1</f>
        <v>-5.4128802844725432E-2</v>
      </c>
    </row>
    <row r="519" spans="1:18" hidden="1" x14ac:dyDescent="0.25">
      <c r="A519">
        <v>2156</v>
      </c>
      <c r="B519" t="s">
        <v>328</v>
      </c>
      <c r="C519" t="s">
        <v>324</v>
      </c>
      <c r="D519" t="s">
        <v>341</v>
      </c>
      <c r="E519" t="s">
        <v>342</v>
      </c>
      <c r="F519">
        <v>14.2</v>
      </c>
      <c r="G519">
        <v>7</v>
      </c>
      <c r="H519">
        <v>0</v>
      </c>
      <c r="I519" s="12">
        <f>+F519/G519</f>
        <v>2.0285714285714285</v>
      </c>
      <c r="J519">
        <v>2.0099999999999998</v>
      </c>
      <c r="K519">
        <v>9</v>
      </c>
      <c r="L519">
        <v>0.7</v>
      </c>
      <c r="P519" t="s">
        <v>341</v>
      </c>
      <c r="Q519" s="11">
        <f>+AVERAGEIFS(I:I,D:D,P519)</f>
        <v>2.0087301587301587</v>
      </c>
      <c r="R519" s="13">
        <f>+I519/Q519-1</f>
        <v>9.877518767285709E-3</v>
      </c>
    </row>
    <row r="520" spans="1:18" hidden="1" x14ac:dyDescent="0.25">
      <c r="A520">
        <v>2259</v>
      </c>
      <c r="B520" t="s">
        <v>213</v>
      </c>
      <c r="C520" t="s">
        <v>324</v>
      </c>
      <c r="D520" t="s">
        <v>341</v>
      </c>
      <c r="E520" t="s">
        <v>342</v>
      </c>
      <c r="F520">
        <v>10</v>
      </c>
      <c r="G520">
        <v>5</v>
      </c>
      <c r="H520">
        <v>0</v>
      </c>
      <c r="I520" s="12">
        <f>+F520/G520</f>
        <v>2</v>
      </c>
      <c r="J520">
        <v>2.0099999999999998</v>
      </c>
      <c r="K520">
        <v>9</v>
      </c>
      <c r="L520">
        <v>-0.7</v>
      </c>
      <c r="P520" t="s">
        <v>341</v>
      </c>
      <c r="Q520" s="11">
        <f>+AVERAGEIFS(I:I,D:D,P520)</f>
        <v>2.0087301587301587</v>
      </c>
      <c r="R520" s="13">
        <f>+I520/Q520-1</f>
        <v>-4.3461082576056187E-3</v>
      </c>
    </row>
    <row r="521" spans="1:18" hidden="1" x14ac:dyDescent="0.25">
      <c r="A521">
        <v>2215</v>
      </c>
      <c r="B521" t="s">
        <v>69</v>
      </c>
      <c r="C521" t="s">
        <v>324</v>
      </c>
      <c r="D521" t="s">
        <v>341</v>
      </c>
      <c r="E521" t="s">
        <v>342</v>
      </c>
      <c r="F521">
        <v>4.2</v>
      </c>
      <c r="G521">
        <v>2</v>
      </c>
      <c r="H521">
        <v>0</v>
      </c>
      <c r="I521" s="12">
        <f>+F521/G521</f>
        <v>2.1</v>
      </c>
      <c r="J521">
        <v>2.0099999999999998</v>
      </c>
      <c r="K521">
        <v>9</v>
      </c>
      <c r="L521">
        <v>4.3</v>
      </c>
      <c r="P521" t="s">
        <v>341</v>
      </c>
      <c r="Q521" s="11">
        <f>+AVERAGEIFS(I:I,D:D,P521)</f>
        <v>2.0087301587301587</v>
      </c>
      <c r="R521" s="13">
        <f>+I521/Q521-1</f>
        <v>4.5436586329514084E-2</v>
      </c>
    </row>
    <row r="522" spans="1:18" hidden="1" x14ac:dyDescent="0.25">
      <c r="A522">
        <v>2230</v>
      </c>
      <c r="B522" t="s">
        <v>82</v>
      </c>
      <c r="C522" t="s">
        <v>324</v>
      </c>
      <c r="D522" t="s">
        <v>341</v>
      </c>
      <c r="E522" t="s">
        <v>342</v>
      </c>
      <c r="F522">
        <v>16.2</v>
      </c>
      <c r="G522">
        <v>8</v>
      </c>
      <c r="H522">
        <v>0</v>
      </c>
      <c r="I522" s="12">
        <f>+F522/G522</f>
        <v>2.0249999999999999</v>
      </c>
      <c r="J522">
        <v>2.0099999999999998</v>
      </c>
      <c r="K522">
        <v>9</v>
      </c>
      <c r="L522">
        <v>0.6</v>
      </c>
      <c r="P522" t="s">
        <v>341</v>
      </c>
      <c r="Q522" s="11">
        <f>+AVERAGEIFS(I:I,D:D,P522)</f>
        <v>2.0087301587301587</v>
      </c>
      <c r="R522" s="13">
        <f>+I522/Q522-1</f>
        <v>8.0995653891742236E-3</v>
      </c>
    </row>
    <row r="523" spans="1:18" hidden="1" x14ac:dyDescent="0.25">
      <c r="A523">
        <v>2127</v>
      </c>
      <c r="B523" t="s">
        <v>19</v>
      </c>
      <c r="C523" t="s">
        <v>324</v>
      </c>
      <c r="D523" t="s">
        <v>341</v>
      </c>
      <c r="E523" t="s">
        <v>342</v>
      </c>
      <c r="F523">
        <v>16.2</v>
      </c>
      <c r="G523">
        <v>8</v>
      </c>
      <c r="H523">
        <v>0</v>
      </c>
      <c r="I523" s="12">
        <f>+F523/G523</f>
        <v>2.0249999999999999</v>
      </c>
      <c r="J523">
        <v>2.0099999999999998</v>
      </c>
      <c r="K523">
        <v>9</v>
      </c>
      <c r="L523">
        <v>0.6</v>
      </c>
      <c r="P523" t="s">
        <v>341</v>
      </c>
      <c r="Q523" s="11">
        <f>+AVERAGEIFS(I:I,D:D,P523)</f>
        <v>2.0087301587301587</v>
      </c>
      <c r="R523" s="13">
        <f>+I523/Q523-1</f>
        <v>8.0995653891742236E-3</v>
      </c>
    </row>
    <row r="524" spans="1:18" hidden="1" x14ac:dyDescent="0.25">
      <c r="A524">
        <v>2279</v>
      </c>
      <c r="B524" t="s">
        <v>240</v>
      </c>
      <c r="C524" t="s">
        <v>324</v>
      </c>
      <c r="D524" t="s">
        <v>341</v>
      </c>
      <c r="E524" t="s">
        <v>342</v>
      </c>
      <c r="F524">
        <v>4</v>
      </c>
      <c r="G524">
        <v>2</v>
      </c>
      <c r="H524">
        <v>0</v>
      </c>
      <c r="I524" s="12">
        <f>+F524/G524</f>
        <v>2</v>
      </c>
      <c r="J524">
        <v>2.0099999999999998</v>
      </c>
      <c r="K524">
        <v>9</v>
      </c>
      <c r="L524">
        <v>-0.7</v>
      </c>
      <c r="P524" t="s">
        <v>341</v>
      </c>
      <c r="Q524" s="11">
        <f>+AVERAGEIFS(I:I,D:D,P524)</f>
        <v>2.0087301587301587</v>
      </c>
      <c r="R524" s="13">
        <f>+I524/Q524-1</f>
        <v>-4.3461082576056187E-3</v>
      </c>
    </row>
    <row r="525" spans="1:18" hidden="1" x14ac:dyDescent="0.25">
      <c r="A525">
        <v>2180</v>
      </c>
      <c r="B525" t="s">
        <v>87</v>
      </c>
      <c r="C525" t="s">
        <v>324</v>
      </c>
      <c r="D525" t="s">
        <v>341</v>
      </c>
      <c r="E525" t="s">
        <v>342</v>
      </c>
      <c r="F525">
        <v>6</v>
      </c>
      <c r="G525">
        <v>3</v>
      </c>
      <c r="H525">
        <v>0</v>
      </c>
      <c r="I525" s="12">
        <f>+F525/G525</f>
        <v>2</v>
      </c>
      <c r="J525">
        <v>2.0099999999999998</v>
      </c>
      <c r="K525">
        <v>9</v>
      </c>
      <c r="L525">
        <v>-0.7</v>
      </c>
      <c r="P525" t="s">
        <v>341</v>
      </c>
      <c r="Q525" s="11">
        <f>+AVERAGEIFS(I:I,D:D,P525)</f>
        <v>2.0087301587301587</v>
      </c>
      <c r="R525" s="13">
        <f>+I525/Q525-1</f>
        <v>-4.3461082576056187E-3</v>
      </c>
    </row>
    <row r="526" spans="1:18" hidden="1" x14ac:dyDescent="0.25">
      <c r="A526">
        <v>2249</v>
      </c>
      <c r="B526" t="s">
        <v>36</v>
      </c>
      <c r="C526" t="s">
        <v>324</v>
      </c>
      <c r="D526" t="s">
        <v>341</v>
      </c>
      <c r="E526" t="s">
        <v>342</v>
      </c>
      <c r="F526">
        <v>14</v>
      </c>
      <c r="G526">
        <v>7</v>
      </c>
      <c r="H526">
        <v>0</v>
      </c>
      <c r="I526" s="12">
        <f>+F526/G526</f>
        <v>2</v>
      </c>
      <c r="J526">
        <v>2.0099999999999998</v>
      </c>
      <c r="K526">
        <v>9</v>
      </c>
      <c r="L526">
        <v>-0.7</v>
      </c>
      <c r="P526" t="s">
        <v>341</v>
      </c>
      <c r="Q526" s="11">
        <f>+AVERAGEIFS(I:I,D:D,P526)</f>
        <v>2.0087301587301587</v>
      </c>
      <c r="R526" s="13">
        <f>+I526/Q526-1</f>
        <v>-4.3461082576056187E-3</v>
      </c>
    </row>
    <row r="527" spans="1:18" hidden="1" x14ac:dyDescent="0.25">
      <c r="A527" s="2">
        <v>2234</v>
      </c>
      <c r="B527" s="2" t="s">
        <v>82</v>
      </c>
      <c r="C527" s="2" t="s">
        <v>324</v>
      </c>
      <c r="D527" s="2" t="s">
        <v>337</v>
      </c>
      <c r="E527" s="2" t="s">
        <v>338</v>
      </c>
      <c r="F527" s="2">
        <v>7.2</v>
      </c>
      <c r="G527" s="2">
        <v>1</v>
      </c>
      <c r="H527" s="2">
        <v>0</v>
      </c>
      <c r="I527" s="15">
        <f>+F527/G527</f>
        <v>7.2</v>
      </c>
      <c r="J527" s="2">
        <v>5.36</v>
      </c>
      <c r="K527" s="2">
        <v>4</v>
      </c>
      <c r="L527" s="2">
        <v>34.4</v>
      </c>
      <c r="P527" s="2" t="s">
        <v>337</v>
      </c>
      <c r="Q527" s="11">
        <f>+AVERAGEIFS(I:I,D:D,P527)</f>
        <v>5.3574999999999999</v>
      </c>
      <c r="R527" s="13">
        <f>+I527/Q527-1</f>
        <v>0.34391040597293521</v>
      </c>
    </row>
    <row r="528" spans="1:18" hidden="1" x14ac:dyDescent="0.25">
      <c r="A528">
        <v>2265</v>
      </c>
      <c r="B528" t="s">
        <v>208</v>
      </c>
      <c r="C528" t="s">
        <v>324</v>
      </c>
      <c r="D528" t="s">
        <v>343</v>
      </c>
      <c r="E528" t="s">
        <v>344</v>
      </c>
      <c r="F528">
        <v>48.6</v>
      </c>
      <c r="G528">
        <v>4</v>
      </c>
      <c r="H528">
        <v>0</v>
      </c>
      <c r="I528" s="12">
        <f>+F528/G528</f>
        <v>12.15</v>
      </c>
      <c r="J528">
        <v>13.62</v>
      </c>
      <c r="K528">
        <v>3</v>
      </c>
      <c r="L528">
        <v>-10.8</v>
      </c>
      <c r="P528" t="s">
        <v>343</v>
      </c>
      <c r="Q528" s="11">
        <f>+AVERAGEIFS(I:I,D:D,P528)</f>
        <v>13.432222222222222</v>
      </c>
      <c r="R528" s="13">
        <f>+I528/Q528-1</f>
        <v>-9.5458681445942606E-2</v>
      </c>
    </row>
    <row r="529" spans="1:18" hidden="1" x14ac:dyDescent="0.25">
      <c r="A529">
        <v>2247</v>
      </c>
      <c r="B529" t="s">
        <v>36</v>
      </c>
      <c r="C529" t="s">
        <v>324</v>
      </c>
      <c r="D529" t="s">
        <v>343</v>
      </c>
      <c r="E529" t="s">
        <v>344</v>
      </c>
      <c r="F529">
        <v>38.9</v>
      </c>
      <c r="G529">
        <v>3</v>
      </c>
      <c r="H529">
        <v>0</v>
      </c>
      <c r="I529" s="12">
        <f>+F529/G529</f>
        <v>12.966666666666667</v>
      </c>
      <c r="J529">
        <v>13.62</v>
      </c>
      <c r="K529">
        <v>3</v>
      </c>
      <c r="L529">
        <v>-4.8</v>
      </c>
      <c r="P529" t="s">
        <v>343</v>
      </c>
      <c r="Q529" s="11">
        <f>+AVERAGEIFS(I:I,D:D,P529)</f>
        <v>13.432222222222222</v>
      </c>
      <c r="R529" s="13">
        <f>+I529/Q529-1</f>
        <v>-3.4659607908015588E-2</v>
      </c>
    </row>
    <row r="530" spans="1:18" hidden="1" x14ac:dyDescent="0.25">
      <c r="A530">
        <v>1036</v>
      </c>
      <c r="B530" t="s">
        <v>25</v>
      </c>
      <c r="C530" t="s">
        <v>133</v>
      </c>
      <c r="D530" t="s">
        <v>154</v>
      </c>
      <c r="E530" t="s">
        <v>155</v>
      </c>
      <c r="F530">
        <v>100</v>
      </c>
      <c r="G530">
        <v>1</v>
      </c>
      <c r="H530">
        <v>0</v>
      </c>
      <c r="I530" s="15">
        <f>+F530/G530</f>
        <v>100</v>
      </c>
      <c r="J530">
        <v>100</v>
      </c>
      <c r="K530">
        <v>1</v>
      </c>
      <c r="L530">
        <v>0</v>
      </c>
      <c r="P530" t="s">
        <v>154</v>
      </c>
      <c r="Q530" s="11">
        <f>+AVERAGEIFS(I:I,D:D,P530)</f>
        <v>57.633333333333333</v>
      </c>
      <c r="R530" s="13">
        <f>+I530/Q530-1</f>
        <v>0.73510699826489301</v>
      </c>
    </row>
    <row r="531" spans="1:18" hidden="1" x14ac:dyDescent="0.25">
      <c r="A531">
        <v>1708</v>
      </c>
      <c r="B531" t="s">
        <v>204</v>
      </c>
      <c r="C531" t="s">
        <v>203</v>
      </c>
      <c r="D531" t="s">
        <v>154</v>
      </c>
      <c r="E531" t="s">
        <v>155</v>
      </c>
      <c r="F531">
        <v>91.6</v>
      </c>
      <c r="G531">
        <v>6</v>
      </c>
      <c r="H531">
        <v>0</v>
      </c>
      <c r="I531" s="15">
        <f>+F531/G531</f>
        <v>15.266666666666666</v>
      </c>
      <c r="J531">
        <v>15.27</v>
      </c>
      <c r="K531">
        <v>1</v>
      </c>
      <c r="L531">
        <v>0</v>
      </c>
      <c r="P531" t="s">
        <v>154</v>
      </c>
      <c r="Q531" s="11">
        <f>+AVERAGEIFS(I:I,D:D,P531)</f>
        <v>57.633333333333333</v>
      </c>
      <c r="R531" s="13">
        <f>+I531/Q531-1</f>
        <v>-0.73510699826489301</v>
      </c>
    </row>
    <row r="532" spans="1:18" hidden="1" x14ac:dyDescent="0.25">
      <c r="A532">
        <v>2057</v>
      </c>
      <c r="B532" t="s">
        <v>24</v>
      </c>
      <c r="C532" t="s">
        <v>13</v>
      </c>
      <c r="D532" t="s">
        <v>45</v>
      </c>
      <c r="E532" t="s">
        <v>46</v>
      </c>
      <c r="F532">
        <v>31.6</v>
      </c>
      <c r="G532">
        <v>2</v>
      </c>
      <c r="H532">
        <v>0</v>
      </c>
      <c r="I532" s="15">
        <f>+F532/G532</f>
        <v>15.8</v>
      </c>
      <c r="J532">
        <v>15.97</v>
      </c>
      <c r="K532">
        <v>5</v>
      </c>
      <c r="L532">
        <v>-1</v>
      </c>
      <c r="P532" t="s">
        <v>45</v>
      </c>
      <c r="Q532" s="11">
        <f>+AVERAGEIFS(I:I,D:D,P532)</f>
        <v>22.375</v>
      </c>
      <c r="R532" s="13">
        <f>+I532/Q532-1</f>
        <v>-0.29385474860335192</v>
      </c>
    </row>
    <row r="533" spans="1:18" hidden="1" x14ac:dyDescent="0.25">
      <c r="A533" s="6">
        <v>2099</v>
      </c>
      <c r="B533" s="6" t="s">
        <v>25</v>
      </c>
      <c r="C533" s="6" t="s">
        <v>13</v>
      </c>
      <c r="D533" s="6" t="s">
        <v>32</v>
      </c>
      <c r="E533" s="6" t="s">
        <v>33</v>
      </c>
      <c r="F533" s="6">
        <v>300</v>
      </c>
      <c r="G533" s="6">
        <v>12</v>
      </c>
      <c r="H533" s="6">
        <v>0</v>
      </c>
      <c r="I533" s="15">
        <f>+F533/G533</f>
        <v>25</v>
      </c>
      <c r="J533" s="8">
        <v>29.46</v>
      </c>
      <c r="K533" s="8">
        <v>6</v>
      </c>
      <c r="L533" s="8">
        <v>-15.2</v>
      </c>
      <c r="P533" s="6" t="s">
        <v>32</v>
      </c>
      <c r="Q533" s="11">
        <f>+AVERAGEIFS(I:I,D:D,P533)</f>
        <v>30.626666666666665</v>
      </c>
      <c r="R533" s="13">
        <f>+I533/Q533-1</f>
        <v>-0.18371789290378748</v>
      </c>
    </row>
    <row r="534" spans="1:18" hidden="1" x14ac:dyDescent="0.25">
      <c r="A534">
        <v>2263</v>
      </c>
      <c r="B534" t="s">
        <v>216</v>
      </c>
      <c r="C534" t="s">
        <v>324</v>
      </c>
      <c r="D534" t="s">
        <v>345</v>
      </c>
      <c r="E534" t="s">
        <v>346</v>
      </c>
      <c r="F534">
        <v>60</v>
      </c>
      <c r="G534">
        <v>4</v>
      </c>
      <c r="H534">
        <v>0</v>
      </c>
      <c r="I534" s="12">
        <f>+F534/G534</f>
        <v>15</v>
      </c>
      <c r="J534">
        <v>14.19</v>
      </c>
      <c r="K534">
        <v>15</v>
      </c>
      <c r="L534">
        <v>5.7</v>
      </c>
      <c r="P534" t="s">
        <v>345</v>
      </c>
      <c r="Q534" s="11">
        <f>+AVERAGEIFS(I:I,D:D,P534)</f>
        <v>14.267976190476192</v>
      </c>
      <c r="R534" s="13">
        <f>+I534/Q534-1</f>
        <v>5.1305370835453834E-2</v>
      </c>
    </row>
    <row r="535" spans="1:18" hidden="1" x14ac:dyDescent="0.25">
      <c r="A535">
        <v>2213</v>
      </c>
      <c r="B535" t="s">
        <v>69</v>
      </c>
      <c r="C535" t="s">
        <v>324</v>
      </c>
      <c r="D535" t="s">
        <v>345</v>
      </c>
      <c r="E535" t="s">
        <v>346</v>
      </c>
      <c r="F535">
        <v>75.900000000000006</v>
      </c>
      <c r="G535">
        <v>5</v>
      </c>
      <c r="H535">
        <v>0</v>
      </c>
      <c r="I535" s="12">
        <f>+F535/G535</f>
        <v>15.180000000000001</v>
      </c>
      <c r="J535">
        <v>14.19</v>
      </c>
      <c r="K535">
        <v>15</v>
      </c>
      <c r="L535">
        <v>7</v>
      </c>
      <c r="P535" t="s">
        <v>345</v>
      </c>
      <c r="Q535" s="11">
        <f>+AVERAGEIFS(I:I,D:D,P535)</f>
        <v>14.267976190476192</v>
      </c>
      <c r="R535" s="13">
        <f>+I535/Q535-1</f>
        <v>6.3921035285479544E-2</v>
      </c>
    </row>
    <row r="536" spans="1:18" hidden="1" x14ac:dyDescent="0.25">
      <c r="A536" s="4">
        <v>2102</v>
      </c>
      <c r="B536" s="4" t="s">
        <v>25</v>
      </c>
      <c r="C536" s="4" t="s">
        <v>13</v>
      </c>
      <c r="D536" s="4" t="s">
        <v>21</v>
      </c>
      <c r="E536" s="4" t="s">
        <v>22</v>
      </c>
      <c r="F536" s="4">
        <v>5.6</v>
      </c>
      <c r="G536" s="4">
        <v>3</v>
      </c>
      <c r="H536" s="4">
        <v>0</v>
      </c>
      <c r="I536" s="15">
        <f>+F536/G536</f>
        <v>1.8666666666666665</v>
      </c>
      <c r="J536" s="7">
        <v>2.73</v>
      </c>
      <c r="K536" s="7">
        <v>4</v>
      </c>
      <c r="L536" s="7">
        <v>-31.7</v>
      </c>
      <c r="P536" s="4" t="s">
        <v>21</v>
      </c>
      <c r="Q536" s="11">
        <f>+AVERAGEIFS(I:I,D:D,P536)</f>
        <v>2.8933333333333335</v>
      </c>
      <c r="R536" s="13">
        <f>+I536/Q536-1</f>
        <v>-0.35483870967741948</v>
      </c>
    </row>
    <row r="537" spans="1:18" hidden="1" x14ac:dyDescent="0.25">
      <c r="A537">
        <v>2078</v>
      </c>
      <c r="B537" t="s">
        <v>47</v>
      </c>
      <c r="C537" t="s">
        <v>13</v>
      </c>
      <c r="D537" t="s">
        <v>45</v>
      </c>
      <c r="E537" t="s">
        <v>46</v>
      </c>
      <c r="F537">
        <v>16</v>
      </c>
      <c r="G537">
        <v>1</v>
      </c>
      <c r="H537">
        <v>0</v>
      </c>
      <c r="I537" s="15">
        <f>+F537/G537</f>
        <v>16</v>
      </c>
      <c r="J537">
        <v>15.97</v>
      </c>
      <c r="K537">
        <v>5</v>
      </c>
      <c r="L537">
        <v>0.2</v>
      </c>
      <c r="P537" t="s">
        <v>45</v>
      </c>
      <c r="Q537" s="11">
        <f>+AVERAGEIFS(I:I,D:D,P537)</f>
        <v>22.375</v>
      </c>
      <c r="R537" s="13">
        <f>+I537/Q537-1</f>
        <v>-0.28491620111731841</v>
      </c>
    </row>
    <row r="538" spans="1:18" hidden="1" x14ac:dyDescent="0.25">
      <c r="A538">
        <v>2080</v>
      </c>
      <c r="B538" t="s">
        <v>47</v>
      </c>
      <c r="C538" t="s">
        <v>13</v>
      </c>
      <c r="D538" t="s">
        <v>45</v>
      </c>
      <c r="E538" t="s">
        <v>46</v>
      </c>
      <c r="F538">
        <v>16</v>
      </c>
      <c r="G538">
        <v>1</v>
      </c>
      <c r="H538">
        <v>0</v>
      </c>
      <c r="I538" s="15">
        <f>+F538/G538</f>
        <v>16</v>
      </c>
      <c r="J538">
        <v>15.97</v>
      </c>
      <c r="K538">
        <v>5</v>
      </c>
      <c r="L538">
        <v>0.2</v>
      </c>
      <c r="P538" t="s">
        <v>45</v>
      </c>
      <c r="Q538" s="11">
        <f>+AVERAGEIFS(I:I,D:D,P538)</f>
        <v>22.375</v>
      </c>
      <c r="R538" s="13">
        <f>+I538/Q538-1</f>
        <v>-0.28491620111731841</v>
      </c>
    </row>
    <row r="539" spans="1:18" hidden="1" x14ac:dyDescent="0.25">
      <c r="A539">
        <v>2271</v>
      </c>
      <c r="B539" t="s">
        <v>25</v>
      </c>
      <c r="C539" t="s">
        <v>324</v>
      </c>
      <c r="D539" t="s">
        <v>345</v>
      </c>
      <c r="E539" t="s">
        <v>346</v>
      </c>
      <c r="F539">
        <v>96.8</v>
      </c>
      <c r="G539">
        <v>7</v>
      </c>
      <c r="H539">
        <v>0</v>
      </c>
      <c r="I539" s="12">
        <f>+F539/G539</f>
        <v>13.828571428571427</v>
      </c>
      <c r="J539">
        <v>14.19</v>
      </c>
      <c r="K539">
        <v>15</v>
      </c>
      <c r="L539">
        <v>-2.5</v>
      </c>
      <c r="P539" t="s">
        <v>345</v>
      </c>
      <c r="Q539" s="11">
        <f>+AVERAGEIFS(I:I,D:D,P539)</f>
        <v>14.267976190476192</v>
      </c>
      <c r="R539" s="13">
        <f>+I539/Q539-1</f>
        <v>-3.0796572410743517E-2</v>
      </c>
    </row>
    <row r="540" spans="1:18" hidden="1" x14ac:dyDescent="0.25">
      <c r="A540">
        <v>1037</v>
      </c>
      <c r="B540" t="s">
        <v>25</v>
      </c>
      <c r="C540" t="s">
        <v>133</v>
      </c>
      <c r="D540" t="s">
        <v>45</v>
      </c>
      <c r="E540" t="s">
        <v>46</v>
      </c>
      <c r="F540">
        <v>100</v>
      </c>
      <c r="G540">
        <v>1</v>
      </c>
      <c r="H540">
        <v>0</v>
      </c>
      <c r="I540" s="15">
        <f>+F540/G540</f>
        <v>100</v>
      </c>
      <c r="J540">
        <v>100</v>
      </c>
      <c r="K540">
        <v>1</v>
      </c>
      <c r="L540">
        <v>0</v>
      </c>
      <c r="P540" t="s">
        <v>45</v>
      </c>
      <c r="Q540" s="11">
        <f>+AVERAGEIFS(I:I,D:D,P540)</f>
        <v>22.375</v>
      </c>
      <c r="R540" s="13">
        <f>+I540/Q540-1</f>
        <v>3.4692737430167595</v>
      </c>
    </row>
    <row r="541" spans="1:18" hidden="1" x14ac:dyDescent="0.25">
      <c r="A541">
        <v>2273</v>
      </c>
      <c r="B541" t="s">
        <v>86</v>
      </c>
      <c r="C541" t="s">
        <v>324</v>
      </c>
      <c r="D541" t="s">
        <v>345</v>
      </c>
      <c r="E541" t="s">
        <v>346</v>
      </c>
      <c r="F541">
        <v>66.2</v>
      </c>
      <c r="G541">
        <v>5</v>
      </c>
      <c r="H541">
        <v>0</v>
      </c>
      <c r="I541" s="12">
        <f>+F541/G541</f>
        <v>13.24</v>
      </c>
      <c r="J541">
        <v>14.19</v>
      </c>
      <c r="K541">
        <v>15</v>
      </c>
      <c r="L541">
        <v>-6.7</v>
      </c>
      <c r="P541" t="s">
        <v>345</v>
      </c>
      <c r="Q541" s="11">
        <f>+AVERAGEIFS(I:I,D:D,P541)</f>
        <v>14.267976190476192</v>
      </c>
      <c r="R541" s="13">
        <f>+I541/Q541-1</f>
        <v>-7.2047792675905997E-2</v>
      </c>
    </row>
    <row r="542" spans="1:18" hidden="1" x14ac:dyDescent="0.25">
      <c r="A542">
        <v>2285</v>
      </c>
      <c r="B542" t="s">
        <v>340</v>
      </c>
      <c r="C542" t="s">
        <v>324</v>
      </c>
      <c r="D542" t="s">
        <v>345</v>
      </c>
      <c r="E542" t="s">
        <v>346</v>
      </c>
      <c r="F542">
        <v>72</v>
      </c>
      <c r="G542">
        <v>5</v>
      </c>
      <c r="H542">
        <v>0</v>
      </c>
      <c r="I542" s="12">
        <f>+F542/G542</f>
        <v>14.4</v>
      </c>
      <c r="J542">
        <v>14.19</v>
      </c>
      <c r="K542">
        <v>15</v>
      </c>
      <c r="L542">
        <v>1.5</v>
      </c>
      <c r="P542" t="s">
        <v>345</v>
      </c>
      <c r="Q542" s="11">
        <f>+AVERAGEIFS(I:I,D:D,P542)</f>
        <v>14.267976190476192</v>
      </c>
      <c r="R542" s="13">
        <f>+I542/Q542-1</f>
        <v>9.2531560020356896E-3</v>
      </c>
    </row>
    <row r="543" spans="1:18" hidden="1" x14ac:dyDescent="0.25">
      <c r="A543">
        <v>1762</v>
      </c>
      <c r="B543" t="s">
        <v>111</v>
      </c>
      <c r="C543" t="s">
        <v>203</v>
      </c>
      <c r="D543" t="s">
        <v>45</v>
      </c>
      <c r="E543" t="s">
        <v>46</v>
      </c>
      <c r="F543">
        <v>16</v>
      </c>
      <c r="G543">
        <v>1</v>
      </c>
      <c r="H543">
        <v>0</v>
      </c>
      <c r="I543" s="15">
        <f>+F543/G543</f>
        <v>16</v>
      </c>
      <c r="J543">
        <v>16.100000000000001</v>
      </c>
      <c r="K543">
        <v>4</v>
      </c>
      <c r="L543">
        <v>-0.6</v>
      </c>
      <c r="P543" t="s">
        <v>45</v>
      </c>
      <c r="Q543" s="11">
        <f>+AVERAGEIFS(I:I,D:D,P543)</f>
        <v>22.375</v>
      </c>
      <c r="R543" s="13">
        <f>+I543/Q543-1</f>
        <v>-0.28491620111731841</v>
      </c>
    </row>
    <row r="544" spans="1:18" hidden="1" x14ac:dyDescent="0.25">
      <c r="A544">
        <v>1707</v>
      </c>
      <c r="B544" t="s">
        <v>204</v>
      </c>
      <c r="C544" t="s">
        <v>203</v>
      </c>
      <c r="D544" t="s">
        <v>45</v>
      </c>
      <c r="E544" t="s">
        <v>46</v>
      </c>
      <c r="F544">
        <v>32.4</v>
      </c>
      <c r="G544">
        <v>2</v>
      </c>
      <c r="H544">
        <v>0</v>
      </c>
      <c r="I544" s="15">
        <f>+F544/G544</f>
        <v>16.2</v>
      </c>
      <c r="J544">
        <v>16.100000000000001</v>
      </c>
      <c r="K544">
        <v>4</v>
      </c>
      <c r="L544">
        <v>0.6</v>
      </c>
      <c r="P544" t="s">
        <v>45</v>
      </c>
      <c r="Q544" s="11">
        <f>+AVERAGEIFS(I:I,D:D,P544)</f>
        <v>22.375</v>
      </c>
      <c r="R544" s="13">
        <f>+I544/Q544-1</f>
        <v>-0.2759776536312849</v>
      </c>
    </row>
    <row r="545" spans="1:18" hidden="1" x14ac:dyDescent="0.25">
      <c r="A545">
        <v>2193</v>
      </c>
      <c r="B545" t="s">
        <v>327</v>
      </c>
      <c r="C545" t="s">
        <v>324</v>
      </c>
      <c r="D545" t="s">
        <v>347</v>
      </c>
      <c r="E545" t="s">
        <v>348</v>
      </c>
      <c r="F545">
        <v>30.7</v>
      </c>
      <c r="G545">
        <v>1</v>
      </c>
      <c r="H545">
        <v>0</v>
      </c>
      <c r="I545" s="12">
        <f>+F545/G545</f>
        <v>30.7</v>
      </c>
      <c r="J545">
        <v>29.25</v>
      </c>
      <c r="K545">
        <v>7</v>
      </c>
      <c r="L545">
        <v>5</v>
      </c>
      <c r="P545" t="s">
        <v>347</v>
      </c>
      <c r="Q545" s="11">
        <f>+AVERAGEIFS(I:I,D:D,P545)</f>
        <v>28.585714285714285</v>
      </c>
      <c r="R545" s="13">
        <f>+I545/Q545-1</f>
        <v>7.3963018490754706E-2</v>
      </c>
    </row>
    <row r="546" spans="1:18" hidden="1" x14ac:dyDescent="0.25">
      <c r="A546">
        <v>1739</v>
      </c>
      <c r="B546" t="s">
        <v>34</v>
      </c>
      <c r="C546" t="s">
        <v>203</v>
      </c>
      <c r="D546" t="s">
        <v>45</v>
      </c>
      <c r="E546" t="s">
        <v>46</v>
      </c>
      <c r="F546">
        <v>16</v>
      </c>
      <c r="G546">
        <v>1</v>
      </c>
      <c r="H546">
        <v>0</v>
      </c>
      <c r="I546" s="15">
        <f>+F546/G546</f>
        <v>16</v>
      </c>
      <c r="J546">
        <v>16.100000000000001</v>
      </c>
      <c r="K546">
        <v>4</v>
      </c>
      <c r="L546">
        <v>-0.6</v>
      </c>
      <c r="P546" t="s">
        <v>45</v>
      </c>
      <c r="Q546" s="11">
        <f>+AVERAGEIFS(I:I,D:D,P546)</f>
        <v>22.375</v>
      </c>
      <c r="R546" s="13">
        <f>+I546/Q546-1</f>
        <v>-0.28491620111731841</v>
      </c>
    </row>
    <row r="547" spans="1:18" hidden="1" x14ac:dyDescent="0.25">
      <c r="A547">
        <v>2256</v>
      </c>
      <c r="B547" t="s">
        <v>213</v>
      </c>
      <c r="C547" t="s">
        <v>324</v>
      </c>
      <c r="D547" t="s">
        <v>347</v>
      </c>
      <c r="E547" t="s">
        <v>348</v>
      </c>
      <c r="F547">
        <v>91.8</v>
      </c>
      <c r="G547">
        <v>3</v>
      </c>
      <c r="H547">
        <v>0</v>
      </c>
      <c r="I547" s="12">
        <f>+F547/G547</f>
        <v>30.599999999999998</v>
      </c>
      <c r="J547">
        <v>29.25</v>
      </c>
      <c r="K547">
        <v>7</v>
      </c>
      <c r="L547">
        <v>4.5999999999999996</v>
      </c>
      <c r="P547" t="s">
        <v>347</v>
      </c>
      <c r="Q547" s="11">
        <f>+AVERAGEIFS(I:I,D:D,P547)</f>
        <v>28.585714285714285</v>
      </c>
      <c r="R547" s="13">
        <f>+I547/Q547-1</f>
        <v>7.0464767616191804E-2</v>
      </c>
    </row>
    <row r="548" spans="1:18" hidden="1" x14ac:dyDescent="0.25">
      <c r="A548">
        <v>1734</v>
      </c>
      <c r="B548" t="s">
        <v>36</v>
      </c>
      <c r="C548" t="s">
        <v>203</v>
      </c>
      <c r="D548" t="s">
        <v>45</v>
      </c>
      <c r="E548" t="s">
        <v>46</v>
      </c>
      <c r="F548">
        <v>32.200000000000003</v>
      </c>
      <c r="G548">
        <v>2</v>
      </c>
      <c r="H548">
        <v>0</v>
      </c>
      <c r="I548" s="15">
        <f>+F548/G548</f>
        <v>16.100000000000001</v>
      </c>
      <c r="J548">
        <v>16.100000000000001</v>
      </c>
      <c r="K548">
        <v>4</v>
      </c>
      <c r="L548">
        <v>0</v>
      </c>
      <c r="P548" t="s">
        <v>45</v>
      </c>
      <c r="Q548" s="11">
        <f>+AVERAGEIFS(I:I,D:D,P548)</f>
        <v>22.375</v>
      </c>
      <c r="R548" s="13">
        <f>+I548/Q548-1</f>
        <v>-0.28044692737430166</v>
      </c>
    </row>
    <row r="549" spans="1:18" hidden="1" x14ac:dyDescent="0.25">
      <c r="A549" s="4">
        <v>2364</v>
      </c>
      <c r="B549" s="4" t="s">
        <v>117</v>
      </c>
      <c r="C549" s="4" t="s">
        <v>237</v>
      </c>
      <c r="D549" s="4" t="s">
        <v>45</v>
      </c>
      <c r="E549" s="4" t="s">
        <v>46</v>
      </c>
      <c r="F549" s="4">
        <v>16.2</v>
      </c>
      <c r="G549" s="4">
        <v>1</v>
      </c>
      <c r="H549" s="4">
        <v>0</v>
      </c>
      <c r="I549" s="15">
        <f>+F549/G549</f>
        <v>16.2</v>
      </c>
      <c r="J549" s="2">
        <v>10.73</v>
      </c>
      <c r="K549" s="2">
        <v>2</v>
      </c>
      <c r="L549" s="2">
        <v>50.9</v>
      </c>
      <c r="P549" s="4" t="s">
        <v>45</v>
      </c>
      <c r="Q549" s="11">
        <f>+AVERAGEIFS(I:I,D:D,P549)</f>
        <v>22.375</v>
      </c>
      <c r="R549" s="13">
        <f>+I549/Q549-1</f>
        <v>-0.2759776536312849</v>
      </c>
    </row>
    <row r="550" spans="1:18" hidden="1" x14ac:dyDescent="0.25">
      <c r="A550">
        <v>2225</v>
      </c>
      <c r="B550" t="s">
        <v>82</v>
      </c>
      <c r="C550" t="s">
        <v>324</v>
      </c>
      <c r="D550" t="s">
        <v>347</v>
      </c>
      <c r="E550" t="s">
        <v>348</v>
      </c>
      <c r="F550">
        <v>59.8</v>
      </c>
      <c r="G550">
        <v>2</v>
      </c>
      <c r="H550">
        <v>0</v>
      </c>
      <c r="I550" s="12">
        <f>+F550/G550</f>
        <v>29.9</v>
      </c>
      <c r="J550">
        <v>29.25</v>
      </c>
      <c r="K550">
        <v>7</v>
      </c>
      <c r="L550">
        <v>2.2000000000000002</v>
      </c>
      <c r="P550" t="s">
        <v>347</v>
      </c>
      <c r="Q550" s="11">
        <f>+AVERAGEIFS(I:I,D:D,P550)</f>
        <v>28.585714285714285</v>
      </c>
      <c r="R550" s="13">
        <f>+I550/Q550-1</f>
        <v>4.5977011494252817E-2</v>
      </c>
    </row>
    <row r="551" spans="1:18" hidden="1" x14ac:dyDescent="0.25">
      <c r="A551" s="4">
        <v>2423</v>
      </c>
      <c r="B551" s="4" t="s">
        <v>36</v>
      </c>
      <c r="C551" s="4" t="s">
        <v>237</v>
      </c>
      <c r="D551" s="4" t="s">
        <v>45</v>
      </c>
      <c r="E551" s="4" t="s">
        <v>46</v>
      </c>
      <c r="F551" s="4">
        <v>16</v>
      </c>
      <c r="G551" s="4">
        <v>2</v>
      </c>
      <c r="H551" s="4">
        <v>0</v>
      </c>
      <c r="I551" s="15">
        <f>+F551/G551</f>
        <v>8</v>
      </c>
      <c r="J551" s="2">
        <v>10.73</v>
      </c>
      <c r="K551" s="2">
        <v>2</v>
      </c>
      <c r="L551" s="2">
        <v>-25.5</v>
      </c>
      <c r="P551" s="4" t="s">
        <v>45</v>
      </c>
      <c r="Q551" s="11">
        <f>+AVERAGEIFS(I:I,D:D,P551)</f>
        <v>22.375</v>
      </c>
      <c r="R551" s="13">
        <f>+I551/Q551-1</f>
        <v>-0.64245810055865915</v>
      </c>
    </row>
    <row r="552" spans="1:18" hidden="1" x14ac:dyDescent="0.25">
      <c r="A552">
        <v>2194</v>
      </c>
      <c r="B552" t="s">
        <v>327</v>
      </c>
      <c r="C552" t="s">
        <v>324</v>
      </c>
      <c r="D552" t="s">
        <v>349</v>
      </c>
      <c r="E552" t="s">
        <v>350</v>
      </c>
      <c r="F552">
        <v>28.8</v>
      </c>
      <c r="G552">
        <v>1</v>
      </c>
      <c r="H552">
        <v>0</v>
      </c>
      <c r="I552" s="12">
        <f>+F552/G552</f>
        <v>28.8</v>
      </c>
      <c r="J552">
        <v>27.8</v>
      </c>
      <c r="K552">
        <v>4</v>
      </c>
      <c r="L552">
        <v>3.6</v>
      </c>
      <c r="P552" t="s">
        <v>349</v>
      </c>
      <c r="Q552" s="11">
        <f>+AVERAGEIFS(I:I,D:D,P552)</f>
        <v>27.804999999999996</v>
      </c>
      <c r="R552" s="13">
        <f>+I552/Q552-1</f>
        <v>3.5784930767847722E-2</v>
      </c>
    </row>
    <row r="553" spans="1:18" x14ac:dyDescent="0.25">
      <c r="A553" s="6">
        <v>2448</v>
      </c>
      <c r="B553" s="6" t="s">
        <v>111</v>
      </c>
      <c r="C553" s="6" t="s">
        <v>108</v>
      </c>
      <c r="D553" s="6" t="s">
        <v>125</v>
      </c>
      <c r="E553" s="6" t="s">
        <v>126</v>
      </c>
      <c r="F553" s="6">
        <v>12.4</v>
      </c>
      <c r="G553" s="6">
        <v>1</v>
      </c>
      <c r="H553" s="6">
        <v>0</v>
      </c>
      <c r="I553" s="15">
        <f>+F553/G553</f>
        <v>12.4</v>
      </c>
      <c r="J553" s="3">
        <v>15.29</v>
      </c>
      <c r="K553" s="3">
        <v>13</v>
      </c>
      <c r="L553" s="3">
        <v>-18.899999999999999</v>
      </c>
      <c r="P553" s="6" t="s">
        <v>125</v>
      </c>
      <c r="Q553" s="11">
        <f>+AVERAGEIFS(I:I,D:D,P553)</f>
        <v>15.364102564102565</v>
      </c>
      <c r="R553" s="13">
        <f>+I553/Q553-1</f>
        <v>-0.19292389853137515</v>
      </c>
    </row>
    <row r="554" spans="1:18" hidden="1" x14ac:dyDescent="0.25">
      <c r="A554">
        <v>1911</v>
      </c>
      <c r="B554" t="s">
        <v>76</v>
      </c>
      <c r="C554" t="s">
        <v>371</v>
      </c>
      <c r="D554" t="s">
        <v>395</v>
      </c>
      <c r="E554" t="s">
        <v>396</v>
      </c>
      <c r="F554">
        <v>66.599999999999994</v>
      </c>
      <c r="G554">
        <v>5</v>
      </c>
      <c r="H554">
        <v>0</v>
      </c>
      <c r="I554" s="15">
        <f>+F554/G554</f>
        <v>13.319999999999999</v>
      </c>
      <c r="J554">
        <v>11.88</v>
      </c>
      <c r="K554">
        <v>5</v>
      </c>
      <c r="L554">
        <v>12.2</v>
      </c>
      <c r="P554" t="s">
        <v>395</v>
      </c>
      <c r="Q554" s="11">
        <f>+AVERAGEIFS(I:I,D:D,P554)</f>
        <v>11.493841269841271</v>
      </c>
      <c r="R554" s="13">
        <f>+I554/Q554-1</f>
        <v>0.15888149899463033</v>
      </c>
    </row>
    <row r="555" spans="1:18" hidden="1" x14ac:dyDescent="0.25">
      <c r="A555">
        <v>2245</v>
      </c>
      <c r="B555" t="s">
        <v>36</v>
      </c>
      <c r="C555" t="s">
        <v>324</v>
      </c>
      <c r="D555" t="s">
        <v>349</v>
      </c>
      <c r="E555" t="s">
        <v>350</v>
      </c>
      <c r="F555">
        <v>29</v>
      </c>
      <c r="G555">
        <v>1</v>
      </c>
      <c r="H555">
        <v>0</v>
      </c>
      <c r="I555" s="12">
        <f>+F555/G555</f>
        <v>29</v>
      </c>
      <c r="J555">
        <v>27.8</v>
      </c>
      <c r="K555">
        <v>4</v>
      </c>
      <c r="L555">
        <v>4.3</v>
      </c>
      <c r="P555" t="s">
        <v>349</v>
      </c>
      <c r="Q555" s="11">
        <f>+AVERAGEIFS(I:I,D:D,P555)</f>
        <v>27.804999999999996</v>
      </c>
      <c r="R555" s="13">
        <f>+I555/Q555-1</f>
        <v>4.2977881675957619E-2</v>
      </c>
    </row>
    <row r="556" spans="1:18" hidden="1" x14ac:dyDescent="0.25">
      <c r="A556">
        <v>2288</v>
      </c>
      <c r="B556" t="s">
        <v>67</v>
      </c>
      <c r="C556" t="s">
        <v>324</v>
      </c>
      <c r="D556" t="s">
        <v>351</v>
      </c>
      <c r="E556" t="s">
        <v>352</v>
      </c>
      <c r="F556">
        <v>159.41999999999999</v>
      </c>
      <c r="G556">
        <v>10</v>
      </c>
      <c r="H556">
        <v>0</v>
      </c>
      <c r="I556" s="12">
        <f>+F556/G556</f>
        <v>15.941999999999998</v>
      </c>
      <c r="J556">
        <v>15.45</v>
      </c>
      <c r="K556">
        <v>10</v>
      </c>
      <c r="L556">
        <v>3.2</v>
      </c>
      <c r="P556" t="s">
        <v>351</v>
      </c>
      <c r="Q556" s="11">
        <f>+AVERAGEIFS(I:I,D:D,P556)</f>
        <v>15.399732323232323</v>
      </c>
      <c r="R556" s="13">
        <f>+I556/Q556-1</f>
        <v>3.5212798858172301E-2</v>
      </c>
    </row>
    <row r="557" spans="1:18" hidden="1" x14ac:dyDescent="0.25">
      <c r="A557">
        <v>2290</v>
      </c>
      <c r="B557" t="s">
        <v>328</v>
      </c>
      <c r="C557" t="s">
        <v>324</v>
      </c>
      <c r="D557" t="s">
        <v>351</v>
      </c>
      <c r="E557" t="s">
        <v>352</v>
      </c>
      <c r="F557">
        <v>72.23</v>
      </c>
      <c r="G557">
        <v>5</v>
      </c>
      <c r="H557">
        <v>0</v>
      </c>
      <c r="I557" s="12">
        <f>+F557/G557</f>
        <v>14.446000000000002</v>
      </c>
      <c r="J557">
        <v>15.45</v>
      </c>
      <c r="K557">
        <v>10</v>
      </c>
      <c r="L557">
        <v>-6.5</v>
      </c>
      <c r="P557" t="s">
        <v>351</v>
      </c>
      <c r="Q557" s="11">
        <f>+AVERAGEIFS(I:I,D:D,P557)</f>
        <v>15.399732323232323</v>
      </c>
      <c r="R557" s="13">
        <f>+I557/Q557-1</f>
        <v>-6.1931746813124966E-2</v>
      </c>
    </row>
    <row r="558" spans="1:18" hidden="1" x14ac:dyDescent="0.25">
      <c r="A558">
        <v>2293</v>
      </c>
      <c r="B558" t="s">
        <v>69</v>
      </c>
      <c r="C558" t="s">
        <v>324</v>
      </c>
      <c r="D558" t="s">
        <v>351</v>
      </c>
      <c r="E558" t="s">
        <v>352</v>
      </c>
      <c r="F558">
        <v>160.80000000000001</v>
      </c>
      <c r="G558">
        <v>10</v>
      </c>
      <c r="H558">
        <v>0</v>
      </c>
      <c r="I558" s="12">
        <f>+F558/G558</f>
        <v>16.080000000000002</v>
      </c>
      <c r="J558">
        <v>15.45</v>
      </c>
      <c r="K558">
        <v>10</v>
      </c>
      <c r="L558">
        <v>4.0999999999999996</v>
      </c>
      <c r="P558" t="s">
        <v>351</v>
      </c>
      <c r="Q558" s="11">
        <f>+AVERAGEIFS(I:I,D:D,P558)</f>
        <v>15.399732323232323</v>
      </c>
      <c r="R558" s="13">
        <f>+I558/Q558-1</f>
        <v>4.4173993579188053E-2</v>
      </c>
    </row>
    <row r="559" spans="1:18" hidden="1" x14ac:dyDescent="0.25">
      <c r="A559">
        <v>2300</v>
      </c>
      <c r="B559" t="s">
        <v>219</v>
      </c>
      <c r="C559" t="s">
        <v>324</v>
      </c>
      <c r="D559" t="s">
        <v>351</v>
      </c>
      <c r="E559" t="s">
        <v>352</v>
      </c>
      <c r="F559">
        <v>146.03</v>
      </c>
      <c r="G559">
        <v>10</v>
      </c>
      <c r="H559">
        <v>0</v>
      </c>
      <c r="I559" s="12">
        <f>+F559/G559</f>
        <v>14.603</v>
      </c>
      <c r="J559">
        <v>15.45</v>
      </c>
      <c r="K559">
        <v>10</v>
      </c>
      <c r="L559">
        <v>-5.5</v>
      </c>
      <c r="P559" t="s">
        <v>351</v>
      </c>
      <c r="Q559" s="11">
        <f>+AVERAGEIFS(I:I,D:D,P559)</f>
        <v>15.399732323232323</v>
      </c>
      <c r="R559" s="13">
        <f>+I559/Q559-1</f>
        <v>-5.1736764413129355E-2</v>
      </c>
    </row>
    <row r="560" spans="1:18" hidden="1" x14ac:dyDescent="0.25">
      <c r="A560">
        <v>2289</v>
      </c>
      <c r="B560" t="s">
        <v>81</v>
      </c>
      <c r="C560" t="s">
        <v>324</v>
      </c>
      <c r="D560" t="s">
        <v>351</v>
      </c>
      <c r="E560" t="s">
        <v>352</v>
      </c>
      <c r="F560">
        <v>156.47999999999999</v>
      </c>
      <c r="G560">
        <v>10</v>
      </c>
      <c r="H560">
        <v>0</v>
      </c>
      <c r="I560" s="12">
        <f>+F560/G560</f>
        <v>15.648</v>
      </c>
      <c r="J560">
        <v>15.45</v>
      </c>
      <c r="K560">
        <v>10</v>
      </c>
      <c r="L560">
        <v>1.3</v>
      </c>
      <c r="P560" t="s">
        <v>351</v>
      </c>
      <c r="Q560" s="11">
        <f>+AVERAGEIFS(I:I,D:D,P560)</f>
        <v>15.399732323232323</v>
      </c>
      <c r="R560" s="13">
        <f>+I560/Q560-1</f>
        <v>1.6121557930791841E-2</v>
      </c>
    </row>
    <row r="561" spans="1:18" hidden="1" x14ac:dyDescent="0.25">
      <c r="A561">
        <v>2296</v>
      </c>
      <c r="B561" t="s">
        <v>82</v>
      </c>
      <c r="C561" t="s">
        <v>324</v>
      </c>
      <c r="D561" t="s">
        <v>351</v>
      </c>
      <c r="E561" t="s">
        <v>352</v>
      </c>
      <c r="F561">
        <v>156.76</v>
      </c>
      <c r="G561">
        <v>10</v>
      </c>
      <c r="H561">
        <v>0</v>
      </c>
      <c r="I561" s="12">
        <f>+F561/G561</f>
        <v>15.675999999999998</v>
      </c>
      <c r="J561">
        <v>15.45</v>
      </c>
      <c r="K561">
        <v>10</v>
      </c>
      <c r="L561">
        <v>1.5</v>
      </c>
      <c r="P561" t="s">
        <v>351</v>
      </c>
      <c r="Q561" s="11">
        <f>+AVERAGEIFS(I:I,D:D,P561)</f>
        <v>15.399732323232323</v>
      </c>
      <c r="R561" s="13">
        <f>+I561/Q561-1</f>
        <v>1.7939771352446954E-2</v>
      </c>
    </row>
    <row r="562" spans="1:18" hidden="1" x14ac:dyDescent="0.25">
      <c r="A562">
        <v>2301</v>
      </c>
      <c r="B562" t="s">
        <v>204</v>
      </c>
      <c r="C562" t="s">
        <v>324</v>
      </c>
      <c r="D562" t="s">
        <v>351</v>
      </c>
      <c r="E562" t="s">
        <v>352</v>
      </c>
      <c r="F562">
        <v>163.4</v>
      </c>
      <c r="G562">
        <v>11</v>
      </c>
      <c r="H562">
        <v>0</v>
      </c>
      <c r="I562" s="12">
        <f>+F562/G562</f>
        <v>14.854545454545455</v>
      </c>
      <c r="J562">
        <v>15.45</v>
      </c>
      <c r="K562">
        <v>10</v>
      </c>
      <c r="L562">
        <v>-3.9</v>
      </c>
      <c r="P562" t="s">
        <v>351</v>
      </c>
      <c r="Q562" s="11">
        <f>+AVERAGEIFS(I:I,D:D,P562)</f>
        <v>15.399732323232323</v>
      </c>
      <c r="R562" s="13">
        <f>+I562/Q562-1</f>
        <v>-3.5402360069881733E-2</v>
      </c>
    </row>
    <row r="563" spans="1:18" hidden="1" x14ac:dyDescent="0.25">
      <c r="A563">
        <v>2291</v>
      </c>
      <c r="B563" t="s">
        <v>87</v>
      </c>
      <c r="C563" t="s">
        <v>324</v>
      </c>
      <c r="D563" t="s">
        <v>351</v>
      </c>
      <c r="E563" t="s">
        <v>352</v>
      </c>
      <c r="F563">
        <v>143.83000000000001</v>
      </c>
      <c r="G563">
        <v>9</v>
      </c>
      <c r="H563">
        <v>0</v>
      </c>
      <c r="I563" s="12">
        <f>+F563/G563</f>
        <v>15.981111111111112</v>
      </c>
      <c r="J563">
        <v>15.45</v>
      </c>
      <c r="K563">
        <v>10</v>
      </c>
      <c r="L563">
        <v>3.4</v>
      </c>
      <c r="P563" t="s">
        <v>351</v>
      </c>
      <c r="Q563" s="11">
        <f>+AVERAGEIFS(I:I,D:D,P563)</f>
        <v>15.399732323232323</v>
      </c>
      <c r="R563" s="13">
        <f>+I563/Q563-1</f>
        <v>3.7752525542389392E-2</v>
      </c>
    </row>
    <row r="564" spans="1:18" hidden="1" x14ac:dyDescent="0.25">
      <c r="A564">
        <v>2297</v>
      </c>
      <c r="B564" t="s">
        <v>223</v>
      </c>
      <c r="C564" t="s">
        <v>324</v>
      </c>
      <c r="D564" t="s">
        <v>351</v>
      </c>
      <c r="E564" t="s">
        <v>352</v>
      </c>
      <c r="F564">
        <v>30.4</v>
      </c>
      <c r="G564">
        <v>2</v>
      </c>
      <c r="H564">
        <v>0</v>
      </c>
      <c r="I564" s="12">
        <f>+F564/G564</f>
        <v>15.2</v>
      </c>
      <c r="J564">
        <v>15.45</v>
      </c>
      <c r="K564">
        <v>10</v>
      </c>
      <c r="L564">
        <v>-1.6</v>
      </c>
      <c r="P564" t="s">
        <v>351</v>
      </c>
      <c r="Q564" s="11">
        <f>+AVERAGEIFS(I:I,D:D,P564)</f>
        <v>15.399732323232323</v>
      </c>
      <c r="R564" s="13">
        <f>+I564/Q564-1</f>
        <v>-1.296985681569307E-2</v>
      </c>
    </row>
    <row r="565" spans="1:18" hidden="1" x14ac:dyDescent="0.25">
      <c r="A565">
        <v>2298</v>
      </c>
      <c r="B565" t="s">
        <v>35</v>
      </c>
      <c r="C565" t="s">
        <v>324</v>
      </c>
      <c r="D565" t="s">
        <v>351</v>
      </c>
      <c r="E565" t="s">
        <v>352</v>
      </c>
      <c r="F565">
        <v>46.7</v>
      </c>
      <c r="G565">
        <v>3</v>
      </c>
      <c r="H565">
        <v>0</v>
      </c>
      <c r="I565" s="12">
        <f>+F565/G565</f>
        <v>15.566666666666668</v>
      </c>
      <c r="J565">
        <v>15.45</v>
      </c>
      <c r="K565">
        <v>10</v>
      </c>
      <c r="L565">
        <v>0.8</v>
      </c>
      <c r="P565" t="s">
        <v>351</v>
      </c>
      <c r="Q565" s="11">
        <f>+AVERAGEIFS(I:I,D:D,P565)</f>
        <v>15.399732323232323</v>
      </c>
      <c r="R565" s="13">
        <f>+I565/Q565-1</f>
        <v>1.0840080848840694E-2</v>
      </c>
    </row>
    <row r="566" spans="1:18" hidden="1" x14ac:dyDescent="0.25">
      <c r="A566">
        <v>2299</v>
      </c>
      <c r="B566" t="s">
        <v>213</v>
      </c>
      <c r="C566" t="s">
        <v>324</v>
      </c>
      <c r="D566" t="s">
        <v>353</v>
      </c>
      <c r="E566" t="s">
        <v>354</v>
      </c>
      <c r="F566">
        <v>44.9</v>
      </c>
      <c r="G566">
        <v>3</v>
      </c>
      <c r="H566">
        <v>0</v>
      </c>
      <c r="I566" s="12">
        <f>+F566/G566</f>
        <v>14.966666666666667</v>
      </c>
      <c r="J566">
        <v>15.47</v>
      </c>
      <c r="K566">
        <v>3</v>
      </c>
      <c r="L566">
        <v>-3.2</v>
      </c>
      <c r="P566" t="s">
        <v>353</v>
      </c>
      <c r="Q566" s="11">
        <f>+AVERAGEIFS(I:I,D:D,P566)</f>
        <v>15.769999999999998</v>
      </c>
      <c r="R566" s="13">
        <f>+I566/Q566-1</f>
        <v>-5.094060452335647E-2</v>
      </c>
    </row>
    <row r="567" spans="1:18" hidden="1" x14ac:dyDescent="0.25">
      <c r="A567">
        <v>2294</v>
      </c>
      <c r="B567" t="s">
        <v>69</v>
      </c>
      <c r="C567" t="s">
        <v>324</v>
      </c>
      <c r="D567" t="s">
        <v>353</v>
      </c>
      <c r="E567" t="s">
        <v>354</v>
      </c>
      <c r="F567">
        <v>34.4</v>
      </c>
      <c r="G567">
        <v>2</v>
      </c>
      <c r="H567">
        <v>0</v>
      </c>
      <c r="I567" s="12">
        <f>+F567/G567</f>
        <v>17.2</v>
      </c>
      <c r="J567">
        <v>15.47</v>
      </c>
      <c r="K567">
        <v>3</v>
      </c>
      <c r="L567">
        <v>11.2</v>
      </c>
      <c r="P567" t="s">
        <v>353</v>
      </c>
      <c r="Q567" s="11">
        <f>+AVERAGEIFS(I:I,D:D,P567)</f>
        <v>15.769999999999998</v>
      </c>
      <c r="R567" s="13">
        <f>+I567/Q567-1</f>
        <v>9.0678503487634954E-2</v>
      </c>
    </row>
    <row r="568" spans="1:18" hidden="1" x14ac:dyDescent="0.25">
      <c r="A568">
        <v>2292</v>
      </c>
      <c r="B568" t="s">
        <v>87</v>
      </c>
      <c r="C568" t="s">
        <v>324</v>
      </c>
      <c r="D568" t="s">
        <v>353</v>
      </c>
      <c r="E568" t="s">
        <v>354</v>
      </c>
      <c r="F568">
        <v>90.86</v>
      </c>
      <c r="G568">
        <v>6</v>
      </c>
      <c r="H568">
        <v>0</v>
      </c>
      <c r="I568" s="12">
        <f>+F568/G568</f>
        <v>15.143333333333333</v>
      </c>
      <c r="J568">
        <v>15.47</v>
      </c>
      <c r="K568">
        <v>3</v>
      </c>
      <c r="L568">
        <v>-2.1</v>
      </c>
      <c r="P568" t="s">
        <v>353</v>
      </c>
      <c r="Q568" s="11">
        <f>+AVERAGEIFS(I:I,D:D,P568)</f>
        <v>15.769999999999998</v>
      </c>
      <c r="R568" s="13">
        <f>+I568/Q568-1</f>
        <v>-3.973789896427804E-2</v>
      </c>
    </row>
    <row r="569" spans="1:18" hidden="1" x14ac:dyDescent="0.25">
      <c r="A569">
        <v>1871</v>
      </c>
      <c r="B569" t="s">
        <v>16</v>
      </c>
      <c r="C569" t="s">
        <v>371</v>
      </c>
      <c r="D569" t="s">
        <v>395</v>
      </c>
      <c r="E569" t="s">
        <v>396</v>
      </c>
      <c r="F569">
        <v>92.2</v>
      </c>
      <c r="G569">
        <v>7</v>
      </c>
      <c r="H569">
        <v>0</v>
      </c>
      <c r="I569" s="15">
        <f>+F569/G569</f>
        <v>13.171428571428573</v>
      </c>
      <c r="J569">
        <v>11.88</v>
      </c>
      <c r="K569">
        <v>5</v>
      </c>
      <c r="L569">
        <v>10.9</v>
      </c>
      <c r="P569" t="s">
        <v>395</v>
      </c>
      <c r="Q569" s="11">
        <f>+AVERAGEIFS(I:I,D:D,P569)</f>
        <v>11.493841269841271</v>
      </c>
      <c r="R569" s="13">
        <f>+I569/Q569-1</f>
        <v>0.14595532182866733</v>
      </c>
    </row>
    <row r="570" spans="1:18" hidden="1" x14ac:dyDescent="0.25">
      <c r="A570" s="2">
        <v>1916</v>
      </c>
      <c r="B570" s="2" t="s">
        <v>215</v>
      </c>
      <c r="C570" s="2" t="s">
        <v>371</v>
      </c>
      <c r="D570" s="2" t="s">
        <v>395</v>
      </c>
      <c r="E570" s="2" t="s">
        <v>396</v>
      </c>
      <c r="F570" s="2">
        <v>18.2</v>
      </c>
      <c r="G570" s="2">
        <v>1</v>
      </c>
      <c r="H570" s="2">
        <v>0</v>
      </c>
      <c r="I570" s="15">
        <f>+F570/G570</f>
        <v>18.2</v>
      </c>
      <c r="J570" s="2">
        <v>11.88</v>
      </c>
      <c r="K570" s="2">
        <v>5</v>
      </c>
      <c r="L570" s="2">
        <v>53.3</v>
      </c>
      <c r="P570" s="2" t="s">
        <v>395</v>
      </c>
      <c r="Q570" s="11">
        <f>+AVERAGEIFS(I:I,D:D,P570)</f>
        <v>11.493841269841271</v>
      </c>
      <c r="R570" s="13">
        <f>+I570/Q570-1</f>
        <v>0.58345670283050111</v>
      </c>
    </row>
    <row r="571" spans="1:18" hidden="1" x14ac:dyDescent="0.25">
      <c r="A571" s="2">
        <v>2224</v>
      </c>
      <c r="B571" s="2" t="s">
        <v>82</v>
      </c>
      <c r="C571" s="2" t="s">
        <v>324</v>
      </c>
      <c r="D571" s="2" t="s">
        <v>355</v>
      </c>
      <c r="E571" s="2" t="s">
        <v>356</v>
      </c>
      <c r="F571" s="2">
        <v>23.5</v>
      </c>
      <c r="G571" s="2">
        <v>1</v>
      </c>
      <c r="H571" s="2">
        <v>0</v>
      </c>
      <c r="I571" s="12">
        <f>+F571/G571</f>
        <v>23.5</v>
      </c>
      <c r="J571" s="2">
        <v>6.05</v>
      </c>
      <c r="K571" s="2">
        <v>5</v>
      </c>
      <c r="L571" s="2">
        <v>288.2</v>
      </c>
      <c r="P571" s="2" t="s">
        <v>355</v>
      </c>
      <c r="Q571" s="11">
        <f>+AVERAGEIFS(I:I,D:D,P571)</f>
        <v>23.419999999999998</v>
      </c>
      <c r="R571" s="13">
        <f>+I571/Q571-1</f>
        <v>3.4158838599487318E-3</v>
      </c>
    </row>
    <row r="572" spans="1:18" hidden="1" x14ac:dyDescent="0.25">
      <c r="A572" s="4">
        <v>1940</v>
      </c>
      <c r="B572" s="4" t="s">
        <v>47</v>
      </c>
      <c r="C572" s="4" t="s">
        <v>371</v>
      </c>
      <c r="D572" s="4" t="s">
        <v>395</v>
      </c>
      <c r="E572" s="4" t="s">
        <v>396</v>
      </c>
      <c r="F572" s="4">
        <v>2</v>
      </c>
      <c r="G572" s="4">
        <v>2</v>
      </c>
      <c r="H572" s="4">
        <v>0</v>
      </c>
      <c r="I572" s="15">
        <f>+F572/G572</f>
        <v>1</v>
      </c>
      <c r="J572" s="2">
        <v>11.88</v>
      </c>
      <c r="K572" s="2">
        <v>5</v>
      </c>
      <c r="L572" s="2">
        <v>-91.6</v>
      </c>
      <c r="M572" t="s">
        <v>407</v>
      </c>
      <c r="P572" s="4" t="s">
        <v>395</v>
      </c>
      <c r="Q572" s="11">
        <f>+AVERAGEIFS(I:I,D:D,P572)</f>
        <v>11.493841269841271</v>
      </c>
      <c r="R572" s="13">
        <f>+I572/Q572-1</f>
        <v>-0.9129968844598626</v>
      </c>
    </row>
    <row r="573" spans="1:18" hidden="1" x14ac:dyDescent="0.25">
      <c r="A573" s="6">
        <v>2023</v>
      </c>
      <c r="B573" s="6" t="s">
        <v>61</v>
      </c>
      <c r="C573" s="6" t="s">
        <v>62</v>
      </c>
      <c r="D573" s="6" t="s">
        <v>104</v>
      </c>
      <c r="E573" s="6" t="s">
        <v>105</v>
      </c>
      <c r="F573" s="6">
        <v>7.2</v>
      </c>
      <c r="G573" s="6">
        <v>1</v>
      </c>
      <c r="H573" s="6">
        <v>0</v>
      </c>
      <c r="I573" s="15">
        <f>+F573/G573</f>
        <v>7.2</v>
      </c>
      <c r="J573" s="3">
        <v>9.4499999999999993</v>
      </c>
      <c r="K573" s="3">
        <v>3</v>
      </c>
      <c r="L573" s="3">
        <v>-23.8</v>
      </c>
      <c r="P573" s="6" t="s">
        <v>104</v>
      </c>
      <c r="Q573" s="11">
        <f>+AVERAGEIFS(I:I,D:D,P573)</f>
        <v>9.6133333333333333</v>
      </c>
      <c r="R573" s="13">
        <f>+I573/Q573-1</f>
        <v>-0.25104022191400832</v>
      </c>
    </row>
    <row r="574" spans="1:18" hidden="1" x14ac:dyDescent="0.25">
      <c r="A574">
        <v>2190</v>
      </c>
      <c r="B574" t="s">
        <v>327</v>
      </c>
      <c r="C574" t="s">
        <v>324</v>
      </c>
      <c r="D574" t="s">
        <v>357</v>
      </c>
      <c r="E574" t="s">
        <v>358</v>
      </c>
      <c r="F574">
        <v>27.9</v>
      </c>
      <c r="G574">
        <v>1</v>
      </c>
      <c r="H574">
        <v>0</v>
      </c>
      <c r="I574" s="12">
        <f>+F574/G574</f>
        <v>27.9</v>
      </c>
      <c r="J574">
        <v>27.13</v>
      </c>
      <c r="K574">
        <v>7</v>
      </c>
      <c r="L574">
        <v>2.8</v>
      </c>
      <c r="P574" t="s">
        <v>357</v>
      </c>
      <c r="Q574" s="11">
        <f>+AVERAGEIFS(I:I,D:D,P574)</f>
        <v>26.824285714285711</v>
      </c>
      <c r="R574" s="13">
        <f>+I574/Q574-1</f>
        <v>4.0102252756031298E-2</v>
      </c>
    </row>
    <row r="575" spans="1:18" hidden="1" x14ac:dyDescent="0.25">
      <c r="A575">
        <v>2254</v>
      </c>
      <c r="B575" t="s">
        <v>213</v>
      </c>
      <c r="C575" t="s">
        <v>324</v>
      </c>
      <c r="D575" t="s">
        <v>357</v>
      </c>
      <c r="E575" t="s">
        <v>358</v>
      </c>
      <c r="F575">
        <v>26.1</v>
      </c>
      <c r="G575">
        <v>1</v>
      </c>
      <c r="H575">
        <v>0</v>
      </c>
      <c r="I575" s="12">
        <f>+F575/G575</f>
        <v>26.1</v>
      </c>
      <c r="J575">
        <v>27.13</v>
      </c>
      <c r="K575">
        <v>7</v>
      </c>
      <c r="L575">
        <v>-3.8</v>
      </c>
      <c r="P575" t="s">
        <v>357</v>
      </c>
      <c r="Q575" s="11">
        <f>+AVERAGEIFS(I:I,D:D,P575)</f>
        <v>26.824285714285711</v>
      </c>
      <c r="R575" s="13">
        <f>+I575/Q575-1</f>
        <v>-2.7001118389518908E-2</v>
      </c>
    </row>
    <row r="576" spans="1:18" hidden="1" x14ac:dyDescent="0.25">
      <c r="A576">
        <v>2206</v>
      </c>
      <c r="B576" t="s">
        <v>69</v>
      </c>
      <c r="C576" t="s">
        <v>324</v>
      </c>
      <c r="D576" t="s">
        <v>357</v>
      </c>
      <c r="E576" t="s">
        <v>358</v>
      </c>
      <c r="F576">
        <v>27.9</v>
      </c>
      <c r="G576">
        <v>1</v>
      </c>
      <c r="H576">
        <v>0</v>
      </c>
      <c r="I576" s="12">
        <f>+F576/G576</f>
        <v>27.9</v>
      </c>
      <c r="J576">
        <v>27.13</v>
      </c>
      <c r="K576">
        <v>7</v>
      </c>
      <c r="L576">
        <v>2.8</v>
      </c>
      <c r="P576" t="s">
        <v>357</v>
      </c>
      <c r="Q576" s="11">
        <f>+AVERAGEIFS(I:I,D:D,P576)</f>
        <v>26.824285714285711</v>
      </c>
      <c r="R576" s="13">
        <f>+I576/Q576-1</f>
        <v>4.0102252756031298E-2</v>
      </c>
    </row>
    <row r="577" spans="1:18" hidden="1" x14ac:dyDescent="0.25">
      <c r="A577">
        <v>2222</v>
      </c>
      <c r="B577" t="s">
        <v>82</v>
      </c>
      <c r="C577" t="s">
        <v>324</v>
      </c>
      <c r="D577" t="s">
        <v>357</v>
      </c>
      <c r="E577" t="s">
        <v>358</v>
      </c>
      <c r="F577">
        <v>58.6</v>
      </c>
      <c r="G577">
        <v>2</v>
      </c>
      <c r="H577">
        <v>0</v>
      </c>
      <c r="I577" s="12">
        <f>+F577/G577</f>
        <v>29.3</v>
      </c>
      <c r="J577">
        <v>27.13</v>
      </c>
      <c r="K577">
        <v>7</v>
      </c>
      <c r="L577">
        <v>8</v>
      </c>
      <c r="P577" t="s">
        <v>357</v>
      </c>
      <c r="Q577" s="11">
        <f>+AVERAGEIFS(I:I,D:D,P577)</f>
        <v>26.824285714285711</v>
      </c>
      <c r="R577" s="13">
        <f>+I577/Q577-1</f>
        <v>9.2293763647015137E-2</v>
      </c>
    </row>
    <row r="578" spans="1:18" hidden="1" x14ac:dyDescent="0.25">
      <c r="A578">
        <v>1809</v>
      </c>
      <c r="B578" t="s">
        <v>81</v>
      </c>
      <c r="C578" t="s">
        <v>203</v>
      </c>
      <c r="D578" t="s">
        <v>228</v>
      </c>
      <c r="E578" t="s">
        <v>229</v>
      </c>
      <c r="F578">
        <v>34.6</v>
      </c>
      <c r="G578">
        <v>9</v>
      </c>
      <c r="H578">
        <v>0</v>
      </c>
      <c r="I578" s="15">
        <f>+F578/G578</f>
        <v>3.8444444444444446</v>
      </c>
      <c r="J578">
        <v>4.3</v>
      </c>
      <c r="K578">
        <v>11</v>
      </c>
      <c r="L578">
        <v>-10.5</v>
      </c>
      <c r="P578" t="s">
        <v>228</v>
      </c>
      <c r="Q578" s="11">
        <f>+AVERAGEIFS(I:I,D:D,P578)</f>
        <v>4.3075503284594188</v>
      </c>
      <c r="R578" s="13">
        <f>+I578/Q578-1</f>
        <v>-0.10751026655574847</v>
      </c>
    </row>
    <row r="579" spans="1:18" hidden="1" x14ac:dyDescent="0.25">
      <c r="A579">
        <v>2175</v>
      </c>
      <c r="B579" t="s">
        <v>87</v>
      </c>
      <c r="C579" t="s">
        <v>324</v>
      </c>
      <c r="D579" t="s">
        <v>357</v>
      </c>
      <c r="E579" t="s">
        <v>358</v>
      </c>
      <c r="F579">
        <v>25.5</v>
      </c>
      <c r="G579">
        <v>1</v>
      </c>
      <c r="H579">
        <v>0</v>
      </c>
      <c r="I579" s="12">
        <f>+F579/G579</f>
        <v>25.5</v>
      </c>
      <c r="J579">
        <v>27.13</v>
      </c>
      <c r="K579">
        <v>7</v>
      </c>
      <c r="L579">
        <v>-6</v>
      </c>
      <c r="P579" t="s">
        <v>357</v>
      </c>
      <c r="Q579" s="11">
        <f>+AVERAGEIFS(I:I,D:D,P579)</f>
        <v>26.824285714285711</v>
      </c>
      <c r="R579" s="13">
        <f>+I579/Q579-1</f>
        <v>-4.9368908771369124E-2</v>
      </c>
    </row>
    <row r="580" spans="1:18" hidden="1" x14ac:dyDescent="0.25">
      <c r="A580">
        <v>2137</v>
      </c>
      <c r="B580" t="s">
        <v>93</v>
      </c>
      <c r="C580" t="s">
        <v>324</v>
      </c>
      <c r="D580" t="s">
        <v>357</v>
      </c>
      <c r="E580" t="s">
        <v>358</v>
      </c>
      <c r="F580">
        <v>29.6</v>
      </c>
      <c r="G580">
        <v>1</v>
      </c>
      <c r="H580">
        <v>0</v>
      </c>
      <c r="I580" s="12">
        <f>+F580/G580</f>
        <v>29.6</v>
      </c>
      <c r="J580">
        <v>27.13</v>
      </c>
      <c r="K580">
        <v>7</v>
      </c>
      <c r="L580">
        <v>9.1</v>
      </c>
      <c r="P580" t="s">
        <v>357</v>
      </c>
      <c r="Q580" s="11">
        <f>+AVERAGEIFS(I:I,D:D,P580)</f>
        <v>26.824285714285711</v>
      </c>
      <c r="R580" s="13">
        <f>+I580/Q580-1</f>
        <v>0.10347765883794025</v>
      </c>
    </row>
    <row r="581" spans="1:18" hidden="1" x14ac:dyDescent="0.25">
      <c r="A581" s="2">
        <v>1741</v>
      </c>
      <c r="B581" s="2" t="s">
        <v>34</v>
      </c>
      <c r="C581" s="2" t="s">
        <v>203</v>
      </c>
      <c r="D581" s="2" t="s">
        <v>226</v>
      </c>
      <c r="E581" s="2" t="s">
        <v>227</v>
      </c>
      <c r="F581" s="2">
        <v>18</v>
      </c>
      <c r="G581" s="2">
        <v>3</v>
      </c>
      <c r="H581" s="2">
        <v>0</v>
      </c>
      <c r="I581" s="15">
        <f>+F581/G581</f>
        <v>6</v>
      </c>
      <c r="J581" s="2">
        <v>4.42</v>
      </c>
      <c r="K581" s="2">
        <v>9</v>
      </c>
      <c r="L581" s="2">
        <v>35.6</v>
      </c>
      <c r="P581" s="2" t="s">
        <v>226</v>
      </c>
      <c r="Q581" s="11">
        <f>+AVERAGEIFS(I:I,D:D,P581)</f>
        <v>4.5586501951207836</v>
      </c>
      <c r="R581" s="13">
        <f>+I581/Q581-1</f>
        <v>0.31617907564434811</v>
      </c>
    </row>
    <row r="582" spans="1:18" hidden="1" x14ac:dyDescent="0.25">
      <c r="A582">
        <v>2149</v>
      </c>
      <c r="B582" t="s">
        <v>328</v>
      </c>
      <c r="C582" t="s">
        <v>324</v>
      </c>
      <c r="D582" t="s">
        <v>359</v>
      </c>
      <c r="E582" t="s">
        <v>360</v>
      </c>
      <c r="F582">
        <v>276.3</v>
      </c>
      <c r="G582">
        <v>11</v>
      </c>
      <c r="H582">
        <v>0</v>
      </c>
      <c r="I582" s="12">
        <f>+F582/G582</f>
        <v>25.118181818181821</v>
      </c>
      <c r="J582">
        <v>27.14</v>
      </c>
      <c r="K582">
        <v>9</v>
      </c>
      <c r="L582">
        <v>-7.4</v>
      </c>
      <c r="P582" t="s">
        <v>359</v>
      </c>
      <c r="Q582" s="11">
        <f>+AVERAGEIFS(I:I,D:D,P582)</f>
        <v>27.328131313131312</v>
      </c>
      <c r="R582" s="13">
        <f>+I582/Q582-1</f>
        <v>-8.0867201259663068E-2</v>
      </c>
    </row>
    <row r="583" spans="1:18" hidden="1" x14ac:dyDescent="0.25">
      <c r="A583">
        <v>2255</v>
      </c>
      <c r="B583" t="s">
        <v>213</v>
      </c>
      <c r="C583" t="s">
        <v>324</v>
      </c>
      <c r="D583" t="s">
        <v>359</v>
      </c>
      <c r="E583" t="s">
        <v>360</v>
      </c>
      <c r="F583">
        <v>53.7</v>
      </c>
      <c r="G583">
        <v>2</v>
      </c>
      <c r="H583">
        <v>0</v>
      </c>
      <c r="I583" s="12">
        <f>+F583/G583</f>
        <v>26.85</v>
      </c>
      <c r="J583">
        <v>27.14</v>
      </c>
      <c r="K583">
        <v>9</v>
      </c>
      <c r="L583">
        <v>-1.1000000000000001</v>
      </c>
      <c r="P583" t="s">
        <v>359</v>
      </c>
      <c r="Q583" s="11">
        <f>+AVERAGEIFS(I:I,D:D,P583)</f>
        <v>27.328131313131312</v>
      </c>
      <c r="R583" s="13">
        <f>+I583/Q583-1</f>
        <v>-1.7495938805796252E-2</v>
      </c>
    </row>
    <row r="584" spans="1:18" hidden="1" x14ac:dyDescent="0.25">
      <c r="A584">
        <v>2451</v>
      </c>
      <c r="B584" t="s">
        <v>69</v>
      </c>
      <c r="C584" t="s">
        <v>324</v>
      </c>
      <c r="D584" t="s">
        <v>359</v>
      </c>
      <c r="E584" t="s">
        <v>360</v>
      </c>
      <c r="F584">
        <v>162.4</v>
      </c>
      <c r="G584">
        <v>6</v>
      </c>
      <c r="H584">
        <v>0</v>
      </c>
      <c r="I584" s="12">
        <f>+F584/G584</f>
        <v>27.066666666666666</v>
      </c>
      <c r="J584">
        <v>27.14</v>
      </c>
      <c r="K584">
        <v>9</v>
      </c>
      <c r="L584">
        <v>-0.3</v>
      </c>
      <c r="P584" t="s">
        <v>359</v>
      </c>
      <c r="Q584" s="11">
        <f>+AVERAGEIFS(I:I,D:D,P584)</f>
        <v>27.328131313131312</v>
      </c>
      <c r="R584" s="13">
        <f>+I584/Q584-1</f>
        <v>-9.5676006335277952E-3</v>
      </c>
    </row>
    <row r="585" spans="1:18" hidden="1" x14ac:dyDescent="0.25">
      <c r="A585" s="3">
        <v>1799</v>
      </c>
      <c r="B585" s="3" t="s">
        <v>230</v>
      </c>
      <c r="C585" s="3" t="s">
        <v>203</v>
      </c>
      <c r="D585" s="3" t="s">
        <v>231</v>
      </c>
      <c r="E585" s="3" t="s">
        <v>232</v>
      </c>
      <c r="F585" s="3">
        <v>21</v>
      </c>
      <c r="G585" s="3">
        <v>1</v>
      </c>
      <c r="H585" s="3">
        <v>0</v>
      </c>
      <c r="I585" s="15">
        <f>+F585/G585</f>
        <v>21</v>
      </c>
      <c r="J585" s="3">
        <v>17.420000000000002</v>
      </c>
      <c r="K585" s="3">
        <v>5</v>
      </c>
      <c r="L585" s="3">
        <v>20.6</v>
      </c>
      <c r="P585" s="3" t="s">
        <v>231</v>
      </c>
      <c r="Q585" s="11">
        <f>+AVERAGEIFS(I:I,D:D,P585)</f>
        <v>17.369999999999997</v>
      </c>
      <c r="R585" s="13">
        <f>+I585/Q585-1</f>
        <v>0.20898100172711587</v>
      </c>
    </row>
    <row r="586" spans="1:18" hidden="1" x14ac:dyDescent="0.25">
      <c r="A586">
        <v>2223</v>
      </c>
      <c r="B586" t="s">
        <v>82</v>
      </c>
      <c r="C586" t="s">
        <v>324</v>
      </c>
      <c r="D586" t="s">
        <v>359</v>
      </c>
      <c r="E586" t="s">
        <v>360</v>
      </c>
      <c r="F586">
        <v>106.2</v>
      </c>
      <c r="G586">
        <v>4</v>
      </c>
      <c r="H586">
        <v>0</v>
      </c>
      <c r="I586" s="12">
        <f>+F586/G586</f>
        <v>26.55</v>
      </c>
      <c r="J586">
        <v>27.14</v>
      </c>
      <c r="K586">
        <v>9</v>
      </c>
      <c r="L586">
        <v>-2.2000000000000002</v>
      </c>
      <c r="P586" t="s">
        <v>359</v>
      </c>
      <c r="Q586" s="11">
        <f>+AVERAGEIFS(I:I,D:D,P586)</f>
        <v>27.328131313131312</v>
      </c>
      <c r="R586" s="13">
        <f>+I586/Q586-1</f>
        <v>-2.8473637813552721E-2</v>
      </c>
    </row>
    <row r="587" spans="1:18" hidden="1" x14ac:dyDescent="0.25">
      <c r="A587">
        <v>2276</v>
      </c>
      <c r="B587" t="s">
        <v>240</v>
      </c>
      <c r="C587" t="s">
        <v>324</v>
      </c>
      <c r="D587" t="s">
        <v>359</v>
      </c>
      <c r="E587" t="s">
        <v>360</v>
      </c>
      <c r="F587">
        <v>119.3</v>
      </c>
      <c r="G587">
        <v>4</v>
      </c>
      <c r="H587">
        <v>0</v>
      </c>
      <c r="I587" s="12">
        <f>+F587/G587</f>
        <v>29.824999999999999</v>
      </c>
      <c r="J587">
        <v>27.14</v>
      </c>
      <c r="K587">
        <v>9</v>
      </c>
      <c r="L587">
        <v>9.9</v>
      </c>
      <c r="P587" t="s">
        <v>359</v>
      </c>
      <c r="Q587" s="11">
        <f>+AVERAGEIFS(I:I,D:D,P587)</f>
        <v>27.328131313131312</v>
      </c>
      <c r="R587" s="13">
        <f>+I587/Q587-1</f>
        <v>9.1366243021121951E-2</v>
      </c>
    </row>
    <row r="588" spans="1:18" hidden="1" x14ac:dyDescent="0.25">
      <c r="A588">
        <v>2176</v>
      </c>
      <c r="B588" t="s">
        <v>87</v>
      </c>
      <c r="C588" t="s">
        <v>324</v>
      </c>
      <c r="D588" t="s">
        <v>359</v>
      </c>
      <c r="E588" t="s">
        <v>360</v>
      </c>
      <c r="F588">
        <v>140.30000000000001</v>
      </c>
      <c r="G588">
        <v>5</v>
      </c>
      <c r="H588">
        <v>0</v>
      </c>
      <c r="I588" s="12">
        <f>+F588/G588</f>
        <v>28.060000000000002</v>
      </c>
      <c r="J588">
        <v>27.14</v>
      </c>
      <c r="K588">
        <v>9</v>
      </c>
      <c r="L588">
        <v>3.4</v>
      </c>
      <c r="P588" t="s">
        <v>359</v>
      </c>
      <c r="Q588" s="11">
        <f>+AVERAGEIFS(I:I,D:D,P588)</f>
        <v>27.328131313131312</v>
      </c>
      <c r="R588" s="13">
        <f>+I588/Q588-1</f>
        <v>2.6780780525488268E-2</v>
      </c>
    </row>
    <row r="589" spans="1:18" hidden="1" x14ac:dyDescent="0.25">
      <c r="A589">
        <v>2243</v>
      </c>
      <c r="B589" t="s">
        <v>36</v>
      </c>
      <c r="C589" t="s">
        <v>324</v>
      </c>
      <c r="D589" t="s">
        <v>359</v>
      </c>
      <c r="E589" t="s">
        <v>360</v>
      </c>
      <c r="F589">
        <v>57.2</v>
      </c>
      <c r="G589">
        <v>2</v>
      </c>
      <c r="H589">
        <v>0</v>
      </c>
      <c r="I589" s="12">
        <f>+F589/G589</f>
        <v>28.6</v>
      </c>
      <c r="J589">
        <v>27.14</v>
      </c>
      <c r="K589">
        <v>9</v>
      </c>
      <c r="L589">
        <v>5.4</v>
      </c>
      <c r="P589" t="s">
        <v>359</v>
      </c>
      <c r="Q589" s="11">
        <f>+AVERAGEIFS(I:I,D:D,P589)</f>
        <v>27.328131313131312</v>
      </c>
      <c r="R589" s="13">
        <f>+I589/Q589-1</f>
        <v>4.6540638739449802E-2</v>
      </c>
    </row>
    <row r="590" spans="1:18" hidden="1" x14ac:dyDescent="0.25">
      <c r="A590">
        <v>2111</v>
      </c>
      <c r="B590" t="s">
        <v>78</v>
      </c>
      <c r="C590" t="s">
        <v>324</v>
      </c>
      <c r="D590" t="s">
        <v>361</v>
      </c>
      <c r="E590" t="s">
        <v>362</v>
      </c>
      <c r="F590">
        <v>4.5</v>
      </c>
      <c r="G590">
        <v>1</v>
      </c>
      <c r="H590">
        <v>0</v>
      </c>
      <c r="I590" s="12">
        <f>+F590/G590</f>
        <v>4.5</v>
      </c>
      <c r="J590">
        <v>4.5</v>
      </c>
      <c r="K590">
        <v>1</v>
      </c>
      <c r="L590">
        <v>0</v>
      </c>
      <c r="P590" t="s">
        <v>361</v>
      </c>
      <c r="Q590" s="11">
        <f>+AVERAGEIFS(I:I,D:D,P590)</f>
        <v>4.5</v>
      </c>
      <c r="R590" s="13">
        <f>+I590/Q590-1</f>
        <v>0</v>
      </c>
    </row>
    <row r="591" spans="1:18" hidden="1" x14ac:dyDescent="0.25">
      <c r="A591" s="3">
        <v>1729</v>
      </c>
      <c r="B591" s="3" t="s">
        <v>205</v>
      </c>
      <c r="C591" s="3" t="s">
        <v>203</v>
      </c>
      <c r="D591" s="3" t="s">
        <v>231</v>
      </c>
      <c r="E591" s="3" t="s">
        <v>232</v>
      </c>
      <c r="F591" s="3">
        <v>29.6</v>
      </c>
      <c r="G591" s="3">
        <v>2</v>
      </c>
      <c r="H591" s="3">
        <v>0</v>
      </c>
      <c r="I591" s="15">
        <f>+F591/G591</f>
        <v>14.8</v>
      </c>
      <c r="J591" s="3">
        <v>17.420000000000002</v>
      </c>
      <c r="K591" s="3">
        <v>5</v>
      </c>
      <c r="L591" s="3">
        <v>-15</v>
      </c>
      <c r="P591" s="3" t="s">
        <v>231</v>
      </c>
      <c r="Q591" s="11">
        <f>+AVERAGEIFS(I:I,D:D,P591)</f>
        <v>17.369999999999997</v>
      </c>
      <c r="R591" s="13">
        <f>+I591/Q591-1</f>
        <v>-0.14795624640184213</v>
      </c>
    </row>
    <row r="592" spans="1:18" hidden="1" x14ac:dyDescent="0.25">
      <c r="A592" s="3">
        <v>1766</v>
      </c>
      <c r="B592" s="3" t="s">
        <v>111</v>
      </c>
      <c r="C592" s="3" t="s">
        <v>203</v>
      </c>
      <c r="D592" s="3" t="s">
        <v>231</v>
      </c>
      <c r="E592" s="3" t="s">
        <v>232</v>
      </c>
      <c r="F592" s="3">
        <v>43.8</v>
      </c>
      <c r="G592" s="3">
        <v>3</v>
      </c>
      <c r="H592" s="3">
        <v>0</v>
      </c>
      <c r="I592" s="15">
        <f>+F592/G592</f>
        <v>14.6</v>
      </c>
      <c r="J592" s="3">
        <v>17.420000000000002</v>
      </c>
      <c r="K592" s="3">
        <v>5</v>
      </c>
      <c r="L592" s="3">
        <v>-16.2</v>
      </c>
      <c r="P592" s="3" t="s">
        <v>231</v>
      </c>
      <c r="Q592" s="11">
        <f>+AVERAGEIFS(I:I,D:D,P592)</f>
        <v>17.369999999999997</v>
      </c>
      <c r="R592" s="13">
        <f>+I592/Q592-1</f>
        <v>-0.15947035118019559</v>
      </c>
    </row>
    <row r="593" spans="1:18" hidden="1" x14ac:dyDescent="0.25">
      <c r="A593" s="2">
        <v>1805</v>
      </c>
      <c r="B593" s="2" t="s">
        <v>91</v>
      </c>
      <c r="C593" s="2" t="s">
        <v>203</v>
      </c>
      <c r="D593" s="2" t="s">
        <v>231</v>
      </c>
      <c r="E593" s="2" t="s">
        <v>232</v>
      </c>
      <c r="F593" s="2">
        <v>90.6</v>
      </c>
      <c r="G593" s="2">
        <v>4</v>
      </c>
      <c r="H593" s="2">
        <v>0</v>
      </c>
      <c r="I593" s="15">
        <f>+F593/G593</f>
        <v>22.65</v>
      </c>
      <c r="J593" s="2">
        <v>17.420000000000002</v>
      </c>
      <c r="K593" s="2">
        <v>5</v>
      </c>
      <c r="L593" s="2">
        <v>30.1</v>
      </c>
      <c r="P593" s="2" t="s">
        <v>231</v>
      </c>
      <c r="Q593" s="11">
        <f>+AVERAGEIFS(I:I,D:D,P593)</f>
        <v>17.369999999999997</v>
      </c>
      <c r="R593" s="13">
        <f>+I593/Q593-1</f>
        <v>0.30397236614853207</v>
      </c>
    </row>
    <row r="594" spans="1:18" hidden="1" x14ac:dyDescent="0.25">
      <c r="A594" s="3">
        <v>1743</v>
      </c>
      <c r="B594" s="3" t="s">
        <v>34</v>
      </c>
      <c r="C594" s="3" t="s">
        <v>203</v>
      </c>
      <c r="D594" s="3" t="s">
        <v>231</v>
      </c>
      <c r="E594" s="3" t="s">
        <v>232</v>
      </c>
      <c r="F594" s="3">
        <v>41.4</v>
      </c>
      <c r="G594" s="3">
        <v>3</v>
      </c>
      <c r="H594" s="3">
        <v>0</v>
      </c>
      <c r="I594" s="15">
        <f>+F594/G594</f>
        <v>13.799999999999999</v>
      </c>
      <c r="J594" s="3">
        <v>17.420000000000002</v>
      </c>
      <c r="K594" s="3">
        <v>5</v>
      </c>
      <c r="L594" s="3">
        <v>-20.8</v>
      </c>
      <c r="P594" s="3" t="s">
        <v>231</v>
      </c>
      <c r="Q594" s="11">
        <f>+AVERAGEIFS(I:I,D:D,P594)</f>
        <v>17.369999999999997</v>
      </c>
      <c r="R594" s="13">
        <f>+I594/Q594-1</f>
        <v>-0.20552677029360966</v>
      </c>
    </row>
    <row r="595" spans="1:18" hidden="1" x14ac:dyDescent="0.25">
      <c r="A595">
        <v>2182</v>
      </c>
      <c r="B595" t="s">
        <v>87</v>
      </c>
      <c r="C595" t="s">
        <v>324</v>
      </c>
      <c r="D595" t="s">
        <v>363</v>
      </c>
      <c r="E595" t="s">
        <v>364</v>
      </c>
      <c r="F595">
        <v>3</v>
      </c>
      <c r="G595">
        <v>1</v>
      </c>
      <c r="H595">
        <v>0</v>
      </c>
      <c r="I595" s="12">
        <f>+F595/G595</f>
        <v>3</v>
      </c>
      <c r="J595">
        <v>3.25</v>
      </c>
      <c r="K595">
        <v>5</v>
      </c>
      <c r="L595">
        <v>-7.6</v>
      </c>
      <c r="P595" t="s">
        <v>363</v>
      </c>
      <c r="Q595" s="11">
        <f>+AVERAGEIFS(I:I,D:D,P595)</f>
        <v>2.8766666666666669</v>
      </c>
      <c r="R595" s="13">
        <f>+I595/Q595-1</f>
        <v>4.2873696407879303E-2</v>
      </c>
    </row>
    <row r="596" spans="1:18" hidden="1" x14ac:dyDescent="0.25">
      <c r="A596">
        <v>1827</v>
      </c>
      <c r="B596" t="s">
        <v>128</v>
      </c>
      <c r="C596" t="s">
        <v>108</v>
      </c>
      <c r="D596" t="s">
        <v>129</v>
      </c>
      <c r="E596" t="s">
        <v>130</v>
      </c>
      <c r="F596">
        <v>69</v>
      </c>
      <c r="G596">
        <v>8</v>
      </c>
      <c r="H596">
        <v>0</v>
      </c>
      <c r="I596" s="15">
        <f>+F596/G596</f>
        <v>8.625</v>
      </c>
      <c r="J596">
        <v>8.2200000000000006</v>
      </c>
      <c r="K596">
        <v>6</v>
      </c>
      <c r="L596">
        <v>5</v>
      </c>
      <c r="P596" t="s">
        <v>129</v>
      </c>
      <c r="Q596" s="11">
        <f>+AVERAGEIFS(I:I,D:D,P596)</f>
        <v>7.7374999999999998</v>
      </c>
      <c r="R596" s="13">
        <f>+I596/Q596-1</f>
        <v>0.1147011308562198</v>
      </c>
    </row>
    <row r="597" spans="1:18" hidden="1" x14ac:dyDescent="0.25">
      <c r="A597">
        <v>1841</v>
      </c>
      <c r="B597" t="s">
        <v>121</v>
      </c>
      <c r="C597" t="s">
        <v>108</v>
      </c>
      <c r="D597" t="s">
        <v>129</v>
      </c>
      <c r="E597" t="s">
        <v>130</v>
      </c>
      <c r="F597">
        <v>8.8000000000000007</v>
      </c>
      <c r="G597">
        <v>1</v>
      </c>
      <c r="H597">
        <v>0</v>
      </c>
      <c r="I597" s="15">
        <f>+F597/G597</f>
        <v>8.8000000000000007</v>
      </c>
      <c r="J597">
        <v>8.2200000000000006</v>
      </c>
      <c r="K597">
        <v>6</v>
      </c>
      <c r="L597">
        <v>7.1</v>
      </c>
      <c r="P597" t="s">
        <v>129</v>
      </c>
      <c r="Q597" s="11">
        <f>+AVERAGEIFS(I:I,D:D,P597)</f>
        <v>7.7374999999999998</v>
      </c>
      <c r="R597" s="13">
        <f>+I597/Q597-1</f>
        <v>0.13731825525040398</v>
      </c>
    </row>
    <row r="598" spans="1:18" hidden="1" x14ac:dyDescent="0.25">
      <c r="A598">
        <v>1853</v>
      </c>
      <c r="B598" t="s">
        <v>18</v>
      </c>
      <c r="C598" t="s">
        <v>108</v>
      </c>
      <c r="D598" t="s">
        <v>129</v>
      </c>
      <c r="E598" t="s">
        <v>130</v>
      </c>
      <c r="F598">
        <v>8.6</v>
      </c>
      <c r="G598">
        <v>1</v>
      </c>
      <c r="H598">
        <v>0</v>
      </c>
      <c r="I598" s="15">
        <f>+F598/G598</f>
        <v>8.6</v>
      </c>
      <c r="J598">
        <v>8.2200000000000006</v>
      </c>
      <c r="K598">
        <v>6</v>
      </c>
      <c r="L598">
        <v>4.7</v>
      </c>
      <c r="P598" t="s">
        <v>129</v>
      </c>
      <c r="Q598" s="11">
        <f>+AVERAGEIFS(I:I,D:D,P598)</f>
        <v>7.7374999999999998</v>
      </c>
      <c r="R598" s="13">
        <f>+I598/Q598-1</f>
        <v>0.11147011308562194</v>
      </c>
    </row>
    <row r="599" spans="1:18" x14ac:dyDescent="0.25">
      <c r="A599" s="4">
        <v>1864</v>
      </c>
      <c r="B599" s="4" t="s">
        <v>25</v>
      </c>
      <c r="C599" s="4" t="s">
        <v>108</v>
      </c>
      <c r="D599" s="4" t="s">
        <v>129</v>
      </c>
      <c r="E599" s="4" t="s">
        <v>130</v>
      </c>
      <c r="F599" s="4">
        <v>1</v>
      </c>
      <c r="G599" s="4">
        <v>1</v>
      </c>
      <c r="H599" s="4">
        <v>0</v>
      </c>
      <c r="I599" s="15">
        <f>+F599/G599</f>
        <v>1</v>
      </c>
      <c r="J599" s="2">
        <v>8.2200000000000006</v>
      </c>
      <c r="K599" s="2">
        <v>6</v>
      </c>
      <c r="L599" s="2">
        <v>-87.8</v>
      </c>
      <c r="M599" t="s">
        <v>407</v>
      </c>
      <c r="P599" s="4" t="s">
        <v>129</v>
      </c>
      <c r="Q599" s="11">
        <f>+AVERAGEIFS(I:I,D:D,P599)</f>
        <v>7.7374999999999998</v>
      </c>
      <c r="R599" s="13">
        <f>+I599/Q599-1</f>
        <v>-0.87075928917609047</v>
      </c>
    </row>
    <row r="600" spans="1:18" hidden="1" x14ac:dyDescent="0.25">
      <c r="A600">
        <v>1830</v>
      </c>
      <c r="B600" t="s">
        <v>131</v>
      </c>
      <c r="C600" t="s">
        <v>108</v>
      </c>
      <c r="D600" t="s">
        <v>129</v>
      </c>
      <c r="E600" t="s">
        <v>130</v>
      </c>
      <c r="F600">
        <v>8.6</v>
      </c>
      <c r="G600">
        <v>1</v>
      </c>
      <c r="H600">
        <v>0</v>
      </c>
      <c r="I600" s="15">
        <f>+F600/G600</f>
        <v>8.6</v>
      </c>
      <c r="J600">
        <v>8.2200000000000006</v>
      </c>
      <c r="K600">
        <v>6</v>
      </c>
      <c r="L600">
        <v>4.7</v>
      </c>
      <c r="P600" t="s">
        <v>129</v>
      </c>
      <c r="Q600" s="11">
        <f>+AVERAGEIFS(I:I,D:D,P600)</f>
        <v>7.7374999999999998</v>
      </c>
      <c r="R600" s="13">
        <f>+I600/Q600-1</f>
        <v>0.11147011308562194</v>
      </c>
    </row>
    <row r="601" spans="1:18" hidden="1" x14ac:dyDescent="0.25">
      <c r="A601">
        <v>2152</v>
      </c>
      <c r="B601" t="s">
        <v>328</v>
      </c>
      <c r="C601" t="s">
        <v>324</v>
      </c>
      <c r="D601" t="s">
        <v>367</v>
      </c>
      <c r="E601" t="s">
        <v>368</v>
      </c>
      <c r="F601">
        <v>120</v>
      </c>
      <c r="G601">
        <v>4</v>
      </c>
      <c r="H601">
        <v>0</v>
      </c>
      <c r="I601" s="12">
        <f>+F601/G601</f>
        <v>30</v>
      </c>
      <c r="J601">
        <v>29.84</v>
      </c>
      <c r="K601">
        <v>13</v>
      </c>
      <c r="L601">
        <v>0.5</v>
      </c>
      <c r="P601" t="s">
        <v>367</v>
      </c>
      <c r="Q601" s="11">
        <f>+AVERAGEIFS(I:I,D:D,P601)</f>
        <v>28.224653769841268</v>
      </c>
      <c r="R601" s="13">
        <f>+I601/Q601-1</f>
        <v>6.2900549449989462E-2</v>
      </c>
    </row>
    <row r="602" spans="1:18" hidden="1" x14ac:dyDescent="0.25">
      <c r="A602" s="2">
        <v>1822</v>
      </c>
      <c r="B602" s="2" t="s">
        <v>132</v>
      </c>
      <c r="C602" s="2" t="s">
        <v>108</v>
      </c>
      <c r="D602" s="2" t="s">
        <v>129</v>
      </c>
      <c r="E602" s="2" t="s">
        <v>130</v>
      </c>
      <c r="F602" s="2">
        <v>10.8</v>
      </c>
      <c r="G602" s="2">
        <v>1</v>
      </c>
      <c r="H602" s="2">
        <v>0</v>
      </c>
      <c r="I602" s="15">
        <f>+F602/G602</f>
        <v>10.8</v>
      </c>
      <c r="J602" s="2">
        <v>8.2200000000000006</v>
      </c>
      <c r="K602" s="2">
        <v>6</v>
      </c>
      <c r="L602" s="2">
        <v>31.5</v>
      </c>
      <c r="P602" s="2" t="s">
        <v>129</v>
      </c>
      <c r="Q602" s="11">
        <f>+AVERAGEIFS(I:I,D:D,P602)</f>
        <v>7.7374999999999998</v>
      </c>
      <c r="R602" s="13">
        <f>+I602/Q602-1</f>
        <v>0.39579967689822304</v>
      </c>
    </row>
    <row r="603" spans="1:18" hidden="1" x14ac:dyDescent="0.25">
      <c r="A603">
        <v>2166</v>
      </c>
      <c r="B603" t="s">
        <v>332</v>
      </c>
      <c r="C603" t="s">
        <v>324</v>
      </c>
      <c r="D603" t="s">
        <v>367</v>
      </c>
      <c r="E603" t="s">
        <v>368</v>
      </c>
      <c r="F603">
        <v>145.6</v>
      </c>
      <c r="G603">
        <v>5</v>
      </c>
      <c r="H603">
        <v>0</v>
      </c>
      <c r="I603" s="12">
        <f>+F603/G603</f>
        <v>29.119999999999997</v>
      </c>
      <c r="J603">
        <v>29.84</v>
      </c>
      <c r="K603">
        <v>13</v>
      </c>
      <c r="L603">
        <v>-2.4</v>
      </c>
      <c r="P603" t="s">
        <v>367</v>
      </c>
      <c r="Q603" s="11">
        <f>+AVERAGEIFS(I:I,D:D,P603)</f>
        <v>28.224653769841268</v>
      </c>
      <c r="R603" s="13">
        <f>+I603/Q603-1</f>
        <v>3.1722133332789726E-2</v>
      </c>
    </row>
    <row r="604" spans="1:18" hidden="1" x14ac:dyDescent="0.25">
      <c r="A604" s="2">
        <v>2313</v>
      </c>
      <c r="B604" s="2" t="s">
        <v>212</v>
      </c>
      <c r="C604" s="2" t="s">
        <v>237</v>
      </c>
      <c r="D604" s="2" t="s">
        <v>299</v>
      </c>
      <c r="E604" s="2" t="s">
        <v>300</v>
      </c>
      <c r="F604" s="2">
        <v>3</v>
      </c>
      <c r="G604" s="2">
        <v>2</v>
      </c>
      <c r="H604" s="2">
        <v>0</v>
      </c>
      <c r="I604" s="15">
        <f>+F604/G604</f>
        <v>1.5</v>
      </c>
      <c r="J604" s="2">
        <v>5</v>
      </c>
      <c r="K604" s="2">
        <v>4</v>
      </c>
      <c r="L604" s="2">
        <v>-70</v>
      </c>
      <c r="P604" s="2" t="s">
        <v>299</v>
      </c>
      <c r="Q604" s="11">
        <f>+AVERAGEIFS(I:I,D:D,P604)</f>
        <v>5.875</v>
      </c>
      <c r="R604" s="13">
        <f>+I604/Q604-1</f>
        <v>-0.74468085106382986</v>
      </c>
    </row>
    <row r="605" spans="1:18" hidden="1" x14ac:dyDescent="0.25">
      <c r="A605" s="2">
        <v>2328</v>
      </c>
      <c r="B605" s="2" t="s">
        <v>18</v>
      </c>
      <c r="C605" s="2" t="s">
        <v>237</v>
      </c>
      <c r="D605" s="2" t="s">
        <v>299</v>
      </c>
      <c r="E605" s="2" t="s">
        <v>300</v>
      </c>
      <c r="F605" s="2">
        <v>10</v>
      </c>
      <c r="G605" s="2">
        <v>1</v>
      </c>
      <c r="H605" s="2">
        <v>0</v>
      </c>
      <c r="I605" s="15">
        <f>+F605/G605</f>
        <v>10</v>
      </c>
      <c r="J605" s="2">
        <v>5</v>
      </c>
      <c r="K605" s="2">
        <v>4</v>
      </c>
      <c r="L605" s="2">
        <v>100</v>
      </c>
      <c r="P605" s="2" t="s">
        <v>299</v>
      </c>
      <c r="Q605" s="11">
        <f>+AVERAGEIFS(I:I,D:D,P605)</f>
        <v>5.875</v>
      </c>
      <c r="R605" s="13">
        <f>+I605/Q605-1</f>
        <v>0.7021276595744681</v>
      </c>
    </row>
    <row r="606" spans="1:18" hidden="1" x14ac:dyDescent="0.25">
      <c r="A606">
        <v>2119</v>
      </c>
      <c r="B606" t="s">
        <v>218</v>
      </c>
      <c r="C606" t="s">
        <v>324</v>
      </c>
      <c r="D606" t="s">
        <v>367</v>
      </c>
      <c r="E606" t="s">
        <v>368</v>
      </c>
      <c r="F606">
        <v>89</v>
      </c>
      <c r="G606">
        <v>3</v>
      </c>
      <c r="H606">
        <v>0</v>
      </c>
      <c r="I606" s="12">
        <f>+F606/G606</f>
        <v>29.666666666666668</v>
      </c>
      <c r="J606">
        <v>29.84</v>
      </c>
      <c r="K606">
        <v>13</v>
      </c>
      <c r="L606">
        <v>-0.6</v>
      </c>
      <c r="P606" t="s">
        <v>367</v>
      </c>
      <c r="Q606" s="11">
        <f>+AVERAGEIFS(I:I,D:D,P606)</f>
        <v>28.224653769841268</v>
      </c>
      <c r="R606" s="13">
        <f>+I606/Q606-1</f>
        <v>5.1090543344989525E-2</v>
      </c>
    </row>
    <row r="607" spans="1:18" hidden="1" x14ac:dyDescent="0.25">
      <c r="A607">
        <v>2132</v>
      </c>
      <c r="B607" t="s">
        <v>19</v>
      </c>
      <c r="C607" t="s">
        <v>324</v>
      </c>
      <c r="D607" t="s">
        <v>367</v>
      </c>
      <c r="E607" t="s">
        <v>368</v>
      </c>
      <c r="F607">
        <v>56.65</v>
      </c>
      <c r="G607">
        <v>2</v>
      </c>
      <c r="H607">
        <v>0</v>
      </c>
      <c r="I607" s="12">
        <f>+F607/G607</f>
        <v>28.324999999999999</v>
      </c>
      <c r="J607">
        <v>29.84</v>
      </c>
      <c r="K607">
        <v>13</v>
      </c>
      <c r="L607">
        <v>-5.0999999999999996</v>
      </c>
      <c r="P607" t="s">
        <v>367</v>
      </c>
      <c r="Q607" s="11">
        <f>+AVERAGEIFS(I:I,D:D,P607)</f>
        <v>28.224653769841268</v>
      </c>
      <c r="R607" s="13">
        <f>+I607/Q607-1</f>
        <v>3.5552687723650056E-3</v>
      </c>
    </row>
    <row r="608" spans="1:18" hidden="1" x14ac:dyDescent="0.25">
      <c r="A608">
        <v>2275</v>
      </c>
      <c r="B608" t="s">
        <v>240</v>
      </c>
      <c r="C608" t="s">
        <v>324</v>
      </c>
      <c r="D608" t="s">
        <v>367</v>
      </c>
      <c r="E608" t="s">
        <v>368</v>
      </c>
      <c r="F608">
        <v>61.8</v>
      </c>
      <c r="G608">
        <v>2</v>
      </c>
      <c r="H608">
        <v>0</v>
      </c>
      <c r="I608" s="12">
        <f>+F608/G608</f>
        <v>30.9</v>
      </c>
      <c r="J608">
        <v>29.84</v>
      </c>
      <c r="K608">
        <v>13</v>
      </c>
      <c r="L608">
        <v>3.5</v>
      </c>
      <c r="P608" t="s">
        <v>367</v>
      </c>
      <c r="Q608" s="11">
        <f>+AVERAGEIFS(I:I,D:D,P608)</f>
        <v>28.224653769841268</v>
      </c>
      <c r="R608" s="13">
        <f>+I608/Q608-1</f>
        <v>9.4787565933489137E-2</v>
      </c>
    </row>
    <row r="609" spans="1:18" hidden="1" x14ac:dyDescent="0.25">
      <c r="A609" s="4">
        <v>2382</v>
      </c>
      <c r="B609" s="4" t="s">
        <v>240</v>
      </c>
      <c r="C609" s="4" t="s">
        <v>237</v>
      </c>
      <c r="D609" s="4" t="s">
        <v>299</v>
      </c>
      <c r="E609" s="4" t="s">
        <v>300</v>
      </c>
      <c r="F609" s="4">
        <v>2</v>
      </c>
      <c r="G609" s="4">
        <v>1</v>
      </c>
      <c r="H609" s="4">
        <v>0</v>
      </c>
      <c r="I609" s="15">
        <f>+F609/G609</f>
        <v>2</v>
      </c>
      <c r="J609" s="2">
        <v>5</v>
      </c>
      <c r="K609" s="2">
        <v>4</v>
      </c>
      <c r="L609" s="2">
        <v>-60</v>
      </c>
      <c r="P609" s="4" t="s">
        <v>299</v>
      </c>
      <c r="Q609" s="11">
        <f>+AVERAGEIFS(I:I,D:D,P609)</f>
        <v>5.875</v>
      </c>
      <c r="R609" s="13">
        <f>+I609/Q609-1</f>
        <v>-0.65957446808510634</v>
      </c>
    </row>
    <row r="610" spans="1:18" hidden="1" x14ac:dyDescent="0.25">
      <c r="A610">
        <v>2281</v>
      </c>
      <c r="B610" t="s">
        <v>277</v>
      </c>
      <c r="C610" t="s">
        <v>324</v>
      </c>
      <c r="D610" t="s">
        <v>367</v>
      </c>
      <c r="E610" t="s">
        <v>368</v>
      </c>
      <c r="F610">
        <v>28.6</v>
      </c>
      <c r="G610">
        <v>1</v>
      </c>
      <c r="H610">
        <v>0</v>
      </c>
      <c r="I610" s="12">
        <f>+F610/G610</f>
        <v>28.6</v>
      </c>
      <c r="J610">
        <v>29.84</v>
      </c>
      <c r="K610">
        <v>13</v>
      </c>
      <c r="L610">
        <v>-4.2</v>
      </c>
      <c r="P610" t="s">
        <v>367</v>
      </c>
      <c r="Q610" s="11">
        <f>+AVERAGEIFS(I:I,D:D,P610)</f>
        <v>28.224653769841268</v>
      </c>
      <c r="R610" s="13">
        <f>+I610/Q610-1</f>
        <v>1.3298523808989993E-2</v>
      </c>
    </row>
    <row r="611" spans="1:18" hidden="1" x14ac:dyDescent="0.25">
      <c r="A611">
        <v>2284</v>
      </c>
      <c r="B611" t="s">
        <v>340</v>
      </c>
      <c r="C611" t="s">
        <v>324</v>
      </c>
      <c r="D611" t="s">
        <v>367</v>
      </c>
      <c r="E611" t="s">
        <v>368</v>
      </c>
      <c r="F611">
        <v>60.4</v>
      </c>
      <c r="G611">
        <v>2</v>
      </c>
      <c r="H611">
        <v>0</v>
      </c>
      <c r="I611" s="12">
        <f>+F611/G611</f>
        <v>30.2</v>
      </c>
      <c r="J611">
        <v>29.84</v>
      </c>
      <c r="K611">
        <v>13</v>
      </c>
      <c r="L611">
        <v>1.2</v>
      </c>
      <c r="P611" t="s">
        <v>367</v>
      </c>
      <c r="Q611" s="11">
        <f>+AVERAGEIFS(I:I,D:D,P611)</f>
        <v>28.224653769841268</v>
      </c>
      <c r="R611" s="13">
        <f>+I611/Q611-1</f>
        <v>6.9986553112989291E-2</v>
      </c>
    </row>
    <row r="612" spans="1:18" hidden="1" x14ac:dyDescent="0.25">
      <c r="A612" s="2">
        <v>2358</v>
      </c>
      <c r="B612" s="2" t="s">
        <v>117</v>
      </c>
      <c r="C612" s="2" t="s">
        <v>237</v>
      </c>
      <c r="D612" s="2" t="s">
        <v>299</v>
      </c>
      <c r="E612" s="2" t="s">
        <v>300</v>
      </c>
      <c r="F612" s="2">
        <v>10</v>
      </c>
      <c r="G612" s="2">
        <v>1</v>
      </c>
      <c r="H612" s="2">
        <v>0</v>
      </c>
      <c r="I612" s="15">
        <f>+F612/G612</f>
        <v>10</v>
      </c>
      <c r="J612" s="2">
        <v>5</v>
      </c>
      <c r="K612" s="2">
        <v>4</v>
      </c>
      <c r="L612" s="2">
        <v>100</v>
      </c>
      <c r="P612" s="2" t="s">
        <v>299</v>
      </c>
      <c r="Q612" s="11">
        <f>+AVERAGEIFS(I:I,D:D,P612)</f>
        <v>5.875</v>
      </c>
      <c r="R612" s="13">
        <f>+I612/Q612-1</f>
        <v>0.7021276595744681</v>
      </c>
    </row>
    <row r="613" spans="1:18" hidden="1" x14ac:dyDescent="0.25">
      <c r="A613" s="6">
        <v>2409</v>
      </c>
      <c r="B613" s="6" t="s">
        <v>213</v>
      </c>
      <c r="C613" s="6" t="s">
        <v>237</v>
      </c>
      <c r="D613" s="6" t="s">
        <v>301</v>
      </c>
      <c r="E613" s="6" t="s">
        <v>302</v>
      </c>
      <c r="F613" s="6">
        <v>10</v>
      </c>
      <c r="G613" s="6">
        <v>1</v>
      </c>
      <c r="H613" s="6">
        <v>0</v>
      </c>
      <c r="I613" s="15">
        <f>+F613/G613</f>
        <v>10</v>
      </c>
      <c r="J613" s="3">
        <v>12</v>
      </c>
      <c r="K613" s="3">
        <v>4</v>
      </c>
      <c r="L613" s="3">
        <v>-16.7</v>
      </c>
      <c r="P613" s="6" t="s">
        <v>301</v>
      </c>
      <c r="Q613" s="11">
        <f>+AVERAGEIFS(I:I,D:D,P613)</f>
        <v>12</v>
      </c>
      <c r="R613" s="13">
        <f>+I613/Q613-1</f>
        <v>-0.16666666666666663</v>
      </c>
    </row>
    <row r="614" spans="1:18" hidden="1" x14ac:dyDescent="0.25">
      <c r="A614">
        <v>2211</v>
      </c>
      <c r="B614" t="s">
        <v>69</v>
      </c>
      <c r="C614" t="s">
        <v>324</v>
      </c>
      <c r="D614" t="s">
        <v>369</v>
      </c>
      <c r="E614" t="s">
        <v>370</v>
      </c>
      <c r="F614">
        <v>24.1</v>
      </c>
      <c r="G614">
        <v>1</v>
      </c>
      <c r="H614">
        <v>0</v>
      </c>
      <c r="I614" s="12">
        <f>+F614/G614</f>
        <v>24.1</v>
      </c>
      <c r="J614">
        <v>24.02</v>
      </c>
      <c r="K614">
        <v>4</v>
      </c>
      <c r="L614">
        <v>0.3</v>
      </c>
      <c r="P614" t="s">
        <v>369</v>
      </c>
      <c r="Q614" s="11">
        <f>+AVERAGEIFS(I:I,D:D,P614)</f>
        <v>22.575000000000003</v>
      </c>
      <c r="R614" s="13">
        <f>+I614/Q614-1</f>
        <v>6.7552602436323328E-2</v>
      </c>
    </row>
    <row r="615" spans="1:18" hidden="1" x14ac:dyDescent="0.25">
      <c r="A615" s="4">
        <v>2327</v>
      </c>
      <c r="B615" s="4" t="s">
        <v>18</v>
      </c>
      <c r="C615" s="4" t="s">
        <v>237</v>
      </c>
      <c r="D615" s="4" t="s">
        <v>301</v>
      </c>
      <c r="E615" s="4" t="s">
        <v>302</v>
      </c>
      <c r="F615" s="4">
        <v>8</v>
      </c>
      <c r="G615" s="4">
        <v>1</v>
      </c>
      <c r="H615" s="4">
        <v>0</v>
      </c>
      <c r="I615" s="15">
        <f>+F615/G615</f>
        <v>8</v>
      </c>
      <c r="J615" s="2">
        <v>12</v>
      </c>
      <c r="K615" s="2">
        <v>4</v>
      </c>
      <c r="L615" s="2">
        <v>-33.299999999999997</v>
      </c>
      <c r="P615" s="4" t="s">
        <v>301</v>
      </c>
      <c r="Q615" s="11">
        <f>+AVERAGEIFS(I:I,D:D,P615)</f>
        <v>12</v>
      </c>
      <c r="R615" s="13">
        <f>+I615/Q615-1</f>
        <v>-0.33333333333333337</v>
      </c>
    </row>
    <row r="616" spans="1:18" hidden="1" x14ac:dyDescent="0.25">
      <c r="A616">
        <v>2133</v>
      </c>
      <c r="B616" t="s">
        <v>19</v>
      </c>
      <c r="C616" t="s">
        <v>324</v>
      </c>
      <c r="D616" t="s">
        <v>369</v>
      </c>
      <c r="E616" t="s">
        <v>370</v>
      </c>
      <c r="F616">
        <v>21.5</v>
      </c>
      <c r="G616">
        <v>1</v>
      </c>
      <c r="H616">
        <v>0</v>
      </c>
      <c r="I616" s="12">
        <f>+F616/G616</f>
        <v>21.5</v>
      </c>
      <c r="J616">
        <v>24.02</v>
      </c>
      <c r="K616">
        <v>4</v>
      </c>
      <c r="L616">
        <v>-10.5</v>
      </c>
      <c r="P616" t="s">
        <v>369</v>
      </c>
      <c r="Q616" s="11">
        <f>+AVERAGEIFS(I:I,D:D,P616)</f>
        <v>22.575000000000003</v>
      </c>
      <c r="R616" s="13">
        <f>+I616/Q616-1</f>
        <v>-4.7619047619047783E-2</v>
      </c>
    </row>
    <row r="617" spans="1:18" hidden="1" x14ac:dyDescent="0.25">
      <c r="A617">
        <v>1956</v>
      </c>
      <c r="B617" t="s">
        <v>213</v>
      </c>
      <c r="C617" t="s">
        <v>371</v>
      </c>
      <c r="D617" t="s">
        <v>372</v>
      </c>
      <c r="E617" t="s">
        <v>373</v>
      </c>
      <c r="F617">
        <v>35.200000000000003</v>
      </c>
      <c r="G617">
        <v>2</v>
      </c>
      <c r="H617">
        <v>0</v>
      </c>
      <c r="I617" s="12">
        <f>+F617/G617</f>
        <v>17.600000000000001</v>
      </c>
      <c r="J617">
        <v>17.600000000000001</v>
      </c>
      <c r="K617">
        <v>1</v>
      </c>
      <c r="L617">
        <v>0</v>
      </c>
      <c r="P617" t="s">
        <v>372</v>
      </c>
      <c r="Q617" s="11">
        <f>+AVERAGEIFS(I:I,D:D,P617)</f>
        <v>17.600000000000001</v>
      </c>
      <c r="R617" s="13">
        <f>+I617/Q617-1</f>
        <v>0</v>
      </c>
    </row>
    <row r="618" spans="1:18" hidden="1" x14ac:dyDescent="0.25">
      <c r="A618">
        <v>1957</v>
      </c>
      <c r="B618" t="s">
        <v>213</v>
      </c>
      <c r="C618" t="s">
        <v>371</v>
      </c>
      <c r="D618" t="s">
        <v>374</v>
      </c>
      <c r="E618" t="s">
        <v>375</v>
      </c>
      <c r="F618">
        <v>27.8</v>
      </c>
      <c r="G618">
        <v>2</v>
      </c>
      <c r="H618">
        <v>0</v>
      </c>
      <c r="I618" s="12">
        <f>+F618/G618</f>
        <v>13.9</v>
      </c>
      <c r="J618">
        <v>13.9</v>
      </c>
      <c r="K618">
        <v>1</v>
      </c>
      <c r="L618">
        <v>0</v>
      </c>
      <c r="P618" t="s">
        <v>374</v>
      </c>
      <c r="Q618" s="11">
        <f>+AVERAGEIFS(I:I,D:D,P618)</f>
        <v>13.9</v>
      </c>
      <c r="R618" s="13">
        <f>+I618/Q618-1</f>
        <v>0</v>
      </c>
    </row>
    <row r="619" spans="1:18" hidden="1" x14ac:dyDescent="0.25">
      <c r="A619" s="2">
        <v>2378</v>
      </c>
      <c r="B619" s="2" t="s">
        <v>240</v>
      </c>
      <c r="C619" s="2" t="s">
        <v>237</v>
      </c>
      <c r="D619" s="2" t="s">
        <v>301</v>
      </c>
      <c r="E619" s="2" t="s">
        <v>302</v>
      </c>
      <c r="F619" s="2">
        <v>20</v>
      </c>
      <c r="G619" s="2">
        <v>1</v>
      </c>
      <c r="H619" s="2">
        <v>0</v>
      </c>
      <c r="I619" s="15">
        <f>+F619/G619</f>
        <v>20</v>
      </c>
      <c r="J619" s="2">
        <v>12</v>
      </c>
      <c r="K619" s="2">
        <v>4</v>
      </c>
      <c r="L619" s="2">
        <v>66.7</v>
      </c>
      <c r="P619" s="2" t="s">
        <v>301</v>
      </c>
      <c r="Q619" s="11">
        <f>+AVERAGEIFS(I:I,D:D,P619)</f>
        <v>12</v>
      </c>
      <c r="R619" s="13">
        <f>+I619/Q619-1</f>
        <v>0.66666666666666674</v>
      </c>
    </row>
    <row r="620" spans="1:18" hidden="1" x14ac:dyDescent="0.25">
      <c r="A620">
        <v>1920</v>
      </c>
      <c r="B620" t="s">
        <v>222</v>
      </c>
      <c r="C620" t="s">
        <v>371</v>
      </c>
      <c r="D620" t="s">
        <v>376</v>
      </c>
      <c r="E620" t="s">
        <v>377</v>
      </c>
      <c r="F620">
        <v>8</v>
      </c>
      <c r="G620">
        <v>4</v>
      </c>
      <c r="H620">
        <v>0</v>
      </c>
      <c r="I620" s="12">
        <f>+F620/G620</f>
        <v>2</v>
      </c>
      <c r="J620">
        <v>1.85</v>
      </c>
      <c r="K620">
        <v>4</v>
      </c>
      <c r="L620">
        <v>8.3000000000000007</v>
      </c>
      <c r="P620" t="s">
        <v>376</v>
      </c>
      <c r="Q620" s="11">
        <f>+AVERAGEIFS(I:I,D:D,P620)</f>
        <v>1.85</v>
      </c>
      <c r="R620" s="13">
        <f>+I620/Q620-1</f>
        <v>8.1081081081080919E-2</v>
      </c>
    </row>
    <row r="621" spans="1:18" hidden="1" x14ac:dyDescent="0.25">
      <c r="A621" s="6">
        <v>2353</v>
      </c>
      <c r="B621" s="6" t="s">
        <v>117</v>
      </c>
      <c r="C621" s="6" t="s">
        <v>237</v>
      </c>
      <c r="D621" s="6" t="s">
        <v>301</v>
      </c>
      <c r="E621" s="6" t="s">
        <v>302</v>
      </c>
      <c r="F621" s="6">
        <v>10</v>
      </c>
      <c r="G621" s="6">
        <v>1</v>
      </c>
      <c r="H621" s="6">
        <v>0</v>
      </c>
      <c r="I621" s="15">
        <f>+F621/G621</f>
        <v>10</v>
      </c>
      <c r="J621" s="3">
        <v>12</v>
      </c>
      <c r="K621" s="3">
        <v>4</v>
      </c>
      <c r="L621" s="3">
        <v>-16.7</v>
      </c>
      <c r="P621" s="6" t="s">
        <v>301</v>
      </c>
      <c r="Q621" s="11">
        <f>+AVERAGEIFS(I:I,D:D,P621)</f>
        <v>12</v>
      </c>
      <c r="R621" s="13">
        <f>+I621/Q621-1</f>
        <v>-0.16666666666666663</v>
      </c>
    </row>
    <row r="622" spans="1:18" hidden="1" x14ac:dyDescent="0.25">
      <c r="A622">
        <v>1906</v>
      </c>
      <c r="B622" t="s">
        <v>95</v>
      </c>
      <c r="C622" t="s">
        <v>371</v>
      </c>
      <c r="D622" t="s">
        <v>376</v>
      </c>
      <c r="E622" t="s">
        <v>377</v>
      </c>
      <c r="F622">
        <v>7.6</v>
      </c>
      <c r="G622">
        <v>4</v>
      </c>
      <c r="H622">
        <v>0</v>
      </c>
      <c r="I622" s="12">
        <f>+F622/G622</f>
        <v>1.9</v>
      </c>
      <c r="J622">
        <v>1.85</v>
      </c>
      <c r="K622">
        <v>4</v>
      </c>
      <c r="L622">
        <v>2.9</v>
      </c>
      <c r="P622" t="s">
        <v>376</v>
      </c>
      <c r="Q622" s="11">
        <f>+AVERAGEIFS(I:I,D:D,P622)</f>
        <v>1.85</v>
      </c>
      <c r="R622" s="13">
        <f>+I622/Q622-1</f>
        <v>2.7027027027026973E-2</v>
      </c>
    </row>
    <row r="623" spans="1:18" hidden="1" x14ac:dyDescent="0.25">
      <c r="A623">
        <v>1873</v>
      </c>
      <c r="B623" t="s">
        <v>16</v>
      </c>
      <c r="C623" t="s">
        <v>371</v>
      </c>
      <c r="D623" t="s">
        <v>378</v>
      </c>
      <c r="E623" t="s">
        <v>379</v>
      </c>
      <c r="F623">
        <v>4</v>
      </c>
      <c r="G623">
        <v>2</v>
      </c>
      <c r="H623">
        <v>0</v>
      </c>
      <c r="I623" s="12">
        <f>+F623/G623</f>
        <v>2</v>
      </c>
      <c r="J623">
        <v>1.92</v>
      </c>
      <c r="K623">
        <v>11</v>
      </c>
      <c r="L623">
        <v>4.3</v>
      </c>
      <c r="P623" t="s">
        <v>378</v>
      </c>
      <c r="Q623" s="11">
        <f>+AVERAGEIFS(I:I,D:D,P623)</f>
        <v>1.9692424242424245</v>
      </c>
      <c r="R623" s="13">
        <f>+I623/Q623-1</f>
        <v>1.5618988997460947E-2</v>
      </c>
    </row>
    <row r="624" spans="1:18" hidden="1" x14ac:dyDescent="0.25">
      <c r="A624">
        <v>1958</v>
      </c>
      <c r="B624" t="s">
        <v>213</v>
      </c>
      <c r="C624" t="s">
        <v>371</v>
      </c>
      <c r="D624" t="s">
        <v>378</v>
      </c>
      <c r="E624" t="s">
        <v>379</v>
      </c>
      <c r="F624">
        <v>6.2</v>
      </c>
      <c r="G624">
        <v>3</v>
      </c>
      <c r="H624">
        <v>0</v>
      </c>
      <c r="I624" s="12">
        <f>+F624/G624</f>
        <v>2.0666666666666669</v>
      </c>
      <c r="J624">
        <v>1.92</v>
      </c>
      <c r="K624">
        <v>11</v>
      </c>
      <c r="L624">
        <v>7.8</v>
      </c>
      <c r="P624" t="s">
        <v>378</v>
      </c>
      <c r="Q624" s="11">
        <f>+AVERAGEIFS(I:I,D:D,P624)</f>
        <v>1.9692424242424245</v>
      </c>
      <c r="R624" s="13">
        <f>+I624/Q624-1</f>
        <v>4.9472955297376275E-2</v>
      </c>
    </row>
    <row r="625" spans="1:18" hidden="1" x14ac:dyDescent="0.25">
      <c r="A625">
        <v>1932</v>
      </c>
      <c r="B625" t="s">
        <v>18</v>
      </c>
      <c r="C625" t="s">
        <v>371</v>
      </c>
      <c r="D625" t="s">
        <v>378</v>
      </c>
      <c r="E625" t="s">
        <v>379</v>
      </c>
      <c r="F625">
        <v>2</v>
      </c>
      <c r="G625">
        <v>1</v>
      </c>
      <c r="H625">
        <v>0</v>
      </c>
      <c r="I625" s="12">
        <f>+F625/G625</f>
        <v>2</v>
      </c>
      <c r="J625">
        <v>1.92</v>
      </c>
      <c r="K625">
        <v>11</v>
      </c>
      <c r="L625">
        <v>4.3</v>
      </c>
      <c r="P625" t="s">
        <v>378</v>
      </c>
      <c r="Q625" s="11">
        <f>+AVERAGEIFS(I:I,D:D,P625)</f>
        <v>1.9692424242424245</v>
      </c>
      <c r="R625" s="13">
        <f>+I625/Q625-1</f>
        <v>1.5618988997460947E-2</v>
      </c>
    </row>
    <row r="626" spans="1:18" hidden="1" x14ac:dyDescent="0.25">
      <c r="A626">
        <v>1881</v>
      </c>
      <c r="B626" t="s">
        <v>218</v>
      </c>
      <c r="C626" t="s">
        <v>371</v>
      </c>
      <c r="D626" t="s">
        <v>378</v>
      </c>
      <c r="E626" t="s">
        <v>379</v>
      </c>
      <c r="F626">
        <v>8</v>
      </c>
      <c r="G626">
        <v>4</v>
      </c>
      <c r="H626">
        <v>0</v>
      </c>
      <c r="I626" s="12">
        <f>+F626/G626</f>
        <v>2</v>
      </c>
      <c r="J626">
        <v>1.92</v>
      </c>
      <c r="K626">
        <v>11</v>
      </c>
      <c r="L626">
        <v>4.3</v>
      </c>
      <c r="P626" t="s">
        <v>378</v>
      </c>
      <c r="Q626" s="11">
        <f>+AVERAGEIFS(I:I,D:D,P626)</f>
        <v>1.9692424242424245</v>
      </c>
      <c r="R626" s="13">
        <f>+I626/Q626-1</f>
        <v>1.5618988997460947E-2</v>
      </c>
    </row>
    <row r="627" spans="1:18" hidden="1" x14ac:dyDescent="0.25">
      <c r="A627">
        <v>1942</v>
      </c>
      <c r="B627" t="s">
        <v>47</v>
      </c>
      <c r="C627" t="s">
        <v>371</v>
      </c>
      <c r="D627" t="s">
        <v>378</v>
      </c>
      <c r="E627" t="s">
        <v>379</v>
      </c>
      <c r="F627">
        <v>2</v>
      </c>
      <c r="G627">
        <v>1</v>
      </c>
      <c r="H627">
        <v>0</v>
      </c>
      <c r="I627" s="12">
        <f>+F627/G627</f>
        <v>2</v>
      </c>
      <c r="J627">
        <v>1.92</v>
      </c>
      <c r="K627">
        <v>11</v>
      </c>
      <c r="L627">
        <v>4.3</v>
      </c>
      <c r="P627" t="s">
        <v>378</v>
      </c>
      <c r="Q627" s="11">
        <f>+AVERAGEIFS(I:I,D:D,P627)</f>
        <v>1.9692424242424245</v>
      </c>
      <c r="R627" s="13">
        <f>+I627/Q627-1</f>
        <v>1.5618988997460947E-2</v>
      </c>
    </row>
    <row r="628" spans="1:18" hidden="1" x14ac:dyDescent="0.25">
      <c r="A628">
        <v>1891</v>
      </c>
      <c r="B628" t="s">
        <v>81</v>
      </c>
      <c r="C628" t="s">
        <v>371</v>
      </c>
      <c r="D628" t="s">
        <v>378</v>
      </c>
      <c r="E628" t="s">
        <v>379</v>
      </c>
      <c r="F628">
        <v>4</v>
      </c>
      <c r="G628">
        <v>2</v>
      </c>
      <c r="H628">
        <v>0</v>
      </c>
      <c r="I628" s="12">
        <f>+F628/G628</f>
        <v>2</v>
      </c>
      <c r="J628">
        <v>1.92</v>
      </c>
      <c r="K628">
        <v>11</v>
      </c>
      <c r="L628">
        <v>4.3</v>
      </c>
      <c r="P628" t="s">
        <v>378</v>
      </c>
      <c r="Q628" s="11">
        <f>+AVERAGEIFS(I:I,D:D,P628)</f>
        <v>1.9692424242424245</v>
      </c>
      <c r="R628" s="13">
        <f>+I628/Q628-1</f>
        <v>1.5618988997460947E-2</v>
      </c>
    </row>
    <row r="629" spans="1:18" hidden="1" x14ac:dyDescent="0.25">
      <c r="A629">
        <v>1921</v>
      </c>
      <c r="B629" t="s">
        <v>222</v>
      </c>
      <c r="C629" t="s">
        <v>371</v>
      </c>
      <c r="D629" t="s">
        <v>378</v>
      </c>
      <c r="E629" t="s">
        <v>379</v>
      </c>
      <c r="F629">
        <v>6</v>
      </c>
      <c r="G629">
        <v>3</v>
      </c>
      <c r="H629">
        <v>0</v>
      </c>
      <c r="I629" s="12">
        <f>+F629/G629</f>
        <v>2</v>
      </c>
      <c r="J629">
        <v>1.92</v>
      </c>
      <c r="K629">
        <v>11</v>
      </c>
      <c r="L629">
        <v>4.3</v>
      </c>
      <c r="P629" t="s">
        <v>378</v>
      </c>
      <c r="Q629" s="11">
        <f>+AVERAGEIFS(I:I,D:D,P629)</f>
        <v>1.9692424242424245</v>
      </c>
      <c r="R629" s="13">
        <f>+I629/Q629-1</f>
        <v>1.5618988997460947E-2</v>
      </c>
    </row>
    <row r="630" spans="1:18" hidden="1" x14ac:dyDescent="0.25">
      <c r="A630" s="6">
        <v>2155</v>
      </c>
      <c r="B630" s="6" t="s">
        <v>328</v>
      </c>
      <c r="C630" s="6" t="s">
        <v>324</v>
      </c>
      <c r="D630" s="6" t="s">
        <v>365</v>
      </c>
      <c r="E630" s="6" t="s">
        <v>366</v>
      </c>
      <c r="F630" s="6">
        <v>14.2</v>
      </c>
      <c r="G630" s="6">
        <v>7</v>
      </c>
      <c r="H630" s="6">
        <v>0</v>
      </c>
      <c r="I630" s="15">
        <f>+F630/G630</f>
        <v>2.0285714285714285</v>
      </c>
      <c r="J630" s="3">
        <v>2.5099999999999998</v>
      </c>
      <c r="K630" s="3">
        <v>4</v>
      </c>
      <c r="L630" s="3">
        <v>-19.3</v>
      </c>
      <c r="P630" s="6" t="s">
        <v>365</v>
      </c>
      <c r="Q630" s="11">
        <f>+AVERAGEIFS(I:I,D:D,P630)</f>
        <v>3.9935714285714283</v>
      </c>
      <c r="R630" s="13">
        <f>+I630/Q630-1</f>
        <v>-0.49204077982471828</v>
      </c>
    </row>
    <row r="631" spans="1:18" hidden="1" x14ac:dyDescent="0.25">
      <c r="A631">
        <v>1946</v>
      </c>
      <c r="B631" t="s">
        <v>35</v>
      </c>
      <c r="C631" t="s">
        <v>371</v>
      </c>
      <c r="D631" t="s">
        <v>378</v>
      </c>
      <c r="E631" t="s">
        <v>379</v>
      </c>
      <c r="F631">
        <v>2.12</v>
      </c>
      <c r="G631">
        <v>1</v>
      </c>
      <c r="H631">
        <v>0</v>
      </c>
      <c r="I631" s="12">
        <f>+F631/G631</f>
        <v>2.12</v>
      </c>
      <c r="J631">
        <v>1.92</v>
      </c>
      <c r="K631">
        <v>11</v>
      </c>
      <c r="L631">
        <v>10.6</v>
      </c>
      <c r="P631" t="s">
        <v>378</v>
      </c>
      <c r="Q631" s="11">
        <f>+AVERAGEIFS(I:I,D:D,P631)</f>
        <v>1.9692424242424245</v>
      </c>
      <c r="R631" s="13">
        <f>+I631/Q631-1</f>
        <v>7.6556128337308627E-2</v>
      </c>
    </row>
    <row r="632" spans="1:18" hidden="1" x14ac:dyDescent="0.25">
      <c r="A632" s="2">
        <v>2258</v>
      </c>
      <c r="B632" s="2" t="s">
        <v>213</v>
      </c>
      <c r="C632" s="2" t="s">
        <v>324</v>
      </c>
      <c r="D632" s="2" t="s">
        <v>365</v>
      </c>
      <c r="E632" s="2" t="s">
        <v>366</v>
      </c>
      <c r="F632" s="2">
        <v>10</v>
      </c>
      <c r="G632" s="2">
        <v>1</v>
      </c>
      <c r="H632" s="2">
        <v>0</v>
      </c>
      <c r="I632" s="15">
        <f>+F632/G632</f>
        <v>10</v>
      </c>
      <c r="J632" s="2">
        <v>2.5099999999999998</v>
      </c>
      <c r="K632" s="2">
        <v>4</v>
      </c>
      <c r="L632" s="2">
        <v>298</v>
      </c>
      <c r="P632" s="2" t="s">
        <v>365</v>
      </c>
      <c r="Q632" s="11">
        <f>+AVERAGEIFS(I:I,D:D,P632)</f>
        <v>3.9935714285714283</v>
      </c>
      <c r="R632" s="13">
        <f>+I632/Q632-1</f>
        <v>1.5040243248077267</v>
      </c>
    </row>
    <row r="633" spans="1:18" hidden="1" x14ac:dyDescent="0.25">
      <c r="A633">
        <v>1954</v>
      </c>
      <c r="B633" t="s">
        <v>36</v>
      </c>
      <c r="C633" t="s">
        <v>371</v>
      </c>
      <c r="D633" t="s">
        <v>378</v>
      </c>
      <c r="E633" t="s">
        <v>379</v>
      </c>
      <c r="F633">
        <v>4.2</v>
      </c>
      <c r="G633">
        <v>2</v>
      </c>
      <c r="H633">
        <v>0</v>
      </c>
      <c r="I633" s="12">
        <f>+F633/G633</f>
        <v>2.1</v>
      </c>
      <c r="J633">
        <v>1.92</v>
      </c>
      <c r="K633">
        <v>11</v>
      </c>
      <c r="L633">
        <v>9.5</v>
      </c>
      <c r="P633" t="s">
        <v>378</v>
      </c>
      <c r="Q633" s="11">
        <f>+AVERAGEIFS(I:I,D:D,P633)</f>
        <v>1.9692424242424245</v>
      </c>
      <c r="R633" s="13">
        <f>+I633/Q633-1</f>
        <v>6.6399938447333939E-2</v>
      </c>
    </row>
    <row r="634" spans="1:18" hidden="1" x14ac:dyDescent="0.25">
      <c r="A634">
        <v>1929</v>
      </c>
      <c r="B634" t="s">
        <v>77</v>
      </c>
      <c r="C634" t="s">
        <v>371</v>
      </c>
      <c r="D634" t="s">
        <v>380</v>
      </c>
      <c r="E634" t="s">
        <v>381</v>
      </c>
      <c r="F634">
        <v>2</v>
      </c>
      <c r="G634">
        <v>1</v>
      </c>
      <c r="H634">
        <v>0</v>
      </c>
      <c r="I634" s="12">
        <f>+F634/G634</f>
        <v>2</v>
      </c>
      <c r="J634">
        <v>1.89</v>
      </c>
      <c r="K634">
        <v>10</v>
      </c>
      <c r="L634">
        <v>5.8</v>
      </c>
      <c r="P634" t="s">
        <v>380</v>
      </c>
      <c r="Q634" s="11">
        <f>+AVERAGEIFS(I:I,D:D,P634)</f>
        <v>1.8965000000000003</v>
      </c>
      <c r="R634" s="13">
        <f>+I634/Q634-1</f>
        <v>5.4574215660426972E-2</v>
      </c>
    </row>
    <row r="635" spans="1:18" hidden="1" x14ac:dyDescent="0.25">
      <c r="A635" s="6">
        <v>2229</v>
      </c>
      <c r="B635" s="6" t="s">
        <v>82</v>
      </c>
      <c r="C635" s="6" t="s">
        <v>324</v>
      </c>
      <c r="D635" s="6" t="s">
        <v>365</v>
      </c>
      <c r="E635" s="6" t="s">
        <v>366</v>
      </c>
      <c r="F635" s="6">
        <v>10</v>
      </c>
      <c r="G635" s="6">
        <v>5</v>
      </c>
      <c r="H635" s="6">
        <v>0</v>
      </c>
      <c r="I635" s="15">
        <f>+F635/G635</f>
        <v>2</v>
      </c>
      <c r="J635" s="3">
        <v>2.5099999999999998</v>
      </c>
      <c r="K635" s="3">
        <v>4</v>
      </c>
      <c r="L635" s="3">
        <v>-20.399999999999999</v>
      </c>
      <c r="P635" s="6" t="s">
        <v>365</v>
      </c>
      <c r="Q635" s="11">
        <f>+AVERAGEIFS(I:I,D:D,P635)</f>
        <v>3.9935714285714283</v>
      </c>
      <c r="R635" s="13">
        <f>+I635/Q635-1</f>
        <v>-0.49919513503845458</v>
      </c>
    </row>
    <row r="636" spans="1:18" hidden="1" x14ac:dyDescent="0.25">
      <c r="A636">
        <v>1959</v>
      </c>
      <c r="B636" t="s">
        <v>213</v>
      </c>
      <c r="C636" t="s">
        <v>371</v>
      </c>
      <c r="D636" t="s">
        <v>380</v>
      </c>
      <c r="E636" t="s">
        <v>381</v>
      </c>
      <c r="F636">
        <v>2</v>
      </c>
      <c r="G636">
        <v>1</v>
      </c>
      <c r="H636">
        <v>0</v>
      </c>
      <c r="I636" s="12">
        <f>+F636/G636</f>
        <v>2</v>
      </c>
      <c r="J636">
        <v>1.89</v>
      </c>
      <c r="K636">
        <v>10</v>
      </c>
      <c r="L636">
        <v>5.8</v>
      </c>
      <c r="P636" t="s">
        <v>380</v>
      </c>
      <c r="Q636" s="11">
        <f>+AVERAGEIFS(I:I,D:D,P636)</f>
        <v>1.8965000000000003</v>
      </c>
      <c r="R636" s="13">
        <f>+I636/Q636-1</f>
        <v>5.4574215660426972E-2</v>
      </c>
    </row>
    <row r="637" spans="1:18" hidden="1" x14ac:dyDescent="0.25">
      <c r="A637">
        <v>1933</v>
      </c>
      <c r="B637" t="s">
        <v>18</v>
      </c>
      <c r="C637" t="s">
        <v>371</v>
      </c>
      <c r="D637" t="s">
        <v>380</v>
      </c>
      <c r="E637" t="s">
        <v>381</v>
      </c>
      <c r="F637">
        <v>2</v>
      </c>
      <c r="G637">
        <v>1</v>
      </c>
      <c r="H637">
        <v>0</v>
      </c>
      <c r="I637" s="12">
        <f>+F637/G637</f>
        <v>2</v>
      </c>
      <c r="J637">
        <v>1.89</v>
      </c>
      <c r="K637">
        <v>10</v>
      </c>
      <c r="L637">
        <v>5.8</v>
      </c>
      <c r="P637" t="s">
        <v>380</v>
      </c>
      <c r="Q637" s="11">
        <f>+AVERAGEIFS(I:I,D:D,P637)</f>
        <v>1.8965000000000003</v>
      </c>
      <c r="R637" s="13">
        <f>+I637/Q637-1</f>
        <v>5.4574215660426972E-2</v>
      </c>
    </row>
    <row r="638" spans="1:18" hidden="1" x14ac:dyDescent="0.25">
      <c r="A638">
        <v>1882</v>
      </c>
      <c r="B638" t="s">
        <v>218</v>
      </c>
      <c r="C638" t="s">
        <v>371</v>
      </c>
      <c r="D638" t="s">
        <v>380</v>
      </c>
      <c r="E638" t="s">
        <v>381</v>
      </c>
      <c r="F638">
        <v>8</v>
      </c>
      <c r="G638">
        <v>4</v>
      </c>
      <c r="H638">
        <v>0</v>
      </c>
      <c r="I638" s="12">
        <f>+F638/G638</f>
        <v>2</v>
      </c>
      <c r="J638">
        <v>1.89</v>
      </c>
      <c r="K638">
        <v>10</v>
      </c>
      <c r="L638">
        <v>5.8</v>
      </c>
      <c r="P638" t="s">
        <v>380</v>
      </c>
      <c r="Q638" s="11">
        <f>+AVERAGEIFS(I:I,D:D,P638)</f>
        <v>1.8965000000000003</v>
      </c>
      <c r="R638" s="13">
        <f>+I638/Q638-1</f>
        <v>5.4574215660426972E-2</v>
      </c>
    </row>
    <row r="639" spans="1:18" hidden="1" x14ac:dyDescent="0.25">
      <c r="A639" s="6">
        <v>2179</v>
      </c>
      <c r="B639" s="6" t="s">
        <v>87</v>
      </c>
      <c r="C639" s="6" t="s">
        <v>324</v>
      </c>
      <c r="D639" s="6" t="s">
        <v>365</v>
      </c>
      <c r="E639" s="6" t="s">
        <v>366</v>
      </c>
      <c r="F639" s="6">
        <v>6</v>
      </c>
      <c r="G639" s="6">
        <v>3</v>
      </c>
      <c r="H639" s="6">
        <v>0</v>
      </c>
      <c r="I639" s="15">
        <f>+F639/G639</f>
        <v>2</v>
      </c>
      <c r="J639" s="3">
        <v>2.5099999999999998</v>
      </c>
      <c r="K639" s="3">
        <v>4</v>
      </c>
      <c r="L639" s="3">
        <v>-20.399999999999999</v>
      </c>
      <c r="P639" s="6" t="s">
        <v>365</v>
      </c>
      <c r="Q639" s="11">
        <f>+AVERAGEIFS(I:I,D:D,P639)</f>
        <v>3.9935714285714283</v>
      </c>
      <c r="R639" s="13">
        <f>+I639/Q639-1</f>
        <v>-0.49919513503845458</v>
      </c>
    </row>
    <row r="640" spans="1:18" hidden="1" x14ac:dyDescent="0.25">
      <c r="A640">
        <v>1922</v>
      </c>
      <c r="B640" t="s">
        <v>222</v>
      </c>
      <c r="C640" t="s">
        <v>371</v>
      </c>
      <c r="D640" t="s">
        <v>380</v>
      </c>
      <c r="E640" t="s">
        <v>381</v>
      </c>
      <c r="F640">
        <v>4</v>
      </c>
      <c r="G640">
        <v>2</v>
      </c>
      <c r="H640">
        <v>0</v>
      </c>
      <c r="I640" s="12">
        <f>+F640/G640</f>
        <v>2</v>
      </c>
      <c r="J640">
        <v>1.89</v>
      </c>
      <c r="K640">
        <v>10</v>
      </c>
      <c r="L640">
        <v>5.8</v>
      </c>
      <c r="P640" t="s">
        <v>380</v>
      </c>
      <c r="Q640" s="11">
        <f>+AVERAGEIFS(I:I,D:D,P640)</f>
        <v>1.8965000000000003</v>
      </c>
      <c r="R640" s="13">
        <f>+I640/Q640-1</f>
        <v>5.4574215660426972E-2</v>
      </c>
    </row>
    <row r="641" spans="1:18" hidden="1" x14ac:dyDescent="0.25">
      <c r="A641">
        <v>1898</v>
      </c>
      <c r="B641" t="s">
        <v>71</v>
      </c>
      <c r="C641" t="s">
        <v>371</v>
      </c>
      <c r="D641" t="s">
        <v>380</v>
      </c>
      <c r="E641" t="s">
        <v>381</v>
      </c>
      <c r="F641">
        <v>3.6</v>
      </c>
      <c r="G641">
        <v>2</v>
      </c>
      <c r="H641">
        <v>0</v>
      </c>
      <c r="I641" s="12">
        <f>+F641/G641</f>
        <v>1.8</v>
      </c>
      <c r="J641">
        <v>1.89</v>
      </c>
      <c r="K641">
        <v>10</v>
      </c>
      <c r="L641">
        <v>-4.8</v>
      </c>
      <c r="P641" t="s">
        <v>380</v>
      </c>
      <c r="Q641" s="11">
        <f>+AVERAGEIFS(I:I,D:D,P641)</f>
        <v>1.8965000000000003</v>
      </c>
      <c r="R641" s="13">
        <f>+I641/Q641-1</f>
        <v>-5.088320590561568E-2</v>
      </c>
    </row>
    <row r="642" spans="1:18" hidden="1" x14ac:dyDescent="0.25">
      <c r="A642" s="6">
        <v>1912</v>
      </c>
      <c r="B642" s="6" t="s">
        <v>76</v>
      </c>
      <c r="C642" s="6" t="s">
        <v>371</v>
      </c>
      <c r="D642" s="6" t="s">
        <v>365</v>
      </c>
      <c r="E642" s="6" t="s">
        <v>366</v>
      </c>
      <c r="F642" s="6">
        <v>4</v>
      </c>
      <c r="G642" s="6">
        <v>2</v>
      </c>
      <c r="H642" s="6">
        <v>0</v>
      </c>
      <c r="I642" s="15">
        <f>+F642/G642</f>
        <v>2</v>
      </c>
      <c r="J642" s="3">
        <v>2.58</v>
      </c>
      <c r="K642" s="3">
        <v>4</v>
      </c>
      <c r="L642" s="3">
        <v>-22.6</v>
      </c>
      <c r="P642" s="6" t="s">
        <v>365</v>
      </c>
      <c r="Q642" s="11">
        <f>+AVERAGEIFS(I:I,D:D,P642)</f>
        <v>3.9935714285714283</v>
      </c>
      <c r="R642" s="13">
        <f>+I642/Q642-1</f>
        <v>-0.49919513503845458</v>
      </c>
    </row>
    <row r="643" spans="1:18" hidden="1" x14ac:dyDescent="0.25">
      <c r="A643">
        <v>1908</v>
      </c>
      <c r="B643" t="s">
        <v>95</v>
      </c>
      <c r="C643" t="s">
        <v>371</v>
      </c>
      <c r="D643" t="s">
        <v>380</v>
      </c>
      <c r="E643" t="s">
        <v>381</v>
      </c>
      <c r="F643">
        <v>4</v>
      </c>
      <c r="G643">
        <v>2</v>
      </c>
      <c r="H643">
        <v>0</v>
      </c>
      <c r="I643" s="12">
        <f>+F643/G643</f>
        <v>2</v>
      </c>
      <c r="J643">
        <v>1.89</v>
      </c>
      <c r="K643">
        <v>10</v>
      </c>
      <c r="L643">
        <v>5.8</v>
      </c>
      <c r="P643" t="s">
        <v>380</v>
      </c>
      <c r="Q643" s="11">
        <f>+AVERAGEIFS(I:I,D:D,P643)</f>
        <v>1.8965000000000003</v>
      </c>
      <c r="R643" s="13">
        <f>+I643/Q643-1</f>
        <v>5.4574215660426972E-2</v>
      </c>
    </row>
    <row r="644" spans="1:18" hidden="1" x14ac:dyDescent="0.25">
      <c r="A644">
        <v>1883</v>
      </c>
      <c r="B644" t="s">
        <v>218</v>
      </c>
      <c r="C644" t="s">
        <v>371</v>
      </c>
      <c r="D644" t="s">
        <v>382</v>
      </c>
      <c r="E644" t="s">
        <v>383</v>
      </c>
      <c r="F644">
        <v>8</v>
      </c>
      <c r="G644">
        <v>4</v>
      </c>
      <c r="H644">
        <v>0</v>
      </c>
      <c r="I644" s="12">
        <f>+F644/G644</f>
        <v>2</v>
      </c>
      <c r="J644">
        <v>1.97</v>
      </c>
      <c r="K644">
        <v>9</v>
      </c>
      <c r="L644">
        <v>1.4</v>
      </c>
      <c r="P644" t="s">
        <v>382</v>
      </c>
      <c r="Q644" s="11">
        <f>+AVERAGEIFS(I:I,D:D,P644)</f>
        <v>1.9944444444444445</v>
      </c>
      <c r="R644" s="13">
        <f>+I644/Q644-1</f>
        <v>2.7855153203342198E-3</v>
      </c>
    </row>
    <row r="645" spans="1:18" hidden="1" x14ac:dyDescent="0.25">
      <c r="A645" s="4">
        <v>1917</v>
      </c>
      <c r="B645" s="4" t="s">
        <v>215</v>
      </c>
      <c r="C645" s="4" t="s">
        <v>371</v>
      </c>
      <c r="D645" s="4" t="s">
        <v>365</v>
      </c>
      <c r="E645" s="4" t="s">
        <v>366</v>
      </c>
      <c r="F645" s="4">
        <v>9.6</v>
      </c>
      <c r="G645" s="4">
        <v>5</v>
      </c>
      <c r="H645" s="4">
        <v>0</v>
      </c>
      <c r="I645" s="15">
        <f>+F645/G645</f>
        <v>1.92</v>
      </c>
      <c r="J645" s="2">
        <v>2.58</v>
      </c>
      <c r="K645" s="2">
        <v>4</v>
      </c>
      <c r="L645" s="2">
        <v>-25.7</v>
      </c>
      <c r="P645" s="4" t="s">
        <v>365</v>
      </c>
      <c r="Q645" s="11">
        <f>+AVERAGEIFS(I:I,D:D,P645)</f>
        <v>3.9935714285714283</v>
      </c>
      <c r="R645" s="13">
        <f>+I645/Q645-1</f>
        <v>-0.51922732963691653</v>
      </c>
    </row>
    <row r="646" spans="1:18" hidden="1" x14ac:dyDescent="0.25">
      <c r="A646">
        <v>1938</v>
      </c>
      <c r="B646" t="s">
        <v>47</v>
      </c>
      <c r="C646" t="s">
        <v>371</v>
      </c>
      <c r="D646" t="s">
        <v>382</v>
      </c>
      <c r="E646" t="s">
        <v>383</v>
      </c>
      <c r="F646">
        <v>2.2000000000000002</v>
      </c>
      <c r="G646">
        <v>1</v>
      </c>
      <c r="H646">
        <v>0</v>
      </c>
      <c r="I646" s="12">
        <f>+F646/G646</f>
        <v>2.2000000000000002</v>
      </c>
      <c r="J646">
        <v>1.97</v>
      </c>
      <c r="K646">
        <v>9</v>
      </c>
      <c r="L646">
        <v>11.5</v>
      </c>
      <c r="P646" t="s">
        <v>382</v>
      </c>
      <c r="Q646" s="11">
        <f>+AVERAGEIFS(I:I,D:D,P646)</f>
        <v>1.9944444444444445</v>
      </c>
      <c r="R646" s="13">
        <f>+I646/Q646-1</f>
        <v>0.10306406685236769</v>
      </c>
    </row>
    <row r="647" spans="1:18" hidden="1" x14ac:dyDescent="0.25">
      <c r="A647">
        <v>1888</v>
      </c>
      <c r="B647" t="s">
        <v>81</v>
      </c>
      <c r="C647" t="s">
        <v>371</v>
      </c>
      <c r="D647" t="s">
        <v>382</v>
      </c>
      <c r="E647" t="s">
        <v>383</v>
      </c>
      <c r="F647">
        <v>4</v>
      </c>
      <c r="G647">
        <v>2</v>
      </c>
      <c r="H647">
        <v>0</v>
      </c>
      <c r="I647" s="12">
        <f>+F647/G647</f>
        <v>2</v>
      </c>
      <c r="J647">
        <v>1.97</v>
      </c>
      <c r="K647">
        <v>9</v>
      </c>
      <c r="L647">
        <v>1.4</v>
      </c>
      <c r="P647" t="s">
        <v>382</v>
      </c>
      <c r="Q647" s="11">
        <f>+AVERAGEIFS(I:I,D:D,P647)</f>
        <v>1.9944444444444445</v>
      </c>
      <c r="R647" s="13">
        <f>+I647/Q647-1</f>
        <v>2.7855153203342198E-3</v>
      </c>
    </row>
    <row r="648" spans="1:18" hidden="1" x14ac:dyDescent="0.25">
      <c r="A648">
        <v>1918</v>
      </c>
      <c r="B648" t="s">
        <v>222</v>
      </c>
      <c r="C648" t="s">
        <v>371</v>
      </c>
      <c r="D648" t="s">
        <v>382</v>
      </c>
      <c r="E648" t="s">
        <v>383</v>
      </c>
      <c r="F648">
        <v>8</v>
      </c>
      <c r="G648">
        <v>4</v>
      </c>
      <c r="H648">
        <v>0</v>
      </c>
      <c r="I648" s="12">
        <f>+F648/G648</f>
        <v>2</v>
      </c>
      <c r="J648">
        <v>1.97</v>
      </c>
      <c r="K648">
        <v>9</v>
      </c>
      <c r="L648">
        <v>1.4</v>
      </c>
      <c r="P648" t="s">
        <v>382</v>
      </c>
      <c r="Q648" s="11">
        <f>+AVERAGEIFS(I:I,D:D,P648)</f>
        <v>1.9944444444444445</v>
      </c>
      <c r="R648" s="13">
        <f>+I648/Q648-1</f>
        <v>2.7855153203342198E-3</v>
      </c>
    </row>
    <row r="649" spans="1:18" hidden="1" x14ac:dyDescent="0.25">
      <c r="A649">
        <v>1895</v>
      </c>
      <c r="B649" t="s">
        <v>71</v>
      </c>
      <c r="C649" t="s">
        <v>371</v>
      </c>
      <c r="D649" t="s">
        <v>382</v>
      </c>
      <c r="E649" t="s">
        <v>383</v>
      </c>
      <c r="F649">
        <v>12</v>
      </c>
      <c r="G649">
        <v>6</v>
      </c>
      <c r="H649">
        <v>0</v>
      </c>
      <c r="I649" s="12">
        <f>+F649/G649</f>
        <v>2</v>
      </c>
      <c r="J649">
        <v>1.97</v>
      </c>
      <c r="K649">
        <v>9</v>
      </c>
      <c r="L649">
        <v>1.4</v>
      </c>
      <c r="P649" t="s">
        <v>382</v>
      </c>
      <c r="Q649" s="11">
        <f>+AVERAGEIFS(I:I,D:D,P649)</f>
        <v>1.9944444444444445</v>
      </c>
      <c r="R649" s="13">
        <f>+I649/Q649-1</f>
        <v>2.7855153203342198E-3</v>
      </c>
    </row>
    <row r="650" spans="1:18" hidden="1" x14ac:dyDescent="0.25">
      <c r="A650">
        <v>1945</v>
      </c>
      <c r="B650" t="s">
        <v>35</v>
      </c>
      <c r="C650" t="s">
        <v>371</v>
      </c>
      <c r="D650" t="s">
        <v>382</v>
      </c>
      <c r="E650" t="s">
        <v>383</v>
      </c>
      <c r="F650">
        <v>6</v>
      </c>
      <c r="G650">
        <v>3</v>
      </c>
      <c r="H650">
        <v>0</v>
      </c>
      <c r="I650" s="12">
        <f>+F650/G650</f>
        <v>2</v>
      </c>
      <c r="J650">
        <v>1.97</v>
      </c>
      <c r="K650">
        <v>9</v>
      </c>
      <c r="L650">
        <v>1.4</v>
      </c>
      <c r="P650" t="s">
        <v>382</v>
      </c>
      <c r="Q650" s="11">
        <f>+AVERAGEIFS(I:I,D:D,P650)</f>
        <v>1.9944444444444445</v>
      </c>
      <c r="R650" s="13">
        <f>+I650/Q650-1</f>
        <v>2.7855153203342198E-3</v>
      </c>
    </row>
    <row r="651" spans="1:18" hidden="1" x14ac:dyDescent="0.25">
      <c r="A651">
        <v>1904</v>
      </c>
      <c r="B651" t="s">
        <v>95</v>
      </c>
      <c r="C651" t="s">
        <v>371</v>
      </c>
      <c r="D651" t="s">
        <v>382</v>
      </c>
      <c r="E651" t="s">
        <v>383</v>
      </c>
      <c r="F651">
        <v>8</v>
      </c>
      <c r="G651">
        <v>4</v>
      </c>
      <c r="H651">
        <v>0</v>
      </c>
      <c r="I651" s="12">
        <f>+F651/G651</f>
        <v>2</v>
      </c>
      <c r="J651">
        <v>1.97</v>
      </c>
      <c r="K651">
        <v>9</v>
      </c>
      <c r="L651">
        <v>1.4</v>
      </c>
      <c r="P651" t="s">
        <v>382</v>
      </c>
      <c r="Q651" s="11">
        <f>+AVERAGEIFS(I:I,D:D,P651)</f>
        <v>1.9944444444444445</v>
      </c>
      <c r="R651" s="13">
        <f>+I651/Q651-1</f>
        <v>2.7855153203342198E-3</v>
      </c>
    </row>
    <row r="652" spans="1:18" hidden="1" x14ac:dyDescent="0.25">
      <c r="A652">
        <v>1953</v>
      </c>
      <c r="B652" t="s">
        <v>36</v>
      </c>
      <c r="C652" t="s">
        <v>371</v>
      </c>
      <c r="D652" t="s">
        <v>382</v>
      </c>
      <c r="E652" t="s">
        <v>383</v>
      </c>
      <c r="F652">
        <v>4</v>
      </c>
      <c r="G652">
        <v>2</v>
      </c>
      <c r="H652">
        <v>0</v>
      </c>
      <c r="I652" s="12">
        <f>+F652/G652</f>
        <v>2</v>
      </c>
      <c r="J652">
        <v>1.97</v>
      </c>
      <c r="K652">
        <v>9</v>
      </c>
      <c r="L652">
        <v>1.4</v>
      </c>
      <c r="P652" t="s">
        <v>382</v>
      </c>
      <c r="Q652" s="11">
        <f>+AVERAGEIFS(I:I,D:D,P652)</f>
        <v>1.9944444444444445</v>
      </c>
      <c r="R652" s="13">
        <f>+I652/Q652-1</f>
        <v>2.7855153203342198E-3</v>
      </c>
    </row>
    <row r="653" spans="1:18" hidden="1" x14ac:dyDescent="0.25">
      <c r="A653">
        <v>1960</v>
      </c>
      <c r="B653" t="s">
        <v>213</v>
      </c>
      <c r="C653" t="s">
        <v>371</v>
      </c>
      <c r="D653" t="s">
        <v>384</v>
      </c>
      <c r="E653" t="s">
        <v>385</v>
      </c>
      <c r="F653">
        <v>48.6</v>
      </c>
      <c r="G653">
        <v>5</v>
      </c>
      <c r="H653">
        <v>0</v>
      </c>
      <c r="I653" s="12">
        <f>+F653/G653</f>
        <v>9.7200000000000006</v>
      </c>
      <c r="J653">
        <v>9.7200000000000006</v>
      </c>
      <c r="K653">
        <v>1</v>
      </c>
      <c r="L653">
        <v>0</v>
      </c>
      <c r="P653" t="s">
        <v>384</v>
      </c>
      <c r="Q653" s="11">
        <f>+AVERAGEIFS(I:I,D:D,P653)</f>
        <v>9.7200000000000006</v>
      </c>
      <c r="R653" s="13">
        <f>+I653/Q653-1</f>
        <v>0</v>
      </c>
    </row>
    <row r="654" spans="1:18" hidden="1" x14ac:dyDescent="0.25">
      <c r="A654">
        <v>1872</v>
      </c>
      <c r="B654" t="s">
        <v>16</v>
      </c>
      <c r="C654" t="s">
        <v>371</v>
      </c>
      <c r="D654" t="s">
        <v>386</v>
      </c>
      <c r="E654" t="s">
        <v>387</v>
      </c>
      <c r="F654">
        <v>51</v>
      </c>
      <c r="G654">
        <v>2</v>
      </c>
      <c r="H654">
        <v>0</v>
      </c>
      <c r="I654" s="12">
        <f>+F654/G654</f>
        <v>25.5</v>
      </c>
      <c r="J654">
        <v>24.8</v>
      </c>
      <c r="K654">
        <v>3</v>
      </c>
      <c r="L654">
        <v>2.8</v>
      </c>
      <c r="P654" t="s">
        <v>386</v>
      </c>
      <c r="Q654" s="11">
        <f>+AVERAGEIFS(I:I,D:D,P654)</f>
        <v>24.566666666666666</v>
      </c>
      <c r="R654" s="13">
        <f>+I654/Q654-1</f>
        <v>3.7991858887381325E-2</v>
      </c>
    </row>
    <row r="655" spans="1:18" hidden="1" x14ac:dyDescent="0.25">
      <c r="A655" s="6">
        <v>1941</v>
      </c>
      <c r="B655" s="6" t="s">
        <v>47</v>
      </c>
      <c r="C655" s="6" t="s">
        <v>371</v>
      </c>
      <c r="D655" s="6" t="s">
        <v>365</v>
      </c>
      <c r="E655" s="6" t="s">
        <v>366</v>
      </c>
      <c r="F655" s="6">
        <v>10</v>
      </c>
      <c r="G655" s="6">
        <v>5</v>
      </c>
      <c r="H655" s="6">
        <v>0</v>
      </c>
      <c r="I655" s="15">
        <f>+F655/G655</f>
        <v>2</v>
      </c>
      <c r="J655" s="3">
        <v>2.58</v>
      </c>
      <c r="K655" s="3">
        <v>4</v>
      </c>
      <c r="L655" s="3">
        <v>-22.6</v>
      </c>
      <c r="P655" s="6" t="s">
        <v>365</v>
      </c>
      <c r="Q655" s="11">
        <f>+AVERAGEIFS(I:I,D:D,P655)</f>
        <v>3.9935714285714283</v>
      </c>
      <c r="R655" s="13">
        <f>+I655/Q655-1</f>
        <v>-0.49919513503845458</v>
      </c>
    </row>
    <row r="656" spans="1:18" hidden="1" x14ac:dyDescent="0.25">
      <c r="A656" s="2">
        <v>1948</v>
      </c>
      <c r="B656" s="2" t="s">
        <v>35</v>
      </c>
      <c r="C656" s="2" t="s">
        <v>371</v>
      </c>
      <c r="D656" s="2" t="s">
        <v>365</v>
      </c>
      <c r="E656" s="2" t="s">
        <v>366</v>
      </c>
      <c r="F656" s="2">
        <v>10</v>
      </c>
      <c r="G656" s="2">
        <v>1</v>
      </c>
      <c r="H656" s="2">
        <v>0</v>
      </c>
      <c r="I656" s="15">
        <f>+F656/G656</f>
        <v>10</v>
      </c>
      <c r="J656" s="2">
        <v>2.58</v>
      </c>
      <c r="K656" s="2">
        <v>4</v>
      </c>
      <c r="L656" s="2">
        <v>286.89999999999998</v>
      </c>
      <c r="P656" s="2" t="s">
        <v>365</v>
      </c>
      <c r="Q656" s="11">
        <f>+AVERAGEIFS(I:I,D:D,P656)</f>
        <v>3.9935714285714283</v>
      </c>
      <c r="R656" s="13">
        <f>+I656/Q656-1</f>
        <v>1.5040243248077267</v>
      </c>
    </row>
    <row r="657" spans="1:18" hidden="1" x14ac:dyDescent="0.25">
      <c r="A657">
        <v>1961</v>
      </c>
      <c r="B657" t="s">
        <v>213</v>
      </c>
      <c r="C657" t="s">
        <v>371</v>
      </c>
      <c r="D657" t="s">
        <v>389</v>
      </c>
      <c r="E657" t="s">
        <v>390</v>
      </c>
      <c r="F657">
        <v>11</v>
      </c>
      <c r="G657">
        <v>1</v>
      </c>
      <c r="H657">
        <v>0</v>
      </c>
      <c r="I657" s="12">
        <f>+F657/G657</f>
        <v>11</v>
      </c>
      <c r="J657">
        <v>11</v>
      </c>
      <c r="K657">
        <v>1</v>
      </c>
      <c r="L657">
        <v>0</v>
      </c>
      <c r="P657" t="s">
        <v>389</v>
      </c>
      <c r="Q657" s="11">
        <f>+AVERAGEIFS(I:I,D:D,P657)</f>
        <v>11</v>
      </c>
      <c r="R657" s="13">
        <f>+I657/Q657-1</f>
        <v>0</v>
      </c>
    </row>
    <row r="658" spans="1:18" hidden="1" x14ac:dyDescent="0.25">
      <c r="A658" s="4">
        <v>2076</v>
      </c>
      <c r="B658" s="4" t="s">
        <v>18</v>
      </c>
      <c r="C658" s="4" t="s">
        <v>13</v>
      </c>
      <c r="D658" s="4" t="s">
        <v>50</v>
      </c>
      <c r="E658" s="4" t="s">
        <v>51</v>
      </c>
      <c r="F658" s="4">
        <v>10</v>
      </c>
      <c r="G658" s="4">
        <v>1</v>
      </c>
      <c r="H658" s="4">
        <v>0</v>
      </c>
      <c r="I658" s="15">
        <f>+F658/G658</f>
        <v>10</v>
      </c>
      <c r="J658" s="4">
        <v>7.03</v>
      </c>
      <c r="K658" s="4">
        <v>5</v>
      </c>
      <c r="L658" s="4">
        <v>42.2</v>
      </c>
      <c r="P658" s="4" t="s">
        <v>50</v>
      </c>
      <c r="Q658" s="11">
        <f>+AVERAGEIFS(I:I,D:D,P658)</f>
        <v>7.7857142857142865</v>
      </c>
      <c r="R658" s="13">
        <f>+I658/Q658-1</f>
        <v>0.28440366972477049</v>
      </c>
    </row>
    <row r="659" spans="1:18" hidden="1" x14ac:dyDescent="0.25">
      <c r="A659">
        <v>1884</v>
      </c>
      <c r="B659" t="s">
        <v>218</v>
      </c>
      <c r="C659" t="s">
        <v>371</v>
      </c>
      <c r="D659" t="s">
        <v>391</v>
      </c>
      <c r="E659" t="s">
        <v>392</v>
      </c>
      <c r="F659">
        <v>6</v>
      </c>
      <c r="G659">
        <v>3</v>
      </c>
      <c r="H659">
        <v>0</v>
      </c>
      <c r="I659" s="12">
        <f>+F659/G659</f>
        <v>2</v>
      </c>
      <c r="J659">
        <v>1.99</v>
      </c>
      <c r="K659">
        <v>8</v>
      </c>
      <c r="L659">
        <v>0.3</v>
      </c>
      <c r="P659" t="s">
        <v>391</v>
      </c>
      <c r="Q659" s="11">
        <f>+AVERAGEIFS(I:I,D:D,P659)</f>
        <v>2.013095238095238</v>
      </c>
      <c r="R659" s="13">
        <f>+I659/Q659-1</f>
        <v>-6.5050266114724531E-3</v>
      </c>
    </row>
    <row r="660" spans="1:18" hidden="1" x14ac:dyDescent="0.25">
      <c r="A660">
        <v>1939</v>
      </c>
      <c r="B660" t="s">
        <v>47</v>
      </c>
      <c r="C660" t="s">
        <v>371</v>
      </c>
      <c r="D660" t="s">
        <v>391</v>
      </c>
      <c r="E660" t="s">
        <v>392</v>
      </c>
      <c r="F660">
        <v>2</v>
      </c>
      <c r="G660">
        <v>1</v>
      </c>
      <c r="H660">
        <v>0</v>
      </c>
      <c r="I660" s="12">
        <f>+F660/G660</f>
        <v>2</v>
      </c>
      <c r="J660">
        <v>1.99</v>
      </c>
      <c r="K660">
        <v>8</v>
      </c>
      <c r="L660">
        <v>0.3</v>
      </c>
      <c r="P660" t="s">
        <v>391</v>
      </c>
      <c r="Q660" s="11">
        <f>+AVERAGEIFS(I:I,D:D,P660)</f>
        <v>2.013095238095238</v>
      </c>
      <c r="R660" s="13">
        <f>+I660/Q660-1</f>
        <v>-6.5050266114724531E-3</v>
      </c>
    </row>
    <row r="661" spans="1:18" hidden="1" x14ac:dyDescent="0.25">
      <c r="A661">
        <v>1889</v>
      </c>
      <c r="B661" t="s">
        <v>81</v>
      </c>
      <c r="C661" t="s">
        <v>371</v>
      </c>
      <c r="D661" t="s">
        <v>391</v>
      </c>
      <c r="E661" t="s">
        <v>392</v>
      </c>
      <c r="F661">
        <v>89.7</v>
      </c>
      <c r="G661">
        <v>45</v>
      </c>
      <c r="H661">
        <v>0</v>
      </c>
      <c r="I661" s="12">
        <f>+F661/G661</f>
        <v>1.9933333333333334</v>
      </c>
      <c r="J661">
        <v>1.99</v>
      </c>
      <c r="K661">
        <v>8</v>
      </c>
      <c r="L661">
        <v>-0.1</v>
      </c>
      <c r="P661" t="s">
        <v>391</v>
      </c>
      <c r="Q661" s="11">
        <f>+AVERAGEIFS(I:I,D:D,P661)</f>
        <v>2.013095238095238</v>
      </c>
      <c r="R661" s="13">
        <f>+I661/Q661-1</f>
        <v>-9.8166765227675201E-3</v>
      </c>
    </row>
    <row r="662" spans="1:18" hidden="1" x14ac:dyDescent="0.25">
      <c r="A662">
        <v>1919</v>
      </c>
      <c r="B662" t="s">
        <v>222</v>
      </c>
      <c r="C662" t="s">
        <v>371</v>
      </c>
      <c r="D662" t="s">
        <v>391</v>
      </c>
      <c r="E662" t="s">
        <v>392</v>
      </c>
      <c r="F662">
        <v>8</v>
      </c>
      <c r="G662">
        <v>4</v>
      </c>
      <c r="H662">
        <v>0</v>
      </c>
      <c r="I662" s="12">
        <f>+F662/G662</f>
        <v>2</v>
      </c>
      <c r="J662">
        <v>1.99</v>
      </c>
      <c r="K662">
        <v>8</v>
      </c>
      <c r="L662">
        <v>0.3</v>
      </c>
      <c r="P662" t="s">
        <v>391</v>
      </c>
      <c r="Q662" s="11">
        <f>+AVERAGEIFS(I:I,D:D,P662)</f>
        <v>2.013095238095238</v>
      </c>
      <c r="R662" s="13">
        <f>+I662/Q662-1</f>
        <v>-6.5050266114724531E-3</v>
      </c>
    </row>
    <row r="663" spans="1:18" hidden="1" x14ac:dyDescent="0.25">
      <c r="A663">
        <v>1900</v>
      </c>
      <c r="B663" t="s">
        <v>71</v>
      </c>
      <c r="C663" t="s">
        <v>371</v>
      </c>
      <c r="D663" t="s">
        <v>391</v>
      </c>
      <c r="E663" t="s">
        <v>392</v>
      </c>
      <c r="F663">
        <v>13.8</v>
      </c>
      <c r="G663">
        <v>7</v>
      </c>
      <c r="H663">
        <v>0</v>
      </c>
      <c r="I663" s="12">
        <f>+F663/G663</f>
        <v>1.9714285714285715</v>
      </c>
      <c r="J663">
        <v>1.99</v>
      </c>
      <c r="K663">
        <v>8</v>
      </c>
      <c r="L663">
        <v>-1.2</v>
      </c>
      <c r="P663" t="s">
        <v>391</v>
      </c>
      <c r="Q663" s="11">
        <f>+AVERAGEIFS(I:I,D:D,P663)</f>
        <v>2.013095238095238</v>
      </c>
      <c r="R663" s="13">
        <f>+I663/Q663-1</f>
        <v>-2.069781194559428E-2</v>
      </c>
    </row>
    <row r="664" spans="1:18" hidden="1" x14ac:dyDescent="0.25">
      <c r="A664">
        <v>1924</v>
      </c>
      <c r="B664" t="s">
        <v>87</v>
      </c>
      <c r="C664" t="s">
        <v>371</v>
      </c>
      <c r="D664" t="s">
        <v>391</v>
      </c>
      <c r="E664" t="s">
        <v>392</v>
      </c>
      <c r="F664">
        <v>8</v>
      </c>
      <c r="G664">
        <v>4</v>
      </c>
      <c r="H664">
        <v>0</v>
      </c>
      <c r="I664" s="12">
        <f>+F664/G664</f>
        <v>2</v>
      </c>
      <c r="J664">
        <v>1.99</v>
      </c>
      <c r="K664">
        <v>8</v>
      </c>
      <c r="L664">
        <v>0.3</v>
      </c>
      <c r="P664" t="s">
        <v>391</v>
      </c>
      <c r="Q664" s="11">
        <f>+AVERAGEIFS(I:I,D:D,P664)</f>
        <v>2.013095238095238</v>
      </c>
      <c r="R664" s="13">
        <f>+I664/Q664-1</f>
        <v>-6.5050266114724531E-3</v>
      </c>
    </row>
    <row r="665" spans="1:18" hidden="1" x14ac:dyDescent="0.25">
      <c r="A665">
        <v>1905</v>
      </c>
      <c r="B665" t="s">
        <v>95</v>
      </c>
      <c r="C665" t="s">
        <v>371</v>
      </c>
      <c r="D665" t="s">
        <v>391</v>
      </c>
      <c r="E665" t="s">
        <v>392</v>
      </c>
      <c r="F665">
        <v>9.1999999999999993</v>
      </c>
      <c r="G665">
        <v>5</v>
      </c>
      <c r="H665">
        <v>0</v>
      </c>
      <c r="I665" s="12">
        <f>+F665/G665</f>
        <v>1.8399999999999999</v>
      </c>
      <c r="J665">
        <v>1.99</v>
      </c>
      <c r="K665">
        <v>8</v>
      </c>
      <c r="L665">
        <v>-7.7</v>
      </c>
      <c r="P665" t="s">
        <v>391</v>
      </c>
      <c r="Q665" s="11">
        <f>+AVERAGEIFS(I:I,D:D,P665)</f>
        <v>2.013095238095238</v>
      </c>
      <c r="R665" s="13">
        <f>+I665/Q665-1</f>
        <v>-8.5984624482554728E-2</v>
      </c>
    </row>
    <row r="666" spans="1:18" hidden="1" x14ac:dyDescent="0.25">
      <c r="A666">
        <v>1878</v>
      </c>
      <c r="B666" t="s">
        <v>218</v>
      </c>
      <c r="C666" t="s">
        <v>371</v>
      </c>
      <c r="D666" t="s">
        <v>393</v>
      </c>
      <c r="E666" t="s">
        <v>394</v>
      </c>
      <c r="F666">
        <v>21.4</v>
      </c>
      <c r="G666">
        <v>2</v>
      </c>
      <c r="H666">
        <v>0</v>
      </c>
      <c r="I666" s="12">
        <f>+F666/G666</f>
        <v>10.7</v>
      </c>
      <c r="J666">
        <v>10.7</v>
      </c>
      <c r="K666">
        <v>1</v>
      </c>
      <c r="L666">
        <v>0</v>
      </c>
      <c r="P666" t="s">
        <v>393</v>
      </c>
      <c r="Q666" s="11">
        <f>+AVERAGEIFS(I:I,D:D,P666)</f>
        <v>10.7</v>
      </c>
      <c r="R666" s="13">
        <f>+I666/Q666-1</f>
        <v>0</v>
      </c>
    </row>
    <row r="667" spans="1:18" hidden="1" x14ac:dyDescent="0.25">
      <c r="A667" s="4">
        <v>2101</v>
      </c>
      <c r="B667" s="4" t="s">
        <v>25</v>
      </c>
      <c r="C667" s="4" t="s">
        <v>13</v>
      </c>
      <c r="D667" s="4" t="s">
        <v>50</v>
      </c>
      <c r="E667" s="4" t="s">
        <v>51</v>
      </c>
      <c r="F667" s="4">
        <v>10</v>
      </c>
      <c r="G667" s="4">
        <v>1</v>
      </c>
      <c r="H667" s="4">
        <v>0</v>
      </c>
      <c r="I667" s="15">
        <f>+F667/G667</f>
        <v>10</v>
      </c>
      <c r="J667" s="4">
        <v>7.03</v>
      </c>
      <c r="K667" s="4">
        <v>5</v>
      </c>
      <c r="L667" s="4">
        <v>42.2</v>
      </c>
      <c r="P667" s="4" t="s">
        <v>50</v>
      </c>
      <c r="Q667" s="11">
        <f>+AVERAGEIFS(I:I,D:D,P667)</f>
        <v>7.7857142857142865</v>
      </c>
      <c r="R667" s="13">
        <f>+I667/Q667-1</f>
        <v>0.28440366972477049</v>
      </c>
    </row>
    <row r="668" spans="1:18" hidden="1" x14ac:dyDescent="0.25">
      <c r="A668">
        <v>1930</v>
      </c>
      <c r="B668" t="s">
        <v>77</v>
      </c>
      <c r="C668" t="s">
        <v>371</v>
      </c>
      <c r="D668" t="s">
        <v>395</v>
      </c>
      <c r="E668" t="s">
        <v>396</v>
      </c>
      <c r="F668">
        <v>106</v>
      </c>
      <c r="G668">
        <v>9</v>
      </c>
      <c r="H668">
        <v>0</v>
      </c>
      <c r="I668" s="12">
        <f>+F668/G668</f>
        <v>11.777777777777779</v>
      </c>
      <c r="J668">
        <v>11.88</v>
      </c>
      <c r="K668">
        <v>5</v>
      </c>
      <c r="L668">
        <v>-0.8</v>
      </c>
      <c r="P668" t="s">
        <v>395</v>
      </c>
      <c r="Q668" s="11">
        <f>+AVERAGEIFS(I:I,D:D,P668)</f>
        <v>11.493841269841271</v>
      </c>
      <c r="R668" s="13">
        <f>+I668/Q668-1</f>
        <v>2.4703360806063168E-2</v>
      </c>
    </row>
    <row r="669" spans="1:18" hidden="1" x14ac:dyDescent="0.25">
      <c r="A669" s="5">
        <v>2062</v>
      </c>
      <c r="B669" s="5" t="s">
        <v>52</v>
      </c>
      <c r="C669" s="5" t="s">
        <v>13</v>
      </c>
      <c r="D669" s="5" t="s">
        <v>50</v>
      </c>
      <c r="E669" s="5" t="s">
        <v>51</v>
      </c>
      <c r="F669" s="5">
        <v>6</v>
      </c>
      <c r="G669" s="5">
        <v>1</v>
      </c>
      <c r="H669" s="5">
        <v>0</v>
      </c>
      <c r="I669" s="15">
        <f>+F669/G669</f>
        <v>6</v>
      </c>
      <c r="J669" s="5">
        <v>7.03</v>
      </c>
      <c r="K669" s="5">
        <v>5</v>
      </c>
      <c r="L669" s="5">
        <v>-14.7</v>
      </c>
      <c r="P669" s="5" t="s">
        <v>50</v>
      </c>
      <c r="Q669" s="11">
        <f>+AVERAGEIFS(I:I,D:D,P669)</f>
        <v>7.7857142857142865</v>
      </c>
      <c r="R669" s="13">
        <f>+I669/Q669-1</f>
        <v>-0.22935779816513768</v>
      </c>
    </row>
    <row r="670" spans="1:18" hidden="1" x14ac:dyDescent="0.25">
      <c r="A670" s="4">
        <v>2049</v>
      </c>
      <c r="B670" s="4" t="s">
        <v>19</v>
      </c>
      <c r="C670" s="4" t="s">
        <v>13</v>
      </c>
      <c r="D670" s="4" t="s">
        <v>50</v>
      </c>
      <c r="E670" s="4" t="s">
        <v>51</v>
      </c>
      <c r="F670" s="4">
        <v>12</v>
      </c>
      <c r="G670" s="4">
        <v>1</v>
      </c>
      <c r="H670" s="4">
        <v>0</v>
      </c>
      <c r="I670" s="15">
        <f>+F670/G670</f>
        <v>12</v>
      </c>
      <c r="J670" s="4">
        <v>7.03</v>
      </c>
      <c r="K670" s="4">
        <v>5</v>
      </c>
      <c r="L670" s="4">
        <v>70.599999999999994</v>
      </c>
      <c r="P670" s="4" t="s">
        <v>50</v>
      </c>
      <c r="Q670" s="11">
        <f>+AVERAGEIFS(I:I,D:D,P670)</f>
        <v>7.7857142857142865</v>
      </c>
      <c r="R670" s="13">
        <f>+I670/Q670-1</f>
        <v>0.54128440366972463</v>
      </c>
    </row>
    <row r="671" spans="1:18" hidden="1" x14ac:dyDescent="0.25">
      <c r="A671" s="4">
        <v>2083</v>
      </c>
      <c r="B671" s="4" t="s">
        <v>34</v>
      </c>
      <c r="C671" s="4" t="s">
        <v>13</v>
      </c>
      <c r="D671" s="4" t="s">
        <v>50</v>
      </c>
      <c r="E671" s="4" t="s">
        <v>51</v>
      </c>
      <c r="F671" s="4">
        <v>4.2</v>
      </c>
      <c r="G671" s="4">
        <v>2</v>
      </c>
      <c r="H671" s="4">
        <v>0</v>
      </c>
      <c r="I671" s="15">
        <f>+F671/G671</f>
        <v>2.1</v>
      </c>
      <c r="J671" s="4">
        <v>7.03</v>
      </c>
      <c r="K671" s="4">
        <v>5</v>
      </c>
      <c r="L671" s="4">
        <v>-70.099999999999994</v>
      </c>
      <c r="P671" s="4" t="s">
        <v>50</v>
      </c>
      <c r="Q671" s="11">
        <f>+AVERAGEIFS(I:I,D:D,P671)</f>
        <v>7.7857142857142865</v>
      </c>
      <c r="R671" s="13">
        <f>+I671/Q671-1</f>
        <v>-0.73027522935779821</v>
      </c>
    </row>
    <row r="672" spans="1:18" hidden="1" x14ac:dyDescent="0.25">
      <c r="A672">
        <v>1910</v>
      </c>
      <c r="B672" t="s">
        <v>76</v>
      </c>
      <c r="C672" t="s">
        <v>371</v>
      </c>
      <c r="D672" t="s">
        <v>397</v>
      </c>
      <c r="E672" t="s">
        <v>398</v>
      </c>
      <c r="F672">
        <v>139.5</v>
      </c>
      <c r="G672">
        <v>5</v>
      </c>
      <c r="H672">
        <v>0</v>
      </c>
      <c r="I672" s="12">
        <f>+F672/G672</f>
        <v>27.9</v>
      </c>
      <c r="J672">
        <v>26.89</v>
      </c>
      <c r="K672">
        <v>9</v>
      </c>
      <c r="L672">
        <v>3.7</v>
      </c>
      <c r="P672" t="s">
        <v>397</v>
      </c>
      <c r="Q672" s="11">
        <f>+AVERAGEIFS(I:I,D:D,P672)</f>
        <v>26.008934904601567</v>
      </c>
      <c r="R672" s="13">
        <f>+I672/Q672-1</f>
        <v>7.2708286684352474E-2</v>
      </c>
    </row>
    <row r="673" spans="1:18" hidden="1" x14ac:dyDescent="0.25">
      <c r="A673" s="2">
        <v>2310</v>
      </c>
      <c r="B673" s="2" t="s">
        <v>212</v>
      </c>
      <c r="C673" s="2" t="s">
        <v>237</v>
      </c>
      <c r="D673" s="2" t="s">
        <v>50</v>
      </c>
      <c r="E673" s="2" t="s">
        <v>51</v>
      </c>
      <c r="F673" s="2">
        <v>9.8000000000000007</v>
      </c>
      <c r="G673" s="2">
        <v>1</v>
      </c>
      <c r="H673" s="2">
        <v>0</v>
      </c>
      <c r="I673" s="15">
        <f>+F673/G673</f>
        <v>9.8000000000000007</v>
      </c>
      <c r="J673" s="2">
        <v>7.2</v>
      </c>
      <c r="K673" s="2">
        <v>2</v>
      </c>
      <c r="L673" s="2">
        <v>36.1</v>
      </c>
      <c r="P673" s="2" t="s">
        <v>50</v>
      </c>
      <c r="Q673" s="11">
        <f>+AVERAGEIFS(I:I,D:D,P673)</f>
        <v>7.7857142857142865</v>
      </c>
      <c r="R673" s="13">
        <f>+I673/Q673-1</f>
        <v>0.25871559633027519</v>
      </c>
    </row>
    <row r="674" spans="1:18" hidden="1" x14ac:dyDescent="0.25">
      <c r="A674" s="2">
        <v>2379</v>
      </c>
      <c r="B674" s="2" t="s">
        <v>240</v>
      </c>
      <c r="C674" s="2" t="s">
        <v>237</v>
      </c>
      <c r="D674" s="2" t="s">
        <v>50</v>
      </c>
      <c r="E674" s="2" t="s">
        <v>51</v>
      </c>
      <c r="F674" s="2">
        <v>4.5999999999999996</v>
      </c>
      <c r="G674" s="2">
        <v>1</v>
      </c>
      <c r="H674" s="2">
        <v>0</v>
      </c>
      <c r="I674" s="15">
        <f>+F674/G674</f>
        <v>4.5999999999999996</v>
      </c>
      <c r="J674" s="2">
        <v>7.2</v>
      </c>
      <c r="K674" s="2">
        <v>2</v>
      </c>
      <c r="L674" s="2">
        <v>-36.1</v>
      </c>
      <c r="P674" s="2" t="s">
        <v>50</v>
      </c>
      <c r="Q674" s="11">
        <f>+AVERAGEIFS(I:I,D:D,P674)</f>
        <v>7.7857142857142865</v>
      </c>
      <c r="R674" s="13">
        <f>+I674/Q674-1</f>
        <v>-0.40917431192660558</v>
      </c>
    </row>
    <row r="675" spans="1:18" hidden="1" x14ac:dyDescent="0.25">
      <c r="A675">
        <v>1915</v>
      </c>
      <c r="B675" t="s">
        <v>215</v>
      </c>
      <c r="C675" t="s">
        <v>371</v>
      </c>
      <c r="D675" t="s">
        <v>397</v>
      </c>
      <c r="E675" t="s">
        <v>398</v>
      </c>
      <c r="F675">
        <v>313.64999999999998</v>
      </c>
      <c r="G675">
        <v>11</v>
      </c>
      <c r="H675">
        <v>0</v>
      </c>
      <c r="I675" s="12">
        <f>+F675/G675</f>
        <v>28.513636363636362</v>
      </c>
      <c r="J675">
        <v>26.89</v>
      </c>
      <c r="K675">
        <v>9</v>
      </c>
      <c r="L675">
        <v>6</v>
      </c>
      <c r="P675" t="s">
        <v>397</v>
      </c>
      <c r="Q675" s="11">
        <f>+AVERAGEIFS(I:I,D:D,P675)</f>
        <v>26.008934904601567</v>
      </c>
      <c r="R675" s="13">
        <f>+I675/Q675-1</f>
        <v>9.6301577447204689E-2</v>
      </c>
    </row>
    <row r="676" spans="1:18" hidden="1" x14ac:dyDescent="0.25">
      <c r="A676">
        <v>1886</v>
      </c>
      <c r="B676" t="s">
        <v>80</v>
      </c>
      <c r="C676" t="s">
        <v>371</v>
      </c>
      <c r="D676" t="s">
        <v>382</v>
      </c>
      <c r="E676" t="s">
        <v>383</v>
      </c>
      <c r="F676">
        <v>7</v>
      </c>
      <c r="G676">
        <v>4</v>
      </c>
      <c r="H676">
        <v>0</v>
      </c>
      <c r="I676" s="15">
        <f>+F676/G676</f>
        <v>1.75</v>
      </c>
      <c r="J676">
        <v>1.97</v>
      </c>
      <c r="K676">
        <v>9</v>
      </c>
      <c r="L676">
        <v>-11.3</v>
      </c>
      <c r="P676" s="5" t="s">
        <v>382</v>
      </c>
      <c r="Q676" s="11">
        <f>+AVERAGEIFS(I:I,D:D,P676)</f>
        <v>1.9944444444444445</v>
      </c>
      <c r="R676" s="13">
        <f>+I676/Q676-1</f>
        <v>-0.12256267409470756</v>
      </c>
    </row>
    <row r="677" spans="1:18" hidden="1" x14ac:dyDescent="0.25">
      <c r="A677" s="3">
        <v>1928</v>
      </c>
      <c r="B677" s="3" t="s">
        <v>77</v>
      </c>
      <c r="C677" s="3" t="s">
        <v>371</v>
      </c>
      <c r="D677" s="3" t="s">
        <v>391</v>
      </c>
      <c r="E677" s="3" t="s">
        <v>392</v>
      </c>
      <c r="F677" s="3">
        <v>6.9</v>
      </c>
      <c r="G677" s="3">
        <v>3</v>
      </c>
      <c r="H677" s="3">
        <v>0</v>
      </c>
      <c r="I677" s="15">
        <f>+F677/G677</f>
        <v>2.3000000000000003</v>
      </c>
      <c r="J677" s="3">
        <v>1.99</v>
      </c>
      <c r="K677" s="3">
        <v>8</v>
      </c>
      <c r="L677" s="3">
        <v>15.3</v>
      </c>
      <c r="P677" s="3" t="s">
        <v>391</v>
      </c>
      <c r="Q677" s="11">
        <f>+AVERAGEIFS(I:I,D:D,P677)</f>
        <v>2.013095238095238</v>
      </c>
      <c r="R677" s="13">
        <f>+I677/Q677-1</f>
        <v>0.14251921939680678</v>
      </c>
    </row>
    <row r="678" spans="1:18" hidden="1" x14ac:dyDescent="0.25">
      <c r="A678">
        <v>1894</v>
      </c>
      <c r="B678" t="s">
        <v>71</v>
      </c>
      <c r="C678" t="s">
        <v>371</v>
      </c>
      <c r="D678" t="s">
        <v>397</v>
      </c>
      <c r="E678" t="s">
        <v>398</v>
      </c>
      <c r="F678">
        <v>128.61000000000001</v>
      </c>
      <c r="G678">
        <v>5</v>
      </c>
      <c r="H678">
        <v>0</v>
      </c>
      <c r="I678" s="12">
        <f>+F678/G678</f>
        <v>25.722000000000001</v>
      </c>
      <c r="J678">
        <v>26.89</v>
      </c>
      <c r="K678">
        <v>9</v>
      </c>
      <c r="L678">
        <v>-4.4000000000000004</v>
      </c>
      <c r="P678" t="s">
        <v>397</v>
      </c>
      <c r="Q678" s="11">
        <f>+AVERAGEIFS(I:I,D:D,P678)</f>
        <v>26.008934904601567</v>
      </c>
      <c r="R678" s="13">
        <f>+I678/Q678-1</f>
        <v>-1.1032166663264675E-2</v>
      </c>
    </row>
    <row r="679" spans="1:18" hidden="1" x14ac:dyDescent="0.25">
      <c r="A679">
        <v>1903</v>
      </c>
      <c r="B679" t="s">
        <v>95</v>
      </c>
      <c r="C679" t="s">
        <v>371</v>
      </c>
      <c r="D679" t="s">
        <v>397</v>
      </c>
      <c r="E679" t="s">
        <v>398</v>
      </c>
      <c r="F679">
        <v>112.56</v>
      </c>
      <c r="G679">
        <v>4</v>
      </c>
      <c r="H679">
        <v>0</v>
      </c>
      <c r="I679" s="12">
        <f>+F679/G679</f>
        <v>28.14</v>
      </c>
      <c r="J679">
        <v>26.89</v>
      </c>
      <c r="K679">
        <v>9</v>
      </c>
      <c r="L679">
        <v>4.5999999999999996</v>
      </c>
      <c r="P679" t="s">
        <v>397</v>
      </c>
      <c r="Q679" s="11">
        <f>+AVERAGEIFS(I:I,D:D,P679)</f>
        <v>26.008934904601567</v>
      </c>
      <c r="R679" s="13">
        <f>+I679/Q679-1</f>
        <v>8.1935884849379192E-2</v>
      </c>
    </row>
    <row r="680" spans="1:18" hidden="1" x14ac:dyDescent="0.25">
      <c r="A680">
        <v>1890</v>
      </c>
      <c r="B680" t="s">
        <v>81</v>
      </c>
      <c r="C680" t="s">
        <v>371</v>
      </c>
      <c r="D680" t="s">
        <v>376</v>
      </c>
      <c r="E680" t="s">
        <v>377</v>
      </c>
      <c r="F680">
        <v>4.2</v>
      </c>
      <c r="G680">
        <v>2</v>
      </c>
      <c r="H680">
        <v>0</v>
      </c>
      <c r="I680" s="15">
        <f>+F680/G680</f>
        <v>2.1</v>
      </c>
      <c r="J680">
        <v>1.85</v>
      </c>
      <c r="K680">
        <v>4</v>
      </c>
      <c r="L680">
        <v>13.7</v>
      </c>
      <c r="P680" t="s">
        <v>376</v>
      </c>
      <c r="Q680" s="11">
        <f>+AVERAGEIFS(I:I,D:D,P680)</f>
        <v>1.85</v>
      </c>
      <c r="R680" s="13">
        <f>+I680/Q680-1</f>
        <v>0.13513513513513509</v>
      </c>
    </row>
    <row r="681" spans="1:18" hidden="1" x14ac:dyDescent="0.25">
      <c r="A681">
        <v>1925</v>
      </c>
      <c r="B681" t="s">
        <v>77</v>
      </c>
      <c r="C681" t="s">
        <v>371</v>
      </c>
      <c r="D681" t="s">
        <v>399</v>
      </c>
      <c r="E681" t="s">
        <v>400</v>
      </c>
      <c r="F681">
        <v>382</v>
      </c>
      <c r="G681">
        <v>12</v>
      </c>
      <c r="H681">
        <v>0</v>
      </c>
      <c r="I681" s="12">
        <f>+F681/G681</f>
        <v>31.833333333333332</v>
      </c>
      <c r="J681">
        <v>29.95</v>
      </c>
      <c r="K681">
        <v>8</v>
      </c>
      <c r="L681">
        <v>6.3</v>
      </c>
      <c r="P681" t="s">
        <v>399</v>
      </c>
      <c r="Q681" s="11">
        <f>+AVERAGEIFS(I:I,D:D,P681)</f>
        <v>29.774708333333333</v>
      </c>
      <c r="R681" s="13">
        <f>+I681/Q681-1</f>
        <v>6.9140055947931156E-2</v>
      </c>
    </row>
    <row r="682" spans="1:18" hidden="1" x14ac:dyDescent="0.25">
      <c r="A682" s="6">
        <v>1896</v>
      </c>
      <c r="B682" s="6" t="s">
        <v>71</v>
      </c>
      <c r="C682" s="6" t="s">
        <v>371</v>
      </c>
      <c r="D682" s="6" t="s">
        <v>376</v>
      </c>
      <c r="E682" s="6" t="s">
        <v>377</v>
      </c>
      <c r="F682" s="6">
        <v>4.2</v>
      </c>
      <c r="G682" s="6">
        <v>3</v>
      </c>
      <c r="H682" s="6">
        <v>0</v>
      </c>
      <c r="I682" s="15">
        <f>+F682/G682</f>
        <v>1.4000000000000001</v>
      </c>
      <c r="J682" s="3">
        <v>1.85</v>
      </c>
      <c r="K682" s="3">
        <v>4</v>
      </c>
      <c r="L682" s="3">
        <v>-24.2</v>
      </c>
      <c r="M682" t="s">
        <v>407</v>
      </c>
      <c r="P682" s="6" t="s">
        <v>376</v>
      </c>
      <c r="Q682" s="11">
        <f>+AVERAGEIFS(I:I,D:D,P682)</f>
        <v>1.85</v>
      </c>
      <c r="R682" s="13">
        <f>+I682/Q682-1</f>
        <v>-0.2432432432432432</v>
      </c>
    </row>
    <row r="683" spans="1:18" hidden="1" x14ac:dyDescent="0.25">
      <c r="A683">
        <v>1913</v>
      </c>
      <c r="B683" t="s">
        <v>215</v>
      </c>
      <c r="C683" t="s">
        <v>371</v>
      </c>
      <c r="D683" t="s">
        <v>399</v>
      </c>
      <c r="E683" t="s">
        <v>400</v>
      </c>
      <c r="F683">
        <v>295.85000000000002</v>
      </c>
      <c r="G683">
        <v>10</v>
      </c>
      <c r="H683">
        <v>0</v>
      </c>
      <c r="I683" s="12">
        <f>+F683/G683</f>
        <v>29.585000000000001</v>
      </c>
      <c r="J683">
        <v>29.95</v>
      </c>
      <c r="K683">
        <v>8</v>
      </c>
      <c r="L683">
        <v>-1.2</v>
      </c>
      <c r="P683" t="s">
        <v>399</v>
      </c>
      <c r="Q683" s="11">
        <f>+AVERAGEIFS(I:I,D:D,P683)</f>
        <v>29.774708333333333</v>
      </c>
      <c r="R683" s="13">
        <f>+I683/Q683-1</f>
        <v>-6.3714589983389081E-3</v>
      </c>
    </row>
    <row r="684" spans="1:18" hidden="1" x14ac:dyDescent="0.25">
      <c r="A684">
        <v>1935</v>
      </c>
      <c r="B684" t="s">
        <v>47</v>
      </c>
      <c r="C684" t="s">
        <v>371</v>
      </c>
      <c r="D684" t="s">
        <v>399</v>
      </c>
      <c r="E684" t="s">
        <v>400</v>
      </c>
      <c r="F684">
        <v>126.2</v>
      </c>
      <c r="G684">
        <v>4</v>
      </c>
      <c r="H684">
        <v>0</v>
      </c>
      <c r="I684" s="12">
        <f>+F684/G684</f>
        <v>31.55</v>
      </c>
      <c r="J684">
        <v>29.95</v>
      </c>
      <c r="K684">
        <v>8</v>
      </c>
      <c r="L684">
        <v>5.3</v>
      </c>
      <c r="P684" t="s">
        <v>399</v>
      </c>
      <c r="Q684" s="11">
        <f>+AVERAGEIFS(I:I,D:D,P684)</f>
        <v>29.774708333333333</v>
      </c>
      <c r="R684" s="13">
        <f>+I684/Q684-1</f>
        <v>5.9624149690802986E-2</v>
      </c>
    </row>
    <row r="685" spans="1:18" hidden="1" x14ac:dyDescent="0.25">
      <c r="A685">
        <v>1892</v>
      </c>
      <c r="B685" t="s">
        <v>71</v>
      </c>
      <c r="C685" t="s">
        <v>371</v>
      </c>
      <c r="D685" t="s">
        <v>399</v>
      </c>
      <c r="E685" t="s">
        <v>400</v>
      </c>
      <c r="F685">
        <v>120.68</v>
      </c>
      <c r="G685">
        <v>4</v>
      </c>
      <c r="H685">
        <v>0</v>
      </c>
      <c r="I685" s="12">
        <f>+F685/G685</f>
        <v>30.17</v>
      </c>
      <c r="J685">
        <v>29.95</v>
      </c>
      <c r="K685">
        <v>8</v>
      </c>
      <c r="L685">
        <v>0.7</v>
      </c>
      <c r="P685" t="s">
        <v>399</v>
      </c>
      <c r="Q685" s="11">
        <f>+AVERAGEIFS(I:I,D:D,P685)</f>
        <v>29.774708333333333</v>
      </c>
      <c r="R685" s="13">
        <f>+I685/Q685-1</f>
        <v>1.3276088626672955E-2</v>
      </c>
    </row>
    <row r="686" spans="1:18" hidden="1" x14ac:dyDescent="0.25">
      <c r="A686">
        <v>1897</v>
      </c>
      <c r="B686" t="s">
        <v>71</v>
      </c>
      <c r="C686" t="s">
        <v>371</v>
      </c>
      <c r="D686" t="s">
        <v>378</v>
      </c>
      <c r="E686" t="s">
        <v>379</v>
      </c>
      <c r="F686">
        <v>6.86</v>
      </c>
      <c r="G686">
        <v>4</v>
      </c>
      <c r="H686">
        <v>0</v>
      </c>
      <c r="I686" s="15">
        <f>+F686/G686</f>
        <v>1.7150000000000001</v>
      </c>
      <c r="J686">
        <v>1.92</v>
      </c>
      <c r="K686">
        <v>11</v>
      </c>
      <c r="L686">
        <v>-10.5</v>
      </c>
      <c r="P686" t="s">
        <v>378</v>
      </c>
      <c r="Q686" s="11">
        <f>+AVERAGEIFS(I:I,D:D,P686)</f>
        <v>1.9692424242424245</v>
      </c>
      <c r="R686" s="13">
        <f>+I686/Q686-1</f>
        <v>-0.12910671693467723</v>
      </c>
    </row>
    <row r="687" spans="1:18" hidden="1" x14ac:dyDescent="0.25">
      <c r="A687">
        <v>1907</v>
      </c>
      <c r="B687" t="s">
        <v>95</v>
      </c>
      <c r="C687" t="s">
        <v>371</v>
      </c>
      <c r="D687" t="s">
        <v>378</v>
      </c>
      <c r="E687" t="s">
        <v>379</v>
      </c>
      <c r="F687">
        <v>8.3000000000000007</v>
      </c>
      <c r="G687">
        <v>5</v>
      </c>
      <c r="H687">
        <v>0</v>
      </c>
      <c r="I687" s="15">
        <f>+F687/G687</f>
        <v>1.6600000000000001</v>
      </c>
      <c r="J687">
        <v>1.92</v>
      </c>
      <c r="K687">
        <v>11</v>
      </c>
      <c r="L687">
        <v>-13.4</v>
      </c>
      <c r="P687" t="s">
        <v>378</v>
      </c>
      <c r="Q687" s="11">
        <f>+AVERAGEIFS(I:I,D:D,P687)</f>
        <v>1.9692424242424245</v>
      </c>
      <c r="R687" s="13">
        <f>+I687/Q687-1</f>
        <v>-0.1570362391321074</v>
      </c>
    </row>
    <row r="688" spans="1:18" hidden="1" x14ac:dyDescent="0.25">
      <c r="A688">
        <v>1950</v>
      </c>
      <c r="B688" t="s">
        <v>36</v>
      </c>
      <c r="C688" t="s">
        <v>371</v>
      </c>
      <c r="D688" t="s">
        <v>399</v>
      </c>
      <c r="E688" t="s">
        <v>400</v>
      </c>
      <c r="F688">
        <v>158.9</v>
      </c>
      <c r="G688">
        <v>5</v>
      </c>
      <c r="H688">
        <v>0</v>
      </c>
      <c r="I688" s="12">
        <f>+F688/G688</f>
        <v>31.78</v>
      </c>
      <c r="J688">
        <v>29.95</v>
      </c>
      <c r="K688">
        <v>8</v>
      </c>
      <c r="L688">
        <v>6.1</v>
      </c>
      <c r="P688" t="s">
        <v>399</v>
      </c>
      <c r="Q688" s="11">
        <f>+AVERAGEIFS(I:I,D:D,P688)</f>
        <v>29.774708333333333</v>
      </c>
      <c r="R688" s="13">
        <f>+I688/Q688-1</f>
        <v>6.7348826534824768E-2</v>
      </c>
    </row>
    <row r="689" spans="1:18" hidden="1" x14ac:dyDescent="0.25">
      <c r="A689">
        <v>1877</v>
      </c>
      <c r="B689" t="s">
        <v>218</v>
      </c>
      <c r="C689" t="s">
        <v>371</v>
      </c>
      <c r="D689" t="s">
        <v>401</v>
      </c>
      <c r="E689" t="s">
        <v>402</v>
      </c>
      <c r="F689">
        <v>75.400000000000006</v>
      </c>
      <c r="G689">
        <v>3</v>
      </c>
      <c r="H689">
        <v>0</v>
      </c>
      <c r="I689" s="12">
        <f>+F689/G689</f>
        <v>25.133333333333336</v>
      </c>
      <c r="J689">
        <v>26.94</v>
      </c>
      <c r="K689">
        <v>3</v>
      </c>
      <c r="L689">
        <v>-6.7</v>
      </c>
      <c r="P689" t="s">
        <v>401</v>
      </c>
      <c r="Q689" s="11">
        <f>+AVERAGEIFS(I:I,D:D,P689)</f>
        <v>27.244444444444444</v>
      </c>
      <c r="R689" s="13">
        <f>+I689/Q689-1</f>
        <v>-7.7487765089722549E-2</v>
      </c>
    </row>
    <row r="690" spans="1:18" hidden="1" x14ac:dyDescent="0.25">
      <c r="A690" s="3">
        <v>1874</v>
      </c>
      <c r="B690" s="3" t="s">
        <v>16</v>
      </c>
      <c r="C690" s="3" t="s">
        <v>371</v>
      </c>
      <c r="D690" s="3" t="s">
        <v>380</v>
      </c>
      <c r="E690" s="3" t="s">
        <v>381</v>
      </c>
      <c r="F690" s="3">
        <v>4.5999999999999996</v>
      </c>
      <c r="G690" s="3">
        <v>2</v>
      </c>
      <c r="H690" s="3">
        <v>0</v>
      </c>
      <c r="I690" s="15">
        <f>+F690/G690</f>
        <v>2.2999999999999998</v>
      </c>
      <c r="J690" s="3">
        <v>1.89</v>
      </c>
      <c r="K690" s="3">
        <v>10</v>
      </c>
      <c r="L690" s="3">
        <v>21.6</v>
      </c>
      <c r="P690" s="3" t="s">
        <v>380</v>
      </c>
      <c r="Q690" s="11">
        <f>+AVERAGEIFS(I:I,D:D,P690)</f>
        <v>1.8965000000000003</v>
      </c>
      <c r="R690" s="13">
        <f>+I690/Q690-1</f>
        <v>0.21276034800949084</v>
      </c>
    </row>
    <row r="691" spans="1:18" hidden="1" x14ac:dyDescent="0.25">
      <c r="A691" s="4">
        <v>1887</v>
      </c>
      <c r="B691" s="4" t="s">
        <v>80</v>
      </c>
      <c r="C691" s="4" t="s">
        <v>371</v>
      </c>
      <c r="D691" s="4" t="s">
        <v>380</v>
      </c>
      <c r="E691" s="4" t="s">
        <v>381</v>
      </c>
      <c r="F691" s="4">
        <v>2.5299999999999998</v>
      </c>
      <c r="G691" s="4">
        <v>2</v>
      </c>
      <c r="H691" s="4">
        <v>0</v>
      </c>
      <c r="I691" s="15">
        <f>+F691/G691</f>
        <v>1.2649999999999999</v>
      </c>
      <c r="J691" s="2">
        <v>1.89</v>
      </c>
      <c r="K691" s="2">
        <v>10</v>
      </c>
      <c r="L691" s="2">
        <v>-33.1</v>
      </c>
      <c r="M691" t="s">
        <v>407</v>
      </c>
      <c r="P691" s="4" t="s">
        <v>380</v>
      </c>
      <c r="Q691" s="11">
        <f>+AVERAGEIFS(I:I,D:D,P691)</f>
        <v>1.8965000000000003</v>
      </c>
      <c r="R691" s="13">
        <f>+I691/Q691-1</f>
        <v>-0.33298180859477999</v>
      </c>
    </row>
    <row r="692" spans="1:18" hidden="1" x14ac:dyDescent="0.25">
      <c r="A692">
        <v>1880</v>
      </c>
      <c r="B692" t="s">
        <v>218</v>
      </c>
      <c r="C692" t="s">
        <v>371</v>
      </c>
      <c r="D692" t="s">
        <v>403</v>
      </c>
      <c r="E692" t="s">
        <v>404</v>
      </c>
      <c r="F692">
        <v>2.1800000000000002</v>
      </c>
      <c r="G692">
        <v>1</v>
      </c>
      <c r="H692">
        <v>0</v>
      </c>
      <c r="I692" s="12">
        <f>+F692/G692</f>
        <v>2.1800000000000002</v>
      </c>
      <c r="J692">
        <v>2.1800000000000002</v>
      </c>
      <c r="K692">
        <v>1</v>
      </c>
      <c r="L692">
        <v>0</v>
      </c>
      <c r="P692" t="s">
        <v>403</v>
      </c>
      <c r="Q692" s="11">
        <f>+AVERAGEIFS(I:I,D:D,P692)</f>
        <v>2.1800000000000002</v>
      </c>
      <c r="R692" s="13">
        <f>+I692/Q692-1</f>
        <v>0</v>
      </c>
    </row>
    <row r="693" spans="1:18" hidden="1" x14ac:dyDescent="0.25">
      <c r="A693" s="6">
        <v>1949</v>
      </c>
      <c r="B693" s="6" t="s">
        <v>35</v>
      </c>
      <c r="C693" s="6" t="s">
        <v>371</v>
      </c>
      <c r="D693" s="6" t="s">
        <v>380</v>
      </c>
      <c r="E693" s="6" t="s">
        <v>381</v>
      </c>
      <c r="F693" s="6">
        <v>3.2</v>
      </c>
      <c r="G693" s="6">
        <v>2</v>
      </c>
      <c r="H693" s="6">
        <v>0</v>
      </c>
      <c r="I693" s="15">
        <f>+F693/G693</f>
        <v>1.6</v>
      </c>
      <c r="J693" s="3">
        <v>1.89</v>
      </c>
      <c r="K693" s="3">
        <v>10</v>
      </c>
      <c r="L693" s="3">
        <v>-15.4</v>
      </c>
      <c r="M693" t="s">
        <v>407</v>
      </c>
      <c r="P693" s="6" t="s">
        <v>380</v>
      </c>
      <c r="Q693" s="11">
        <f>+AVERAGEIFS(I:I,D:D,P693)</f>
        <v>1.8965000000000003</v>
      </c>
      <c r="R693" s="13">
        <f>+I693/Q693-1</f>
        <v>-0.15634062747165844</v>
      </c>
    </row>
    <row r="694" spans="1:18" hidden="1" x14ac:dyDescent="0.25">
      <c r="A694" s="3">
        <v>2168</v>
      </c>
      <c r="B694" s="3" t="s">
        <v>332</v>
      </c>
      <c r="C694" s="3" t="s">
        <v>324</v>
      </c>
      <c r="D694" s="3" t="s">
        <v>330</v>
      </c>
      <c r="E694" s="3" t="s">
        <v>331</v>
      </c>
      <c r="F694" s="3">
        <v>2.4</v>
      </c>
      <c r="G694" s="3">
        <v>1</v>
      </c>
      <c r="H694" s="3">
        <v>0</v>
      </c>
      <c r="I694" s="15">
        <f>+F694/G694</f>
        <v>2.4</v>
      </c>
      <c r="J694" s="3">
        <v>1.96</v>
      </c>
      <c r="K694" s="3">
        <v>7</v>
      </c>
      <c r="L694" s="3">
        <v>22.4</v>
      </c>
      <c r="P694" s="3" t="s">
        <v>330</v>
      </c>
      <c r="Q694" s="11">
        <f>+AVERAGEIFS(I:I,D:D,P694)</f>
        <v>1.9928571428571431</v>
      </c>
      <c r="R694" s="13">
        <f>+I694/Q694-1</f>
        <v>0.20430107526881702</v>
      </c>
    </row>
    <row r="695" spans="1:18" hidden="1" x14ac:dyDescent="0.25">
      <c r="A695" s="6">
        <v>2128</v>
      </c>
      <c r="B695" s="6" t="s">
        <v>19</v>
      </c>
      <c r="C695" s="6" t="s">
        <v>324</v>
      </c>
      <c r="D695" s="6" t="s">
        <v>330</v>
      </c>
      <c r="E695" s="6" t="s">
        <v>331</v>
      </c>
      <c r="F695" s="6">
        <v>3.1</v>
      </c>
      <c r="G695" s="6">
        <v>2</v>
      </c>
      <c r="H695" s="6">
        <v>0</v>
      </c>
      <c r="I695" s="15">
        <f>+F695/G695</f>
        <v>1.55</v>
      </c>
      <c r="J695" s="3">
        <v>1.96</v>
      </c>
      <c r="K695" s="3">
        <v>7</v>
      </c>
      <c r="L695" s="3">
        <v>-21</v>
      </c>
      <c r="P695" s="6" t="s">
        <v>330</v>
      </c>
      <c r="Q695" s="11">
        <f>+AVERAGEIFS(I:I,D:D,P695)</f>
        <v>1.9928571428571431</v>
      </c>
      <c r="R695" s="13">
        <f>+I695/Q695-1</f>
        <v>-0.22222222222222232</v>
      </c>
    </row>
    <row r="696" spans="1:18" hidden="1" x14ac:dyDescent="0.25">
      <c r="A696" s="3">
        <v>1947</v>
      </c>
      <c r="B696" s="3" t="s">
        <v>35</v>
      </c>
      <c r="C696" s="3" t="s">
        <v>371</v>
      </c>
      <c r="D696" s="3" t="s">
        <v>363</v>
      </c>
      <c r="E696" s="3" t="s">
        <v>364</v>
      </c>
      <c r="F696" s="3">
        <v>2.8</v>
      </c>
      <c r="G696" s="3">
        <v>1</v>
      </c>
      <c r="H696" s="3">
        <v>0</v>
      </c>
      <c r="I696" s="12">
        <f>+F696/G696</f>
        <v>2.8</v>
      </c>
      <c r="J696" s="3">
        <v>2.2599999999999998</v>
      </c>
      <c r="K696" s="3">
        <v>4</v>
      </c>
      <c r="L696" s="3">
        <v>24.1</v>
      </c>
      <c r="P696" s="3" t="s">
        <v>363</v>
      </c>
      <c r="Q696" s="11">
        <f>+AVERAGEIFS(I:I,D:D,P696)</f>
        <v>2.8766666666666669</v>
      </c>
      <c r="R696" s="13">
        <f>+I696/Q696-1</f>
        <v>-2.6651216685979251E-2</v>
      </c>
    </row>
    <row r="697" spans="1:18" hidden="1" x14ac:dyDescent="0.25">
      <c r="A697" s="6">
        <v>2124</v>
      </c>
      <c r="B697" s="6" t="s">
        <v>19</v>
      </c>
      <c r="C697" s="6" t="s">
        <v>324</v>
      </c>
      <c r="D697" s="6" t="s">
        <v>357</v>
      </c>
      <c r="E697" s="6" t="s">
        <v>358</v>
      </c>
      <c r="F697" s="6">
        <v>21.47</v>
      </c>
      <c r="G697" s="6">
        <v>1</v>
      </c>
      <c r="H697" s="6">
        <v>0</v>
      </c>
      <c r="I697" s="15">
        <f>+F697/G697</f>
        <v>21.47</v>
      </c>
      <c r="J697" s="3">
        <v>27.13</v>
      </c>
      <c r="K697" s="3">
        <v>7</v>
      </c>
      <c r="L697" s="3">
        <v>-20.9</v>
      </c>
      <c r="P697" s="6" t="s">
        <v>357</v>
      </c>
      <c r="Q697" s="11">
        <f>+AVERAGEIFS(I:I,D:D,P697)</f>
        <v>26.824285714285711</v>
      </c>
      <c r="R697" s="13">
        <f>+I697/Q697-1</f>
        <v>-0.19960590083612928</v>
      </c>
    </row>
    <row r="698" spans="1:18" hidden="1" x14ac:dyDescent="0.25">
      <c r="A698" s="3">
        <v>2151</v>
      </c>
      <c r="B698" s="3" t="s">
        <v>328</v>
      </c>
      <c r="C698" s="3" t="s">
        <v>324</v>
      </c>
      <c r="D698" s="3" t="s">
        <v>349</v>
      </c>
      <c r="E698" s="3" t="s">
        <v>350</v>
      </c>
      <c r="F698" s="3">
        <v>33.4</v>
      </c>
      <c r="G698" s="3">
        <v>1</v>
      </c>
      <c r="H698" s="3">
        <v>0</v>
      </c>
      <c r="I698" s="15">
        <f>+F698/G698</f>
        <v>33.4</v>
      </c>
      <c r="J698" s="3">
        <v>27.8</v>
      </c>
      <c r="K698" s="3">
        <v>4</v>
      </c>
      <c r="L698" s="3">
        <v>20.100000000000001</v>
      </c>
      <c r="P698" s="3" t="s">
        <v>349</v>
      </c>
      <c r="Q698" s="11">
        <f>+AVERAGEIFS(I:I,D:D,P698)</f>
        <v>27.804999999999996</v>
      </c>
      <c r="R698" s="13">
        <f>+I698/Q698-1</f>
        <v>0.20122280165437889</v>
      </c>
    </row>
    <row r="699" spans="1:18" hidden="1" x14ac:dyDescent="0.25">
      <c r="A699" s="4">
        <v>2126</v>
      </c>
      <c r="B699" s="4" t="s">
        <v>19</v>
      </c>
      <c r="C699" s="4" t="s">
        <v>324</v>
      </c>
      <c r="D699" s="4" t="s">
        <v>349</v>
      </c>
      <c r="E699" s="4" t="s">
        <v>350</v>
      </c>
      <c r="F699" s="4">
        <v>20.02</v>
      </c>
      <c r="G699" s="4">
        <v>1</v>
      </c>
      <c r="H699" s="4">
        <v>0</v>
      </c>
      <c r="I699" s="15">
        <f>+F699/G699</f>
        <v>20.02</v>
      </c>
      <c r="J699" s="2">
        <v>27.8</v>
      </c>
      <c r="K699" s="2">
        <v>4</v>
      </c>
      <c r="L699" s="2">
        <v>-28</v>
      </c>
      <c r="P699" s="4" t="s">
        <v>349</v>
      </c>
      <c r="Q699" s="11">
        <f>+AVERAGEIFS(I:I,D:D,P699)</f>
        <v>27.804999999999996</v>
      </c>
      <c r="R699" s="13">
        <f>+I699/Q699-1</f>
        <v>-0.27998561409818368</v>
      </c>
    </row>
    <row r="700" spans="1:18" hidden="1" x14ac:dyDescent="0.25">
      <c r="A700" s="3">
        <v>2196</v>
      </c>
      <c r="B700" s="3" t="s">
        <v>327</v>
      </c>
      <c r="C700" s="3" t="s">
        <v>324</v>
      </c>
      <c r="D700" s="3" t="s">
        <v>369</v>
      </c>
      <c r="E700" s="3" t="s">
        <v>370</v>
      </c>
      <c r="F700" s="3">
        <v>59.6</v>
      </c>
      <c r="G700" s="3">
        <v>2</v>
      </c>
      <c r="H700" s="3">
        <v>0</v>
      </c>
      <c r="I700" s="15">
        <f>+F700/G700</f>
        <v>29.8</v>
      </c>
      <c r="J700" s="3">
        <v>24.02</v>
      </c>
      <c r="K700" s="3">
        <v>4</v>
      </c>
      <c r="L700" s="3">
        <v>24.1</v>
      </c>
      <c r="P700" s="3" t="s">
        <v>369</v>
      </c>
      <c r="Q700" s="11">
        <f>+AVERAGEIFS(I:I,D:D,P700)</f>
        <v>22.575000000000003</v>
      </c>
      <c r="R700" s="13">
        <f>+I700/Q700-1</f>
        <v>0.32004429678848267</v>
      </c>
    </row>
    <row r="701" spans="1:18" hidden="1" x14ac:dyDescent="0.25">
      <c r="A701">
        <v>1962</v>
      </c>
      <c r="B701" t="s">
        <v>213</v>
      </c>
      <c r="C701" t="s">
        <v>371</v>
      </c>
      <c r="D701" t="s">
        <v>405</v>
      </c>
      <c r="E701" t="s">
        <v>406</v>
      </c>
      <c r="F701">
        <v>2</v>
      </c>
      <c r="G701">
        <v>1</v>
      </c>
      <c r="H701">
        <v>0</v>
      </c>
      <c r="I701" s="12">
        <f>+F701/G701</f>
        <v>2</v>
      </c>
      <c r="J701">
        <v>2</v>
      </c>
      <c r="K701">
        <v>1</v>
      </c>
      <c r="L701">
        <v>0</v>
      </c>
      <c r="P701" t="s">
        <v>405</v>
      </c>
      <c r="Q701" s="11">
        <f>+AVERAGEIFS(I:I,D:D,P701)</f>
        <v>2</v>
      </c>
      <c r="R701" s="13">
        <f>+I701/Q701-1</f>
        <v>0</v>
      </c>
    </row>
    <row r="702" spans="1:18" hidden="1" x14ac:dyDescent="0.25">
      <c r="A702">
        <v>1909</v>
      </c>
      <c r="B702" t="s">
        <v>76</v>
      </c>
      <c r="C702" t="s">
        <v>371</v>
      </c>
      <c r="D702" t="s">
        <v>367</v>
      </c>
      <c r="E702" t="s">
        <v>368</v>
      </c>
      <c r="F702">
        <v>27.5</v>
      </c>
      <c r="G702">
        <v>1</v>
      </c>
      <c r="H702">
        <v>0</v>
      </c>
      <c r="I702" s="12">
        <f>+F702/G702</f>
        <v>27.5</v>
      </c>
      <c r="J702">
        <v>29.83</v>
      </c>
      <c r="K702">
        <v>11</v>
      </c>
      <c r="L702">
        <v>-7.8</v>
      </c>
      <c r="P702" t="s">
        <v>367</v>
      </c>
      <c r="Q702" s="11">
        <f>+AVERAGEIFS(I:I,D:D,P702)</f>
        <v>28.224653769841268</v>
      </c>
      <c r="R702" s="13">
        <f>+I702/Q702-1</f>
        <v>-2.5674496337509622E-2</v>
      </c>
    </row>
    <row r="703" spans="1:18" hidden="1" x14ac:dyDescent="0.25">
      <c r="A703" s="4">
        <v>2226</v>
      </c>
      <c r="B703" s="4" t="s">
        <v>82</v>
      </c>
      <c r="C703" s="4" t="s">
        <v>324</v>
      </c>
      <c r="D703" s="4" t="s">
        <v>369</v>
      </c>
      <c r="E703" s="4" t="s">
        <v>370</v>
      </c>
      <c r="F703" s="4">
        <v>14.9</v>
      </c>
      <c r="G703" s="4">
        <v>1</v>
      </c>
      <c r="H703" s="4">
        <v>0</v>
      </c>
      <c r="I703" s="15">
        <f>+F703/G703</f>
        <v>14.9</v>
      </c>
      <c r="J703" s="2">
        <v>24.02</v>
      </c>
      <c r="K703" s="2">
        <v>4</v>
      </c>
      <c r="L703" s="2">
        <v>-38</v>
      </c>
      <c r="P703" s="4" t="s">
        <v>369</v>
      </c>
      <c r="Q703" s="11">
        <f>+AVERAGEIFS(I:I,D:D,P703)</f>
        <v>22.575000000000003</v>
      </c>
      <c r="R703" s="13">
        <f>+I703/Q703-1</f>
        <v>-0.33997785160575866</v>
      </c>
    </row>
    <row r="704" spans="1:18" hidden="1" x14ac:dyDescent="0.25">
      <c r="A704" s="2">
        <v>2192</v>
      </c>
      <c r="B704" s="2" t="s">
        <v>327</v>
      </c>
      <c r="C704" s="2" t="s">
        <v>324</v>
      </c>
      <c r="D704" s="2" t="s">
        <v>355</v>
      </c>
      <c r="E704" s="2" t="s">
        <v>356</v>
      </c>
      <c r="F704" s="2">
        <v>30.9</v>
      </c>
      <c r="G704" s="2">
        <v>1</v>
      </c>
      <c r="H704" s="2">
        <v>0</v>
      </c>
      <c r="I704" s="15">
        <f>+F704/G704</f>
        <v>30.9</v>
      </c>
      <c r="J704" s="2">
        <v>6.05</v>
      </c>
      <c r="K704" s="2">
        <v>5</v>
      </c>
      <c r="L704" s="2">
        <v>410.5</v>
      </c>
      <c r="P704" s="2" t="s">
        <v>355</v>
      </c>
      <c r="Q704" s="11">
        <f>+AVERAGEIFS(I:I,D:D,P704)</f>
        <v>23.419999999999998</v>
      </c>
      <c r="R704" s="13">
        <f>+I704/Q704-1</f>
        <v>0.31938514090520931</v>
      </c>
    </row>
    <row r="705" spans="1:18" hidden="1" x14ac:dyDescent="0.25">
      <c r="A705" s="2">
        <v>2208</v>
      </c>
      <c r="B705" s="2" t="s">
        <v>69</v>
      </c>
      <c r="C705" s="2" t="s">
        <v>324</v>
      </c>
      <c r="D705" s="2" t="s">
        <v>355</v>
      </c>
      <c r="E705" s="2" t="s">
        <v>356</v>
      </c>
      <c r="F705" s="2">
        <v>56.6</v>
      </c>
      <c r="G705" s="2">
        <v>2</v>
      </c>
      <c r="H705" s="2">
        <v>0</v>
      </c>
      <c r="I705" s="15">
        <f>+F705/G705</f>
        <v>28.3</v>
      </c>
      <c r="J705" s="2">
        <v>6.05</v>
      </c>
      <c r="K705" s="2">
        <v>5</v>
      </c>
      <c r="L705" s="2">
        <v>367.5</v>
      </c>
      <c r="P705" s="2" t="s">
        <v>355</v>
      </c>
      <c r="Q705" s="11">
        <f>+AVERAGEIFS(I:I,D:D,P705)</f>
        <v>23.419999999999998</v>
      </c>
      <c r="R705" s="13">
        <f>+I705/Q705-1</f>
        <v>0.20836891545687464</v>
      </c>
    </row>
    <row r="706" spans="1:18" hidden="1" x14ac:dyDescent="0.25">
      <c r="A706" s="4">
        <v>2125</v>
      </c>
      <c r="B706" s="4" t="s">
        <v>19</v>
      </c>
      <c r="C706" s="4" t="s">
        <v>324</v>
      </c>
      <c r="D706" s="4" t="s">
        <v>355</v>
      </c>
      <c r="E706" s="4" t="s">
        <v>356</v>
      </c>
      <c r="F706" s="4">
        <v>28</v>
      </c>
      <c r="G706" s="4">
        <v>28</v>
      </c>
      <c r="H706" s="4">
        <v>0</v>
      </c>
      <c r="I706" s="15">
        <f>+F706/G706</f>
        <v>1</v>
      </c>
      <c r="J706" s="2">
        <v>6.05</v>
      </c>
      <c r="K706" s="2">
        <v>5</v>
      </c>
      <c r="L706" s="2">
        <v>-83.5</v>
      </c>
      <c r="M706" t="s">
        <v>407</v>
      </c>
      <c r="P706" s="4" t="s">
        <v>355</v>
      </c>
      <c r="Q706" s="11">
        <f>+AVERAGEIFS(I:I,D:D,P706)</f>
        <v>23.419999999999998</v>
      </c>
      <c r="R706" s="13">
        <f>+I706/Q706-1</f>
        <v>-0.95730145175064052</v>
      </c>
    </row>
    <row r="707" spans="1:18" hidden="1" x14ac:dyDescent="0.25">
      <c r="A707">
        <v>1875</v>
      </c>
      <c r="B707" t="s">
        <v>218</v>
      </c>
      <c r="C707" t="s">
        <v>371</v>
      </c>
      <c r="D707" t="s">
        <v>367</v>
      </c>
      <c r="E707" t="s">
        <v>368</v>
      </c>
      <c r="F707">
        <v>60.6</v>
      </c>
      <c r="G707">
        <v>2</v>
      </c>
      <c r="H707">
        <v>0</v>
      </c>
      <c r="I707" s="12">
        <f>+F707/G707</f>
        <v>30.3</v>
      </c>
      <c r="J707">
        <v>29.83</v>
      </c>
      <c r="K707">
        <v>11</v>
      </c>
      <c r="L707">
        <v>1.6</v>
      </c>
      <c r="P707" t="s">
        <v>367</v>
      </c>
      <c r="Q707" s="11">
        <f>+AVERAGEIFS(I:I,D:D,P707)</f>
        <v>28.224653769841268</v>
      </c>
      <c r="R707" s="13">
        <f>+I707/Q707-1</f>
        <v>7.3529554944489428E-2</v>
      </c>
    </row>
    <row r="708" spans="1:18" hidden="1" x14ac:dyDescent="0.25">
      <c r="A708">
        <v>1885</v>
      </c>
      <c r="B708" t="s">
        <v>80</v>
      </c>
      <c r="C708" t="s">
        <v>371</v>
      </c>
      <c r="D708" t="s">
        <v>367</v>
      </c>
      <c r="E708" t="s">
        <v>368</v>
      </c>
      <c r="F708">
        <v>61.4</v>
      </c>
      <c r="G708">
        <v>2</v>
      </c>
      <c r="H708">
        <v>0</v>
      </c>
      <c r="I708" s="12">
        <f>+F708/G708</f>
        <v>30.7</v>
      </c>
      <c r="J708">
        <v>29.83</v>
      </c>
      <c r="K708">
        <v>11</v>
      </c>
      <c r="L708">
        <v>2.9</v>
      </c>
      <c r="P708" t="s">
        <v>367</v>
      </c>
      <c r="Q708" s="11">
        <f>+AVERAGEIFS(I:I,D:D,P708)</f>
        <v>28.224653769841268</v>
      </c>
      <c r="R708" s="13">
        <f>+I708/Q708-1</f>
        <v>8.7701562270489086E-2</v>
      </c>
    </row>
    <row r="709" spans="1:18" hidden="1" x14ac:dyDescent="0.25">
      <c r="A709">
        <v>1893</v>
      </c>
      <c r="B709" t="s">
        <v>71</v>
      </c>
      <c r="C709" t="s">
        <v>371</v>
      </c>
      <c r="D709" t="s">
        <v>367</v>
      </c>
      <c r="E709" t="s">
        <v>368</v>
      </c>
      <c r="F709">
        <v>116.54</v>
      </c>
      <c r="G709">
        <v>4</v>
      </c>
      <c r="H709">
        <v>0</v>
      </c>
      <c r="I709" s="12">
        <f>+F709/G709</f>
        <v>29.135000000000002</v>
      </c>
      <c r="J709">
        <v>29.83</v>
      </c>
      <c r="K709">
        <v>11</v>
      </c>
      <c r="L709">
        <v>-2.2999999999999998</v>
      </c>
      <c r="P709" t="s">
        <v>367</v>
      </c>
      <c r="Q709" s="11">
        <f>+AVERAGEIFS(I:I,D:D,P709)</f>
        <v>28.224653769841268</v>
      </c>
      <c r="R709" s="13">
        <f>+I709/Q709-1</f>
        <v>3.2253583607514846E-2</v>
      </c>
    </row>
    <row r="710" spans="1:18" hidden="1" x14ac:dyDescent="0.25">
      <c r="A710" s="2">
        <v>2244</v>
      </c>
      <c r="B710" s="2" t="s">
        <v>36</v>
      </c>
      <c r="C710" s="2" t="s">
        <v>324</v>
      </c>
      <c r="D710" s="2" t="s">
        <v>355</v>
      </c>
      <c r="E710" s="2" t="s">
        <v>356</v>
      </c>
      <c r="F710" s="2">
        <v>66.8</v>
      </c>
      <c r="G710" s="2">
        <v>2</v>
      </c>
      <c r="H710" s="2">
        <v>0</v>
      </c>
      <c r="I710" s="15">
        <f>+F710/G710</f>
        <v>33.4</v>
      </c>
      <c r="J710" s="2">
        <v>6.05</v>
      </c>
      <c r="K710" s="2">
        <v>5</v>
      </c>
      <c r="L710" s="2">
        <v>451.8</v>
      </c>
      <c r="P710" s="2" t="s">
        <v>355</v>
      </c>
      <c r="Q710" s="11">
        <f>+AVERAGEIFS(I:I,D:D,P710)</f>
        <v>23.419999999999998</v>
      </c>
      <c r="R710" s="13">
        <f>+I710/Q710-1</f>
        <v>0.42613151152860818</v>
      </c>
    </row>
    <row r="711" spans="1:18" hidden="1" x14ac:dyDescent="0.25">
      <c r="A711">
        <v>1902</v>
      </c>
      <c r="B711" t="s">
        <v>95</v>
      </c>
      <c r="C711" t="s">
        <v>371</v>
      </c>
      <c r="D711" t="s">
        <v>367</v>
      </c>
      <c r="E711" t="s">
        <v>368</v>
      </c>
      <c r="F711">
        <v>106.87</v>
      </c>
      <c r="G711">
        <v>4</v>
      </c>
      <c r="H711">
        <v>0</v>
      </c>
      <c r="I711" s="12">
        <f t="shared" ref="I707:I712" si="0">+F711/G711</f>
        <v>26.717500000000001</v>
      </c>
      <c r="J711">
        <v>29.83</v>
      </c>
      <c r="K711">
        <v>11</v>
      </c>
      <c r="L711">
        <v>-10.4</v>
      </c>
      <c r="P711" t="s">
        <v>367</v>
      </c>
      <c r="Q711" s="11">
        <f t="shared" ref="Q707:Q712" si="1">+AVERAGEIFS(I:I,D:D,P711)</f>
        <v>28.224653769841268</v>
      </c>
      <c r="R711" s="13">
        <f t="shared" ref="R707:R712" si="2">+I711/Q711-1</f>
        <v>-5.3398485668996853E-2</v>
      </c>
    </row>
    <row r="712" spans="1:18" hidden="1" x14ac:dyDescent="0.25">
      <c r="A712">
        <v>1951</v>
      </c>
      <c r="B712" t="s">
        <v>36</v>
      </c>
      <c r="C712" t="s">
        <v>371</v>
      </c>
      <c r="D712" t="s">
        <v>367</v>
      </c>
      <c r="E712" t="s">
        <v>368</v>
      </c>
      <c r="F712">
        <v>29.7</v>
      </c>
      <c r="G712">
        <v>1</v>
      </c>
      <c r="H712">
        <v>0</v>
      </c>
      <c r="I712" s="12">
        <f t="shared" si="0"/>
        <v>29.7</v>
      </c>
      <c r="J712">
        <v>29.83</v>
      </c>
      <c r="K712">
        <v>11</v>
      </c>
      <c r="L712">
        <v>-0.4</v>
      </c>
      <c r="P712" t="s">
        <v>367</v>
      </c>
      <c r="Q712" s="11">
        <f t="shared" si="1"/>
        <v>28.224653769841268</v>
      </c>
      <c r="R712" s="13">
        <f t="shared" si="2"/>
        <v>5.2271543955489497E-2</v>
      </c>
    </row>
    <row r="713" spans="1:18" x14ac:dyDescent="0.25">
      <c r="P713" s="16"/>
    </row>
  </sheetData>
  <autoFilter ref="A1:R712" xr:uid="{00000000-0001-0000-0000-000000000000}">
    <filterColumn colId="2">
      <filters>
        <filter val="German"/>
      </filters>
    </filterColumn>
    <filterColumn colId="3">
      <filters>
        <filter val="A10"/>
        <filter val="A4"/>
        <filter val="A7"/>
        <filter val="B11"/>
        <filter val="B13"/>
        <filter val="B9"/>
        <filter val="C10"/>
        <filter val="C15"/>
        <filter val="C16"/>
        <filter val="C5"/>
        <filter val="C6"/>
        <filter val="C8"/>
        <filter val="D1"/>
        <filter val="D14"/>
        <filter val="D9"/>
        <filter val="E10"/>
        <filter val="E2"/>
        <filter val="E4"/>
        <filter val="E8"/>
        <filter val="FC3"/>
        <filter val="Fleje32"/>
        <filter val="LLF1"/>
        <filter val="LLF4"/>
        <filter val="LLF7B"/>
        <filter val="LLF8"/>
        <filter val="M1"/>
        <filter val="M6"/>
        <filter val="M8"/>
        <filter val="PA10"/>
        <filter val="PA10B"/>
        <filter val="PA12"/>
        <filter val="PA13"/>
        <filter val="PA18"/>
        <filter val="PA19"/>
        <filter val="PA8A"/>
        <filter val="PA8B"/>
        <filter val="PA9"/>
        <filter val="PB1"/>
        <filter val="PC10"/>
        <filter val="PC11"/>
        <filter val="PC14"/>
        <filter val="PC2B"/>
        <filter val="PEP1"/>
        <filter val="PEP3"/>
        <filter val="PEP7"/>
        <filter val="PV5"/>
        <filter val="V3"/>
        <filter val="V5"/>
        <filter val="V7"/>
        <filter val="V9"/>
        <filter val="W1P"/>
        <filter val="W2P"/>
        <filter val="W3P"/>
        <filter val="W4"/>
        <filter val="W6"/>
        <filter val="W9P"/>
        <filter val="Z29"/>
        <filter val="Z30"/>
        <filter val="Z41"/>
        <filter val="Z42"/>
      </filters>
    </filterColumn>
    <filterColumn colId="17">
      <filters>
        <filter val="-11%"/>
        <filter val="-12%"/>
        <filter val="-13%"/>
        <filter val="-14%"/>
        <filter val="-15%"/>
        <filter val="-16%"/>
        <filter val="-17%"/>
        <filter val="-18%"/>
        <filter val="-19%"/>
        <filter val="-20%"/>
        <filter val="-21%"/>
        <filter val="-22%"/>
        <filter val="-23%"/>
        <filter val="-24%"/>
        <filter val="-25%"/>
        <filter val="-26%"/>
        <filter val="-27%"/>
        <filter val="-28%"/>
        <filter val="-29%"/>
        <filter val="-31%"/>
        <filter val="-32%"/>
        <filter val="-33%"/>
        <filter val="-34%"/>
        <filter val="-35%"/>
        <filter val="-36%"/>
        <filter val="-38%"/>
        <filter val="-41%"/>
        <filter val="-44%"/>
        <filter val="-46%"/>
        <filter val="-48%"/>
        <filter val="-49%"/>
        <filter val="-50%"/>
        <filter val="-51%"/>
        <filter val="-52%"/>
        <filter val="-54%"/>
        <filter val="-55%"/>
        <filter val="-59%"/>
        <filter val="-64%"/>
        <filter val="-66%"/>
        <filter val="-72%"/>
        <filter val="-73%"/>
        <filter val="-74%"/>
        <filter val="-82%"/>
        <filter val="-86%"/>
        <filter val="-87%"/>
        <filter val="-90%"/>
        <filter val="-91%"/>
        <filter val="-96%"/>
      </filters>
    </filterColumn>
    <sortState xmlns:xlrd2="http://schemas.microsoft.com/office/spreadsheetml/2017/richdata2" ref="A2:R671">
      <sortCondition ref="B1:B71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Logistica Loeke</cp:lastModifiedBy>
  <dcterms:created xsi:type="dcterms:W3CDTF">2026-05-04T13:59:37Z</dcterms:created>
  <dcterms:modified xsi:type="dcterms:W3CDTF">2026-05-04T16:20:26Z</dcterms:modified>
</cp:coreProperties>
</file>