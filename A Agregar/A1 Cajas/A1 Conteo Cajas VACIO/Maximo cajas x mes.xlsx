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1 Cajas\A Conteo Cajas VACIO\"/>
    </mc:Choice>
  </mc:AlternateContent>
  <xr:revisionPtr revIDLastSave="0" documentId="13_ncr:1_{853169B6-13B7-4E52-AC11-F2E64E38BDDF}" xr6:coauthVersionLast="47" xr6:coauthVersionMax="47" xr10:uidLastSave="{00000000-0000-0000-0000-000000000000}"/>
  <bookViews>
    <workbookView xWindow="23929" yWindow="-113" windowWidth="24267" windowHeight="13023" activeTab="1" xr2:uid="{376C3950-0AD5-4022-B3F2-6788E23747E6}"/>
  </bookViews>
  <sheets>
    <sheet name="MAX x mes" sheetId="1" r:id="rId1"/>
    <sheet name="CARTE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F26" i="2" s="1"/>
  <c r="E24" i="2"/>
  <c r="F24" i="2" s="1"/>
  <c r="E22" i="2"/>
  <c r="F22" i="2" s="1"/>
  <c r="E20" i="2"/>
  <c r="F20" i="2" s="1"/>
  <c r="E18" i="2"/>
  <c r="F18" i="2" s="1"/>
  <c r="E16" i="2"/>
  <c r="F16" i="2" s="1"/>
  <c r="E14" i="2"/>
  <c r="F14" i="2" s="1"/>
  <c r="E12" i="2"/>
  <c r="F12" i="2" s="1"/>
  <c r="E10" i="2"/>
  <c r="F10" i="2" s="1"/>
  <c r="E8" i="2"/>
  <c r="F8" i="2" s="1"/>
  <c r="E6" i="2"/>
  <c r="F6" i="2" s="1"/>
  <c r="E4" i="2"/>
  <c r="F4" i="2" s="1"/>
  <c r="E2" i="2"/>
  <c r="F2" i="2" s="1"/>
  <c r="E4" i="1" l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A3" authorId="0" shapeId="0" xr:uid="{852C46DD-56A9-4F03-AEBC-20D94FDF64C5}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B2" authorId="0" shapeId="0" xr:uid="{BC453E44-67C9-49C0-AA31-F42912A57A8C}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sharedStrings.xml><?xml version="1.0" encoding="utf-8"?>
<sst xmlns="http://schemas.openxmlformats.org/spreadsheetml/2006/main" count="112" uniqueCount="23">
  <si>
    <t>N° Caja</t>
  </si>
  <si>
    <t>Max 4 Mes Uni</t>
  </si>
  <si>
    <t>Cons E/Madre Cajas x Mes</t>
  </si>
  <si>
    <t>Paq x Mes</t>
  </si>
  <si>
    <t>Consumo Paq. x 4 Mes</t>
  </si>
  <si>
    <t>Paq. Entra en Cervantes</t>
  </si>
  <si>
    <t>CAJAS</t>
  </si>
  <si>
    <t>Maximo de Paq.  que entra en Cervantes</t>
  </si>
  <si>
    <t>Sector</t>
  </si>
  <si>
    <t>CJ1</t>
  </si>
  <si>
    <t>CJ2</t>
  </si>
  <si>
    <t>CJ6</t>
  </si>
  <si>
    <t>CJ3</t>
  </si>
  <si>
    <t>CJ4</t>
  </si>
  <si>
    <t>CJ5</t>
  </si>
  <si>
    <t>CJ7</t>
  </si>
  <si>
    <t>CJ8</t>
  </si>
  <si>
    <t>CJ9</t>
  </si>
  <si>
    <t>CJ10</t>
  </si>
  <si>
    <t>CJ11</t>
  </si>
  <si>
    <t>CJ12</t>
  </si>
  <si>
    <t>PAQ. MAX FISICO</t>
  </si>
  <si>
    <t>CONSUMO X 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</si>
</sst>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2" fillId="0" borderId="2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1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DF86-AD71-4C33-A503-35B8ACB38744}">
  <dimension ref="A1:F15"/>
  <sheetViews>
    <sheetView workbookViewId="0">
      <selection activeCell="F15" sqref="A2:F15"/>
    </sheetView>
  </sheetViews>
  <sheetFormatPr baseColWidth="10" defaultRowHeight="15.05" x14ac:dyDescent="0.3"/>
  <cols>
    <col min="2" max="4" width="0" hidden="1" customWidth="1"/>
  </cols>
  <sheetData>
    <row r="1" spans="1:6" ht="58.85" customHeight="1" thickBot="1" x14ac:dyDescent="0.35">
      <c r="A1" s="10" t="s">
        <v>6</v>
      </c>
      <c r="B1" s="21">
        <v>46023</v>
      </c>
      <c r="C1" s="21"/>
      <c r="D1" s="11"/>
      <c r="E1" s="22" t="s">
        <v>7</v>
      </c>
      <c r="F1" s="23"/>
    </row>
    <row r="2" spans="1:6" ht="63.9" customHeight="1" x14ac:dyDescent="0.3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5</v>
      </c>
    </row>
    <row r="3" spans="1:6" ht="18.2" x14ac:dyDescent="0.3">
      <c r="A3" s="6">
        <v>1</v>
      </c>
      <c r="B3" s="1">
        <v>10160</v>
      </c>
      <c r="C3" s="3">
        <v>2540</v>
      </c>
      <c r="D3" s="3">
        <f>+C3/25</f>
        <v>101.6</v>
      </c>
      <c r="E3" s="3">
        <f>+D3*4</f>
        <v>406.4</v>
      </c>
      <c r="F3" s="12">
        <v>165</v>
      </c>
    </row>
    <row r="4" spans="1:6" ht="18.2" x14ac:dyDescent="0.3">
      <c r="A4" s="6">
        <v>2</v>
      </c>
      <c r="B4" s="1">
        <v>12723.333333333334</v>
      </c>
      <c r="C4" s="3">
        <v>3180.8333333333335</v>
      </c>
      <c r="D4" s="3">
        <f t="shared" ref="D4:D15" si="0">+C4/25</f>
        <v>127.23333333333333</v>
      </c>
      <c r="E4" s="3">
        <f t="shared" ref="E4:E15" si="1">+D4*4</f>
        <v>508.93333333333334</v>
      </c>
      <c r="F4" s="12">
        <v>280</v>
      </c>
    </row>
    <row r="5" spans="1:6" ht="18.2" x14ac:dyDescent="0.3">
      <c r="A5" s="6">
        <v>6</v>
      </c>
      <c r="B5" s="1">
        <v>748</v>
      </c>
      <c r="C5" s="3">
        <v>187</v>
      </c>
      <c r="D5" s="3">
        <f t="shared" si="0"/>
        <v>7.48</v>
      </c>
      <c r="E5" s="3">
        <f t="shared" si="1"/>
        <v>29.92</v>
      </c>
      <c r="F5" s="12"/>
    </row>
    <row r="6" spans="1:6" ht="18.2" x14ac:dyDescent="0.3">
      <c r="A6" s="6">
        <v>7</v>
      </c>
      <c r="B6" s="1">
        <v>752</v>
      </c>
      <c r="C6" s="3">
        <v>188</v>
      </c>
      <c r="D6" s="3">
        <f t="shared" si="0"/>
        <v>7.52</v>
      </c>
      <c r="E6" s="3">
        <f t="shared" si="1"/>
        <v>30.08</v>
      </c>
      <c r="F6" s="12">
        <v>36</v>
      </c>
    </row>
    <row r="7" spans="1:6" ht="18.2" x14ac:dyDescent="0.3">
      <c r="A7" s="6">
        <v>8</v>
      </c>
      <c r="B7" s="1">
        <v>236</v>
      </c>
      <c r="C7" s="3">
        <v>59</v>
      </c>
      <c r="D7" s="3">
        <f t="shared" si="0"/>
        <v>2.36</v>
      </c>
      <c r="E7" s="3">
        <f t="shared" si="1"/>
        <v>9.44</v>
      </c>
      <c r="F7" s="12"/>
    </row>
    <row r="8" spans="1:6" ht="18.2" x14ac:dyDescent="0.3">
      <c r="A8" s="6">
        <v>10</v>
      </c>
      <c r="B8" s="1">
        <v>2520.666666666667</v>
      </c>
      <c r="C8" s="3">
        <v>630.16666666666674</v>
      </c>
      <c r="D8" s="3">
        <f t="shared" si="0"/>
        <v>25.206666666666671</v>
      </c>
      <c r="E8" s="3">
        <f t="shared" si="1"/>
        <v>100.82666666666668</v>
      </c>
      <c r="F8" s="12">
        <v>60</v>
      </c>
    </row>
    <row r="9" spans="1:6" ht="18.2" x14ac:dyDescent="0.3">
      <c r="A9" s="6">
        <v>12</v>
      </c>
      <c r="B9" s="1">
        <v>6264.0919540229879</v>
      </c>
      <c r="C9" s="3">
        <v>1566.022988505747</v>
      </c>
      <c r="D9" s="3">
        <f t="shared" si="0"/>
        <v>62.640919540229881</v>
      </c>
      <c r="E9" s="3">
        <f t="shared" si="1"/>
        <v>250.56367816091952</v>
      </c>
      <c r="F9" s="12">
        <v>223</v>
      </c>
    </row>
    <row r="10" spans="1:6" ht="18.2" x14ac:dyDescent="0.3">
      <c r="A10" s="6">
        <v>13</v>
      </c>
      <c r="B10" s="1">
        <v>2040</v>
      </c>
      <c r="C10" s="3">
        <v>510</v>
      </c>
      <c r="D10" s="3">
        <f t="shared" si="0"/>
        <v>20.399999999999999</v>
      </c>
      <c r="E10" s="3">
        <f t="shared" si="1"/>
        <v>81.599999999999994</v>
      </c>
      <c r="F10" s="12">
        <v>104</v>
      </c>
    </row>
    <row r="11" spans="1:6" ht="18.2" x14ac:dyDescent="0.3">
      <c r="A11" s="6">
        <v>15</v>
      </c>
      <c r="B11" s="1">
        <v>0</v>
      </c>
      <c r="C11" s="3">
        <v>0</v>
      </c>
      <c r="D11" s="3">
        <f t="shared" si="0"/>
        <v>0</v>
      </c>
      <c r="E11" s="3">
        <f t="shared" si="1"/>
        <v>0</v>
      </c>
      <c r="F11" s="12">
        <v>56</v>
      </c>
    </row>
    <row r="12" spans="1:6" ht="18.2" x14ac:dyDescent="0.3">
      <c r="A12" s="6">
        <v>16</v>
      </c>
      <c r="B12" s="1">
        <v>108</v>
      </c>
      <c r="C12" s="3">
        <v>27</v>
      </c>
      <c r="D12" s="3">
        <f t="shared" si="0"/>
        <v>1.08</v>
      </c>
      <c r="E12" s="3">
        <f t="shared" si="1"/>
        <v>4.32</v>
      </c>
      <c r="F12" s="12">
        <v>100</v>
      </c>
    </row>
    <row r="13" spans="1:6" ht="18.2" x14ac:dyDescent="0.3">
      <c r="A13" s="6">
        <v>22</v>
      </c>
      <c r="B13" s="1">
        <v>22261.333333333336</v>
      </c>
      <c r="C13" s="3">
        <v>5565.3333333333339</v>
      </c>
      <c r="D13" s="3">
        <f t="shared" si="0"/>
        <v>222.61333333333334</v>
      </c>
      <c r="E13" s="3">
        <f t="shared" si="1"/>
        <v>890.45333333333338</v>
      </c>
      <c r="F13" s="12">
        <v>392</v>
      </c>
    </row>
    <row r="14" spans="1:6" ht="18.2" x14ac:dyDescent="0.3">
      <c r="A14" s="6">
        <v>27</v>
      </c>
      <c r="B14" s="1">
        <v>436</v>
      </c>
      <c r="C14" s="3">
        <v>109</v>
      </c>
      <c r="D14" s="3">
        <f t="shared" si="0"/>
        <v>4.3600000000000003</v>
      </c>
      <c r="E14" s="3">
        <f t="shared" si="1"/>
        <v>17.440000000000001</v>
      </c>
      <c r="F14" s="12"/>
    </row>
    <row r="15" spans="1:6" ht="18.8" thickBot="1" x14ac:dyDescent="0.35">
      <c r="A15" s="7">
        <v>29</v>
      </c>
      <c r="B15" s="8">
        <v>24948</v>
      </c>
      <c r="C15" s="9">
        <v>6237</v>
      </c>
      <c r="D15" s="9">
        <f t="shared" si="0"/>
        <v>249.48</v>
      </c>
      <c r="E15" s="9">
        <f t="shared" si="1"/>
        <v>997.92</v>
      </c>
      <c r="F15" s="13">
        <v>420</v>
      </c>
    </row>
  </sheetData>
  <mergeCells count="2">
    <mergeCell ref="B1:C1"/>
    <mergeCell ref="E1:F1"/>
  </mergeCells>
  <conditionalFormatting sqref="A3:A15">
    <cfRule type="duplicateValues" dxfId="1" priority="1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4C8A-5564-43B0-82D9-BAA70B656A91}">
  <dimension ref="A1:G27"/>
  <sheetViews>
    <sheetView tabSelected="1" topLeftCell="A20" zoomScale="115" zoomScaleNormal="115" workbookViewId="0">
      <selection activeCell="A25" sqref="A25:G26"/>
    </sheetView>
  </sheetViews>
  <sheetFormatPr baseColWidth="10" defaultRowHeight="15.05" x14ac:dyDescent="0.3"/>
  <cols>
    <col min="1" max="1" width="11.5546875" style="16"/>
    <col min="3" max="5" width="0" hidden="1" customWidth="1"/>
    <col min="7" max="7" width="15.6640625" bestFit="1" customWidth="1"/>
  </cols>
  <sheetData>
    <row r="1" spans="1:7" ht="40.1" customHeight="1" x14ac:dyDescent="0.3">
      <c r="A1" s="15" t="s">
        <v>8</v>
      </c>
      <c r="B1" s="14" t="s">
        <v>0</v>
      </c>
      <c r="C1" s="14" t="s">
        <v>1</v>
      </c>
      <c r="D1" s="14" t="s">
        <v>2</v>
      </c>
      <c r="E1" s="14" t="s">
        <v>3</v>
      </c>
      <c r="F1" s="20" t="s">
        <v>22</v>
      </c>
      <c r="G1" s="14" t="s">
        <v>21</v>
      </c>
    </row>
    <row r="2" spans="1:7" ht="40.1" customHeight="1" x14ac:dyDescent="0.3">
      <c r="A2" s="17" t="s">
        <v>9</v>
      </c>
      <c r="B2" s="17">
        <v>1</v>
      </c>
      <c r="C2" s="1">
        <v>10160</v>
      </c>
      <c r="D2" s="3">
        <v>2540</v>
      </c>
      <c r="E2" s="3">
        <f>+D2/25</f>
        <v>101.6</v>
      </c>
      <c r="F2" s="3">
        <f>+E2*4</f>
        <v>406.4</v>
      </c>
      <c r="G2" s="18">
        <v>165</v>
      </c>
    </row>
    <row r="3" spans="1:7" ht="40.1" customHeight="1" x14ac:dyDescent="0.3">
      <c r="A3" s="15" t="s">
        <v>8</v>
      </c>
      <c r="B3" s="14" t="s">
        <v>0</v>
      </c>
      <c r="C3" s="14" t="s">
        <v>1</v>
      </c>
      <c r="D3" s="14" t="s">
        <v>2</v>
      </c>
      <c r="E3" s="14" t="s">
        <v>3</v>
      </c>
      <c r="F3" s="20" t="s">
        <v>22</v>
      </c>
      <c r="G3" s="14" t="s">
        <v>21</v>
      </c>
    </row>
    <row r="4" spans="1:7" ht="40.1" customHeight="1" x14ac:dyDescent="0.3">
      <c r="A4" s="17" t="s">
        <v>10</v>
      </c>
      <c r="B4" s="17">
        <v>2</v>
      </c>
      <c r="C4" s="1">
        <v>12723.333333333334</v>
      </c>
      <c r="D4" s="3">
        <v>3180.8333333333335</v>
      </c>
      <c r="E4" s="3">
        <f t="shared" ref="E4:E26" si="0">+D4/25</f>
        <v>127.23333333333333</v>
      </c>
      <c r="F4" s="3">
        <f t="shared" ref="F4:F26" si="1">+E4*4</f>
        <v>508.93333333333334</v>
      </c>
      <c r="G4" s="18">
        <v>280</v>
      </c>
    </row>
    <row r="5" spans="1:7" ht="40.1" customHeight="1" x14ac:dyDescent="0.3">
      <c r="A5" s="15" t="s">
        <v>8</v>
      </c>
      <c r="B5" s="14" t="s">
        <v>0</v>
      </c>
      <c r="C5" s="14" t="s">
        <v>1</v>
      </c>
      <c r="D5" s="14" t="s">
        <v>2</v>
      </c>
      <c r="E5" s="14" t="s">
        <v>3</v>
      </c>
      <c r="F5" s="20" t="s">
        <v>22</v>
      </c>
      <c r="G5" s="14" t="s">
        <v>21</v>
      </c>
    </row>
    <row r="6" spans="1:7" ht="40.1" customHeight="1" x14ac:dyDescent="0.3">
      <c r="A6" s="17" t="s">
        <v>10</v>
      </c>
      <c r="B6" s="17">
        <v>6</v>
      </c>
      <c r="C6" s="1">
        <v>748</v>
      </c>
      <c r="D6" s="3">
        <v>187</v>
      </c>
      <c r="E6" s="3">
        <f t="shared" si="0"/>
        <v>7.48</v>
      </c>
      <c r="F6" s="3">
        <f t="shared" si="1"/>
        <v>29.92</v>
      </c>
      <c r="G6" s="18">
        <v>50</v>
      </c>
    </row>
    <row r="7" spans="1:7" ht="40.1" customHeight="1" x14ac:dyDescent="0.3">
      <c r="A7" s="15" t="s">
        <v>8</v>
      </c>
      <c r="B7" s="14" t="s">
        <v>0</v>
      </c>
      <c r="C7" s="14" t="s">
        <v>1</v>
      </c>
      <c r="D7" s="14" t="s">
        <v>2</v>
      </c>
      <c r="E7" s="14" t="s">
        <v>3</v>
      </c>
      <c r="F7" s="20" t="s">
        <v>22</v>
      </c>
      <c r="G7" s="14" t="s">
        <v>21</v>
      </c>
    </row>
    <row r="8" spans="1:7" ht="40.1" customHeight="1" x14ac:dyDescent="0.3">
      <c r="A8" s="17" t="s">
        <v>12</v>
      </c>
      <c r="B8" s="17">
        <v>7</v>
      </c>
      <c r="C8" s="1">
        <v>752</v>
      </c>
      <c r="D8" s="3">
        <v>188</v>
      </c>
      <c r="E8" s="3">
        <f t="shared" si="0"/>
        <v>7.52</v>
      </c>
      <c r="F8" s="3">
        <f t="shared" si="1"/>
        <v>30.08</v>
      </c>
      <c r="G8" s="18">
        <v>36</v>
      </c>
    </row>
    <row r="9" spans="1:7" ht="40.1" customHeight="1" x14ac:dyDescent="0.3">
      <c r="A9" s="15" t="s">
        <v>8</v>
      </c>
      <c r="B9" s="14" t="s">
        <v>0</v>
      </c>
      <c r="C9" s="14" t="s">
        <v>1</v>
      </c>
      <c r="D9" s="14" t="s">
        <v>2</v>
      </c>
      <c r="E9" s="14" t="s">
        <v>3</v>
      </c>
      <c r="F9" s="20" t="s">
        <v>22</v>
      </c>
      <c r="G9" s="14" t="s">
        <v>21</v>
      </c>
    </row>
    <row r="10" spans="1:7" ht="40.1" customHeight="1" x14ac:dyDescent="0.3">
      <c r="A10" s="17" t="s">
        <v>13</v>
      </c>
      <c r="B10" s="17">
        <v>8</v>
      </c>
      <c r="C10" s="1">
        <v>236</v>
      </c>
      <c r="D10" s="3">
        <v>59</v>
      </c>
      <c r="E10" s="3">
        <f t="shared" si="0"/>
        <v>2.36</v>
      </c>
      <c r="F10" s="3">
        <f t="shared" si="1"/>
        <v>9.44</v>
      </c>
      <c r="G10" s="18">
        <v>20</v>
      </c>
    </row>
    <row r="11" spans="1:7" ht="40.1" customHeight="1" x14ac:dyDescent="0.3">
      <c r="A11" s="15" t="s">
        <v>8</v>
      </c>
      <c r="B11" s="14" t="s">
        <v>0</v>
      </c>
      <c r="C11" s="14" t="s">
        <v>1</v>
      </c>
      <c r="D11" s="14" t="s">
        <v>2</v>
      </c>
      <c r="E11" s="14" t="s">
        <v>3</v>
      </c>
      <c r="F11" s="20" t="s">
        <v>22</v>
      </c>
      <c r="G11" s="14" t="s">
        <v>21</v>
      </c>
    </row>
    <row r="12" spans="1:7" ht="40.1" customHeight="1" x14ac:dyDescent="0.3">
      <c r="A12" s="17" t="s">
        <v>14</v>
      </c>
      <c r="B12" s="17">
        <v>10</v>
      </c>
      <c r="C12" s="1">
        <v>2520.666666666667</v>
      </c>
      <c r="D12" s="3">
        <v>630.16666666666674</v>
      </c>
      <c r="E12" s="3">
        <f t="shared" si="0"/>
        <v>25.206666666666671</v>
      </c>
      <c r="F12" s="3">
        <f t="shared" si="1"/>
        <v>100.82666666666668</v>
      </c>
      <c r="G12" s="18">
        <v>60</v>
      </c>
    </row>
    <row r="13" spans="1:7" ht="40.1" customHeight="1" x14ac:dyDescent="0.3">
      <c r="A13" s="15" t="s">
        <v>8</v>
      </c>
      <c r="B13" s="14" t="s">
        <v>0</v>
      </c>
      <c r="C13" s="14" t="s">
        <v>1</v>
      </c>
      <c r="D13" s="14" t="s">
        <v>2</v>
      </c>
      <c r="E13" s="14" t="s">
        <v>3</v>
      </c>
      <c r="F13" s="20" t="s">
        <v>22</v>
      </c>
      <c r="G13" s="14" t="s">
        <v>21</v>
      </c>
    </row>
    <row r="14" spans="1:7" ht="40.1" customHeight="1" x14ac:dyDescent="0.3">
      <c r="A14" s="17" t="s">
        <v>11</v>
      </c>
      <c r="B14" s="17">
        <v>12</v>
      </c>
      <c r="C14" s="1">
        <v>6264.0919540229879</v>
      </c>
      <c r="D14" s="3">
        <v>1566.022988505747</v>
      </c>
      <c r="E14" s="3">
        <f t="shared" si="0"/>
        <v>62.640919540229881</v>
      </c>
      <c r="F14" s="3">
        <f t="shared" si="1"/>
        <v>250.56367816091952</v>
      </c>
      <c r="G14" s="18">
        <v>220</v>
      </c>
    </row>
    <row r="15" spans="1:7" ht="40.1" customHeight="1" x14ac:dyDescent="0.3">
      <c r="A15" s="15" t="s">
        <v>8</v>
      </c>
      <c r="B15" s="14" t="s">
        <v>0</v>
      </c>
      <c r="C15" s="14" t="s">
        <v>1</v>
      </c>
      <c r="D15" s="14" t="s">
        <v>2</v>
      </c>
      <c r="E15" s="14" t="s">
        <v>3</v>
      </c>
      <c r="F15" s="20" t="s">
        <v>22</v>
      </c>
      <c r="G15" s="14" t="s">
        <v>21</v>
      </c>
    </row>
    <row r="16" spans="1:7" ht="40.1" customHeight="1" x14ac:dyDescent="0.3">
      <c r="A16" s="17" t="s">
        <v>15</v>
      </c>
      <c r="B16" s="17">
        <v>13</v>
      </c>
      <c r="C16" s="1">
        <v>2040</v>
      </c>
      <c r="D16" s="3">
        <v>510</v>
      </c>
      <c r="E16" s="3">
        <f t="shared" si="0"/>
        <v>20.399999999999999</v>
      </c>
      <c r="F16" s="3">
        <f t="shared" si="1"/>
        <v>81.599999999999994</v>
      </c>
      <c r="G16" s="18">
        <v>104</v>
      </c>
    </row>
    <row r="17" spans="1:7" ht="40.1" customHeight="1" x14ac:dyDescent="0.3">
      <c r="A17" s="15" t="s">
        <v>8</v>
      </c>
      <c r="B17" s="14" t="s">
        <v>0</v>
      </c>
      <c r="C17" s="14" t="s">
        <v>1</v>
      </c>
      <c r="D17" s="14" t="s">
        <v>2</v>
      </c>
      <c r="E17" s="14" t="s">
        <v>3</v>
      </c>
      <c r="F17" s="20" t="s">
        <v>22</v>
      </c>
      <c r="G17" s="14" t="s">
        <v>21</v>
      </c>
    </row>
    <row r="18" spans="1:7" ht="40.1" customHeight="1" x14ac:dyDescent="0.3">
      <c r="A18" s="17" t="s">
        <v>16</v>
      </c>
      <c r="B18" s="17">
        <v>15</v>
      </c>
      <c r="C18" s="1">
        <v>0</v>
      </c>
      <c r="D18" s="3">
        <v>0</v>
      </c>
      <c r="E18" s="3">
        <f t="shared" si="0"/>
        <v>0</v>
      </c>
      <c r="F18" s="3">
        <f t="shared" si="1"/>
        <v>0</v>
      </c>
      <c r="G18" s="18">
        <v>56</v>
      </c>
    </row>
    <row r="19" spans="1:7" ht="40.1" customHeight="1" x14ac:dyDescent="0.3">
      <c r="A19" s="15" t="s">
        <v>8</v>
      </c>
      <c r="B19" s="14" t="s">
        <v>0</v>
      </c>
      <c r="C19" s="14" t="s">
        <v>1</v>
      </c>
      <c r="D19" s="14" t="s">
        <v>2</v>
      </c>
      <c r="E19" s="14" t="s">
        <v>3</v>
      </c>
      <c r="F19" s="20" t="s">
        <v>22</v>
      </c>
      <c r="G19" s="14" t="s">
        <v>21</v>
      </c>
    </row>
    <row r="20" spans="1:7" ht="40.1" customHeight="1" x14ac:dyDescent="0.3">
      <c r="A20" s="17" t="s">
        <v>17</v>
      </c>
      <c r="B20" s="17">
        <v>16</v>
      </c>
      <c r="C20" s="1">
        <v>108</v>
      </c>
      <c r="D20" s="3">
        <v>27</v>
      </c>
      <c r="E20" s="3">
        <f t="shared" si="0"/>
        <v>1.08</v>
      </c>
      <c r="F20" s="3">
        <f t="shared" si="1"/>
        <v>4.32</v>
      </c>
      <c r="G20" s="18">
        <v>100</v>
      </c>
    </row>
    <row r="21" spans="1:7" ht="40.1" customHeight="1" x14ac:dyDescent="0.3">
      <c r="A21" s="15" t="s">
        <v>8</v>
      </c>
      <c r="B21" s="14" t="s">
        <v>0</v>
      </c>
      <c r="C21" s="14" t="s">
        <v>1</v>
      </c>
      <c r="D21" s="14" t="s">
        <v>2</v>
      </c>
      <c r="E21" s="14" t="s">
        <v>3</v>
      </c>
      <c r="F21" s="20" t="s">
        <v>22</v>
      </c>
      <c r="G21" s="14" t="s">
        <v>21</v>
      </c>
    </row>
    <row r="22" spans="1:7" ht="40.1" customHeight="1" x14ac:dyDescent="0.3">
      <c r="A22" s="17" t="s">
        <v>18</v>
      </c>
      <c r="B22" s="17">
        <v>22</v>
      </c>
      <c r="C22" s="1">
        <v>22261.333333333336</v>
      </c>
      <c r="D22" s="3">
        <v>5565.3333333333339</v>
      </c>
      <c r="E22" s="3">
        <f t="shared" si="0"/>
        <v>222.61333333333334</v>
      </c>
      <c r="F22" s="3">
        <f t="shared" si="1"/>
        <v>890.45333333333338</v>
      </c>
      <c r="G22" s="18">
        <v>392</v>
      </c>
    </row>
    <row r="23" spans="1:7" ht="40.1" customHeight="1" x14ac:dyDescent="0.3">
      <c r="A23" s="15" t="s">
        <v>8</v>
      </c>
      <c r="B23" s="14" t="s">
        <v>0</v>
      </c>
      <c r="C23" s="14" t="s">
        <v>1</v>
      </c>
      <c r="D23" s="14" t="s">
        <v>2</v>
      </c>
      <c r="E23" s="14" t="s">
        <v>3</v>
      </c>
      <c r="F23" s="20" t="s">
        <v>22</v>
      </c>
      <c r="G23" s="14" t="s">
        <v>21</v>
      </c>
    </row>
    <row r="24" spans="1:7" ht="40.1" customHeight="1" x14ac:dyDescent="0.3">
      <c r="A24" s="17" t="s">
        <v>19</v>
      </c>
      <c r="B24" s="17">
        <v>27</v>
      </c>
      <c r="C24" s="1">
        <v>436</v>
      </c>
      <c r="D24" s="3">
        <v>109</v>
      </c>
      <c r="E24" s="3">
        <f t="shared" si="0"/>
        <v>4.3600000000000003</v>
      </c>
      <c r="F24" s="3">
        <f t="shared" si="1"/>
        <v>17.440000000000001</v>
      </c>
      <c r="G24" s="18">
        <v>40</v>
      </c>
    </row>
    <row r="25" spans="1:7" ht="40.1" customHeight="1" x14ac:dyDescent="0.3">
      <c r="A25" s="15" t="s">
        <v>8</v>
      </c>
      <c r="B25" s="14" t="s">
        <v>0</v>
      </c>
      <c r="C25" s="14" t="s">
        <v>1</v>
      </c>
      <c r="D25" s="14" t="s">
        <v>2</v>
      </c>
      <c r="E25" s="14" t="s">
        <v>3</v>
      </c>
      <c r="F25" s="20" t="s">
        <v>22</v>
      </c>
      <c r="G25" s="14" t="s">
        <v>21</v>
      </c>
    </row>
    <row r="26" spans="1:7" ht="40.1" customHeight="1" x14ac:dyDescent="0.3">
      <c r="A26" s="17" t="s">
        <v>20</v>
      </c>
      <c r="B26" s="17">
        <v>29</v>
      </c>
      <c r="C26" s="1">
        <v>24948</v>
      </c>
      <c r="D26" s="3">
        <v>6237</v>
      </c>
      <c r="E26" s="3">
        <f t="shared" si="0"/>
        <v>249.48</v>
      </c>
      <c r="F26" s="3">
        <f t="shared" si="1"/>
        <v>997.92</v>
      </c>
      <c r="G26" s="18">
        <v>420</v>
      </c>
    </row>
    <row r="27" spans="1:7" ht="47" x14ac:dyDescent="0.85">
      <c r="G27" s="19"/>
    </row>
  </sheetData>
  <phoneticPr fontId="6" type="noConversion"/>
  <conditionalFormatting sqref="B22 B12 B2 B4 B6 B8 B10 B14 B16 B18 B20 B24 B26">
    <cfRule type="duplicateValues" dxfId="0" priority="14"/>
  </conditionalFormatting>
  <pageMargins left="0.23622047244094491" right="0.23622047244094491" top="0.74803149606299213" bottom="0.74803149606299213" header="0.31496062992125984" footer="0.31496062992125984"/>
  <pageSetup scale="210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MAX x mes</vt:lpstr>
      <vt:lpstr>CARTELEs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Loeke</dc:creator>
  <cp:lastModifiedBy>Logistica Loeke</cp:lastModifiedBy>
  <cp:lastPrinted>2026-02-09T16:54:54Z</cp:lastPrinted>
  <dcterms:created xsi:type="dcterms:W3CDTF">2026-02-02T13:31:30Z</dcterms:created>
  <dcterms:modified xsi:type="dcterms:W3CDTF">2026-02-09T20:38:52Z</dcterms:modified>
</cp:coreProperties>
</file>