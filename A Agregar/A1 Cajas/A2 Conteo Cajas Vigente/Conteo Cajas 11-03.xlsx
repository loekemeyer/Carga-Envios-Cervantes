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LOEKE-SVR\Documentos Compartidos\AA  LOGISTICA\A4 Relevamiento INSUMOS Stock y OP\A1 Conteo INSUMOS y OC (Compra)\A1 Cajas\A2 Conteo Cajas Vigente\"/>
    </mc:Choice>
  </mc:AlternateContent>
  <bookViews>
    <workbookView xWindow="-120" yWindow="-120" windowWidth="29040" windowHeight="15840" activeTab="3"/>
  </bookViews>
  <sheets>
    <sheet name="O.C. Corrugadora del Plata" sheetId="10" r:id="rId1"/>
    <sheet name="Envio de Virg a Cerv" sheetId="9" r:id="rId2"/>
    <sheet name="Relevamiento 11-03" sheetId="1" r:id="rId3"/>
    <sheet name="Est Madre LK 10-25" sheetId="2" r:id="rId4"/>
    <sheet name="Est Madre CH 10-25" sheetId="3" r:id="rId5"/>
    <sheet name="Datos x Cja LK" sheetId="4" r:id="rId6"/>
    <sheet name="Datos x Cja CH" sheetId="5" r:id="rId7"/>
    <sheet name="Datos x Cja TN" sheetId="6" r:id="rId8"/>
  </sheets>
  <externalReferences>
    <externalReference r:id="rId9"/>
  </externalReferences>
  <definedNames>
    <definedName name="_xlnm._FilterDatabase" localSheetId="6" hidden="1">'Datos x Cja CH'!$A$18:$E$110</definedName>
    <definedName name="_xlnm._FilterDatabase" localSheetId="5" hidden="1">'Datos x Cja LK'!$A$17:$F$153</definedName>
    <definedName name="_xlnm._FilterDatabase" localSheetId="4" hidden="1">'Est Madre CH 10-25'!$A$5:$E$309</definedName>
    <definedName name="_xlnm._FilterDatabase" localSheetId="3" hidden="1">'Est Madre LK 10-25'!$B$1:$E$241</definedName>
    <definedName name="_xlnm._FilterDatabase" localSheetId="2" hidden="1">'Relevamiento 11-03'!$C$11:$AD$31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5" i="2" l="1"/>
  <c r="H2" i="2" l="1"/>
  <c r="K19" i="1" l="1"/>
  <c r="G29" i="4"/>
  <c r="D40" i="10" a="1"/>
  <c r="D40" i="10" s="1"/>
  <c r="D38" i="10" a="1"/>
  <c r="D38" i="10" s="1"/>
  <c r="D36" i="10" a="1"/>
  <c r="D36" i="10" s="1"/>
  <c r="D34" i="10" a="1"/>
  <c r="D34" i="10" s="1"/>
  <c r="D32" i="10" a="1"/>
  <c r="D32" i="10" s="1"/>
  <c r="D30" i="10" a="1"/>
  <c r="D30" i="10" s="1"/>
  <c r="D28" i="10" a="1"/>
  <c r="D28" i="10" s="1"/>
  <c r="D26" i="10" a="1"/>
  <c r="D26" i="10" s="1"/>
  <c r="D24" i="10" a="1"/>
  <c r="D24" i="10" s="1"/>
  <c r="D22" i="10" a="1"/>
  <c r="D22" i="10" s="1"/>
  <c r="D20" i="10" a="1"/>
  <c r="D20" i="10" s="1"/>
  <c r="D18" i="10" a="1"/>
  <c r="D18" i="10" s="1"/>
  <c r="D16" i="10" a="1"/>
  <c r="D16" i="10" s="1"/>
  <c r="D14" i="10" a="1"/>
  <c r="D14" i="10" s="1"/>
  <c r="E14" i="10" s="1"/>
  <c r="F14" i="10" s="1"/>
  <c r="A40" i="10" a="1"/>
  <c r="A40" i="10" s="1"/>
  <c r="A38" i="10" a="1"/>
  <c r="A38" i="10" s="1"/>
  <c r="A36" i="10" a="1"/>
  <c r="A36" i="10" s="1"/>
  <c r="A34" i="10" a="1"/>
  <c r="A34" i="10" s="1"/>
  <c r="A32" i="10" a="1"/>
  <c r="A32" i="10" s="1"/>
  <c r="A30" i="10" a="1"/>
  <c r="A30" i="10" s="1"/>
  <c r="A28" i="10" a="1"/>
  <c r="A28" i="10" s="1"/>
  <c r="A26" i="10" a="1"/>
  <c r="A26" i="10" s="1"/>
  <c r="A24" i="10" a="1"/>
  <c r="A24" i="10" s="1"/>
  <c r="A22" i="10" a="1"/>
  <c r="A22" i="10" s="1"/>
  <c r="A20" i="10" a="1"/>
  <c r="A20" i="10" s="1"/>
  <c r="A18" i="10" a="1"/>
  <c r="A18" i="10" s="1"/>
  <c r="A16" i="10" a="1"/>
  <c r="A16" i="10" s="1"/>
  <c r="A14" i="10" a="1"/>
  <c r="A14" i="10" s="1"/>
  <c r="C16" i="10" a="1"/>
  <c r="C16" i="10" s="1"/>
  <c r="C18" i="10" a="1"/>
  <c r="C18" i="10" s="1"/>
  <c r="C20" i="10" a="1"/>
  <c r="C20" i="10" s="1"/>
  <c r="C22" i="10" a="1"/>
  <c r="C22" i="10" s="1"/>
  <c r="C24" i="10" a="1"/>
  <c r="C24" i="10" s="1"/>
  <c r="C26" i="10" a="1"/>
  <c r="C26" i="10" s="1"/>
  <c r="C28" i="10" a="1"/>
  <c r="C28" i="10" s="1"/>
  <c r="C30" i="10" a="1"/>
  <c r="C30" i="10" s="1"/>
  <c r="C32" i="10" a="1"/>
  <c r="C32" i="10" s="1"/>
  <c r="C34" i="10" a="1"/>
  <c r="C34" i="10" s="1"/>
  <c r="C36" i="10" a="1"/>
  <c r="C36" i="10" s="1"/>
  <c r="C38" i="10" a="1"/>
  <c r="C38" i="10" s="1"/>
  <c r="C40" i="10" a="1"/>
  <c r="C40" i="10" s="1"/>
  <c r="C14" i="10" a="1"/>
  <c r="C14" i="10" s="1"/>
  <c r="B18" i="10"/>
  <c r="B20" i="10" s="1"/>
  <c r="B16" i="10"/>
  <c r="I6" i="10"/>
  <c r="E30" i="5"/>
  <c r="E28" i="5"/>
  <c r="E27" i="5"/>
  <c r="E31" i="5"/>
  <c r="E29" i="5"/>
  <c r="B12" i="1"/>
  <c r="E3" i="9" s="1"/>
  <c r="X7" i="1"/>
  <c r="K25" i="1"/>
  <c r="K24" i="1"/>
  <c r="K23" i="1"/>
  <c r="K22" i="1"/>
  <c r="K21" i="1"/>
  <c r="K20" i="1"/>
  <c r="K18" i="1"/>
  <c r="K17" i="1"/>
  <c r="K16" i="1"/>
  <c r="K15" i="1"/>
  <c r="K14" i="1"/>
  <c r="K13" i="1"/>
  <c r="K12" i="1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8" i="4"/>
  <c r="E27" i="4"/>
  <c r="E26" i="4"/>
  <c r="E25" i="4"/>
  <c r="E24" i="4"/>
  <c r="E23" i="4"/>
  <c r="E22" i="4"/>
  <c r="E21" i="4"/>
  <c r="E20" i="4"/>
  <c r="E19" i="4"/>
  <c r="E18" i="4"/>
  <c r="G40" i="4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19" i="2"/>
  <c r="H218" i="2"/>
  <c r="H217" i="2"/>
  <c r="H216" i="2"/>
  <c r="H215" i="2"/>
  <c r="H214" i="2"/>
  <c r="H212" i="2"/>
  <c r="H211" i="2"/>
  <c r="H210" i="2"/>
  <c r="H209" i="2"/>
  <c r="H208" i="2"/>
  <c r="H207" i="2"/>
  <c r="H206" i="2"/>
  <c r="H205" i="2"/>
  <c r="H204" i="2"/>
  <c r="H203" i="2"/>
  <c r="H201" i="2"/>
  <c r="H200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15" i="10" l="1"/>
  <c r="E16" i="10" s="1"/>
  <c r="B22" i="10"/>
  <c r="B3" i="9"/>
  <c r="A3" i="9"/>
  <c r="F3" i="9"/>
  <c r="D3" i="9"/>
  <c r="B13" i="1"/>
  <c r="V12" i="1"/>
  <c r="X25" i="1"/>
  <c r="J25" i="1" s="1"/>
  <c r="I25" i="1" s="1"/>
  <c r="V25" i="1"/>
  <c r="H220" i="2"/>
  <c r="H213" i="2"/>
  <c r="H202" i="2"/>
  <c r="H199" i="2"/>
  <c r="H141" i="2"/>
  <c r="H123" i="2"/>
  <c r="H106" i="2"/>
  <c r="H105" i="2"/>
  <c r="H40" i="2"/>
  <c r="H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D14" i="4"/>
  <c r="D9" i="4"/>
  <c r="D10" i="4"/>
  <c r="D11" i="4"/>
  <c r="G37" i="4"/>
  <c r="F15" i="10" l="1"/>
  <c r="F16" i="10" s="1"/>
  <c r="E17" i="10"/>
  <c r="B24" i="10"/>
  <c r="C3" i="9"/>
  <c r="A4" i="9"/>
  <c r="D4" i="9"/>
  <c r="B4" i="9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F4" i="9"/>
  <c r="E4" i="9"/>
  <c r="G36" i="4"/>
  <c r="G35" i="4"/>
  <c r="G46" i="4"/>
  <c r="G131" i="4"/>
  <c r="G28" i="4"/>
  <c r="W25" i="1"/>
  <c r="R25" i="1"/>
  <c r="G34" i="4"/>
  <c r="G41" i="4"/>
  <c r="F17" i="10" l="1"/>
  <c r="B26" i="10"/>
  <c r="E18" i="10"/>
  <c r="F18" i="10" s="1"/>
  <c r="C4" i="9"/>
  <c r="B22" i="9"/>
  <c r="A11" i="9"/>
  <c r="E9" i="9"/>
  <c r="A20" i="9"/>
  <c r="E16" i="9"/>
  <c r="D9" i="9"/>
  <c r="E12" i="9"/>
  <c r="D6" i="9"/>
  <c r="D15" i="9"/>
  <c r="E11" i="9"/>
  <c r="A14" i="9"/>
  <c r="B17" i="9"/>
  <c r="F10" i="9"/>
  <c r="B20" i="9"/>
  <c r="A19" i="9"/>
  <c r="E6" i="9"/>
  <c r="D5" i="9"/>
  <c r="E8" i="9"/>
  <c r="B16" i="9"/>
  <c r="A12" i="9"/>
  <c r="A6" i="9"/>
  <c r="B24" i="9"/>
  <c r="F13" i="9"/>
  <c r="D8" i="9"/>
  <c r="B18" i="9"/>
  <c r="A16" i="9"/>
  <c r="E7" i="9"/>
  <c r="F12" i="9"/>
  <c r="F5" i="9"/>
  <c r="A24" i="9"/>
  <c r="B11" i="9"/>
  <c r="D12" i="9"/>
  <c r="F6" i="9"/>
  <c r="E15" i="9"/>
  <c r="B9" i="9"/>
  <c r="B5" i="9"/>
  <c r="B23" i="9"/>
  <c r="B7" i="9"/>
  <c r="B21" i="9"/>
  <c r="F11" i="9"/>
  <c r="E10" i="9"/>
  <c r="F14" i="9"/>
  <c r="E14" i="9"/>
  <c r="B25" i="9"/>
  <c r="D10" i="9"/>
  <c r="D14" i="9"/>
  <c r="E13" i="9"/>
  <c r="F16" i="9"/>
  <c r="B6" i="9"/>
  <c r="A18" i="9"/>
  <c r="B14" i="9"/>
  <c r="D7" i="9"/>
  <c r="A22" i="9"/>
  <c r="A10" i="9"/>
  <c r="D16" i="9"/>
  <c r="D13" i="9"/>
  <c r="A15" i="9"/>
  <c r="A5" i="9"/>
  <c r="A17" i="9"/>
  <c r="A13" i="9"/>
  <c r="A23" i="9"/>
  <c r="A21" i="9"/>
  <c r="A25" i="9"/>
  <c r="F9" i="9"/>
  <c r="B19" i="9"/>
  <c r="F15" i="9"/>
  <c r="B15" i="9"/>
  <c r="F8" i="9"/>
  <c r="B13" i="9"/>
  <c r="F7" i="9"/>
  <c r="B8" i="9"/>
  <c r="E5" i="9"/>
  <c r="A8" i="9"/>
  <c r="B12" i="9"/>
  <c r="D11" i="9"/>
  <c r="B10" i="9"/>
  <c r="A9" i="9"/>
  <c r="A7" i="9"/>
  <c r="E19" i="10" l="1"/>
  <c r="F19" i="10" s="1"/>
  <c r="B28" i="10"/>
  <c r="C14" i="9"/>
  <c r="C11" i="9"/>
  <c r="C15" i="9"/>
  <c r="C8" i="9"/>
  <c r="C16" i="9"/>
  <c r="C6" i="9"/>
  <c r="C10" i="9"/>
  <c r="C12" i="9"/>
  <c r="C13" i="9"/>
  <c r="C9" i="9"/>
  <c r="C7" i="9"/>
  <c r="C5" i="9"/>
  <c r="G44" i="4"/>
  <c r="G43" i="4"/>
  <c r="G42" i="4"/>
  <c r="G39" i="4"/>
  <c r="G38" i="4"/>
  <c r="G33" i="4"/>
  <c r="G32" i="4"/>
  <c r="G31" i="4"/>
  <c r="G30" i="4"/>
  <c r="G45" i="4"/>
  <c r="B30" i="10" l="1"/>
  <c r="E20" i="10"/>
  <c r="F20" i="10" s="1"/>
  <c r="E77" i="5"/>
  <c r="E76" i="5"/>
  <c r="E21" i="10" l="1"/>
  <c r="F21" i="10" s="1"/>
  <c r="B32" i="10"/>
  <c r="G135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6" i="3"/>
  <c r="B34" i="10" l="1"/>
  <c r="E22" i="10"/>
  <c r="F22" i="10" s="1"/>
  <c r="V20" i="1"/>
  <c r="V21" i="1"/>
  <c r="E23" i="10" l="1"/>
  <c r="F23" i="10" s="1"/>
  <c r="B36" i="10"/>
  <c r="E59" i="5"/>
  <c r="E48" i="5"/>
  <c r="G114" i="4"/>
  <c r="G79" i="4"/>
  <c r="G57" i="4"/>
  <c r="B38" i="10" l="1"/>
  <c r="E24" i="10"/>
  <c r="D14" i="6"/>
  <c r="D13" i="6"/>
  <c r="D12" i="6"/>
  <c r="D11" i="6"/>
  <c r="D10" i="6"/>
  <c r="D9" i="6"/>
  <c r="D8" i="6"/>
  <c r="D7" i="6"/>
  <c r="D6" i="6"/>
  <c r="D5" i="6"/>
  <c r="D4" i="6"/>
  <c r="D3" i="6"/>
  <c r="D2" i="6"/>
  <c r="E54" i="5"/>
  <c r="E50" i="5"/>
  <c r="E49" i="5"/>
  <c r="E98" i="5"/>
  <c r="E95" i="5"/>
  <c r="E58" i="5"/>
  <c r="E110" i="5"/>
  <c r="E109" i="5"/>
  <c r="E108" i="5"/>
  <c r="E107" i="5"/>
  <c r="E106" i="5"/>
  <c r="E104" i="5"/>
  <c r="E103" i="5"/>
  <c r="E102" i="5"/>
  <c r="E40" i="5"/>
  <c r="E105" i="5"/>
  <c r="E101" i="5"/>
  <c r="E100" i="5"/>
  <c r="E99" i="5"/>
  <c r="E97" i="5"/>
  <c r="E96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7" i="5"/>
  <c r="E56" i="5"/>
  <c r="E55" i="5"/>
  <c r="E53" i="5"/>
  <c r="E52" i="5"/>
  <c r="E51" i="5"/>
  <c r="E47" i="5"/>
  <c r="E46" i="5"/>
  <c r="E45" i="5"/>
  <c r="E44" i="5"/>
  <c r="E43" i="5"/>
  <c r="E42" i="5"/>
  <c r="E41" i="5"/>
  <c r="E39" i="5"/>
  <c r="E38" i="5"/>
  <c r="E37" i="5"/>
  <c r="E36" i="5"/>
  <c r="E35" i="5"/>
  <c r="E34" i="5"/>
  <c r="E33" i="5"/>
  <c r="E32" i="5"/>
  <c r="E26" i="5"/>
  <c r="E25" i="5"/>
  <c r="E24" i="5"/>
  <c r="E23" i="5"/>
  <c r="E22" i="5"/>
  <c r="E21" i="5"/>
  <c r="E20" i="5"/>
  <c r="E19" i="5"/>
  <c r="M16" i="5"/>
  <c r="N16" i="5" s="1"/>
  <c r="M14" i="5"/>
  <c r="N14" i="5" s="1"/>
  <c r="D11" i="5"/>
  <c r="M9" i="5"/>
  <c r="N9" i="5" s="1"/>
  <c r="M8" i="5"/>
  <c r="N8" i="5" s="1"/>
  <c r="D7" i="5"/>
  <c r="M6" i="5"/>
  <c r="N6" i="5" s="1"/>
  <c r="M5" i="5"/>
  <c r="N5" i="5" s="1"/>
  <c r="M4" i="5"/>
  <c r="N4" i="5" s="1"/>
  <c r="D4" i="5"/>
  <c r="M3" i="5"/>
  <c r="N3" i="5" s="1"/>
  <c r="M2" i="5"/>
  <c r="N2" i="5" s="1"/>
  <c r="G145" i="4"/>
  <c r="G144" i="4"/>
  <c r="G143" i="4"/>
  <c r="G142" i="4"/>
  <c r="G141" i="4"/>
  <c r="G140" i="4"/>
  <c r="G139" i="4"/>
  <c r="G138" i="4"/>
  <c r="G137" i="4"/>
  <c r="G136" i="4"/>
  <c r="G134" i="4"/>
  <c r="G133" i="4"/>
  <c r="G132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6" i="4"/>
  <c r="G55" i="4"/>
  <c r="G54" i="4"/>
  <c r="G53" i="4"/>
  <c r="G52" i="4"/>
  <c r="G51" i="4"/>
  <c r="G50" i="4"/>
  <c r="G49" i="4"/>
  <c r="G48" i="4"/>
  <c r="G47" i="4"/>
  <c r="D13" i="4"/>
  <c r="G27" i="4"/>
  <c r="G26" i="4"/>
  <c r="G25" i="4"/>
  <c r="G24" i="4"/>
  <c r="G23" i="4"/>
  <c r="G19" i="4"/>
  <c r="G18" i="4"/>
  <c r="V13" i="1"/>
  <c r="V14" i="1"/>
  <c r="V15" i="1"/>
  <c r="V16" i="1"/>
  <c r="V17" i="1"/>
  <c r="V18" i="1"/>
  <c r="V19" i="1"/>
  <c r="V22" i="1"/>
  <c r="V23" i="1"/>
  <c r="V24" i="1"/>
  <c r="AA25" i="1"/>
  <c r="E25" i="10" l="1"/>
  <c r="F24" i="10"/>
  <c r="B40" i="10"/>
  <c r="D15" i="4"/>
  <c r="D8" i="4"/>
  <c r="D5" i="4"/>
  <c r="X15" i="1" s="1"/>
  <c r="J15" i="1" s="1"/>
  <c r="I15" i="1" s="1"/>
  <c r="D2" i="4"/>
  <c r="D7" i="4"/>
  <c r="D6" i="4"/>
  <c r="D3" i="4"/>
  <c r="D12" i="4"/>
  <c r="D4" i="4"/>
  <c r="D16" i="5"/>
  <c r="D13" i="5"/>
  <c r="D15" i="5"/>
  <c r="D12" i="5"/>
  <c r="D8" i="5"/>
  <c r="D5" i="5"/>
  <c r="D10" i="5"/>
  <c r="B42" i="10" l="1"/>
  <c r="F25" i="10"/>
  <c r="E26" i="10"/>
  <c r="D9" i="5"/>
  <c r="X18" i="1" s="1"/>
  <c r="D14" i="5"/>
  <c r="X22" i="1" s="1"/>
  <c r="J22" i="1" s="1"/>
  <c r="I22" i="1" s="1"/>
  <c r="D3" i="5"/>
  <c r="X13" i="1" s="1"/>
  <c r="W13" i="1" s="1"/>
  <c r="D6" i="5"/>
  <c r="X16" i="1" s="1"/>
  <c r="J16" i="1" s="1"/>
  <c r="I16" i="1" s="1"/>
  <c r="D2" i="5"/>
  <c r="X12" i="1" s="1"/>
  <c r="J12" i="1" s="1"/>
  <c r="I12" i="1" s="1"/>
  <c r="X21" i="1"/>
  <c r="J21" i="1" s="1"/>
  <c r="I21" i="1" s="1"/>
  <c r="X20" i="1"/>
  <c r="W20" i="1" s="1"/>
  <c r="X23" i="1"/>
  <c r="W23" i="1" s="1"/>
  <c r="R15" i="1"/>
  <c r="X14" i="1"/>
  <c r="J14" i="1" s="1"/>
  <c r="I14" i="1" s="1"/>
  <c r="X24" i="1"/>
  <c r="J24" i="1" s="1"/>
  <c r="I24" i="1" s="1"/>
  <c r="X17" i="1"/>
  <c r="J17" i="1" s="1"/>
  <c r="I17" i="1" s="1"/>
  <c r="X19" i="1"/>
  <c r="W19" i="1" s="1"/>
  <c r="W15" i="1"/>
  <c r="B44" i="10" l="1"/>
  <c r="A42" i="10" a="1"/>
  <c r="A42" i="10" s="1"/>
  <c r="C42" i="10" a="1"/>
  <c r="C42" i="10" s="1"/>
  <c r="D42" i="10" a="1"/>
  <c r="D42" i="10" s="1"/>
  <c r="F26" i="10"/>
  <c r="E27" i="10"/>
  <c r="R22" i="1"/>
  <c r="R24" i="1"/>
  <c r="W12" i="1"/>
  <c r="W16" i="1"/>
  <c r="R16" i="1"/>
  <c r="J23" i="1"/>
  <c r="I23" i="1" s="1"/>
  <c r="W21" i="1"/>
  <c r="J20" i="1"/>
  <c r="I20" i="1" s="1"/>
  <c r="R17" i="1"/>
  <c r="R21" i="1"/>
  <c r="R14" i="1"/>
  <c r="W14" i="1"/>
  <c r="J19" i="1"/>
  <c r="I19" i="1" s="1"/>
  <c r="W24" i="1"/>
  <c r="J13" i="1"/>
  <c r="I13" i="1" s="1"/>
  <c r="W17" i="1"/>
  <c r="W22" i="1"/>
  <c r="J18" i="1"/>
  <c r="I18" i="1" s="1"/>
  <c r="W18" i="1"/>
  <c r="F27" i="10" l="1"/>
  <c r="E28" i="10"/>
  <c r="A44" i="10" a="1"/>
  <c r="A44" i="10" s="1"/>
  <c r="B46" i="10"/>
  <c r="D44" i="10" a="1"/>
  <c r="D44" i="10" s="1"/>
  <c r="C44" i="10" a="1"/>
  <c r="C44" i="10" s="1"/>
  <c r="R18" i="1"/>
  <c r="R20" i="1"/>
  <c r="R12" i="1"/>
  <c r="R23" i="1"/>
  <c r="R13" i="1"/>
  <c r="R19" i="1"/>
  <c r="E29" i="10" l="1"/>
  <c r="F28" i="10"/>
  <c r="C46" i="10" a="1"/>
  <c r="C46" i="10" s="1"/>
  <c r="B48" i="10"/>
  <c r="A46" i="10" a="1"/>
  <c r="A46" i="10" s="1"/>
  <c r="D46" i="10" a="1"/>
  <c r="D46" i="10" s="1"/>
  <c r="C48" i="10" l="1" a="1"/>
  <c r="C48" i="10" s="1"/>
  <c r="B50" i="10"/>
  <c r="A48" i="10" a="1"/>
  <c r="A48" i="10" s="1"/>
  <c r="D48" i="10" a="1"/>
  <c r="D48" i="10" s="1"/>
  <c r="E30" i="10"/>
  <c r="F29" i="10"/>
  <c r="E31" i="10" l="1"/>
  <c r="F30" i="10"/>
  <c r="D50" i="10" a="1"/>
  <c r="D50" i="10" s="1"/>
  <c r="B52" i="10"/>
  <c r="A50" i="10" a="1"/>
  <c r="A50" i="10" s="1"/>
  <c r="C50" i="10" a="1"/>
  <c r="C50" i="10" s="1"/>
  <c r="A52" i="10" l="1" a="1"/>
  <c r="A52" i="10" s="1"/>
  <c r="D52" i="10" a="1"/>
  <c r="D52" i="10" s="1"/>
  <c r="C52" i="10" a="1"/>
  <c r="C52" i="10" s="1"/>
  <c r="B54" i="10"/>
  <c r="E32" i="10"/>
  <c r="F31" i="10"/>
  <c r="F32" i="10" l="1"/>
  <c r="E33" i="10"/>
  <c r="B56" i="10"/>
  <c r="A54" i="10" a="1"/>
  <c r="A54" i="10" s="1"/>
  <c r="D54" i="10" a="1"/>
  <c r="D54" i="10" s="1"/>
  <c r="C54" i="10" a="1"/>
  <c r="C54" i="10" s="1"/>
  <c r="B58" i="10" l="1"/>
  <c r="D56" i="10" a="1"/>
  <c r="D56" i="10" s="1"/>
  <c r="A56" i="10" a="1"/>
  <c r="A56" i="10" s="1"/>
  <c r="C56" i="10" a="1"/>
  <c r="C56" i="10" s="1"/>
  <c r="E34" i="10"/>
  <c r="F33" i="10"/>
  <c r="E35" i="10" l="1"/>
  <c r="F34" i="10"/>
  <c r="C58" i="10" a="1"/>
  <c r="C58" i="10" s="1"/>
  <c r="B60" i="10"/>
  <c r="A58" i="10" a="1"/>
  <c r="A58" i="10" s="1"/>
  <c r="D58" i="10" a="1"/>
  <c r="D58" i="10" s="1"/>
  <c r="C60" i="10" l="1" a="1"/>
  <c r="C60" i="10" s="1"/>
  <c r="B62" i="10"/>
  <c r="A60" i="10" a="1"/>
  <c r="A60" i="10" s="1"/>
  <c r="D60" i="10" a="1"/>
  <c r="D60" i="10" s="1"/>
  <c r="E36" i="10"/>
  <c r="F35" i="10"/>
  <c r="F36" i="10" l="1"/>
  <c r="E37" i="10"/>
  <c r="D62" i="10" a="1"/>
  <c r="D62" i="10" s="1"/>
  <c r="C62" i="10" a="1"/>
  <c r="C62" i="10" s="1"/>
  <c r="B64" i="10"/>
  <c r="A62" i="10" a="1"/>
  <c r="A62" i="10" s="1"/>
  <c r="F37" i="10" l="1"/>
  <c r="E38" i="10"/>
  <c r="A64" i="10" a="1"/>
  <c r="A64" i="10" s="1"/>
  <c r="D64" i="10" a="1"/>
  <c r="D64" i="10" s="1"/>
  <c r="C64" i="10" a="1"/>
  <c r="C64" i="10" s="1"/>
  <c r="B66" i="10"/>
  <c r="B68" i="10" l="1"/>
  <c r="A66" i="10" a="1"/>
  <c r="A66" i="10" s="1"/>
  <c r="D66" i="10" a="1"/>
  <c r="D66" i="10" s="1"/>
  <c r="C66" i="10" a="1"/>
  <c r="C66" i="10" s="1"/>
  <c r="F38" i="10"/>
  <c r="E39" i="10"/>
  <c r="F39" i="10" l="1"/>
  <c r="E40" i="10"/>
  <c r="B70" i="10"/>
  <c r="A68" i="10" a="1"/>
  <c r="A68" i="10" s="1"/>
  <c r="D68" i="10" a="1"/>
  <c r="D68" i="10" s="1"/>
  <c r="C68" i="10" a="1"/>
  <c r="C68" i="10" s="1"/>
  <c r="C70" i="10" l="1" a="1"/>
  <c r="C70" i="10" s="1"/>
  <c r="B72" i="10"/>
  <c r="A70" i="10" a="1"/>
  <c r="A70" i="10" s="1"/>
  <c r="D70" i="10" a="1"/>
  <c r="D70" i="10" s="1"/>
  <c r="E41" i="10"/>
  <c r="F40" i="10"/>
  <c r="E42" i="10" l="1"/>
  <c r="F41" i="10"/>
  <c r="C72" i="10" a="1"/>
  <c r="C72" i="10" s="1"/>
  <c r="A72" i="10" a="1"/>
  <c r="A72" i="10" s="1"/>
  <c r="D72" i="10" a="1"/>
  <c r="D72" i="10" s="1"/>
  <c r="E43" i="10" l="1"/>
  <c r="F42" i="10"/>
  <c r="E44" i="10" l="1"/>
  <c r="F43" i="10"/>
  <c r="F44" i="10" l="1"/>
  <c r="E45" i="10"/>
  <c r="E46" i="10" l="1"/>
  <c r="F45" i="10"/>
  <c r="E47" i="10" l="1"/>
  <c r="F46" i="10"/>
  <c r="E48" i="10" l="1"/>
  <c r="F47" i="10"/>
  <c r="F48" i="10" l="1"/>
  <c r="E49" i="10"/>
  <c r="F49" i="10" l="1"/>
  <c r="E50" i="10"/>
  <c r="F50" i="10" l="1"/>
  <c r="E51" i="10"/>
  <c r="F51" i="10" l="1"/>
  <c r="E52" i="10"/>
  <c r="E53" i="10" l="1"/>
  <c r="F52" i="10"/>
  <c r="E54" i="10" l="1"/>
  <c r="F53" i="10"/>
  <c r="E55" i="10" l="1"/>
  <c r="F54" i="10"/>
  <c r="E56" i="10" l="1"/>
  <c r="F55" i="10"/>
  <c r="F56" i="10" l="1"/>
  <c r="E57" i="10"/>
  <c r="F57" i="10" l="1"/>
  <c r="E58" i="10"/>
  <c r="E59" i="10" l="1"/>
  <c r="F58" i="10"/>
  <c r="E60" i="10" l="1"/>
  <c r="F59" i="10"/>
  <c r="F60" i="10" l="1"/>
  <c r="E61" i="10"/>
  <c r="F61" i="10" l="1"/>
  <c r="E62" i="10"/>
  <c r="E63" i="10" l="1"/>
  <c r="F62" i="10"/>
  <c r="F63" i="10" l="1"/>
  <c r="E64" i="10"/>
  <c r="E65" i="10" l="1"/>
  <c r="F64" i="10"/>
  <c r="E66" i="10" l="1"/>
  <c r="F65" i="10"/>
  <c r="E67" i="10" l="1"/>
  <c r="F66" i="10"/>
  <c r="E68" i="10" l="1"/>
  <c r="F67" i="10"/>
  <c r="F68" i="10" l="1"/>
  <c r="E69" i="10"/>
  <c r="E70" i="10" l="1"/>
  <c r="F69" i="10"/>
  <c r="E71" i="10" l="1"/>
  <c r="F70" i="10"/>
  <c r="E72" i="10" l="1"/>
  <c r="F71" i="10"/>
  <c r="E73" i="10" l="1"/>
  <c r="F73" i="10" s="1"/>
  <c r="F72" i="10"/>
</calcChain>
</file>

<file path=xl/comments1.xml><?xml version="1.0" encoding="utf-8"?>
<comments xmlns="http://schemas.openxmlformats.org/spreadsheetml/2006/main">
  <authors>
    <author>Logistica2</author>
    <author>Logistica1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1" shapeId="0">
      <text>
        <r>
          <rPr>
            <b/>
            <sz val="9"/>
            <color indexed="81"/>
            <rFont val="Tahoma"/>
            <family val="2"/>
          </rPr>
          <t>Logistica1</t>
        </r>
      </text>
    </comment>
  </commentList>
</comments>
</file>

<file path=xl/comments2.xml><?xml version="1.0" encoding="utf-8"?>
<comments xmlns="http://schemas.openxmlformats.org/spreadsheetml/2006/main">
  <authors>
    <author>Logistica1</author>
    <author>Recepcion</author>
    <author>Logistica2</author>
    <author>Damian Loekemeyer</author>
    <author>Marianela Becker</author>
    <author>Recepción</author>
    <author>Virgilio3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Revisado por Yasmin septiempre 2024
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21000 cambiado por Yasmin 30 K 17-9
6/10 25MIL DAMIAN
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13000 cambiado por Yasmin 20K 17-9
modificado por thomy 10/10 antes 15000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16000 cambiado por Yasmin 19K  17-9
6/10 DAMIAN 16MIL
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10000 cambiado por Yasmin 17-9
Ants 19000 cambiado por Thomi 10/10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cambiado por Yasmin 17-9
Ants 14000 cambiado por Thomi 10/10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8000 modificado por Thomi 10/10
23/01/25 antes 2800Damian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6000, modificado por Damian 12-9
Antes 9000  modificado por Thomi 10/10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4560  modificado por Yasmin 17-9
Antes 8000  modificado por Thomi 10/10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6000  modificado por Yasmin 17-9
Antes 8000  modificado por Thomi 10/10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5000  modificado por Yasmin 17-9
Antes 6000 modificado por Thomi 10/10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6420 modificado por Thomi 10/10
26/01/25 antes 5600 DAMIAN
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
Antes 6350  modificado por Thomi 10/10</t>
        </r>
      </text>
    </comment>
    <comment ref="B14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4500  modificado por Yasmin 17-9
Antes 9000 modificado por Thomi 10/10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2400
Antes 6000  modificado por Thomi 10/10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3500 
 modificado por Thomi 10/10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1920 modificado por Yasmin 17-9
Antes 4800  modificado por Thomi 10/10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2640  modificado por Yasmin 17-9
Antes 3500  modificado por Thomi 10/10
ANTES 2200 26/01/25 DAMIAN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3000  modificado por Yasmin 17-9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Se modifico porque se vende como 478e solso a Coto se vende como 529e
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3200  modificado por Thomi 10/10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1600 modificado por Yasmin 17-9</t>
        </r>
      </text>
    </comment>
    <comment ref="C26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1608 26/01/025 damian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2000  modificado por Thomi 10/10
antes 1500 25/01/25 damian
</t>
        </r>
      </text>
    </comment>
    <comment ref="C2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2100  modificado por Thomi 10/10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por Yas 17-9
Antes 1600  modificado por Thomi 10/10
antes 1200 25/01/25 damian
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1000, modificado por Yas 17-9
Antes 1600, dejo de comprar INC ahora 800 Damian 6-03
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1260  modificado por Yasmin 17-9
Antes 2000  modificado por Thomi 10/10</t>
        </r>
      </text>
    </comment>
    <comment ref="C3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1020  modificado por Thomi 10/10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684 modificado por Yas 17-9
Antes 2200  modificado por Thomi 10/10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912, modificado por Yas 17-9
Antes 1200  modificado por Thomi 10/10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1300  modificado por Thomi 10/10
antes 1000 25/01/25 damian
</t>
        </r>
      </text>
    </comment>
    <comment ref="B39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1100  modificado por Thomi 10/10
antes 880 25/01/25 damian
Ventas: se sumo estimacion de incorporacion de Jumbo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1800  modificado por Thomi 10/10</t>
        </r>
      </text>
    </comment>
    <comment ref="C43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1008  25/01/25 damian
</t>
        </r>
      </text>
    </comment>
    <comment ref="C4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408  modificado por Yas 17-9
Antes 1100  modificado por Thomi 10/10</t>
        </r>
      </text>
    </comment>
    <comment ref="C45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888 modificado por Yas 17-9
Antes 2000  modificado por Thomi 10/10</t>
        </r>
      </text>
    </comment>
    <comment ref="C4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744 modificado por Yas 17-9
Antes 1300  modificado por Thomi 10/10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1000 modificado Yas 17-9</t>
        </r>
      </text>
    </comment>
    <comment ref="C51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888  modificado por Thomi 10/10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720 modificado por Yas 17-9</t>
        </r>
      </text>
    </comment>
    <comment ref="C55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600 25/01/25 damian
</t>
        </r>
      </text>
    </comment>
    <comment ref="C5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 modificado por Thomi 10/10</t>
        </r>
      </text>
    </comment>
    <comment ref="C5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Daman 21/01/25</t>
        </r>
      </text>
    </comment>
    <comment ref="C5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996  modificado por Thomi 10/10</t>
        </r>
      </text>
    </comment>
    <comment ref="B59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60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300 25/01/025 damian
</t>
        </r>
      </text>
    </comment>
    <comment ref="C61" authorId="6" shapeId="0">
      <text>
        <r>
          <rPr>
            <b/>
            <sz val="9"/>
            <color indexed="81"/>
            <rFont val="Tahoma"/>
            <family val="2"/>
          </rPr>
          <t>Damian: Cambio el 07/08. Antes 96 uni</t>
        </r>
      </text>
    </comment>
    <comment ref="C62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antges 480 25/01/25 damian
</t>
        </r>
      </text>
    </comment>
    <comment ref="C6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456  modificado por Thomi 10/10
antes 360 25/01/25 damian
Ventas: se sumo estimacion de incorporacion de Jumbo</t>
        </r>
      </text>
    </comment>
    <comment ref="C7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
antes 240 25/01/25 damian
</t>
        </r>
      </text>
    </comment>
    <comment ref="C7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600  modificado por Thomi 10/10</t>
        </r>
      </text>
    </comment>
    <comment ref="C75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774  modificado por Thomi 10/10</t>
        </r>
      </text>
    </comment>
    <comment ref="C7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Antes 420 modificado por Yas 17-9</t>
        </r>
      </text>
    </comment>
    <comment ref="C8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8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240  modificado por Thomi 10/10</t>
        </r>
      </text>
    </comment>
    <comment ref="C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296  modificado por Thomi 10/10</t>
        </r>
      </text>
    </comment>
    <comment ref="C89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150 25/01/25 damian
</t>
        </r>
      </text>
    </comment>
    <comment ref="C9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192  modificado por Thomi 10/10</t>
        </r>
      </text>
    </comment>
    <comment ref="C9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300  modificado por Thomi 10/10</t>
        </r>
      </text>
    </comment>
    <comment ref="C9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252  modificado por Thomi 10/10</t>
        </r>
      </text>
    </comment>
    <comment ref="C9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200  modificado por Thomi 10/10</t>
        </r>
      </text>
    </comment>
    <comment ref="C9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288  modificado por Thomi 10/10</t>
        </r>
      </text>
    </comment>
    <comment ref="C9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180  modificado por Thomi 10/10</t>
        </r>
      </text>
    </comment>
    <comment ref="C9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360  modificado por Thomi 10/10</t>
        </r>
      </text>
    </comment>
    <comment ref="B100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0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350  modificado por Thomi 10/10
Antes 200 modif 16/12 Damian</t>
        </r>
      </text>
    </comment>
    <comment ref="C10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Antes 156  modificado por Thomi 10/10</t>
        </r>
      </text>
    </comment>
    <comment ref="C105" authorId="3" shapeId="0">
      <text>
        <r>
          <rPr>
            <b/>
            <sz val="9"/>
            <color indexed="81"/>
            <rFont val="Tahoma"/>
            <family val="2"/>
          </rPr>
          <t>Damian Loekemeyer:</t>
        </r>
        <r>
          <rPr>
            <sz val="9"/>
            <color indexed="81"/>
            <rFont val="Tahoma"/>
            <family val="2"/>
          </rPr>
          <t xml:space="preserve">
antes 440 25/01/25 damian
Ventas: se sumo estimacion de incorporacion de Jumbo</t>
        </r>
      </text>
    </comment>
    <comment ref="C106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38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39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C141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B143" authorId="5" shapeId="0">
      <text>
        <r>
          <rPr>
            <b/>
            <sz val="9"/>
            <color indexed="81"/>
            <rFont val="Tahoma"/>
            <family val="2"/>
          </rPr>
          <t>Logistica2:
Articulos Nuevos 
Stock Maximo Puesto a Ojo VERIFICAR cuando haya ventas reales</t>
        </r>
      </text>
    </comment>
    <comment ref="B166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al 7/3 no hay stock
</t>
        </r>
      </text>
    </comment>
    <comment ref="B176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no se importa mas este art se fabrica nacional</t>
        </r>
      </text>
    </comment>
    <comment ref="B178" authorId="2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Se usa el 544 nacional
</t>
        </r>
      </text>
    </comment>
    <comment ref="C1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Damian 16/12 antes 0
</t>
        </r>
      </text>
    </comment>
    <comment ref="C199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2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13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  <comment ref="C220" authorId="4" shapeId="0">
      <text>
        <r>
          <rPr>
            <b/>
            <sz val="9"/>
            <color indexed="81"/>
            <rFont val="Tahoma"/>
            <family val="2"/>
          </rPr>
          <t>Ventas: se sumo estimacion de incorporacion de Jumbo</t>
        </r>
      </text>
    </comment>
  </commentList>
</comments>
</file>

<file path=xl/comments3.xml><?xml version="1.0" encoding="utf-8"?>
<comments xmlns="http://schemas.openxmlformats.org/spreadsheetml/2006/main">
  <authors>
    <author>Logistica2</author>
    <author>Recepcion</author>
    <author>tc={CA74D34A-FF46-4915-98A5-50B2A2372823}</author>
    <author>tc={271A0D8A-04FB-41E4-BFEA-9D1386F30AA2}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2076 valor anterior, modificado por Damian 29-8
Modif 23/10/24 Anterior 4000
</t>
        </r>
      </text>
    </comment>
    <comment ref="C1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2025</t>
        </r>
      </text>
    </comment>
    <comment ref="C1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3720</t>
        </r>
      </text>
    </comment>
    <comment ref="C1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1920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1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1875</t>
        </r>
      </text>
    </comment>
    <comment ref="C1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870</t>
        </r>
      </text>
    </comment>
    <comment ref="C2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21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Modificad por Damian 12-9 antes 600
Respuesta:
    11-02 Antes 800</t>
        </r>
      </text>
    </comment>
    <comment ref="C2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2520</t>
        </r>
      </text>
    </comment>
    <comment ref="C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1750</t>
        </r>
      </text>
    </comment>
    <comment ref="C2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1500</t>
        </r>
      </text>
    </comment>
    <comment ref="C2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270</t>
        </r>
      </text>
    </comment>
    <comment ref="C2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2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2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3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525</t>
        </r>
      </text>
    </comment>
    <comment ref="C3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
</t>
        </r>
      </text>
    </comment>
    <comment ref="C3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984</t>
        </r>
      </text>
    </comment>
    <comment ref="C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288</t>
        </r>
      </text>
    </comment>
    <comment ref="C3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1560</t>
        </r>
      </text>
    </comment>
    <comment ref="C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432</t>
        </r>
      </text>
    </comment>
    <comment ref="C3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390</t>
        </r>
      </text>
    </comment>
    <comment ref="C4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124</t>
        </r>
      </text>
    </comment>
    <comment ref="C4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552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720</t>
        </r>
      </text>
    </comment>
    <comment ref="C4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4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360</t>
        </r>
      </text>
    </comment>
    <comment ref="C4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4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4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420</t>
        </r>
      </text>
    </comment>
    <comment ref="C4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5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52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72, cambiado po Damian 12-9</t>
        </r>
      </text>
    </comment>
    <comment ref="C5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5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864</t>
        </r>
      </text>
    </comment>
    <comment ref="C5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300</t>
        </r>
      </text>
    </comment>
    <comment ref="C5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216</t>
        </r>
      </text>
    </comment>
    <comment ref="C5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144</t>
        </r>
      </text>
    </comment>
    <comment ref="C5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250</t>
        </r>
      </text>
    </comment>
    <comment ref="C5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X</t>
        </r>
      </text>
    </comment>
    <comment ref="C6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6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6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228</t>
        </r>
      </text>
    </comment>
    <comment ref="C6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348</t>
        </r>
      </text>
    </comment>
    <comment ref="C6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6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
</t>
        </r>
      </text>
    </comment>
    <comment ref="C6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6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7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480</t>
        </r>
      </text>
    </comment>
    <comment ref="C7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144</t>
        </r>
      </text>
    </comment>
    <comment ref="C7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7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132</t>
        </r>
      </text>
    </comment>
    <comment ref="C7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7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8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264</t>
        </r>
      </text>
    </comment>
    <comment ref="C8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8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84</t>
        </r>
      </text>
    </comment>
    <comment ref="C8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8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8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276</t>
        </r>
      </text>
    </comment>
    <comment ref="C9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96</t>
        </r>
      </text>
    </comment>
    <comment ref="C9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168</t>
        </r>
      </text>
    </comment>
    <comment ref="C9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C9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9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C9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9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9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9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0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C10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 Modif 23/10/24 Anterior 144</t>
        </r>
      </text>
    </comment>
    <comment ref="C10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240</t>
        </r>
      </text>
    </comment>
    <comment ref="C10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24</t>
        </r>
      </text>
    </comment>
    <comment ref="C10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</t>
        </r>
      </text>
    </comment>
    <comment ref="C10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C10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C11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</t>
        </r>
      </text>
    </comment>
    <comment ref="C11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</t>
        </r>
      </text>
    </comment>
    <comment ref="C11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648</t>
        </r>
      </text>
    </comment>
    <comment ref="C11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1512</t>
        </r>
      </text>
    </comment>
    <comment ref="C11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228</t>
        </r>
      </text>
    </comment>
    <comment ref="C12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708</t>
        </r>
      </text>
    </comment>
    <comment ref="C12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336</t>
        </r>
      </text>
    </comment>
    <comment ref="C12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540</t>
        </r>
      </text>
    </comment>
    <comment ref="C12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2004</t>
        </r>
      </text>
    </comment>
    <comment ref="C12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600</t>
        </r>
      </text>
    </comment>
    <comment ref="C12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1200</t>
        </r>
      </text>
    </comment>
    <comment ref="C12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780</t>
        </r>
      </text>
    </comment>
    <comment ref="C12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960</t>
        </r>
      </text>
    </comment>
    <comment ref="C12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1044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0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1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396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120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48
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72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48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84</t>
        </r>
      </text>
    </comment>
    <comment ref="B13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8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72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39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80</t>
        </r>
      </text>
    </comment>
    <comment ref="B142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
</t>
        </r>
      </text>
    </comment>
    <comment ref="C142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240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3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
 24
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4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
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5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24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C146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 120
</t>
        </r>
      </text>
    </comment>
    <comment ref="C147" authorId="1" shapeId="0">
      <text>
        <r>
          <rPr>
            <b/>
            <sz val="9"/>
            <color indexed="81"/>
            <rFont val="Tahoma"/>
            <family val="2"/>
          </rPr>
          <t>Recepcion:</t>
        </r>
        <r>
          <rPr>
            <sz val="9"/>
            <color indexed="81"/>
            <rFont val="Tahoma"/>
            <family val="2"/>
          </rPr>
          <t xml:space="preserve">
Modif 23/10/24 Anterior 1680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  <comment ref="B184" authorId="0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Articulos Nuevos 
Stock Maximo Puesto a Ojo VERIFICAR cuando haya ventas reales.</t>
        </r>
      </text>
    </comment>
  </commentList>
</comments>
</file>

<file path=xl/comments4.xml><?xml version="1.0" encoding="utf-8"?>
<comments xmlns="http://schemas.openxmlformats.org/spreadsheetml/2006/main">
  <authors>
    <author>Logistica1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</commentList>
</comments>
</file>

<file path=xl/comments5.xml><?xml version="1.0" encoding="utf-8"?>
<comments xmlns="http://schemas.openxmlformats.org/spreadsheetml/2006/main">
  <authors>
    <author>Logistica1</author>
    <author>Logistica2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Logistica1:</t>
        </r>
        <r>
          <rPr>
            <sz val="9"/>
            <color indexed="81"/>
            <rFont val="Tahoma"/>
            <family val="2"/>
          </rPr>
          <t xml:space="preserve">
Ultimo relevamiento:
25/4/23 Control de n° de cajas x art con talleristas y Juan Farías</t>
        </r>
      </text>
    </comment>
    <comment ref="A80" authorId="1" shapeId="0">
      <text>
        <r>
          <rPr>
            <b/>
            <sz val="9"/>
            <color indexed="81"/>
            <rFont val="Tahoma"/>
            <family val="2"/>
          </rPr>
          <t>Logistica2:</t>
        </r>
        <r>
          <rPr>
            <sz val="9"/>
            <color indexed="81"/>
            <rFont val="Tahoma"/>
            <family val="2"/>
          </rPr>
          <t xml:space="preserve">
Cod 834 y 835 no estan en estadis Mad
828 y 830 no estan en archivo Virgilio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<sst xmlns="http://schemas.openxmlformats.org/spreadsheetml/2006/main" count="1493" uniqueCount="1242">
  <si>
    <t>Z:\AA  LOGISTICA Relevamiento y Pedidos\A3 Relevamiento Stock y Pedidos Insumos\Relevamiento\A Relevamientos INSUMOS y Pedido\A Cajas</t>
  </si>
  <si>
    <t>Tira Imp.</t>
  </si>
  <si>
    <t>A10</t>
  </si>
  <si>
    <t>A11</t>
  </si>
  <si>
    <t>Z9</t>
  </si>
  <si>
    <t>A9</t>
  </si>
  <si>
    <t>A3</t>
  </si>
  <si>
    <t>A2</t>
  </si>
  <si>
    <t>A4</t>
  </si>
  <si>
    <t>A7</t>
  </si>
  <si>
    <t>A6</t>
  </si>
  <si>
    <t>A5</t>
  </si>
  <si>
    <t>A8</t>
  </si>
  <si>
    <t>A1</t>
  </si>
  <si>
    <t>Pedido Minimo</t>
  </si>
  <si>
    <t>Max Entra Uni Virg</t>
  </si>
  <si>
    <t>Max Entra Paq Virg</t>
  </si>
  <si>
    <t>Max Entra Uni Cerv</t>
  </si>
  <si>
    <t>Max Entra Paq Cerv</t>
  </si>
  <si>
    <t>Mes Entra Max</t>
  </si>
  <si>
    <t xml:space="preserve">Observacion </t>
  </si>
  <si>
    <t>Ocup %</t>
  </si>
  <si>
    <t>Pedido Uni</t>
  </si>
  <si>
    <t>Stock Total Uni</t>
  </si>
  <si>
    <t>Max 4 Mes Uni</t>
  </si>
  <si>
    <t>N° Caja</t>
  </si>
  <si>
    <t>Sector</t>
  </si>
  <si>
    <t>Cód ISIS</t>
  </si>
  <si>
    <t>CORRUGADORA DEL PLATA</t>
  </si>
  <si>
    <t>Uni x Paq</t>
  </si>
  <si>
    <t>Meses</t>
  </si>
  <si>
    <t>Cod Nuevo Isis</t>
  </si>
  <si>
    <t>Descripcion</t>
  </si>
  <si>
    <t xml:space="preserve">Colador N°8              </t>
  </si>
  <si>
    <t xml:space="preserve">Colador N°10             </t>
  </si>
  <si>
    <t xml:space="preserve">Colador N°16             </t>
  </si>
  <si>
    <t xml:space="preserve">Colador N°20             </t>
  </si>
  <si>
    <t xml:space="preserve">Filtro De Cafe           </t>
  </si>
  <si>
    <t>Filtro De Cafe Gastronomi</t>
  </si>
  <si>
    <t>Destapa Corona X1 Cromado</t>
  </si>
  <si>
    <t xml:space="preserve">Cierra Bolsa X2          </t>
  </si>
  <si>
    <t>Cuchillito De Untar Plast</t>
  </si>
  <si>
    <t>Ñoquera Mad. Mgo Redondo</t>
  </si>
  <si>
    <t xml:space="preserve">Cucharita 13cm Azucarera </t>
  </si>
  <si>
    <t>Cuchara Madera 40 Cm X 12</t>
  </si>
  <si>
    <t>Cuchara Madera 45 Cm X 12</t>
  </si>
  <si>
    <t xml:space="preserve">Bate Bife Madera         </t>
  </si>
  <si>
    <t>Cuchara Madera 25 Cm X 12</t>
  </si>
  <si>
    <t>Cuchara Madera 30 Cm X 12</t>
  </si>
  <si>
    <t>Cuchara Madera 35 Cm X 12</t>
  </si>
  <si>
    <t xml:space="preserve">Ñoquera Madera           </t>
  </si>
  <si>
    <t xml:space="preserve">Prensa Matambre          </t>
  </si>
  <si>
    <t>Cuchara De Cocina 33 Cm X 12</t>
  </si>
  <si>
    <t>Manga Repostera + 4 Boqui</t>
  </si>
  <si>
    <t>Muñeco Silicona Antiderra</t>
  </si>
  <si>
    <t xml:space="preserve">Cuchillo Torta Acero Inox </t>
  </si>
  <si>
    <t xml:space="preserve">Pala De Torta Acero Inox </t>
  </si>
  <si>
    <t xml:space="preserve">Pisa Papas Acero Inox    </t>
  </si>
  <si>
    <t xml:space="preserve">Rallador Cilindrico      </t>
  </si>
  <si>
    <t>Rallador Cilindrico Chico</t>
  </si>
  <si>
    <t xml:space="preserve">Espatula Repostera Plast </t>
  </si>
  <si>
    <t xml:space="preserve">Espatula Plastica 3 Usos </t>
  </si>
  <si>
    <t xml:space="preserve">Espatula Acero Inox.     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</si>
  <si>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</si>
  <si>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</si>
  <si>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</si>
  <si>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</si>
  <si>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</si>
  <si>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</si>
  <si>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 xml:space="preserve">Cuchara Spaghetti Ac Inox. </t>
  </si>
  <si>
    <t>Pisa Papas Nylon Mgo Plas</t>
  </si>
  <si>
    <t>Espumadera Nylon c/ Mgo</t>
  </si>
  <si>
    <t>Cuchara Calada Nylon 1 Pz</t>
  </si>
  <si>
    <t>Cuchara Pulpo Nylon 1 Pza</t>
  </si>
  <si>
    <t xml:space="preserve">Cucharon Nylon 1 Pza     </t>
  </si>
  <si>
    <t>Espatula Calada Nylon 1 P</t>
  </si>
  <si>
    <t>Espatula Lisa Nylon 1 Pza</t>
  </si>
  <si>
    <t>Descorazonador De Manzana</t>
  </si>
  <si>
    <t xml:space="preserve">Enrulador De Manteca     </t>
  </si>
  <si>
    <t>Destapador Pie Cromado</t>
  </si>
  <si>
    <t xml:space="preserve">Destapador Pie Color     </t>
  </si>
  <si>
    <t xml:space="preserve">Abrelata Uña Pie Color   </t>
  </si>
  <si>
    <t xml:space="preserve">Abrelatas A Manija       </t>
  </si>
  <si>
    <t xml:space="preserve">Abrelatas A Mariposa     </t>
  </si>
  <si>
    <t xml:space="preserve">Afila Cuchillos          </t>
  </si>
  <si>
    <t xml:space="preserve">Pelador Mgo Plastico     </t>
  </si>
  <si>
    <t xml:space="preserve">Abrelatas Uña            </t>
  </si>
  <si>
    <t xml:space="preserve">Rompenueces              </t>
  </si>
  <si>
    <t xml:space="preserve">Sacafuentes Articulado   </t>
  </si>
  <si>
    <t xml:space="preserve">Paleta Batidora          </t>
  </si>
  <si>
    <t>Abrelata Uña Cromado</t>
  </si>
  <si>
    <t xml:space="preserve">3 En 1                   </t>
  </si>
  <si>
    <t>Abrelata Mariposa Plastic</t>
  </si>
  <si>
    <t xml:space="preserve">Pelador Mgo Metalico     </t>
  </si>
  <si>
    <t xml:space="preserve">Batidor Resorte          </t>
  </si>
  <si>
    <t xml:space="preserve">Destapacorona Suelto     </t>
  </si>
  <si>
    <t xml:space="preserve">Sacafuente Gastronomico  </t>
  </si>
  <si>
    <t>Cuchillo De Untar X 2 mad</t>
  </si>
  <si>
    <t>R</t>
  </si>
  <si>
    <t xml:space="preserve">Cuchillo De Untar Suelto </t>
  </si>
  <si>
    <t>Sacacorcho Tipo Mozo Crom</t>
  </si>
  <si>
    <t>Sacacorcho Combinado Crom</t>
  </si>
  <si>
    <t xml:space="preserve">Sacacorcho Doble Aleta   </t>
  </si>
  <si>
    <t>Sacacorcho Cabo De Madera</t>
  </si>
  <si>
    <t>Sacacorcho Tipo Mozo Color</t>
  </si>
  <si>
    <t>Sacacorcho Combinado Color</t>
  </si>
  <si>
    <t xml:space="preserve">Cuchara De Helado        </t>
  </si>
  <si>
    <t>Cepillo Lava Vajilla</t>
  </si>
  <si>
    <t>Cepillo Limpia Vaso Mamad</t>
  </si>
  <si>
    <t xml:space="preserve">Ahueca Papas             </t>
  </si>
  <si>
    <t xml:space="preserve">Ahueca Frutas            </t>
  </si>
  <si>
    <t xml:space="preserve">Batidor Pera Alambre     </t>
  </si>
  <si>
    <t xml:space="preserve">Corta Queso              </t>
  </si>
  <si>
    <t xml:space="preserve">Corta Torta              </t>
  </si>
  <si>
    <t xml:space="preserve">Pincel Pastelero         </t>
  </si>
  <si>
    <t xml:space="preserve">Filtro Para Bombillas    </t>
  </si>
  <si>
    <t>Cuchillo Untar Mgo Plast Inox</t>
  </si>
  <si>
    <t>Bombilla Bolita</t>
  </si>
  <si>
    <t>Bombilla Coco Hexagonal</t>
  </si>
  <si>
    <t xml:space="preserve">Cucharita Matera         </t>
  </si>
  <si>
    <t xml:space="preserve">Cepillo Limpia Bombilla  </t>
  </si>
  <si>
    <t>Sacayerba</t>
  </si>
  <si>
    <t xml:space="preserve">Bombilla Resorte Chata   </t>
  </si>
  <si>
    <t>Bombilla Resorte Tradicio</t>
  </si>
  <si>
    <t xml:space="preserve">Corta Ravioles           </t>
  </si>
  <si>
    <t xml:space="preserve">Pinza Chica              </t>
  </si>
  <si>
    <t>Corta Pizza Mgo 6cm</t>
  </si>
  <si>
    <t xml:space="preserve">Pinza Hamburguesa       </t>
  </si>
  <si>
    <t xml:space="preserve">Corta Pizza Gastronomico </t>
  </si>
  <si>
    <t xml:space="preserve">Pinza De Hielo           </t>
  </si>
  <si>
    <t xml:space="preserve">Pelanaranjas X 1 Display </t>
  </si>
  <si>
    <t xml:space="preserve">Pala De Canelones        </t>
  </si>
  <si>
    <t>Pinza Reforzada</t>
  </si>
  <si>
    <t>Bombilla Colores Metaliza</t>
  </si>
  <si>
    <t>Tapon De Vino/Cerv X1  Negro</t>
  </si>
  <si>
    <t>Tapon De Vino/Cerveza Premium</t>
  </si>
  <si>
    <t>Descarozador De Aceitunas</t>
  </si>
  <si>
    <t>Tapon De Vino/Cerv X 1 Color</t>
  </si>
  <si>
    <t>Sacacorcho Cabo Plastico</t>
  </si>
  <si>
    <t xml:space="preserve">Pelapapas Mgo Ergonomico </t>
  </si>
  <si>
    <t>Pelapapas Cuchilla Corte Laser</t>
  </si>
  <si>
    <t xml:space="preserve">Tostador                 </t>
  </si>
  <si>
    <t xml:space="preserve">Tostador Enlozado        </t>
  </si>
  <si>
    <t>Pinza De Fideos Mgo Plast X 12</t>
  </si>
  <si>
    <t>Pinza De Fiambre Mgo Plas X 12</t>
  </si>
  <si>
    <t>Pinza De Ensalada Mgo Pla X 12</t>
  </si>
  <si>
    <t>Bombilla Autolimpiante In</t>
  </si>
  <si>
    <t>Bombilla Eco Plastica</t>
  </si>
  <si>
    <t>Bombilla Autolimpiante Ni</t>
  </si>
  <si>
    <t>Bombilla Basica Larga Rec</t>
  </si>
  <si>
    <t>Bombilla Basica Larga Cur</t>
  </si>
  <si>
    <t xml:space="preserve">Exprimidor De Citricos   </t>
  </si>
  <si>
    <t>030E</t>
  </si>
  <si>
    <t>Colador 20 Cm Acero Inox</t>
  </si>
  <si>
    <t>Abrelata Super Mariposa</t>
  </si>
  <si>
    <t>328E</t>
  </si>
  <si>
    <t xml:space="preserve">Rallador Plano 3 Usos Ac </t>
  </si>
  <si>
    <t>360E</t>
  </si>
  <si>
    <t xml:space="preserve">Rallador 4 Lados A/I Mgo </t>
  </si>
  <si>
    <t>361E</t>
  </si>
  <si>
    <t>Rallador 4 Lados Ac Inox(</t>
  </si>
  <si>
    <t>362E</t>
  </si>
  <si>
    <t>363E</t>
  </si>
  <si>
    <t>Rallador Gurmet Grano Fin</t>
  </si>
  <si>
    <t>364E</t>
  </si>
  <si>
    <t>Rallador Gourmet Grano Me</t>
  </si>
  <si>
    <t>365E</t>
  </si>
  <si>
    <t>Rallador Gourmet Grano Gr</t>
  </si>
  <si>
    <t>366E</t>
  </si>
  <si>
    <t>Rallador Conico A/I X 12</t>
  </si>
  <si>
    <t>Rallador Hexagonal A/I Con Bas 25cm</t>
  </si>
  <si>
    <t>Rallador 4 Lados A/I Mgo C/Bas 25cm</t>
  </si>
  <si>
    <t>367E</t>
  </si>
  <si>
    <t>Rallador Hexagonal Ac Ino</t>
  </si>
  <si>
    <t>388E</t>
  </si>
  <si>
    <t xml:space="preserve">Maquina Corta Papa       </t>
  </si>
  <si>
    <t>435E</t>
  </si>
  <si>
    <t xml:space="preserve">Colador Acero Inox 10 Cm </t>
  </si>
  <si>
    <t>436E</t>
  </si>
  <si>
    <t xml:space="preserve">Colador Acero Inox 14 Cm </t>
  </si>
  <si>
    <t>437E</t>
  </si>
  <si>
    <t xml:space="preserve">Colador Acero Inox 16 Cm </t>
  </si>
  <si>
    <t>438E</t>
  </si>
  <si>
    <t xml:space="preserve">Colador Acero Inox 20 Cm </t>
  </si>
  <si>
    <t>439E</t>
  </si>
  <si>
    <t>Colapasta Metal Perforado</t>
  </si>
  <si>
    <t>440E</t>
  </si>
  <si>
    <t>Colador Extensib. A/I 34X</t>
  </si>
  <si>
    <t>478E</t>
  </si>
  <si>
    <t xml:space="preserve">Sacacorcho Doble Impulso </t>
  </si>
  <si>
    <t>502E</t>
  </si>
  <si>
    <t xml:space="preserve">Abrelata Mariposa        </t>
  </si>
  <si>
    <t>502T</t>
  </si>
  <si>
    <t>Abrelata Mariposa Tira Imp.</t>
  </si>
  <si>
    <t>503E</t>
  </si>
  <si>
    <t>Abrelatas Doble Engranaje</t>
  </si>
  <si>
    <t>510T</t>
  </si>
  <si>
    <t>Abrelata Uña Crom Tira Imp</t>
  </si>
  <si>
    <t>512E</t>
  </si>
  <si>
    <t>520T</t>
  </si>
  <si>
    <t>Sac. Tipo Mozo Cromado Tira Imp.</t>
  </si>
  <si>
    <t>525E</t>
  </si>
  <si>
    <t>Sacacorcho Cabo Madera</t>
  </si>
  <si>
    <t>529E</t>
  </si>
  <si>
    <t>Mini Batidor Pera x1</t>
  </si>
  <si>
    <t>544E</t>
  </si>
  <si>
    <t xml:space="preserve">Batidor Pera Display     </t>
  </si>
  <si>
    <t>574E</t>
  </si>
  <si>
    <t xml:space="preserve">Corta Queso De Alambre   </t>
  </si>
  <si>
    <t>580E</t>
  </si>
  <si>
    <t>Batidor Mini</t>
  </si>
  <si>
    <t>581T</t>
  </si>
  <si>
    <t>Sac. Cabo Nylon Tira Imp</t>
  </si>
  <si>
    <t>585E</t>
  </si>
  <si>
    <t>Sac.Doble Aleta Fundicion</t>
  </si>
  <si>
    <t>587T</t>
  </si>
  <si>
    <t>Pelador Cuchilla Laser Tira Imp</t>
  </si>
  <si>
    <t>809E</t>
  </si>
  <si>
    <t>Corta Pizza Familiar</t>
  </si>
  <si>
    <t>810E</t>
  </si>
  <si>
    <t>Corta Queso Semiduros A/I</t>
  </si>
  <si>
    <t>811E</t>
  </si>
  <si>
    <t>Corta Pizza C/Mgo Ergonom</t>
  </si>
  <si>
    <t>812E</t>
  </si>
  <si>
    <t xml:space="preserve">Corta Huevo              </t>
  </si>
  <si>
    <t>813E</t>
  </si>
  <si>
    <t xml:space="preserve">Afila Cuchillo           </t>
  </si>
  <si>
    <t>814E</t>
  </si>
  <si>
    <t>Mariposa Manopla Magnetic</t>
  </si>
  <si>
    <t>815E</t>
  </si>
  <si>
    <t>Batidor Pera Con Mgo Ergo</t>
  </si>
  <si>
    <t>816E</t>
  </si>
  <si>
    <t xml:space="preserve">Pelador "V" Horizontal   </t>
  </si>
  <si>
    <t>817E</t>
  </si>
  <si>
    <t>Rallador C/Mgo Ergonomico</t>
  </si>
  <si>
    <t>818E</t>
  </si>
  <si>
    <t>Corta Pizza Manual</t>
  </si>
  <si>
    <t>819E</t>
  </si>
  <si>
    <t xml:space="preserve">Sacacorcho "Fish" Grande </t>
  </si>
  <si>
    <t>Cod.Art.</t>
  </si>
  <si>
    <t xml:space="preserve">Filtro Para Cafe         </t>
  </si>
  <si>
    <t xml:space="preserve">Abrelatas Uñas           </t>
  </si>
  <si>
    <t xml:space="preserve">Pelapapas Metalico       </t>
  </si>
  <si>
    <t xml:space="preserve">Colador 10 Cm            </t>
  </si>
  <si>
    <t xml:space="preserve">Colador 8 Cm             </t>
  </si>
  <si>
    <t xml:space="preserve">Abrelatas Mariposa       </t>
  </si>
  <si>
    <t>702E</t>
  </si>
  <si>
    <t>Corta Queso Blandos Mango Alambre</t>
  </si>
  <si>
    <t xml:space="preserve">Filtro Para Bombilla     </t>
  </si>
  <si>
    <t xml:space="preserve">Limpia Bombilla          </t>
  </si>
  <si>
    <t>712E</t>
  </si>
  <si>
    <t>Pelador Mgo Plastico Econ</t>
  </si>
  <si>
    <t>Sacacorcho Tipo Mozo Colo</t>
  </si>
  <si>
    <t>Cuchara Madera 35 Display X 12</t>
  </si>
  <si>
    <t>Pelapapas Mgo Plast Verde</t>
  </si>
  <si>
    <t>Sacacocrcho Combinado Col</t>
  </si>
  <si>
    <t xml:space="preserve">Tapon Gaseosa            </t>
  </si>
  <si>
    <t>725E</t>
  </si>
  <si>
    <t xml:space="preserve">Pisa Papas               </t>
  </si>
  <si>
    <t>727E</t>
  </si>
  <si>
    <t>Cuchara Madera 45 Display X 12</t>
  </si>
  <si>
    <t>Afila Cuchillo Con Base V</t>
  </si>
  <si>
    <t xml:space="preserve">Limpia Mamadera A/I      </t>
  </si>
  <si>
    <t xml:space="preserve">Rallador Chico Chocolate </t>
  </si>
  <si>
    <t>Cuchara Madera 30 Display X 12</t>
  </si>
  <si>
    <t>Cuchara Madera 40 Display X 12</t>
  </si>
  <si>
    <t xml:space="preserve">Espatula Lisa Plastica   </t>
  </si>
  <si>
    <t xml:space="preserve">Destapaca Corona Pint. X </t>
  </si>
  <si>
    <t>Sacafuentes Articulado</t>
  </si>
  <si>
    <t xml:space="preserve">Ñoquera Display          </t>
  </si>
  <si>
    <t xml:space="preserve">Espatula Calada Plastica </t>
  </si>
  <si>
    <t>Espatula Repostera Plasti</t>
  </si>
  <si>
    <t xml:space="preserve">Tres En Uno              </t>
  </si>
  <si>
    <t>Bomb. Resorte Color Metal</t>
  </si>
  <si>
    <t xml:space="preserve">Pisa Papa Nylon          </t>
  </si>
  <si>
    <t xml:space="preserve">Cucharon Plastico        </t>
  </si>
  <si>
    <t xml:space="preserve">Pinza Hielo Display      </t>
  </si>
  <si>
    <t>733E</t>
  </si>
  <si>
    <t>Cuchara Madera 25 Display X 12</t>
  </si>
  <si>
    <t xml:space="preserve">Pinza De Fideos*Arte*  </t>
  </si>
  <si>
    <t>Bate Bife Display</t>
  </si>
  <si>
    <t xml:space="preserve">Corta Pizza Mgo Chef 6cm              </t>
  </si>
  <si>
    <t xml:space="preserve">Corta Pizza Grande       </t>
  </si>
  <si>
    <t>Filtro De Tela Gastronomi</t>
  </si>
  <si>
    <t>Cuchara Fideos Nylon C/Mgo</t>
  </si>
  <si>
    <t xml:space="preserve">Cucharon Nylon C/Mgo   </t>
  </si>
  <si>
    <t>Espatula Calada Nylon C/Mgo</t>
  </si>
  <si>
    <t>Espatula Lisa Nylon C/Mgo</t>
  </si>
  <si>
    <t>Cuchara Calada 1 Pieza Ac. Inox</t>
  </si>
  <si>
    <t xml:space="preserve">Cierra Bolsa X 4         </t>
  </si>
  <si>
    <t xml:space="preserve">Cuchara Helado           </t>
  </si>
  <si>
    <t xml:space="preserve">Cuchillitos De Untar Mgo </t>
  </si>
  <si>
    <t>Set X 3 Espatulas Plastic</t>
  </si>
  <si>
    <t>Cuchara De Cocina 33Cm X 12</t>
  </si>
  <si>
    <t>865E</t>
  </si>
  <si>
    <t>Rallador Plano A/I 3 Usos</t>
  </si>
  <si>
    <t>868E</t>
  </si>
  <si>
    <t>Cucharon Ac Inox C/Mgo Ch</t>
  </si>
  <si>
    <t xml:space="preserve">Ahueca Papa              </t>
  </si>
  <si>
    <t>Bomb. Autolimpiante Ac. I</t>
  </si>
  <si>
    <t>692E</t>
  </si>
  <si>
    <t>729E</t>
  </si>
  <si>
    <t>Sac Doble Aleta Fund Eco</t>
  </si>
  <si>
    <t>877E</t>
  </si>
  <si>
    <t>Corta Pizza Con Mgo Chino</t>
  </si>
  <si>
    <t>Cuchara Salsera Ac Inox</t>
  </si>
  <si>
    <t>Espatula Calada Ac Inox</t>
  </si>
  <si>
    <t>Cuch Untar Mgo Madera X2</t>
  </si>
  <si>
    <t xml:space="preserve">Pala Torta               </t>
  </si>
  <si>
    <t>Tenedor Madera 35cm</t>
  </si>
  <si>
    <t xml:space="preserve">Lavavajilla C/Mgo.Arte   </t>
  </si>
  <si>
    <t>Pinza De Fiambre*Arte* X 12</t>
  </si>
  <si>
    <t>Pinza Del Chef</t>
  </si>
  <si>
    <t>Espat. Repost. Goma Gastr</t>
  </si>
  <si>
    <t>Espatula Repost. Goma Com</t>
  </si>
  <si>
    <t xml:space="preserve">Espumadera Ac Inox C/Mgo </t>
  </si>
  <si>
    <t>Pinche Ac Inox C/Mgo Chef</t>
  </si>
  <si>
    <t>Cuchara Calada Ac Inox</t>
  </si>
  <si>
    <t>Espatula Lisa Ac Inox</t>
  </si>
  <si>
    <t>Cuchara Spaghetti Ac. Inox</t>
  </si>
  <si>
    <t xml:space="preserve">Cuch. Untar Blanco X 4   </t>
  </si>
  <si>
    <t xml:space="preserve">Pinza Chica Display      </t>
  </si>
  <si>
    <t xml:space="preserve">Cuchara Calada Plastica  </t>
  </si>
  <si>
    <t xml:space="preserve">Cuchara Pulpo Plastica   </t>
  </si>
  <si>
    <t>Cuchillo De Torta</t>
  </si>
  <si>
    <t xml:space="preserve">Tenedor Copetin X 6      </t>
  </si>
  <si>
    <t>Pinza Chica Detalles Bco Azul</t>
  </si>
  <si>
    <t>Enrulador Manteca</t>
  </si>
  <si>
    <t>Espumante</t>
  </si>
  <si>
    <t>Corta Torta Plast</t>
  </si>
  <si>
    <t xml:space="preserve">Prensa Matambre Display  </t>
  </si>
  <si>
    <t>Cuchillo de Untar Acrilico Transp.</t>
  </si>
  <si>
    <t xml:space="preserve">Bombilla Coco Bolita </t>
  </si>
  <si>
    <t>Nº
Caja</t>
  </si>
  <si>
    <t>Cons
Mens</t>
  </si>
  <si>
    <t>Uni x Pqte</t>
  </si>
  <si>
    <t>Paq x Fila</t>
  </si>
  <si>
    <t>Total Filas</t>
  </si>
  <si>
    <t>Total
Espacio
Pqte</t>
  </si>
  <si>
    <t>-</t>
  </si>
  <si>
    <t>Cod.
Art.</t>
  </si>
  <si>
    <t>Descripcion Articulo</t>
  </si>
  <si>
    <t>U x C</t>
  </si>
  <si>
    <t>N° 
Caja</t>
  </si>
  <si>
    <t>Cons
2024</t>
  </si>
  <si>
    <t xml:space="preserve">COLADOR N°8                        </t>
  </si>
  <si>
    <t xml:space="preserve">COLADOR N°10                       </t>
  </si>
  <si>
    <t>COLADOR N°16</t>
  </si>
  <si>
    <t xml:space="preserve">FILTRO DE CAFE                     </t>
  </si>
  <si>
    <t xml:space="preserve">FILTRO DE CAFE GASTRONOMICO        </t>
  </si>
  <si>
    <t>DESTAPA CORONA X1 CROMADO</t>
  </si>
  <si>
    <t xml:space="preserve">CIERRA BOLSA X2          </t>
  </si>
  <si>
    <t>CUCHILLITO DE UNTAR PLAST</t>
  </si>
  <si>
    <t xml:space="preserve">CUCHARA MADERA 40 CM               </t>
  </si>
  <si>
    <t xml:space="preserve">CUCHARA MADERA 45 CM               </t>
  </si>
  <si>
    <t xml:space="preserve">BATE BIFE MADERA                   </t>
  </si>
  <si>
    <t xml:space="preserve">CUCHARA MADERA 25 CM               </t>
  </si>
  <si>
    <t xml:space="preserve">CUCHARA MADERA 30 CM               </t>
  </si>
  <si>
    <t xml:space="preserve">CUCHARA MADERA 35 CM               </t>
  </si>
  <si>
    <t xml:space="preserve">ÑOQUERA MADERA                     </t>
  </si>
  <si>
    <t xml:space="preserve">PRENSA MATAMBRE                    </t>
  </si>
  <si>
    <t>CUCHARA 33 NYLON</t>
  </si>
  <si>
    <t>MANGA REPOSTERA + 4 BOQUI</t>
  </si>
  <si>
    <t>MUÑECO SILICONA ANTIDERRA</t>
  </si>
  <si>
    <t xml:space="preserve">PALA DE TORTA ACERO INOX           </t>
  </si>
  <si>
    <t xml:space="preserve">PISA PAPAS ACERO INOX              </t>
  </si>
  <si>
    <t xml:space="preserve">RALLADOR CILINDRICO                </t>
  </si>
  <si>
    <t xml:space="preserve">RALLADOR CILINDRICO CHICO          </t>
  </si>
  <si>
    <t xml:space="preserve">ESPATULA REPOSTERA PLAST 1 PZA     </t>
  </si>
  <si>
    <t xml:space="preserve">ESPATULA PLASTICA 3 USOS           </t>
  </si>
  <si>
    <t xml:space="preserve">espatula acero inox.               </t>
  </si>
  <si>
    <t xml:space="preserve">espumadera ac.inox.                </t>
  </si>
  <si>
    <t xml:space="preserve">cuchara salsera inox               </t>
  </si>
  <si>
    <t xml:space="preserve">cuchara calada ac.inox.            </t>
  </si>
  <si>
    <t xml:space="preserve">cucharon ac.inox.                  </t>
  </si>
  <si>
    <t xml:space="preserve">pinche ac.inox.                    </t>
  </si>
  <si>
    <t xml:space="preserve">espatula lisa ac.inox.             </t>
  </si>
  <si>
    <t xml:space="preserve">PISA PAPAS NYLON MGO PLAST         </t>
  </si>
  <si>
    <t xml:space="preserve">CUCHARA CALADA NYLON 1 PZA         </t>
  </si>
  <si>
    <t xml:space="preserve">CUCHARA PULPO NYLON 1 PZA          </t>
  </si>
  <si>
    <t xml:space="preserve">CUCHARON NYLON 1 PZA               </t>
  </si>
  <si>
    <t xml:space="preserve">ESPATULA CALADA NYLON 1 PZA        </t>
  </si>
  <si>
    <t xml:space="preserve">ESPATULA LISA NYLON 1 PZA          </t>
  </si>
  <si>
    <t xml:space="preserve">DESCORAZONADOR DE MANZANA          </t>
  </si>
  <si>
    <t xml:space="preserve">ENRULADOR DE MANTECA               </t>
  </si>
  <si>
    <t xml:space="preserve">DESTAPADOR PIE COLOR     </t>
  </si>
  <si>
    <t xml:space="preserve">ABRELATA UÑA PIE COLOR   </t>
  </si>
  <si>
    <t xml:space="preserve">ABRELATAS A MANIJA                 </t>
  </si>
  <si>
    <t xml:space="preserve">ABRELATAS A MARIPOSA               </t>
  </si>
  <si>
    <t xml:space="preserve">AFILA CUCHILLOS                    </t>
  </si>
  <si>
    <t xml:space="preserve">PELADOR MGO PLASTICO               </t>
  </si>
  <si>
    <t xml:space="preserve">ABRELATAS UÑA                      </t>
  </si>
  <si>
    <t xml:space="preserve">ROMPENUECES                        </t>
  </si>
  <si>
    <t xml:space="preserve">SACAFUENTES ARTICULADO             </t>
  </si>
  <si>
    <t xml:space="preserve">PALETA BATIDORA                    </t>
  </si>
  <si>
    <t>ABRELATAS UÑA CROMADO</t>
  </si>
  <si>
    <t xml:space="preserve">3 EN 1                             </t>
  </si>
  <si>
    <t xml:space="preserve">ABRELATAS A MARIPOSA PLASTICA      </t>
  </si>
  <si>
    <t xml:space="preserve">PELADOR MGO METALICO               </t>
  </si>
  <si>
    <t xml:space="preserve">BATIDOR RESORTE                    </t>
  </si>
  <si>
    <t xml:space="preserve">DESTAPACORONA SUELTO               </t>
  </si>
  <si>
    <t xml:space="preserve">SACAFUENTE GASTRONOMICO            </t>
  </si>
  <si>
    <t xml:space="preserve">CUCHILLO DE UNTAR x 2              </t>
  </si>
  <si>
    <t xml:space="preserve">SACACORCHO TIPO MOZO CROMADO       </t>
  </si>
  <si>
    <t xml:space="preserve">SACACORCHO COMBINADO CROMADO       </t>
  </si>
  <si>
    <t xml:space="preserve">SACACORCHO DOBLE ALETA             </t>
  </si>
  <si>
    <t xml:space="preserve">SACACORCHO TIPO MOZO COLOR         </t>
  </si>
  <si>
    <t xml:space="preserve">SACACORCHO COMBINADO COLOR         </t>
  </si>
  <si>
    <t xml:space="preserve">CUCHARA DE HELADO                  </t>
  </si>
  <si>
    <t xml:space="preserve">CEPILLO LAVAVAJILLA                </t>
  </si>
  <si>
    <t xml:space="preserve">CEPILLO LIMPIA VASO MAMADERA       </t>
  </si>
  <si>
    <t xml:space="preserve">AHUECA PAPAS                       </t>
  </si>
  <si>
    <t xml:space="preserve">AHUECA FRUTAS                      </t>
  </si>
  <si>
    <t xml:space="preserve">BATIDOR PERA ALAMBRE               </t>
  </si>
  <si>
    <t xml:space="preserve">CORTA QUESO                        </t>
  </si>
  <si>
    <t xml:space="preserve">CORTA TORTA                        </t>
  </si>
  <si>
    <t xml:space="preserve">PINCEL PASTELERO                   </t>
  </si>
  <si>
    <t xml:space="preserve">FILTRO PARA BOMBILLAS    </t>
  </si>
  <si>
    <t xml:space="preserve">CUCH/ UNTAR MGO PLAST.       </t>
  </si>
  <si>
    <t xml:space="preserve">CUCHARITA MATERA                   </t>
  </si>
  <si>
    <t xml:space="preserve">CEPILLO LIMPIA BOMBILLA            </t>
  </si>
  <si>
    <t xml:space="preserve">BOMBILLA RESORTE CHATA   </t>
  </si>
  <si>
    <t>BOMBILLA RESORTE tradicio</t>
  </si>
  <si>
    <t xml:space="preserve">CORTA RAVIOLES                     </t>
  </si>
  <si>
    <t xml:space="preserve">PINZA CHICA                        </t>
  </si>
  <si>
    <t xml:space="preserve">CORTA PIZZA                        </t>
  </si>
  <si>
    <t xml:space="preserve">CORTA PIZZA GASTRONOMICO           </t>
  </si>
  <si>
    <t xml:space="preserve">PINZA DE HIELO                     </t>
  </si>
  <si>
    <t xml:space="preserve">PELANARANJAS X 1 DISPLAY </t>
  </si>
  <si>
    <t xml:space="preserve">PALA DE CANELONES                  </t>
  </si>
  <si>
    <t>BOMBILLA COLORES METALIZA</t>
  </si>
  <si>
    <t>TAPON DE VINO/CERV X1  NE</t>
  </si>
  <si>
    <t>TAPON DE VINO/CERVEZA X 1</t>
  </si>
  <si>
    <t>TAPON DE VINO/CERV X 1 CO</t>
  </si>
  <si>
    <t xml:space="preserve">PELAPAPAS MGO ERGONOMICO </t>
  </si>
  <si>
    <t>PELAPAPAS CUCHILLA CORTE LASER</t>
  </si>
  <si>
    <t xml:space="preserve">TOSTADOR                           </t>
  </si>
  <si>
    <t xml:space="preserve">PINZA DE FIDEOS MGO PLASTICO       </t>
  </si>
  <si>
    <t xml:space="preserve">PINZA DE FIAMBRE MGO PLASTICO      </t>
  </si>
  <si>
    <t xml:space="preserve">PINZA DE ENSALADA MGO PLASTICO     </t>
  </si>
  <si>
    <t xml:space="preserve">BOMBILLA AUTOLIMPIANTE INOX        </t>
  </si>
  <si>
    <t xml:space="preserve">EXPRIMIDOR DE CITRICOS   </t>
  </si>
  <si>
    <t>Espumadera Nylon con Mgo</t>
  </si>
  <si>
    <t>Sacacorcho Cabo de Madera</t>
  </si>
  <si>
    <t>DISCONTINUOS</t>
  </si>
  <si>
    <t xml:space="preserve">PELAPAPAS ZINCADO                  </t>
  </si>
  <si>
    <t xml:space="preserve">ABRELATAS MARIP ZINC               </t>
  </si>
  <si>
    <t xml:space="preserve">SACAC. TIPO MOZO ZINCADO           </t>
  </si>
  <si>
    <t xml:space="preserve">TAPON DE GASEOSA X 1               </t>
  </si>
  <si>
    <t xml:space="preserve">ABRELATAS MANIJA ZINCADO           </t>
  </si>
  <si>
    <t xml:space="preserve">AHUECA PAPAS MGO MAD      </t>
  </si>
  <si>
    <t xml:space="preserve">AHUECA FRUTAS MGO MAD      </t>
  </si>
  <si>
    <t xml:space="preserve">SACAC COMB ZINCADO                 </t>
  </si>
  <si>
    <t xml:space="preserve">ABRELATAS UÑA ZINCADO              </t>
  </si>
  <si>
    <t xml:space="preserve">ROMPENUECES ZINCADO                </t>
  </si>
  <si>
    <t xml:space="preserve">SACAFUENTES ART ZINCADO            </t>
  </si>
  <si>
    <t xml:space="preserve">DESTAPA CORONA ZINCADO             </t>
  </si>
  <si>
    <t xml:space="preserve">CUCHILLO UNTAR AC INOX             </t>
  </si>
  <si>
    <t xml:space="preserve">CORTA QUESO ZINC                   </t>
  </si>
  <si>
    <t xml:space="preserve">SACACORCHO CABO MADERA             </t>
  </si>
  <si>
    <t xml:space="preserve">ESPATULA LISA NYLON                </t>
  </si>
  <si>
    <t xml:space="preserve">CUCHARON NYLON                     </t>
  </si>
  <si>
    <t xml:space="preserve">CUCHARA MADERA X 30 CM             </t>
  </si>
  <si>
    <t xml:space="preserve">CUCHARA CALADA NYLON               </t>
  </si>
  <si>
    <t xml:space="preserve">COLADOR 10 CM                      </t>
  </si>
  <si>
    <t xml:space="preserve">BOMBILLA AUTOLIMPIANTE INOX.       </t>
  </si>
  <si>
    <t xml:space="preserve">LIMPIA BOMBILLA                    </t>
  </si>
  <si>
    <t>025D</t>
  </si>
  <si>
    <t xml:space="preserve">COLADOR N°7                        </t>
  </si>
  <si>
    <t>028D</t>
  </si>
  <si>
    <t xml:space="preserve">COLADOR N°13                       </t>
  </si>
  <si>
    <t>029D</t>
  </si>
  <si>
    <t xml:space="preserve">COLADOR N°16                       </t>
  </si>
  <si>
    <t>477D</t>
  </si>
  <si>
    <t xml:space="preserve">AFLOJA TAPITA            </t>
  </si>
  <si>
    <t>027M</t>
  </si>
  <si>
    <t xml:space="preserve">820612-COLADOR N°10 ALAMBRE        </t>
  </si>
  <si>
    <t>030M</t>
  </si>
  <si>
    <t xml:space="preserve">820729-COLADOR N°20 ALAMBRE        </t>
  </si>
  <si>
    <t>055D</t>
  </si>
  <si>
    <t xml:space="preserve">SACAFUENTE ALAMBRE                 </t>
  </si>
  <si>
    <t>101M</t>
  </si>
  <si>
    <t xml:space="preserve">74230-PELAPAPA METALICO ARO        </t>
  </si>
  <si>
    <t>102M</t>
  </si>
  <si>
    <t xml:space="preserve">74243-DESTAPACORONA x 2 ARO        </t>
  </si>
  <si>
    <t>104M</t>
  </si>
  <si>
    <t xml:space="preserve">74282-ABRELATAS MANIJA ARO         </t>
  </si>
  <si>
    <t>107M</t>
  </si>
  <si>
    <t xml:space="preserve">74334-ABRELATAS UÑA ARO            </t>
  </si>
  <si>
    <t>190D</t>
  </si>
  <si>
    <t xml:space="preserve">COLADOR N°7 PINTADO                </t>
  </si>
  <si>
    <t>191D</t>
  </si>
  <si>
    <t xml:space="preserve">COLADOR N°8 PINTADO                </t>
  </si>
  <si>
    <t>192D</t>
  </si>
  <si>
    <t xml:space="preserve">COLADOR N°10 PINTADO               </t>
  </si>
  <si>
    <t>193D</t>
  </si>
  <si>
    <t xml:space="preserve">COLADOR N°13 PINTADO               </t>
  </si>
  <si>
    <t>194D</t>
  </si>
  <si>
    <t xml:space="preserve">COLADOR N°16 PINTADO               </t>
  </si>
  <si>
    <t>195D</t>
  </si>
  <si>
    <t xml:space="preserve">COLADOR N°20 PINTADO               </t>
  </si>
  <si>
    <t>226D</t>
  </si>
  <si>
    <t xml:space="preserve">ESPATULA MADERA                    </t>
  </si>
  <si>
    <t>259D</t>
  </si>
  <si>
    <t>MATE ALUMINIO COLOR DOBLE</t>
  </si>
  <si>
    <t>327D</t>
  </si>
  <si>
    <t xml:space="preserve">ESPATULA REPOSTERA DE GOMA         </t>
  </si>
  <si>
    <t>329D</t>
  </si>
  <si>
    <t xml:space="preserve">RALLADOR QUESO MARCO PLAST         </t>
  </si>
  <si>
    <t>331D</t>
  </si>
  <si>
    <t xml:space="preserve">ESP. REPOST.DE GOMA COMUN          </t>
  </si>
  <si>
    <t>360EN15</t>
  </si>
  <si>
    <t xml:space="preserve">Rallador 4 lados a/l mgo </t>
  </si>
  <si>
    <t>P</t>
  </si>
  <si>
    <t>361EN15</t>
  </si>
  <si>
    <t>Rallador 4 lados ac inox(</t>
  </si>
  <si>
    <t>388EN15</t>
  </si>
  <si>
    <t xml:space="preserve">Maquina corta papa       </t>
  </si>
  <si>
    <t>478EN14</t>
  </si>
  <si>
    <t>Sac. doble impulso pintad</t>
  </si>
  <si>
    <t>502M</t>
  </si>
  <si>
    <t>ABRELATAS MARIPOSA</t>
  </si>
  <si>
    <t>503EN</t>
  </si>
  <si>
    <t>ABRELATA DOBLE ENGRAN.</t>
  </si>
  <si>
    <t>503MEN16</t>
  </si>
  <si>
    <t>1090245-abrelata doble en</t>
  </si>
  <si>
    <t>505M</t>
  </si>
  <si>
    <t xml:space="preserve">918463-PELAPAPAS MGO PLASTICO      </t>
  </si>
  <si>
    <t>521M</t>
  </si>
  <si>
    <t xml:space="preserve">918437-SACACORCHO COMBINADO CR     </t>
  </si>
  <si>
    <t>522D</t>
  </si>
  <si>
    <t xml:space="preserve">SACACORCHO CUSTOM                  </t>
  </si>
  <si>
    <t>524MEN10</t>
  </si>
  <si>
    <t>918359-sacac. fish c/cort</t>
  </si>
  <si>
    <t>525EN11</t>
  </si>
  <si>
    <t xml:space="preserve">Sac. Cabo de Madera                </t>
  </si>
  <si>
    <t>527D</t>
  </si>
  <si>
    <t xml:space="preserve">SACACORCHO C/CORTA PLOMO CROM      </t>
  </si>
  <si>
    <t>528D</t>
  </si>
  <si>
    <t xml:space="preserve">SACACORCHO C/CORTA PLOMO PINT      </t>
  </si>
  <si>
    <t>529EN10</t>
  </si>
  <si>
    <t xml:space="preserve">Sac. Doble Impulso Acero           </t>
  </si>
  <si>
    <t>529EN11</t>
  </si>
  <si>
    <t>529MEN10</t>
  </si>
  <si>
    <t>133367-sacacorcho doble i</t>
  </si>
  <si>
    <t>544ENS</t>
  </si>
  <si>
    <t xml:space="preserve">batidor pera             </t>
  </si>
  <si>
    <t>544M</t>
  </si>
  <si>
    <t xml:space="preserve">820573-BATIDOR PERA ALAMBRE        </t>
  </si>
  <si>
    <t>546M</t>
  </si>
  <si>
    <t xml:space="preserve">883896-CORTA QUESO                 </t>
  </si>
  <si>
    <t>563D</t>
  </si>
  <si>
    <t xml:space="preserve">PINZA DE HAMBURGUESAS              </t>
  </si>
  <si>
    <t>574D</t>
  </si>
  <si>
    <t xml:space="preserve">CORTA QUESO DE ALAMBRE   </t>
  </si>
  <si>
    <t>580D</t>
  </si>
  <si>
    <t xml:space="preserve">MINI BATIDOR X 1         </t>
  </si>
  <si>
    <t>585MEN16</t>
  </si>
  <si>
    <t>1090297-saca. doble aleta</t>
  </si>
  <si>
    <t>586M</t>
  </si>
  <si>
    <t xml:space="preserve">PELAPAPAS MGO ERGONOMICO           </t>
  </si>
  <si>
    <t>597D</t>
  </si>
  <si>
    <t xml:space="preserve">CUCHILLO UNTAR BCO x 2             </t>
  </si>
  <si>
    <t>597M</t>
  </si>
  <si>
    <t xml:space="preserve">CUCHILLO DE UNTAR PLAS     </t>
  </si>
  <si>
    <t>657D</t>
  </si>
  <si>
    <t xml:space="preserve">BOMBILLA AUTOLIMPIANTE NIQ         </t>
  </si>
  <si>
    <t xml:space="preserve">COLADOR N°20                       </t>
  </si>
  <si>
    <t>PLATO DE PICADA P.P 21 CM</t>
  </si>
  <si>
    <t xml:space="preserve">MATE FORRADO                       </t>
  </si>
  <si>
    <t xml:space="preserve">MATE CALABAZA C/VIROLA             </t>
  </si>
  <si>
    <t xml:space="preserve">MATE CALABAZA S/VIROLA             </t>
  </si>
  <si>
    <t xml:space="preserve">TENEDOR DE COPETIN x 6 UNID        </t>
  </si>
  <si>
    <t xml:space="preserve">PINCHE DE CHOCLO X4 </t>
  </si>
  <si>
    <t xml:space="preserve">PINZA GASTRONOMICA                 </t>
  </si>
  <si>
    <t xml:space="preserve">SACACORCHO DE ESPUMANTES           </t>
  </si>
  <si>
    <t xml:space="preserve">SACACORCHO DOBLE ALETA LUXE        </t>
  </si>
  <si>
    <t xml:space="preserve">PELA Y PICA AJO DE ACERO           </t>
  </si>
  <si>
    <t xml:space="preserve">BOMBILLA SUP NIQ LARGA RECTA       </t>
  </si>
  <si>
    <t xml:space="preserve">BOMBILLA SUPER NIQ LARGA CURVA     </t>
  </si>
  <si>
    <t xml:space="preserve">PINZA GRANDE                       </t>
  </si>
  <si>
    <t xml:space="preserve">DESCAROZADOR DE ACEITUNAS          </t>
  </si>
  <si>
    <t xml:space="preserve">TOSTADOR ENLOZADO                  </t>
  </si>
  <si>
    <t xml:space="preserve">BOMBILLA BASICA LARGA RECTA        </t>
  </si>
  <si>
    <t xml:space="preserve">BOMBILLA BASICA LARGA CURVA        </t>
  </si>
  <si>
    <t>CHEF</t>
  </si>
  <si>
    <t>Total
Uni</t>
  </si>
  <si>
    <t xml:space="preserve">TRES EN UNO              </t>
  </si>
  <si>
    <t xml:space="preserve">LAVAVAJILLA C/MGO.ARTE   </t>
  </si>
  <si>
    <t xml:space="preserve">PINZA DE FIAMBRE*ARTE*   </t>
  </si>
  <si>
    <t xml:space="preserve">PINZA DE ENSALADAS*ARTE* </t>
  </si>
  <si>
    <t xml:space="preserve">PINZA DE FIDEOS*ARTE*    </t>
  </si>
  <si>
    <t>AFILA CUCHILLO CON BASE V</t>
  </si>
  <si>
    <t>PELAPAPAS MGO PLAST VERDE</t>
  </si>
  <si>
    <t xml:space="preserve">LIMPIA MAMADERA A/I      </t>
  </si>
  <si>
    <t xml:space="preserve">PISA PAPAS               </t>
  </si>
  <si>
    <t xml:space="preserve">BATIDOR RESORTE          </t>
  </si>
  <si>
    <t>Cucharon ac inox c/mgo Ch</t>
  </si>
  <si>
    <t xml:space="preserve">Espumadera ac inox c/Mgo </t>
  </si>
  <si>
    <t>Pinche ac inox c/mgo Chef</t>
  </si>
  <si>
    <t>Cuchara ac inox c/mgo Che</t>
  </si>
  <si>
    <t>Cuchara calada ac inox c/</t>
  </si>
  <si>
    <t>Espatula lisa ac inox c/m</t>
  </si>
  <si>
    <t>Espatula de ac inox c/mgo</t>
  </si>
  <si>
    <t>Cuchara spaghetti c/mgo C</t>
  </si>
  <si>
    <t xml:space="preserve">DESTAPACA CORONA PINT. X </t>
  </si>
  <si>
    <t xml:space="preserve">ABRELATAS UÑAS           </t>
  </si>
  <si>
    <t xml:space="preserve">ROMPENUECES              </t>
  </si>
  <si>
    <t xml:space="preserve">SACAFUENTE               </t>
  </si>
  <si>
    <t>DESCORAZONADOR DE MANZANA</t>
  </si>
  <si>
    <t xml:space="preserve">ENRULADOR DE MANTECA     </t>
  </si>
  <si>
    <t xml:space="preserve">PELAPAPAS METALICO       </t>
  </si>
  <si>
    <t xml:space="preserve">CIERRA BOLSA X 4         </t>
  </si>
  <si>
    <t xml:space="preserve">AHUECA PAPA              </t>
  </si>
  <si>
    <t xml:space="preserve">AHUECA FRUTAS            </t>
  </si>
  <si>
    <t xml:space="preserve">SACACORCHO DOBLE ALETA   </t>
  </si>
  <si>
    <t>SACACORCHO TIPO MOZO COLO</t>
  </si>
  <si>
    <t>SACACOCRCHO COMBINADO COL</t>
  </si>
  <si>
    <t xml:space="preserve">CUCHARA HELADO           </t>
  </si>
  <si>
    <t>BOMB. RESORTE COLOR METAL</t>
  </si>
  <si>
    <t xml:space="preserve">FILTRO PARA BOMBILLA     </t>
  </si>
  <si>
    <t xml:space="preserve">CUCHARITA MATERA         </t>
  </si>
  <si>
    <t>BOMBILLA RESORTE TRADICIO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</si>
  <si>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</si>
  <si>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</si>
  <si>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</si>
  <si>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</si>
  <si>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 xml:space="preserve">BATIDOR PERA DISPLAY     </t>
  </si>
  <si>
    <t xml:space="preserve">CORTA QUESO              </t>
  </si>
  <si>
    <t xml:space="preserve">TAPON GASEOSA            </t>
  </si>
  <si>
    <t>TAPON DE GASEOSA X 2 NEGR</t>
  </si>
  <si>
    <t xml:space="preserve">CORTA TORTA              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</si>
  <si>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</si>
  <si>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</si>
  <si>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</si>
  <si>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</si>
  <si>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RALLADOR CILINDRICO      </t>
  </si>
  <si>
    <t xml:space="preserve">ESPATULA PALA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</si>
  <si>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</si>
  <si>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</si>
  <si>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</si>
  <si>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</si>
  <si>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</si>
  <si>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ESPATULA REPOSTERA PLAST </t>
  </si>
  <si>
    <t xml:space="preserve">PINZA HIELO DISPLAY      </t>
  </si>
  <si>
    <t xml:space="preserve">PALA TORTA               </t>
  </si>
  <si>
    <t xml:space="preserve">CUCHILLO DE TORTA        </t>
  </si>
  <si>
    <t xml:space="preserve">PALA DE CANELONES        </t>
  </si>
  <si>
    <t xml:space="preserve">CORTA RAVIOLES           </t>
  </si>
  <si>
    <t xml:space="preserve">CORTA PIZZA GRANDE       </t>
  </si>
  <si>
    <t xml:space="preserve">PINCEL PASTELERO         </t>
  </si>
  <si>
    <t xml:space="preserve">TOSTADOR                 </t>
  </si>
  <si>
    <t xml:space="preserve">TOSTADOR ENLOZADO        </t>
  </si>
  <si>
    <t xml:space="preserve">CUCHILLITOS DE UNTAR MGO </t>
  </si>
  <si>
    <t xml:space="preserve">ABRELATAS A MANIJA       </t>
  </si>
  <si>
    <t xml:space="preserve">PRENSA MATAMBRE DISPLAY  </t>
  </si>
  <si>
    <t>CUCHARA MADERA 35 DISPLAY</t>
  </si>
  <si>
    <t>CUCHARA MADERA 45 DISPLAY</t>
  </si>
  <si>
    <t xml:space="preserve">¥OQUERA DISPLAY          </t>
  </si>
  <si>
    <t xml:space="preserve">BATE BIFE DISPLAY        </t>
  </si>
  <si>
    <t>CUCHARA MADERA 30 DISPLAY</t>
  </si>
  <si>
    <t>CUCHARA MADERA 40 DISPLAY</t>
  </si>
  <si>
    <t>CUCHARA MADERA 25 DISPLAY</t>
  </si>
  <si>
    <t>Sac. Cabo Nylon</t>
  </si>
  <si>
    <t>Corta Pizza Mgo Chef 6Cm</t>
  </si>
  <si>
    <t>Filtro de Café Gastronomico 14Cm</t>
  </si>
  <si>
    <t>Cuchillito de Untar Plast x2</t>
  </si>
  <si>
    <t>Cuchillito Untar Mgo Madera x2</t>
  </si>
  <si>
    <t xml:space="preserve">TRES EN UNO VERDE        </t>
  </si>
  <si>
    <t>PINZA DE FIDEOS AC INOX V</t>
  </si>
  <si>
    <t>PISA PAPAS AC. INOX VERDE</t>
  </si>
  <si>
    <t>CUCHARON AC INOXIDABLE VE</t>
  </si>
  <si>
    <t xml:space="preserve">ESPUMADERA AC INOX VERDE </t>
  </si>
  <si>
    <t xml:space="preserve">CUCHARA AC INOX VERDE    </t>
  </si>
  <si>
    <t>CUCHARA CALADA AC INOX VE</t>
  </si>
  <si>
    <t>ABRELATAS MARIPOSA PLAST.</t>
  </si>
  <si>
    <t xml:space="preserve">PINZA DE FIAMBRE VERDE   </t>
  </si>
  <si>
    <t xml:space="preserve">ESPATULA LISA VERDE      </t>
  </si>
  <si>
    <t xml:space="preserve">DESTAPACORONA VERDE X1   </t>
  </si>
  <si>
    <t>ESPATULA ACERO INOX VERDE</t>
  </si>
  <si>
    <t xml:space="preserve">ABRELATA A MANIJA VERDE  </t>
  </si>
  <si>
    <t xml:space="preserve">ABRELATAS MARIPOSA VERDE </t>
  </si>
  <si>
    <t xml:space="preserve">ABRELATAS UÑA VERDE      </t>
  </si>
  <si>
    <t>PELAPAPAS MGO METALICO VE</t>
  </si>
  <si>
    <t>SACACORCHO DOBLE ALETA VE</t>
  </si>
  <si>
    <t xml:space="preserve">AHUECA PAPAS MGO VERDE   </t>
  </si>
  <si>
    <t>Cucharon ac inox mgo alam</t>
  </si>
  <si>
    <t>Espumadera mgo alamb crom</t>
  </si>
  <si>
    <t>Tenedor Ac Inox mgo alam</t>
  </si>
  <si>
    <t>Cuchara Salsera ac inox mgo alam</t>
  </si>
  <si>
    <t>Cuchara Calada ac inox mgo alam</t>
  </si>
  <si>
    <t>Espatula Lisa ac inox mgo alam</t>
  </si>
  <si>
    <t>Espatula Calada ac ino mgo alam</t>
  </si>
  <si>
    <t xml:space="preserve">SAC COMBINADO VERDE      </t>
  </si>
  <si>
    <t xml:space="preserve">PELA Y PICA AJO VERDE    </t>
  </si>
  <si>
    <t xml:space="preserve">CORTA QUESO VERDE        </t>
  </si>
  <si>
    <t>TAPON DE GASEOSA POR 1 VE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</si>
  <si>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</si>
  <si>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</si>
  <si>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</si>
  <si>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</si>
  <si>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 xml:space="preserve">PALA DE TORTA VERDE      </t>
  </si>
  <si>
    <t>PLATOS INDIV PIZZA X 6 VE</t>
  </si>
  <si>
    <t xml:space="preserve">PINCEL PASTELERO VERDE   </t>
  </si>
  <si>
    <t xml:space="preserve">SACAFUENTE DE ALAMBRE    </t>
  </si>
  <si>
    <t xml:space="preserve">ESP. NYLON VERDE 1 PZA   </t>
  </si>
  <si>
    <t xml:space="preserve">AFILA CUCHILLO           </t>
  </si>
  <si>
    <t xml:space="preserve">CORTA PIZZA VERDE        </t>
  </si>
  <si>
    <t>BOMBILLA RESORTE COLOR PL</t>
  </si>
  <si>
    <t>BOMB.  AUTOLIMPIANTE NIQU</t>
  </si>
  <si>
    <t xml:space="preserve">PALA DE CANELONES VERDE  </t>
  </si>
  <si>
    <t xml:space="preserve">CORTA RAVIOLES VERDE     </t>
  </si>
  <si>
    <t xml:space="preserve">MATE ENLOZADO 2 ASAS     </t>
  </si>
  <si>
    <t xml:space="preserve">BATIDOR PERA             </t>
  </si>
  <si>
    <t xml:space="preserve">BATIDOR COCKTAIL         </t>
  </si>
  <si>
    <t xml:space="preserve">PINZA HAMBURGUESA        </t>
  </si>
  <si>
    <t xml:space="preserve">COLADOR PINTADO N* 8     </t>
  </si>
  <si>
    <t xml:space="preserve">COLADOR PINTADO N* 10    </t>
  </si>
  <si>
    <t xml:space="preserve">COLADOR PINTADO N* 13    </t>
  </si>
  <si>
    <t xml:space="preserve">FILTRO PARA MATE Y CAFE  </t>
  </si>
  <si>
    <t xml:space="preserve">RALLADOR 1/2 CA¥A        </t>
  </si>
  <si>
    <t xml:space="preserve">PINCHE CHOCLO X2         </t>
  </si>
  <si>
    <t>CUCHARA MADERA 35 CM SUEL</t>
  </si>
  <si>
    <t xml:space="preserve">ÑOQUERA MADERA SUELTA    </t>
  </si>
  <si>
    <t xml:space="preserve">BATE BIFE                </t>
  </si>
  <si>
    <t>CUCHARA MADERA 30 CM SUEL</t>
  </si>
  <si>
    <t xml:space="preserve">ESPATULA                 </t>
  </si>
  <si>
    <t xml:space="preserve">ESPATULA REPOSTERA       </t>
  </si>
  <si>
    <t>CUCHARA MADERA 40 CM SUEL</t>
  </si>
  <si>
    <t>CUCHARA MADERA 25 CM SUEL</t>
  </si>
  <si>
    <t xml:space="preserve">PIZZERA 35 CM.                     </t>
  </si>
  <si>
    <t>PLATOS INDIVIDUALES PIZZA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</si>
  <si>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</si>
  <si>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</si>
  <si>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</si>
  <si>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</si>
  <si>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PINZA DE SPAGUETTI       </t>
  </si>
  <si>
    <t xml:space="preserve">PINZA DE HIELO           </t>
  </si>
  <si>
    <t xml:space="preserve">CUCHARA DE HELADO        </t>
  </si>
  <si>
    <t xml:space="preserve">TOSTADORA DE PAN METAL   </t>
  </si>
  <si>
    <t xml:space="preserve"> </t>
  </si>
  <si>
    <t xml:space="preserve">BATIDOR MANUAL           </t>
  </si>
  <si>
    <t xml:space="preserve">ESPATULA NYLON           </t>
  </si>
  <si>
    <t xml:space="preserve">CUCHARA CALADA NYLON     </t>
  </si>
  <si>
    <t xml:space="preserve">CUCHARA FIDEOS NYLON     </t>
  </si>
  <si>
    <t xml:space="preserve">CUCHARON NYLON           </t>
  </si>
  <si>
    <t xml:space="preserve">ESPATULA CALADA NYLON    </t>
  </si>
  <si>
    <t>109K</t>
  </si>
  <si>
    <t>113K</t>
  </si>
  <si>
    <t xml:space="preserve">SACACORCHO CABO MAD.     </t>
  </si>
  <si>
    <t>116K</t>
  </si>
  <si>
    <t>119K</t>
  </si>
  <si>
    <t>120K</t>
  </si>
  <si>
    <t xml:space="preserve">CORTA PIZZA ACERO INOX   </t>
  </si>
  <si>
    <t>125K</t>
  </si>
  <si>
    <t xml:space="preserve">DESCAROZADOR DE ACEITUNA </t>
  </si>
  <si>
    <t>127K</t>
  </si>
  <si>
    <t xml:space="preserve">BATIDORES CHICO X2       </t>
  </si>
  <si>
    <t>138K</t>
  </si>
  <si>
    <t>141K</t>
  </si>
  <si>
    <t xml:space="preserve">RALLADOR CHICO           </t>
  </si>
  <si>
    <t>143K</t>
  </si>
  <si>
    <t>145K</t>
  </si>
  <si>
    <t>PINZA ENSALADA ACERO INOX</t>
  </si>
  <si>
    <t>146K</t>
  </si>
  <si>
    <t>PINZA DE FIAMBRE ACERO IN</t>
  </si>
  <si>
    <t>147K</t>
  </si>
  <si>
    <t>PINZA DE FIDEOS ACERO INO</t>
  </si>
  <si>
    <t>148K</t>
  </si>
  <si>
    <t>149K</t>
  </si>
  <si>
    <t xml:space="preserve">ÑOQUERA DE MADERA        </t>
  </si>
  <si>
    <t>154K</t>
  </si>
  <si>
    <t>159K</t>
  </si>
  <si>
    <t xml:space="preserve">PRENSA MATAMBRE          </t>
  </si>
  <si>
    <t>165K</t>
  </si>
  <si>
    <t xml:space="preserve">CUCHARA DE MADERA 45CM   </t>
  </si>
  <si>
    <t>178K</t>
  </si>
  <si>
    <t xml:space="preserve">abrelata doble engranaje </t>
  </si>
  <si>
    <t>179K</t>
  </si>
  <si>
    <t xml:space="preserve">TAPON DE GASEOSA KREA X1 </t>
  </si>
  <si>
    <t>180K</t>
  </si>
  <si>
    <t>COLADOR 10 CM PINTADO BCO</t>
  </si>
  <si>
    <t>181K</t>
  </si>
  <si>
    <t>COLADOR 20CM PINTADO BCO.</t>
  </si>
  <si>
    <t>182K</t>
  </si>
  <si>
    <t xml:space="preserve">COLADOR 8 CM PINTADO BCO </t>
  </si>
  <si>
    <t>183K</t>
  </si>
  <si>
    <t>COLADOR 13 CM PINTADO BCO</t>
  </si>
  <si>
    <t>184K</t>
  </si>
  <si>
    <t>185K</t>
  </si>
  <si>
    <t xml:space="preserve">PINZA Del CHEF           </t>
  </si>
  <si>
    <t>188K</t>
  </si>
  <si>
    <t xml:space="preserve">PINZA GASTRONOMICA ACERO </t>
  </si>
  <si>
    <t>195K</t>
  </si>
  <si>
    <t xml:space="preserve">DESTAPACORONA KREA X1    </t>
  </si>
  <si>
    <t>196K</t>
  </si>
  <si>
    <t xml:space="preserve">CUCHARA CALADA NYLON1PZA </t>
  </si>
  <si>
    <t>197K</t>
  </si>
  <si>
    <t>CUCHARA FIDEOS NYLON 1PZA</t>
  </si>
  <si>
    <t>198K</t>
  </si>
  <si>
    <t xml:space="preserve">CUCHARON NYLON 1 PZA     </t>
  </si>
  <si>
    <t>199K</t>
  </si>
  <si>
    <t>ESPATULA CALADA NYLON 1PZ</t>
  </si>
  <si>
    <t>252K</t>
  </si>
  <si>
    <t>PELADOR MGO PLASTICO KREA</t>
  </si>
  <si>
    <t>262K</t>
  </si>
  <si>
    <t xml:space="preserve">SACACORCHO FISH KREA     </t>
  </si>
  <si>
    <t>263K</t>
  </si>
  <si>
    <t xml:space="preserve">RALLADOR KREA            </t>
  </si>
  <si>
    <t>716S</t>
  </si>
  <si>
    <t>DESTAPA CORONA SUELTO PIN</t>
  </si>
  <si>
    <t xml:space="preserve">802EN12   </t>
  </si>
  <si>
    <t>912D</t>
  </si>
  <si>
    <t xml:space="preserve">TENEDOR DISPLAY          </t>
  </si>
  <si>
    <t>915D</t>
  </si>
  <si>
    <t xml:space="preserve">ESPATULA DISPLAY         </t>
  </si>
  <si>
    <t>916D</t>
  </si>
  <si>
    <t>ESPATULA REPOSTERA DISPLA</t>
  </si>
  <si>
    <t>DESCAROZADOR DE ACEITUNAS</t>
  </si>
  <si>
    <t>PINZA CHICA REFORZADA PAR</t>
  </si>
  <si>
    <t xml:space="preserve">PINCHE BROCHETTE POR 4   </t>
  </si>
  <si>
    <t xml:space="preserve">PELADOR MGO PLASTICO     </t>
  </si>
  <si>
    <t xml:space="preserve">SACACORCHO ESPUMANTE     </t>
  </si>
  <si>
    <t>SAC.DOBLE ALETA LINEA NUE</t>
  </si>
  <si>
    <t>BOMBILLA BASICA CORTA CUR</t>
  </si>
  <si>
    <t>BOMBILLA BASICA CORTA REC</t>
  </si>
  <si>
    <t>BOMBILLA COCO CURVA  ENTR</t>
  </si>
  <si>
    <t xml:space="preserve">SACA YERBA               </t>
  </si>
  <si>
    <t>BOMB.SUPER NIQUEL.LARG.RE</t>
  </si>
  <si>
    <t>BOMB.SUPER NIQUEL.LARG.CU</t>
  </si>
  <si>
    <t xml:space="preserve">MATE CALABAZA S/VIROLA   </t>
  </si>
  <si>
    <t xml:space="preserve">PELA Y PICA AJO DE ACERO </t>
  </si>
  <si>
    <t xml:space="preserve">MATE CALABAZA C/VIROLA   </t>
  </si>
  <si>
    <t xml:space="preserve">MATE FORRADO             </t>
  </si>
  <si>
    <t xml:space="preserve">PINZA GRANDE DISPLAY     </t>
  </si>
  <si>
    <t xml:space="preserve">COLADOR 13               </t>
  </si>
  <si>
    <t xml:space="preserve">COLADOR 16 CM            </t>
  </si>
  <si>
    <t xml:space="preserve">COLADOR 20 CM            </t>
  </si>
  <si>
    <t xml:space="preserve">TENEDOR COPETIN X 6      </t>
  </si>
  <si>
    <t xml:space="preserve">PINCHE CHOCLO            </t>
  </si>
  <si>
    <t>SET X 3 ESPATULAS PLASTIC</t>
  </si>
  <si>
    <t xml:space="preserve">TENEDOR                  </t>
  </si>
  <si>
    <t>110K</t>
  </si>
  <si>
    <t xml:space="preserve">ABRELATAS MANIJA KREA    </t>
  </si>
  <si>
    <t>111K</t>
  </si>
  <si>
    <t xml:space="preserve">ABRELATAS MARIPOSA KREA  </t>
  </si>
  <si>
    <t>112K</t>
  </si>
  <si>
    <t xml:space="preserve">ABRELATA UÑA             </t>
  </si>
  <si>
    <t>114K</t>
  </si>
  <si>
    <t>SACACORCHO COMBINADO PINT</t>
  </si>
  <si>
    <t>115K</t>
  </si>
  <si>
    <t>SACACORCHO TIPO MOZO PINT</t>
  </si>
  <si>
    <t>118K</t>
  </si>
  <si>
    <t>121K</t>
  </si>
  <si>
    <t>126K</t>
  </si>
  <si>
    <t xml:space="preserve">PELADOR MGO METALICO     </t>
  </si>
  <si>
    <t>128K</t>
  </si>
  <si>
    <t>129K</t>
  </si>
  <si>
    <t xml:space="preserve">CUCHILLO DE UNTAE X2     </t>
  </si>
  <si>
    <t>150K</t>
  </si>
  <si>
    <t xml:space="preserve">CUCHARA DE MADERA 35CM   </t>
  </si>
  <si>
    <t>163K</t>
  </si>
  <si>
    <t>CUCHARA DE MADERA DE 30 C</t>
  </si>
  <si>
    <t xml:space="preserve">COLADOR 7 CM             </t>
  </si>
  <si>
    <t>Cons
Mens Paq</t>
  </si>
  <si>
    <t>CUCHILLO TORTA ACERO INOXIDABLE</t>
  </si>
  <si>
    <t>DESTAPADOR PIE CROMADO</t>
  </si>
  <si>
    <t>BOMBILLA COCO HEXAGONAL</t>
  </si>
  <si>
    <t>CUCHILLO DE UNTAR CUCH PLAST</t>
  </si>
  <si>
    <t>COLADOR N°20</t>
  </si>
  <si>
    <t>Cuando se pida, agregar firma Loeke</t>
  </si>
  <si>
    <t>FECHA:</t>
  </si>
  <si>
    <t xml:space="preserve">COLADOR N°16     </t>
  </si>
  <si>
    <t xml:space="preserve">COLADOR N° 20 CM.   </t>
  </si>
  <si>
    <t>A9B</t>
  </si>
  <si>
    <t>A7B</t>
  </si>
  <si>
    <t>Loekemeyer Hnos. S.R.L</t>
  </si>
  <si>
    <t>558D</t>
  </si>
  <si>
    <t>368E</t>
  </si>
  <si>
    <t>369E</t>
  </si>
  <si>
    <t>Articulos  Discontinuos</t>
  </si>
  <si>
    <t xml:space="preserve">Articulos Proximamente </t>
  </si>
  <si>
    <t>No tocar (Solo para estadistica)</t>
  </si>
  <si>
    <t xml:space="preserve">Rallador Cilindrico  </t>
  </si>
  <si>
    <t>Tabla Pino 22*40</t>
  </si>
  <si>
    <t>Cuchara de Fideos Nylon Mgo GE</t>
  </si>
  <si>
    <t xml:space="preserve">Pinza Grande Proximamente          </t>
  </si>
  <si>
    <r>
      <t>Colador N°13</t>
    </r>
    <r>
      <rPr>
        <sz val="13"/>
        <color rgb="FFFF0000"/>
        <rFont val="Calibri"/>
        <family val="2"/>
        <scheme val="minor"/>
      </rPr>
      <t xml:space="preserve"> Discontinuo   </t>
    </r>
    <r>
      <rPr>
        <sz val="13"/>
        <color theme="1"/>
        <rFont val="Calibri"/>
        <family val="2"/>
        <scheme val="minor"/>
      </rPr>
      <t xml:space="preserve">     </t>
    </r>
  </si>
  <si>
    <t xml:space="preserve">Mate Forrado             </t>
  </si>
  <si>
    <t xml:space="preserve">Mate Calabaza C/Virola   </t>
  </si>
  <si>
    <t xml:space="preserve">Mate Calabaza S/Virola   </t>
  </si>
  <si>
    <t>Palo Amasar 30cm</t>
  </si>
  <si>
    <t>Palo Amasar 50cm</t>
  </si>
  <si>
    <t>Palo Amasar 40cm</t>
  </si>
  <si>
    <t>Tenedor De Copetin X 6 Un</t>
  </si>
  <si>
    <t>Pinza Articulada Gastro Proximamente</t>
  </si>
  <si>
    <t xml:space="preserve">Pinza Grande             </t>
  </si>
  <si>
    <t>Pinche De Choclo X 4 Unid</t>
  </si>
  <si>
    <t xml:space="preserve">Sacacorcho De Espumantes </t>
  </si>
  <si>
    <t>Plato De Picada P.P 21 Cm</t>
  </si>
  <si>
    <t>Sacacorcho Doble Aleta Lu</t>
  </si>
  <si>
    <r>
      <t xml:space="preserve">Colador N°7 </t>
    </r>
    <r>
      <rPr>
        <sz val="13"/>
        <color rgb="FFFF0000"/>
        <rFont val="Calibri"/>
        <family val="2"/>
        <scheme val="minor"/>
      </rPr>
      <t>Discontinuo</t>
    </r>
  </si>
  <si>
    <t xml:space="preserve">Sacaf Alamb Proximamente    </t>
  </si>
  <si>
    <t>Sacacorchos Tipo Mozo Suelto</t>
  </si>
  <si>
    <t>Pizzera 35 cm</t>
  </si>
  <si>
    <t>Espatula Calada Nylon Mgo GE</t>
  </si>
  <si>
    <t>Cucharon Nylon Mgo GE</t>
  </si>
  <si>
    <t>Abrelata Mariposa Mgo GE</t>
  </si>
  <si>
    <t>Pela y Pica ajo</t>
  </si>
  <si>
    <t>690E</t>
  </si>
  <si>
    <t>139K</t>
  </si>
  <si>
    <t>111E</t>
  </si>
  <si>
    <t>263KE</t>
  </si>
  <si>
    <t>457E</t>
  </si>
  <si>
    <t>691E</t>
  </si>
  <si>
    <t>701E</t>
  </si>
  <si>
    <t>703E</t>
  </si>
  <si>
    <t>734E</t>
  </si>
  <si>
    <t>802E</t>
  </si>
  <si>
    <t>808E</t>
  </si>
  <si>
    <t>876E</t>
  </si>
  <si>
    <t>640IN</t>
  </si>
  <si>
    <t>643IN</t>
  </si>
  <si>
    <t>645IN</t>
  </si>
  <si>
    <t>646IN</t>
  </si>
  <si>
    <t>908f</t>
  </si>
  <si>
    <t>113KE</t>
  </si>
  <si>
    <t>178KE</t>
  </si>
  <si>
    <t>909S</t>
  </si>
  <si>
    <t>142K</t>
  </si>
  <si>
    <t>169K</t>
  </si>
  <si>
    <t>815D</t>
  </si>
  <si>
    <t>820S</t>
  </si>
  <si>
    <t>821S</t>
  </si>
  <si>
    <t>822S</t>
  </si>
  <si>
    <t>53f</t>
  </si>
  <si>
    <t>54f</t>
  </si>
  <si>
    <t>55f</t>
  </si>
  <si>
    <t xml:space="preserve">Pinza De Ensalada*Arte*  </t>
  </si>
  <si>
    <t xml:space="preserve">Espumadera Nylon C/Mgo </t>
  </si>
  <si>
    <t xml:space="preserve">Mariposa Magnetica            </t>
  </si>
  <si>
    <t>Sacacorcho Ergonomico Plast</t>
  </si>
  <si>
    <t xml:space="preserve">Colador 7 Cm             </t>
  </si>
  <si>
    <t>Afila Cuchillo Mgo GE</t>
  </si>
  <si>
    <t>COLADOR 16 CM</t>
  </si>
  <si>
    <t>COLADOR 20 CM</t>
  </si>
  <si>
    <t xml:space="preserve">Pinza Grande Display     </t>
  </si>
  <si>
    <t>PLATOS INDIVIDUALES PIZZA X 6</t>
  </si>
  <si>
    <t xml:space="preserve">Abrelatas Manija Krea    </t>
  </si>
  <si>
    <t xml:space="preserve">Abrelatas Mariposa Krea  </t>
  </si>
  <si>
    <t xml:space="preserve">Abrelata Uña             </t>
  </si>
  <si>
    <t>Sacacorcho Combinado Pint</t>
  </si>
  <si>
    <t>Sacacorcho Tipo Mozo Pint</t>
  </si>
  <si>
    <t xml:space="preserve">Batidor Pera             </t>
  </si>
  <si>
    <t xml:space="preserve">Cuchillo De Untae X2     </t>
  </si>
  <si>
    <t>Pisa Papa</t>
  </si>
  <si>
    <t xml:space="preserve">Cuchara De Madera 35Cm   </t>
  </si>
  <si>
    <t>Cuchara De Madera De 30 C</t>
  </si>
  <si>
    <t>Pinche Brochette X4</t>
  </si>
  <si>
    <t>Bombilla Basica Corta Cur</t>
  </si>
  <si>
    <t>Bombilla Basica Corta Rec</t>
  </si>
  <si>
    <t>Bomb Super Niquelada Recta</t>
  </si>
  <si>
    <t>Bombilla Coco Curva  Entr</t>
  </si>
  <si>
    <t>Bomb.Super Niquel.Larg.Cu</t>
  </si>
  <si>
    <t>Mate Forrado</t>
  </si>
  <si>
    <t xml:space="preserve">Palo de Amasar 30Cm  </t>
  </si>
  <si>
    <t>Palo de Amasar 40Cm</t>
  </si>
  <si>
    <t xml:space="preserve">Palo de Amasar de 50Cm </t>
  </si>
  <si>
    <t xml:space="preserve">Abrelata Mariposa Blanco </t>
  </si>
  <si>
    <t xml:space="preserve">Colador Acero Inox.10Cm  </t>
  </si>
  <si>
    <t xml:space="preserve">Colador Acero Inox.14 Cm </t>
  </si>
  <si>
    <t xml:space="preserve">Colador Acero Inox.16 Cm </t>
  </si>
  <si>
    <t xml:space="preserve">Colador Acero Inox.20 Cm </t>
  </si>
  <si>
    <t>Colador Metal Perforado A</t>
  </si>
  <si>
    <t>Colador Extensible 34X24X</t>
  </si>
  <si>
    <t>Sacacorcho Doble Impul Ve</t>
  </si>
  <si>
    <t>Batidor Pera C/Mgo Acero Inox</t>
  </si>
  <si>
    <t xml:space="preserve">Abrelata Manija Familiar </t>
  </si>
  <si>
    <t xml:space="preserve">Abrelata Doble Engranaje </t>
  </si>
  <si>
    <t>Sacacorcho "Fish" C/Corta</t>
  </si>
  <si>
    <t xml:space="preserve">Corta Huevo Ergonomico   </t>
  </si>
  <si>
    <t>Batidor Pera Mgo Ergonomi</t>
  </si>
  <si>
    <t xml:space="preserve">Rallador Mgo Ergonomico  </t>
  </si>
  <si>
    <t>Colador Mate/Cafe</t>
  </si>
  <si>
    <t xml:space="preserve">Pela Y Pica Ajo De Acero </t>
  </si>
  <si>
    <t xml:space="preserve">Colador 13               </t>
  </si>
  <si>
    <t>Pinche De Choclo X4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</si>
  <si>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</si>
  <si>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</si>
  <si>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</si>
  <si>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</si>
  <si>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Pela Papa Comun Metal    </t>
  </si>
  <si>
    <t>Cortador De Piza (Redondo</t>
  </si>
  <si>
    <t xml:space="preserve">Colador N§8              </t>
  </si>
  <si>
    <t xml:space="preserve">Colador N§10             </t>
  </si>
  <si>
    <t xml:space="preserve">Colador N§16             </t>
  </si>
  <si>
    <t xml:space="preserve">Pinza De Spaguetti       </t>
  </si>
  <si>
    <t xml:space="preserve">Tostadora De Pan Metal   </t>
  </si>
  <si>
    <t xml:space="preserve">Batidor Manual           </t>
  </si>
  <si>
    <t xml:space="preserve">Espatula Nylon           </t>
  </si>
  <si>
    <t xml:space="preserve">Cuchara Calada Nylon </t>
  </si>
  <si>
    <t xml:space="preserve">Cuchara Fideos Nylon     </t>
  </si>
  <si>
    <t xml:space="preserve">Cucharon Nylon           </t>
  </si>
  <si>
    <t xml:space="preserve">Espatula Calada Nylon    </t>
  </si>
  <si>
    <t xml:space="preserve">Pisa Papas Nylon         </t>
  </si>
  <si>
    <t xml:space="preserve">Cucharon Acero Inox.     </t>
  </si>
  <si>
    <t xml:space="preserve">Cuchara Acero Inox.      </t>
  </si>
  <si>
    <t xml:space="preserve">Espatula Lisa            </t>
  </si>
  <si>
    <t xml:space="preserve">Tres En Uno Verde        </t>
  </si>
  <si>
    <t>Ahueca Papas</t>
  </si>
  <si>
    <t>Cuchara Salsera Ac Inox Mgo Alam</t>
  </si>
  <si>
    <t>Cuchara Calada Ac Inox Mgo Alam</t>
  </si>
  <si>
    <t xml:space="preserve">Corta Queso Verde        </t>
  </si>
  <si>
    <t xml:space="preserve">Batidor Cocktail         </t>
  </si>
  <si>
    <t>Pinza Hamburguesas</t>
  </si>
  <si>
    <t xml:space="preserve">Colador Pintado N* 10    </t>
  </si>
  <si>
    <t xml:space="preserve">Rallador 1/2 Ca¥A        </t>
  </si>
  <si>
    <t>Rallador Queso Marco Plas</t>
  </si>
  <si>
    <t xml:space="preserve">Cuchara De Cocina 33Cm   </t>
  </si>
  <si>
    <t>Tabla De Pino N§3 (39X22)</t>
  </si>
  <si>
    <t xml:space="preserve">Sacacorcho Cabo Mad.     </t>
  </si>
  <si>
    <t xml:space="preserve">Sacacorcho Cabo Madera   </t>
  </si>
  <si>
    <t xml:space="preserve">Corta Pizza Acero Inox   </t>
  </si>
  <si>
    <t>Colador 10 Cm Pintado Bco</t>
  </si>
  <si>
    <t>Colador 13 Cm Pintado Bco</t>
  </si>
  <si>
    <t>Pelador Mgo Plastico Krea</t>
  </si>
  <si>
    <t>Ñoquera Suelta</t>
  </si>
  <si>
    <t xml:space="preserve">Rallador Chico           </t>
  </si>
  <si>
    <t xml:space="preserve">Rallador Media Caña      </t>
  </si>
  <si>
    <t>Pinza Ensalada Acero Inox</t>
  </si>
  <si>
    <t>Pinza De Fiambre Acero In</t>
  </si>
  <si>
    <t>Pinza De Fideos Acero Ino</t>
  </si>
  <si>
    <t xml:space="preserve">Ñoquera De Madera        </t>
  </si>
  <si>
    <t xml:space="preserve">Bate Bife                </t>
  </si>
  <si>
    <t xml:space="preserve">Palo De Amasar De 40 Cm  </t>
  </si>
  <si>
    <t xml:space="preserve">Tapon De Gaseosa Krea X1 </t>
  </si>
  <si>
    <t xml:space="preserve">Rompenueces </t>
  </si>
  <si>
    <t xml:space="preserve">Pinza Del Chef           </t>
  </si>
  <si>
    <t xml:space="preserve">Pinza Gastronomica Acero </t>
  </si>
  <si>
    <t xml:space="preserve">Destapacorona Krea X1    </t>
  </si>
  <si>
    <t xml:space="preserve">Cuchara Calada Nylon1Pza </t>
  </si>
  <si>
    <t>Cuchara Fideos Nylon 1Pza</t>
  </si>
  <si>
    <t>Espatula Calada Nylon 1Pz</t>
  </si>
  <si>
    <t>Destapa Corona Suelto</t>
  </si>
  <si>
    <t>Pinza Hamburguesa Display</t>
  </si>
  <si>
    <t xml:space="preserve">Tapon Cebador P/Termo 1L </t>
  </si>
  <si>
    <t>Tapon Cebador P/Termo T/L</t>
  </si>
  <si>
    <t>Tapon Cebador P/Termo A/I</t>
  </si>
  <si>
    <t>Colador 20Cm Pintado Bco.</t>
  </si>
  <si>
    <t xml:space="preserve">Pelador Nueva Cocina     </t>
  </si>
  <si>
    <t xml:space="preserve">Pinza De Fiambre*Arte*   </t>
  </si>
  <si>
    <t xml:space="preserve">Pinza De Ensaladas*Arte* </t>
  </si>
  <si>
    <t xml:space="preserve">Pinza De Fideos*Arte*    </t>
  </si>
  <si>
    <t>Sacacorcho Doble Aleta Ve</t>
  </si>
  <si>
    <t>Cucharon Ac Inox Mgo Alam</t>
  </si>
  <si>
    <t xml:space="preserve">Mate Enlozado 2 Asas     </t>
  </si>
  <si>
    <t>Bomb.  Autolimpiante Niqu</t>
  </si>
  <si>
    <t>Pinza De Fideos Ac Inox V</t>
  </si>
  <si>
    <t>Pisa Papas Ac. Inox Verde</t>
  </si>
  <si>
    <t xml:space="preserve">Cucharon Ac.Inox.Verde   </t>
  </si>
  <si>
    <t>Espumadera Acero Inoxidab</t>
  </si>
  <si>
    <t>Cuchara Acero Inox Ve</t>
  </si>
  <si>
    <t>Cuchara Calada Ac.Inox.Ve</t>
  </si>
  <si>
    <t>Pinza Fiambrera Ac Inox</t>
  </si>
  <si>
    <t>Espatula Lisa Verde</t>
  </si>
  <si>
    <t xml:space="preserve">Destapacorona Verde X1   </t>
  </si>
  <si>
    <t>Espatula Acero Inox.Verde</t>
  </si>
  <si>
    <t xml:space="preserve">Abrelatas Mariposa Verde </t>
  </si>
  <si>
    <t>Pelapapas Mgo Metalico Ve</t>
  </si>
  <si>
    <t xml:space="preserve">Ahueca Papas Mgo Verde   </t>
  </si>
  <si>
    <t>Sacacorcho Comb Vde</t>
  </si>
  <si>
    <t xml:space="preserve">Pela Y Pica Ajo Verde    </t>
  </si>
  <si>
    <t>Tapon De Gaseosa Por 1 Ve</t>
  </si>
  <si>
    <t>Pincel Pastelero Vde</t>
  </si>
  <si>
    <t>Sacafuente Alambre Horno El</t>
  </si>
  <si>
    <t xml:space="preserve">Esp. Nylon Verde 1 Pza   </t>
  </si>
  <si>
    <t>Espumadera Mgo Alamb Crom</t>
  </si>
  <si>
    <t>Tenedor Ac Inox Mgo Alam</t>
  </si>
  <si>
    <t>Espatula Lisa Ac Inox Mgo Alam</t>
  </si>
  <si>
    <t>Espatula Calada Ac Ino Mgo Alam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</si>
  <si>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</si>
  <si>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</si>
  <si>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</si>
  <si>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</si>
  <si>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>Pala Torta Inox Vde</t>
  </si>
  <si>
    <t xml:space="preserve">Pala De Canelones Verde  </t>
  </si>
  <si>
    <t>Sacacorcho Ergonomico Plast Regalo</t>
  </si>
  <si>
    <t>Bombilla Coco Bolita Regalo</t>
  </si>
  <si>
    <t>Esta en Consumo?</t>
  </si>
  <si>
    <t>UxB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</si>
  <si>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</si>
  <si>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</si>
  <si>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</si>
  <si>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</si>
  <si>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</si>
  <si>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</si>
  <si>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</si>
  <si>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</si>
  <si>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</si>
  <si>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 xml:space="preserve">Ñoquera MADERA   Redonda                 </t>
  </si>
  <si>
    <t>735EX</t>
  </si>
  <si>
    <t>748EX</t>
  </si>
  <si>
    <t>en uso cajas</t>
  </si>
  <si>
    <t>Pelador Ergonomico Loke</t>
  </si>
  <si>
    <t>Sac  Ergo  Loke</t>
  </si>
  <si>
    <t>Pisa Papas  Loke</t>
  </si>
  <si>
    <t>Corta Pizza Loke</t>
  </si>
  <si>
    <t>ORDEN DE COMPRA</t>
  </si>
  <si>
    <t>CUIT:</t>
  </si>
  <si>
    <t>30-51584245-0</t>
  </si>
  <si>
    <t>DIRECCION:</t>
  </si>
  <si>
    <t>Cervantes 2868</t>
  </si>
  <si>
    <t>LOCALIDAD:</t>
  </si>
  <si>
    <t>Villa Devoto, CABA</t>
  </si>
  <si>
    <t>FECHA PEDIDO:</t>
  </si>
  <si>
    <t>RAZON SOCIAL:</t>
  </si>
  <si>
    <t>COD PROV:</t>
  </si>
  <si>
    <t>ENTREGA EN:</t>
  </si>
  <si>
    <t>ESTE PEDIDO ANULA CUALQUIER PEDIDO ANTERIOR</t>
  </si>
  <si>
    <t>N° Ord</t>
  </si>
  <si>
    <t>30-68575625-7</t>
  </si>
  <si>
    <t>Virgilio 2788</t>
  </si>
  <si>
    <t>Cernidor de Harina</t>
  </si>
  <si>
    <t>Colador de Pasta</t>
  </si>
  <si>
    <t>Colador Extensible</t>
  </si>
  <si>
    <t>035E</t>
  </si>
  <si>
    <t>582E</t>
  </si>
  <si>
    <t>590E</t>
  </si>
  <si>
    <t>Pincel Silicona 11grs.</t>
  </si>
  <si>
    <t>583E</t>
  </si>
  <si>
    <t>Salero</t>
  </si>
  <si>
    <t>Especiero Bamboo</t>
  </si>
  <si>
    <t>CORRUGADORA del PLATA</t>
  </si>
  <si>
    <t>Prioridad</t>
  </si>
  <si>
    <t>Antes de mandar, colocar en columna A (Prioridad) el orden en que quieras que entregue</t>
  </si>
  <si>
    <t>Pedido Alan</t>
  </si>
  <si>
    <t>E.Madre Uni x Mes</t>
  </si>
  <si>
    <t>102E</t>
  </si>
  <si>
    <t>Abr Uña Pint Loke</t>
  </si>
  <si>
    <t>106E</t>
  </si>
  <si>
    <t xml:space="preserve"> Ø 16 Env. Loke</t>
  </si>
  <si>
    <t>Colador  N°20  Loke</t>
  </si>
  <si>
    <t>Corta Quesos  Mgo Alamb Loke</t>
  </si>
  <si>
    <t>123E</t>
  </si>
  <si>
    <t xml:space="preserve">Pelador Plastico </t>
  </si>
  <si>
    <t>124E</t>
  </si>
  <si>
    <t>Sac Negro Premiun Loke</t>
  </si>
  <si>
    <t>Pelador  Ergo  Loke</t>
  </si>
  <si>
    <t>Tostador Enlozado Loke</t>
  </si>
  <si>
    <t>538E</t>
  </si>
  <si>
    <t>Sacacorcho Azul</t>
  </si>
  <si>
    <t>539E</t>
  </si>
  <si>
    <t>Sacacorcho Negro</t>
  </si>
  <si>
    <t>540E</t>
  </si>
  <si>
    <t>Sacacorcho Premium</t>
  </si>
  <si>
    <t>Especiero Salero-</t>
  </si>
  <si>
    <t>Set x3 Especiero / Salero Dobl-</t>
  </si>
  <si>
    <t>584E</t>
  </si>
  <si>
    <t>Aceitera 400 Ml-</t>
  </si>
  <si>
    <t>Pincel Silicona 11 Gms</t>
  </si>
  <si>
    <t>601E</t>
  </si>
  <si>
    <t>Pinza 30cm Ac. Puntera Silic</t>
  </si>
  <si>
    <t>Mate autocebante</t>
  </si>
  <si>
    <t>Cernidor Harina Ac. Inox.</t>
  </si>
  <si>
    <t>589E</t>
  </si>
  <si>
    <t>Pelador Mgo Plastico Celestes</t>
  </si>
  <si>
    <t>606E</t>
  </si>
  <si>
    <t>Pinza 30 cm Ac Inox c/ Silic</t>
  </si>
  <si>
    <t>607E</t>
  </si>
  <si>
    <t>Pinza Hielo 15 cm</t>
  </si>
  <si>
    <t>870E</t>
  </si>
  <si>
    <t>Mandolina Rallador</t>
  </si>
  <si>
    <t>932E</t>
  </si>
  <si>
    <t>Cuchara Nylon Mgo Madera</t>
  </si>
  <si>
    <t>933E</t>
  </si>
  <si>
    <t>Cucharon Nylon Mgo Madera</t>
  </si>
  <si>
    <t>934E</t>
  </si>
  <si>
    <t>Cuchara Fideos Nylon Mgo Mad</t>
  </si>
  <si>
    <t>935E</t>
  </si>
  <si>
    <t>Espatula Calada Nylon Mgo Mad</t>
  </si>
  <si>
    <t>936E</t>
  </si>
  <si>
    <t>Cuchara Calada Nylon Mgo Mad</t>
  </si>
  <si>
    <t>937E</t>
  </si>
  <si>
    <t>Batidor Pera  Nylon Mgo Mad</t>
  </si>
  <si>
    <t>952E</t>
  </si>
  <si>
    <t>Cuchara Silicona Mgo Bambú</t>
  </si>
  <si>
    <t>953E</t>
  </si>
  <si>
    <t>Cucharon Silicona Mgo Bambú</t>
  </si>
  <si>
    <t>955E</t>
  </si>
  <si>
    <t>Espatula Calad Silic Mgo Bambú</t>
  </si>
  <si>
    <t>960E</t>
  </si>
  <si>
    <t>Pincel Silicona 48 Gms</t>
  </si>
  <si>
    <t>890E</t>
  </si>
  <si>
    <t>Tapon De Gaseosa X 1 Negr</t>
  </si>
  <si>
    <t>Est Madre Uni</t>
  </si>
  <si>
    <t>Uni Suelta</t>
  </si>
  <si>
    <t>Conteo Cerv Paq</t>
  </si>
  <si>
    <t>Conteo Virg Uni</t>
  </si>
  <si>
    <t>Para definir prioridad, filtrar columna K (solo pedido), ordenar Columna L de Menor a Mayor</t>
  </si>
  <si>
    <t>Colador 16cm</t>
  </si>
  <si>
    <t>Colador 20cm</t>
  </si>
  <si>
    <t>ORDEN PEDIDO Cajas Corrugadora del Plata Te:1166885428</t>
  </si>
  <si>
    <t>codigo Isis Ch</t>
  </si>
  <si>
    <t xml:space="preserve">Pedido Alan Unidades </t>
  </si>
  <si>
    <t>Max Paquetes Entra Cerv + Virg</t>
  </si>
  <si>
    <t>Cons E/Madre Cajas x Mes</t>
  </si>
  <si>
    <t>Sacacorcho Zincado</t>
  </si>
  <si>
    <t>Corta Queso Mgo Alambre</t>
  </si>
  <si>
    <t>Cucharita Azucarera 13cm</t>
  </si>
  <si>
    <t>Corta Quesos Mgo Alamb Loke</t>
  </si>
  <si>
    <t>240*167*113</t>
  </si>
  <si>
    <t>270*165*115</t>
  </si>
  <si>
    <t>410*225*145</t>
  </si>
  <si>
    <t>280*247*162</t>
  </si>
  <si>
    <t>405*218*210</t>
  </si>
  <si>
    <t>320*215*100</t>
  </si>
  <si>
    <t>285*170*140</t>
  </si>
  <si>
    <t>325*315*190</t>
  </si>
  <si>
    <t>100*165*210</t>
  </si>
  <si>
    <t>540*205*100</t>
  </si>
  <si>
    <t>600*360*270</t>
  </si>
  <si>
    <t>210*140*80</t>
  </si>
  <si>
    <t>Medidas (mm)</t>
  </si>
  <si>
    <t>145*370*150</t>
  </si>
  <si>
    <t>140*470*150</t>
  </si>
  <si>
    <t>Cod ISIS</t>
  </si>
  <si>
    <t>Paq Cerv</t>
  </si>
  <si>
    <t>Paq a Enviar</t>
  </si>
  <si>
    <t>Paq Virg</t>
  </si>
  <si>
    <t>Max Cerv</t>
  </si>
  <si>
    <t>Envio de Virg a Cervantes</t>
  </si>
  <si>
    <t>codigo ISIS Lk</t>
  </si>
  <si>
    <t>Chef SRL</t>
  </si>
  <si>
    <t>Villa Real, CABA</t>
  </si>
  <si>
    <t>FACTURAR   Loekemeyer 70% Chef 30%</t>
  </si>
  <si>
    <t>Emp</t>
  </si>
  <si>
    <t>Uni a FC</t>
  </si>
  <si>
    <t>Fecha Pos Ent</t>
  </si>
  <si>
    <t>Fecha Ent</t>
  </si>
  <si>
    <t>Uni Ent</t>
  </si>
  <si>
    <t>Corrugadora</t>
  </si>
  <si>
    <t>Set de Taper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</si>
</sst>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dd/mm/yy;@"/>
    <numFmt numFmtId="167" formatCode="0.0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20"/>
      <color theme="3" tint="0.3999755851924192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/>
    <xf numFmtId="0" fontId="37" fillId="0" borderId="0"/>
  </cellStyleXfs>
  <cellXfs count="3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7" xfId="0" applyNumberFormat="1" applyFont="1" applyBorder="1" applyAlignment="1">
      <alignment horizontal="center" vertical="center"/>
    </xf>
    <xf numFmtId="164" fontId="4" fillId="0" borderId="0" xfId="1" applyNumberFormat="1" applyFont="1" applyBorder="1"/>
    <xf numFmtId="164" fontId="3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164" fontId="3" fillId="0" borderId="12" xfId="1" applyNumberFormat="1" applyFont="1" applyFill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64" fontId="0" fillId="0" borderId="0" xfId="1" applyNumberFormat="1" applyFont="1" applyBorder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16" xfId="0" applyFont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1" fontId="0" fillId="0" borderId="0" xfId="0" applyNumberFormat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0" fillId="5" borderId="16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0" borderId="0" xfId="0" applyNumberFormat="1"/>
    <xf numFmtId="0" fontId="19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4" fillId="0" borderId="0" xfId="0" applyFont="1"/>
    <xf numFmtId="1" fontId="0" fillId="5" borderId="0" xfId="0" applyNumberFormat="1" applyFill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" fontId="0" fillId="3" borderId="22" xfId="0" applyNumberFormat="1" applyFill="1" applyBorder="1"/>
    <xf numFmtId="0" fontId="2" fillId="0" borderId="22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0" fillId="5" borderId="24" xfId="0" applyNumberFormat="1" applyFill="1" applyBorder="1"/>
    <xf numFmtId="0" fontId="19" fillId="0" borderId="22" xfId="0" applyFont="1" applyBorder="1" applyAlignment="1">
      <alignment horizontal="center"/>
    </xf>
    <xf numFmtId="0" fontId="24" fillId="0" borderId="0" xfId="0" applyFont="1" applyAlignment="1">
      <alignment horizontal="center"/>
    </xf>
    <xf numFmtId="1" fontId="0" fillId="5" borderId="0" xfId="0" applyNumberFormat="1" applyFill="1"/>
    <xf numFmtId="0" fontId="20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20" fillId="0" borderId="18" xfId="0" applyFont="1" applyBorder="1" applyAlignment="1">
      <alignment horizontal="center" wrapText="1"/>
    </xf>
    <xf numFmtId="0" fontId="0" fillId="6" borderId="22" xfId="0" applyFill="1" applyBorder="1"/>
    <xf numFmtId="0" fontId="0" fillId="0" borderId="27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6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vertical="center" wrapText="1"/>
    </xf>
    <xf numFmtId="0" fontId="4" fillId="0" borderId="1" xfId="0" applyFont="1" applyBorder="1"/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8" fillId="0" borderId="0" xfId="0" applyFont="1"/>
    <xf numFmtId="0" fontId="11" fillId="0" borderId="16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164" fontId="27" fillId="0" borderId="6" xfId="1" applyNumberFormat="1" applyFont="1" applyFill="1" applyBorder="1" applyAlignment="1">
      <alignment horizontal="center" vertical="center"/>
    </xf>
    <xf numFmtId="164" fontId="28" fillId="0" borderId="6" xfId="1" applyNumberFormat="1" applyFont="1" applyFill="1" applyBorder="1" applyAlignment="1">
      <alignment horizontal="center" vertical="center"/>
    </xf>
    <xf numFmtId="164" fontId="29" fillId="0" borderId="6" xfId="1" applyNumberFormat="1" applyFont="1" applyFill="1" applyBorder="1" applyAlignment="1">
      <alignment horizontal="center" vertical="center"/>
    </xf>
    <xf numFmtId="164" fontId="29" fillId="6" borderId="6" xfId="1" applyNumberFormat="1" applyFont="1" applyFill="1" applyBorder="1" applyAlignment="1">
      <alignment horizontal="center" vertical="center"/>
    </xf>
    <xf numFmtId="164" fontId="28" fillId="6" borderId="6" xfId="1" applyNumberFormat="1" applyFont="1" applyFill="1" applyBorder="1" applyAlignment="1">
      <alignment horizontal="center" vertical="center"/>
    </xf>
    <xf numFmtId="164" fontId="30" fillId="0" borderId="6" xfId="1" applyNumberFormat="1" applyFont="1" applyFill="1" applyBorder="1" applyAlignment="1">
      <alignment horizontal="center" vertical="center"/>
    </xf>
    <xf numFmtId="164" fontId="30" fillId="6" borderId="6" xfId="1" applyNumberFormat="1" applyFont="1" applyFill="1" applyBorder="1" applyAlignment="1">
      <alignment horizontal="center" vertical="center"/>
    </xf>
    <xf numFmtId="164" fontId="28" fillId="4" borderId="6" xfId="1" applyNumberFormat="1" applyFont="1" applyFill="1" applyBorder="1" applyAlignment="1">
      <alignment horizontal="center" vertical="center"/>
    </xf>
    <xf numFmtId="164" fontId="30" fillId="4" borderId="6" xfId="1" applyNumberFormat="1" applyFont="1" applyFill="1" applyBorder="1" applyAlignment="1">
      <alignment horizontal="center" vertical="center"/>
    </xf>
    <xf numFmtId="164" fontId="30" fillId="0" borderId="0" xfId="1" applyNumberFormat="1" applyFont="1" applyFill="1" applyBorder="1" applyAlignment="1">
      <alignment horizontal="center" vertical="center"/>
    </xf>
    <xf numFmtId="164" fontId="10" fillId="0" borderId="6" xfId="1" applyNumberFormat="1" applyFont="1" applyFill="1" applyBorder="1" applyAlignment="1">
      <alignment horizontal="center" vertical="center"/>
    </xf>
    <xf numFmtId="164" fontId="30" fillId="4" borderId="0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30" fillId="4" borderId="37" xfId="1" applyNumberFormat="1" applyFont="1" applyFill="1" applyBorder="1" applyAlignment="1">
      <alignment horizontal="center" vertical="center"/>
    </xf>
    <xf numFmtId="164" fontId="30" fillId="0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64" fontId="11" fillId="0" borderId="6" xfId="1" applyNumberFormat="1" applyFont="1" applyFill="1" applyBorder="1" applyAlignment="1">
      <alignment horizontal="center" vertical="center"/>
    </xf>
    <xf numFmtId="164" fontId="30" fillId="8" borderId="6" xfId="1" applyNumberFormat="1" applyFont="1" applyFill="1" applyBorder="1" applyAlignment="1">
      <alignment horizontal="center" vertical="center"/>
    </xf>
    <xf numFmtId="164" fontId="26" fillId="0" borderId="6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18" xfId="0" applyFont="1" applyBorder="1" applyAlignment="1">
      <alignment vertical="center"/>
    </xf>
    <xf numFmtId="0" fontId="31" fillId="6" borderId="18" xfId="0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31" fillId="3" borderId="18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9" fillId="0" borderId="0" xfId="0" applyFont="1"/>
    <xf numFmtId="0" fontId="31" fillId="0" borderId="17" xfId="0" applyFont="1" applyBorder="1" applyAlignment="1">
      <alignment vertical="center"/>
    </xf>
    <xf numFmtId="0" fontId="31" fillId="6" borderId="17" xfId="0" applyFont="1" applyFill="1" applyBorder="1" applyAlignment="1">
      <alignment vertical="center"/>
    </xf>
    <xf numFmtId="0" fontId="3" fillId="0" borderId="38" xfId="0" applyFont="1" applyBorder="1" applyAlignment="1">
      <alignment horizontal="center" vertical="center" wrapText="1"/>
    </xf>
    <xf numFmtId="0" fontId="32" fillId="0" borderId="7" xfId="0" applyFont="1" applyBorder="1"/>
    <xf numFmtId="0" fontId="33" fillId="3" borderId="7" xfId="0" applyFont="1" applyFill="1" applyBorder="1"/>
    <xf numFmtId="0" fontId="19" fillId="0" borderId="7" xfId="0" applyFont="1" applyBorder="1"/>
    <xf numFmtId="0" fontId="32" fillId="2" borderId="7" xfId="0" applyFont="1" applyFill="1" applyBorder="1"/>
    <xf numFmtId="0" fontId="32" fillId="0" borderId="23" xfId="0" applyFont="1" applyBorder="1"/>
    <xf numFmtId="0" fontId="32" fillId="0" borderId="8" xfId="0" applyFont="1" applyBorder="1"/>
    <xf numFmtId="0" fontId="5" fillId="4" borderId="35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/>
    <xf numFmtId="0" fontId="0" fillId="6" borderId="4" xfId="0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0" fillId="0" borderId="39" xfId="0" applyBorder="1"/>
    <xf numFmtId="0" fontId="10" fillId="0" borderId="19" xfId="0" applyFont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11" fillId="7" borderId="22" xfId="0" quotePrefix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5" fillId="0" borderId="22" xfId="0" quotePrefix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1" fillId="0" borderId="22" xfId="0" quotePrefix="1" applyFont="1" applyBorder="1" applyAlignment="1">
      <alignment horizontal="center" vertical="center"/>
    </xf>
    <xf numFmtId="0" fontId="26" fillId="0" borderId="22" xfId="0" applyFont="1" applyBorder="1" applyAlignment="1">
      <alignment vertical="center"/>
    </xf>
    <xf numFmtId="0" fontId="12" fillId="0" borderId="11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36" xfId="0" applyFont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0" fillId="0" borderId="25" xfId="0" applyBorder="1"/>
    <xf numFmtId="1" fontId="4" fillId="0" borderId="12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164" fontId="30" fillId="4" borderId="24" xfId="1" applyNumberFormat="1" applyFont="1" applyFill="1" applyBorder="1" applyAlignment="1">
      <alignment horizontal="center" vertical="center"/>
    </xf>
    <xf numFmtId="164" fontId="30" fillId="6" borderId="12" xfId="1" applyNumberFormat="1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6" xfId="0" applyBorder="1"/>
    <xf numFmtId="0" fontId="5" fillId="4" borderId="7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0" fillId="4" borderId="0" xfId="0" applyFill="1"/>
    <xf numFmtId="9" fontId="4" fillId="0" borderId="44" xfId="2" applyFont="1" applyFill="1" applyBorder="1" applyAlignment="1">
      <alignment horizontal="center" vertical="center"/>
    </xf>
    <xf numFmtId="9" fontId="4" fillId="0" borderId="3" xfId="2" applyFont="1" applyFill="1" applyBorder="1" applyAlignment="1">
      <alignment horizontal="center" vertical="center"/>
    </xf>
    <xf numFmtId="0" fontId="5" fillId="0" borderId="49" xfId="0" applyFont="1" applyBorder="1"/>
    <xf numFmtId="164" fontId="3" fillId="0" borderId="22" xfId="1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64" fontId="5" fillId="0" borderId="47" xfId="1" applyNumberFormat="1" applyFont="1" applyFill="1" applyBorder="1" applyAlignment="1">
      <alignment horizontal="center" vertical="center"/>
    </xf>
    <xf numFmtId="164" fontId="5" fillId="0" borderId="36" xfId="1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26" fillId="0" borderId="18" xfId="0" applyFont="1" applyBorder="1"/>
    <xf numFmtId="0" fontId="26" fillId="0" borderId="17" xfId="0" applyFont="1" applyBorder="1"/>
    <xf numFmtId="0" fontId="26" fillId="0" borderId="15" xfId="0" applyFont="1" applyBorder="1"/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50" xfId="1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3" borderId="25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1" xfId="0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7" fillId="0" borderId="0" xfId="3"/>
    <xf numFmtId="0" fontId="5" fillId="0" borderId="0" xfId="3" applyFont="1" applyAlignment="1">
      <alignment horizontal="center"/>
    </xf>
    <xf numFmtId="0" fontId="5" fillId="0" borderId="18" xfId="3" applyFont="1" applyBorder="1" applyAlignment="1">
      <alignment horizontal="center"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19" xfId="3" applyFont="1" applyBorder="1" applyAlignment="1">
      <alignment horizontal="center" vertical="center" wrapText="1"/>
    </xf>
    <xf numFmtId="0" fontId="10" fillId="0" borderId="58" xfId="3" applyFont="1" applyBorder="1" applyAlignment="1">
      <alignment horizontal="center" vertical="center" wrapText="1"/>
    </xf>
    <xf numFmtId="0" fontId="10" fillId="0" borderId="40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16" fontId="41" fillId="0" borderId="29" xfId="3" applyNumberFormat="1" applyFont="1" applyBorder="1"/>
    <xf numFmtId="0" fontId="41" fillId="0" borderId="29" xfId="3" applyFont="1" applyBorder="1"/>
    <xf numFmtId="0" fontId="41" fillId="0" borderId="30" xfId="3" applyFont="1" applyBorder="1"/>
    <xf numFmtId="167" fontId="37" fillId="0" borderId="0" xfId="3" applyNumberFormat="1"/>
    <xf numFmtId="0" fontId="10" fillId="0" borderId="22" xfId="3" applyFont="1" applyBorder="1" applyAlignment="1">
      <alignment horizontal="center" vertical="center"/>
    </xf>
    <xf numFmtId="16" fontId="41" fillId="0" borderId="22" xfId="3" applyNumberFormat="1" applyFont="1" applyBorder="1"/>
    <xf numFmtId="0" fontId="41" fillId="0" borderId="22" xfId="3" applyFont="1" applyBorder="1"/>
    <xf numFmtId="0" fontId="41" fillId="0" borderId="1" xfId="3" applyFont="1" applyBorder="1"/>
    <xf numFmtId="0" fontId="10" fillId="0" borderId="32" xfId="3" applyFont="1" applyBorder="1" applyAlignment="1">
      <alignment horizontal="center" vertical="center"/>
    </xf>
    <xf numFmtId="0" fontId="41" fillId="0" borderId="32" xfId="3" applyFont="1" applyBorder="1"/>
    <xf numFmtId="0" fontId="41" fillId="0" borderId="33" xfId="3" applyFont="1" applyBorder="1"/>
    <xf numFmtId="0" fontId="10" fillId="0" borderId="24" xfId="3" applyFont="1" applyBorder="1" applyAlignment="1">
      <alignment horizontal="center" vertical="center"/>
    </xf>
    <xf numFmtId="0" fontId="41" fillId="0" borderId="24" xfId="3" applyFont="1" applyBorder="1"/>
    <xf numFmtId="0" fontId="41" fillId="0" borderId="53" xfId="3" applyFont="1" applyBorder="1"/>
    <xf numFmtId="0" fontId="4" fillId="0" borderId="16" xfId="3" applyFont="1" applyBorder="1" applyAlignment="1">
      <alignment horizontal="center" vertical="center"/>
    </xf>
    <xf numFmtId="9" fontId="3" fillId="0" borderId="37" xfId="2" applyFont="1" applyFill="1" applyBorder="1" applyAlignment="1">
      <alignment horizontal="center" vertical="center"/>
    </xf>
    <xf numFmtId="0" fontId="4" fillId="0" borderId="18" xfId="3" applyFont="1" applyBorder="1" applyAlignment="1">
      <alignment horizontal="center" vertical="center" wrapText="1"/>
    </xf>
    <xf numFmtId="0" fontId="4" fillId="0" borderId="42" xfId="3" applyFont="1" applyBorder="1" applyAlignment="1">
      <alignment horizontal="center"/>
    </xf>
    <xf numFmtId="0" fontId="18" fillId="0" borderId="38" xfId="3" applyFont="1" applyBorder="1" applyAlignment="1">
      <alignment horizontal="center"/>
    </xf>
    <xf numFmtId="164" fontId="0" fillId="0" borderId="0" xfId="0" applyNumberFormat="1" applyFill="1"/>
    <xf numFmtId="0" fontId="12" fillId="0" borderId="22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 wrapText="1"/>
    </xf>
    <xf numFmtId="0" fontId="12" fillId="0" borderId="24" xfId="3" applyFont="1" applyBorder="1" applyAlignment="1">
      <alignment horizontal="center" vertical="center"/>
    </xf>
    <xf numFmtId="0" fontId="10" fillId="0" borderId="24" xfId="3" applyFont="1" applyBorder="1" applyAlignment="1">
      <alignment horizontal="center" vertical="center"/>
    </xf>
    <xf numFmtId="0" fontId="12" fillId="0" borderId="24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0" fontId="12" fillId="0" borderId="59" xfId="3" applyFont="1" applyBorder="1" applyAlignment="1">
      <alignment horizontal="center" vertical="center"/>
    </xf>
    <xf numFmtId="0" fontId="12" fillId="0" borderId="46" xfId="3" applyFont="1" applyBorder="1" applyAlignment="1">
      <alignment horizontal="center" vertical="center"/>
    </xf>
    <xf numFmtId="0" fontId="10" fillId="0" borderId="60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2" fillId="0" borderId="60" xfId="3" applyFont="1" applyBorder="1" applyAlignment="1">
      <alignment horizontal="center" vertical="center" wrapText="1"/>
    </xf>
    <xf numFmtId="0" fontId="12" fillId="0" borderId="54" xfId="3" applyFont="1" applyBorder="1" applyAlignment="1">
      <alignment horizontal="center" vertical="center" wrapText="1"/>
    </xf>
    <xf numFmtId="0" fontId="12" fillId="0" borderId="31" xfId="3" applyFont="1" applyBorder="1" applyAlignment="1">
      <alignment horizontal="center" vertical="center"/>
    </xf>
    <xf numFmtId="0" fontId="10" fillId="0" borderId="32" xfId="3" applyFont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/>
    </xf>
    <xf numFmtId="0" fontId="12" fillId="0" borderId="51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/>
    </xf>
    <xf numFmtId="0" fontId="39" fillId="0" borderId="17" xfId="3" applyFont="1" applyBorder="1" applyAlignment="1">
      <alignment horizontal="center" vertical="center"/>
    </xf>
    <xf numFmtId="0" fontId="39" fillId="0" borderId="15" xfId="3" applyFont="1" applyBorder="1" applyAlignment="1">
      <alignment horizontal="center" vertical="center"/>
    </xf>
    <xf numFmtId="166" fontId="40" fillId="0" borderId="18" xfId="3" applyNumberFormat="1" applyFont="1" applyBorder="1" applyAlignment="1">
      <alignment horizontal="center" vertical="center"/>
    </xf>
    <xf numFmtId="166" fontId="40" fillId="0" borderId="17" xfId="3" applyNumberFormat="1" applyFont="1" applyBorder="1" applyAlignment="1">
      <alignment horizontal="center" vertical="center"/>
    </xf>
    <xf numFmtId="166" fontId="40" fillId="0" borderId="15" xfId="3" applyNumberFormat="1" applyFont="1" applyBorder="1" applyAlignment="1">
      <alignment horizontal="center" vertical="center"/>
    </xf>
    <xf numFmtId="166" fontId="34" fillId="0" borderId="18" xfId="3" applyNumberFormat="1" applyFont="1" applyBorder="1" applyAlignment="1">
      <alignment horizontal="center" vertical="center"/>
    </xf>
    <xf numFmtId="166" fontId="34" fillId="0" borderId="17" xfId="3" applyNumberFormat="1" applyFont="1" applyBorder="1" applyAlignment="1">
      <alignment horizontal="center" vertical="center"/>
    </xf>
    <xf numFmtId="166" fontId="34" fillId="0" borderId="15" xfId="3" applyNumberFormat="1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 wrapText="1"/>
    </xf>
    <xf numFmtId="0" fontId="10" fillId="0" borderId="29" xfId="3" applyFont="1" applyBorder="1" applyAlignment="1">
      <alignment horizontal="center" vertical="center" wrapText="1"/>
    </xf>
    <xf numFmtId="0" fontId="10" fillId="0" borderId="22" xfId="3" applyFont="1" applyBorder="1" applyAlignment="1">
      <alignment horizontal="center" vertical="center" wrapText="1"/>
    </xf>
    <xf numFmtId="0" fontId="5" fillId="0" borderId="43" xfId="3" applyFont="1" applyBorder="1" applyAlignment="1">
      <alignment horizontal="center"/>
    </xf>
    <xf numFmtId="0" fontId="5" fillId="0" borderId="34" xfId="3" applyFont="1" applyBorder="1" applyAlignment="1">
      <alignment horizontal="center"/>
    </xf>
    <xf numFmtId="0" fontId="35" fillId="0" borderId="34" xfId="3" applyFont="1" applyBorder="1" applyAlignment="1">
      <alignment horizontal="center"/>
    </xf>
    <xf numFmtId="0" fontId="35" fillId="0" borderId="38" xfId="3" applyFont="1" applyBorder="1" applyAlignment="1">
      <alignment horizontal="center"/>
    </xf>
    <xf numFmtId="0" fontId="43" fillId="0" borderId="18" xfId="3" applyFont="1" applyBorder="1" applyAlignment="1">
      <alignment horizontal="center" vertical="center"/>
    </xf>
    <xf numFmtId="0" fontId="43" fillId="0" borderId="17" xfId="3" applyFont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  <xf numFmtId="0" fontId="5" fillId="0" borderId="18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14" fontId="35" fillId="0" borderId="18" xfId="3" applyNumberFormat="1" applyFont="1" applyBorder="1" applyAlignment="1">
      <alignment horizontal="center" vertical="center"/>
    </xf>
    <xf numFmtId="14" fontId="35" fillId="0" borderId="17" xfId="3" applyNumberFormat="1" applyFont="1" applyBorder="1" applyAlignment="1">
      <alignment horizontal="center" vertical="center"/>
    </xf>
    <xf numFmtId="14" fontId="35" fillId="0" borderId="15" xfId="3" applyNumberFormat="1" applyFont="1" applyBorder="1" applyAlignment="1">
      <alignment horizontal="center" vertical="center"/>
    </xf>
    <xf numFmtId="0" fontId="42" fillId="0" borderId="40" xfId="3" applyFont="1" applyBorder="1" applyAlignment="1">
      <alignment horizontal="center"/>
    </xf>
    <xf numFmtId="0" fontId="42" fillId="0" borderId="20" xfId="3" applyFont="1" applyBorder="1" applyAlignment="1">
      <alignment horizontal="center"/>
    </xf>
    <xf numFmtId="0" fontId="42" fillId="0" borderId="21" xfId="3" applyFont="1" applyBorder="1" applyAlignment="1">
      <alignment horizontal="center"/>
    </xf>
    <xf numFmtId="0" fontId="38" fillId="0" borderId="40" xfId="3" applyFont="1" applyBorder="1" applyAlignment="1">
      <alignment horizontal="center"/>
    </xf>
    <xf numFmtId="0" fontId="38" fillId="0" borderId="20" xfId="3" applyFont="1" applyBorder="1" applyAlignment="1">
      <alignment horizontal="center"/>
    </xf>
    <xf numFmtId="0" fontId="38" fillId="0" borderId="21" xfId="3" applyFont="1" applyBorder="1" applyAlignment="1">
      <alignment horizontal="center"/>
    </xf>
    <xf numFmtId="0" fontId="5" fillId="0" borderId="41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0" fontId="35" fillId="0" borderId="42" xfId="3" applyFont="1" applyBorder="1" applyAlignment="1">
      <alignment horizontal="center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textRotation="90"/>
    </xf>
  </cellXfs>
  <cellStyles count="5">
    <cellStyle name="Millares" xfId="1" builtinId="3"/>
    <cellStyle name="Normal" xfId="0" builtinId="0"/>
    <cellStyle name="Normal 4" xfId="3"/>
    <cellStyle name="Normal 4 2" xfId="4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A%20%20LOGISTICA\A3%20Relevamiento%20INSUMOS%20Stock%20y%20OP\Relevamiento\A%20Conteo%20INSUMOS%20y%20OP\A%20Partes%20y%20Bolsas%20Pl&#225;sticos\A%20%20Conteo%20y%20Pedido%20Vigente\Conteo%20y%20Pedido%20Sector%20Plastico%2016-12-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.C. Ing. Barbetta Alberto"/>
      <sheetName val="O.C. CC Galvanoquimica"/>
      <sheetName val="O.C. Martin Facciolo"/>
      <sheetName val="O.C. Packaging y Servicio"/>
      <sheetName val="O.C. Pintos"/>
      <sheetName val="O.C. Maspoli"/>
      <sheetName val="O.C. JL Matriceria"/>
      <sheetName val="O.C. Telleria"/>
      <sheetName val="O.C. Rodar"/>
      <sheetName val="O.C. Pat Bet Plast"/>
      <sheetName val="O.C. Julio Garcia "/>
      <sheetName val="O.C. Arcolor"/>
      <sheetName val="O.C. Indarnyl "/>
      <sheetName val="O.C. Simko "/>
      <sheetName val="O.C. Beta Plasticos"/>
      <sheetName val="Relev y OP Bolsas Plast VACIO"/>
      <sheetName val="Pedido VACIO"/>
      <sheetName val="Conteo Cervantes 16-12-25"/>
      <sheetName val="Conteo Virgilio 16-12-25"/>
      <sheetName val="Stock Prov Serv"/>
      <sheetName val="Stock Taller"/>
      <sheetName val="Stock CD"/>
      <sheetName val="Stock LK ISIS"/>
      <sheetName val="Stock CH ISIS"/>
      <sheetName val="Consumo x Cod Articulo"/>
      <sheetName val="Est Madre LK 10-25"/>
      <sheetName val="Est Madre CH 10-25"/>
      <sheetName val="Consumo MB"/>
      <sheetName val="Relevamiento Anterior"/>
      <sheetName val="Consumo x Articulo"/>
      <sheetName val="Consumo x Parte"/>
      <sheetName val="Hoja1"/>
      <sheetName val="Sheet1"/>
      <sheetName val="Pedido SR"/>
      <sheetName val="Planimetría Plasticos.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>CONTEO PLASTICOS</v>
          </cell>
        </row>
        <row r="3">
          <cell r="C3" t="str">
            <v>FECHA:</v>
          </cell>
          <cell r="D3">
            <v>46008</v>
          </cell>
        </row>
        <row r="5">
          <cell r="B5" t="str">
            <v>Este pedido anula cualquier pedido anterior</v>
          </cell>
        </row>
        <row r="6">
          <cell r="B6" t="str">
            <v>JL Matriceria</v>
          </cell>
          <cell r="D6" t="str">
            <v xml:space="preserve">Fecha: </v>
          </cell>
          <cell r="AC6" t="str">
            <v>INFORMACION</v>
          </cell>
          <cell r="AO6" t="str">
            <v>CALCULO MATERIA PRIMA PLASTICO</v>
          </cell>
        </row>
        <row r="7">
          <cell r="B7" t="str">
            <v>Cod. ISIS</v>
          </cell>
          <cell r="C7" t="str">
            <v>Descripción</v>
          </cell>
          <cell r="D7" t="str">
            <v xml:space="preserve">Pedido Damian </v>
          </cell>
          <cell r="E7" t="str">
            <v>Orden Priori</v>
          </cell>
          <cell r="G7" t="str">
            <v>% Ocup Relev</v>
          </cell>
          <cell r="H7" t="str">
            <v>% Ocup Total</v>
          </cell>
          <cell r="J7" t="str">
            <v>Max Uni 4 Mes</v>
          </cell>
          <cell r="K7" t="str">
            <v>Stock Unid Real</v>
          </cell>
          <cell r="L7" t="str">
            <v>Pedido Uni</v>
          </cell>
          <cell r="N7" t="str">
            <v>Stock Total Uni</v>
          </cell>
          <cell r="O7" t="str">
            <v>Stock PS Uni</v>
          </cell>
          <cell r="P7" t="str">
            <v>Stock Taller Uni</v>
          </cell>
          <cell r="Q7" t="str">
            <v>Stock CD Uni</v>
          </cell>
          <cell r="S7" t="str">
            <v>Max Total Uni</v>
          </cell>
          <cell r="T7" t="str">
            <v>Max PS Uni</v>
          </cell>
          <cell r="U7" t="str">
            <v>Max Taller Uni</v>
          </cell>
          <cell r="V7" t="str">
            <v>Max CD Uni</v>
          </cell>
          <cell r="X7" t="str">
            <v>Nuevo Sector</v>
          </cell>
          <cell r="Y7" t="str">
            <v>Sector</v>
          </cell>
          <cell r="Z7" t="str">
            <v>Stock Relev Bolsa</v>
          </cell>
          <cell r="AA7" t="str">
            <v>Uni Suelta</v>
          </cell>
          <cell r="AC7" t="str">
            <v>Max Bolsa</v>
          </cell>
          <cell r="AD7" t="str">
            <v>Cant Entra Bolsa</v>
          </cell>
          <cell r="AE7" t="str">
            <v>Uni x Bolsa</v>
          </cell>
          <cell r="AF7" t="str">
            <v>Cons Mens Uni</v>
          </cell>
          <cell r="AG7" t="str">
            <v>Pedi Min Uni</v>
          </cell>
          <cell r="AH7" t="str">
            <v>Precio Uni</v>
          </cell>
          <cell r="AI7" t="str">
            <v>Descripcion Matriz</v>
          </cell>
          <cell r="AJ7" t="str">
            <v>Se Envia Material</v>
          </cell>
          <cell r="AK7" t="str">
            <v>Materia Prima</v>
          </cell>
          <cell r="AL7" t="str">
            <v>Proveedor</v>
          </cell>
          <cell r="AM7" t="str">
            <v>MB</v>
          </cell>
          <cell r="AO7" t="str">
            <v>Pedido Plast KG</v>
          </cell>
          <cell r="AP7" t="str">
            <v>Pedido MB KG</v>
          </cell>
          <cell r="AR7" t="str">
            <v>N° Indice</v>
          </cell>
          <cell r="AT7" t="str">
            <v>LK</v>
          </cell>
        </row>
        <row r="8">
          <cell r="A8" t="str">
            <v>JL Matriceria</v>
          </cell>
          <cell r="B8">
            <v>1133500</v>
          </cell>
          <cell r="C8" t="str">
            <v>Cierra Bolsas Blanc.</v>
          </cell>
          <cell r="G8">
            <v>2.0833333333333335</v>
          </cell>
          <cell r="H8">
            <v>1.6666666666666667</v>
          </cell>
          <cell r="J8">
            <v>2016</v>
          </cell>
          <cell r="K8">
            <v>4200</v>
          </cell>
          <cell r="L8">
            <v>0</v>
          </cell>
          <cell r="N8">
            <v>4200</v>
          </cell>
          <cell r="O8">
            <v>0</v>
          </cell>
          <cell r="P8">
            <v>0</v>
          </cell>
          <cell r="Q8">
            <v>0</v>
          </cell>
          <cell r="S8">
            <v>2520</v>
          </cell>
          <cell r="T8">
            <v>0</v>
          </cell>
          <cell r="U8">
            <v>0</v>
          </cell>
          <cell r="V8">
            <v>504</v>
          </cell>
          <cell r="X8" t="str">
            <v>C4</v>
          </cell>
          <cell r="Y8" t="str">
            <v>PC4</v>
          </cell>
          <cell r="Z8">
            <v>3</v>
          </cell>
          <cell r="AA8">
            <v>0</v>
          </cell>
          <cell r="AC8">
            <v>1.44</v>
          </cell>
          <cell r="AD8">
            <v>8</v>
          </cell>
          <cell r="AE8">
            <v>1400</v>
          </cell>
          <cell r="AF8">
            <v>504</v>
          </cell>
          <cell r="AG8">
            <v>10000</v>
          </cell>
          <cell r="AH8">
            <v>70</v>
          </cell>
          <cell r="AI8" t="str">
            <v>Cierra Bolsa</v>
          </cell>
          <cell r="AJ8" t="str">
            <v>NO</v>
          </cell>
          <cell r="AK8" t="str">
            <v>PP</v>
          </cell>
          <cell r="AL8" t="str">
            <v>JL Matriceria</v>
          </cell>
          <cell r="AM8" t="str">
            <v>B</v>
          </cell>
          <cell r="AO8">
            <v>0</v>
          </cell>
          <cell r="AP8">
            <v>0</v>
          </cell>
          <cell r="AR8">
            <v>4</v>
          </cell>
          <cell r="AT8">
            <v>0.7</v>
          </cell>
        </row>
        <row r="9">
          <cell r="A9" t="str">
            <v>JL Matriceria</v>
          </cell>
          <cell r="B9">
            <v>5059600</v>
          </cell>
          <cell r="C9" t="str">
            <v>Cuchillo de Untar Blanc</v>
          </cell>
          <cell r="G9">
            <v>4.8828125</v>
          </cell>
          <cell r="H9">
            <v>3.2552083333333335</v>
          </cell>
          <cell r="J9">
            <v>768</v>
          </cell>
          <cell r="K9">
            <v>3750</v>
          </cell>
          <cell r="L9">
            <v>0</v>
          </cell>
          <cell r="N9">
            <v>3750</v>
          </cell>
          <cell r="O9">
            <v>0</v>
          </cell>
          <cell r="P9">
            <v>0</v>
          </cell>
          <cell r="Q9">
            <v>0</v>
          </cell>
          <cell r="S9">
            <v>1152</v>
          </cell>
          <cell r="T9">
            <v>0</v>
          </cell>
          <cell r="U9">
            <v>192</v>
          </cell>
          <cell r="V9">
            <v>192</v>
          </cell>
          <cell r="X9" t="str">
            <v>EP9</v>
          </cell>
          <cell r="Y9" t="str">
            <v>PEP9</v>
          </cell>
          <cell r="Z9">
            <v>3</v>
          </cell>
          <cell r="AA9">
            <v>0</v>
          </cell>
          <cell r="AC9">
            <v>0.61439999999999995</v>
          </cell>
          <cell r="AD9">
            <v>4</v>
          </cell>
          <cell r="AE9">
            <v>1250</v>
          </cell>
          <cell r="AF9">
            <v>192</v>
          </cell>
          <cell r="AG9">
            <v>10000</v>
          </cell>
          <cell r="AH9">
            <v>100</v>
          </cell>
          <cell r="AI9" t="str">
            <v>Molde 3ros</v>
          </cell>
          <cell r="AJ9" t="str">
            <v>NO</v>
          </cell>
          <cell r="AK9" t="str">
            <v>PP</v>
          </cell>
          <cell r="AL9" t="str">
            <v>JL Matriceria</v>
          </cell>
          <cell r="AM9" t="str">
            <v>-</v>
          </cell>
          <cell r="AO9">
            <v>0</v>
          </cell>
          <cell r="AP9">
            <v>0</v>
          </cell>
          <cell r="AR9">
            <v>4</v>
          </cell>
          <cell r="AT9">
            <v>0.7</v>
          </cell>
        </row>
        <row r="11">
          <cell r="B11" t="str">
            <v>Este pedido anula cualquier pedido anterior</v>
          </cell>
        </row>
        <row r="12">
          <cell r="B12" t="str">
            <v>Pat Bet Plast</v>
          </cell>
          <cell r="D12" t="str">
            <v xml:space="preserve">Fecha: </v>
          </cell>
          <cell r="AC12" t="str">
            <v>INFORMACION</v>
          </cell>
          <cell r="AO12" t="str">
            <v>CALCULO MATERIA PRIMA PLASTICO</v>
          </cell>
        </row>
        <row r="13">
          <cell r="B13" t="str">
            <v>Cod. ISIS</v>
          </cell>
          <cell r="C13" t="str">
            <v>Descripción</v>
          </cell>
          <cell r="D13" t="str">
            <v xml:space="preserve">Pedido Damian </v>
          </cell>
          <cell r="E13" t="str">
            <v>Orden Priori</v>
          </cell>
          <cell r="G13" t="str">
            <v>% Ocup Relev</v>
          </cell>
          <cell r="H13" t="str">
            <v>% Ocup Total</v>
          </cell>
          <cell r="J13" t="str">
            <v>Max Uni 3 Mes</v>
          </cell>
          <cell r="K13" t="str">
            <v>Stock Unid Real</v>
          </cell>
          <cell r="L13" t="str">
            <v>Pedido Uni</v>
          </cell>
          <cell r="N13" t="str">
            <v>Stock Total Uni</v>
          </cell>
          <cell r="O13" t="str">
            <v>Stock PS Uni</v>
          </cell>
          <cell r="P13" t="str">
            <v>Stock Taller Uni</v>
          </cell>
          <cell r="Q13" t="str">
            <v>Stock CD Uni</v>
          </cell>
          <cell r="S13" t="str">
            <v>Max Total Uni</v>
          </cell>
          <cell r="T13" t="str">
            <v>Max PS Uni</v>
          </cell>
          <cell r="U13" t="str">
            <v>Max Taller Uni</v>
          </cell>
          <cell r="V13" t="str">
            <v>Max CD Uni</v>
          </cell>
          <cell r="X13" t="str">
            <v>Nuevo Sector</v>
          </cell>
          <cell r="Y13" t="str">
            <v>Sector</v>
          </cell>
          <cell r="Z13" t="str">
            <v>Stock Real Bolsa</v>
          </cell>
          <cell r="AA13" t="str">
            <v>Uni Suelta</v>
          </cell>
          <cell r="AC13" t="str">
            <v>Max Bolsa</v>
          </cell>
          <cell r="AD13" t="str">
            <v>Cant Entra Bolsa</v>
          </cell>
          <cell r="AE13" t="str">
            <v>Uni x Bolsa</v>
          </cell>
          <cell r="AF13" t="str">
            <v>Cons Mens Uni</v>
          </cell>
          <cell r="AG13" t="str">
            <v>Pedi Min Uni</v>
          </cell>
          <cell r="AH13" t="str">
            <v>Precio Uni</v>
          </cell>
          <cell r="AI13" t="str">
            <v>Descripcion Matriz</v>
          </cell>
          <cell r="AJ13" t="str">
            <v>Se Envia Material</v>
          </cell>
          <cell r="AK13" t="str">
            <v>Materia Prima</v>
          </cell>
          <cell r="AL13" t="str">
            <v>Proveedor</v>
          </cell>
          <cell r="AM13" t="str">
            <v>MB</v>
          </cell>
          <cell r="AO13" t="str">
            <v>Pedido Plast KG</v>
          </cell>
          <cell r="AP13" t="str">
            <v>Pedido MB KG</v>
          </cell>
          <cell r="AR13" t="str">
            <v>N° Indice</v>
          </cell>
        </row>
        <row r="14">
          <cell r="A14" t="str">
            <v>Pat Bet Plast</v>
          </cell>
          <cell r="B14">
            <v>5069600</v>
          </cell>
          <cell r="C14" t="str">
            <v>Plaquita 3 en 1 LK</v>
          </cell>
          <cell r="D14">
            <v>0</v>
          </cell>
          <cell r="G14">
            <v>0.77479338842975209</v>
          </cell>
          <cell r="H14">
            <v>0.51652892561983466</v>
          </cell>
          <cell r="J14">
            <v>1936</v>
          </cell>
          <cell r="K14">
            <v>1500</v>
          </cell>
          <cell r="L14">
            <v>436</v>
          </cell>
          <cell r="N14">
            <v>1500</v>
          </cell>
          <cell r="O14">
            <v>0</v>
          </cell>
          <cell r="P14">
            <v>0</v>
          </cell>
          <cell r="Q14">
            <v>0</v>
          </cell>
          <cell r="S14">
            <v>2904</v>
          </cell>
          <cell r="T14">
            <v>0</v>
          </cell>
          <cell r="U14">
            <v>484</v>
          </cell>
          <cell r="V14">
            <v>484</v>
          </cell>
          <cell r="X14" t="str">
            <v>A1</v>
          </cell>
          <cell r="Y14" t="str">
            <v>PA1</v>
          </cell>
          <cell r="Z14">
            <v>1</v>
          </cell>
          <cell r="AA14">
            <v>1000</v>
          </cell>
          <cell r="AC14">
            <v>0</v>
          </cell>
          <cell r="AD14">
            <v>2</v>
          </cell>
          <cell r="AE14">
            <v>500</v>
          </cell>
          <cell r="AF14">
            <v>484</v>
          </cell>
          <cell r="AG14">
            <v>6000</v>
          </cell>
          <cell r="AH14">
            <v>24.57</v>
          </cell>
          <cell r="AI14" t="str">
            <v>Plaquitas</v>
          </cell>
          <cell r="AJ14" t="str">
            <v>SI</v>
          </cell>
          <cell r="AK14" t="str">
            <v>PE</v>
          </cell>
          <cell r="AL14" t="str">
            <v>Pat Bet Plast</v>
          </cell>
          <cell r="AM14" t="str">
            <v>R</v>
          </cell>
          <cell r="AO14">
            <v>0</v>
          </cell>
          <cell r="AP14">
            <v>0</v>
          </cell>
          <cell r="AR14">
            <v>4</v>
          </cell>
          <cell r="AT14">
            <v>1</v>
          </cell>
        </row>
        <row r="15">
          <cell r="A15" t="str">
            <v>Pat Bet Plast</v>
          </cell>
          <cell r="B15">
            <v>5203600</v>
          </cell>
          <cell r="C15" t="str">
            <v>Plaquitas 3- 1 Blan.</v>
          </cell>
          <cell r="D15">
            <v>0</v>
          </cell>
          <cell r="G15">
            <v>0.78125</v>
          </cell>
          <cell r="H15">
            <v>0.52083333333333337</v>
          </cell>
          <cell r="J15">
            <v>960</v>
          </cell>
          <cell r="K15">
            <v>750</v>
          </cell>
          <cell r="L15">
            <v>210</v>
          </cell>
          <cell r="N15">
            <v>750</v>
          </cell>
          <cell r="O15">
            <v>0</v>
          </cell>
          <cell r="P15">
            <v>0</v>
          </cell>
          <cell r="Q15">
            <v>0</v>
          </cell>
          <cell r="S15">
            <v>1440</v>
          </cell>
          <cell r="T15">
            <v>0</v>
          </cell>
          <cell r="U15">
            <v>240</v>
          </cell>
          <cell r="V15">
            <v>240</v>
          </cell>
          <cell r="X15" t="str">
            <v>A2</v>
          </cell>
          <cell r="Y15" t="str">
            <v>PA2</v>
          </cell>
          <cell r="Z15">
            <v>3</v>
          </cell>
          <cell r="AA15">
            <v>0</v>
          </cell>
          <cell r="AC15">
            <v>3.84</v>
          </cell>
          <cell r="AD15">
            <v>2</v>
          </cell>
          <cell r="AE15">
            <v>250</v>
          </cell>
          <cell r="AF15">
            <v>240</v>
          </cell>
          <cell r="AG15">
            <v>6000</v>
          </cell>
          <cell r="AH15">
            <v>0</v>
          </cell>
          <cell r="AI15" t="str">
            <v>Plaquitas</v>
          </cell>
          <cell r="AJ15" t="str">
            <v>SI</v>
          </cell>
          <cell r="AK15" t="str">
            <v>PE</v>
          </cell>
          <cell r="AL15" t="str">
            <v>Pat Bet Plast</v>
          </cell>
          <cell r="AM15" t="str">
            <v>B</v>
          </cell>
          <cell r="AO15">
            <v>0</v>
          </cell>
          <cell r="AP15">
            <v>0</v>
          </cell>
          <cell r="AR15">
            <v>4</v>
          </cell>
          <cell r="AT15">
            <v>0</v>
          </cell>
        </row>
        <row r="16">
          <cell r="A16" t="str">
            <v>Pat Bet Plast</v>
          </cell>
          <cell r="B16">
            <v>5072600</v>
          </cell>
          <cell r="C16" t="str">
            <v>Muñeco Antiderrame</v>
          </cell>
          <cell r="G16">
            <v>2.3148148148148149</v>
          </cell>
          <cell r="H16">
            <v>1.8518518518518519</v>
          </cell>
          <cell r="J16">
            <v>1296</v>
          </cell>
          <cell r="K16">
            <v>3000</v>
          </cell>
          <cell r="L16">
            <v>0</v>
          </cell>
          <cell r="N16">
            <v>3000</v>
          </cell>
          <cell r="O16">
            <v>0</v>
          </cell>
          <cell r="P16">
            <v>0</v>
          </cell>
          <cell r="Q16">
            <v>0</v>
          </cell>
          <cell r="S16">
            <v>1620</v>
          </cell>
          <cell r="T16">
            <v>0</v>
          </cell>
          <cell r="U16">
            <v>0</v>
          </cell>
          <cell r="V16">
            <v>324</v>
          </cell>
          <cell r="X16" t="str">
            <v>A3</v>
          </cell>
          <cell r="Y16" t="str">
            <v>PA3</v>
          </cell>
          <cell r="Z16">
            <v>3</v>
          </cell>
          <cell r="AA16">
            <v>0</v>
          </cell>
          <cell r="AC16">
            <v>1.296</v>
          </cell>
          <cell r="AD16">
            <v>1</v>
          </cell>
          <cell r="AE16">
            <v>1000</v>
          </cell>
          <cell r="AF16">
            <v>324</v>
          </cell>
          <cell r="AG16">
            <v>2500</v>
          </cell>
          <cell r="AH16">
            <v>82.34</v>
          </cell>
          <cell r="AI16" t="str">
            <v>Muñeco Antiderrame</v>
          </cell>
          <cell r="AJ16" t="str">
            <v>SI</v>
          </cell>
          <cell r="AK16" t="str">
            <v>Santo
8211-35</v>
          </cell>
          <cell r="AL16" t="str">
            <v>Pat Bet Plast</v>
          </cell>
          <cell r="AM16" t="str">
            <v>R</v>
          </cell>
          <cell r="AO16">
            <v>0</v>
          </cell>
          <cell r="AP16">
            <v>0</v>
          </cell>
          <cell r="AR16">
            <v>4</v>
          </cell>
          <cell r="AT16">
            <v>1</v>
          </cell>
        </row>
        <row r="17">
          <cell r="A17" t="str">
            <v>Pat Bet Plast</v>
          </cell>
          <cell r="B17">
            <v>5118600</v>
          </cell>
          <cell r="C17" t="str">
            <v>Pirolo Blanco</v>
          </cell>
          <cell r="G17">
            <v>7.0792880258899675</v>
          </cell>
          <cell r="H17">
            <v>5.6634304207119737</v>
          </cell>
          <cell r="J17">
            <v>2472</v>
          </cell>
          <cell r="K17">
            <v>17500</v>
          </cell>
          <cell r="L17">
            <v>0</v>
          </cell>
          <cell r="N17">
            <v>17500</v>
          </cell>
          <cell r="O17">
            <v>0</v>
          </cell>
          <cell r="P17">
            <v>0</v>
          </cell>
          <cell r="Q17">
            <v>0</v>
          </cell>
          <cell r="S17">
            <v>3090</v>
          </cell>
          <cell r="T17">
            <v>0</v>
          </cell>
          <cell r="U17">
            <v>0</v>
          </cell>
          <cell r="V17">
            <v>618</v>
          </cell>
          <cell r="X17" t="str">
            <v>A7A</v>
          </cell>
          <cell r="Y17" t="str">
            <v>PA7A</v>
          </cell>
          <cell r="Z17">
            <v>7</v>
          </cell>
          <cell r="AA17">
            <v>0</v>
          </cell>
          <cell r="AC17">
            <v>0.98880000000000001</v>
          </cell>
          <cell r="AD17">
            <v>8</v>
          </cell>
          <cell r="AE17">
            <v>2500</v>
          </cell>
          <cell r="AF17">
            <v>618</v>
          </cell>
          <cell r="AG17">
            <v>36000</v>
          </cell>
          <cell r="AH17">
            <v>0</v>
          </cell>
          <cell r="AI17" t="str">
            <v>Regatones</v>
          </cell>
          <cell r="AJ17" t="str">
            <v>SI</v>
          </cell>
          <cell r="AK17" t="str">
            <v>PE</v>
          </cell>
          <cell r="AL17" t="str">
            <v>Pat Bet Plast</v>
          </cell>
          <cell r="AM17" t="str">
            <v>B</v>
          </cell>
          <cell r="AO17">
            <v>0</v>
          </cell>
          <cell r="AP17">
            <v>0</v>
          </cell>
          <cell r="AR17">
            <v>4</v>
          </cell>
          <cell r="AT17">
            <v>0</v>
          </cell>
        </row>
        <row r="18">
          <cell r="A18" t="str">
            <v>Pat Bet Plast</v>
          </cell>
          <cell r="B18">
            <v>5118600</v>
          </cell>
          <cell r="C18" t="str">
            <v>Pirolo Negro</v>
          </cell>
          <cell r="D18">
            <v>3600</v>
          </cell>
          <cell r="E18">
            <v>14</v>
          </cell>
          <cell r="G18">
            <v>0.59523809523809523</v>
          </cell>
          <cell r="H18">
            <v>0.3968253968253968</v>
          </cell>
          <cell r="J18">
            <v>8400</v>
          </cell>
          <cell r="K18">
            <v>5000</v>
          </cell>
          <cell r="L18">
            <v>3400</v>
          </cell>
          <cell r="N18">
            <v>5000</v>
          </cell>
          <cell r="O18">
            <v>0</v>
          </cell>
          <cell r="P18">
            <v>0</v>
          </cell>
          <cell r="Q18">
            <v>0</v>
          </cell>
          <cell r="S18">
            <v>12600</v>
          </cell>
          <cell r="T18">
            <v>0</v>
          </cell>
          <cell r="U18">
            <v>2100</v>
          </cell>
          <cell r="V18">
            <v>2100</v>
          </cell>
          <cell r="X18" t="str">
            <v>A7B</v>
          </cell>
          <cell r="Y18" t="str">
            <v>PA7B</v>
          </cell>
          <cell r="Z18">
            <v>1</v>
          </cell>
          <cell r="AA18">
            <v>2500</v>
          </cell>
          <cell r="AC18">
            <v>3.36</v>
          </cell>
          <cell r="AD18">
            <v>8</v>
          </cell>
          <cell r="AE18">
            <v>2500</v>
          </cell>
          <cell r="AF18">
            <v>2100</v>
          </cell>
          <cell r="AG18">
            <v>36000</v>
          </cell>
          <cell r="AH18">
            <v>0</v>
          </cell>
          <cell r="AI18" t="str">
            <v>Regatones</v>
          </cell>
          <cell r="AJ18" t="str">
            <v>SI</v>
          </cell>
          <cell r="AK18" t="str">
            <v>PE</v>
          </cell>
          <cell r="AL18" t="str">
            <v>Pat Bet Plast</v>
          </cell>
          <cell r="AM18" t="str">
            <v>N</v>
          </cell>
          <cell r="AO18">
            <v>2.1805056</v>
          </cell>
          <cell r="AP18">
            <v>4.3610111999999999E-2</v>
          </cell>
          <cell r="AR18">
            <v>4</v>
          </cell>
          <cell r="AT18">
            <v>1</v>
          </cell>
        </row>
        <row r="19">
          <cell r="A19" t="str">
            <v>Pat Bet Plast</v>
          </cell>
          <cell r="B19">
            <v>5071600</v>
          </cell>
          <cell r="C19" t="str">
            <v>Pirolo Rojo</v>
          </cell>
          <cell r="D19">
            <v>43200</v>
          </cell>
          <cell r="E19">
            <v>6</v>
          </cell>
          <cell r="G19">
            <v>0.14754485363550518</v>
          </cell>
          <cell r="H19">
            <v>0.10564570655848546</v>
          </cell>
          <cell r="J19">
            <v>50832</v>
          </cell>
          <cell r="K19">
            <v>7500</v>
          </cell>
          <cell r="L19">
            <v>43332</v>
          </cell>
          <cell r="N19">
            <v>7500</v>
          </cell>
          <cell r="O19">
            <v>0</v>
          </cell>
          <cell r="P19">
            <v>0</v>
          </cell>
          <cell r="Q19">
            <v>0</v>
          </cell>
          <cell r="S19">
            <v>70992</v>
          </cell>
          <cell r="T19">
            <v>0</v>
          </cell>
          <cell r="U19">
            <v>5796</v>
          </cell>
          <cell r="V19">
            <v>14364</v>
          </cell>
          <cell r="X19" t="str">
            <v>A12</v>
          </cell>
          <cell r="Y19" t="str">
            <v>PA12</v>
          </cell>
          <cell r="Z19">
            <v>3</v>
          </cell>
          <cell r="AA19">
            <v>0</v>
          </cell>
          <cell r="AC19">
            <v>20.332799999999999</v>
          </cell>
          <cell r="AD19">
            <v>8</v>
          </cell>
          <cell r="AE19">
            <v>2500</v>
          </cell>
          <cell r="AF19">
            <v>12708</v>
          </cell>
          <cell r="AG19">
            <v>36000</v>
          </cell>
          <cell r="AH19">
            <v>8.41</v>
          </cell>
          <cell r="AI19" t="str">
            <v>Regatones</v>
          </cell>
          <cell r="AJ19" t="str">
            <v>SI</v>
          </cell>
          <cell r="AK19" t="str">
            <v>PE</v>
          </cell>
          <cell r="AL19" t="str">
            <v>Pat Bet Plast</v>
          </cell>
          <cell r="AM19" t="str">
            <v>R</v>
          </cell>
          <cell r="AO19">
            <v>26.166067200000001</v>
          </cell>
          <cell r="AP19">
            <v>0.52332134399999997</v>
          </cell>
          <cell r="AR19">
            <v>4</v>
          </cell>
          <cell r="AT19">
            <v>1</v>
          </cell>
        </row>
        <row r="20">
          <cell r="A20" t="str">
            <v>Pat Bet Plast</v>
          </cell>
          <cell r="B20">
            <v>5058600</v>
          </cell>
          <cell r="C20" t="str">
            <v>Buje Blanco</v>
          </cell>
          <cell r="D20">
            <v>25000</v>
          </cell>
          <cell r="E20">
            <v>7</v>
          </cell>
          <cell r="G20">
            <v>0.16774020397208803</v>
          </cell>
          <cell r="H20">
            <v>0.11058032554847841</v>
          </cell>
          <cell r="J20">
            <v>29808</v>
          </cell>
          <cell r="K20">
            <v>5000</v>
          </cell>
          <cell r="L20">
            <v>24808</v>
          </cell>
          <cell r="N20">
            <v>5000</v>
          </cell>
          <cell r="O20">
            <v>0</v>
          </cell>
          <cell r="P20">
            <v>0</v>
          </cell>
          <cell r="Q20">
            <v>0</v>
          </cell>
          <cell r="S20">
            <v>45216</v>
          </cell>
          <cell r="T20">
            <v>0</v>
          </cell>
          <cell r="U20">
            <v>7452</v>
          </cell>
          <cell r="V20">
            <v>7956</v>
          </cell>
          <cell r="X20" t="str">
            <v>A8A</v>
          </cell>
          <cell r="Y20" t="str">
            <v>PA8A</v>
          </cell>
          <cell r="Z20">
            <v>1</v>
          </cell>
          <cell r="AA20">
            <v>0</v>
          </cell>
          <cell r="AC20">
            <v>5.9615999999999998</v>
          </cell>
          <cell r="AD20">
            <v>2</v>
          </cell>
          <cell r="AE20">
            <v>5000</v>
          </cell>
          <cell r="AF20">
            <v>7452</v>
          </cell>
          <cell r="AG20">
            <v>33000</v>
          </cell>
          <cell r="AH20">
            <v>8.41</v>
          </cell>
          <cell r="AI20" t="str">
            <v>Buje</v>
          </cell>
          <cell r="AJ20" t="str">
            <v>SI</v>
          </cell>
          <cell r="AK20" t="str">
            <v>PA6N</v>
          </cell>
          <cell r="AL20" t="str">
            <v>Pat Bet Plast</v>
          </cell>
          <cell r="AM20" t="str">
            <v>B</v>
          </cell>
          <cell r="AO20">
            <v>16.466666666666665</v>
          </cell>
          <cell r="AP20">
            <v>0.32933333333333331</v>
          </cell>
          <cell r="AR20">
            <v>4</v>
          </cell>
          <cell r="AT20">
            <v>1</v>
          </cell>
        </row>
        <row r="21">
          <cell r="A21" t="str">
            <v>Pat Bet Plast</v>
          </cell>
          <cell r="B21">
            <v>5058600</v>
          </cell>
          <cell r="C21" t="str">
            <v>Buje Negro</v>
          </cell>
          <cell r="D21">
            <v>8000</v>
          </cell>
          <cell r="E21">
            <v>3</v>
          </cell>
          <cell r="G21">
            <v>0</v>
          </cell>
          <cell r="H21">
            <v>0</v>
          </cell>
          <cell r="J21">
            <v>8400</v>
          </cell>
          <cell r="K21">
            <v>0</v>
          </cell>
          <cell r="L21">
            <v>8400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12600</v>
          </cell>
          <cell r="T21">
            <v>0</v>
          </cell>
          <cell r="U21">
            <v>2100</v>
          </cell>
          <cell r="V21">
            <v>2100</v>
          </cell>
          <cell r="X21" t="str">
            <v>A8B</v>
          </cell>
          <cell r="Y21" t="str">
            <v>PA8B</v>
          </cell>
          <cell r="Z21">
            <v>0</v>
          </cell>
          <cell r="AA21">
            <v>0</v>
          </cell>
          <cell r="AC21">
            <v>1.68</v>
          </cell>
          <cell r="AD21">
            <v>1</v>
          </cell>
          <cell r="AE21">
            <v>5000</v>
          </cell>
          <cell r="AF21">
            <v>2100</v>
          </cell>
          <cell r="AG21">
            <v>33000</v>
          </cell>
          <cell r="AH21">
            <v>8.41</v>
          </cell>
          <cell r="AI21" t="str">
            <v>Buje</v>
          </cell>
          <cell r="AJ21" t="str">
            <v>SI</v>
          </cell>
          <cell r="AK21" t="str">
            <v>PA6N</v>
          </cell>
          <cell r="AL21" t="str">
            <v>Pat Bet Plast</v>
          </cell>
          <cell r="AM21" t="str">
            <v>N</v>
          </cell>
          <cell r="AO21">
            <v>5.269333333333333</v>
          </cell>
          <cell r="AP21">
            <v>0.10538666666666666</v>
          </cell>
          <cell r="AR21">
            <v>4</v>
          </cell>
          <cell r="AT21">
            <v>1</v>
          </cell>
        </row>
        <row r="22">
          <cell r="A22" t="str">
            <v>Pat Bet Plast</v>
          </cell>
          <cell r="B22">
            <v>5062600</v>
          </cell>
          <cell r="C22" t="str">
            <v>Capuchon ф 8</v>
          </cell>
          <cell r="D22">
            <v>10000</v>
          </cell>
          <cell r="E22">
            <v>11</v>
          </cell>
          <cell r="G22">
            <v>0.25252525252525254</v>
          </cell>
          <cell r="H22">
            <v>0.14430014430014429</v>
          </cell>
          <cell r="J22">
            <v>15840</v>
          </cell>
          <cell r="K22">
            <v>4000</v>
          </cell>
          <cell r="L22">
            <v>11840</v>
          </cell>
          <cell r="N22">
            <v>4000</v>
          </cell>
          <cell r="O22">
            <v>0</v>
          </cell>
          <cell r="P22">
            <v>0</v>
          </cell>
          <cell r="Q22">
            <v>0</v>
          </cell>
          <cell r="S22">
            <v>27720</v>
          </cell>
          <cell r="T22">
            <v>3960</v>
          </cell>
          <cell r="U22">
            <v>3960</v>
          </cell>
          <cell r="V22">
            <v>3960</v>
          </cell>
          <cell r="X22" t="str">
            <v>A10</v>
          </cell>
          <cell r="Y22" t="str">
            <v>PA10</v>
          </cell>
          <cell r="Z22">
            <v>4</v>
          </cell>
          <cell r="AA22">
            <v>0</v>
          </cell>
          <cell r="AC22">
            <v>15.84</v>
          </cell>
          <cell r="AD22">
            <v>10</v>
          </cell>
          <cell r="AE22">
            <v>1000</v>
          </cell>
          <cell r="AF22">
            <v>3960</v>
          </cell>
          <cell r="AG22">
            <v>10000</v>
          </cell>
          <cell r="AH22">
            <v>22.21</v>
          </cell>
          <cell r="AI22" t="str">
            <v>Capuchones</v>
          </cell>
          <cell r="AJ22" t="str">
            <v>SI</v>
          </cell>
          <cell r="AK22" t="str">
            <v>ABS</v>
          </cell>
          <cell r="AL22" t="str">
            <v>Pat Bet Plast</v>
          </cell>
          <cell r="AM22" t="str">
            <v>R</v>
          </cell>
          <cell r="AO22">
            <v>20.453333333333333</v>
          </cell>
          <cell r="AP22">
            <v>0.40906666666666669</v>
          </cell>
          <cell r="AR22">
            <v>4</v>
          </cell>
          <cell r="AT22">
            <v>1</v>
          </cell>
        </row>
        <row r="23">
          <cell r="A23" t="str">
            <v>Pat Bet Plast</v>
          </cell>
          <cell r="B23">
            <v>5062600</v>
          </cell>
          <cell r="C23" t="str">
            <v>Capuchon Batidor LK</v>
          </cell>
          <cell r="G23">
            <v>1.3560157790927021</v>
          </cell>
          <cell r="H23">
            <v>0.971045197740113</v>
          </cell>
          <cell r="J23">
            <v>8112</v>
          </cell>
          <cell r="K23">
            <v>11000</v>
          </cell>
          <cell r="L23">
            <v>0</v>
          </cell>
          <cell r="N23">
            <v>11000</v>
          </cell>
          <cell r="O23">
            <v>0</v>
          </cell>
          <cell r="P23">
            <v>0</v>
          </cell>
          <cell r="Q23">
            <v>0</v>
          </cell>
          <cell r="S23">
            <v>11328</v>
          </cell>
          <cell r="T23">
            <v>2028</v>
          </cell>
          <cell r="U23">
            <v>444</v>
          </cell>
          <cell r="V23">
            <v>744</v>
          </cell>
          <cell r="X23" t="str">
            <v>A13</v>
          </cell>
          <cell r="Y23" t="str">
            <v>PA13</v>
          </cell>
          <cell r="Z23">
            <v>11</v>
          </cell>
          <cell r="AA23">
            <v>0</v>
          </cell>
          <cell r="AC23">
            <v>8.1120000000000001</v>
          </cell>
          <cell r="AD23">
            <v>4</v>
          </cell>
          <cell r="AE23">
            <v>1000</v>
          </cell>
          <cell r="AF23">
            <v>2028</v>
          </cell>
          <cell r="AG23">
            <v>10000</v>
          </cell>
          <cell r="AH23">
            <v>22.21</v>
          </cell>
          <cell r="AI23" t="str">
            <v>Capuchones</v>
          </cell>
          <cell r="AJ23" t="str">
            <v>SI</v>
          </cell>
          <cell r="AK23" t="str">
            <v>ABS</v>
          </cell>
          <cell r="AL23" t="str">
            <v>Pat Bet Plast</v>
          </cell>
          <cell r="AM23" t="str">
            <v>R</v>
          </cell>
          <cell r="AO23">
            <v>0</v>
          </cell>
          <cell r="AP23">
            <v>0</v>
          </cell>
          <cell r="AR23">
            <v>4</v>
          </cell>
          <cell r="AT23">
            <v>1</v>
          </cell>
        </row>
        <row r="24">
          <cell r="A24" t="str">
            <v>Pat Bet Plast</v>
          </cell>
          <cell r="B24">
            <v>5062600</v>
          </cell>
          <cell r="C24" t="str">
            <v>Capuchon ф10</v>
          </cell>
          <cell r="G24" t="str">
            <v>0%</v>
          </cell>
          <cell r="H24">
            <v>0</v>
          </cell>
          <cell r="J24">
            <v>0</v>
          </cell>
          <cell r="K24">
            <v>2000</v>
          </cell>
          <cell r="L24">
            <v>0</v>
          </cell>
          <cell r="N24">
            <v>2000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X24" t="str">
            <v>A15</v>
          </cell>
          <cell r="Y24" t="str">
            <v>PA15</v>
          </cell>
          <cell r="Z24">
            <v>2</v>
          </cell>
          <cell r="AA24">
            <v>0</v>
          </cell>
          <cell r="AC24">
            <v>0</v>
          </cell>
          <cell r="AD24">
            <v>2</v>
          </cell>
          <cell r="AE24">
            <v>1000</v>
          </cell>
          <cell r="AF24">
            <v>0</v>
          </cell>
          <cell r="AG24">
            <v>10000</v>
          </cell>
          <cell r="AH24">
            <v>22.21</v>
          </cell>
          <cell r="AI24" t="str">
            <v>Capuchones</v>
          </cell>
          <cell r="AJ24" t="str">
            <v>SI</v>
          </cell>
          <cell r="AK24" t="str">
            <v>ABS</v>
          </cell>
          <cell r="AL24" t="str">
            <v>Pat Bet Plast</v>
          </cell>
          <cell r="AM24" t="str">
            <v>R</v>
          </cell>
          <cell r="AO24">
            <v>0</v>
          </cell>
          <cell r="AP24">
            <v>0</v>
          </cell>
          <cell r="AR24">
            <v>4</v>
          </cell>
          <cell r="AT24">
            <v>1</v>
          </cell>
        </row>
        <row r="25">
          <cell r="A25" t="str">
            <v>Pat Bet Plast</v>
          </cell>
          <cell r="B25">
            <v>5062600</v>
          </cell>
          <cell r="C25" t="str">
            <v>Capuchon Espatula LK</v>
          </cell>
          <cell r="D25">
            <v>40000</v>
          </cell>
          <cell r="E25">
            <v>9</v>
          </cell>
          <cell r="G25">
            <v>0.25310048089091369</v>
          </cell>
          <cell r="H25">
            <v>0.14397293308857934</v>
          </cell>
          <cell r="J25">
            <v>63216</v>
          </cell>
          <cell r="K25">
            <v>16000</v>
          </cell>
          <cell r="L25">
            <v>47216</v>
          </cell>
          <cell r="N25">
            <v>16000</v>
          </cell>
          <cell r="O25">
            <v>0</v>
          </cell>
          <cell r="P25">
            <v>0</v>
          </cell>
          <cell r="Q25">
            <v>0</v>
          </cell>
          <cell r="S25">
            <v>111132</v>
          </cell>
          <cell r="T25">
            <v>15804</v>
          </cell>
          <cell r="U25">
            <v>15804</v>
          </cell>
          <cell r="V25">
            <v>16308</v>
          </cell>
          <cell r="X25" t="str">
            <v>A18</v>
          </cell>
          <cell r="Y25" t="str">
            <v>PA18</v>
          </cell>
          <cell r="Z25">
            <v>16</v>
          </cell>
          <cell r="AA25">
            <v>0</v>
          </cell>
          <cell r="AC25">
            <v>63.216000000000001</v>
          </cell>
          <cell r="AD25">
            <v>20</v>
          </cell>
          <cell r="AE25">
            <v>1000</v>
          </cell>
          <cell r="AF25">
            <v>15804</v>
          </cell>
          <cell r="AG25">
            <v>10000</v>
          </cell>
          <cell r="AH25">
            <v>22.21</v>
          </cell>
          <cell r="AI25" t="str">
            <v>Capuchones</v>
          </cell>
          <cell r="AJ25" t="str">
            <v>SI</v>
          </cell>
          <cell r="AK25" t="str">
            <v>ABS</v>
          </cell>
          <cell r="AL25" t="str">
            <v>Pat Bet Plast</v>
          </cell>
          <cell r="AM25" t="str">
            <v>R</v>
          </cell>
          <cell r="AO25">
            <v>87.360000000000014</v>
          </cell>
          <cell r="AP25">
            <v>1.7472000000000003</v>
          </cell>
          <cell r="AR25">
            <v>4</v>
          </cell>
          <cell r="AT25">
            <v>1</v>
          </cell>
        </row>
        <row r="26">
          <cell r="A26" t="str">
            <v>Pat Bet Plast</v>
          </cell>
          <cell r="B26">
            <v>5060600</v>
          </cell>
          <cell r="C26" t="str">
            <v>Capuchon Marip. Rojo</v>
          </cell>
          <cell r="D26">
            <v>0</v>
          </cell>
          <cell r="G26">
            <v>0.75483091787439616</v>
          </cell>
          <cell r="H26">
            <v>0.5032206119162641</v>
          </cell>
          <cell r="J26">
            <v>6624</v>
          </cell>
          <cell r="K26">
            <v>5000</v>
          </cell>
          <cell r="L26">
            <v>1624</v>
          </cell>
          <cell r="N26">
            <v>5000</v>
          </cell>
          <cell r="O26">
            <v>0</v>
          </cell>
          <cell r="P26">
            <v>0</v>
          </cell>
          <cell r="Q26">
            <v>0</v>
          </cell>
          <cell r="S26">
            <v>9936</v>
          </cell>
          <cell r="T26">
            <v>0</v>
          </cell>
          <cell r="U26">
            <v>1656</v>
          </cell>
          <cell r="V26">
            <v>1656</v>
          </cell>
          <cell r="X26" t="str">
            <v>A11</v>
          </cell>
          <cell r="Y26" t="str">
            <v>PA9</v>
          </cell>
          <cell r="Z26">
            <v>2</v>
          </cell>
          <cell r="AA26">
            <v>0</v>
          </cell>
          <cell r="AC26">
            <v>2.6496</v>
          </cell>
          <cell r="AD26">
            <v>4</v>
          </cell>
          <cell r="AE26">
            <v>2500</v>
          </cell>
          <cell r="AF26">
            <v>1656</v>
          </cell>
          <cell r="AG26">
            <v>5000</v>
          </cell>
          <cell r="AH26">
            <v>27.06</v>
          </cell>
          <cell r="AI26" t="str">
            <v>Capuchon Mariposa</v>
          </cell>
          <cell r="AJ26" t="str">
            <v>SI</v>
          </cell>
          <cell r="AK26" t="str">
            <v>PE</v>
          </cell>
          <cell r="AL26" t="str">
            <v>Pat Bet Plast</v>
          </cell>
          <cell r="AM26" t="str">
            <v>R</v>
          </cell>
          <cell r="AO26">
            <v>0</v>
          </cell>
          <cell r="AP26">
            <v>0</v>
          </cell>
          <cell r="AR26">
            <v>4</v>
          </cell>
          <cell r="AT26">
            <v>1</v>
          </cell>
        </row>
        <row r="27">
          <cell r="A27" t="str">
            <v>Pat Bet Plast</v>
          </cell>
          <cell r="B27">
            <v>5064600</v>
          </cell>
          <cell r="C27" t="str">
            <v>Mangos ф 10 lk</v>
          </cell>
          <cell r="G27" t="str">
            <v>0%</v>
          </cell>
          <cell r="H27">
            <v>0</v>
          </cell>
          <cell r="J27">
            <v>0</v>
          </cell>
          <cell r="K27">
            <v>2000</v>
          </cell>
          <cell r="L27">
            <v>0</v>
          </cell>
          <cell r="N27">
            <v>2000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X27" t="str">
            <v>A16</v>
          </cell>
          <cell r="Y27" t="str">
            <v>PA16</v>
          </cell>
          <cell r="Z27">
            <v>2</v>
          </cell>
          <cell r="AA27">
            <v>0</v>
          </cell>
          <cell r="AC27">
            <v>0</v>
          </cell>
          <cell r="AD27">
            <v>4</v>
          </cell>
          <cell r="AE27">
            <v>1000</v>
          </cell>
          <cell r="AF27">
            <v>0</v>
          </cell>
          <cell r="AG27">
            <v>6000</v>
          </cell>
          <cell r="AH27">
            <v>59.92</v>
          </cell>
          <cell r="AI27" t="str">
            <v>Mangos Lk</v>
          </cell>
          <cell r="AJ27" t="str">
            <v>SI</v>
          </cell>
          <cell r="AK27" t="str">
            <v>PP</v>
          </cell>
          <cell r="AL27" t="str">
            <v>Pat Bet Plast</v>
          </cell>
          <cell r="AM27" t="str">
            <v>B</v>
          </cell>
          <cell r="AO27">
            <v>0</v>
          </cell>
          <cell r="AP27">
            <v>0</v>
          </cell>
          <cell r="AR27">
            <v>4</v>
          </cell>
          <cell r="AT27">
            <v>1</v>
          </cell>
        </row>
        <row r="28">
          <cell r="A28" t="str">
            <v>Pat Bet Plast</v>
          </cell>
          <cell r="B28">
            <v>5068600</v>
          </cell>
          <cell r="C28" t="str">
            <v>Mangos Cuch y P Torta</v>
          </cell>
          <cell r="D28">
            <v>0</v>
          </cell>
          <cell r="G28">
            <v>0.9288747346072187</v>
          </cell>
          <cell r="H28">
            <v>0.65031586770717209</v>
          </cell>
          <cell r="J28">
            <v>7536</v>
          </cell>
          <cell r="K28">
            <v>7000</v>
          </cell>
          <cell r="L28">
            <v>536</v>
          </cell>
          <cell r="N28">
            <v>7000</v>
          </cell>
          <cell r="O28">
            <v>0</v>
          </cell>
          <cell r="P28">
            <v>0</v>
          </cell>
          <cell r="Q28">
            <v>0</v>
          </cell>
          <cell r="S28">
            <v>10764</v>
          </cell>
          <cell r="T28">
            <v>0</v>
          </cell>
          <cell r="U28">
            <v>300</v>
          </cell>
          <cell r="V28">
            <v>2928</v>
          </cell>
          <cell r="X28" t="str">
            <v>A17</v>
          </cell>
          <cell r="Y28" t="str">
            <v>PA17</v>
          </cell>
          <cell r="Z28">
            <v>7</v>
          </cell>
          <cell r="AA28">
            <v>0</v>
          </cell>
          <cell r="AC28">
            <v>7.5359999999999996</v>
          </cell>
          <cell r="AD28">
            <v>4</v>
          </cell>
          <cell r="AE28">
            <v>1000</v>
          </cell>
          <cell r="AF28">
            <v>1884</v>
          </cell>
          <cell r="AG28">
            <v>6000</v>
          </cell>
          <cell r="AH28">
            <v>625.72</v>
          </cell>
          <cell r="AI28" t="str">
            <v>Mangos Lk</v>
          </cell>
          <cell r="AJ28" t="str">
            <v>SI</v>
          </cell>
          <cell r="AK28" t="str">
            <v>PP</v>
          </cell>
          <cell r="AL28" t="str">
            <v>Pat Bet Plast</v>
          </cell>
          <cell r="AM28" t="str">
            <v>B</v>
          </cell>
          <cell r="AO28">
            <v>0</v>
          </cell>
          <cell r="AP28">
            <v>0</v>
          </cell>
          <cell r="AR28">
            <v>4</v>
          </cell>
          <cell r="AT28">
            <v>1</v>
          </cell>
        </row>
        <row r="29">
          <cell r="A29" t="str">
            <v>Pat Bet Plast</v>
          </cell>
          <cell r="B29">
            <v>5064600</v>
          </cell>
          <cell r="C29" t="str">
            <v>Mangos Espatula</v>
          </cell>
          <cell r="D29">
            <v>50000</v>
          </cell>
          <cell r="E29">
            <v>2</v>
          </cell>
          <cell r="G29">
            <v>7.8379734135941806E-2</v>
          </cell>
          <cell r="H29">
            <v>5.7950857672693555E-2</v>
          </cell>
          <cell r="J29">
            <v>63792</v>
          </cell>
          <cell r="K29">
            <v>5000</v>
          </cell>
          <cell r="L29">
            <v>58792</v>
          </cell>
          <cell r="N29">
            <v>5000</v>
          </cell>
          <cell r="O29">
            <v>0</v>
          </cell>
          <cell r="P29">
            <v>0</v>
          </cell>
          <cell r="Q29">
            <v>0</v>
          </cell>
          <cell r="S29">
            <v>86280</v>
          </cell>
          <cell r="T29">
            <v>0</v>
          </cell>
          <cell r="U29">
            <v>15948</v>
          </cell>
          <cell r="V29">
            <v>6540</v>
          </cell>
          <cell r="X29" t="str">
            <v>C10</v>
          </cell>
          <cell r="Y29" t="str">
            <v>PC10</v>
          </cell>
          <cell r="Z29">
            <v>5</v>
          </cell>
          <cell r="AA29">
            <v>0</v>
          </cell>
          <cell r="AC29">
            <v>63.792000000000002</v>
          </cell>
          <cell r="AD29">
            <v>20</v>
          </cell>
          <cell r="AE29">
            <v>1000</v>
          </cell>
          <cell r="AF29">
            <v>15948</v>
          </cell>
          <cell r="AG29">
            <v>6000</v>
          </cell>
          <cell r="AH29">
            <v>59.92</v>
          </cell>
          <cell r="AI29" t="str">
            <v>Mangos Lk</v>
          </cell>
          <cell r="AJ29" t="str">
            <v>SI</v>
          </cell>
          <cell r="AK29" t="str">
            <v>PP</v>
          </cell>
          <cell r="AL29" t="str">
            <v>Pat Bet Plast</v>
          </cell>
          <cell r="AM29" t="str">
            <v>R</v>
          </cell>
          <cell r="AO29">
            <v>834.60000000000014</v>
          </cell>
          <cell r="AP29">
            <v>16.692000000000004</v>
          </cell>
          <cell r="AR29">
            <v>4</v>
          </cell>
          <cell r="AT29">
            <v>1</v>
          </cell>
        </row>
        <row r="30">
          <cell r="A30" t="str">
            <v>Pat Bet Plast</v>
          </cell>
          <cell r="B30">
            <v>6163600</v>
          </cell>
          <cell r="C30" t="str">
            <v>Mangos ф 8 lk</v>
          </cell>
          <cell r="D30">
            <v>12000</v>
          </cell>
          <cell r="E30">
            <v>10</v>
          </cell>
          <cell r="G30">
            <v>0.25252525252525254</v>
          </cell>
          <cell r="H30">
            <v>0.16835016835016836</v>
          </cell>
          <cell r="J30">
            <v>15840</v>
          </cell>
          <cell r="K30">
            <v>4000</v>
          </cell>
          <cell r="L30">
            <v>11840</v>
          </cell>
          <cell r="N30">
            <v>4000</v>
          </cell>
          <cell r="O30">
            <v>0</v>
          </cell>
          <cell r="P30">
            <v>0</v>
          </cell>
          <cell r="Q30">
            <v>0</v>
          </cell>
          <cell r="S30">
            <v>23760</v>
          </cell>
          <cell r="T30">
            <v>0</v>
          </cell>
          <cell r="U30">
            <v>3960</v>
          </cell>
          <cell r="V30">
            <v>3960</v>
          </cell>
          <cell r="X30" t="str">
            <v>C11</v>
          </cell>
          <cell r="Y30" t="str">
            <v>PC11</v>
          </cell>
          <cell r="Z30">
            <v>4</v>
          </cell>
          <cell r="AA30">
            <v>0</v>
          </cell>
          <cell r="AC30">
            <v>15.84</v>
          </cell>
          <cell r="AD30">
            <v>4</v>
          </cell>
          <cell r="AE30">
            <v>1000</v>
          </cell>
          <cell r="AF30">
            <v>3960</v>
          </cell>
          <cell r="AG30">
            <v>6000</v>
          </cell>
          <cell r="AH30">
            <v>0</v>
          </cell>
          <cell r="AI30" t="str">
            <v>Mangos Lk</v>
          </cell>
          <cell r="AJ30" t="str">
            <v>SI</v>
          </cell>
          <cell r="AK30" t="str">
            <v>PP</v>
          </cell>
          <cell r="AL30" t="str">
            <v>Pat Bet Plast</v>
          </cell>
          <cell r="AM30" t="str">
            <v>R</v>
          </cell>
          <cell r="AO30">
            <v>196.56</v>
          </cell>
          <cell r="AP30">
            <v>3.9312</v>
          </cell>
          <cell r="AR30">
            <v>4</v>
          </cell>
          <cell r="AT30">
            <v>1</v>
          </cell>
        </row>
        <row r="31">
          <cell r="A31" t="str">
            <v>Pat Bet Plast</v>
          </cell>
          <cell r="B31">
            <v>5107600</v>
          </cell>
          <cell r="C31" t="str">
            <v>Mangos Chef</v>
          </cell>
          <cell r="D31">
            <v>12000</v>
          </cell>
          <cell r="E31">
            <v>4</v>
          </cell>
          <cell r="G31">
            <v>6.8756875687568761E-2</v>
          </cell>
          <cell r="H31">
            <v>4.4563279857397504E-2</v>
          </cell>
          <cell r="J31">
            <v>14544</v>
          </cell>
          <cell r="K31">
            <v>1000</v>
          </cell>
          <cell r="L31">
            <v>13544</v>
          </cell>
          <cell r="N31">
            <v>1000</v>
          </cell>
          <cell r="O31">
            <v>0</v>
          </cell>
          <cell r="P31">
            <v>0</v>
          </cell>
          <cell r="Q31">
            <v>0</v>
          </cell>
          <cell r="S31">
            <v>22440</v>
          </cell>
          <cell r="T31">
            <v>0</v>
          </cell>
          <cell r="U31">
            <v>3636</v>
          </cell>
          <cell r="V31">
            <v>4260</v>
          </cell>
          <cell r="X31" t="str">
            <v>A19</v>
          </cell>
          <cell r="Y31" t="str">
            <v>PA19</v>
          </cell>
          <cell r="Z31">
            <v>1</v>
          </cell>
          <cell r="AA31">
            <v>0</v>
          </cell>
          <cell r="AC31">
            <v>14.544</v>
          </cell>
          <cell r="AD31">
            <v>4</v>
          </cell>
          <cell r="AE31">
            <v>1000</v>
          </cell>
          <cell r="AF31">
            <v>3636</v>
          </cell>
          <cell r="AG31">
            <v>6000</v>
          </cell>
          <cell r="AH31">
            <v>59.92</v>
          </cell>
          <cell r="AI31" t="str">
            <v>Mangos Ch</v>
          </cell>
          <cell r="AJ31" t="str">
            <v>SI</v>
          </cell>
          <cell r="AK31" t="str">
            <v>PP</v>
          </cell>
          <cell r="AL31" t="str">
            <v>Pat Bet Plast</v>
          </cell>
          <cell r="AM31" t="str">
            <v>B</v>
          </cell>
          <cell r="AO31">
            <v>163.17600000000002</v>
          </cell>
          <cell r="AP31">
            <v>3.2635200000000002</v>
          </cell>
          <cell r="AR31">
            <v>4</v>
          </cell>
          <cell r="AT31">
            <v>0</v>
          </cell>
        </row>
        <row r="32">
          <cell r="A32" t="str">
            <v>Pat Bet Plast</v>
          </cell>
          <cell r="B32">
            <v>1180500</v>
          </cell>
          <cell r="C32" t="str">
            <v>Cilindro Corta Queso</v>
          </cell>
          <cell r="D32">
            <v>0</v>
          </cell>
          <cell r="G32">
            <v>0</v>
          </cell>
          <cell r="H32">
            <v>0</v>
          </cell>
          <cell r="J32">
            <v>33984</v>
          </cell>
          <cell r="K32">
            <v>0</v>
          </cell>
          <cell r="L32">
            <v>33984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50976</v>
          </cell>
          <cell r="T32">
            <v>0</v>
          </cell>
          <cell r="U32">
            <v>8496</v>
          </cell>
          <cell r="V32">
            <v>8496</v>
          </cell>
          <cell r="X32" t="str">
            <v>B1</v>
          </cell>
          <cell r="Y32" t="str">
            <v>PB1</v>
          </cell>
          <cell r="Z32">
            <v>0</v>
          </cell>
          <cell r="AA32">
            <v>0</v>
          </cell>
          <cell r="AC32">
            <v>16.992000000000001</v>
          </cell>
          <cell r="AD32">
            <v>20</v>
          </cell>
          <cell r="AE32">
            <v>2000</v>
          </cell>
          <cell r="AF32">
            <v>8496</v>
          </cell>
          <cell r="AG32">
            <v>12000</v>
          </cell>
          <cell r="AH32">
            <v>42.46</v>
          </cell>
          <cell r="AI32" t="str">
            <v>Corta Queso</v>
          </cell>
          <cell r="AJ32" t="str">
            <v>SI</v>
          </cell>
          <cell r="AK32" t="str">
            <v>AL</v>
          </cell>
          <cell r="AL32" t="str">
            <v>Pat Bet Plast</v>
          </cell>
          <cell r="AM32" t="str">
            <v>B</v>
          </cell>
          <cell r="AO32">
            <v>0</v>
          </cell>
          <cell r="AP32">
            <v>0</v>
          </cell>
          <cell r="AR32">
            <v>4</v>
          </cell>
          <cell r="AT32">
            <v>0.7</v>
          </cell>
        </row>
        <row r="33">
          <cell r="A33" t="str">
            <v>Pat Bet Plast</v>
          </cell>
          <cell r="B33">
            <v>5110600</v>
          </cell>
          <cell r="C33" t="str">
            <v>Inser. Neg. Espat</v>
          </cell>
          <cell r="D33">
            <v>3000</v>
          </cell>
          <cell r="E33">
            <v>13</v>
          </cell>
          <cell r="G33">
            <v>0.51349765258215962</v>
          </cell>
          <cell r="H33">
            <v>0.3419304415787417</v>
          </cell>
          <cell r="J33">
            <v>6816</v>
          </cell>
          <cell r="K33">
            <v>3500</v>
          </cell>
          <cell r="L33">
            <v>3316</v>
          </cell>
          <cell r="N33">
            <v>3500</v>
          </cell>
          <cell r="O33">
            <v>0</v>
          </cell>
          <cell r="P33">
            <v>0</v>
          </cell>
          <cell r="Q33">
            <v>0</v>
          </cell>
          <cell r="S33">
            <v>10236</v>
          </cell>
          <cell r="T33">
            <v>0</v>
          </cell>
          <cell r="U33">
            <v>1704</v>
          </cell>
          <cell r="V33">
            <v>1716</v>
          </cell>
          <cell r="X33" t="str">
            <v>B6</v>
          </cell>
          <cell r="Y33" t="str">
            <v>PB6</v>
          </cell>
          <cell r="Z33">
            <v>7</v>
          </cell>
          <cell r="AA33">
            <v>0</v>
          </cell>
          <cell r="AC33">
            <v>13.632</v>
          </cell>
          <cell r="AD33">
            <v>2</v>
          </cell>
          <cell r="AE33">
            <v>500</v>
          </cell>
          <cell r="AF33">
            <v>1704</v>
          </cell>
          <cell r="AG33">
            <v>5000</v>
          </cell>
          <cell r="AH33">
            <v>91.6</v>
          </cell>
          <cell r="AI33" t="str">
            <v>Insertos</v>
          </cell>
          <cell r="AJ33" t="str">
            <v>SI</v>
          </cell>
          <cell r="AK33" t="str">
            <v>PP</v>
          </cell>
          <cell r="AL33" t="str">
            <v>Pat Bet Plast</v>
          </cell>
          <cell r="AM33" t="str">
            <v>N</v>
          </cell>
          <cell r="AO33">
            <v>11.751999999999999</v>
          </cell>
          <cell r="AP33">
            <v>0.23503999999999997</v>
          </cell>
          <cell r="AR33">
            <v>4</v>
          </cell>
          <cell r="AT33">
            <v>0</v>
          </cell>
        </row>
        <row r="34">
          <cell r="A34" t="str">
            <v>Pat Bet Plast</v>
          </cell>
          <cell r="B34">
            <v>5110600</v>
          </cell>
          <cell r="C34" t="str">
            <v>Inser. Neg. Batidor</v>
          </cell>
          <cell r="D34">
            <v>7000</v>
          </cell>
          <cell r="E34">
            <v>5</v>
          </cell>
          <cell r="G34">
            <v>6.0211946050096339E-2</v>
          </cell>
          <cell r="H34">
            <v>4.1091387245233396E-2</v>
          </cell>
          <cell r="J34">
            <v>8304</v>
          </cell>
          <cell r="K34">
            <v>500</v>
          </cell>
          <cell r="L34">
            <v>7804</v>
          </cell>
          <cell r="N34">
            <v>500</v>
          </cell>
          <cell r="O34">
            <v>0</v>
          </cell>
          <cell r="P34">
            <v>0</v>
          </cell>
          <cell r="Q34">
            <v>0</v>
          </cell>
          <cell r="S34">
            <v>12168</v>
          </cell>
          <cell r="T34">
            <v>0</v>
          </cell>
          <cell r="U34">
            <v>1716</v>
          </cell>
          <cell r="V34">
            <v>2148</v>
          </cell>
          <cell r="X34" t="str">
            <v>B7</v>
          </cell>
          <cell r="Y34" t="str">
            <v>PB7</v>
          </cell>
          <cell r="Z34">
            <v>1</v>
          </cell>
          <cell r="AA34">
            <v>0</v>
          </cell>
          <cell r="AC34">
            <v>16.608000000000001</v>
          </cell>
          <cell r="AD34">
            <v>2</v>
          </cell>
          <cell r="AE34">
            <v>500</v>
          </cell>
          <cell r="AF34">
            <v>2076</v>
          </cell>
          <cell r="AG34">
            <v>5000</v>
          </cell>
          <cell r="AH34">
            <v>91.6</v>
          </cell>
          <cell r="AI34" t="str">
            <v>Insertos</v>
          </cell>
          <cell r="AJ34" t="str">
            <v>SI</v>
          </cell>
          <cell r="AK34" t="str">
            <v>PP</v>
          </cell>
          <cell r="AL34" t="str">
            <v>Pat Bet Plast</v>
          </cell>
          <cell r="AM34" t="str">
            <v>N</v>
          </cell>
          <cell r="AO34">
            <v>27.785333333333337</v>
          </cell>
          <cell r="AP34">
            <v>0.55570666666666679</v>
          </cell>
          <cell r="AR34">
            <v>4</v>
          </cell>
          <cell r="AT34">
            <v>0</v>
          </cell>
        </row>
        <row r="35">
          <cell r="A35" t="str">
            <v>Pat Bet Plast</v>
          </cell>
          <cell r="B35">
            <v>6087600</v>
          </cell>
          <cell r="C35" t="str">
            <v>Mango Sacacorcho Plast (581)</v>
          </cell>
          <cell r="G35">
            <v>1.1574074074074074</v>
          </cell>
          <cell r="H35">
            <v>0.77160493827160492</v>
          </cell>
          <cell r="J35">
            <v>3456</v>
          </cell>
          <cell r="K35">
            <v>4000</v>
          </cell>
          <cell r="L35">
            <v>0</v>
          </cell>
          <cell r="N35">
            <v>4000</v>
          </cell>
          <cell r="O35">
            <v>0</v>
          </cell>
          <cell r="P35">
            <v>0</v>
          </cell>
          <cell r="Q35">
            <v>0</v>
          </cell>
          <cell r="S35">
            <v>5184</v>
          </cell>
          <cell r="T35">
            <v>0</v>
          </cell>
          <cell r="U35">
            <v>864</v>
          </cell>
          <cell r="V35">
            <v>864</v>
          </cell>
          <cell r="X35" t="str">
            <v>B8</v>
          </cell>
          <cell r="Y35" t="str">
            <v>PB8</v>
          </cell>
          <cell r="Z35">
            <v>8</v>
          </cell>
          <cell r="AA35">
            <v>0</v>
          </cell>
          <cell r="AC35">
            <v>6.9119999999999999</v>
          </cell>
          <cell r="AD35">
            <v>20</v>
          </cell>
          <cell r="AE35">
            <v>500</v>
          </cell>
          <cell r="AF35">
            <v>864</v>
          </cell>
          <cell r="AG35">
            <v>5000</v>
          </cell>
          <cell r="AH35">
            <v>61.43</v>
          </cell>
          <cell r="AI35" t="str">
            <v>Cpo Sacacorcho Plast</v>
          </cell>
          <cell r="AJ35" t="str">
            <v>SI</v>
          </cell>
          <cell r="AK35" t="str">
            <v>PP</v>
          </cell>
          <cell r="AL35" t="str">
            <v>Pat Bet Plast</v>
          </cell>
          <cell r="AM35" t="str">
            <v>A</v>
          </cell>
          <cell r="AO35">
            <v>0</v>
          </cell>
          <cell r="AP35">
            <v>0</v>
          </cell>
          <cell r="AR35">
            <v>4</v>
          </cell>
          <cell r="AT35">
            <v>0.7</v>
          </cell>
        </row>
        <row r="36">
          <cell r="A36" t="str">
            <v>Pat Bet Plast</v>
          </cell>
          <cell r="B36">
            <v>5110600</v>
          </cell>
          <cell r="C36" t="str">
            <v>Ojales Neg/Blanco</v>
          </cell>
          <cell r="G36" t="str">
            <v>0%</v>
          </cell>
          <cell r="H36">
            <v>0.58685446009389675</v>
          </cell>
          <cell r="J36">
            <v>0</v>
          </cell>
          <cell r="K36">
            <v>2500</v>
          </cell>
          <cell r="L36">
            <v>0</v>
          </cell>
          <cell r="N36">
            <v>2500</v>
          </cell>
          <cell r="O36">
            <v>0</v>
          </cell>
          <cell r="P36">
            <v>0</v>
          </cell>
          <cell r="Q36">
            <v>0</v>
          </cell>
          <cell r="S36">
            <v>4260</v>
          </cell>
          <cell r="T36">
            <v>0</v>
          </cell>
          <cell r="U36">
            <v>0</v>
          </cell>
          <cell r="V36">
            <v>4260</v>
          </cell>
          <cell r="X36" t="str">
            <v>C6</v>
          </cell>
          <cell r="Y36" t="str">
            <v>PC6</v>
          </cell>
          <cell r="Z36">
            <v>5</v>
          </cell>
          <cell r="AA36">
            <v>0</v>
          </cell>
          <cell r="AC36">
            <v>0</v>
          </cell>
          <cell r="AD36">
            <v>2</v>
          </cell>
          <cell r="AE36">
            <v>500</v>
          </cell>
          <cell r="AF36">
            <v>0</v>
          </cell>
          <cell r="AG36">
            <v>10000</v>
          </cell>
          <cell r="AH36">
            <v>91.6</v>
          </cell>
          <cell r="AI36" t="str">
            <v>Ojales</v>
          </cell>
          <cell r="AJ36" t="str">
            <v>SI</v>
          </cell>
          <cell r="AK36" t="str">
            <v>PP</v>
          </cell>
          <cell r="AL36" t="str">
            <v>Pat Bet Plast</v>
          </cell>
          <cell r="AM36" t="str">
            <v>R</v>
          </cell>
          <cell r="AO36">
            <v>0</v>
          </cell>
          <cell r="AP36">
            <v>0</v>
          </cell>
          <cell r="AR36">
            <v>4</v>
          </cell>
          <cell r="AT36">
            <v>0</v>
          </cell>
        </row>
        <row r="37">
          <cell r="A37" t="str">
            <v>Pat Bet Plast</v>
          </cell>
          <cell r="B37">
            <v>5112600</v>
          </cell>
          <cell r="C37" t="str">
            <v>Inserto Neg. Canelones</v>
          </cell>
          <cell r="D37">
            <v>0</v>
          </cell>
          <cell r="G37">
            <v>0</v>
          </cell>
          <cell r="H37">
            <v>0</v>
          </cell>
          <cell r="J37">
            <v>384</v>
          </cell>
          <cell r="K37">
            <v>0</v>
          </cell>
          <cell r="L37">
            <v>384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1008</v>
          </cell>
          <cell r="T37">
            <v>0</v>
          </cell>
          <cell r="U37">
            <v>96</v>
          </cell>
          <cell r="V37">
            <v>528</v>
          </cell>
          <cell r="X37" t="str">
            <v>C7</v>
          </cell>
          <cell r="Y37" t="str">
            <v>PC7</v>
          </cell>
          <cell r="Z37">
            <v>0</v>
          </cell>
          <cell r="AA37">
            <v>0</v>
          </cell>
          <cell r="AC37">
            <v>0.76800000000000002</v>
          </cell>
          <cell r="AD37">
            <v>4</v>
          </cell>
          <cell r="AE37">
            <v>500</v>
          </cell>
          <cell r="AF37">
            <v>96</v>
          </cell>
          <cell r="AG37">
            <v>5000</v>
          </cell>
          <cell r="AH37">
            <v>19.920000000000002</v>
          </cell>
          <cell r="AI37" t="str">
            <v>Insertos</v>
          </cell>
          <cell r="AJ37" t="str">
            <v>SI</v>
          </cell>
          <cell r="AK37" t="str">
            <v>PP</v>
          </cell>
          <cell r="AL37" t="str">
            <v>Pat Bet Plast</v>
          </cell>
          <cell r="AM37" t="str">
            <v>R</v>
          </cell>
          <cell r="AO37">
            <v>0</v>
          </cell>
          <cell r="AP37">
            <v>0</v>
          </cell>
          <cell r="AR37">
            <v>4</v>
          </cell>
          <cell r="AT37">
            <v>0</v>
          </cell>
        </row>
        <row r="38">
          <cell r="A38" t="str">
            <v>Pat Bet Plast</v>
          </cell>
          <cell r="B38">
            <v>5065600</v>
          </cell>
          <cell r="C38" t="str">
            <v>Cachas Azules</v>
          </cell>
          <cell r="D38">
            <v>0</v>
          </cell>
          <cell r="G38">
            <v>0.28538812785388129</v>
          </cell>
          <cell r="H38">
            <v>0.2198768689533861</v>
          </cell>
          <cell r="J38">
            <v>3504</v>
          </cell>
          <cell r="K38">
            <v>1000</v>
          </cell>
          <cell r="L38">
            <v>2504</v>
          </cell>
          <cell r="N38">
            <v>1000</v>
          </cell>
          <cell r="O38">
            <v>0</v>
          </cell>
          <cell r="P38">
            <v>0</v>
          </cell>
          <cell r="Q38">
            <v>0</v>
          </cell>
          <cell r="S38">
            <v>4548</v>
          </cell>
          <cell r="T38">
            <v>0</v>
          </cell>
          <cell r="U38">
            <v>876</v>
          </cell>
          <cell r="V38">
            <v>168</v>
          </cell>
          <cell r="X38" t="str">
            <v>C8</v>
          </cell>
          <cell r="Y38" t="str">
            <v>PC8</v>
          </cell>
          <cell r="Z38">
            <v>2</v>
          </cell>
          <cell r="AA38">
            <v>0</v>
          </cell>
          <cell r="AC38">
            <v>7.008</v>
          </cell>
          <cell r="AD38">
            <v>4</v>
          </cell>
          <cell r="AE38">
            <v>500</v>
          </cell>
          <cell r="AF38">
            <v>876</v>
          </cell>
          <cell r="AG38">
            <v>5000</v>
          </cell>
          <cell r="AH38">
            <v>91.6</v>
          </cell>
          <cell r="AI38" t="str">
            <v>Cachas</v>
          </cell>
          <cell r="AJ38" t="str">
            <v>SI</v>
          </cell>
          <cell r="AK38" t="str">
            <v>PP</v>
          </cell>
          <cell r="AL38" t="str">
            <v>Pat Bet Plast</v>
          </cell>
          <cell r="AM38" t="str">
            <v>R</v>
          </cell>
          <cell r="AO38">
            <v>0</v>
          </cell>
          <cell r="AP38">
            <v>0</v>
          </cell>
          <cell r="AR38">
            <v>4</v>
          </cell>
          <cell r="AT38">
            <v>0.7</v>
          </cell>
        </row>
        <row r="39">
          <cell r="A39" t="str">
            <v>Pat Bet Plast</v>
          </cell>
          <cell r="B39">
            <v>5684600</v>
          </cell>
          <cell r="C39" t="str">
            <v>Manguito Abrelat. Blanc</v>
          </cell>
          <cell r="D39">
            <v>0</v>
          </cell>
          <cell r="G39">
            <v>0.970873786407767</v>
          </cell>
          <cell r="H39">
            <v>0.77669902912621358</v>
          </cell>
          <cell r="J39">
            <v>2472</v>
          </cell>
          <cell r="K39">
            <v>2400</v>
          </cell>
          <cell r="L39">
            <v>72</v>
          </cell>
          <cell r="N39">
            <v>2400</v>
          </cell>
          <cell r="O39">
            <v>0</v>
          </cell>
          <cell r="P39">
            <v>0</v>
          </cell>
          <cell r="Q39">
            <v>0</v>
          </cell>
          <cell r="S39">
            <v>3090</v>
          </cell>
          <cell r="T39">
            <v>0</v>
          </cell>
          <cell r="U39">
            <v>0</v>
          </cell>
          <cell r="V39">
            <v>618</v>
          </cell>
          <cell r="X39" t="str">
            <v>C13</v>
          </cell>
          <cell r="Y39" t="str">
            <v>PC13</v>
          </cell>
          <cell r="Z39">
            <v>2</v>
          </cell>
          <cell r="AA39">
            <v>0</v>
          </cell>
          <cell r="AC39">
            <v>2.06</v>
          </cell>
          <cell r="AD39">
            <v>4</v>
          </cell>
          <cell r="AE39">
            <v>1200</v>
          </cell>
          <cell r="AF39">
            <v>618</v>
          </cell>
          <cell r="AG39">
            <v>19200</v>
          </cell>
          <cell r="AH39">
            <v>0</v>
          </cell>
          <cell r="AI39" t="str">
            <v>Mangos Abrelata</v>
          </cell>
          <cell r="AJ39" t="str">
            <v>SI</v>
          </cell>
          <cell r="AK39" t="str">
            <v>PS HF555</v>
          </cell>
          <cell r="AL39" t="str">
            <v>Pat Bet Plast</v>
          </cell>
          <cell r="AM39" t="str">
            <v>R</v>
          </cell>
          <cell r="AO39">
            <v>0</v>
          </cell>
          <cell r="AP39">
            <v>0</v>
          </cell>
          <cell r="AR39">
            <v>4</v>
          </cell>
          <cell r="AT39">
            <v>0</v>
          </cell>
        </row>
        <row r="40">
          <cell r="A40" t="str">
            <v>Pat Bet Plast</v>
          </cell>
          <cell r="B40">
            <v>5063600</v>
          </cell>
          <cell r="C40" t="str">
            <v>Manguito Abrelat. Roj</v>
          </cell>
          <cell r="D40">
            <v>25000</v>
          </cell>
          <cell r="E40">
            <v>1</v>
          </cell>
          <cell r="G40">
            <v>0</v>
          </cell>
          <cell r="H40">
            <v>0</v>
          </cell>
          <cell r="J40">
            <v>27648</v>
          </cell>
          <cell r="K40">
            <v>0</v>
          </cell>
          <cell r="L40">
            <v>27648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34560</v>
          </cell>
          <cell r="T40">
            <v>0</v>
          </cell>
          <cell r="U40">
            <v>0</v>
          </cell>
          <cell r="V40">
            <v>6912</v>
          </cell>
          <cell r="X40" t="str">
            <v>C14</v>
          </cell>
          <cell r="Y40" t="str">
            <v>PC14</v>
          </cell>
          <cell r="Z40">
            <v>0</v>
          </cell>
          <cell r="AA40">
            <v>0</v>
          </cell>
          <cell r="AC40">
            <v>23.04</v>
          </cell>
          <cell r="AD40">
            <v>4</v>
          </cell>
          <cell r="AE40">
            <v>1200</v>
          </cell>
          <cell r="AF40">
            <v>6912</v>
          </cell>
          <cell r="AG40">
            <v>19200</v>
          </cell>
          <cell r="AH40">
            <v>24.57</v>
          </cell>
          <cell r="AI40" t="str">
            <v>Mangos Abrelata</v>
          </cell>
          <cell r="AJ40" t="str">
            <v>SI</v>
          </cell>
          <cell r="AK40" t="str">
            <v>PS HF555</v>
          </cell>
          <cell r="AL40" t="str">
            <v>Pat Bet Plast</v>
          </cell>
          <cell r="AM40" t="str">
            <v>R</v>
          </cell>
          <cell r="AO40">
            <v>236.6</v>
          </cell>
          <cell r="AP40">
            <v>4.7320000000000002</v>
          </cell>
          <cell r="AR40">
            <v>4</v>
          </cell>
          <cell r="AT40">
            <v>1</v>
          </cell>
        </row>
        <row r="41">
          <cell r="A41" t="str">
            <v>Pat Bet Plast</v>
          </cell>
          <cell r="B41">
            <v>6039600</v>
          </cell>
          <cell r="C41" t="str">
            <v>Cuerpo Doble Aleta Plast</v>
          </cell>
          <cell r="D41">
            <v>7000</v>
          </cell>
          <cell r="E41">
            <v>12</v>
          </cell>
          <cell r="G41">
            <v>0.30193236714975846</v>
          </cell>
          <cell r="H41">
            <v>0.20128824476650564</v>
          </cell>
          <cell r="J41">
            <v>9936</v>
          </cell>
          <cell r="K41">
            <v>3000</v>
          </cell>
          <cell r="L41">
            <v>6936</v>
          </cell>
          <cell r="N41">
            <v>3000</v>
          </cell>
          <cell r="O41">
            <v>0</v>
          </cell>
          <cell r="P41">
            <v>0</v>
          </cell>
          <cell r="Q41">
            <v>0</v>
          </cell>
          <cell r="S41">
            <v>14904</v>
          </cell>
          <cell r="T41">
            <v>2484</v>
          </cell>
          <cell r="U41">
            <v>0</v>
          </cell>
          <cell r="V41">
            <v>2484</v>
          </cell>
          <cell r="X41" t="str">
            <v>C15</v>
          </cell>
          <cell r="Y41" t="str">
            <v>PC15</v>
          </cell>
          <cell r="Z41">
            <v>6</v>
          </cell>
          <cell r="AA41">
            <v>0</v>
          </cell>
          <cell r="AC41">
            <v>19.872</v>
          </cell>
          <cell r="AD41">
            <v>20</v>
          </cell>
          <cell r="AE41">
            <v>500</v>
          </cell>
          <cell r="AF41">
            <v>2484</v>
          </cell>
          <cell r="AG41">
            <v>2000</v>
          </cell>
          <cell r="AH41">
            <v>197.43</v>
          </cell>
          <cell r="AI41" t="str">
            <v>Cuerpo Sac</v>
          </cell>
          <cell r="AJ41" t="str">
            <v>SI</v>
          </cell>
          <cell r="AK41" t="str">
            <v>ABS</v>
          </cell>
          <cell r="AL41" t="str">
            <v>Pat Bet Plast</v>
          </cell>
          <cell r="AM41" t="str">
            <v>R</v>
          </cell>
          <cell r="AO41">
            <v>157.24800000000002</v>
          </cell>
          <cell r="AP41">
            <v>3.1449600000000006</v>
          </cell>
          <cell r="AR41">
            <v>4</v>
          </cell>
          <cell r="AT41">
            <v>0.7</v>
          </cell>
        </row>
        <row r="42">
          <cell r="A42" t="str">
            <v>Pat Bet Plast</v>
          </cell>
          <cell r="B42">
            <v>5681600</v>
          </cell>
          <cell r="C42" t="str">
            <v>Pisa papa Nylon</v>
          </cell>
          <cell r="D42">
            <v>4000</v>
          </cell>
          <cell r="E42">
            <v>8</v>
          </cell>
          <cell r="G42">
            <v>0.1736111111111111</v>
          </cell>
          <cell r="H42">
            <v>0.11574074074074074</v>
          </cell>
          <cell r="J42">
            <v>2880</v>
          </cell>
          <cell r="K42">
            <v>500</v>
          </cell>
          <cell r="L42">
            <v>2380</v>
          </cell>
          <cell r="N42">
            <v>500</v>
          </cell>
          <cell r="O42">
            <v>0</v>
          </cell>
          <cell r="P42">
            <v>0</v>
          </cell>
          <cell r="Q42">
            <v>0</v>
          </cell>
          <cell r="S42">
            <v>4320</v>
          </cell>
          <cell r="T42">
            <v>0</v>
          </cell>
          <cell r="U42">
            <v>720</v>
          </cell>
          <cell r="V42">
            <v>720</v>
          </cell>
          <cell r="X42" t="str">
            <v>V1</v>
          </cell>
          <cell r="Y42" t="str">
            <v>PV1</v>
          </cell>
          <cell r="Z42">
            <v>1</v>
          </cell>
          <cell r="AA42">
            <v>0</v>
          </cell>
          <cell r="AC42">
            <v>5.76</v>
          </cell>
          <cell r="AD42">
            <v>4</v>
          </cell>
          <cell r="AE42">
            <v>500</v>
          </cell>
          <cell r="AF42">
            <v>720</v>
          </cell>
          <cell r="AG42">
            <v>2000</v>
          </cell>
          <cell r="AH42">
            <v>437.33</v>
          </cell>
          <cell r="AI42" t="str">
            <v>Pisa Papa</v>
          </cell>
          <cell r="AJ42" t="str">
            <v>SI</v>
          </cell>
          <cell r="AK42" t="str">
            <v>NY Rec</v>
          </cell>
          <cell r="AL42" t="str">
            <v>Pat Bet Plast</v>
          </cell>
          <cell r="AM42" t="str">
            <v>-</v>
          </cell>
          <cell r="AO42">
            <v>71.343999999999994</v>
          </cell>
          <cell r="AP42">
            <v>1.4268799999999999</v>
          </cell>
          <cell r="AR42">
            <v>4</v>
          </cell>
          <cell r="AT42">
            <v>0.7</v>
          </cell>
        </row>
        <row r="43">
          <cell r="A43" t="str">
            <v>Pat Bet Plast</v>
          </cell>
          <cell r="B43">
            <v>5075600</v>
          </cell>
          <cell r="C43" t="str">
            <v xml:space="preserve">Cucharon 1 Pz Ny </v>
          </cell>
          <cell r="G43">
            <v>1.0416666666666667</v>
          </cell>
          <cell r="H43">
            <v>0.83333333333333337</v>
          </cell>
          <cell r="J43">
            <v>1920</v>
          </cell>
          <cell r="K43">
            <v>2000</v>
          </cell>
          <cell r="L43">
            <v>0</v>
          </cell>
          <cell r="N43">
            <v>2000</v>
          </cell>
          <cell r="O43">
            <v>0</v>
          </cell>
          <cell r="P43">
            <v>0</v>
          </cell>
          <cell r="Q43">
            <v>0</v>
          </cell>
          <cell r="S43">
            <v>2400</v>
          </cell>
          <cell r="T43">
            <v>0</v>
          </cell>
          <cell r="U43">
            <v>0</v>
          </cell>
          <cell r="V43">
            <v>480</v>
          </cell>
          <cell r="X43" t="str">
            <v>V2</v>
          </cell>
          <cell r="Y43" t="str">
            <v>PV2</v>
          </cell>
          <cell r="Z43">
            <v>8</v>
          </cell>
          <cell r="AA43">
            <v>0</v>
          </cell>
          <cell r="AC43">
            <v>7.68</v>
          </cell>
          <cell r="AD43">
            <v>8</v>
          </cell>
          <cell r="AE43">
            <v>250</v>
          </cell>
          <cell r="AF43">
            <v>480</v>
          </cell>
          <cell r="AG43">
            <v>1500</v>
          </cell>
          <cell r="AH43">
            <v>167.26</v>
          </cell>
          <cell r="AI43" t="str">
            <v xml:space="preserve">Cucharon </v>
          </cell>
          <cell r="AJ43" t="str">
            <v>SI</v>
          </cell>
          <cell r="AK43" t="str">
            <v>NY Rec</v>
          </cell>
          <cell r="AL43" t="str">
            <v>Pat Bet Plast</v>
          </cell>
          <cell r="AM43" t="str">
            <v>-</v>
          </cell>
          <cell r="AO43">
            <v>0</v>
          </cell>
          <cell r="AP43">
            <v>0</v>
          </cell>
          <cell r="AR43">
            <v>4</v>
          </cell>
          <cell r="AT43">
            <v>0.7</v>
          </cell>
        </row>
        <row r="44">
          <cell r="A44" t="str">
            <v>Pat Bet Plast</v>
          </cell>
          <cell r="B44">
            <v>5079600</v>
          </cell>
          <cell r="C44" t="str">
            <v xml:space="preserve">Espatula Lisa 1 Pz </v>
          </cell>
          <cell r="D44">
            <v>0</v>
          </cell>
          <cell r="G44">
            <v>0.52083333333333337</v>
          </cell>
          <cell r="H44">
            <v>0.41666666666666669</v>
          </cell>
          <cell r="J44">
            <v>1920</v>
          </cell>
          <cell r="K44">
            <v>1000</v>
          </cell>
          <cell r="L44">
            <v>920</v>
          </cell>
          <cell r="N44">
            <v>1000</v>
          </cell>
          <cell r="O44">
            <v>0</v>
          </cell>
          <cell r="P44">
            <v>0</v>
          </cell>
          <cell r="Q44">
            <v>0</v>
          </cell>
          <cell r="S44">
            <v>2400</v>
          </cell>
          <cell r="T44">
            <v>0</v>
          </cell>
          <cell r="U44">
            <v>0</v>
          </cell>
          <cell r="V44">
            <v>480</v>
          </cell>
          <cell r="X44" t="str">
            <v>V3</v>
          </cell>
          <cell r="Y44" t="str">
            <v>PV3</v>
          </cell>
          <cell r="Z44">
            <v>4</v>
          </cell>
          <cell r="AA44">
            <v>0</v>
          </cell>
          <cell r="AC44">
            <v>7.68</v>
          </cell>
          <cell r="AD44">
            <v>6</v>
          </cell>
          <cell r="AE44">
            <v>250</v>
          </cell>
          <cell r="AF44">
            <v>480</v>
          </cell>
          <cell r="AG44">
            <v>1500</v>
          </cell>
          <cell r="AH44">
            <v>112.08</v>
          </cell>
          <cell r="AI44" t="str">
            <v>Espatula</v>
          </cell>
          <cell r="AJ44" t="str">
            <v>SI</v>
          </cell>
          <cell r="AK44" t="str">
            <v>NY Rec</v>
          </cell>
          <cell r="AL44" t="str">
            <v>Pat Bet Plast</v>
          </cell>
          <cell r="AM44" t="str">
            <v>-</v>
          </cell>
          <cell r="AO44">
            <v>0</v>
          </cell>
          <cell r="AP44">
            <v>0</v>
          </cell>
          <cell r="AR44">
            <v>4</v>
          </cell>
          <cell r="AT44">
            <v>0.7</v>
          </cell>
        </row>
        <row r="45">
          <cell r="A45" t="str">
            <v>Pat Bet Plast</v>
          </cell>
          <cell r="B45">
            <v>5080600</v>
          </cell>
          <cell r="C45" t="str">
            <v xml:space="preserve">Cuchara Fideos 1 Pz Ny </v>
          </cell>
          <cell r="G45">
            <v>1.3020833333333333</v>
          </cell>
          <cell r="H45">
            <v>1.0416666666666667</v>
          </cell>
          <cell r="J45">
            <v>960</v>
          </cell>
          <cell r="K45">
            <v>1250</v>
          </cell>
          <cell r="L45">
            <v>0</v>
          </cell>
          <cell r="N45">
            <v>1250</v>
          </cell>
          <cell r="O45">
            <v>0</v>
          </cell>
          <cell r="P45">
            <v>0</v>
          </cell>
          <cell r="Q45">
            <v>0</v>
          </cell>
          <cell r="S45">
            <v>1200</v>
          </cell>
          <cell r="T45">
            <v>0</v>
          </cell>
          <cell r="U45">
            <v>0</v>
          </cell>
          <cell r="V45">
            <v>240</v>
          </cell>
          <cell r="X45" t="str">
            <v>V5</v>
          </cell>
          <cell r="Y45" t="str">
            <v>PV5</v>
          </cell>
          <cell r="Z45">
            <v>5</v>
          </cell>
          <cell r="AA45">
            <v>0</v>
          </cell>
          <cell r="AC45">
            <v>3.84</v>
          </cell>
          <cell r="AD45">
            <v>4</v>
          </cell>
          <cell r="AE45">
            <v>250</v>
          </cell>
          <cell r="AF45">
            <v>240</v>
          </cell>
          <cell r="AG45">
            <v>1500</v>
          </cell>
          <cell r="AH45">
            <v>112.08</v>
          </cell>
          <cell r="AI45" t="str">
            <v>Cuch Calada y Fideos</v>
          </cell>
          <cell r="AJ45" t="str">
            <v>SI</v>
          </cell>
          <cell r="AK45" t="str">
            <v>NY Rec</v>
          </cell>
          <cell r="AL45" t="str">
            <v>Pat Bet Plast</v>
          </cell>
          <cell r="AM45" t="str">
            <v>-</v>
          </cell>
          <cell r="AO45">
            <v>0</v>
          </cell>
          <cell r="AP45">
            <v>0</v>
          </cell>
          <cell r="AR45">
            <v>4</v>
          </cell>
          <cell r="AT45">
            <v>0.7</v>
          </cell>
        </row>
        <row r="46">
          <cell r="A46" t="str">
            <v>Pat Bet Plast</v>
          </cell>
          <cell r="B46">
            <v>5074600</v>
          </cell>
          <cell r="C46" t="str">
            <v>Cuchara Calada 1 Pz  Ny</v>
          </cell>
          <cell r="G46">
            <v>1.1160714285714286</v>
          </cell>
          <cell r="H46">
            <v>0.8928571428571429</v>
          </cell>
          <cell r="J46">
            <v>672</v>
          </cell>
          <cell r="K46">
            <v>750</v>
          </cell>
          <cell r="L46">
            <v>0</v>
          </cell>
          <cell r="N46">
            <v>750</v>
          </cell>
          <cell r="O46">
            <v>0</v>
          </cell>
          <cell r="P46">
            <v>0</v>
          </cell>
          <cell r="Q46">
            <v>0</v>
          </cell>
          <cell r="S46">
            <v>840</v>
          </cell>
          <cell r="T46">
            <v>0</v>
          </cell>
          <cell r="U46">
            <v>0</v>
          </cell>
          <cell r="V46">
            <v>168</v>
          </cell>
          <cell r="X46" t="str">
            <v>V6</v>
          </cell>
          <cell r="Y46" t="str">
            <v>PV6</v>
          </cell>
          <cell r="Z46">
            <v>3</v>
          </cell>
          <cell r="AA46">
            <v>0</v>
          </cell>
          <cell r="AC46">
            <v>2.6880000000000002</v>
          </cell>
          <cell r="AD46">
            <v>8</v>
          </cell>
          <cell r="AE46">
            <v>250</v>
          </cell>
          <cell r="AF46">
            <v>168</v>
          </cell>
          <cell r="AG46">
            <v>1500</v>
          </cell>
          <cell r="AH46">
            <v>112.08</v>
          </cell>
          <cell r="AI46" t="str">
            <v>Cuch Calada y Fideos</v>
          </cell>
          <cell r="AJ46" t="str">
            <v>SI</v>
          </cell>
          <cell r="AK46" t="str">
            <v>NY Rec</v>
          </cell>
          <cell r="AL46" t="str">
            <v>Pat Bet Plast</v>
          </cell>
          <cell r="AM46" t="str">
            <v>-</v>
          </cell>
          <cell r="AO46">
            <v>0</v>
          </cell>
          <cell r="AP46">
            <v>0</v>
          </cell>
          <cell r="AR46">
            <v>4</v>
          </cell>
          <cell r="AT46">
            <v>0.7</v>
          </cell>
        </row>
        <row r="47">
          <cell r="A47" t="str">
            <v>Pat Bet Plast</v>
          </cell>
          <cell r="B47">
            <v>5077600</v>
          </cell>
          <cell r="C47" t="str">
            <v>Espatula Cal.  1 Pz Ny</v>
          </cell>
          <cell r="G47">
            <v>1.7361111111111112</v>
          </cell>
          <cell r="H47">
            <v>1.3888888888888888</v>
          </cell>
          <cell r="J47">
            <v>2016</v>
          </cell>
          <cell r="K47">
            <v>3500</v>
          </cell>
          <cell r="L47">
            <v>0</v>
          </cell>
          <cell r="N47">
            <v>3500</v>
          </cell>
          <cell r="O47">
            <v>0</v>
          </cell>
          <cell r="P47">
            <v>0</v>
          </cell>
          <cell r="Q47">
            <v>0</v>
          </cell>
          <cell r="S47">
            <v>2520</v>
          </cell>
          <cell r="T47">
            <v>0</v>
          </cell>
          <cell r="U47">
            <v>0</v>
          </cell>
          <cell r="V47">
            <v>504</v>
          </cell>
          <cell r="X47" t="str">
            <v>V7</v>
          </cell>
          <cell r="Y47" t="str">
            <v>PV7</v>
          </cell>
          <cell r="Z47">
            <v>14</v>
          </cell>
          <cell r="AA47">
            <v>0</v>
          </cell>
          <cell r="AC47">
            <v>8.0640000000000001</v>
          </cell>
          <cell r="AD47">
            <v>8</v>
          </cell>
          <cell r="AE47">
            <v>250</v>
          </cell>
          <cell r="AF47">
            <v>504</v>
          </cell>
          <cell r="AG47">
            <v>1500</v>
          </cell>
          <cell r="AH47">
            <v>112.08</v>
          </cell>
          <cell r="AI47" t="str">
            <v>Espatula</v>
          </cell>
          <cell r="AJ47" t="str">
            <v>SI</v>
          </cell>
          <cell r="AK47" t="str">
            <v>NY Rec</v>
          </cell>
          <cell r="AL47" t="str">
            <v>Pat Bet Plast</v>
          </cell>
          <cell r="AM47" t="str">
            <v>-</v>
          </cell>
          <cell r="AO47">
            <v>0</v>
          </cell>
          <cell r="AP47">
            <v>0</v>
          </cell>
          <cell r="AR47">
            <v>4</v>
          </cell>
          <cell r="AT47">
            <v>0.7</v>
          </cell>
        </row>
        <row r="48">
          <cell r="A48" t="str">
            <v>Pat Bet Plast</v>
          </cell>
          <cell r="B48">
            <v>5068600</v>
          </cell>
          <cell r="C48" t="str">
            <v>Corta Torta</v>
          </cell>
          <cell r="G48">
            <v>7.5</v>
          </cell>
          <cell r="H48">
            <v>5</v>
          </cell>
          <cell r="J48">
            <v>96</v>
          </cell>
          <cell r="K48">
            <v>720</v>
          </cell>
          <cell r="L48">
            <v>0</v>
          </cell>
          <cell r="N48">
            <v>720</v>
          </cell>
          <cell r="O48">
            <v>0</v>
          </cell>
          <cell r="P48">
            <v>0</v>
          </cell>
          <cell r="Q48">
            <v>0</v>
          </cell>
          <cell r="S48">
            <v>144</v>
          </cell>
          <cell r="T48">
            <v>0</v>
          </cell>
          <cell r="U48">
            <v>24</v>
          </cell>
          <cell r="V48">
            <v>24</v>
          </cell>
          <cell r="X48" t="str">
            <v>V8</v>
          </cell>
          <cell r="Y48" t="str">
            <v>PV8</v>
          </cell>
          <cell r="Z48">
            <v>6</v>
          </cell>
          <cell r="AA48">
            <v>0</v>
          </cell>
          <cell r="AC48">
            <v>0.8</v>
          </cell>
          <cell r="AD48">
            <v>4</v>
          </cell>
          <cell r="AE48">
            <v>120</v>
          </cell>
          <cell r="AF48">
            <v>24</v>
          </cell>
          <cell r="AG48">
            <v>1500</v>
          </cell>
          <cell r="AH48">
            <v>625.72</v>
          </cell>
          <cell r="AI48" t="str">
            <v>Corta Torta</v>
          </cell>
          <cell r="AJ48" t="str">
            <v>SI</v>
          </cell>
          <cell r="AK48" t="str">
            <v>NY Rec</v>
          </cell>
          <cell r="AL48" t="str">
            <v>Pat Bet Plast</v>
          </cell>
          <cell r="AM48" t="str">
            <v>R</v>
          </cell>
          <cell r="AO48">
            <v>0</v>
          </cell>
          <cell r="AP48">
            <v>0</v>
          </cell>
          <cell r="AR48">
            <v>4</v>
          </cell>
          <cell r="AT48">
            <v>0.7</v>
          </cell>
        </row>
        <row r="49">
          <cell r="A49" t="str">
            <v>Pat Bet Plast</v>
          </cell>
          <cell r="B49">
            <v>5073600</v>
          </cell>
          <cell r="C49" t="str">
            <v>Picos Reposteros</v>
          </cell>
          <cell r="D49">
            <v>0</v>
          </cell>
          <cell r="G49">
            <v>0.57692307692307687</v>
          </cell>
          <cell r="H49">
            <v>0.38461538461538464</v>
          </cell>
          <cell r="J49">
            <v>5200</v>
          </cell>
          <cell r="K49">
            <v>3000</v>
          </cell>
          <cell r="L49">
            <v>2200</v>
          </cell>
          <cell r="N49">
            <v>3000</v>
          </cell>
          <cell r="O49">
            <v>0</v>
          </cell>
          <cell r="P49">
            <v>0</v>
          </cell>
          <cell r="Q49">
            <v>0</v>
          </cell>
          <cell r="S49">
            <v>7800</v>
          </cell>
          <cell r="T49">
            <v>1300</v>
          </cell>
          <cell r="U49">
            <v>0</v>
          </cell>
          <cell r="V49">
            <v>1300</v>
          </cell>
          <cell r="X49" t="str">
            <v>V14</v>
          </cell>
          <cell r="Y49" t="str">
            <v>PV14</v>
          </cell>
          <cell r="Z49">
            <v>3</v>
          </cell>
          <cell r="AA49">
            <v>0</v>
          </cell>
          <cell r="AC49">
            <v>5.2</v>
          </cell>
          <cell r="AD49">
            <v>4</v>
          </cell>
          <cell r="AE49">
            <v>1000</v>
          </cell>
          <cell r="AF49">
            <v>1300</v>
          </cell>
          <cell r="AG49">
            <v>2000</v>
          </cell>
          <cell r="AH49">
            <v>26.19</v>
          </cell>
          <cell r="AI49" t="str">
            <v>Picos Resposteros</v>
          </cell>
          <cell r="AJ49" t="str">
            <v>SI</v>
          </cell>
          <cell r="AK49" t="str">
            <v>PP</v>
          </cell>
          <cell r="AL49" t="str">
            <v>Pat Bet Plast</v>
          </cell>
          <cell r="AM49" t="str">
            <v>R</v>
          </cell>
          <cell r="AO49">
            <v>0</v>
          </cell>
          <cell r="AP49">
            <v>0</v>
          </cell>
          <cell r="AR49">
            <v>4</v>
          </cell>
          <cell r="AT49">
            <v>1</v>
          </cell>
        </row>
        <row r="50">
          <cell r="A50" t="str">
            <v>Pat Bet Plast</v>
          </cell>
          <cell r="B50">
            <v>5067600</v>
          </cell>
          <cell r="C50" t="str">
            <v>Pela naranjas</v>
          </cell>
          <cell r="D50">
            <v>0</v>
          </cell>
          <cell r="G50">
            <v>0</v>
          </cell>
          <cell r="H50">
            <v>0</v>
          </cell>
          <cell r="J50">
            <v>672</v>
          </cell>
          <cell r="K50">
            <v>0</v>
          </cell>
          <cell r="L50">
            <v>672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1008</v>
          </cell>
          <cell r="T50">
            <v>0</v>
          </cell>
          <cell r="U50">
            <v>168</v>
          </cell>
          <cell r="V50">
            <v>168</v>
          </cell>
          <cell r="X50" t="str">
            <v>V17</v>
          </cell>
          <cell r="Y50" t="str">
            <v>PV17</v>
          </cell>
          <cell r="Z50">
            <v>0</v>
          </cell>
          <cell r="AA50">
            <v>0</v>
          </cell>
          <cell r="AC50">
            <v>0.33600000000000002</v>
          </cell>
          <cell r="AD50">
            <v>4</v>
          </cell>
          <cell r="AE50">
            <v>2000</v>
          </cell>
          <cell r="AF50">
            <v>168</v>
          </cell>
          <cell r="AG50">
            <v>2000</v>
          </cell>
          <cell r="AH50">
            <v>56.9</v>
          </cell>
          <cell r="AI50" t="str">
            <v>Pela Naranjas</v>
          </cell>
          <cell r="AJ50" t="str">
            <v>SI</v>
          </cell>
          <cell r="AK50" t="str">
            <v>ABS</v>
          </cell>
          <cell r="AL50" t="str">
            <v>Pat Bet Plast</v>
          </cell>
          <cell r="AM50" t="str">
            <v>R</v>
          </cell>
          <cell r="AO50">
            <v>0</v>
          </cell>
          <cell r="AP50">
            <v>0</v>
          </cell>
          <cell r="AR50">
            <v>4</v>
          </cell>
          <cell r="AT50">
            <v>0.7</v>
          </cell>
        </row>
        <row r="51">
          <cell r="A51" t="str">
            <v>Pat Bet Plast</v>
          </cell>
          <cell r="B51">
            <v>6220600</v>
          </cell>
          <cell r="C51" t="str">
            <v>Insertos Mgo Madera</v>
          </cell>
          <cell r="G51" t="str">
            <v>0%</v>
          </cell>
          <cell r="H51">
            <v>0</v>
          </cell>
          <cell r="J51">
            <v>0</v>
          </cell>
          <cell r="K51" t="e">
            <v>#N/A</v>
          </cell>
          <cell r="L51" t="e">
            <v>#N/A</v>
          </cell>
          <cell r="N51" t="e">
            <v>#N/A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Z51" t="e">
            <v>#N/A</v>
          </cell>
          <cell r="AA51" t="e">
            <v>#N/A</v>
          </cell>
          <cell r="AG51">
            <v>8000</v>
          </cell>
          <cell r="AI51" t="str">
            <v>Insertos Mgo Madera</v>
          </cell>
          <cell r="AJ51" t="str">
            <v>SI</v>
          </cell>
          <cell r="AK51" t="str">
            <v>PP</v>
          </cell>
          <cell r="AL51" t="str">
            <v>Pat Bet Plast</v>
          </cell>
          <cell r="AM51" t="str">
            <v>N</v>
          </cell>
          <cell r="AO51" t="e">
            <v>#N/A</v>
          </cell>
          <cell r="AP51" t="e">
            <v>#N/A</v>
          </cell>
          <cell r="AR51">
            <v>4</v>
          </cell>
          <cell r="AT51">
            <v>1</v>
          </cell>
        </row>
        <row r="52">
          <cell r="B52" t="str">
            <v>Este pedido anula cualquier pedido anterior</v>
          </cell>
        </row>
        <row r="53">
          <cell r="B53" t="str">
            <v>Rodar</v>
          </cell>
          <cell r="D53" t="str">
            <v xml:space="preserve">Fecha: </v>
          </cell>
          <cell r="AC53" t="str">
            <v>INFORMACION</v>
          </cell>
          <cell r="AO53" t="str">
            <v>CALCULO MATERIA PRIMA PLASTICO</v>
          </cell>
        </row>
        <row r="54">
          <cell r="B54" t="str">
            <v>Cod. ISIS</v>
          </cell>
          <cell r="C54" t="str">
            <v>Descripción</v>
          </cell>
          <cell r="D54" t="str">
            <v xml:space="preserve">Pedido Damian </v>
          </cell>
          <cell r="E54" t="str">
            <v>Orden Priori</v>
          </cell>
          <cell r="G54" t="str">
            <v>% Ocup Relev</v>
          </cell>
          <cell r="H54" t="str">
            <v>% Ocup Total</v>
          </cell>
          <cell r="J54" t="str">
            <v>Max Uni 3 Mes</v>
          </cell>
          <cell r="K54" t="str">
            <v>Stock Unid Real</v>
          </cell>
          <cell r="L54" t="str">
            <v>Pedido Uni</v>
          </cell>
          <cell r="N54" t="str">
            <v>Stock Total Uni</v>
          </cell>
          <cell r="O54" t="str">
            <v>Stock PS Uni</v>
          </cell>
          <cell r="P54" t="str">
            <v>Stock Taller Uni</v>
          </cell>
          <cell r="Q54" t="str">
            <v>Stock CD Uni</v>
          </cell>
          <cell r="S54" t="str">
            <v>Max Total Uni</v>
          </cell>
          <cell r="T54" t="str">
            <v>Max PS Uni</v>
          </cell>
          <cell r="U54" t="str">
            <v>Max Taller Uni</v>
          </cell>
          <cell r="V54" t="str">
            <v>Max CD Uni</v>
          </cell>
          <cell r="X54" t="str">
            <v>Nuevo Sector</v>
          </cell>
          <cell r="Y54" t="str">
            <v>Sector</v>
          </cell>
          <cell r="Z54" t="str">
            <v>Stock Real Bolsa</v>
          </cell>
          <cell r="AA54" t="str">
            <v>Uni Suelta</v>
          </cell>
          <cell r="AC54" t="str">
            <v>Max Bolsa</v>
          </cell>
          <cell r="AD54" t="str">
            <v>Cant Entra Bolsa</v>
          </cell>
          <cell r="AE54" t="str">
            <v>Uni x Bolsa</v>
          </cell>
          <cell r="AF54" t="str">
            <v>Cons Mens Uni</v>
          </cell>
          <cell r="AG54" t="str">
            <v>Pedi Min Uni</v>
          </cell>
          <cell r="AH54" t="str">
            <v>Precio Uni</v>
          </cell>
          <cell r="AI54" t="str">
            <v>Descripcion Matriz</v>
          </cell>
          <cell r="AJ54" t="str">
            <v>Se Envia Material</v>
          </cell>
          <cell r="AK54" t="str">
            <v>Materia Prima</v>
          </cell>
          <cell r="AL54" t="str">
            <v>Proveedor</v>
          </cell>
          <cell r="AM54" t="str">
            <v>MB</v>
          </cell>
          <cell r="AO54" t="str">
            <v>Pedido Plast KG</v>
          </cell>
          <cell r="AP54" t="str">
            <v>Pedido MB KG</v>
          </cell>
          <cell r="AR54" t="str">
            <v>N° Indice</v>
          </cell>
        </row>
        <row r="55">
          <cell r="A55" t="str">
            <v>Rodar</v>
          </cell>
          <cell r="B55">
            <v>5066600</v>
          </cell>
          <cell r="C55" t="str">
            <v xml:space="preserve">Mgo Pelapapa 505 s/Calar </v>
          </cell>
          <cell r="D55">
            <v>60000</v>
          </cell>
          <cell r="E55">
            <v>1</v>
          </cell>
          <cell r="G55">
            <v>0</v>
          </cell>
          <cell r="H55">
            <v>0</v>
          </cell>
          <cell r="J55">
            <v>60000</v>
          </cell>
          <cell r="K55">
            <v>0</v>
          </cell>
          <cell r="L55">
            <v>60000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120000</v>
          </cell>
          <cell r="T55">
            <v>0</v>
          </cell>
          <cell r="U55">
            <v>30000</v>
          </cell>
          <cell r="V55">
            <v>30000</v>
          </cell>
          <cell r="X55" t="str">
            <v>C2</v>
          </cell>
          <cell r="Y55" t="str">
            <v>PC2</v>
          </cell>
          <cell r="Z55">
            <v>0</v>
          </cell>
          <cell r="AA55">
            <v>0</v>
          </cell>
          <cell r="AC55">
            <v>33.333333333333336</v>
          </cell>
          <cell r="AD55">
            <v>20</v>
          </cell>
          <cell r="AE55">
            <v>1800</v>
          </cell>
          <cell r="AF55">
            <v>30000</v>
          </cell>
          <cell r="AG55">
            <v>36000</v>
          </cell>
          <cell r="AH55">
            <v>23.21</v>
          </cell>
          <cell r="AI55" t="str">
            <v>Mango Pelador 505</v>
          </cell>
          <cell r="AJ55" t="str">
            <v>SI</v>
          </cell>
          <cell r="AK55" t="str">
            <v>PP</v>
          </cell>
          <cell r="AL55" t="str">
            <v>Rodar</v>
          </cell>
          <cell r="AM55" t="str">
            <v>R</v>
          </cell>
          <cell r="AO55">
            <v>336.96000000000004</v>
          </cell>
          <cell r="AP55">
            <v>6.7392000000000012</v>
          </cell>
          <cell r="AR55">
            <v>2</v>
          </cell>
          <cell r="AT55">
            <v>1</v>
          </cell>
        </row>
        <row r="56">
          <cell r="A56" t="str">
            <v>Rodar</v>
          </cell>
          <cell r="B56">
            <v>5166600</v>
          </cell>
          <cell r="C56" t="str">
            <v>Mgo Pelapapa 505 Calado</v>
          </cell>
          <cell r="G56">
            <v>0</v>
          </cell>
          <cell r="H56">
            <v>0</v>
          </cell>
          <cell r="J56">
            <v>60000</v>
          </cell>
          <cell r="K56">
            <v>0</v>
          </cell>
          <cell r="L56">
            <v>60000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120000</v>
          </cell>
          <cell r="T56">
            <v>0</v>
          </cell>
          <cell r="U56">
            <v>30000</v>
          </cell>
          <cell r="V56">
            <v>30000</v>
          </cell>
          <cell r="X56" t="str">
            <v>C1</v>
          </cell>
          <cell r="Y56" t="str">
            <v>PC1</v>
          </cell>
          <cell r="Z56">
            <v>0</v>
          </cell>
          <cell r="AA56">
            <v>0</v>
          </cell>
          <cell r="AC56">
            <v>33.333333333333336</v>
          </cell>
          <cell r="AD56">
            <v>20</v>
          </cell>
          <cell r="AE56">
            <v>1800</v>
          </cell>
          <cell r="AF56">
            <v>30000</v>
          </cell>
          <cell r="AG56">
            <v>36000</v>
          </cell>
          <cell r="AH56">
            <v>22.21</v>
          </cell>
          <cell r="AI56" t="str">
            <v>Mango Pelador 505</v>
          </cell>
          <cell r="AJ56" t="str">
            <v>SI</v>
          </cell>
          <cell r="AK56" t="str">
            <v>PP</v>
          </cell>
          <cell r="AL56" t="str">
            <v>Rodar</v>
          </cell>
          <cell r="AM56" t="str">
            <v>R</v>
          </cell>
          <cell r="AO56">
            <v>336.96000000000004</v>
          </cell>
          <cell r="AP56">
            <v>6.7392000000000012</v>
          </cell>
          <cell r="AR56">
            <v>2</v>
          </cell>
          <cell r="AT56">
            <v>1</v>
          </cell>
        </row>
        <row r="57">
          <cell r="A57" t="str">
            <v>Rodar</v>
          </cell>
          <cell r="B57">
            <v>6077600</v>
          </cell>
          <cell r="C57" t="str">
            <v>Mang Cuch Unt Rojo</v>
          </cell>
          <cell r="G57">
            <v>0</v>
          </cell>
          <cell r="H57">
            <v>0</v>
          </cell>
          <cell r="J57">
            <v>1872</v>
          </cell>
          <cell r="K57">
            <v>0</v>
          </cell>
          <cell r="L57">
            <v>1872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2340</v>
          </cell>
          <cell r="T57">
            <v>0</v>
          </cell>
          <cell r="U57">
            <v>0</v>
          </cell>
          <cell r="V57">
            <v>468</v>
          </cell>
          <cell r="X57" t="str">
            <v>A4</v>
          </cell>
          <cell r="Y57" t="str">
            <v>PA4</v>
          </cell>
          <cell r="Z57">
            <v>0</v>
          </cell>
          <cell r="AA57">
            <v>0</v>
          </cell>
          <cell r="AC57">
            <v>1.8720000000000001</v>
          </cell>
          <cell r="AD57">
            <v>2</v>
          </cell>
          <cell r="AE57">
            <v>1000</v>
          </cell>
          <cell r="AF57">
            <v>468</v>
          </cell>
          <cell r="AG57">
            <v>10000</v>
          </cell>
          <cell r="AH57">
            <v>25</v>
          </cell>
          <cell r="AI57" t="str">
            <v>Cuchillo Untar</v>
          </cell>
          <cell r="AJ57" t="str">
            <v>SI</v>
          </cell>
          <cell r="AK57" t="str">
            <v>PP</v>
          </cell>
          <cell r="AL57" t="str">
            <v>Rodar</v>
          </cell>
          <cell r="AM57" t="str">
            <v>R</v>
          </cell>
          <cell r="AO57">
            <v>19.468799999999998</v>
          </cell>
          <cell r="AP57">
            <v>0.38937599999999994</v>
          </cell>
          <cell r="AR57">
            <v>4</v>
          </cell>
          <cell r="AT57">
            <v>0.7</v>
          </cell>
        </row>
        <row r="58">
          <cell r="A58" t="str">
            <v>Rodar</v>
          </cell>
          <cell r="B58">
            <v>5185600</v>
          </cell>
          <cell r="C58" t="str">
            <v>Afila Caladas Azul</v>
          </cell>
          <cell r="D58">
            <v>8000</v>
          </cell>
          <cell r="E58">
            <v>3</v>
          </cell>
          <cell r="G58">
            <v>0</v>
          </cell>
          <cell r="H58">
            <v>0</v>
          </cell>
          <cell r="J58">
            <v>8100</v>
          </cell>
          <cell r="K58">
            <v>0</v>
          </cell>
          <cell r="L58">
            <v>8100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20826</v>
          </cell>
          <cell r="T58">
            <v>0</v>
          </cell>
          <cell r="U58">
            <v>4050</v>
          </cell>
          <cell r="V58">
            <v>8676</v>
          </cell>
          <cell r="X58" t="str">
            <v>EP4</v>
          </cell>
          <cell r="Y58" t="str">
            <v>PEP4A</v>
          </cell>
          <cell r="Z58">
            <v>0</v>
          </cell>
          <cell r="AA58">
            <v>0</v>
          </cell>
          <cell r="AC58">
            <v>54</v>
          </cell>
          <cell r="AD58">
            <v>20</v>
          </cell>
          <cell r="AE58">
            <v>150</v>
          </cell>
          <cell r="AF58">
            <v>4050</v>
          </cell>
          <cell r="AG58">
            <v>3600</v>
          </cell>
          <cell r="AH58">
            <v>62</v>
          </cell>
          <cell r="AI58" t="str">
            <v>Base Afila</v>
          </cell>
          <cell r="AJ58" t="str">
            <v>NO</v>
          </cell>
          <cell r="AK58" t="str">
            <v>AL</v>
          </cell>
          <cell r="AL58" t="str">
            <v>Rodar</v>
          </cell>
          <cell r="AO58">
            <v>0</v>
          </cell>
          <cell r="AP58">
            <v>0</v>
          </cell>
          <cell r="AR58">
            <v>2</v>
          </cell>
          <cell r="AT58">
            <v>0.7</v>
          </cell>
        </row>
        <row r="59">
          <cell r="A59" t="str">
            <v>Rodar</v>
          </cell>
          <cell r="B59">
            <v>5185600</v>
          </cell>
          <cell r="C59" t="str">
            <v>Afila Caladas Blancas</v>
          </cell>
          <cell r="D59">
            <v>8000</v>
          </cell>
          <cell r="E59">
            <v>2</v>
          </cell>
          <cell r="G59">
            <v>0</v>
          </cell>
          <cell r="H59">
            <v>0</v>
          </cell>
          <cell r="J59">
            <v>8100</v>
          </cell>
          <cell r="K59">
            <v>0</v>
          </cell>
          <cell r="L59">
            <v>8100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20826</v>
          </cell>
          <cell r="T59">
            <v>0</v>
          </cell>
          <cell r="U59">
            <v>4050</v>
          </cell>
          <cell r="V59">
            <v>8676</v>
          </cell>
          <cell r="X59" t="str">
            <v>EP4</v>
          </cell>
          <cell r="Y59" t="str">
            <v>PEP4B</v>
          </cell>
          <cell r="Z59">
            <v>0</v>
          </cell>
          <cell r="AA59">
            <v>0</v>
          </cell>
          <cell r="AC59">
            <v>54</v>
          </cell>
          <cell r="AD59">
            <v>20</v>
          </cell>
          <cell r="AE59">
            <v>150</v>
          </cell>
          <cell r="AF59">
            <v>4050</v>
          </cell>
          <cell r="AG59">
            <v>3600</v>
          </cell>
          <cell r="AH59">
            <v>62</v>
          </cell>
          <cell r="AI59" t="str">
            <v>Base Afila</v>
          </cell>
          <cell r="AJ59" t="str">
            <v>NO</v>
          </cell>
          <cell r="AK59" t="str">
            <v>AL</v>
          </cell>
          <cell r="AL59" t="str">
            <v>Rodar</v>
          </cell>
          <cell r="AO59">
            <v>0</v>
          </cell>
          <cell r="AP59">
            <v>0</v>
          </cell>
          <cell r="AR59">
            <v>2</v>
          </cell>
          <cell r="AT59">
            <v>0.7</v>
          </cell>
        </row>
        <row r="60">
          <cell r="A60" t="str">
            <v>Rodar</v>
          </cell>
          <cell r="B60">
            <v>5185600</v>
          </cell>
          <cell r="C60" t="str">
            <v>Afila S/Calar Blac. "0" y "1"</v>
          </cell>
          <cell r="G60">
            <v>0</v>
          </cell>
          <cell r="H60">
            <v>0</v>
          </cell>
          <cell r="J60">
            <v>8100</v>
          </cell>
          <cell r="K60">
            <v>0</v>
          </cell>
          <cell r="L60">
            <v>8100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20826</v>
          </cell>
          <cell r="T60">
            <v>0</v>
          </cell>
          <cell r="U60">
            <v>4050</v>
          </cell>
          <cell r="V60">
            <v>8676</v>
          </cell>
          <cell r="X60" t="str">
            <v>EP4</v>
          </cell>
          <cell r="Y60" t="str">
            <v>PEP5</v>
          </cell>
          <cell r="Z60">
            <v>0</v>
          </cell>
          <cell r="AA60">
            <v>0</v>
          </cell>
          <cell r="AC60">
            <v>54</v>
          </cell>
          <cell r="AD60">
            <v>4</v>
          </cell>
          <cell r="AE60">
            <v>150</v>
          </cell>
          <cell r="AF60">
            <v>4050</v>
          </cell>
          <cell r="AG60">
            <v>3600</v>
          </cell>
          <cell r="AH60">
            <v>62</v>
          </cell>
          <cell r="AI60" t="str">
            <v>Base Afila</v>
          </cell>
          <cell r="AJ60" t="str">
            <v>SI</v>
          </cell>
          <cell r="AK60" t="str">
            <v>AL</v>
          </cell>
          <cell r="AL60" t="str">
            <v>Rodar</v>
          </cell>
          <cell r="AM60" t="str">
            <v>B</v>
          </cell>
          <cell r="AO60">
            <v>412.77600000000007</v>
          </cell>
          <cell r="AP60">
            <v>8.2555200000000006</v>
          </cell>
          <cell r="AR60">
            <v>2</v>
          </cell>
          <cell r="AT60">
            <v>0.7</v>
          </cell>
        </row>
        <row r="61">
          <cell r="A61" t="str">
            <v>Rodar</v>
          </cell>
          <cell r="B61">
            <v>5185600</v>
          </cell>
          <cell r="C61" t="str">
            <v>Afila S/Calar Azul. "0" y "1"</v>
          </cell>
          <cell r="G61">
            <v>1</v>
          </cell>
          <cell r="H61">
            <v>0.38893690579083839</v>
          </cell>
          <cell r="J61">
            <v>8100</v>
          </cell>
          <cell r="K61">
            <v>8100</v>
          </cell>
          <cell r="L61">
            <v>0</v>
          </cell>
          <cell r="N61">
            <v>8100</v>
          </cell>
          <cell r="O61">
            <v>0</v>
          </cell>
          <cell r="P61">
            <v>0</v>
          </cell>
          <cell r="Q61">
            <v>0</v>
          </cell>
          <cell r="S61">
            <v>20826</v>
          </cell>
          <cell r="T61">
            <v>0</v>
          </cell>
          <cell r="U61">
            <v>4050</v>
          </cell>
          <cell r="V61">
            <v>8676</v>
          </cell>
          <cell r="X61" t="str">
            <v>EP4</v>
          </cell>
          <cell r="Y61" t="str">
            <v>PEP6B</v>
          </cell>
          <cell r="Z61">
            <v>54</v>
          </cell>
          <cell r="AA61">
            <v>0</v>
          </cell>
          <cell r="AC61">
            <v>54</v>
          </cell>
          <cell r="AD61">
            <v>4</v>
          </cell>
          <cell r="AE61">
            <v>150</v>
          </cell>
          <cell r="AF61">
            <v>4050</v>
          </cell>
          <cell r="AG61">
            <v>3600</v>
          </cell>
          <cell r="AH61">
            <v>62</v>
          </cell>
          <cell r="AI61" t="str">
            <v>Base Afila</v>
          </cell>
          <cell r="AJ61" t="str">
            <v>SI</v>
          </cell>
          <cell r="AK61" t="str">
            <v>AL</v>
          </cell>
          <cell r="AL61" t="str">
            <v>Rodar</v>
          </cell>
          <cell r="AM61" t="str">
            <v>A</v>
          </cell>
          <cell r="AO61">
            <v>0</v>
          </cell>
          <cell r="AP61">
            <v>0</v>
          </cell>
          <cell r="AR61">
            <v>2</v>
          </cell>
          <cell r="AT61">
            <v>0.7</v>
          </cell>
        </row>
        <row r="63">
          <cell r="B63" t="str">
            <v>Este pedido anula cualquier pedido anterior</v>
          </cell>
        </row>
        <row r="64">
          <cell r="B64" t="str">
            <v>Telleria</v>
          </cell>
          <cell r="D64" t="str">
            <v xml:space="preserve">Fecha: </v>
          </cell>
          <cell r="AC64" t="str">
            <v>INFORMACION</v>
          </cell>
          <cell r="AO64" t="str">
            <v>CALCULO MATERIA PRIMA PLASTICO</v>
          </cell>
        </row>
        <row r="65">
          <cell r="B65" t="str">
            <v>Cod. ISIS</v>
          </cell>
          <cell r="C65" t="str">
            <v>Descripción</v>
          </cell>
          <cell r="D65" t="str">
            <v xml:space="preserve">Pedido Damian </v>
          </cell>
          <cell r="E65" t="str">
            <v>Orden Priori</v>
          </cell>
          <cell r="G65" t="str">
            <v>% Ocup Relev</v>
          </cell>
          <cell r="H65" t="str">
            <v>% Ocup Total</v>
          </cell>
          <cell r="J65" t="str">
            <v>Max Uni 3 Mes</v>
          </cell>
          <cell r="K65" t="str">
            <v>Stock Unid Real</v>
          </cell>
          <cell r="L65" t="str">
            <v>Pedido Uni</v>
          </cell>
          <cell r="N65" t="str">
            <v>Stock Total Uni</v>
          </cell>
          <cell r="O65" t="str">
            <v>Stock PS Uni</v>
          </cell>
          <cell r="P65" t="str">
            <v>Stock Taller Uni</v>
          </cell>
          <cell r="Q65" t="str">
            <v>Stock CD Uni</v>
          </cell>
          <cell r="S65" t="str">
            <v>Max Total Uni</v>
          </cell>
          <cell r="T65" t="str">
            <v>Max PS Uni</v>
          </cell>
          <cell r="U65" t="str">
            <v>Max Taller Uni</v>
          </cell>
          <cell r="V65" t="str">
            <v>Max CD Uni</v>
          </cell>
          <cell r="X65" t="str">
            <v>Nuevo Sector</v>
          </cell>
          <cell r="Y65" t="str">
            <v>Sector</v>
          </cell>
          <cell r="Z65" t="str">
            <v>Stock Real Bolsa</v>
          </cell>
          <cell r="AA65" t="str">
            <v>Uni Suelta</v>
          </cell>
          <cell r="AC65" t="str">
            <v>Max Bolsa</v>
          </cell>
          <cell r="AD65" t="str">
            <v>Cant Entra Bolsa</v>
          </cell>
          <cell r="AE65" t="str">
            <v>Uni x Bolsa</v>
          </cell>
          <cell r="AF65" t="str">
            <v>Cons Mens Uni</v>
          </cell>
          <cell r="AG65" t="str">
            <v>Pedi Min Uni</v>
          </cell>
          <cell r="AH65" t="str">
            <v>Precio Uni</v>
          </cell>
          <cell r="AI65" t="str">
            <v>Descripcion Matriz</v>
          </cell>
          <cell r="AJ65" t="str">
            <v>Se Envia Material</v>
          </cell>
          <cell r="AK65" t="str">
            <v>Materia Prima</v>
          </cell>
          <cell r="AL65" t="str">
            <v>Proveedor</v>
          </cell>
          <cell r="AM65" t="str">
            <v>MB</v>
          </cell>
          <cell r="AO65" t="str">
            <v>Pedido Plast KG</v>
          </cell>
          <cell r="AP65" t="str">
            <v>Pedido MB KG</v>
          </cell>
          <cell r="AR65" t="str">
            <v>N° Indice</v>
          </cell>
        </row>
        <row r="66">
          <cell r="A66" t="str">
            <v>Telleria</v>
          </cell>
          <cell r="B66">
            <v>5165600</v>
          </cell>
          <cell r="C66" t="str">
            <v>Cuchara Ny</v>
          </cell>
          <cell r="D66">
            <v>3000</v>
          </cell>
          <cell r="E66">
            <v>2</v>
          </cell>
          <cell r="G66">
            <v>0.3048780487804878</v>
          </cell>
          <cell r="H66">
            <v>0.2032520325203252</v>
          </cell>
          <cell r="J66">
            <v>3936</v>
          </cell>
          <cell r="K66">
            <v>1200</v>
          </cell>
          <cell r="L66">
            <v>2736</v>
          </cell>
          <cell r="N66">
            <v>1200</v>
          </cell>
          <cell r="O66">
            <v>0</v>
          </cell>
          <cell r="P66">
            <v>0</v>
          </cell>
          <cell r="Q66">
            <v>0</v>
          </cell>
          <cell r="S66">
            <v>5904</v>
          </cell>
          <cell r="T66">
            <v>924</v>
          </cell>
          <cell r="U66">
            <v>984</v>
          </cell>
          <cell r="V66">
            <v>60</v>
          </cell>
          <cell r="X66" t="str">
            <v>B2</v>
          </cell>
          <cell r="Y66" t="str">
            <v>PB2</v>
          </cell>
          <cell r="Z66">
            <v>6</v>
          </cell>
          <cell r="AA66">
            <v>0</v>
          </cell>
          <cell r="AC66">
            <v>19.68</v>
          </cell>
          <cell r="AD66">
            <v>20</v>
          </cell>
          <cell r="AE66">
            <v>200</v>
          </cell>
          <cell r="AF66">
            <v>984</v>
          </cell>
          <cell r="AG66">
            <v>2000</v>
          </cell>
          <cell r="AH66">
            <v>655.78788000000009</v>
          </cell>
          <cell r="AI66" t="str">
            <v>Cuchara</v>
          </cell>
          <cell r="AJ66" t="str">
            <v>SI</v>
          </cell>
          <cell r="AK66" t="str">
            <v>Ny c/Carga</v>
          </cell>
          <cell r="AL66" t="str">
            <v>Telleria</v>
          </cell>
          <cell r="AM66" t="str">
            <v>-</v>
          </cell>
          <cell r="AO66">
            <v>171.6</v>
          </cell>
          <cell r="AP66">
            <v>3.4319999999999999</v>
          </cell>
          <cell r="AR66">
            <v>4</v>
          </cell>
          <cell r="AT66">
            <v>0.7</v>
          </cell>
        </row>
        <row r="67">
          <cell r="A67" t="str">
            <v>Telleria</v>
          </cell>
          <cell r="B67">
            <v>7711600</v>
          </cell>
          <cell r="C67" t="str">
            <v>Mangos Pelador Negro</v>
          </cell>
          <cell r="D67">
            <v>12000</v>
          </cell>
          <cell r="E67">
            <v>1</v>
          </cell>
          <cell r="G67">
            <v>9.5628415300546443E-2</v>
          </cell>
          <cell r="H67">
            <v>6.0511756569847856E-2</v>
          </cell>
          <cell r="J67">
            <v>14640</v>
          </cell>
          <cell r="K67">
            <v>1400</v>
          </cell>
          <cell r="L67">
            <v>13240</v>
          </cell>
          <cell r="N67">
            <v>1400</v>
          </cell>
          <cell r="O67">
            <v>0</v>
          </cell>
          <cell r="P67">
            <v>0</v>
          </cell>
          <cell r="Q67">
            <v>0</v>
          </cell>
          <cell r="S67">
            <v>23136</v>
          </cell>
          <cell r="T67">
            <v>0</v>
          </cell>
          <cell r="U67">
            <v>3660</v>
          </cell>
          <cell r="V67">
            <v>4836</v>
          </cell>
          <cell r="X67" t="str">
            <v>EP1</v>
          </cell>
          <cell r="Y67" t="str">
            <v>PEP1</v>
          </cell>
          <cell r="Z67">
            <v>5</v>
          </cell>
          <cell r="AA67">
            <v>0</v>
          </cell>
          <cell r="AC67">
            <v>52.285714285714285</v>
          </cell>
          <cell r="AD67">
            <v>4</v>
          </cell>
          <cell r="AE67">
            <v>280</v>
          </cell>
          <cell r="AF67">
            <v>3660</v>
          </cell>
          <cell r="AG67">
            <v>10000</v>
          </cell>
          <cell r="AH67">
            <v>0</v>
          </cell>
          <cell r="AI67" t="str">
            <v>Mango Telleria</v>
          </cell>
          <cell r="AJ67" t="str">
            <v>SI</v>
          </cell>
          <cell r="AK67" t="str">
            <v>PP</v>
          </cell>
          <cell r="AL67" t="str">
            <v>Telleria</v>
          </cell>
          <cell r="AM67" t="str">
            <v>N</v>
          </cell>
          <cell r="AO67">
            <v>205.92000000000002</v>
          </cell>
          <cell r="AP67">
            <v>4.1184000000000003</v>
          </cell>
          <cell r="AR67">
            <v>4</v>
          </cell>
          <cell r="AT67">
            <v>0.7</v>
          </cell>
        </row>
        <row r="68">
          <cell r="A68" t="str">
            <v>Telleria</v>
          </cell>
          <cell r="B68">
            <v>5183600</v>
          </cell>
          <cell r="C68" t="str">
            <v>Mango Pelador 586 S/M</v>
          </cell>
          <cell r="G68">
            <v>1.10062893081761</v>
          </cell>
          <cell r="H68">
            <v>0.62893081761006286</v>
          </cell>
          <cell r="J68">
            <v>27984</v>
          </cell>
          <cell r="K68">
            <v>30800</v>
          </cell>
          <cell r="L68">
            <v>0</v>
          </cell>
          <cell r="N68">
            <v>30800</v>
          </cell>
          <cell r="O68">
            <v>0</v>
          </cell>
          <cell r="P68">
            <v>0</v>
          </cell>
          <cell r="Q68">
            <v>0</v>
          </cell>
          <cell r="S68">
            <v>48972</v>
          </cell>
          <cell r="T68">
            <v>6996</v>
          </cell>
          <cell r="U68">
            <v>6996</v>
          </cell>
          <cell r="V68">
            <v>6996</v>
          </cell>
          <cell r="X68" t="str">
            <v>EP2</v>
          </cell>
          <cell r="Y68" t="str">
            <v>PEP2</v>
          </cell>
          <cell r="Z68">
            <v>88</v>
          </cell>
          <cell r="AA68">
            <v>0</v>
          </cell>
          <cell r="AC68">
            <v>79.954285714285717</v>
          </cell>
          <cell r="AD68">
            <v>40</v>
          </cell>
          <cell r="AE68">
            <v>350</v>
          </cell>
          <cell r="AF68">
            <v>6996</v>
          </cell>
          <cell r="AG68">
            <v>10000</v>
          </cell>
          <cell r="AH68">
            <v>25</v>
          </cell>
          <cell r="AI68" t="str">
            <v>Mango Telleria</v>
          </cell>
          <cell r="AJ68" t="str">
            <v>SI</v>
          </cell>
          <cell r="AK68" t="str">
            <v>PP</v>
          </cell>
          <cell r="AL68" t="str">
            <v>Telleria</v>
          </cell>
          <cell r="AM68" t="str">
            <v>R</v>
          </cell>
          <cell r="AO68">
            <v>0</v>
          </cell>
          <cell r="AP68">
            <v>0</v>
          </cell>
          <cell r="AR68">
            <v>4</v>
          </cell>
          <cell r="AT68">
            <v>1</v>
          </cell>
        </row>
        <row r="70">
          <cell r="B70" t="str">
            <v>Este pedido anula cualquier pedido anterior</v>
          </cell>
        </row>
        <row r="71">
          <cell r="B71" t="str">
            <v>Maspoli</v>
          </cell>
          <cell r="D71" t="str">
            <v xml:space="preserve">Fecha: </v>
          </cell>
          <cell r="AC71" t="str">
            <v>INFORMACION</v>
          </cell>
        </row>
        <row r="72">
          <cell r="B72" t="str">
            <v>Cod. ISIS</v>
          </cell>
          <cell r="C72" t="str">
            <v xml:space="preserve">Descripcion </v>
          </cell>
          <cell r="D72" t="str">
            <v xml:space="preserve">Pedido Damian </v>
          </cell>
          <cell r="E72" t="str">
            <v>Orden Priori</v>
          </cell>
          <cell r="G72" t="str">
            <v>% Ocup Relev</v>
          </cell>
          <cell r="H72" t="str">
            <v>% Ocup Total</v>
          </cell>
          <cell r="J72" t="str">
            <v>Max Uni 4 Mes</v>
          </cell>
          <cell r="K72" t="str">
            <v>Stock Unid Real</v>
          </cell>
          <cell r="L72" t="str">
            <v>Pedido Uni</v>
          </cell>
          <cell r="N72" t="str">
            <v>Stock Total Uni</v>
          </cell>
          <cell r="O72" t="str">
            <v>Stock PS Uni</v>
          </cell>
          <cell r="P72" t="str">
            <v>Stock Taller Uni</v>
          </cell>
          <cell r="Q72" t="str">
            <v>Stock CD Uni</v>
          </cell>
          <cell r="S72" t="str">
            <v>Max Total Uni</v>
          </cell>
          <cell r="T72" t="str">
            <v>Max PS Uni</v>
          </cell>
          <cell r="U72" t="str">
            <v>Max Taller Uni</v>
          </cell>
          <cell r="V72" t="str">
            <v>Max CD Uni</v>
          </cell>
          <cell r="X72" t="str">
            <v>Nuevo Sector</v>
          </cell>
          <cell r="Y72" t="str">
            <v>Sector</v>
          </cell>
          <cell r="Z72" t="str">
            <v>Bolsa</v>
          </cell>
          <cell r="AA72" t="str">
            <v>Uni Suelta</v>
          </cell>
          <cell r="AC72" t="str">
            <v>Max Bolsa</v>
          </cell>
          <cell r="AD72" t="str">
            <v>Cant Entra Bolsas</v>
          </cell>
          <cell r="AE72" t="str">
            <v>Uni x Bolsa</v>
          </cell>
          <cell r="AF72" t="str">
            <v>Cons Mens Uni</v>
          </cell>
          <cell r="AG72" t="str">
            <v>Pedi Min Uni</v>
          </cell>
          <cell r="AH72" t="str">
            <v>Precio Uni</v>
          </cell>
          <cell r="AI72" t="str">
            <v>Profundidad</v>
          </cell>
          <cell r="AR72" t="str">
            <v>N° Indice</v>
          </cell>
        </row>
        <row r="73">
          <cell r="A73" t="str">
            <v>Maspoli</v>
          </cell>
          <cell r="B73">
            <v>1289500</v>
          </cell>
          <cell r="C73" t="str">
            <v>Mgo Sacafuente Articulado 4.25 mm</v>
          </cell>
          <cell r="D73">
            <v>0</v>
          </cell>
          <cell r="G73">
            <v>0.74404761904761907</v>
          </cell>
          <cell r="H73">
            <v>0.59523809523809523</v>
          </cell>
          <cell r="J73">
            <v>1680</v>
          </cell>
          <cell r="K73">
            <v>1250</v>
          </cell>
          <cell r="L73">
            <v>430</v>
          </cell>
          <cell r="N73">
            <v>1250</v>
          </cell>
          <cell r="O73">
            <v>0</v>
          </cell>
          <cell r="P73">
            <v>0</v>
          </cell>
          <cell r="Q73">
            <v>0</v>
          </cell>
          <cell r="S73">
            <v>2100</v>
          </cell>
          <cell r="T73">
            <v>0</v>
          </cell>
          <cell r="U73">
            <v>420</v>
          </cell>
          <cell r="V73">
            <v>0</v>
          </cell>
          <cell r="X73" t="str">
            <v>EP10</v>
          </cell>
          <cell r="Y73" t="str">
            <v>PC12</v>
          </cell>
          <cell r="Z73">
            <v>5</v>
          </cell>
          <cell r="AA73">
            <v>0</v>
          </cell>
          <cell r="AE73">
            <v>250</v>
          </cell>
          <cell r="AF73">
            <v>420</v>
          </cell>
          <cell r="AG73">
            <v>500</v>
          </cell>
          <cell r="AI73" t="str">
            <v>25 mm</v>
          </cell>
          <cell r="AR73">
            <v>4</v>
          </cell>
          <cell r="AT73">
            <v>0.7</v>
          </cell>
        </row>
        <row r="74">
          <cell r="A74" t="str">
            <v>Maspoli</v>
          </cell>
          <cell r="B74">
            <v>1132500</v>
          </cell>
          <cell r="C74" t="str">
            <v>Mgo Sacafuente Pizzero 7.5 mm</v>
          </cell>
          <cell r="D74">
            <v>1500</v>
          </cell>
          <cell r="E74">
            <v>1</v>
          </cell>
          <cell r="G74">
            <v>0.5608974358974359</v>
          </cell>
          <cell r="H74">
            <v>0.33836040216550656</v>
          </cell>
          <cell r="J74">
            <v>3120</v>
          </cell>
          <cell r="K74">
            <v>1750</v>
          </cell>
          <cell r="L74">
            <v>1370</v>
          </cell>
          <cell r="N74">
            <v>1750</v>
          </cell>
          <cell r="O74">
            <v>0</v>
          </cell>
          <cell r="P74">
            <v>0</v>
          </cell>
          <cell r="Q74">
            <v>0</v>
          </cell>
          <cell r="S74">
            <v>5172</v>
          </cell>
          <cell r="T74">
            <v>0</v>
          </cell>
          <cell r="U74">
            <v>780</v>
          </cell>
          <cell r="V74">
            <v>1272</v>
          </cell>
          <cell r="X74" t="str">
            <v>EP7</v>
          </cell>
          <cell r="Y74" t="str">
            <v>PEP7</v>
          </cell>
          <cell r="Z74">
            <v>7</v>
          </cell>
          <cell r="AA74">
            <v>0</v>
          </cell>
          <cell r="AC74">
            <v>12.48</v>
          </cell>
          <cell r="AD74">
            <v>2</v>
          </cell>
          <cell r="AE74">
            <v>250</v>
          </cell>
          <cell r="AF74">
            <v>780</v>
          </cell>
          <cell r="AG74">
            <v>500</v>
          </cell>
          <cell r="AH74">
            <v>344.18</v>
          </cell>
          <cell r="AI74" t="str">
            <v>48 mm</v>
          </cell>
          <cell r="AR74">
            <v>4</v>
          </cell>
          <cell r="AT74">
            <v>0.7</v>
          </cell>
        </row>
        <row r="75">
          <cell r="A75" t="str">
            <v>Maspoli</v>
          </cell>
          <cell r="B75">
            <v>1255500</v>
          </cell>
          <cell r="C75" t="str">
            <v>Mgo Corta Pizza Gastro 9 mm</v>
          </cell>
          <cell r="D75">
            <v>0</v>
          </cell>
          <cell r="G75">
            <v>0.7038288288288288</v>
          </cell>
          <cell r="H75">
            <v>0.56306306306306309</v>
          </cell>
          <cell r="J75">
            <v>1776</v>
          </cell>
          <cell r="K75">
            <v>1250</v>
          </cell>
          <cell r="L75">
            <v>526</v>
          </cell>
          <cell r="N75">
            <v>1250</v>
          </cell>
          <cell r="O75">
            <v>0</v>
          </cell>
          <cell r="P75">
            <v>0</v>
          </cell>
          <cell r="Q75">
            <v>0</v>
          </cell>
          <cell r="S75">
            <v>2220</v>
          </cell>
          <cell r="T75">
            <v>0</v>
          </cell>
          <cell r="U75">
            <v>444</v>
          </cell>
          <cell r="V75">
            <v>0</v>
          </cell>
          <cell r="X75" t="str">
            <v>EP8</v>
          </cell>
          <cell r="Y75" t="str">
            <v>PEP8</v>
          </cell>
          <cell r="Z75">
            <v>5</v>
          </cell>
          <cell r="AA75">
            <v>0</v>
          </cell>
          <cell r="AC75">
            <v>7.1040000000000001</v>
          </cell>
          <cell r="AD75">
            <v>2</v>
          </cell>
          <cell r="AE75">
            <v>250</v>
          </cell>
          <cell r="AF75">
            <v>444</v>
          </cell>
          <cell r="AG75">
            <v>500</v>
          </cell>
          <cell r="AH75">
            <v>344.18</v>
          </cell>
          <cell r="AI75" t="str">
            <v>26 mm</v>
          </cell>
          <cell r="AR75">
            <v>4</v>
          </cell>
          <cell r="AT75">
            <v>0.7</v>
          </cell>
        </row>
        <row r="77">
          <cell r="B77" t="str">
            <v>Este pedido anula cualquier pedido anterior</v>
          </cell>
        </row>
        <row r="78">
          <cell r="B78" t="str">
            <v>Pintos</v>
          </cell>
          <cell r="C78" t="str">
            <v>Pintos</v>
          </cell>
          <cell r="D78" t="str">
            <v xml:space="preserve">Fecha: </v>
          </cell>
          <cell r="AC78" t="str">
            <v>INFORMACION</v>
          </cell>
        </row>
        <row r="79">
          <cell r="B79" t="str">
            <v>Cod. ISIS</v>
          </cell>
          <cell r="C79" t="str">
            <v>Descripción</v>
          </cell>
          <cell r="D79" t="str">
            <v xml:space="preserve">Pedido Damian </v>
          </cell>
          <cell r="E79" t="str">
            <v>Orden Priori</v>
          </cell>
          <cell r="G79" t="str">
            <v>% Ocup Relev</v>
          </cell>
          <cell r="H79" t="str">
            <v>% Ocup Total</v>
          </cell>
          <cell r="J79" t="str">
            <v>Max Uni</v>
          </cell>
          <cell r="K79" t="str">
            <v>Stock Unid Real</v>
          </cell>
          <cell r="L79" t="str">
            <v>Pedido Uni</v>
          </cell>
          <cell r="N79" t="str">
            <v>Stock Total Uni</v>
          </cell>
          <cell r="O79" t="str">
            <v>Stock PS Uni</v>
          </cell>
          <cell r="P79" t="str">
            <v>Stock Taller Uni</v>
          </cell>
          <cell r="Q79" t="str">
            <v>Stock CD Uni</v>
          </cell>
          <cell r="S79" t="str">
            <v>Max Total Uni</v>
          </cell>
          <cell r="T79" t="str">
            <v>Max PS Uni</v>
          </cell>
          <cell r="U79" t="str">
            <v>Max Taller Uni</v>
          </cell>
          <cell r="V79" t="str">
            <v>Max CD Uni</v>
          </cell>
          <cell r="X79" t="str">
            <v>Nuevo Sector</v>
          </cell>
          <cell r="Y79" t="str">
            <v>Sector</v>
          </cell>
          <cell r="Z79" t="str">
            <v>Bolsa</v>
          </cell>
          <cell r="AA79" t="str">
            <v>Uni Suelta</v>
          </cell>
          <cell r="AC79" t="str">
            <v>Max Bolsa</v>
          </cell>
          <cell r="AD79" t="str">
            <v>Cant Entra Bolsas</v>
          </cell>
          <cell r="AE79" t="str">
            <v>Uni x Bolsa</v>
          </cell>
          <cell r="AF79" t="str">
            <v>Cons Mens Uni</v>
          </cell>
          <cell r="AG79" t="str">
            <v>Pedi Min Uni</v>
          </cell>
          <cell r="AH79" t="str">
            <v>Precio Uni</v>
          </cell>
          <cell r="AR79" t="str">
            <v>N° Indice</v>
          </cell>
        </row>
        <row r="80">
          <cell r="A80" t="str">
            <v>Pintos</v>
          </cell>
          <cell r="B80">
            <v>5175600</v>
          </cell>
          <cell r="C80" t="str">
            <v>Mgo Mad Cuch Untar</v>
          </cell>
          <cell r="D80">
            <v>0</v>
          </cell>
          <cell r="G80">
            <v>0</v>
          </cell>
          <cell r="H80">
            <v>0</v>
          </cell>
          <cell r="J80">
            <v>2688</v>
          </cell>
          <cell r="K80">
            <v>0</v>
          </cell>
          <cell r="L80">
            <v>2688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4032</v>
          </cell>
          <cell r="T80">
            <v>0</v>
          </cell>
          <cell r="U80">
            <v>672</v>
          </cell>
          <cell r="V80">
            <v>672</v>
          </cell>
          <cell r="X80" t="str">
            <v>EP5</v>
          </cell>
          <cell r="Y80" t="str">
            <v>PEP5</v>
          </cell>
          <cell r="Z80">
            <v>0</v>
          </cell>
          <cell r="AA80">
            <v>0</v>
          </cell>
          <cell r="AC80">
            <v>2.6880000000000002</v>
          </cell>
          <cell r="AD80">
            <v>2</v>
          </cell>
          <cell r="AE80">
            <v>1000</v>
          </cell>
          <cell r="AF80">
            <v>672</v>
          </cell>
          <cell r="AG80">
            <v>1000</v>
          </cell>
          <cell r="AH80">
            <v>91.815693273605191</v>
          </cell>
          <cell r="AR80">
            <v>4</v>
          </cell>
          <cell r="AT80">
            <v>0.7</v>
          </cell>
        </row>
        <row r="81">
          <cell r="A81" t="str">
            <v>Pintos</v>
          </cell>
          <cell r="B81">
            <v>5714600</v>
          </cell>
          <cell r="C81" t="str">
            <v>Cabo Madera 525</v>
          </cell>
          <cell r="D81">
            <v>0</v>
          </cell>
          <cell r="G81">
            <v>0.66773504273504269</v>
          </cell>
          <cell r="H81">
            <v>0.53418803418803418</v>
          </cell>
          <cell r="J81">
            <v>7488</v>
          </cell>
          <cell r="K81">
            <v>5000</v>
          </cell>
          <cell r="L81">
            <v>2488</v>
          </cell>
          <cell r="N81">
            <v>5000</v>
          </cell>
          <cell r="O81">
            <v>0</v>
          </cell>
          <cell r="P81">
            <v>0</v>
          </cell>
          <cell r="Q81">
            <v>0</v>
          </cell>
          <cell r="S81">
            <v>9360</v>
          </cell>
          <cell r="T81">
            <v>0</v>
          </cell>
          <cell r="U81">
            <v>0</v>
          </cell>
          <cell r="V81">
            <v>1872</v>
          </cell>
          <cell r="X81" t="str">
            <v>EP6</v>
          </cell>
          <cell r="Y81" t="str">
            <v>PEP6</v>
          </cell>
          <cell r="Z81">
            <v>5</v>
          </cell>
          <cell r="AA81">
            <v>0</v>
          </cell>
          <cell r="AC81">
            <v>7.4880000000000004</v>
          </cell>
          <cell r="AD81">
            <v>5</v>
          </cell>
          <cell r="AE81">
            <v>1000</v>
          </cell>
          <cell r="AF81">
            <v>1872</v>
          </cell>
          <cell r="AG81">
            <v>1000</v>
          </cell>
          <cell r="AH81">
            <v>152.68117002803353</v>
          </cell>
          <cell r="AR81">
            <v>4</v>
          </cell>
          <cell r="AT81">
            <v>0.7</v>
          </cell>
        </row>
        <row r="82">
          <cell r="A82" t="str">
            <v>Pintos</v>
          </cell>
          <cell r="B82">
            <v>229</v>
          </cell>
          <cell r="C82" t="str">
            <v>Ñoquera</v>
          </cell>
          <cell r="D82">
            <v>0</v>
          </cell>
          <cell r="G82">
            <v>0</v>
          </cell>
          <cell r="H82">
            <v>0</v>
          </cell>
          <cell r="J82">
            <v>5136</v>
          </cell>
          <cell r="K82">
            <v>0</v>
          </cell>
          <cell r="L82">
            <v>5136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6420</v>
          </cell>
          <cell r="T82">
            <v>0</v>
          </cell>
          <cell r="U82">
            <v>0</v>
          </cell>
          <cell r="V82">
            <v>1284</v>
          </cell>
          <cell r="X82" t="str">
            <v>GRJ12</v>
          </cell>
          <cell r="Y82" t="str">
            <v>PGRJ12</v>
          </cell>
          <cell r="Z82">
            <v>0</v>
          </cell>
          <cell r="AA82">
            <v>0</v>
          </cell>
          <cell r="AC82">
            <v>34.24</v>
          </cell>
          <cell r="AD82">
            <v>40</v>
          </cell>
          <cell r="AE82">
            <v>150</v>
          </cell>
          <cell r="AF82">
            <v>1284</v>
          </cell>
          <cell r="AG82">
            <v>1000</v>
          </cell>
          <cell r="AH82">
            <v>207.29580241510223</v>
          </cell>
          <cell r="AR82">
            <v>4</v>
          </cell>
          <cell r="AT82">
            <v>0.7</v>
          </cell>
        </row>
        <row r="83">
          <cell r="A83" t="str">
            <v>Pintos</v>
          </cell>
          <cell r="B83">
            <v>207</v>
          </cell>
          <cell r="C83" t="str">
            <v>Ñoquera Redonda</v>
          </cell>
          <cell r="D83">
            <v>0</v>
          </cell>
          <cell r="G83">
            <v>0</v>
          </cell>
          <cell r="H83">
            <v>0</v>
          </cell>
          <cell r="J83">
            <v>960</v>
          </cell>
          <cell r="K83">
            <v>0</v>
          </cell>
          <cell r="L83">
            <v>960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960</v>
          </cell>
          <cell r="T83">
            <v>0</v>
          </cell>
          <cell r="U83">
            <v>0</v>
          </cell>
          <cell r="V83">
            <v>0</v>
          </cell>
          <cell r="X83" t="str">
            <v>GRJ12B</v>
          </cell>
          <cell r="Y83" t="str">
            <v>PGRJ12B</v>
          </cell>
          <cell r="Z83">
            <v>0</v>
          </cell>
          <cell r="AA83">
            <v>0</v>
          </cell>
          <cell r="AC83">
            <v>6.4</v>
          </cell>
          <cell r="AD83">
            <v>40</v>
          </cell>
          <cell r="AE83">
            <v>150</v>
          </cell>
          <cell r="AF83">
            <v>240</v>
          </cell>
          <cell r="AG83">
            <v>1000</v>
          </cell>
          <cell r="AH83">
            <v>0</v>
          </cell>
          <cell r="AR83">
            <v>4</v>
          </cell>
          <cell r="AT83">
            <v>0.7</v>
          </cell>
        </row>
        <row r="85">
          <cell r="B85" t="str">
            <v>Este pedido anula cualquier pedido anterior</v>
          </cell>
        </row>
        <row r="86">
          <cell r="B86" t="str">
            <v>Martin Facciolo</v>
          </cell>
          <cell r="D86" t="str">
            <v xml:space="preserve">Fecha: </v>
          </cell>
          <cell r="AC86" t="str">
            <v>INFORMACION</v>
          </cell>
        </row>
        <row r="87">
          <cell r="B87" t="str">
            <v>Cod. ISIS</v>
          </cell>
          <cell r="C87" t="str">
            <v>Descripción</v>
          </cell>
          <cell r="D87" t="str">
            <v xml:space="preserve">Pedido Damian </v>
          </cell>
          <cell r="E87" t="str">
            <v>Orden Priori</v>
          </cell>
          <cell r="G87" t="str">
            <v>% Ocup Relev</v>
          </cell>
          <cell r="H87" t="str">
            <v>% Ocup Total</v>
          </cell>
          <cell r="J87" t="str">
            <v>Max KG</v>
          </cell>
          <cell r="K87" t="str">
            <v>Stock KG Real</v>
          </cell>
          <cell r="L87" t="str">
            <v>Pedido KG</v>
          </cell>
          <cell r="N87" t="str">
            <v>Stock Total Uni</v>
          </cell>
          <cell r="O87" t="str">
            <v>Stock PS Uni</v>
          </cell>
          <cell r="P87" t="str">
            <v>Stock Taller Uni</v>
          </cell>
          <cell r="Q87" t="str">
            <v>Stock CD Uni</v>
          </cell>
          <cell r="S87" t="str">
            <v>Max Total Uni</v>
          </cell>
          <cell r="T87" t="str">
            <v>Max PS KG</v>
          </cell>
          <cell r="U87" t="str">
            <v>Max Taller KG</v>
          </cell>
          <cell r="V87" t="str">
            <v>Max CD KG</v>
          </cell>
          <cell r="X87" t="str">
            <v>Nuevo Sector</v>
          </cell>
          <cell r="Y87" t="str">
            <v>Sector</v>
          </cell>
          <cell r="Z87" t="str">
            <v>Caja</v>
          </cell>
          <cell r="AA87" t="str">
            <v>Uni Suelta</v>
          </cell>
          <cell r="AC87" t="str">
            <v>Max Bolsa</v>
          </cell>
          <cell r="AD87" t="str">
            <v>Cant Entra Caja</v>
          </cell>
          <cell r="AE87" t="str">
            <v>KG x Caja</v>
          </cell>
          <cell r="AF87" t="str">
            <v>Cons Mens KG</v>
          </cell>
          <cell r="AG87" t="str">
            <v>Pedi Min KG</v>
          </cell>
          <cell r="AH87" t="str">
            <v>Precio Uni</v>
          </cell>
          <cell r="AR87" t="str">
            <v>N° Indice</v>
          </cell>
        </row>
        <row r="88">
          <cell r="A88" t="str">
            <v>Martin Facciolo</v>
          </cell>
          <cell r="B88">
            <v>1126500</v>
          </cell>
          <cell r="C88" t="str">
            <v>Clavo 505</v>
          </cell>
          <cell r="D88">
            <v>1000</v>
          </cell>
          <cell r="G88">
            <v>0.45582047685834498</v>
          </cell>
          <cell r="H88">
            <v>0.27557503172946557</v>
          </cell>
          <cell r="J88">
            <v>1608.528</v>
          </cell>
          <cell r="K88">
            <v>733.19999999999993</v>
          </cell>
          <cell r="L88">
            <v>875.32800000000009</v>
          </cell>
          <cell r="N88">
            <v>733.19999999999993</v>
          </cell>
          <cell r="O88">
            <v>0</v>
          </cell>
          <cell r="P88">
            <v>0</v>
          </cell>
          <cell r="Q88">
            <v>0</v>
          </cell>
          <cell r="S88">
            <v>2660.6184000000003</v>
          </cell>
          <cell r="T88">
            <v>402.13200000000001</v>
          </cell>
          <cell r="U88">
            <v>402.13200000000001</v>
          </cell>
          <cell r="V88">
            <v>247.82639999999998</v>
          </cell>
          <cell r="X88" t="str">
            <v>CP3</v>
          </cell>
          <cell r="Y88" t="str">
            <v>PCP3</v>
          </cell>
          <cell r="Z88">
            <v>47</v>
          </cell>
          <cell r="AA88">
            <v>0</v>
          </cell>
          <cell r="AC88">
            <v>50</v>
          </cell>
          <cell r="AD88">
            <v>50</v>
          </cell>
          <cell r="AE88">
            <v>15.6</v>
          </cell>
          <cell r="AF88">
            <v>402.13200000000001</v>
          </cell>
          <cell r="AG88">
            <v>1000</v>
          </cell>
          <cell r="AH88">
            <v>28.828800000000001</v>
          </cell>
          <cell r="AR88">
            <v>4</v>
          </cell>
          <cell r="AT88">
            <v>0.7</v>
          </cell>
        </row>
        <row r="90">
          <cell r="B90" t="str">
            <v>Este pedido anula cualquier pedido anterior</v>
          </cell>
        </row>
        <row r="91">
          <cell r="B91" t="str">
            <v xml:space="preserve">Ing. Barbetta Alberto </v>
          </cell>
          <cell r="D91" t="str">
            <v xml:space="preserve">Fecha: </v>
          </cell>
          <cell r="AC91" t="str">
            <v>INFORMACION</v>
          </cell>
        </row>
        <row r="92">
          <cell r="B92" t="str">
            <v>Cod. ISIS</v>
          </cell>
          <cell r="C92" t="str">
            <v>Descripción</v>
          </cell>
          <cell r="D92" t="str">
            <v xml:space="preserve">Pedido Damian </v>
          </cell>
          <cell r="E92" t="str">
            <v>Orden Priori</v>
          </cell>
          <cell r="G92" t="str">
            <v>% Ocup Relev</v>
          </cell>
          <cell r="H92" t="str">
            <v>% Ocup Total</v>
          </cell>
          <cell r="J92" t="str">
            <v>Max Uni</v>
          </cell>
          <cell r="K92" t="str">
            <v>Stock Unid Real</v>
          </cell>
          <cell r="L92" t="str">
            <v>Pedido Uni</v>
          </cell>
          <cell r="N92" t="str">
            <v>Stock Total Uni</v>
          </cell>
          <cell r="O92" t="str">
            <v>Stock PS Uni</v>
          </cell>
          <cell r="P92" t="str">
            <v>Stock Taller Uni</v>
          </cell>
          <cell r="Q92" t="str">
            <v>Stock CD Uni</v>
          </cell>
          <cell r="S92" t="str">
            <v>Max Total Uni</v>
          </cell>
          <cell r="T92" t="str">
            <v>Max PS Uni</v>
          </cell>
          <cell r="U92" t="str">
            <v>Max Taller Uni</v>
          </cell>
          <cell r="V92" t="str">
            <v>Max CD Uni</v>
          </cell>
          <cell r="X92" t="str">
            <v>Nuevo Sector</v>
          </cell>
          <cell r="Y92" t="str">
            <v>Sector</v>
          </cell>
          <cell r="Z92" t="str">
            <v>Bolsa</v>
          </cell>
          <cell r="AA92" t="str">
            <v>Uni Suelta</v>
          </cell>
          <cell r="AC92" t="str">
            <v>Max Piedra</v>
          </cell>
          <cell r="AD92" t="str">
            <v>Cant Entra Piedra</v>
          </cell>
          <cell r="AE92" t="str">
            <v>Uni x Bolsa</v>
          </cell>
          <cell r="AF92" t="str">
            <v>Cons Mens Uni</v>
          </cell>
          <cell r="AG92" t="str">
            <v>Pedi Min Uni</v>
          </cell>
          <cell r="AH92" t="str">
            <v>Precio Uni</v>
          </cell>
          <cell r="AR92" t="str">
            <v>N° Indice</v>
          </cell>
        </row>
        <row r="93">
          <cell r="A93" t="str">
            <v>Barbetta</v>
          </cell>
          <cell r="B93">
            <v>1100</v>
          </cell>
          <cell r="C93" t="str">
            <v>Rueda Recta 50A36.20 945*48*70</v>
          </cell>
          <cell r="G93">
            <v>0</v>
          </cell>
          <cell r="H93">
            <v>0</v>
          </cell>
          <cell r="J93">
            <v>2</v>
          </cell>
          <cell r="K93">
            <v>0</v>
          </cell>
          <cell r="L93">
            <v>2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2</v>
          </cell>
          <cell r="T93">
            <v>0</v>
          </cell>
          <cell r="U93">
            <v>0</v>
          </cell>
          <cell r="V93">
            <v>0</v>
          </cell>
          <cell r="X93" t="str">
            <v>PIE</v>
          </cell>
          <cell r="Y93" t="str">
            <v>PIEA</v>
          </cell>
          <cell r="Z93">
            <v>0</v>
          </cell>
          <cell r="AA93">
            <v>0</v>
          </cell>
          <cell r="AC93">
            <v>2</v>
          </cell>
          <cell r="AE93">
            <v>2</v>
          </cell>
          <cell r="AH93">
            <v>1849524.6</v>
          </cell>
          <cell r="AR93">
            <v>4</v>
          </cell>
          <cell r="AT93">
            <v>0.7</v>
          </cell>
        </row>
        <row r="94">
          <cell r="A94" t="str">
            <v>Barbetta</v>
          </cell>
          <cell r="B94">
            <v>6100</v>
          </cell>
          <cell r="C94" t="str">
            <v>Rueda Recta 710*48*50.8</v>
          </cell>
          <cell r="G94">
            <v>2</v>
          </cell>
          <cell r="H94">
            <v>2</v>
          </cell>
          <cell r="J94">
            <v>2</v>
          </cell>
          <cell r="K94">
            <v>4</v>
          </cell>
          <cell r="L94">
            <v>0</v>
          </cell>
          <cell r="N94">
            <v>4</v>
          </cell>
          <cell r="O94">
            <v>0</v>
          </cell>
          <cell r="P94">
            <v>0</v>
          </cell>
          <cell r="Q94">
            <v>0</v>
          </cell>
          <cell r="S94">
            <v>2</v>
          </cell>
          <cell r="T94">
            <v>0</v>
          </cell>
          <cell r="U94">
            <v>0</v>
          </cell>
          <cell r="V94">
            <v>0</v>
          </cell>
          <cell r="X94" t="str">
            <v>PIE</v>
          </cell>
          <cell r="Y94" t="str">
            <v>PIEB</v>
          </cell>
          <cell r="Z94">
            <v>2</v>
          </cell>
          <cell r="AA94">
            <v>0</v>
          </cell>
          <cell r="AC94">
            <v>2</v>
          </cell>
          <cell r="AE94">
            <v>2</v>
          </cell>
          <cell r="AH94">
            <v>0</v>
          </cell>
          <cell r="AR94">
            <v>4</v>
          </cell>
          <cell r="AT94">
            <v>0.7</v>
          </cell>
        </row>
        <row r="96">
          <cell r="B96" t="str">
            <v>Este pedido anula cualquier pedido anterior</v>
          </cell>
        </row>
        <row r="97">
          <cell r="B97" t="str">
            <v xml:space="preserve">Packaging y Servicio </v>
          </cell>
          <cell r="D97" t="str">
            <v xml:space="preserve">Fecha: </v>
          </cell>
          <cell r="AC97" t="str">
            <v>INFORMACION</v>
          </cell>
        </row>
        <row r="98">
          <cell r="B98" t="str">
            <v>Cod. ISIS</v>
          </cell>
          <cell r="C98" t="str">
            <v xml:space="preserve">Descripcion </v>
          </cell>
          <cell r="D98" t="str">
            <v xml:space="preserve">Pedido Damian </v>
          </cell>
          <cell r="E98" t="str">
            <v>Orden Priori</v>
          </cell>
          <cell r="G98" t="str">
            <v>% Ocup Relev</v>
          </cell>
          <cell r="H98" t="str">
            <v>% Ocup Total</v>
          </cell>
          <cell r="J98" t="str">
            <v>Max Uni</v>
          </cell>
          <cell r="K98" t="str">
            <v>Stock Unid Real</v>
          </cell>
          <cell r="L98" t="str">
            <v>Pedido Uni</v>
          </cell>
          <cell r="N98" t="str">
            <v>Stock Total Uni</v>
          </cell>
          <cell r="O98" t="str">
            <v>Stock PS Uni</v>
          </cell>
          <cell r="P98" t="str">
            <v>Stock Taller Uni</v>
          </cell>
          <cell r="Q98" t="str">
            <v>Stock CD Uni</v>
          </cell>
          <cell r="S98" t="str">
            <v>Max Total Uni</v>
          </cell>
          <cell r="T98" t="str">
            <v>Max PS Uni</v>
          </cell>
          <cell r="U98" t="str">
            <v>Max Taller Uni</v>
          </cell>
          <cell r="V98" t="str">
            <v>Max CD Uni</v>
          </cell>
          <cell r="X98" t="str">
            <v>Nuevo Sector</v>
          </cell>
          <cell r="Y98" t="str">
            <v>Sector</v>
          </cell>
          <cell r="Z98" t="str">
            <v>Cajas</v>
          </cell>
          <cell r="AA98" t="str">
            <v>Uni Suelta</v>
          </cell>
          <cell r="AC98" t="str">
            <v>Max Caja</v>
          </cell>
          <cell r="AD98" t="str">
            <v>Cant Entra Cajas</v>
          </cell>
          <cell r="AE98" t="str">
            <v>Uni x Caja</v>
          </cell>
          <cell r="AF98" t="str">
            <v>Cons Mens Uni</v>
          </cell>
          <cell r="AG98" t="str">
            <v>Pedi Min Uni</v>
          </cell>
          <cell r="AH98" t="str">
            <v>Precio Uni</v>
          </cell>
          <cell r="AR98" t="str">
            <v>N° Indice</v>
          </cell>
        </row>
        <row r="99">
          <cell r="A99" t="str">
            <v>Packaging y Serv</v>
          </cell>
          <cell r="B99">
            <v>1250700</v>
          </cell>
          <cell r="C99" t="str">
            <v>Cintas Adhesivas 48x100</v>
          </cell>
          <cell r="D99">
            <v>432</v>
          </cell>
          <cell r="E99">
            <v>1</v>
          </cell>
          <cell r="G99">
            <v>0.45</v>
          </cell>
          <cell r="H99">
            <v>0.45</v>
          </cell>
          <cell r="J99">
            <v>800</v>
          </cell>
          <cell r="K99">
            <v>360</v>
          </cell>
          <cell r="L99">
            <v>440</v>
          </cell>
          <cell r="N99">
            <v>360</v>
          </cell>
          <cell r="O99">
            <v>0</v>
          </cell>
          <cell r="P99">
            <v>0</v>
          </cell>
          <cell r="Q99">
            <v>0</v>
          </cell>
          <cell r="S99">
            <v>800</v>
          </cell>
          <cell r="T99">
            <v>0</v>
          </cell>
          <cell r="U99">
            <v>0</v>
          </cell>
          <cell r="V99">
            <v>0</v>
          </cell>
          <cell r="X99" t="str">
            <v>CP4A</v>
          </cell>
          <cell r="Y99" t="str">
            <v>PCP4A</v>
          </cell>
          <cell r="Z99">
            <v>10</v>
          </cell>
          <cell r="AA99">
            <v>0</v>
          </cell>
          <cell r="AC99">
            <v>22.222222222222221</v>
          </cell>
          <cell r="AD99">
            <v>20</v>
          </cell>
          <cell r="AE99">
            <v>36</v>
          </cell>
          <cell r="AF99">
            <v>200</v>
          </cell>
          <cell r="AG99">
            <v>288</v>
          </cell>
          <cell r="AH99" t="e">
            <v>#REF!</v>
          </cell>
          <cell r="AR99">
            <v>4</v>
          </cell>
          <cell r="AT99">
            <v>0.7</v>
          </cell>
        </row>
        <row r="101">
          <cell r="B101" t="str">
            <v>Este pedido anula cualquier pedido anterior</v>
          </cell>
        </row>
        <row r="102">
          <cell r="B102" t="str">
            <v>CC Galvano quimica</v>
          </cell>
          <cell r="D102" t="str">
            <v xml:space="preserve">Fecha: </v>
          </cell>
          <cell r="AC102" t="str">
            <v>INFORMACION</v>
          </cell>
        </row>
        <row r="103">
          <cell r="B103" t="str">
            <v>Cod. ISIS</v>
          </cell>
          <cell r="C103" t="str">
            <v>Planchas</v>
          </cell>
          <cell r="D103" t="str">
            <v xml:space="preserve">Pedido Damian </v>
          </cell>
          <cell r="E103" t="str">
            <v>Orden Priori</v>
          </cell>
          <cell r="G103" t="str">
            <v>% Ocup Relev</v>
          </cell>
          <cell r="H103" t="str">
            <v>% Ocup Total</v>
          </cell>
          <cell r="J103" t="str">
            <v>Max Plan</v>
          </cell>
          <cell r="K103" t="str">
            <v>Stock Kg</v>
          </cell>
          <cell r="L103" t="str">
            <v>Pedido Uni</v>
          </cell>
          <cell r="N103" t="str">
            <v>Stock Total Uni</v>
          </cell>
          <cell r="O103" t="str">
            <v>Stock PS Uni</v>
          </cell>
          <cell r="P103" t="str">
            <v>Stock Taller Uni</v>
          </cell>
          <cell r="Q103" t="str">
            <v>Stock CD Uni</v>
          </cell>
          <cell r="S103" t="str">
            <v>Max Total Uni</v>
          </cell>
          <cell r="T103" t="str">
            <v>Max PS Uni</v>
          </cell>
          <cell r="U103" t="str">
            <v>Max Taller Uni</v>
          </cell>
          <cell r="V103" t="str">
            <v>Max CD Uni</v>
          </cell>
          <cell r="X103" t="str">
            <v>Nuevo Sector</v>
          </cell>
          <cell r="Y103" t="str">
            <v>Sector</v>
          </cell>
          <cell r="Z103" t="str">
            <v>Plan</v>
          </cell>
          <cell r="AA103" t="str">
            <v>Cons x Mes Plan</v>
          </cell>
          <cell r="AC103" t="str">
            <v>Max Kg</v>
          </cell>
          <cell r="AD103" t="str">
            <v>Q Entra</v>
          </cell>
          <cell r="AE103" t="str">
            <v>Kg x Plan</v>
          </cell>
          <cell r="AF103" t="str">
            <v>Cons x Mes Kg</v>
          </cell>
          <cell r="AG103" t="str">
            <v>Pedi Min Kg</v>
          </cell>
          <cell r="AH103" t="str">
            <v>Precio Kg</v>
          </cell>
          <cell r="AR103" t="str">
            <v>N° Indice</v>
          </cell>
        </row>
        <row r="104">
          <cell r="A104" t="str">
            <v>Galvanoquimica</v>
          </cell>
          <cell r="B104">
            <v>1249500</v>
          </cell>
          <cell r="C104" t="str">
            <v>Plancha de Niquel</v>
          </cell>
          <cell r="D104">
            <v>0</v>
          </cell>
          <cell r="G104">
            <v>0.48249241797628889</v>
          </cell>
          <cell r="H104">
            <v>4.8249241797628892</v>
          </cell>
          <cell r="J104">
            <v>14.508000000000001</v>
          </cell>
          <cell r="K104">
            <v>70</v>
          </cell>
          <cell r="L104">
            <v>0</v>
          </cell>
          <cell r="N104">
            <v>70</v>
          </cell>
          <cell r="O104">
            <v>0</v>
          </cell>
          <cell r="P104">
            <v>0</v>
          </cell>
          <cell r="Q104">
            <v>0</v>
          </cell>
          <cell r="S104">
            <v>14.508000000000001</v>
          </cell>
          <cell r="T104">
            <v>0</v>
          </cell>
          <cell r="U104">
            <v>0</v>
          </cell>
          <cell r="V104">
            <v>0</v>
          </cell>
          <cell r="X104" t="str">
            <v>CP2</v>
          </cell>
          <cell r="Y104" t="str">
            <v>PCP2</v>
          </cell>
          <cell r="Z104">
            <v>7</v>
          </cell>
          <cell r="AA104">
            <v>0</v>
          </cell>
          <cell r="AC104">
            <v>145.08000000000001</v>
          </cell>
          <cell r="AD104">
            <v>48</v>
          </cell>
          <cell r="AE104">
            <v>10</v>
          </cell>
          <cell r="AF104">
            <v>36.270000000000003</v>
          </cell>
          <cell r="AG104">
            <v>10</v>
          </cell>
          <cell r="AH104">
            <v>42680</v>
          </cell>
          <cell r="AR104">
            <v>4</v>
          </cell>
          <cell r="AT104">
            <v>0.7</v>
          </cell>
        </row>
        <row r="117">
          <cell r="C117" t="str">
            <v>DISCONTINUOS</v>
          </cell>
        </row>
        <row r="118">
          <cell r="B118">
            <v>6157600</v>
          </cell>
          <cell r="C118" t="str">
            <v>Mangos Corta Queso</v>
          </cell>
          <cell r="G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30769.68</v>
          </cell>
          <cell r="T118">
            <v>5400</v>
          </cell>
          <cell r="U118">
            <v>4369.68</v>
          </cell>
          <cell r="V118">
            <v>21000</v>
          </cell>
          <cell r="X118" t="str">
            <v>C3</v>
          </cell>
          <cell r="Y118" t="str">
            <v>CP7</v>
          </cell>
          <cell r="AC118">
            <v>0</v>
          </cell>
          <cell r="AD118">
            <v>20</v>
          </cell>
          <cell r="AE118">
            <v>1000</v>
          </cell>
          <cell r="AF118">
            <v>0</v>
          </cell>
          <cell r="AG118">
            <v>6000</v>
          </cell>
          <cell r="AH118">
            <v>0</v>
          </cell>
          <cell r="AI118" t="str">
            <v>Mangos Lk</v>
          </cell>
          <cell r="AM118" t="str">
            <v>R</v>
          </cell>
        </row>
        <row r="119">
          <cell r="B119">
            <v>5185600</v>
          </cell>
          <cell r="C119" t="str">
            <v>Afila Caladas Blanco</v>
          </cell>
          <cell r="G119" t="str">
            <v>0%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480</v>
          </cell>
          <cell r="T119">
            <v>0</v>
          </cell>
          <cell r="U119">
            <v>0</v>
          </cell>
          <cell r="V119">
            <v>480</v>
          </cell>
          <cell r="X119" t="str">
            <v>EP3</v>
          </cell>
          <cell r="Y119" t="str">
            <v>CP5</v>
          </cell>
          <cell r="AC119">
            <v>0</v>
          </cell>
          <cell r="AD119">
            <v>4</v>
          </cell>
          <cell r="AE119">
            <v>150</v>
          </cell>
          <cell r="AF119">
            <v>0</v>
          </cell>
          <cell r="AG119">
            <v>3600</v>
          </cell>
          <cell r="AH119">
            <v>62</v>
          </cell>
          <cell r="AI119" t="str">
            <v>Base Afila</v>
          </cell>
          <cell r="AM119" t="str">
            <v>B</v>
          </cell>
        </row>
        <row r="120">
          <cell r="B120">
            <v>5065600</v>
          </cell>
          <cell r="K120">
            <v>0</v>
          </cell>
          <cell r="N120">
            <v>0</v>
          </cell>
          <cell r="O120" t="e">
            <v>#REF!</v>
          </cell>
          <cell r="P120">
            <v>0</v>
          </cell>
          <cell r="Q120">
            <v>0</v>
          </cell>
          <cell r="T120">
            <v>5536.16</v>
          </cell>
          <cell r="U120">
            <v>2000</v>
          </cell>
          <cell r="V120">
            <v>1376.1599999999999</v>
          </cell>
          <cell r="X120" t="str">
            <v>C9</v>
          </cell>
          <cell r="Y120" t="str">
            <v>FP3</v>
          </cell>
          <cell r="AB120">
            <v>2160</v>
          </cell>
          <cell r="AD120">
            <v>0</v>
          </cell>
          <cell r="AE120">
            <v>4</v>
          </cell>
          <cell r="AF120">
            <v>1000</v>
          </cell>
          <cell r="AG120">
            <v>0</v>
          </cell>
          <cell r="AH120">
            <v>5000</v>
          </cell>
          <cell r="AI120" t="str">
            <v>Manolo</v>
          </cell>
          <cell r="AM120" t="str">
            <v>Cachas</v>
          </cell>
          <cell r="AN120" t="str">
            <v>A</v>
          </cell>
        </row>
        <row r="121">
          <cell r="B121">
            <v>1126500</v>
          </cell>
          <cell r="C121" t="str">
            <v>Clavo 513</v>
          </cell>
          <cell r="G121" t="e">
            <v>#DIV/0!</v>
          </cell>
          <cell r="H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43475.069767441862</v>
          </cell>
          <cell r="T121">
            <v>0</v>
          </cell>
          <cell r="U121">
            <v>20003.069767441862</v>
          </cell>
          <cell r="V121">
            <v>23472</v>
          </cell>
          <cell r="X121" t="str">
            <v>IP4</v>
          </cell>
          <cell r="Y121" t="str">
            <v>IP4</v>
          </cell>
          <cell r="AC121">
            <v>30</v>
          </cell>
          <cell r="AD121">
            <v>30</v>
          </cell>
          <cell r="AE121">
            <v>4651.1627906976746</v>
          </cell>
          <cell r="AF121">
            <v>0</v>
          </cell>
          <cell r="AG121">
            <v>128205.12820512822</v>
          </cell>
          <cell r="AH121">
            <v>28.828800000000001</v>
          </cell>
        </row>
        <row r="122">
          <cell r="C122" t="str">
            <v>Cachas Blancas</v>
          </cell>
          <cell r="Y122" t="str">
            <v>AP8</v>
          </cell>
        </row>
        <row r="123">
          <cell r="C123" t="str">
            <v>Placas 3 en 1 Vde.</v>
          </cell>
          <cell r="Y123" t="str">
            <v>BP3</v>
          </cell>
        </row>
        <row r="124">
          <cell r="C124" t="str">
            <v>Capuc Marip. Vde.</v>
          </cell>
          <cell r="Y124" t="str">
            <v>BP7</v>
          </cell>
        </row>
        <row r="125">
          <cell r="C125" t="str">
            <v>Leva Tapon Premium</v>
          </cell>
          <cell r="Y125" t="str">
            <v>BP8</v>
          </cell>
        </row>
        <row r="126">
          <cell r="C126" t="str">
            <v>Tapa Bombilla Plast</v>
          </cell>
          <cell r="Y126" t="str">
            <v>HP3</v>
          </cell>
        </row>
        <row r="127">
          <cell r="C127" t="str">
            <v>Inser. Sonrisa Neg.</v>
          </cell>
          <cell r="Y127" t="str">
            <v>MP4</v>
          </cell>
        </row>
        <row r="128">
          <cell r="C128" t="str">
            <v>Cuchillo de Untar Acril</v>
          </cell>
          <cell r="Y128" t="str">
            <v>MP7</v>
          </cell>
        </row>
        <row r="129">
          <cell r="C129" t="str">
            <v>Capuchon Blanco PyP Ajo</v>
          </cell>
          <cell r="Y129" t="str">
            <v>MP8</v>
          </cell>
        </row>
        <row r="130">
          <cell r="C130" t="str">
            <v>Puntera Roja PyP  Ajo</v>
          </cell>
          <cell r="Y130" t="str">
            <v>V9</v>
          </cell>
        </row>
        <row r="131">
          <cell r="C131" t="str">
            <v>Cucharon 1 Pz Ny Vde</v>
          </cell>
          <cell r="Y131" t="str">
            <v>V10</v>
          </cell>
        </row>
        <row r="132">
          <cell r="C132" t="str">
            <v>Espatula Lisa 1 Pz Ny Vde</v>
          </cell>
          <cell r="Y132" t="str">
            <v>V11</v>
          </cell>
        </row>
        <row r="133">
          <cell r="C133" t="str">
            <v>Espatula Cal.  1 Pz Ny Vde</v>
          </cell>
          <cell r="Y133" t="str">
            <v>V12</v>
          </cell>
        </row>
        <row r="134">
          <cell r="C134" t="str">
            <v>Cuchara Fideos 1 Pz Ny Vde</v>
          </cell>
          <cell r="Y134" t="str">
            <v>V13</v>
          </cell>
        </row>
        <row r="135">
          <cell r="C135" t="str">
            <v>Cuchara Calada 1 Pz  Ny Vde</v>
          </cell>
          <cell r="AF135">
            <v>0</v>
          </cell>
          <cell r="AG135">
            <v>0</v>
          </cell>
          <cell r="AH135">
            <v>0</v>
          </cell>
        </row>
        <row r="136">
          <cell r="Y136" t="str">
            <v>Z:\AA  LOGISTICA Relevamiento y Pedidos\A3 Relevamiento Stock y Pedidos Insumos\Relevamiento\A Relevamientos INSUMOS y Pedido\A Plásticos\A  Vigente</v>
          </cell>
          <cell r="AF136">
            <v>0</v>
          </cell>
          <cell r="AG136">
            <v>2000</v>
          </cell>
          <cell r="AH136">
            <v>0</v>
          </cell>
        </row>
        <row r="137">
          <cell r="B137">
            <v>5110600</v>
          </cell>
          <cell r="C137" t="str">
            <v>Inser. Neg. Cuch. y Pal</v>
          </cell>
          <cell r="G137">
            <v>0</v>
          </cell>
          <cell r="H137">
            <v>0</v>
          </cell>
          <cell r="J137" t="e">
            <v>#REF!</v>
          </cell>
          <cell r="K137">
            <v>0</v>
          </cell>
          <cell r="L137" t="e">
            <v>#REF!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 t="e">
            <v>#REF!</v>
          </cell>
          <cell r="T137">
            <v>10200</v>
          </cell>
          <cell r="U137">
            <v>7710.2479999999987</v>
          </cell>
          <cell r="V137">
            <v>60</v>
          </cell>
          <cell r="X137" t="str">
            <v>B5</v>
          </cell>
          <cell r="Y137" t="str">
            <v>HP2</v>
          </cell>
          <cell r="AC137" t="e">
            <v>#REF!</v>
          </cell>
          <cell r="AD137">
            <v>2</v>
          </cell>
          <cell r="AE137">
            <v>500</v>
          </cell>
          <cell r="AF137" t="e">
            <v>#REF!</v>
          </cell>
          <cell r="AG137">
            <v>5000</v>
          </cell>
          <cell r="AH137">
            <v>91.6</v>
          </cell>
          <cell r="AI137" t="str">
            <v>Insertos</v>
          </cell>
          <cell r="AM137" t="str">
            <v>N</v>
          </cell>
        </row>
        <row r="138">
          <cell r="AF138">
            <v>0</v>
          </cell>
          <cell r="AG138">
            <v>0</v>
          </cell>
          <cell r="AH138">
            <v>0</v>
          </cell>
        </row>
        <row r="139">
          <cell r="AF139" t="e">
            <v>#REF!</v>
          </cell>
          <cell r="AG139">
            <v>0</v>
          </cell>
          <cell r="AH139" t="e">
            <v>#REF!</v>
          </cell>
        </row>
        <row r="140">
          <cell r="AF140" t="e">
            <v>#REF!</v>
          </cell>
          <cell r="AG140">
            <v>0</v>
          </cell>
          <cell r="AH140" t="e">
            <v>#REF!</v>
          </cell>
        </row>
        <row r="141">
          <cell r="AF141" t="e">
            <v>#REF!</v>
          </cell>
          <cell r="AG141">
            <v>0</v>
          </cell>
          <cell r="AH141" t="e">
            <v>#REF!</v>
          </cell>
        </row>
        <row r="142">
          <cell r="AF142" t="e">
            <v>#REF!</v>
          </cell>
          <cell r="AG142">
            <v>0</v>
          </cell>
          <cell r="AH142" t="e">
            <v>#REF!</v>
          </cell>
        </row>
        <row r="143">
          <cell r="AF143" t="e">
            <v>#REF!</v>
          </cell>
          <cell r="AG143">
            <v>250</v>
          </cell>
          <cell r="AH143" t="e">
            <v>#REF!</v>
          </cell>
        </row>
        <row r="144">
          <cell r="AF144" t="e">
            <v>#REF!</v>
          </cell>
          <cell r="AG144">
            <v>250</v>
          </cell>
          <cell r="AH144" t="e">
            <v>#REF!</v>
          </cell>
        </row>
        <row r="145">
          <cell r="AF145" t="e">
            <v>#REF!</v>
          </cell>
          <cell r="AG145">
            <v>250</v>
          </cell>
          <cell r="AH145" t="e">
            <v>#REF!</v>
          </cell>
        </row>
        <row r="146">
          <cell r="AF146" t="e">
            <v>#REF!</v>
          </cell>
          <cell r="AG146">
            <v>250</v>
          </cell>
          <cell r="AH146" t="e">
            <v>#REF!</v>
          </cell>
        </row>
        <row r="147">
          <cell r="AF147" t="e">
            <v>#REF!</v>
          </cell>
          <cell r="AG147">
            <v>250</v>
          </cell>
          <cell r="AH147" t="e">
            <v>#REF!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erra Nativa" id="{5CD22F47-7B95-459D-9DC6-9AB926C6A56C}" userId="4edc438ffb70fd8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4-09-12T18:16:05.83" personId="{5CD22F47-7B95-459D-9DC6-9AB926C6A56C}" id="{CA74D34A-FF46-4915-98A5-50B2A2372823}">
    <text>Modificad por Damian 12-9 antes 600</text>
  </threadedComment>
  <threadedComment ref="C21" dT="2025-02-11T14:21:02.65" personId="{5CD22F47-7B95-459D-9DC6-9AB926C6A56C}" id="{3A7C126E-E890-4960-A944-CDAF5D9842A4}" parentId="{CA74D34A-FF46-4915-98A5-50B2A2372823}">
    <text>11-02 Antes 800</text>
  </threadedComment>
  <threadedComment ref="C52" dT="2024-09-12T18:06:29.97" personId="{5CD22F47-7B95-459D-9DC6-9AB926C6A56C}" id="{271A0D8A-04FB-41E4-BFEA-9D1386F30AA2}">
    <text>Antes 72, cambiado po Damian 12-9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opLeftCell="A4" zoomScale="85" zoomScaleNormal="85" workbookViewId="0">
      <selection activeCell="O9" sqref="O9"/>
    </sheetView>
  </sheetViews>
  <sheetFormatPr baseColWidth="10" defaultColWidth="11.5703125" defaultRowHeight="12.75" x14ac:dyDescent="0.2"/>
  <cols>
    <col min="1" max="1" width="11.42578125" style="266" customWidth="1"/>
    <col min="2" max="2" width="6.140625" style="266" customWidth="1"/>
    <col min="3" max="3" width="19.140625" style="266" customWidth="1"/>
    <col min="4" max="4" width="9.28515625" style="266" customWidth="1"/>
    <col min="5" max="5" width="8.28515625" style="266" customWidth="1"/>
    <col min="6" max="6" width="7.7109375" style="266" customWidth="1"/>
    <col min="7" max="7" width="9.7109375" style="266" customWidth="1"/>
    <col min="8" max="8" width="7.28515625" style="266" customWidth="1"/>
    <col min="9" max="9" width="7.5703125" style="266" customWidth="1"/>
    <col min="10" max="10" width="7.7109375" style="266" customWidth="1"/>
    <col min="11" max="11" width="7" style="266" customWidth="1"/>
    <col min="12" max="12" width="7.7109375" style="266" customWidth="1"/>
    <col min="13" max="13" width="7" style="266" customWidth="1"/>
    <col min="14" max="256" width="11.5703125" style="266"/>
    <col min="257" max="257" width="11.42578125" style="266" customWidth="1"/>
    <col min="258" max="258" width="6.140625" style="266" customWidth="1"/>
    <col min="259" max="259" width="22" style="266" customWidth="1"/>
    <col min="260" max="260" width="9.28515625" style="266" customWidth="1"/>
    <col min="261" max="261" width="8.28515625" style="266" customWidth="1"/>
    <col min="262" max="262" width="7.7109375" style="266" customWidth="1"/>
    <col min="263" max="263" width="9.7109375" style="266" customWidth="1"/>
    <col min="264" max="264" width="7.28515625" style="266" customWidth="1"/>
    <col min="265" max="265" width="7.5703125" style="266" customWidth="1"/>
    <col min="266" max="266" width="7.7109375" style="266" customWidth="1"/>
    <col min="267" max="267" width="7" style="266" customWidth="1"/>
    <col min="268" max="268" width="7.7109375" style="266" customWidth="1"/>
    <col min="269" max="269" width="7" style="266" customWidth="1"/>
    <col min="270" max="512" width="11.5703125" style="266"/>
    <col min="513" max="513" width="11.42578125" style="266" customWidth="1"/>
    <col min="514" max="514" width="6.140625" style="266" customWidth="1"/>
    <col min="515" max="515" width="22" style="266" customWidth="1"/>
    <col min="516" max="516" width="9.28515625" style="266" customWidth="1"/>
    <col min="517" max="517" width="8.28515625" style="266" customWidth="1"/>
    <col min="518" max="518" width="7.7109375" style="266" customWidth="1"/>
    <col min="519" max="519" width="9.7109375" style="266" customWidth="1"/>
    <col min="520" max="520" width="7.28515625" style="266" customWidth="1"/>
    <col min="521" max="521" width="7.5703125" style="266" customWidth="1"/>
    <col min="522" max="522" width="7.7109375" style="266" customWidth="1"/>
    <col min="523" max="523" width="7" style="266" customWidth="1"/>
    <col min="524" max="524" width="7.7109375" style="266" customWidth="1"/>
    <col min="525" max="525" width="7" style="266" customWidth="1"/>
    <col min="526" max="768" width="11.5703125" style="266"/>
    <col min="769" max="769" width="11.42578125" style="266" customWidth="1"/>
    <col min="770" max="770" width="6.140625" style="266" customWidth="1"/>
    <col min="771" max="771" width="22" style="266" customWidth="1"/>
    <col min="772" max="772" width="9.28515625" style="266" customWidth="1"/>
    <col min="773" max="773" width="8.28515625" style="266" customWidth="1"/>
    <col min="774" max="774" width="7.7109375" style="266" customWidth="1"/>
    <col min="775" max="775" width="9.7109375" style="266" customWidth="1"/>
    <col min="776" max="776" width="7.28515625" style="266" customWidth="1"/>
    <col min="777" max="777" width="7.5703125" style="266" customWidth="1"/>
    <col min="778" max="778" width="7.7109375" style="266" customWidth="1"/>
    <col min="779" max="779" width="7" style="266" customWidth="1"/>
    <col min="780" max="780" width="7.7109375" style="266" customWidth="1"/>
    <col min="781" max="781" width="7" style="266" customWidth="1"/>
    <col min="782" max="1024" width="11.5703125" style="266"/>
    <col min="1025" max="1025" width="11.42578125" style="266" customWidth="1"/>
    <col min="1026" max="1026" width="6.140625" style="266" customWidth="1"/>
    <col min="1027" max="1027" width="22" style="266" customWidth="1"/>
    <col min="1028" max="1028" width="9.28515625" style="266" customWidth="1"/>
    <col min="1029" max="1029" width="8.28515625" style="266" customWidth="1"/>
    <col min="1030" max="1030" width="7.7109375" style="266" customWidth="1"/>
    <col min="1031" max="1031" width="9.7109375" style="266" customWidth="1"/>
    <col min="1032" max="1032" width="7.28515625" style="266" customWidth="1"/>
    <col min="1033" max="1033" width="7.5703125" style="266" customWidth="1"/>
    <col min="1034" max="1034" width="7.7109375" style="266" customWidth="1"/>
    <col min="1035" max="1035" width="7" style="266" customWidth="1"/>
    <col min="1036" max="1036" width="7.7109375" style="266" customWidth="1"/>
    <col min="1037" max="1037" width="7" style="266" customWidth="1"/>
    <col min="1038" max="1280" width="11.5703125" style="266"/>
    <col min="1281" max="1281" width="11.42578125" style="266" customWidth="1"/>
    <col min="1282" max="1282" width="6.140625" style="266" customWidth="1"/>
    <col min="1283" max="1283" width="22" style="266" customWidth="1"/>
    <col min="1284" max="1284" width="9.28515625" style="266" customWidth="1"/>
    <col min="1285" max="1285" width="8.28515625" style="266" customWidth="1"/>
    <col min="1286" max="1286" width="7.7109375" style="266" customWidth="1"/>
    <col min="1287" max="1287" width="9.7109375" style="266" customWidth="1"/>
    <col min="1288" max="1288" width="7.28515625" style="266" customWidth="1"/>
    <col min="1289" max="1289" width="7.5703125" style="266" customWidth="1"/>
    <col min="1290" max="1290" width="7.7109375" style="266" customWidth="1"/>
    <col min="1291" max="1291" width="7" style="266" customWidth="1"/>
    <col min="1292" max="1292" width="7.7109375" style="266" customWidth="1"/>
    <col min="1293" max="1293" width="7" style="266" customWidth="1"/>
    <col min="1294" max="1536" width="11.5703125" style="266"/>
    <col min="1537" max="1537" width="11.42578125" style="266" customWidth="1"/>
    <col min="1538" max="1538" width="6.140625" style="266" customWidth="1"/>
    <col min="1539" max="1539" width="22" style="266" customWidth="1"/>
    <col min="1540" max="1540" width="9.28515625" style="266" customWidth="1"/>
    <col min="1541" max="1541" width="8.28515625" style="266" customWidth="1"/>
    <col min="1542" max="1542" width="7.7109375" style="266" customWidth="1"/>
    <col min="1543" max="1543" width="9.7109375" style="266" customWidth="1"/>
    <col min="1544" max="1544" width="7.28515625" style="266" customWidth="1"/>
    <col min="1545" max="1545" width="7.5703125" style="266" customWidth="1"/>
    <col min="1546" max="1546" width="7.7109375" style="266" customWidth="1"/>
    <col min="1547" max="1547" width="7" style="266" customWidth="1"/>
    <col min="1548" max="1548" width="7.7109375" style="266" customWidth="1"/>
    <col min="1549" max="1549" width="7" style="266" customWidth="1"/>
    <col min="1550" max="1792" width="11.5703125" style="266"/>
    <col min="1793" max="1793" width="11.42578125" style="266" customWidth="1"/>
    <col min="1794" max="1794" width="6.140625" style="266" customWidth="1"/>
    <col min="1795" max="1795" width="22" style="266" customWidth="1"/>
    <col min="1796" max="1796" width="9.28515625" style="266" customWidth="1"/>
    <col min="1797" max="1797" width="8.28515625" style="266" customWidth="1"/>
    <col min="1798" max="1798" width="7.7109375" style="266" customWidth="1"/>
    <col min="1799" max="1799" width="9.7109375" style="266" customWidth="1"/>
    <col min="1800" max="1800" width="7.28515625" style="266" customWidth="1"/>
    <col min="1801" max="1801" width="7.5703125" style="266" customWidth="1"/>
    <col min="1802" max="1802" width="7.7109375" style="266" customWidth="1"/>
    <col min="1803" max="1803" width="7" style="266" customWidth="1"/>
    <col min="1804" max="1804" width="7.7109375" style="266" customWidth="1"/>
    <col min="1805" max="1805" width="7" style="266" customWidth="1"/>
    <col min="1806" max="2048" width="11.5703125" style="266"/>
    <col min="2049" max="2049" width="11.42578125" style="266" customWidth="1"/>
    <col min="2050" max="2050" width="6.140625" style="266" customWidth="1"/>
    <col min="2051" max="2051" width="22" style="266" customWidth="1"/>
    <col min="2052" max="2052" width="9.28515625" style="266" customWidth="1"/>
    <col min="2053" max="2053" width="8.28515625" style="266" customWidth="1"/>
    <col min="2054" max="2054" width="7.7109375" style="266" customWidth="1"/>
    <col min="2055" max="2055" width="9.7109375" style="266" customWidth="1"/>
    <col min="2056" max="2056" width="7.28515625" style="266" customWidth="1"/>
    <col min="2057" max="2057" width="7.5703125" style="266" customWidth="1"/>
    <col min="2058" max="2058" width="7.7109375" style="266" customWidth="1"/>
    <col min="2059" max="2059" width="7" style="266" customWidth="1"/>
    <col min="2060" max="2060" width="7.7109375" style="266" customWidth="1"/>
    <col min="2061" max="2061" width="7" style="266" customWidth="1"/>
    <col min="2062" max="2304" width="11.5703125" style="266"/>
    <col min="2305" max="2305" width="11.42578125" style="266" customWidth="1"/>
    <col min="2306" max="2306" width="6.140625" style="266" customWidth="1"/>
    <col min="2307" max="2307" width="22" style="266" customWidth="1"/>
    <col min="2308" max="2308" width="9.28515625" style="266" customWidth="1"/>
    <col min="2309" max="2309" width="8.28515625" style="266" customWidth="1"/>
    <col min="2310" max="2310" width="7.7109375" style="266" customWidth="1"/>
    <col min="2311" max="2311" width="9.7109375" style="266" customWidth="1"/>
    <col min="2312" max="2312" width="7.28515625" style="266" customWidth="1"/>
    <col min="2313" max="2313" width="7.5703125" style="266" customWidth="1"/>
    <col min="2314" max="2314" width="7.7109375" style="266" customWidth="1"/>
    <col min="2315" max="2315" width="7" style="266" customWidth="1"/>
    <col min="2316" max="2316" width="7.7109375" style="266" customWidth="1"/>
    <col min="2317" max="2317" width="7" style="266" customWidth="1"/>
    <col min="2318" max="2560" width="11.5703125" style="266"/>
    <col min="2561" max="2561" width="11.42578125" style="266" customWidth="1"/>
    <col min="2562" max="2562" width="6.140625" style="266" customWidth="1"/>
    <col min="2563" max="2563" width="22" style="266" customWidth="1"/>
    <col min="2564" max="2564" width="9.28515625" style="266" customWidth="1"/>
    <col min="2565" max="2565" width="8.28515625" style="266" customWidth="1"/>
    <col min="2566" max="2566" width="7.7109375" style="266" customWidth="1"/>
    <col min="2567" max="2567" width="9.7109375" style="266" customWidth="1"/>
    <col min="2568" max="2568" width="7.28515625" style="266" customWidth="1"/>
    <col min="2569" max="2569" width="7.5703125" style="266" customWidth="1"/>
    <col min="2570" max="2570" width="7.7109375" style="266" customWidth="1"/>
    <col min="2571" max="2571" width="7" style="266" customWidth="1"/>
    <col min="2572" max="2572" width="7.7109375" style="266" customWidth="1"/>
    <col min="2573" max="2573" width="7" style="266" customWidth="1"/>
    <col min="2574" max="2816" width="11.5703125" style="266"/>
    <col min="2817" max="2817" width="11.42578125" style="266" customWidth="1"/>
    <col min="2818" max="2818" width="6.140625" style="266" customWidth="1"/>
    <col min="2819" max="2819" width="22" style="266" customWidth="1"/>
    <col min="2820" max="2820" width="9.28515625" style="266" customWidth="1"/>
    <col min="2821" max="2821" width="8.28515625" style="266" customWidth="1"/>
    <col min="2822" max="2822" width="7.7109375" style="266" customWidth="1"/>
    <col min="2823" max="2823" width="9.7109375" style="266" customWidth="1"/>
    <col min="2824" max="2824" width="7.28515625" style="266" customWidth="1"/>
    <col min="2825" max="2825" width="7.5703125" style="266" customWidth="1"/>
    <col min="2826" max="2826" width="7.7109375" style="266" customWidth="1"/>
    <col min="2827" max="2827" width="7" style="266" customWidth="1"/>
    <col min="2828" max="2828" width="7.7109375" style="266" customWidth="1"/>
    <col min="2829" max="2829" width="7" style="266" customWidth="1"/>
    <col min="2830" max="3072" width="11.5703125" style="266"/>
    <col min="3073" max="3073" width="11.42578125" style="266" customWidth="1"/>
    <col min="3074" max="3074" width="6.140625" style="266" customWidth="1"/>
    <col min="3075" max="3075" width="22" style="266" customWidth="1"/>
    <col min="3076" max="3076" width="9.28515625" style="266" customWidth="1"/>
    <col min="3077" max="3077" width="8.28515625" style="266" customWidth="1"/>
    <col min="3078" max="3078" width="7.7109375" style="266" customWidth="1"/>
    <col min="3079" max="3079" width="9.7109375" style="266" customWidth="1"/>
    <col min="3080" max="3080" width="7.28515625" style="266" customWidth="1"/>
    <col min="3081" max="3081" width="7.5703125" style="266" customWidth="1"/>
    <col min="3082" max="3082" width="7.7109375" style="266" customWidth="1"/>
    <col min="3083" max="3083" width="7" style="266" customWidth="1"/>
    <col min="3084" max="3084" width="7.7109375" style="266" customWidth="1"/>
    <col min="3085" max="3085" width="7" style="266" customWidth="1"/>
    <col min="3086" max="3328" width="11.5703125" style="266"/>
    <col min="3329" max="3329" width="11.42578125" style="266" customWidth="1"/>
    <col min="3330" max="3330" width="6.140625" style="266" customWidth="1"/>
    <col min="3331" max="3331" width="22" style="266" customWidth="1"/>
    <col min="3332" max="3332" width="9.28515625" style="266" customWidth="1"/>
    <col min="3333" max="3333" width="8.28515625" style="266" customWidth="1"/>
    <col min="3334" max="3334" width="7.7109375" style="266" customWidth="1"/>
    <col min="3335" max="3335" width="9.7109375" style="266" customWidth="1"/>
    <col min="3336" max="3336" width="7.28515625" style="266" customWidth="1"/>
    <col min="3337" max="3337" width="7.5703125" style="266" customWidth="1"/>
    <col min="3338" max="3338" width="7.7109375" style="266" customWidth="1"/>
    <col min="3339" max="3339" width="7" style="266" customWidth="1"/>
    <col min="3340" max="3340" width="7.7109375" style="266" customWidth="1"/>
    <col min="3341" max="3341" width="7" style="266" customWidth="1"/>
    <col min="3342" max="3584" width="11.5703125" style="266"/>
    <col min="3585" max="3585" width="11.42578125" style="266" customWidth="1"/>
    <col min="3586" max="3586" width="6.140625" style="266" customWidth="1"/>
    <col min="3587" max="3587" width="22" style="266" customWidth="1"/>
    <col min="3588" max="3588" width="9.28515625" style="266" customWidth="1"/>
    <col min="3589" max="3589" width="8.28515625" style="266" customWidth="1"/>
    <col min="3590" max="3590" width="7.7109375" style="266" customWidth="1"/>
    <col min="3591" max="3591" width="9.7109375" style="266" customWidth="1"/>
    <col min="3592" max="3592" width="7.28515625" style="266" customWidth="1"/>
    <col min="3593" max="3593" width="7.5703125" style="266" customWidth="1"/>
    <col min="3594" max="3594" width="7.7109375" style="266" customWidth="1"/>
    <col min="3595" max="3595" width="7" style="266" customWidth="1"/>
    <col min="3596" max="3596" width="7.7109375" style="266" customWidth="1"/>
    <col min="3597" max="3597" width="7" style="266" customWidth="1"/>
    <col min="3598" max="3840" width="11.5703125" style="266"/>
    <col min="3841" max="3841" width="11.42578125" style="266" customWidth="1"/>
    <col min="3842" max="3842" width="6.140625" style="266" customWidth="1"/>
    <col min="3843" max="3843" width="22" style="266" customWidth="1"/>
    <col min="3844" max="3844" width="9.28515625" style="266" customWidth="1"/>
    <col min="3845" max="3845" width="8.28515625" style="266" customWidth="1"/>
    <col min="3846" max="3846" width="7.7109375" style="266" customWidth="1"/>
    <col min="3847" max="3847" width="9.7109375" style="266" customWidth="1"/>
    <col min="3848" max="3848" width="7.28515625" style="266" customWidth="1"/>
    <col min="3849" max="3849" width="7.5703125" style="266" customWidth="1"/>
    <col min="3850" max="3850" width="7.7109375" style="266" customWidth="1"/>
    <col min="3851" max="3851" width="7" style="266" customWidth="1"/>
    <col min="3852" max="3852" width="7.7109375" style="266" customWidth="1"/>
    <col min="3853" max="3853" width="7" style="266" customWidth="1"/>
    <col min="3854" max="4096" width="11.5703125" style="266"/>
    <col min="4097" max="4097" width="11.42578125" style="266" customWidth="1"/>
    <col min="4098" max="4098" width="6.140625" style="266" customWidth="1"/>
    <col min="4099" max="4099" width="22" style="266" customWidth="1"/>
    <col min="4100" max="4100" width="9.28515625" style="266" customWidth="1"/>
    <col min="4101" max="4101" width="8.28515625" style="266" customWidth="1"/>
    <col min="4102" max="4102" width="7.7109375" style="266" customWidth="1"/>
    <col min="4103" max="4103" width="9.7109375" style="266" customWidth="1"/>
    <col min="4104" max="4104" width="7.28515625" style="266" customWidth="1"/>
    <col min="4105" max="4105" width="7.5703125" style="266" customWidth="1"/>
    <col min="4106" max="4106" width="7.7109375" style="266" customWidth="1"/>
    <col min="4107" max="4107" width="7" style="266" customWidth="1"/>
    <col min="4108" max="4108" width="7.7109375" style="266" customWidth="1"/>
    <col min="4109" max="4109" width="7" style="266" customWidth="1"/>
    <col min="4110" max="4352" width="11.5703125" style="266"/>
    <col min="4353" max="4353" width="11.42578125" style="266" customWidth="1"/>
    <col min="4354" max="4354" width="6.140625" style="266" customWidth="1"/>
    <col min="4355" max="4355" width="22" style="266" customWidth="1"/>
    <col min="4356" max="4356" width="9.28515625" style="266" customWidth="1"/>
    <col min="4357" max="4357" width="8.28515625" style="266" customWidth="1"/>
    <col min="4358" max="4358" width="7.7109375" style="266" customWidth="1"/>
    <col min="4359" max="4359" width="9.7109375" style="266" customWidth="1"/>
    <col min="4360" max="4360" width="7.28515625" style="266" customWidth="1"/>
    <col min="4361" max="4361" width="7.5703125" style="266" customWidth="1"/>
    <col min="4362" max="4362" width="7.7109375" style="266" customWidth="1"/>
    <col min="4363" max="4363" width="7" style="266" customWidth="1"/>
    <col min="4364" max="4364" width="7.7109375" style="266" customWidth="1"/>
    <col min="4365" max="4365" width="7" style="266" customWidth="1"/>
    <col min="4366" max="4608" width="11.5703125" style="266"/>
    <col min="4609" max="4609" width="11.42578125" style="266" customWidth="1"/>
    <col min="4610" max="4610" width="6.140625" style="266" customWidth="1"/>
    <col min="4611" max="4611" width="22" style="266" customWidth="1"/>
    <col min="4612" max="4612" width="9.28515625" style="266" customWidth="1"/>
    <col min="4613" max="4613" width="8.28515625" style="266" customWidth="1"/>
    <col min="4614" max="4614" width="7.7109375" style="266" customWidth="1"/>
    <col min="4615" max="4615" width="9.7109375" style="266" customWidth="1"/>
    <col min="4616" max="4616" width="7.28515625" style="266" customWidth="1"/>
    <col min="4617" max="4617" width="7.5703125" style="266" customWidth="1"/>
    <col min="4618" max="4618" width="7.7109375" style="266" customWidth="1"/>
    <col min="4619" max="4619" width="7" style="266" customWidth="1"/>
    <col min="4620" max="4620" width="7.7109375" style="266" customWidth="1"/>
    <col min="4621" max="4621" width="7" style="266" customWidth="1"/>
    <col min="4622" max="4864" width="11.5703125" style="266"/>
    <col min="4865" max="4865" width="11.42578125" style="266" customWidth="1"/>
    <col min="4866" max="4866" width="6.140625" style="266" customWidth="1"/>
    <col min="4867" max="4867" width="22" style="266" customWidth="1"/>
    <col min="4868" max="4868" width="9.28515625" style="266" customWidth="1"/>
    <col min="4869" max="4869" width="8.28515625" style="266" customWidth="1"/>
    <col min="4870" max="4870" width="7.7109375" style="266" customWidth="1"/>
    <col min="4871" max="4871" width="9.7109375" style="266" customWidth="1"/>
    <col min="4872" max="4872" width="7.28515625" style="266" customWidth="1"/>
    <col min="4873" max="4873" width="7.5703125" style="266" customWidth="1"/>
    <col min="4874" max="4874" width="7.7109375" style="266" customWidth="1"/>
    <col min="4875" max="4875" width="7" style="266" customWidth="1"/>
    <col min="4876" max="4876" width="7.7109375" style="266" customWidth="1"/>
    <col min="4877" max="4877" width="7" style="266" customWidth="1"/>
    <col min="4878" max="5120" width="11.5703125" style="266"/>
    <col min="5121" max="5121" width="11.42578125" style="266" customWidth="1"/>
    <col min="5122" max="5122" width="6.140625" style="266" customWidth="1"/>
    <col min="5123" max="5123" width="22" style="266" customWidth="1"/>
    <col min="5124" max="5124" width="9.28515625" style="266" customWidth="1"/>
    <col min="5125" max="5125" width="8.28515625" style="266" customWidth="1"/>
    <col min="5126" max="5126" width="7.7109375" style="266" customWidth="1"/>
    <col min="5127" max="5127" width="9.7109375" style="266" customWidth="1"/>
    <col min="5128" max="5128" width="7.28515625" style="266" customWidth="1"/>
    <col min="5129" max="5129" width="7.5703125" style="266" customWidth="1"/>
    <col min="5130" max="5130" width="7.7109375" style="266" customWidth="1"/>
    <col min="5131" max="5131" width="7" style="266" customWidth="1"/>
    <col min="5132" max="5132" width="7.7109375" style="266" customWidth="1"/>
    <col min="5133" max="5133" width="7" style="266" customWidth="1"/>
    <col min="5134" max="5376" width="11.5703125" style="266"/>
    <col min="5377" max="5377" width="11.42578125" style="266" customWidth="1"/>
    <col min="5378" max="5378" width="6.140625" style="266" customWidth="1"/>
    <col min="5379" max="5379" width="22" style="266" customWidth="1"/>
    <col min="5380" max="5380" width="9.28515625" style="266" customWidth="1"/>
    <col min="5381" max="5381" width="8.28515625" style="266" customWidth="1"/>
    <col min="5382" max="5382" width="7.7109375" style="266" customWidth="1"/>
    <col min="5383" max="5383" width="9.7109375" style="266" customWidth="1"/>
    <col min="5384" max="5384" width="7.28515625" style="266" customWidth="1"/>
    <col min="5385" max="5385" width="7.5703125" style="266" customWidth="1"/>
    <col min="5386" max="5386" width="7.7109375" style="266" customWidth="1"/>
    <col min="5387" max="5387" width="7" style="266" customWidth="1"/>
    <col min="5388" max="5388" width="7.7109375" style="266" customWidth="1"/>
    <col min="5389" max="5389" width="7" style="266" customWidth="1"/>
    <col min="5390" max="5632" width="11.5703125" style="266"/>
    <col min="5633" max="5633" width="11.42578125" style="266" customWidth="1"/>
    <col min="5634" max="5634" width="6.140625" style="266" customWidth="1"/>
    <col min="5635" max="5635" width="22" style="266" customWidth="1"/>
    <col min="5636" max="5636" width="9.28515625" style="266" customWidth="1"/>
    <col min="5637" max="5637" width="8.28515625" style="266" customWidth="1"/>
    <col min="5638" max="5638" width="7.7109375" style="266" customWidth="1"/>
    <col min="5639" max="5639" width="9.7109375" style="266" customWidth="1"/>
    <col min="5640" max="5640" width="7.28515625" style="266" customWidth="1"/>
    <col min="5641" max="5641" width="7.5703125" style="266" customWidth="1"/>
    <col min="5642" max="5642" width="7.7109375" style="266" customWidth="1"/>
    <col min="5643" max="5643" width="7" style="266" customWidth="1"/>
    <col min="5644" max="5644" width="7.7109375" style="266" customWidth="1"/>
    <col min="5645" max="5645" width="7" style="266" customWidth="1"/>
    <col min="5646" max="5888" width="11.5703125" style="266"/>
    <col min="5889" max="5889" width="11.42578125" style="266" customWidth="1"/>
    <col min="5890" max="5890" width="6.140625" style="266" customWidth="1"/>
    <col min="5891" max="5891" width="22" style="266" customWidth="1"/>
    <col min="5892" max="5892" width="9.28515625" style="266" customWidth="1"/>
    <col min="5893" max="5893" width="8.28515625" style="266" customWidth="1"/>
    <col min="5894" max="5894" width="7.7109375" style="266" customWidth="1"/>
    <col min="5895" max="5895" width="9.7109375" style="266" customWidth="1"/>
    <col min="5896" max="5896" width="7.28515625" style="266" customWidth="1"/>
    <col min="5897" max="5897" width="7.5703125" style="266" customWidth="1"/>
    <col min="5898" max="5898" width="7.7109375" style="266" customWidth="1"/>
    <col min="5899" max="5899" width="7" style="266" customWidth="1"/>
    <col min="5900" max="5900" width="7.7109375" style="266" customWidth="1"/>
    <col min="5901" max="5901" width="7" style="266" customWidth="1"/>
    <col min="5902" max="6144" width="11.5703125" style="266"/>
    <col min="6145" max="6145" width="11.42578125" style="266" customWidth="1"/>
    <col min="6146" max="6146" width="6.140625" style="266" customWidth="1"/>
    <col min="6147" max="6147" width="22" style="266" customWidth="1"/>
    <col min="6148" max="6148" width="9.28515625" style="266" customWidth="1"/>
    <col min="6149" max="6149" width="8.28515625" style="266" customWidth="1"/>
    <col min="6150" max="6150" width="7.7109375" style="266" customWidth="1"/>
    <col min="6151" max="6151" width="9.7109375" style="266" customWidth="1"/>
    <col min="6152" max="6152" width="7.28515625" style="266" customWidth="1"/>
    <col min="6153" max="6153" width="7.5703125" style="266" customWidth="1"/>
    <col min="6154" max="6154" width="7.7109375" style="266" customWidth="1"/>
    <col min="6155" max="6155" width="7" style="266" customWidth="1"/>
    <col min="6156" max="6156" width="7.7109375" style="266" customWidth="1"/>
    <col min="6157" max="6157" width="7" style="266" customWidth="1"/>
    <col min="6158" max="6400" width="11.5703125" style="266"/>
    <col min="6401" max="6401" width="11.42578125" style="266" customWidth="1"/>
    <col min="6402" max="6402" width="6.140625" style="266" customWidth="1"/>
    <col min="6403" max="6403" width="22" style="266" customWidth="1"/>
    <col min="6404" max="6404" width="9.28515625" style="266" customWidth="1"/>
    <col min="6405" max="6405" width="8.28515625" style="266" customWidth="1"/>
    <col min="6406" max="6406" width="7.7109375" style="266" customWidth="1"/>
    <col min="6407" max="6407" width="9.7109375" style="266" customWidth="1"/>
    <col min="6408" max="6408" width="7.28515625" style="266" customWidth="1"/>
    <col min="6409" max="6409" width="7.5703125" style="266" customWidth="1"/>
    <col min="6410" max="6410" width="7.7109375" style="266" customWidth="1"/>
    <col min="6411" max="6411" width="7" style="266" customWidth="1"/>
    <col min="6412" max="6412" width="7.7109375" style="266" customWidth="1"/>
    <col min="6413" max="6413" width="7" style="266" customWidth="1"/>
    <col min="6414" max="6656" width="11.5703125" style="266"/>
    <col min="6657" max="6657" width="11.42578125" style="266" customWidth="1"/>
    <col min="6658" max="6658" width="6.140625" style="266" customWidth="1"/>
    <col min="6659" max="6659" width="22" style="266" customWidth="1"/>
    <col min="6660" max="6660" width="9.28515625" style="266" customWidth="1"/>
    <col min="6661" max="6661" width="8.28515625" style="266" customWidth="1"/>
    <col min="6662" max="6662" width="7.7109375" style="266" customWidth="1"/>
    <col min="6663" max="6663" width="9.7109375" style="266" customWidth="1"/>
    <col min="6664" max="6664" width="7.28515625" style="266" customWidth="1"/>
    <col min="6665" max="6665" width="7.5703125" style="266" customWidth="1"/>
    <col min="6666" max="6666" width="7.7109375" style="266" customWidth="1"/>
    <col min="6667" max="6667" width="7" style="266" customWidth="1"/>
    <col min="6668" max="6668" width="7.7109375" style="266" customWidth="1"/>
    <col min="6669" max="6669" width="7" style="266" customWidth="1"/>
    <col min="6670" max="6912" width="11.5703125" style="266"/>
    <col min="6913" max="6913" width="11.42578125" style="266" customWidth="1"/>
    <col min="6914" max="6914" width="6.140625" style="266" customWidth="1"/>
    <col min="6915" max="6915" width="22" style="266" customWidth="1"/>
    <col min="6916" max="6916" width="9.28515625" style="266" customWidth="1"/>
    <col min="6917" max="6917" width="8.28515625" style="266" customWidth="1"/>
    <col min="6918" max="6918" width="7.7109375" style="266" customWidth="1"/>
    <col min="6919" max="6919" width="9.7109375" style="266" customWidth="1"/>
    <col min="6920" max="6920" width="7.28515625" style="266" customWidth="1"/>
    <col min="6921" max="6921" width="7.5703125" style="266" customWidth="1"/>
    <col min="6922" max="6922" width="7.7109375" style="266" customWidth="1"/>
    <col min="6923" max="6923" width="7" style="266" customWidth="1"/>
    <col min="6924" max="6924" width="7.7109375" style="266" customWidth="1"/>
    <col min="6925" max="6925" width="7" style="266" customWidth="1"/>
    <col min="6926" max="7168" width="11.5703125" style="266"/>
    <col min="7169" max="7169" width="11.42578125" style="266" customWidth="1"/>
    <col min="7170" max="7170" width="6.140625" style="266" customWidth="1"/>
    <col min="7171" max="7171" width="22" style="266" customWidth="1"/>
    <col min="7172" max="7172" width="9.28515625" style="266" customWidth="1"/>
    <col min="7173" max="7173" width="8.28515625" style="266" customWidth="1"/>
    <col min="7174" max="7174" width="7.7109375" style="266" customWidth="1"/>
    <col min="7175" max="7175" width="9.7109375" style="266" customWidth="1"/>
    <col min="7176" max="7176" width="7.28515625" style="266" customWidth="1"/>
    <col min="7177" max="7177" width="7.5703125" style="266" customWidth="1"/>
    <col min="7178" max="7178" width="7.7109375" style="266" customWidth="1"/>
    <col min="7179" max="7179" width="7" style="266" customWidth="1"/>
    <col min="7180" max="7180" width="7.7109375" style="266" customWidth="1"/>
    <col min="7181" max="7181" width="7" style="266" customWidth="1"/>
    <col min="7182" max="7424" width="11.5703125" style="266"/>
    <col min="7425" max="7425" width="11.42578125" style="266" customWidth="1"/>
    <col min="7426" max="7426" width="6.140625" style="266" customWidth="1"/>
    <col min="7427" max="7427" width="22" style="266" customWidth="1"/>
    <col min="7428" max="7428" width="9.28515625" style="266" customWidth="1"/>
    <col min="7429" max="7429" width="8.28515625" style="266" customWidth="1"/>
    <col min="7430" max="7430" width="7.7109375" style="266" customWidth="1"/>
    <col min="7431" max="7431" width="9.7109375" style="266" customWidth="1"/>
    <col min="7432" max="7432" width="7.28515625" style="266" customWidth="1"/>
    <col min="7433" max="7433" width="7.5703125" style="266" customWidth="1"/>
    <col min="7434" max="7434" width="7.7109375" style="266" customWidth="1"/>
    <col min="7435" max="7435" width="7" style="266" customWidth="1"/>
    <col min="7436" max="7436" width="7.7109375" style="266" customWidth="1"/>
    <col min="7437" max="7437" width="7" style="266" customWidth="1"/>
    <col min="7438" max="7680" width="11.5703125" style="266"/>
    <col min="7681" max="7681" width="11.42578125" style="266" customWidth="1"/>
    <col min="7682" max="7682" width="6.140625" style="266" customWidth="1"/>
    <col min="7683" max="7683" width="22" style="266" customWidth="1"/>
    <col min="7684" max="7684" width="9.28515625" style="266" customWidth="1"/>
    <col min="7685" max="7685" width="8.28515625" style="266" customWidth="1"/>
    <col min="7686" max="7686" width="7.7109375" style="266" customWidth="1"/>
    <col min="7687" max="7687" width="9.7109375" style="266" customWidth="1"/>
    <col min="7688" max="7688" width="7.28515625" style="266" customWidth="1"/>
    <col min="7689" max="7689" width="7.5703125" style="266" customWidth="1"/>
    <col min="7690" max="7690" width="7.7109375" style="266" customWidth="1"/>
    <col min="7691" max="7691" width="7" style="266" customWidth="1"/>
    <col min="7692" max="7692" width="7.7109375" style="266" customWidth="1"/>
    <col min="7693" max="7693" width="7" style="266" customWidth="1"/>
    <col min="7694" max="7936" width="11.5703125" style="266"/>
    <col min="7937" max="7937" width="11.42578125" style="266" customWidth="1"/>
    <col min="7938" max="7938" width="6.140625" style="266" customWidth="1"/>
    <col min="7939" max="7939" width="22" style="266" customWidth="1"/>
    <col min="7940" max="7940" width="9.28515625" style="266" customWidth="1"/>
    <col min="7941" max="7941" width="8.28515625" style="266" customWidth="1"/>
    <col min="7942" max="7942" width="7.7109375" style="266" customWidth="1"/>
    <col min="7943" max="7943" width="9.7109375" style="266" customWidth="1"/>
    <col min="7944" max="7944" width="7.28515625" style="266" customWidth="1"/>
    <col min="7945" max="7945" width="7.5703125" style="266" customWidth="1"/>
    <col min="7946" max="7946" width="7.7109375" style="266" customWidth="1"/>
    <col min="7947" max="7947" width="7" style="266" customWidth="1"/>
    <col min="7948" max="7948" width="7.7109375" style="266" customWidth="1"/>
    <col min="7949" max="7949" width="7" style="266" customWidth="1"/>
    <col min="7950" max="8192" width="11.5703125" style="266"/>
    <col min="8193" max="8193" width="11.42578125" style="266" customWidth="1"/>
    <col min="8194" max="8194" width="6.140625" style="266" customWidth="1"/>
    <col min="8195" max="8195" width="22" style="266" customWidth="1"/>
    <col min="8196" max="8196" width="9.28515625" style="266" customWidth="1"/>
    <col min="8197" max="8197" width="8.28515625" style="266" customWidth="1"/>
    <col min="8198" max="8198" width="7.7109375" style="266" customWidth="1"/>
    <col min="8199" max="8199" width="9.7109375" style="266" customWidth="1"/>
    <col min="8200" max="8200" width="7.28515625" style="266" customWidth="1"/>
    <col min="8201" max="8201" width="7.5703125" style="266" customWidth="1"/>
    <col min="8202" max="8202" width="7.7109375" style="266" customWidth="1"/>
    <col min="8203" max="8203" width="7" style="266" customWidth="1"/>
    <col min="8204" max="8204" width="7.7109375" style="266" customWidth="1"/>
    <col min="8205" max="8205" width="7" style="266" customWidth="1"/>
    <col min="8206" max="8448" width="11.5703125" style="266"/>
    <col min="8449" max="8449" width="11.42578125" style="266" customWidth="1"/>
    <col min="8450" max="8450" width="6.140625" style="266" customWidth="1"/>
    <col min="8451" max="8451" width="22" style="266" customWidth="1"/>
    <col min="8452" max="8452" width="9.28515625" style="266" customWidth="1"/>
    <col min="8453" max="8453" width="8.28515625" style="266" customWidth="1"/>
    <col min="8454" max="8454" width="7.7109375" style="266" customWidth="1"/>
    <col min="8455" max="8455" width="9.7109375" style="266" customWidth="1"/>
    <col min="8456" max="8456" width="7.28515625" style="266" customWidth="1"/>
    <col min="8457" max="8457" width="7.5703125" style="266" customWidth="1"/>
    <col min="8458" max="8458" width="7.7109375" style="266" customWidth="1"/>
    <col min="8459" max="8459" width="7" style="266" customWidth="1"/>
    <col min="8460" max="8460" width="7.7109375" style="266" customWidth="1"/>
    <col min="8461" max="8461" width="7" style="266" customWidth="1"/>
    <col min="8462" max="8704" width="11.5703125" style="266"/>
    <col min="8705" max="8705" width="11.42578125" style="266" customWidth="1"/>
    <col min="8706" max="8706" width="6.140625" style="266" customWidth="1"/>
    <col min="8707" max="8707" width="22" style="266" customWidth="1"/>
    <col min="8708" max="8708" width="9.28515625" style="266" customWidth="1"/>
    <col min="8709" max="8709" width="8.28515625" style="266" customWidth="1"/>
    <col min="8710" max="8710" width="7.7109375" style="266" customWidth="1"/>
    <col min="8711" max="8711" width="9.7109375" style="266" customWidth="1"/>
    <col min="8712" max="8712" width="7.28515625" style="266" customWidth="1"/>
    <col min="8713" max="8713" width="7.5703125" style="266" customWidth="1"/>
    <col min="8714" max="8714" width="7.7109375" style="266" customWidth="1"/>
    <col min="8715" max="8715" width="7" style="266" customWidth="1"/>
    <col min="8716" max="8716" width="7.7109375" style="266" customWidth="1"/>
    <col min="8717" max="8717" width="7" style="266" customWidth="1"/>
    <col min="8718" max="8960" width="11.5703125" style="266"/>
    <col min="8961" max="8961" width="11.42578125" style="266" customWidth="1"/>
    <col min="8962" max="8962" width="6.140625" style="266" customWidth="1"/>
    <col min="8963" max="8963" width="22" style="266" customWidth="1"/>
    <col min="8964" max="8964" width="9.28515625" style="266" customWidth="1"/>
    <col min="8965" max="8965" width="8.28515625" style="266" customWidth="1"/>
    <col min="8966" max="8966" width="7.7109375" style="266" customWidth="1"/>
    <col min="8967" max="8967" width="9.7109375" style="266" customWidth="1"/>
    <col min="8968" max="8968" width="7.28515625" style="266" customWidth="1"/>
    <col min="8969" max="8969" width="7.5703125" style="266" customWidth="1"/>
    <col min="8970" max="8970" width="7.7109375" style="266" customWidth="1"/>
    <col min="8971" max="8971" width="7" style="266" customWidth="1"/>
    <col min="8972" max="8972" width="7.7109375" style="266" customWidth="1"/>
    <col min="8973" max="8973" width="7" style="266" customWidth="1"/>
    <col min="8974" max="9216" width="11.5703125" style="266"/>
    <col min="9217" max="9217" width="11.42578125" style="266" customWidth="1"/>
    <col min="9218" max="9218" width="6.140625" style="266" customWidth="1"/>
    <col min="9219" max="9219" width="22" style="266" customWidth="1"/>
    <col min="9220" max="9220" width="9.28515625" style="266" customWidth="1"/>
    <col min="9221" max="9221" width="8.28515625" style="266" customWidth="1"/>
    <col min="9222" max="9222" width="7.7109375" style="266" customWidth="1"/>
    <col min="9223" max="9223" width="9.7109375" style="266" customWidth="1"/>
    <col min="9224" max="9224" width="7.28515625" style="266" customWidth="1"/>
    <col min="9225" max="9225" width="7.5703125" style="266" customWidth="1"/>
    <col min="9226" max="9226" width="7.7109375" style="266" customWidth="1"/>
    <col min="9227" max="9227" width="7" style="266" customWidth="1"/>
    <col min="9228" max="9228" width="7.7109375" style="266" customWidth="1"/>
    <col min="9229" max="9229" width="7" style="266" customWidth="1"/>
    <col min="9230" max="9472" width="11.5703125" style="266"/>
    <col min="9473" max="9473" width="11.42578125" style="266" customWidth="1"/>
    <col min="9474" max="9474" width="6.140625" style="266" customWidth="1"/>
    <col min="9475" max="9475" width="22" style="266" customWidth="1"/>
    <col min="9476" max="9476" width="9.28515625" style="266" customWidth="1"/>
    <col min="9477" max="9477" width="8.28515625" style="266" customWidth="1"/>
    <col min="9478" max="9478" width="7.7109375" style="266" customWidth="1"/>
    <col min="9479" max="9479" width="9.7109375" style="266" customWidth="1"/>
    <col min="9480" max="9480" width="7.28515625" style="266" customWidth="1"/>
    <col min="9481" max="9481" width="7.5703125" style="266" customWidth="1"/>
    <col min="9482" max="9482" width="7.7109375" style="266" customWidth="1"/>
    <col min="9483" max="9483" width="7" style="266" customWidth="1"/>
    <col min="9484" max="9484" width="7.7109375" style="266" customWidth="1"/>
    <col min="9485" max="9485" width="7" style="266" customWidth="1"/>
    <col min="9486" max="9728" width="11.5703125" style="266"/>
    <col min="9729" max="9729" width="11.42578125" style="266" customWidth="1"/>
    <col min="9730" max="9730" width="6.140625" style="266" customWidth="1"/>
    <col min="9731" max="9731" width="22" style="266" customWidth="1"/>
    <col min="9732" max="9732" width="9.28515625" style="266" customWidth="1"/>
    <col min="9733" max="9733" width="8.28515625" style="266" customWidth="1"/>
    <col min="9734" max="9734" width="7.7109375" style="266" customWidth="1"/>
    <col min="9735" max="9735" width="9.7109375" style="266" customWidth="1"/>
    <col min="9736" max="9736" width="7.28515625" style="266" customWidth="1"/>
    <col min="9737" max="9737" width="7.5703125" style="266" customWidth="1"/>
    <col min="9738" max="9738" width="7.7109375" style="266" customWidth="1"/>
    <col min="9739" max="9739" width="7" style="266" customWidth="1"/>
    <col min="9740" max="9740" width="7.7109375" style="266" customWidth="1"/>
    <col min="9741" max="9741" width="7" style="266" customWidth="1"/>
    <col min="9742" max="9984" width="11.5703125" style="266"/>
    <col min="9985" max="9985" width="11.42578125" style="266" customWidth="1"/>
    <col min="9986" max="9986" width="6.140625" style="266" customWidth="1"/>
    <col min="9987" max="9987" width="22" style="266" customWidth="1"/>
    <col min="9988" max="9988" width="9.28515625" style="266" customWidth="1"/>
    <col min="9989" max="9989" width="8.28515625" style="266" customWidth="1"/>
    <col min="9990" max="9990" width="7.7109375" style="266" customWidth="1"/>
    <col min="9991" max="9991" width="9.7109375" style="266" customWidth="1"/>
    <col min="9992" max="9992" width="7.28515625" style="266" customWidth="1"/>
    <col min="9993" max="9993" width="7.5703125" style="266" customWidth="1"/>
    <col min="9994" max="9994" width="7.7109375" style="266" customWidth="1"/>
    <col min="9995" max="9995" width="7" style="266" customWidth="1"/>
    <col min="9996" max="9996" width="7.7109375" style="266" customWidth="1"/>
    <col min="9997" max="9997" width="7" style="266" customWidth="1"/>
    <col min="9998" max="10240" width="11.5703125" style="266"/>
    <col min="10241" max="10241" width="11.42578125" style="266" customWidth="1"/>
    <col min="10242" max="10242" width="6.140625" style="266" customWidth="1"/>
    <col min="10243" max="10243" width="22" style="266" customWidth="1"/>
    <col min="10244" max="10244" width="9.28515625" style="266" customWidth="1"/>
    <col min="10245" max="10245" width="8.28515625" style="266" customWidth="1"/>
    <col min="10246" max="10246" width="7.7109375" style="266" customWidth="1"/>
    <col min="10247" max="10247" width="9.7109375" style="266" customWidth="1"/>
    <col min="10248" max="10248" width="7.28515625" style="266" customWidth="1"/>
    <col min="10249" max="10249" width="7.5703125" style="266" customWidth="1"/>
    <col min="10250" max="10250" width="7.7109375" style="266" customWidth="1"/>
    <col min="10251" max="10251" width="7" style="266" customWidth="1"/>
    <col min="10252" max="10252" width="7.7109375" style="266" customWidth="1"/>
    <col min="10253" max="10253" width="7" style="266" customWidth="1"/>
    <col min="10254" max="10496" width="11.5703125" style="266"/>
    <col min="10497" max="10497" width="11.42578125" style="266" customWidth="1"/>
    <col min="10498" max="10498" width="6.140625" style="266" customWidth="1"/>
    <col min="10499" max="10499" width="22" style="266" customWidth="1"/>
    <col min="10500" max="10500" width="9.28515625" style="266" customWidth="1"/>
    <col min="10501" max="10501" width="8.28515625" style="266" customWidth="1"/>
    <col min="10502" max="10502" width="7.7109375" style="266" customWidth="1"/>
    <col min="10503" max="10503" width="9.7109375" style="266" customWidth="1"/>
    <col min="10504" max="10504" width="7.28515625" style="266" customWidth="1"/>
    <col min="10505" max="10505" width="7.5703125" style="266" customWidth="1"/>
    <col min="10506" max="10506" width="7.7109375" style="266" customWidth="1"/>
    <col min="10507" max="10507" width="7" style="266" customWidth="1"/>
    <col min="10508" max="10508" width="7.7109375" style="266" customWidth="1"/>
    <col min="10509" max="10509" width="7" style="266" customWidth="1"/>
    <col min="10510" max="10752" width="11.5703125" style="266"/>
    <col min="10753" max="10753" width="11.42578125" style="266" customWidth="1"/>
    <col min="10754" max="10754" width="6.140625" style="266" customWidth="1"/>
    <col min="10755" max="10755" width="22" style="266" customWidth="1"/>
    <col min="10756" max="10756" width="9.28515625" style="266" customWidth="1"/>
    <col min="10757" max="10757" width="8.28515625" style="266" customWidth="1"/>
    <col min="10758" max="10758" width="7.7109375" style="266" customWidth="1"/>
    <col min="10759" max="10759" width="9.7109375" style="266" customWidth="1"/>
    <col min="10760" max="10760" width="7.28515625" style="266" customWidth="1"/>
    <col min="10761" max="10761" width="7.5703125" style="266" customWidth="1"/>
    <col min="10762" max="10762" width="7.7109375" style="266" customWidth="1"/>
    <col min="10763" max="10763" width="7" style="266" customWidth="1"/>
    <col min="10764" max="10764" width="7.7109375" style="266" customWidth="1"/>
    <col min="10765" max="10765" width="7" style="266" customWidth="1"/>
    <col min="10766" max="11008" width="11.5703125" style="266"/>
    <col min="11009" max="11009" width="11.42578125" style="266" customWidth="1"/>
    <col min="11010" max="11010" width="6.140625" style="266" customWidth="1"/>
    <col min="11011" max="11011" width="22" style="266" customWidth="1"/>
    <col min="11012" max="11012" width="9.28515625" style="266" customWidth="1"/>
    <col min="11013" max="11013" width="8.28515625" style="266" customWidth="1"/>
    <col min="11014" max="11014" width="7.7109375" style="266" customWidth="1"/>
    <col min="11015" max="11015" width="9.7109375" style="266" customWidth="1"/>
    <col min="11016" max="11016" width="7.28515625" style="266" customWidth="1"/>
    <col min="11017" max="11017" width="7.5703125" style="266" customWidth="1"/>
    <col min="11018" max="11018" width="7.7109375" style="266" customWidth="1"/>
    <col min="11019" max="11019" width="7" style="266" customWidth="1"/>
    <col min="11020" max="11020" width="7.7109375" style="266" customWidth="1"/>
    <col min="11021" max="11021" width="7" style="266" customWidth="1"/>
    <col min="11022" max="11264" width="11.5703125" style="266"/>
    <col min="11265" max="11265" width="11.42578125" style="266" customWidth="1"/>
    <col min="11266" max="11266" width="6.140625" style="266" customWidth="1"/>
    <col min="11267" max="11267" width="22" style="266" customWidth="1"/>
    <col min="11268" max="11268" width="9.28515625" style="266" customWidth="1"/>
    <col min="11269" max="11269" width="8.28515625" style="266" customWidth="1"/>
    <col min="11270" max="11270" width="7.7109375" style="266" customWidth="1"/>
    <col min="11271" max="11271" width="9.7109375" style="266" customWidth="1"/>
    <col min="11272" max="11272" width="7.28515625" style="266" customWidth="1"/>
    <col min="11273" max="11273" width="7.5703125" style="266" customWidth="1"/>
    <col min="11274" max="11274" width="7.7109375" style="266" customWidth="1"/>
    <col min="11275" max="11275" width="7" style="266" customWidth="1"/>
    <col min="11276" max="11276" width="7.7109375" style="266" customWidth="1"/>
    <col min="11277" max="11277" width="7" style="266" customWidth="1"/>
    <col min="11278" max="11520" width="11.5703125" style="266"/>
    <col min="11521" max="11521" width="11.42578125" style="266" customWidth="1"/>
    <col min="11522" max="11522" width="6.140625" style="266" customWidth="1"/>
    <col min="11523" max="11523" width="22" style="266" customWidth="1"/>
    <col min="11524" max="11524" width="9.28515625" style="266" customWidth="1"/>
    <col min="11525" max="11525" width="8.28515625" style="266" customWidth="1"/>
    <col min="11526" max="11526" width="7.7109375" style="266" customWidth="1"/>
    <col min="11527" max="11527" width="9.7109375" style="266" customWidth="1"/>
    <col min="11528" max="11528" width="7.28515625" style="266" customWidth="1"/>
    <col min="11529" max="11529" width="7.5703125" style="266" customWidth="1"/>
    <col min="11530" max="11530" width="7.7109375" style="266" customWidth="1"/>
    <col min="11531" max="11531" width="7" style="266" customWidth="1"/>
    <col min="11532" max="11532" width="7.7109375" style="266" customWidth="1"/>
    <col min="11533" max="11533" width="7" style="266" customWidth="1"/>
    <col min="11534" max="11776" width="11.5703125" style="266"/>
    <col min="11777" max="11777" width="11.42578125" style="266" customWidth="1"/>
    <col min="11778" max="11778" width="6.140625" style="266" customWidth="1"/>
    <col min="11779" max="11779" width="22" style="266" customWidth="1"/>
    <col min="11780" max="11780" width="9.28515625" style="266" customWidth="1"/>
    <col min="11781" max="11781" width="8.28515625" style="266" customWidth="1"/>
    <col min="11782" max="11782" width="7.7109375" style="266" customWidth="1"/>
    <col min="11783" max="11783" width="9.7109375" style="266" customWidth="1"/>
    <col min="11784" max="11784" width="7.28515625" style="266" customWidth="1"/>
    <col min="11785" max="11785" width="7.5703125" style="266" customWidth="1"/>
    <col min="11786" max="11786" width="7.7109375" style="266" customWidth="1"/>
    <col min="11787" max="11787" width="7" style="266" customWidth="1"/>
    <col min="11788" max="11788" width="7.7109375" style="266" customWidth="1"/>
    <col min="11789" max="11789" width="7" style="266" customWidth="1"/>
    <col min="11790" max="12032" width="11.5703125" style="266"/>
    <col min="12033" max="12033" width="11.42578125" style="266" customWidth="1"/>
    <col min="12034" max="12034" width="6.140625" style="266" customWidth="1"/>
    <col min="12035" max="12035" width="22" style="266" customWidth="1"/>
    <col min="12036" max="12036" width="9.28515625" style="266" customWidth="1"/>
    <col min="12037" max="12037" width="8.28515625" style="266" customWidth="1"/>
    <col min="12038" max="12038" width="7.7109375" style="266" customWidth="1"/>
    <col min="12039" max="12039" width="9.7109375" style="266" customWidth="1"/>
    <col min="12040" max="12040" width="7.28515625" style="266" customWidth="1"/>
    <col min="12041" max="12041" width="7.5703125" style="266" customWidth="1"/>
    <col min="12042" max="12042" width="7.7109375" style="266" customWidth="1"/>
    <col min="12043" max="12043" width="7" style="266" customWidth="1"/>
    <col min="12044" max="12044" width="7.7109375" style="266" customWidth="1"/>
    <col min="12045" max="12045" width="7" style="266" customWidth="1"/>
    <col min="12046" max="12288" width="11.5703125" style="266"/>
    <col min="12289" max="12289" width="11.42578125" style="266" customWidth="1"/>
    <col min="12290" max="12290" width="6.140625" style="266" customWidth="1"/>
    <col min="12291" max="12291" width="22" style="266" customWidth="1"/>
    <col min="12292" max="12292" width="9.28515625" style="266" customWidth="1"/>
    <col min="12293" max="12293" width="8.28515625" style="266" customWidth="1"/>
    <col min="12294" max="12294" width="7.7109375" style="266" customWidth="1"/>
    <col min="12295" max="12295" width="9.7109375" style="266" customWidth="1"/>
    <col min="12296" max="12296" width="7.28515625" style="266" customWidth="1"/>
    <col min="12297" max="12297" width="7.5703125" style="266" customWidth="1"/>
    <col min="12298" max="12298" width="7.7109375" style="266" customWidth="1"/>
    <col min="12299" max="12299" width="7" style="266" customWidth="1"/>
    <col min="12300" max="12300" width="7.7109375" style="266" customWidth="1"/>
    <col min="12301" max="12301" width="7" style="266" customWidth="1"/>
    <col min="12302" max="12544" width="11.5703125" style="266"/>
    <col min="12545" max="12545" width="11.42578125" style="266" customWidth="1"/>
    <col min="12546" max="12546" width="6.140625" style="266" customWidth="1"/>
    <col min="12547" max="12547" width="22" style="266" customWidth="1"/>
    <col min="12548" max="12548" width="9.28515625" style="266" customWidth="1"/>
    <col min="12549" max="12549" width="8.28515625" style="266" customWidth="1"/>
    <col min="12550" max="12550" width="7.7109375" style="266" customWidth="1"/>
    <col min="12551" max="12551" width="9.7109375" style="266" customWidth="1"/>
    <col min="12552" max="12552" width="7.28515625" style="266" customWidth="1"/>
    <col min="12553" max="12553" width="7.5703125" style="266" customWidth="1"/>
    <col min="12554" max="12554" width="7.7109375" style="266" customWidth="1"/>
    <col min="12555" max="12555" width="7" style="266" customWidth="1"/>
    <col min="12556" max="12556" width="7.7109375" style="266" customWidth="1"/>
    <col min="12557" max="12557" width="7" style="266" customWidth="1"/>
    <col min="12558" max="12800" width="11.5703125" style="266"/>
    <col min="12801" max="12801" width="11.42578125" style="266" customWidth="1"/>
    <col min="12802" max="12802" width="6.140625" style="266" customWidth="1"/>
    <col min="12803" max="12803" width="22" style="266" customWidth="1"/>
    <col min="12804" max="12804" width="9.28515625" style="266" customWidth="1"/>
    <col min="12805" max="12805" width="8.28515625" style="266" customWidth="1"/>
    <col min="12806" max="12806" width="7.7109375" style="266" customWidth="1"/>
    <col min="12807" max="12807" width="9.7109375" style="266" customWidth="1"/>
    <col min="12808" max="12808" width="7.28515625" style="266" customWidth="1"/>
    <col min="12809" max="12809" width="7.5703125" style="266" customWidth="1"/>
    <col min="12810" max="12810" width="7.7109375" style="266" customWidth="1"/>
    <col min="12811" max="12811" width="7" style="266" customWidth="1"/>
    <col min="12812" max="12812" width="7.7109375" style="266" customWidth="1"/>
    <col min="12813" max="12813" width="7" style="266" customWidth="1"/>
    <col min="12814" max="13056" width="11.5703125" style="266"/>
    <col min="13057" max="13057" width="11.42578125" style="266" customWidth="1"/>
    <col min="13058" max="13058" width="6.140625" style="266" customWidth="1"/>
    <col min="13059" max="13059" width="22" style="266" customWidth="1"/>
    <col min="13060" max="13060" width="9.28515625" style="266" customWidth="1"/>
    <col min="13061" max="13061" width="8.28515625" style="266" customWidth="1"/>
    <col min="13062" max="13062" width="7.7109375" style="266" customWidth="1"/>
    <col min="13063" max="13063" width="9.7109375" style="266" customWidth="1"/>
    <col min="13064" max="13064" width="7.28515625" style="266" customWidth="1"/>
    <col min="13065" max="13065" width="7.5703125" style="266" customWidth="1"/>
    <col min="13066" max="13066" width="7.7109375" style="266" customWidth="1"/>
    <col min="13067" max="13067" width="7" style="266" customWidth="1"/>
    <col min="13068" max="13068" width="7.7109375" style="266" customWidth="1"/>
    <col min="13069" max="13069" width="7" style="266" customWidth="1"/>
    <col min="13070" max="13312" width="11.5703125" style="266"/>
    <col min="13313" max="13313" width="11.42578125" style="266" customWidth="1"/>
    <col min="13314" max="13314" width="6.140625" style="266" customWidth="1"/>
    <col min="13315" max="13315" width="22" style="266" customWidth="1"/>
    <col min="13316" max="13316" width="9.28515625" style="266" customWidth="1"/>
    <col min="13317" max="13317" width="8.28515625" style="266" customWidth="1"/>
    <col min="13318" max="13318" width="7.7109375" style="266" customWidth="1"/>
    <col min="13319" max="13319" width="9.7109375" style="266" customWidth="1"/>
    <col min="13320" max="13320" width="7.28515625" style="266" customWidth="1"/>
    <col min="13321" max="13321" width="7.5703125" style="266" customWidth="1"/>
    <col min="13322" max="13322" width="7.7109375" style="266" customWidth="1"/>
    <col min="13323" max="13323" width="7" style="266" customWidth="1"/>
    <col min="13324" max="13324" width="7.7109375" style="266" customWidth="1"/>
    <col min="13325" max="13325" width="7" style="266" customWidth="1"/>
    <col min="13326" max="13568" width="11.5703125" style="266"/>
    <col min="13569" max="13569" width="11.42578125" style="266" customWidth="1"/>
    <col min="13570" max="13570" width="6.140625" style="266" customWidth="1"/>
    <col min="13571" max="13571" width="22" style="266" customWidth="1"/>
    <col min="13572" max="13572" width="9.28515625" style="266" customWidth="1"/>
    <col min="13573" max="13573" width="8.28515625" style="266" customWidth="1"/>
    <col min="13574" max="13574" width="7.7109375" style="266" customWidth="1"/>
    <col min="13575" max="13575" width="9.7109375" style="266" customWidth="1"/>
    <col min="13576" max="13576" width="7.28515625" style="266" customWidth="1"/>
    <col min="13577" max="13577" width="7.5703125" style="266" customWidth="1"/>
    <col min="13578" max="13578" width="7.7109375" style="266" customWidth="1"/>
    <col min="13579" max="13579" width="7" style="266" customWidth="1"/>
    <col min="13580" max="13580" width="7.7109375" style="266" customWidth="1"/>
    <col min="13581" max="13581" width="7" style="266" customWidth="1"/>
    <col min="13582" max="13824" width="11.5703125" style="266"/>
    <col min="13825" max="13825" width="11.42578125" style="266" customWidth="1"/>
    <col min="13826" max="13826" width="6.140625" style="266" customWidth="1"/>
    <col min="13827" max="13827" width="22" style="266" customWidth="1"/>
    <col min="13828" max="13828" width="9.28515625" style="266" customWidth="1"/>
    <col min="13829" max="13829" width="8.28515625" style="266" customWidth="1"/>
    <col min="13830" max="13830" width="7.7109375" style="266" customWidth="1"/>
    <col min="13831" max="13831" width="9.7109375" style="266" customWidth="1"/>
    <col min="13832" max="13832" width="7.28515625" style="266" customWidth="1"/>
    <col min="13833" max="13833" width="7.5703125" style="266" customWidth="1"/>
    <col min="13834" max="13834" width="7.7109375" style="266" customWidth="1"/>
    <col min="13835" max="13835" width="7" style="266" customWidth="1"/>
    <col min="13836" max="13836" width="7.7109375" style="266" customWidth="1"/>
    <col min="13837" max="13837" width="7" style="266" customWidth="1"/>
    <col min="13838" max="14080" width="11.5703125" style="266"/>
    <col min="14081" max="14081" width="11.42578125" style="266" customWidth="1"/>
    <col min="14082" max="14082" width="6.140625" style="266" customWidth="1"/>
    <col min="14083" max="14083" width="22" style="266" customWidth="1"/>
    <col min="14084" max="14084" width="9.28515625" style="266" customWidth="1"/>
    <col min="14085" max="14085" width="8.28515625" style="266" customWidth="1"/>
    <col min="14086" max="14086" width="7.7109375" style="266" customWidth="1"/>
    <col min="14087" max="14087" width="9.7109375" style="266" customWidth="1"/>
    <col min="14088" max="14088" width="7.28515625" style="266" customWidth="1"/>
    <col min="14089" max="14089" width="7.5703125" style="266" customWidth="1"/>
    <col min="14090" max="14090" width="7.7109375" style="266" customWidth="1"/>
    <col min="14091" max="14091" width="7" style="266" customWidth="1"/>
    <col min="14092" max="14092" width="7.7109375" style="266" customWidth="1"/>
    <col min="14093" max="14093" width="7" style="266" customWidth="1"/>
    <col min="14094" max="14336" width="11.5703125" style="266"/>
    <col min="14337" max="14337" width="11.42578125" style="266" customWidth="1"/>
    <col min="14338" max="14338" width="6.140625" style="266" customWidth="1"/>
    <col min="14339" max="14339" width="22" style="266" customWidth="1"/>
    <col min="14340" max="14340" width="9.28515625" style="266" customWidth="1"/>
    <col min="14341" max="14341" width="8.28515625" style="266" customWidth="1"/>
    <col min="14342" max="14342" width="7.7109375" style="266" customWidth="1"/>
    <col min="14343" max="14343" width="9.7109375" style="266" customWidth="1"/>
    <col min="14344" max="14344" width="7.28515625" style="266" customWidth="1"/>
    <col min="14345" max="14345" width="7.5703125" style="266" customWidth="1"/>
    <col min="14346" max="14346" width="7.7109375" style="266" customWidth="1"/>
    <col min="14347" max="14347" width="7" style="266" customWidth="1"/>
    <col min="14348" max="14348" width="7.7109375" style="266" customWidth="1"/>
    <col min="14349" max="14349" width="7" style="266" customWidth="1"/>
    <col min="14350" max="14592" width="11.5703125" style="266"/>
    <col min="14593" max="14593" width="11.42578125" style="266" customWidth="1"/>
    <col min="14594" max="14594" width="6.140625" style="266" customWidth="1"/>
    <col min="14595" max="14595" width="22" style="266" customWidth="1"/>
    <col min="14596" max="14596" width="9.28515625" style="266" customWidth="1"/>
    <col min="14597" max="14597" width="8.28515625" style="266" customWidth="1"/>
    <col min="14598" max="14598" width="7.7109375" style="266" customWidth="1"/>
    <col min="14599" max="14599" width="9.7109375" style="266" customWidth="1"/>
    <col min="14600" max="14600" width="7.28515625" style="266" customWidth="1"/>
    <col min="14601" max="14601" width="7.5703125" style="266" customWidth="1"/>
    <col min="14602" max="14602" width="7.7109375" style="266" customWidth="1"/>
    <col min="14603" max="14603" width="7" style="266" customWidth="1"/>
    <col min="14604" max="14604" width="7.7109375" style="266" customWidth="1"/>
    <col min="14605" max="14605" width="7" style="266" customWidth="1"/>
    <col min="14606" max="14848" width="11.5703125" style="266"/>
    <col min="14849" max="14849" width="11.42578125" style="266" customWidth="1"/>
    <col min="14850" max="14850" width="6.140625" style="266" customWidth="1"/>
    <col min="14851" max="14851" width="22" style="266" customWidth="1"/>
    <col min="14852" max="14852" width="9.28515625" style="266" customWidth="1"/>
    <col min="14853" max="14853" width="8.28515625" style="266" customWidth="1"/>
    <col min="14854" max="14854" width="7.7109375" style="266" customWidth="1"/>
    <col min="14855" max="14855" width="9.7109375" style="266" customWidth="1"/>
    <col min="14856" max="14856" width="7.28515625" style="266" customWidth="1"/>
    <col min="14857" max="14857" width="7.5703125" style="266" customWidth="1"/>
    <col min="14858" max="14858" width="7.7109375" style="266" customWidth="1"/>
    <col min="14859" max="14859" width="7" style="266" customWidth="1"/>
    <col min="14860" max="14860" width="7.7109375" style="266" customWidth="1"/>
    <col min="14861" max="14861" width="7" style="266" customWidth="1"/>
    <col min="14862" max="15104" width="11.5703125" style="266"/>
    <col min="15105" max="15105" width="11.42578125" style="266" customWidth="1"/>
    <col min="15106" max="15106" width="6.140625" style="266" customWidth="1"/>
    <col min="15107" max="15107" width="22" style="266" customWidth="1"/>
    <col min="15108" max="15108" width="9.28515625" style="266" customWidth="1"/>
    <col min="15109" max="15109" width="8.28515625" style="266" customWidth="1"/>
    <col min="15110" max="15110" width="7.7109375" style="266" customWidth="1"/>
    <col min="15111" max="15111" width="9.7109375" style="266" customWidth="1"/>
    <col min="15112" max="15112" width="7.28515625" style="266" customWidth="1"/>
    <col min="15113" max="15113" width="7.5703125" style="266" customWidth="1"/>
    <col min="15114" max="15114" width="7.7109375" style="266" customWidth="1"/>
    <col min="15115" max="15115" width="7" style="266" customWidth="1"/>
    <col min="15116" max="15116" width="7.7109375" style="266" customWidth="1"/>
    <col min="15117" max="15117" width="7" style="266" customWidth="1"/>
    <col min="15118" max="15360" width="11.5703125" style="266"/>
    <col min="15361" max="15361" width="11.42578125" style="266" customWidth="1"/>
    <col min="15362" max="15362" width="6.140625" style="266" customWidth="1"/>
    <col min="15363" max="15363" width="22" style="266" customWidth="1"/>
    <col min="15364" max="15364" width="9.28515625" style="266" customWidth="1"/>
    <col min="15365" max="15365" width="8.28515625" style="266" customWidth="1"/>
    <col min="15366" max="15366" width="7.7109375" style="266" customWidth="1"/>
    <col min="15367" max="15367" width="9.7109375" style="266" customWidth="1"/>
    <col min="15368" max="15368" width="7.28515625" style="266" customWidth="1"/>
    <col min="15369" max="15369" width="7.5703125" style="266" customWidth="1"/>
    <col min="15370" max="15370" width="7.7109375" style="266" customWidth="1"/>
    <col min="15371" max="15371" width="7" style="266" customWidth="1"/>
    <col min="15372" max="15372" width="7.7109375" style="266" customWidth="1"/>
    <col min="15373" max="15373" width="7" style="266" customWidth="1"/>
    <col min="15374" max="15616" width="11.5703125" style="266"/>
    <col min="15617" max="15617" width="11.42578125" style="266" customWidth="1"/>
    <col min="15618" max="15618" width="6.140625" style="266" customWidth="1"/>
    <col min="15619" max="15619" width="22" style="266" customWidth="1"/>
    <col min="15620" max="15620" width="9.28515625" style="266" customWidth="1"/>
    <col min="15621" max="15621" width="8.28515625" style="266" customWidth="1"/>
    <col min="15622" max="15622" width="7.7109375" style="266" customWidth="1"/>
    <col min="15623" max="15623" width="9.7109375" style="266" customWidth="1"/>
    <col min="15624" max="15624" width="7.28515625" style="266" customWidth="1"/>
    <col min="15625" max="15625" width="7.5703125" style="266" customWidth="1"/>
    <col min="15626" max="15626" width="7.7109375" style="266" customWidth="1"/>
    <col min="15627" max="15627" width="7" style="266" customWidth="1"/>
    <col min="15628" max="15628" width="7.7109375" style="266" customWidth="1"/>
    <col min="15629" max="15629" width="7" style="266" customWidth="1"/>
    <col min="15630" max="15872" width="11.5703125" style="266"/>
    <col min="15873" max="15873" width="11.42578125" style="266" customWidth="1"/>
    <col min="15874" max="15874" width="6.140625" style="266" customWidth="1"/>
    <col min="15875" max="15875" width="22" style="266" customWidth="1"/>
    <col min="15876" max="15876" width="9.28515625" style="266" customWidth="1"/>
    <col min="15877" max="15877" width="8.28515625" style="266" customWidth="1"/>
    <col min="15878" max="15878" width="7.7109375" style="266" customWidth="1"/>
    <col min="15879" max="15879" width="9.7109375" style="266" customWidth="1"/>
    <col min="15880" max="15880" width="7.28515625" style="266" customWidth="1"/>
    <col min="15881" max="15881" width="7.5703125" style="266" customWidth="1"/>
    <col min="15882" max="15882" width="7.7109375" style="266" customWidth="1"/>
    <col min="15883" max="15883" width="7" style="266" customWidth="1"/>
    <col min="15884" max="15884" width="7.7109375" style="266" customWidth="1"/>
    <col min="15885" max="15885" width="7" style="266" customWidth="1"/>
    <col min="15886" max="16128" width="11.5703125" style="266"/>
    <col min="16129" max="16129" width="11.42578125" style="266" customWidth="1"/>
    <col min="16130" max="16130" width="6.140625" style="266" customWidth="1"/>
    <col min="16131" max="16131" width="22" style="266" customWidth="1"/>
    <col min="16132" max="16132" width="9.28515625" style="266" customWidth="1"/>
    <col min="16133" max="16133" width="8.28515625" style="266" customWidth="1"/>
    <col min="16134" max="16134" width="7.7109375" style="266" customWidth="1"/>
    <col min="16135" max="16135" width="9.7109375" style="266" customWidth="1"/>
    <col min="16136" max="16136" width="7.28515625" style="266" customWidth="1"/>
    <col min="16137" max="16137" width="7.5703125" style="266" customWidth="1"/>
    <col min="16138" max="16138" width="7.7109375" style="266" customWidth="1"/>
    <col min="16139" max="16139" width="7" style="266" customWidth="1"/>
    <col min="16140" max="16140" width="7.7109375" style="266" customWidth="1"/>
    <col min="16141" max="16141" width="7" style="266" customWidth="1"/>
    <col min="16142" max="16384" width="11.5703125" style="266"/>
  </cols>
  <sheetData>
    <row r="1" spans="1:15" ht="26.25" customHeight="1" x14ac:dyDescent="0.4">
      <c r="A1" s="340" t="s">
        <v>876</v>
      </c>
      <c r="B1" s="341"/>
      <c r="C1" s="342"/>
      <c r="F1" s="343" t="s">
        <v>1232</v>
      </c>
      <c r="G1" s="344"/>
      <c r="H1" s="344"/>
      <c r="I1" s="344"/>
      <c r="J1" s="344"/>
      <c r="K1" s="344"/>
      <c r="L1" s="345"/>
    </row>
    <row r="2" spans="1:15" ht="21" customHeight="1" x14ac:dyDescent="0.35">
      <c r="A2" s="346" t="s">
        <v>1108</v>
      </c>
      <c r="B2" s="347"/>
      <c r="C2" s="291" t="s">
        <v>1109</v>
      </c>
      <c r="F2" s="346" t="s">
        <v>1108</v>
      </c>
      <c r="G2" s="347"/>
      <c r="H2" s="348" t="s">
        <v>1120</v>
      </c>
      <c r="I2" s="348"/>
      <c r="J2" s="348"/>
      <c r="K2" s="348"/>
      <c r="L2" s="349"/>
    </row>
    <row r="3" spans="1:15" ht="21.75" customHeight="1" x14ac:dyDescent="0.35">
      <c r="A3" s="346" t="s">
        <v>1110</v>
      </c>
      <c r="B3" s="347"/>
      <c r="C3" s="291" t="s">
        <v>1111</v>
      </c>
      <c r="F3" s="346" t="s">
        <v>1110</v>
      </c>
      <c r="G3" s="347"/>
      <c r="H3" s="348" t="s">
        <v>1121</v>
      </c>
      <c r="I3" s="348"/>
      <c r="J3" s="348"/>
      <c r="K3" s="348"/>
      <c r="L3" s="349"/>
    </row>
    <row r="4" spans="1:15" ht="21.75" thickBot="1" x14ac:dyDescent="0.4">
      <c r="A4" s="327" t="s">
        <v>1112</v>
      </c>
      <c r="B4" s="328"/>
      <c r="C4" s="292" t="s">
        <v>1113</v>
      </c>
      <c r="F4" s="327" t="s">
        <v>1112</v>
      </c>
      <c r="G4" s="328"/>
      <c r="H4" s="329" t="s">
        <v>1233</v>
      </c>
      <c r="I4" s="329"/>
      <c r="J4" s="329"/>
      <c r="K4" s="329"/>
      <c r="L4" s="330"/>
    </row>
    <row r="5" spans="1:15" ht="7.5" customHeight="1" thickBot="1" x14ac:dyDescent="0.4">
      <c r="A5" s="267"/>
      <c r="C5" s="267"/>
    </row>
    <row r="6" spans="1:15" ht="35.450000000000003" customHeight="1" thickBot="1" x14ac:dyDescent="0.25">
      <c r="A6" s="331" t="s">
        <v>1107</v>
      </c>
      <c r="B6" s="332"/>
      <c r="C6" s="333"/>
      <c r="F6" s="334" t="s">
        <v>1114</v>
      </c>
      <c r="G6" s="335"/>
      <c r="H6" s="336"/>
      <c r="I6" s="337">
        <f ca="1">+TODAY()</f>
        <v>46099</v>
      </c>
      <c r="J6" s="338"/>
      <c r="K6" s="338"/>
      <c r="L6" s="338"/>
      <c r="M6" s="339"/>
    </row>
    <row r="7" spans="1:15" ht="3" customHeight="1" thickBot="1" x14ac:dyDescent="0.25"/>
    <row r="8" spans="1:15" ht="42.75" customHeight="1" thickBot="1" x14ac:dyDescent="0.25">
      <c r="A8" s="311" t="s">
        <v>1115</v>
      </c>
      <c r="B8" s="311"/>
      <c r="C8" s="290" t="s">
        <v>28</v>
      </c>
      <c r="D8" s="268" t="s">
        <v>1116</v>
      </c>
      <c r="E8" s="288">
        <v>69587</v>
      </c>
      <c r="F8" s="311" t="s">
        <v>1117</v>
      </c>
      <c r="G8" s="311"/>
      <c r="H8" s="311"/>
      <c r="I8" s="312" t="s">
        <v>1111</v>
      </c>
      <c r="J8" s="313"/>
      <c r="K8" s="313"/>
      <c r="L8" s="313"/>
      <c r="M8" s="314"/>
    </row>
    <row r="9" spans="1:15" ht="7.5" customHeight="1" thickBot="1" x14ac:dyDescent="0.4">
      <c r="A9" s="267"/>
      <c r="C9" s="267"/>
    </row>
    <row r="10" spans="1:15" ht="39.6" customHeight="1" thickBot="1" x14ac:dyDescent="0.25">
      <c r="A10" s="315" t="s">
        <v>1234</v>
      </c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7"/>
    </row>
    <row r="11" spans="1:15" ht="6" customHeight="1" thickBot="1" x14ac:dyDescent="0.4">
      <c r="A11" s="267"/>
      <c r="C11" s="267"/>
    </row>
    <row r="12" spans="1:15" ht="27" thickBot="1" x14ac:dyDescent="0.25">
      <c r="A12" s="318" t="s">
        <v>1118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</row>
    <row r="13" spans="1:15" ht="38.25" thickBot="1" x14ac:dyDescent="0.25">
      <c r="A13" s="269" t="s">
        <v>27</v>
      </c>
      <c r="B13" s="270" t="s">
        <v>1119</v>
      </c>
      <c r="C13" s="270" t="s">
        <v>25</v>
      </c>
      <c r="D13" s="271" t="s">
        <v>22</v>
      </c>
      <c r="E13" s="272" t="s">
        <v>1235</v>
      </c>
      <c r="F13" s="272" t="s">
        <v>1236</v>
      </c>
      <c r="G13" s="270" t="s">
        <v>1237</v>
      </c>
      <c r="H13" s="270" t="s">
        <v>1238</v>
      </c>
      <c r="I13" s="270" t="s">
        <v>1239</v>
      </c>
      <c r="J13" s="270" t="s">
        <v>1238</v>
      </c>
      <c r="K13" s="270" t="s">
        <v>1239</v>
      </c>
      <c r="L13" s="270" t="s">
        <v>1238</v>
      </c>
      <c r="M13" s="270" t="s">
        <v>1239</v>
      </c>
    </row>
    <row r="14" spans="1:15" ht="33.6" customHeight="1" x14ac:dyDescent="0.2">
      <c r="A14" s="321" cm="1">
        <f t="array" ref="A14">+IFERROR(INDEX('Relevamiento 11-03'!$D:$D,MATCH(1,('Relevamiento 11-03'!$C:$C=$B14)*('Relevamiento 11-03'!$A:$A="Corrugadora"),0)),"")</f>
        <v>1104700</v>
      </c>
      <c r="B14" s="323">
        <v>1</v>
      </c>
      <c r="C14" s="324" cm="1">
        <f t="array" ref="C14">+IFERROR(INDEX('Relevamiento 11-03'!$F:$F,MATCH(1,('Relevamiento 11-03'!$C:$C=$B14)*('Relevamiento 11-03'!$A:$A="Corrugadora"),0)),"")</f>
        <v>7</v>
      </c>
      <c r="D14" s="325" cm="1">
        <f t="array" ref="D14">+IFERROR(INDEX('Relevamiento 11-03'!$G:$G,MATCH(1,('Relevamiento 11-03'!$C:$C=$B14)*('Relevamiento 11-03'!$A:$A="Corrugadora"),0)),"")</f>
        <v>1000</v>
      </c>
      <c r="E14" s="273" t="str">
        <f>+IF(E13="LK","CH",IF(D14="","",IF(D14&gt;0,"LK","CH")))</f>
        <v>LK</v>
      </c>
      <c r="F14" s="273">
        <f>+IF(OR(E14="LK"),ROUNDUP(D14*(VLOOKUP(B14,'Relevamiento 11-03'!$C:$AE,29,0))/25,0)*25,IF(E14="CH",D13-F13,""))</f>
        <v>700</v>
      </c>
      <c r="G14" s="323"/>
      <c r="H14" s="274"/>
      <c r="I14" s="275"/>
      <c r="J14" s="274"/>
      <c r="K14" s="275"/>
      <c r="L14" s="274"/>
      <c r="M14" s="276"/>
      <c r="O14" s="277"/>
    </row>
    <row r="15" spans="1:15" ht="33.6" customHeight="1" x14ac:dyDescent="0.2">
      <c r="A15" s="322"/>
      <c r="B15" s="295"/>
      <c r="C15" s="296"/>
      <c r="D15" s="326"/>
      <c r="E15" s="278" t="str">
        <f t="shared" ref="E15:E19" si="0">+IF(E14="LK","CH",IF(D15="","",IF(D15&gt;0,"LK","CH")))</f>
        <v>CH</v>
      </c>
      <c r="F15" s="278">
        <f>+IF(OR(E15="LK"),ROUNDUP(D15*(VLOOKUP(B15,'Relevamiento 11-03'!$C:$AE,29,0))/25,0)*25,IF(E15="CH",D14-F14,""))</f>
        <v>300</v>
      </c>
      <c r="G15" s="295"/>
      <c r="H15" s="279"/>
      <c r="I15" s="280"/>
      <c r="J15" s="279"/>
      <c r="K15" s="280"/>
      <c r="L15" s="279"/>
      <c r="M15" s="281"/>
    </row>
    <row r="16" spans="1:15" ht="33.6" customHeight="1" x14ac:dyDescent="0.2">
      <c r="A16" s="300" cm="1">
        <f t="array" ref="A16">+IFERROR(INDEX('Relevamiento 11-03'!$D:$D,MATCH(1,('Relevamiento 11-03'!$C:$C=$B16)*('Relevamiento 11-03'!$A:$A="Corrugadora"),0)),"")</f>
        <v>1113700</v>
      </c>
      <c r="B16" s="295">
        <f>+B14+1</f>
        <v>2</v>
      </c>
      <c r="C16" s="296" cm="1">
        <f t="array" ref="C16">+IFERROR(INDEX('Relevamiento 11-03'!$F:$F,MATCH(1,('Relevamiento 11-03'!$C:$C=$B16)*('Relevamiento 11-03'!$A:$A="Corrugadora"),0)),"")</f>
        <v>29</v>
      </c>
      <c r="D16" s="295" cm="1">
        <f t="array" ref="D16">+IFERROR(INDEX('Relevamiento 11-03'!$G:$G,MATCH(1,('Relevamiento 11-03'!$C:$C=$B16)*('Relevamiento 11-03'!$A:$A="Corrugadora"),0)),"")</f>
        <v>15500</v>
      </c>
      <c r="E16" s="278" t="str">
        <f t="shared" si="0"/>
        <v>LK</v>
      </c>
      <c r="F16" s="278">
        <f>+IF(OR(E16="LK"),ROUNDUP(D16*(VLOOKUP(B16,'Relevamiento 11-03'!$C:$AE,29,0))/25,0)*25,IF(E16="CH",D15-F15,""))</f>
        <v>10850</v>
      </c>
      <c r="G16" s="278"/>
      <c r="H16" s="280"/>
      <c r="I16" s="280"/>
      <c r="J16" s="280"/>
      <c r="K16" s="280"/>
      <c r="L16" s="280"/>
      <c r="M16" s="281"/>
    </row>
    <row r="17" spans="1:13" ht="33.6" customHeight="1" x14ac:dyDescent="0.2">
      <c r="A17" s="300"/>
      <c r="B17" s="295"/>
      <c r="C17" s="296"/>
      <c r="D17" s="295"/>
      <c r="E17" s="278" t="str">
        <f t="shared" si="0"/>
        <v>CH</v>
      </c>
      <c r="F17" s="278">
        <f>+IF(OR(E17="LK"),ROUNDUP(D17*(VLOOKUP(B17,'Relevamiento 11-03'!$C:$AE,29,0))/25,0)*25,IF(E17="CH",D16-F16,""))</f>
        <v>4650</v>
      </c>
      <c r="G17" s="278"/>
      <c r="H17" s="280"/>
      <c r="I17" s="280"/>
      <c r="J17" s="280"/>
      <c r="K17" s="280"/>
      <c r="L17" s="280"/>
      <c r="M17" s="281"/>
    </row>
    <row r="18" spans="1:13" ht="33.6" customHeight="1" x14ac:dyDescent="0.2">
      <c r="A18" s="300" cm="1">
        <f t="array" ref="A18">+IFERROR(INDEX('Relevamiento 11-03'!$D:$D,MATCH(1,('Relevamiento 11-03'!$C:$C=$B18)*('Relevamiento 11-03'!$A:$A="Corrugadora"),0)),"")</f>
        <v>1101700</v>
      </c>
      <c r="B18" s="295">
        <f>+B16+1</f>
        <v>3</v>
      </c>
      <c r="C18" s="296" cm="1">
        <f t="array" ref="C18">+IFERROR(INDEX('Relevamiento 11-03'!$F:$F,MATCH(1,('Relevamiento 11-03'!$C:$C=$B18)*('Relevamiento 11-03'!$A:$A="Corrugadora"),0)),"")</f>
        <v>2</v>
      </c>
      <c r="D18" s="295" cm="1">
        <f t="array" ref="D18">+IFERROR(INDEX('Relevamiento 11-03'!$G:$G,MATCH(1,('Relevamiento 11-03'!$C:$C=$B18)*('Relevamiento 11-03'!$A:$A="Corrugadora"),0)),"")</f>
        <v>7000</v>
      </c>
      <c r="E18" s="278" t="str">
        <f t="shared" si="0"/>
        <v>LK</v>
      </c>
      <c r="F18" s="278">
        <f>+IF(OR(E18="LK"),ROUNDUP(D18*(VLOOKUP(B18,'Relevamiento 11-03'!$C:$AE,29,0))/25,0)*25,IF(E18="CH",D17-F17,""))</f>
        <v>4900</v>
      </c>
      <c r="G18" s="295"/>
      <c r="H18" s="280"/>
      <c r="I18" s="280"/>
      <c r="J18" s="280"/>
      <c r="K18" s="280"/>
      <c r="L18" s="280"/>
      <c r="M18" s="281"/>
    </row>
    <row r="19" spans="1:13" ht="33.6" customHeight="1" x14ac:dyDescent="0.2">
      <c r="A19" s="300"/>
      <c r="B19" s="295"/>
      <c r="C19" s="296"/>
      <c r="D19" s="295"/>
      <c r="E19" s="278" t="str">
        <f t="shared" si="0"/>
        <v>CH</v>
      </c>
      <c r="F19" s="278">
        <f>+IF(OR(E19="LK"),ROUNDUP(D19*(VLOOKUP(B19,'Relevamiento 11-03'!$C:$AE,29,0))/25,0)*25,IF(E19="CH",D18-F18,""))</f>
        <v>2100</v>
      </c>
      <c r="G19" s="295"/>
      <c r="H19" s="280"/>
      <c r="I19" s="280"/>
      <c r="J19" s="280"/>
      <c r="K19" s="280"/>
      <c r="L19" s="280"/>
      <c r="M19" s="281"/>
    </row>
    <row r="20" spans="1:13" ht="33.6" customHeight="1" x14ac:dyDescent="0.2">
      <c r="A20" s="300" cm="1">
        <f t="array" ref="A20">+IFERROR(INDEX('Relevamiento 11-03'!$D:$D,MATCH(1,('Relevamiento 11-03'!$C:$C=$B20)*('Relevamiento 11-03'!$A:$A="Corrugadora"),0)),"")</f>
        <v>1110700</v>
      </c>
      <c r="B20" s="295">
        <f>+B18+1</f>
        <v>4</v>
      </c>
      <c r="C20" s="296" cm="1">
        <f t="array" ref="C20">+IFERROR(INDEX('Relevamiento 11-03'!$F:$F,MATCH(1,('Relevamiento 11-03'!$C:$C=$B20)*('Relevamiento 11-03'!$A:$A="Corrugadora"),0)),"")</f>
        <v>22</v>
      </c>
      <c r="D20" s="295" cm="1">
        <f t="array" ref="D20">+IFERROR(INDEX('Relevamiento 11-03'!$G:$G,MATCH(1,('Relevamiento 11-03'!$C:$C=$B20)*('Relevamiento 11-03'!$A:$A="Corrugadora"),0)),"")</f>
        <v>10000</v>
      </c>
      <c r="E20" s="278" t="str">
        <f>+IF(E19="LK","CH",IF(D20="","",IF(D20&gt;0,"LK","CH")))</f>
        <v>LK</v>
      </c>
      <c r="F20" s="278">
        <f>+IF(OR(E20="LK"),ROUNDUP(D20*(VLOOKUP(B20,'Relevamiento 11-03'!$C:$AE,29,0))/25,0)*25,IF(E20="CH",D19-F19,""))</f>
        <v>7000</v>
      </c>
      <c r="G20" s="278"/>
      <c r="H20" s="280"/>
      <c r="I20" s="280"/>
      <c r="J20" s="280"/>
      <c r="K20" s="280"/>
      <c r="L20" s="280"/>
      <c r="M20" s="281"/>
    </row>
    <row r="21" spans="1:13" ht="33.6" customHeight="1" x14ac:dyDescent="0.2">
      <c r="A21" s="300"/>
      <c r="B21" s="295"/>
      <c r="C21" s="296"/>
      <c r="D21" s="295"/>
      <c r="E21" s="278" t="str">
        <f t="shared" ref="E21" si="1">+IF(E20="LK","CH",IF(D21="","",IF(D21&gt;0,"LK","CH")))</f>
        <v>CH</v>
      </c>
      <c r="F21" s="278">
        <f>+IF(OR(E21="LK"),ROUNDUP(D21*(VLOOKUP(B21,'Relevamiento 11-03'!$C:$AE,29,0))/25,0)*25,IF(E21="CH",D20-F20,""))</f>
        <v>3000</v>
      </c>
      <c r="G21" s="278"/>
      <c r="H21" s="280"/>
      <c r="I21" s="280"/>
      <c r="J21" s="280"/>
      <c r="K21" s="280"/>
      <c r="L21" s="280"/>
      <c r="M21" s="281"/>
    </row>
    <row r="22" spans="1:13" ht="33.6" customHeight="1" x14ac:dyDescent="0.2">
      <c r="A22" s="300" t="str" cm="1">
        <f t="array" ref="A22">+IFERROR(INDEX('Relevamiento 11-03'!$D:$D,MATCH(1,('Relevamiento 11-03'!$C:$C=$B22)*('Relevamiento 11-03'!$A:$A="Corrugadora"),0)),"")</f>
        <v/>
      </c>
      <c r="B22" s="295">
        <f>+B20+1</f>
        <v>5</v>
      </c>
      <c r="C22" s="296" t="str" cm="1">
        <f t="array" ref="C22">+IFERROR(INDEX('Relevamiento 11-03'!$F:$F,MATCH(1,('Relevamiento 11-03'!$C:$C=$B22)*('Relevamiento 11-03'!$A:$A="Corrugadora"),0)),"")</f>
        <v/>
      </c>
      <c r="D22" s="295" t="str" cm="1">
        <f t="array" ref="D22">+IFERROR(INDEX('Relevamiento 11-03'!$G:$G,MATCH(1,('Relevamiento 11-03'!$C:$C=$B22)*('Relevamiento 11-03'!$A:$A="Corrugadora"),0)),"")</f>
        <v/>
      </c>
      <c r="E22" s="278" t="str">
        <f>+IF(E21="LK","CH",IF(D22="","",IF(D22&gt;0,"LK","CH")))</f>
        <v/>
      </c>
      <c r="F22" s="278" t="str">
        <f>+IF(OR(E22="LK"),ROUNDUP(D22*(VLOOKUP(B22,'Relevamiento 11-03'!$C:$AE,29,0))/25,0)*25,IF(E22="CH",D21-F21,""))</f>
        <v/>
      </c>
      <c r="G22" s="295"/>
      <c r="H22" s="280"/>
      <c r="I22" s="280"/>
      <c r="J22" s="280"/>
      <c r="K22" s="280"/>
      <c r="L22" s="280"/>
      <c r="M22" s="281"/>
    </row>
    <row r="23" spans="1:13" ht="33.6" customHeight="1" x14ac:dyDescent="0.2">
      <c r="A23" s="300"/>
      <c r="B23" s="295"/>
      <c r="C23" s="296"/>
      <c r="D23" s="295"/>
      <c r="E23" s="278" t="str">
        <f t="shared" ref="E23" si="2">+IF(E22="LK","CH",IF(D23="","",IF(D23&gt;0,"LK","CH")))</f>
        <v/>
      </c>
      <c r="F23" s="278" t="str">
        <f>+IF(OR(E23="LK"),ROUNDUP(D23*(VLOOKUP(B23,'Relevamiento 11-03'!$C:$AE,29,0))/25,0)*25,IF(E23="CH",D22-F22,""))</f>
        <v/>
      </c>
      <c r="G23" s="295"/>
      <c r="H23" s="280"/>
      <c r="I23" s="280"/>
      <c r="J23" s="280"/>
      <c r="K23" s="280"/>
      <c r="L23" s="280"/>
      <c r="M23" s="281"/>
    </row>
    <row r="24" spans="1:13" ht="33.6" customHeight="1" x14ac:dyDescent="0.2">
      <c r="A24" s="300" t="str" cm="1">
        <f t="array" ref="A24">+IFERROR(INDEX('Relevamiento 11-03'!$D:$D,MATCH(1,('Relevamiento 11-03'!$C:$C=$B24)*('Relevamiento 11-03'!$A:$A="Corrugadora"),0)),"")</f>
        <v/>
      </c>
      <c r="B24" s="295">
        <f>+B22+1</f>
        <v>6</v>
      </c>
      <c r="C24" s="296" t="str" cm="1">
        <f t="array" ref="C24">+IFERROR(INDEX('Relevamiento 11-03'!$F:$F,MATCH(1,('Relevamiento 11-03'!$C:$C=$B24)*('Relevamiento 11-03'!$A:$A="Corrugadora"),0)),"")</f>
        <v/>
      </c>
      <c r="D24" s="295" t="str" cm="1">
        <f t="array" ref="D24">+IFERROR(INDEX('Relevamiento 11-03'!$G:$G,MATCH(1,('Relevamiento 11-03'!$C:$C=$B24)*('Relevamiento 11-03'!$A:$A="Corrugadora"),0)),"")</f>
        <v/>
      </c>
      <c r="E24" s="278" t="str">
        <f>+IF(E23="LK","CH",IF(D24="","",IF(D24&gt;0,"LK","CH")))</f>
        <v/>
      </c>
      <c r="F24" s="278" t="str">
        <f>+IF(OR(E24="LK"),ROUNDUP(D24*(VLOOKUP(B24,'[1]Pedido VACIO'!$E$1:$AT$65536,42,0))/25,0)*25,IF(E24="CH",D23-F23,""))</f>
        <v/>
      </c>
      <c r="G24" s="295"/>
      <c r="H24" s="280"/>
      <c r="I24" s="280"/>
      <c r="J24" s="280"/>
      <c r="K24" s="280"/>
      <c r="L24" s="280"/>
      <c r="M24" s="281"/>
    </row>
    <row r="25" spans="1:13" ht="33.6" customHeight="1" x14ac:dyDescent="0.2">
      <c r="A25" s="300"/>
      <c r="B25" s="295"/>
      <c r="C25" s="296"/>
      <c r="D25" s="295"/>
      <c r="E25" s="278" t="str">
        <f>+IF(E24="LK","CH",IF(D25="","",IF(D25&gt;0,"LK","CH")))</f>
        <v/>
      </c>
      <c r="F25" s="278" t="str">
        <f>+IF(OR(E25="LK"),ROUNDUP(D25*(VLOOKUP(B25,'[1]Pedido VACIO'!$E$1:$AT$65536,42,0))/25,0)*25,IF(E25="CH",D24-F24,""))</f>
        <v/>
      </c>
      <c r="G25" s="295"/>
      <c r="H25" s="280"/>
      <c r="I25" s="280"/>
      <c r="J25" s="280"/>
      <c r="K25" s="280"/>
      <c r="L25" s="280"/>
      <c r="M25" s="281"/>
    </row>
    <row r="26" spans="1:13" ht="33.6" customHeight="1" x14ac:dyDescent="0.2">
      <c r="A26" s="300" t="str" cm="1">
        <f t="array" ref="A26">+IFERROR(INDEX('Relevamiento 11-03'!$D:$D,MATCH(1,('Relevamiento 11-03'!$C:$C=$B26)*('Relevamiento 11-03'!$A:$A="Corrugadora"),0)),"")</f>
        <v/>
      </c>
      <c r="B26" s="295">
        <f>+B24+1</f>
        <v>7</v>
      </c>
      <c r="C26" s="296" t="str" cm="1">
        <f t="array" ref="C26">+IFERROR(INDEX('Relevamiento 11-03'!$F:$F,MATCH(1,('Relevamiento 11-03'!$C:$C=$B26)*('Relevamiento 11-03'!$A:$A="Corrugadora"),0)),"")</f>
        <v/>
      </c>
      <c r="D26" s="295" t="str" cm="1">
        <f t="array" ref="D26">+IFERROR(INDEX('Relevamiento 11-03'!$G:$G,MATCH(1,('Relevamiento 11-03'!$C:$C=$B26)*('Relevamiento 11-03'!$A:$A="Corrugadora"),0)),"")</f>
        <v/>
      </c>
      <c r="E26" s="278" t="str">
        <f t="shared" ref="E26:E59" si="3">+IF(E25="LK","CH",IF(D26="","",IF(D26&gt;0,"LK","CH")))</f>
        <v/>
      </c>
      <c r="F26" s="278" t="str">
        <f>+IF(OR(E26="LK"),ROUNDUP(D26*(VLOOKUP(B26,'[1]Pedido VACIO'!$E$1:$AT$65536,42,0))/25,0)*25,IF(E26="CH",D25-F25,""))</f>
        <v/>
      </c>
      <c r="G26" s="295"/>
      <c r="H26" s="280"/>
      <c r="I26" s="280"/>
      <c r="J26" s="280"/>
      <c r="K26" s="280"/>
      <c r="L26" s="280"/>
      <c r="M26" s="281"/>
    </row>
    <row r="27" spans="1:13" ht="33.6" customHeight="1" x14ac:dyDescent="0.2">
      <c r="A27" s="300"/>
      <c r="B27" s="295"/>
      <c r="C27" s="296"/>
      <c r="D27" s="295"/>
      <c r="E27" s="278" t="str">
        <f t="shared" si="3"/>
        <v/>
      </c>
      <c r="F27" s="278" t="str">
        <f>+IF(OR(E27="LK"),ROUNDUP(D27*(VLOOKUP(B27,'[1]Pedido VACIO'!$E$1:$AT$65536,42,0))/25,0)*25,IF(E27="CH",D26-F26,""))</f>
        <v/>
      </c>
      <c r="G27" s="295"/>
      <c r="H27" s="280"/>
      <c r="I27" s="280"/>
      <c r="J27" s="280"/>
      <c r="K27" s="280"/>
      <c r="L27" s="280"/>
      <c r="M27" s="281"/>
    </row>
    <row r="28" spans="1:13" ht="33.6" customHeight="1" x14ac:dyDescent="0.2">
      <c r="A28" s="300" t="str" cm="1">
        <f t="array" ref="A28">+IFERROR(INDEX('Relevamiento 11-03'!$D:$D,MATCH(1,('Relevamiento 11-03'!$C:$C=$B28)*('Relevamiento 11-03'!$A:$A="Corrugadora"),0)),"")</f>
        <v/>
      </c>
      <c r="B28" s="295">
        <f>+B26+1</f>
        <v>8</v>
      </c>
      <c r="C28" s="296" t="str" cm="1">
        <f t="array" ref="C28">+IFERROR(INDEX('Relevamiento 11-03'!$F:$F,MATCH(1,('Relevamiento 11-03'!$C:$C=$B28)*('Relevamiento 11-03'!$A:$A="Corrugadora"),0)),"")</f>
        <v/>
      </c>
      <c r="D28" s="295" t="str" cm="1">
        <f t="array" ref="D28">+IFERROR(INDEX('Relevamiento 11-03'!$G:$G,MATCH(1,('Relevamiento 11-03'!$C:$C=$B28)*('Relevamiento 11-03'!$A:$A="Corrugadora"),0)),"")</f>
        <v/>
      </c>
      <c r="E28" s="278" t="str">
        <f t="shared" si="3"/>
        <v/>
      </c>
      <c r="F28" s="278" t="str">
        <f>+IF(OR(E28="LK"),ROUNDUP(D28*(VLOOKUP(B28,'[1]Pedido VACIO'!$E$1:$AT$65536,42,0))/25,0)*25,IF(E28="CH",D27-F27,""))</f>
        <v/>
      </c>
      <c r="G28" s="295"/>
      <c r="H28" s="280"/>
      <c r="I28" s="280"/>
      <c r="J28" s="280"/>
      <c r="K28" s="280"/>
      <c r="L28" s="280"/>
      <c r="M28" s="281"/>
    </row>
    <row r="29" spans="1:13" ht="33.6" customHeight="1" x14ac:dyDescent="0.2">
      <c r="A29" s="300"/>
      <c r="B29" s="295"/>
      <c r="C29" s="296"/>
      <c r="D29" s="295"/>
      <c r="E29" s="278" t="str">
        <f t="shared" si="3"/>
        <v/>
      </c>
      <c r="F29" s="278" t="str">
        <f>+IF(OR(E29="LK"),ROUNDUP(D29*(VLOOKUP(B29,'[1]Pedido VACIO'!$E$1:$AT$65536,42,0))/25,0)*25,IF(E29="CH",D28-F28,""))</f>
        <v/>
      </c>
      <c r="G29" s="295"/>
      <c r="H29" s="280"/>
      <c r="I29" s="280"/>
      <c r="J29" s="280"/>
      <c r="K29" s="280"/>
      <c r="L29" s="280"/>
      <c r="M29" s="281"/>
    </row>
    <row r="30" spans="1:13" ht="33.6" customHeight="1" x14ac:dyDescent="0.2">
      <c r="A30" s="300" t="str" cm="1">
        <f t="array" ref="A30">+IFERROR(INDEX('Relevamiento 11-03'!$D:$D,MATCH(1,('Relevamiento 11-03'!$C:$C=$B30)*('Relevamiento 11-03'!$A:$A="Corrugadora"),0)),"")</f>
        <v/>
      </c>
      <c r="B30" s="295">
        <f>+B28+1</f>
        <v>9</v>
      </c>
      <c r="C30" s="296" t="str" cm="1">
        <f t="array" ref="C30">+IFERROR(INDEX('Relevamiento 11-03'!$F:$F,MATCH(1,('Relevamiento 11-03'!$C:$C=$B30)*('Relevamiento 11-03'!$A:$A="Corrugadora"),0)),"")</f>
        <v/>
      </c>
      <c r="D30" s="295" t="str" cm="1">
        <f t="array" ref="D30">+IFERROR(INDEX('Relevamiento 11-03'!$G:$G,MATCH(1,('Relevamiento 11-03'!$C:$C=$B30)*('Relevamiento 11-03'!$A:$A="Corrugadora"),0)),"")</f>
        <v/>
      </c>
      <c r="E30" s="278" t="str">
        <f t="shared" si="3"/>
        <v/>
      </c>
      <c r="F30" s="278" t="str">
        <f>+IF(OR(E30="LK"),ROUNDUP(D30*(VLOOKUP(B30,'[1]Pedido VACIO'!$E$1:$AT$65536,42,0))/25,0)*25,IF(E30="CH",D29-F29,""))</f>
        <v/>
      </c>
      <c r="G30" s="295"/>
      <c r="H30" s="280"/>
      <c r="I30" s="280"/>
      <c r="J30" s="280"/>
      <c r="K30" s="280"/>
      <c r="L30" s="280"/>
      <c r="M30" s="281"/>
    </row>
    <row r="31" spans="1:13" ht="33.6" customHeight="1" x14ac:dyDescent="0.2">
      <c r="A31" s="300"/>
      <c r="B31" s="295"/>
      <c r="C31" s="296"/>
      <c r="D31" s="295"/>
      <c r="E31" s="278" t="str">
        <f t="shared" si="3"/>
        <v/>
      </c>
      <c r="F31" s="278" t="str">
        <f>+IF(OR(E31="LK"),ROUNDUP(D31*(VLOOKUP(B31,'[1]Pedido VACIO'!$E$1:$AT$65536,42,0))/25,0)*25,IF(E31="CH",D30-F30,""))</f>
        <v/>
      </c>
      <c r="G31" s="295"/>
      <c r="H31" s="280"/>
      <c r="I31" s="280"/>
      <c r="J31" s="280"/>
      <c r="K31" s="280"/>
      <c r="L31" s="280"/>
      <c r="M31" s="281"/>
    </row>
    <row r="32" spans="1:13" ht="33.6" customHeight="1" x14ac:dyDescent="0.2">
      <c r="A32" s="300" t="str" cm="1">
        <f t="array" ref="A32">+IFERROR(INDEX('Relevamiento 11-03'!$D:$D,MATCH(1,('Relevamiento 11-03'!$C:$C=$B32)*('Relevamiento 11-03'!$A:$A="Corrugadora"),0)),"")</f>
        <v/>
      </c>
      <c r="B32" s="295">
        <f>+B30+1</f>
        <v>10</v>
      </c>
      <c r="C32" s="296" t="str" cm="1">
        <f t="array" ref="C32">+IFERROR(INDEX('Relevamiento 11-03'!$F:$F,MATCH(1,('Relevamiento 11-03'!$C:$C=$B32)*('Relevamiento 11-03'!$A:$A="Corrugadora"),0)),"")</f>
        <v/>
      </c>
      <c r="D32" s="295" t="str" cm="1">
        <f t="array" ref="D32">+IFERROR(INDEX('Relevamiento 11-03'!$G:$G,MATCH(1,('Relevamiento 11-03'!$C:$C=$B32)*('Relevamiento 11-03'!$A:$A="Corrugadora"),0)),"")</f>
        <v/>
      </c>
      <c r="E32" s="278" t="str">
        <f t="shared" si="3"/>
        <v/>
      </c>
      <c r="F32" s="278" t="str">
        <f>+IF(OR(E32="LK"),ROUNDUP(D32*(VLOOKUP(B32,'[1]Pedido VACIO'!$E$1:$AT$65536,42,0))/25,0)*25,IF(E32="CH",D31-F31,""))</f>
        <v/>
      </c>
      <c r="G32" s="295"/>
      <c r="H32" s="280"/>
      <c r="I32" s="280"/>
      <c r="J32" s="280"/>
      <c r="K32" s="280"/>
      <c r="L32" s="280"/>
      <c r="M32" s="281"/>
    </row>
    <row r="33" spans="1:13" ht="33.6" customHeight="1" x14ac:dyDescent="0.2">
      <c r="A33" s="300"/>
      <c r="B33" s="295"/>
      <c r="C33" s="296"/>
      <c r="D33" s="295"/>
      <c r="E33" s="278" t="str">
        <f t="shared" si="3"/>
        <v/>
      </c>
      <c r="F33" s="278" t="str">
        <f>+IF(OR(E33="LK"),ROUNDUP(D33*(VLOOKUP(B33,'[1]Pedido VACIO'!$E$1:$AT$65536,42,0))/25,0)*25,IF(E33="CH",D32-F32,""))</f>
        <v/>
      </c>
      <c r="G33" s="295"/>
      <c r="H33" s="280"/>
      <c r="I33" s="280"/>
      <c r="J33" s="280"/>
      <c r="K33" s="280"/>
      <c r="L33" s="280"/>
      <c r="M33" s="281"/>
    </row>
    <row r="34" spans="1:13" ht="33.6" customHeight="1" x14ac:dyDescent="0.2">
      <c r="A34" s="300" t="str" cm="1">
        <f t="array" ref="A34">+IFERROR(INDEX('Relevamiento 11-03'!$D:$D,MATCH(1,('Relevamiento 11-03'!$C:$C=$B34)*('Relevamiento 11-03'!$A:$A="Corrugadora"),0)),"")</f>
        <v/>
      </c>
      <c r="B34" s="295">
        <f>+B32+1</f>
        <v>11</v>
      </c>
      <c r="C34" s="296" t="str" cm="1">
        <f t="array" ref="C34">+IFERROR(INDEX('Relevamiento 11-03'!$F:$F,MATCH(1,('Relevamiento 11-03'!$C:$C=$B34)*('Relevamiento 11-03'!$A:$A="Corrugadora"),0)),"")</f>
        <v/>
      </c>
      <c r="D34" s="295" t="str" cm="1">
        <f t="array" ref="D34">+IFERROR(INDEX('Relevamiento 11-03'!$G:$G,MATCH(1,('Relevamiento 11-03'!$C:$C=$B34)*('Relevamiento 11-03'!$A:$A="Corrugadora"),0)),"")</f>
        <v/>
      </c>
      <c r="E34" s="278" t="str">
        <f t="shared" si="3"/>
        <v/>
      </c>
      <c r="F34" s="278" t="str">
        <f>+IF(OR(E34="LK"),ROUNDUP(D34*(VLOOKUP(B34,'[1]Pedido VACIO'!$E$1:$AT$65536,42,0))/25,0)*25,IF(E34="CH",D33-F33,""))</f>
        <v/>
      </c>
      <c r="G34" s="295"/>
      <c r="H34" s="280"/>
      <c r="I34" s="280"/>
      <c r="J34" s="280"/>
      <c r="K34" s="280"/>
      <c r="L34" s="280"/>
      <c r="M34" s="281"/>
    </row>
    <row r="35" spans="1:13" ht="33.6" customHeight="1" x14ac:dyDescent="0.2">
      <c r="A35" s="300"/>
      <c r="B35" s="295"/>
      <c r="C35" s="296"/>
      <c r="D35" s="295"/>
      <c r="E35" s="278" t="str">
        <f t="shared" si="3"/>
        <v/>
      </c>
      <c r="F35" s="278" t="str">
        <f>+IF(OR(E35="LK"),ROUNDUP(D35*(VLOOKUP(B35,'[1]Pedido VACIO'!$E$1:$AT$65536,42,0))/25,0)*25,IF(E35="CH",D34-F34,""))</f>
        <v/>
      </c>
      <c r="G35" s="295"/>
      <c r="H35" s="280"/>
      <c r="I35" s="280"/>
      <c r="J35" s="280"/>
      <c r="K35" s="280"/>
      <c r="L35" s="280"/>
      <c r="M35" s="281"/>
    </row>
    <row r="36" spans="1:13" ht="33.6" customHeight="1" x14ac:dyDescent="0.2">
      <c r="A36" s="300" t="str" cm="1">
        <f t="array" ref="A36">+IFERROR(INDEX('Relevamiento 11-03'!$D:$D,MATCH(1,('Relevamiento 11-03'!$C:$C=$B36)*('Relevamiento 11-03'!$A:$A="Corrugadora"),0)),"")</f>
        <v/>
      </c>
      <c r="B36" s="295">
        <f>+B34+1</f>
        <v>12</v>
      </c>
      <c r="C36" s="296" t="str" cm="1">
        <f t="array" ref="C36">+IFERROR(INDEX('Relevamiento 11-03'!$F:$F,MATCH(1,('Relevamiento 11-03'!$C:$C=$B36)*('Relevamiento 11-03'!$A:$A="Corrugadora"),0)),"")</f>
        <v/>
      </c>
      <c r="D36" s="295" t="str" cm="1">
        <f t="array" ref="D36">+IFERROR(INDEX('Relevamiento 11-03'!$G:$G,MATCH(1,('Relevamiento 11-03'!$C:$C=$B36)*('Relevamiento 11-03'!$A:$A="Corrugadora"),0)),"")</f>
        <v/>
      </c>
      <c r="E36" s="278" t="str">
        <f t="shared" si="3"/>
        <v/>
      </c>
      <c r="F36" s="278" t="str">
        <f>+IF(OR(E36="LK"),ROUNDUP(D36*(VLOOKUP(B36,'[1]Pedido VACIO'!$E$1:$AT$65536,42,0))/25,0)*25,IF(E36="CH",D35-F35,""))</f>
        <v/>
      </c>
      <c r="G36" s="295"/>
      <c r="H36" s="280"/>
      <c r="I36" s="280"/>
      <c r="J36" s="280"/>
      <c r="K36" s="280"/>
      <c r="L36" s="280"/>
      <c r="M36" s="281"/>
    </row>
    <row r="37" spans="1:13" ht="33.6" customHeight="1" x14ac:dyDescent="0.2">
      <c r="A37" s="300"/>
      <c r="B37" s="295"/>
      <c r="C37" s="296"/>
      <c r="D37" s="295"/>
      <c r="E37" s="278" t="str">
        <f t="shared" si="3"/>
        <v/>
      </c>
      <c r="F37" s="278" t="str">
        <f>+IF(OR(E37="LK"),ROUNDUP(D37*(VLOOKUP(B37,'[1]Pedido VACIO'!$E$1:$AT$65536,42,0))/25,0)*25,IF(E37="CH",D36-F36,""))</f>
        <v/>
      </c>
      <c r="G37" s="295"/>
      <c r="H37" s="280"/>
      <c r="I37" s="280"/>
      <c r="J37" s="280"/>
      <c r="K37" s="280"/>
      <c r="L37" s="280"/>
      <c r="M37" s="281"/>
    </row>
    <row r="38" spans="1:13" ht="33.6" customHeight="1" x14ac:dyDescent="0.2">
      <c r="A38" s="300" t="str" cm="1">
        <f t="array" ref="A38">+IFERROR(INDEX('Relevamiento 11-03'!$D:$D,MATCH(1,('Relevamiento 11-03'!$C:$C=$B38)*('Relevamiento 11-03'!$A:$A="Corrugadora"),0)),"")</f>
        <v/>
      </c>
      <c r="B38" s="295">
        <f>+B36+1</f>
        <v>13</v>
      </c>
      <c r="C38" s="296" t="str" cm="1">
        <f t="array" ref="C38">+IFERROR(INDEX('Relevamiento 11-03'!$F:$F,MATCH(1,('Relevamiento 11-03'!$C:$C=$B38)*('Relevamiento 11-03'!$A:$A="Corrugadora"),0)),"")</f>
        <v/>
      </c>
      <c r="D38" s="295" t="str" cm="1">
        <f t="array" ref="D38">+IFERROR(INDEX('Relevamiento 11-03'!$G:$G,MATCH(1,('Relevamiento 11-03'!$C:$C=$B38)*('Relevamiento 11-03'!$A:$A="Corrugadora"),0)),"")</f>
        <v/>
      </c>
      <c r="E38" s="278" t="str">
        <f t="shared" si="3"/>
        <v/>
      </c>
      <c r="F38" s="278" t="str">
        <f>+IF(OR(E38="LK"),ROUNDUP(D38*(VLOOKUP(B38,'[1]Pedido VACIO'!$E$1:$AT$65536,42,0))/25,0)*25,IF(E38="CH",D37-F37,""))</f>
        <v/>
      </c>
      <c r="G38" s="295"/>
      <c r="H38" s="280"/>
      <c r="I38" s="280"/>
      <c r="J38" s="280"/>
      <c r="K38" s="280"/>
      <c r="L38" s="280"/>
      <c r="M38" s="281"/>
    </row>
    <row r="39" spans="1:13" ht="33.6" customHeight="1" x14ac:dyDescent="0.2">
      <c r="A39" s="300"/>
      <c r="B39" s="295"/>
      <c r="C39" s="296"/>
      <c r="D39" s="295"/>
      <c r="E39" s="278" t="str">
        <f t="shared" si="3"/>
        <v/>
      </c>
      <c r="F39" s="278" t="str">
        <f>+IF(OR(E39="LK"),ROUNDUP(D39*(VLOOKUP(B39,'[1]Pedido VACIO'!$E$1:$AT$65536,42,0))/25,0)*25,IF(E39="CH",D38-F38,""))</f>
        <v/>
      </c>
      <c r="G39" s="295"/>
      <c r="H39" s="280"/>
      <c r="I39" s="280"/>
      <c r="J39" s="280"/>
      <c r="K39" s="280"/>
      <c r="L39" s="280"/>
      <c r="M39" s="281"/>
    </row>
    <row r="40" spans="1:13" ht="33.6" customHeight="1" x14ac:dyDescent="0.2">
      <c r="A40" s="300" t="str" cm="1">
        <f t="array" ref="A40">+IFERROR(INDEX('Relevamiento 11-03'!$D:$D,MATCH(1,('Relevamiento 11-03'!$C:$C=$B40)*('Relevamiento 11-03'!$A:$A="Corrugadora"),0)),"")</f>
        <v/>
      </c>
      <c r="B40" s="295">
        <f>+B38+1</f>
        <v>14</v>
      </c>
      <c r="C40" s="296" t="str" cm="1">
        <f t="array" ref="C40">+IFERROR(INDEX('Relevamiento 11-03'!$F:$F,MATCH(1,('Relevamiento 11-03'!$C:$C=$B40)*('Relevamiento 11-03'!$A:$A="Corrugadora"),0)),"")</f>
        <v/>
      </c>
      <c r="D40" s="295" t="str" cm="1">
        <f t="array" ref="D40">+IFERROR(INDEX('Relevamiento 11-03'!$G:$G,MATCH(1,('Relevamiento 11-03'!$C:$C=$B40)*('Relevamiento 11-03'!$A:$A="Corrugadora"),0)),"")</f>
        <v/>
      </c>
      <c r="E40" s="278" t="str">
        <f t="shared" si="3"/>
        <v/>
      </c>
      <c r="F40" s="278" t="str">
        <f>+IF(OR(E40="LK"),ROUNDUP(D40*(VLOOKUP(B40,'[1]Pedido VACIO'!$E$1:$AT$65536,42,0))/25,0)*25,IF(E40="CH",D39-F39,""))</f>
        <v/>
      </c>
      <c r="G40" s="295"/>
      <c r="H40" s="280"/>
      <c r="I40" s="280"/>
      <c r="J40" s="280"/>
      <c r="K40" s="280"/>
      <c r="L40" s="280"/>
      <c r="M40" s="281"/>
    </row>
    <row r="41" spans="1:13" ht="33.6" customHeight="1" thickBot="1" x14ac:dyDescent="0.25">
      <c r="A41" s="307"/>
      <c r="B41" s="308"/>
      <c r="C41" s="309"/>
      <c r="D41" s="308"/>
      <c r="E41" s="282" t="str">
        <f t="shared" si="3"/>
        <v/>
      </c>
      <c r="F41" s="282" t="str">
        <f>+IF(OR(E41="LK"),ROUNDUP(D41*(VLOOKUP(B41,'[1]Pedido VACIO'!$E$1:$AT$65536,42,0))/25,0)*25,IF(E41="CH",D40-F40,""))</f>
        <v/>
      </c>
      <c r="G41" s="308"/>
      <c r="H41" s="283"/>
      <c r="I41" s="283"/>
      <c r="J41" s="283"/>
      <c r="K41" s="283"/>
      <c r="L41" s="283"/>
      <c r="M41" s="284"/>
    </row>
    <row r="42" spans="1:13" ht="33.6" customHeight="1" x14ac:dyDescent="0.2">
      <c r="A42" s="310" t="str">
        <f t="array" ref="A42">+IFERROR(INDEX('[1]Pedido VACIO'!$B$1:$B$65536,MATCH(1,('[1]Pedido VACIO'!$E$1:$E$65536=$B42)*('[1]Pedido VACIO'!$A$1:$A$65536="Pat Bet Plast"),0)),"")</f>
        <v/>
      </c>
      <c r="B42" s="298">
        <f>+B40+1</f>
        <v>15</v>
      </c>
      <c r="C42" s="299" t="str">
        <f t="array" ref="C42">+IFERROR(INDEX('[1]Pedido VACIO'!$C$1:$C$65536,MATCH(1,('[1]Pedido VACIO'!$E$1:$E$65536=$B42)*('[1]Pedido VACIO'!$A$1:$A$65536="Pat Bet Plast"),0)),"")</f>
        <v/>
      </c>
      <c r="D42" s="298" t="str">
        <f t="array" ref="D42">+IFERROR(INDEX('[1]Pedido VACIO'!$D$1:$D$65536,MATCH(1,('[1]Pedido VACIO'!$E$1:$E$65536=$B42)*('[1]Pedido VACIO'!$A$1:$A$65536="Pat Bet Plast"),0)),"")</f>
        <v/>
      </c>
      <c r="E42" s="285" t="str">
        <f t="shared" si="3"/>
        <v/>
      </c>
      <c r="F42" s="285" t="str">
        <f>+IF(OR(E42="LK"),ROUNDUP(D42*(VLOOKUP(B42,'[1]Pedido VACIO'!$E$1:$AT$65536,42,0))/25,0)*25,IF(E42="CH",D41-F41,""))</f>
        <v/>
      </c>
      <c r="G42" s="298"/>
      <c r="H42" s="286"/>
      <c r="I42" s="286"/>
      <c r="J42" s="286"/>
      <c r="K42" s="286"/>
      <c r="L42" s="286"/>
      <c r="M42" s="287"/>
    </row>
    <row r="43" spans="1:13" ht="33.6" customHeight="1" x14ac:dyDescent="0.2">
      <c r="A43" s="300"/>
      <c r="B43" s="295"/>
      <c r="C43" s="296"/>
      <c r="D43" s="295"/>
      <c r="E43" s="278" t="str">
        <f t="shared" si="3"/>
        <v/>
      </c>
      <c r="F43" s="278" t="str">
        <f>+IF(OR(E43="LK"),ROUNDUP(D43*(VLOOKUP(B43,'[1]Pedido VACIO'!$E$1:$AT$65536,42,0))/25,0)*25,IF(E43="CH",D42-F42,""))</f>
        <v/>
      </c>
      <c r="G43" s="295"/>
      <c r="H43" s="280"/>
      <c r="I43" s="280"/>
      <c r="J43" s="280"/>
      <c r="K43" s="280"/>
      <c r="L43" s="280"/>
      <c r="M43" s="281"/>
    </row>
    <row r="44" spans="1:13" ht="18.75" x14ac:dyDescent="0.2">
      <c r="A44" s="300" t="str">
        <f t="array" ref="A44">+IFERROR(INDEX('[1]Pedido VACIO'!$B$1:$B$65536,MATCH(1,('[1]Pedido VACIO'!$E$1:$E$65536=$B44)*('[1]Pedido VACIO'!$A$1:$A$65536="Pat Bet Plast"),0)),"")</f>
        <v/>
      </c>
      <c r="B44" s="295">
        <f>+B42+1</f>
        <v>16</v>
      </c>
      <c r="C44" s="296" t="str">
        <f t="array" ref="C44">+IFERROR(INDEX('[1]Pedido VACIO'!$C$1:$C$65536,MATCH(1,('[1]Pedido VACIO'!$E$1:$E$65536=$B44)*('[1]Pedido VACIO'!$A$1:$A$65536="Pat Bet Plast"),0)),"")</f>
        <v/>
      </c>
      <c r="D44" s="295" t="str">
        <f t="array" ref="D44">+IFERROR(INDEX('[1]Pedido VACIO'!$D$1:$D$65536,MATCH(1,('[1]Pedido VACIO'!$E$1:$E$65536=$B44)*('[1]Pedido VACIO'!$A$1:$A$65536="Pat Bet Plast"),0)),"")</f>
        <v/>
      </c>
      <c r="E44" s="278" t="str">
        <f t="shared" si="3"/>
        <v/>
      </c>
      <c r="F44" s="278" t="str">
        <f>+IF(OR(E44="LK"),ROUNDUP(D44*(VLOOKUP(B44,'[1]Pedido VACIO'!$E$1:$AT$65536,42,0))/25,0)*25,IF(E44="CH",D43-F43,""))</f>
        <v/>
      </c>
      <c r="G44" s="295"/>
      <c r="H44" s="280"/>
      <c r="I44" s="280"/>
      <c r="J44" s="280"/>
      <c r="K44" s="280"/>
      <c r="L44" s="280"/>
      <c r="M44" s="281"/>
    </row>
    <row r="45" spans="1:13" ht="18.75" x14ac:dyDescent="0.2">
      <c r="A45" s="300"/>
      <c r="B45" s="295"/>
      <c r="C45" s="296"/>
      <c r="D45" s="295"/>
      <c r="E45" s="278" t="str">
        <f t="shared" si="3"/>
        <v/>
      </c>
      <c r="F45" s="278" t="str">
        <f>+IF(OR(E45="LK"),ROUNDUP(D45*(VLOOKUP(B45,'[1]Pedido VACIO'!$E$1:$AT$65536,42,0))/25,0)*25,IF(E45="CH",D44-F44,""))</f>
        <v/>
      </c>
      <c r="G45" s="295"/>
      <c r="H45" s="280"/>
      <c r="I45" s="280"/>
      <c r="J45" s="280"/>
      <c r="K45" s="280"/>
      <c r="L45" s="280"/>
      <c r="M45" s="281"/>
    </row>
    <row r="46" spans="1:13" ht="18.75" x14ac:dyDescent="0.2">
      <c r="A46" s="300" t="str">
        <f t="array" ref="A46">+IFERROR(INDEX('[1]Pedido VACIO'!$B$1:$B$65536,MATCH(1,('[1]Pedido VACIO'!$E$1:$E$65536=$B46)*('[1]Pedido VACIO'!$A$1:$A$65536="Pat Bet Plast"),0)),"")</f>
        <v/>
      </c>
      <c r="B46" s="295">
        <f>+B44+1</f>
        <v>17</v>
      </c>
      <c r="C46" s="296" t="str">
        <f t="array" ref="C46">+IFERROR(INDEX('[1]Pedido VACIO'!$C$1:$C$65536,MATCH(1,('[1]Pedido VACIO'!$E$1:$E$65536=$B46)*('[1]Pedido VACIO'!$A$1:$A$65536="Pat Bet Plast"),0)),"")</f>
        <v/>
      </c>
      <c r="D46" s="295" t="str">
        <f t="array" ref="D46">+IFERROR(INDEX('[1]Pedido VACIO'!$D$1:$D$65536,MATCH(1,('[1]Pedido VACIO'!$E$1:$E$65536=$B46)*('[1]Pedido VACIO'!$A$1:$A$65536="Pat Bet Plast"),0)),"")</f>
        <v/>
      </c>
      <c r="E46" s="278" t="str">
        <f t="shared" si="3"/>
        <v/>
      </c>
      <c r="F46" s="278" t="str">
        <f>+IF(OR(E46="LK"),ROUNDUP(D46*(VLOOKUP(B46,'[1]Pedido VACIO'!$E$1:$AT$65536,42,0))/25,0)*25,IF(E46="CH",D45-F45,""))</f>
        <v/>
      </c>
      <c r="G46" s="295"/>
      <c r="H46" s="280"/>
      <c r="I46" s="280"/>
      <c r="J46" s="280"/>
      <c r="K46" s="280"/>
      <c r="L46" s="280"/>
      <c r="M46" s="281"/>
    </row>
    <row r="47" spans="1:13" ht="18.75" x14ac:dyDescent="0.2">
      <c r="A47" s="300"/>
      <c r="B47" s="295"/>
      <c r="C47" s="296"/>
      <c r="D47" s="295"/>
      <c r="E47" s="278" t="str">
        <f t="shared" si="3"/>
        <v/>
      </c>
      <c r="F47" s="278" t="str">
        <f>+IF(OR(E47="LK"),ROUNDUP(D47*(VLOOKUP(B47,'[1]Pedido VACIO'!$E$1:$AT$65536,42,0))/25,0)*25,IF(E47="CH",D46-F46,""))</f>
        <v/>
      </c>
      <c r="G47" s="295"/>
      <c r="H47" s="280"/>
      <c r="I47" s="280"/>
      <c r="J47" s="280"/>
      <c r="K47" s="280"/>
      <c r="L47" s="280"/>
      <c r="M47" s="281"/>
    </row>
    <row r="48" spans="1:13" ht="18.75" x14ac:dyDescent="0.2">
      <c r="A48" s="300" t="str">
        <f t="array" ref="A48">+IFERROR(INDEX('[1]Pedido VACIO'!$B$1:$B$65536,MATCH(1,('[1]Pedido VACIO'!$E$1:$E$65536=$B48)*('[1]Pedido VACIO'!$A$1:$A$65536="Pat Bet Plast"),0)),"")</f>
        <v/>
      </c>
      <c r="B48" s="295">
        <f>+B46+1</f>
        <v>18</v>
      </c>
      <c r="C48" s="296" t="str">
        <f t="array" ref="C48">+IFERROR(INDEX('[1]Pedido VACIO'!$C$1:$C$65536,MATCH(1,('[1]Pedido VACIO'!$E$1:$E$65536=$B48)*('[1]Pedido VACIO'!$A$1:$A$65536="Pat Bet Plast"),0)),"")</f>
        <v/>
      </c>
      <c r="D48" s="295" t="str">
        <f t="array" ref="D48">+IFERROR(INDEX('[1]Pedido VACIO'!$D$1:$D$65536,MATCH(1,('[1]Pedido VACIO'!$E$1:$E$65536=$B48)*('[1]Pedido VACIO'!$A$1:$A$65536="Pat Bet Plast"),0)),"")</f>
        <v/>
      </c>
      <c r="E48" s="278" t="str">
        <f t="shared" si="3"/>
        <v/>
      </c>
      <c r="F48" s="278" t="str">
        <f>+IF(OR(E48="LK"),ROUNDUP(D48*(VLOOKUP(B48,'[1]Pedido VACIO'!$E$1:$AT$65536,42,0))/25,0)*25,IF(E48="CH",D47-F47,""))</f>
        <v/>
      </c>
      <c r="G48" s="295"/>
      <c r="H48" s="280"/>
      <c r="I48" s="280"/>
      <c r="J48" s="280"/>
      <c r="K48" s="280"/>
      <c r="L48" s="280"/>
      <c r="M48" s="281"/>
    </row>
    <row r="49" spans="1:13" ht="18.75" x14ac:dyDescent="0.2">
      <c r="A49" s="300"/>
      <c r="B49" s="295"/>
      <c r="C49" s="296"/>
      <c r="D49" s="295"/>
      <c r="E49" s="278" t="str">
        <f t="shared" si="3"/>
        <v/>
      </c>
      <c r="F49" s="278" t="str">
        <f>+IF(OR(E49="LK"),ROUNDUP(D49*(VLOOKUP(B49,'[1]Pedido VACIO'!$E$1:$AT$65536,42,0))/25,0)*25,IF(E49="CH",D48-F48,""))</f>
        <v/>
      </c>
      <c r="G49" s="295"/>
      <c r="H49" s="280"/>
      <c r="I49" s="280"/>
      <c r="J49" s="280"/>
      <c r="K49" s="280"/>
      <c r="L49" s="280"/>
      <c r="M49" s="281"/>
    </row>
    <row r="50" spans="1:13" ht="18.75" x14ac:dyDescent="0.2">
      <c r="A50" s="300" t="str">
        <f t="array" ref="A50">+IFERROR(INDEX('[1]Pedido VACIO'!$B$1:$B$65536,MATCH(1,('[1]Pedido VACIO'!$E$1:$E$65536=$B50)*('[1]Pedido VACIO'!$A$1:$A$65536="Pat Bet Plast"),0)),"")</f>
        <v/>
      </c>
      <c r="B50" s="295">
        <f>+B48+1</f>
        <v>19</v>
      </c>
      <c r="C50" s="296" t="str">
        <f t="array" ref="C50">+IFERROR(INDEX('[1]Pedido VACIO'!$C$1:$C$65536,MATCH(1,('[1]Pedido VACIO'!$E$1:$E$65536=$B50)*('[1]Pedido VACIO'!$A$1:$A$65536="Pat Bet Plast"),0)),"")</f>
        <v/>
      </c>
      <c r="D50" s="295" t="str">
        <f t="array" ref="D50">+IFERROR(INDEX('[1]Pedido VACIO'!$D$1:$D$65536,MATCH(1,('[1]Pedido VACIO'!$E$1:$E$65536=$B50)*('[1]Pedido VACIO'!$A$1:$A$65536="Pat Bet Plast"),0)),"")</f>
        <v/>
      </c>
      <c r="E50" s="278" t="str">
        <f t="shared" si="3"/>
        <v/>
      </c>
      <c r="F50" s="278" t="str">
        <f>+IF(OR(E50="LK"),ROUNDUP(D50*(VLOOKUP(B50,'[1]Pedido VACIO'!$E$1:$AT$65536,42,0))/25,0)*25,IF(E50="CH",D49-F49,""))</f>
        <v/>
      </c>
      <c r="G50" s="295"/>
      <c r="H50" s="280"/>
      <c r="I50" s="280"/>
      <c r="J50" s="280"/>
      <c r="K50" s="280"/>
      <c r="L50" s="280"/>
      <c r="M50" s="281"/>
    </row>
    <row r="51" spans="1:13" ht="18.75" x14ac:dyDescent="0.2">
      <c r="A51" s="300"/>
      <c r="B51" s="295"/>
      <c r="C51" s="296"/>
      <c r="D51" s="295"/>
      <c r="E51" s="278" t="str">
        <f t="shared" si="3"/>
        <v/>
      </c>
      <c r="F51" s="278" t="str">
        <f>+IF(OR(E51="LK"),ROUNDUP(D51*(VLOOKUP(B51,'[1]Pedido VACIO'!$E$1:$AT$65536,42,0))/25,0)*25,IF(E51="CH",D50-F50,""))</f>
        <v/>
      </c>
      <c r="G51" s="295"/>
      <c r="H51" s="280"/>
      <c r="I51" s="280"/>
      <c r="J51" s="280"/>
      <c r="K51" s="280"/>
      <c r="L51" s="280"/>
      <c r="M51" s="281"/>
    </row>
    <row r="52" spans="1:13" ht="18.75" x14ac:dyDescent="0.2">
      <c r="A52" s="300" t="str">
        <f t="array" ref="A52">+IFERROR(INDEX('[1]Pedido VACIO'!$B$1:$B$65536,MATCH(1,('[1]Pedido VACIO'!$E$1:$E$65536=$B52)*('[1]Pedido VACIO'!$A$1:$A$65536="Pat Bet Plast"),0)),"")</f>
        <v/>
      </c>
      <c r="B52" s="295">
        <f>+B50+1</f>
        <v>20</v>
      </c>
      <c r="C52" s="296" t="str">
        <f t="array" ref="C52">+IFERROR(INDEX('[1]Pedido VACIO'!$C$1:$C$65536,MATCH(1,('[1]Pedido VACIO'!$E$1:$E$65536=$B52)*('[1]Pedido VACIO'!$A$1:$A$65536="Pat Bet Plast"),0)),"")</f>
        <v/>
      </c>
      <c r="D52" s="295" t="str">
        <f t="array" ref="D52">+IFERROR(INDEX('[1]Pedido VACIO'!$D$1:$D$65536,MATCH(1,('[1]Pedido VACIO'!$E$1:$E$65536=$B52)*('[1]Pedido VACIO'!$A$1:$A$65536="Pat Bet Plast"),0)),"")</f>
        <v/>
      </c>
      <c r="E52" s="278" t="str">
        <f t="shared" si="3"/>
        <v/>
      </c>
      <c r="F52" s="278" t="str">
        <f>+IF(OR(E52="LK"),ROUNDUP(D52*(VLOOKUP(B52,'[1]Pedido VACIO'!$E$1:$AT$65536,42,0))/25,0)*25,IF(E52="CH",D51-F51,""))</f>
        <v/>
      </c>
      <c r="G52" s="295"/>
      <c r="H52" s="280"/>
      <c r="I52" s="280"/>
      <c r="J52" s="280"/>
      <c r="K52" s="280"/>
      <c r="L52" s="280"/>
      <c r="M52" s="281"/>
    </row>
    <row r="53" spans="1:13" ht="18.75" x14ac:dyDescent="0.2">
      <c r="A53" s="300"/>
      <c r="B53" s="295"/>
      <c r="C53" s="296"/>
      <c r="D53" s="295"/>
      <c r="E53" s="278" t="str">
        <f t="shared" si="3"/>
        <v/>
      </c>
      <c r="F53" s="278" t="str">
        <f>+IF(OR(E53="LK"),ROUNDUP(D53*(VLOOKUP(B53,'[1]Pedido VACIO'!$E$1:$AT$65536,42,0))/25,0)*25,IF(E53="CH",D52-F52,""))</f>
        <v/>
      </c>
      <c r="G53" s="295"/>
      <c r="H53" s="280"/>
      <c r="I53" s="280"/>
      <c r="J53" s="280"/>
      <c r="K53" s="280"/>
      <c r="L53" s="280"/>
      <c r="M53" s="281"/>
    </row>
    <row r="54" spans="1:13" ht="18.75" x14ac:dyDescent="0.2">
      <c r="A54" s="300" t="str">
        <f t="array" ref="A54">+IFERROR(INDEX('[1]Pedido VACIO'!$B$1:$B$65536,MATCH(1,('[1]Pedido VACIO'!$E$1:$E$65536=$B54)*('[1]Pedido VACIO'!$A$1:$A$65536="Pat Bet Plast"),0)),"")</f>
        <v/>
      </c>
      <c r="B54" s="295">
        <f>+B52+1</f>
        <v>21</v>
      </c>
      <c r="C54" s="296" t="str">
        <f t="array" ref="C54">+IFERROR(INDEX('[1]Pedido VACIO'!$C$1:$C$65536,MATCH(1,('[1]Pedido VACIO'!$E$1:$E$65536=$B54)*('[1]Pedido VACIO'!$A$1:$A$65536="Pat Bet Plast"),0)),"")</f>
        <v/>
      </c>
      <c r="D54" s="295" t="str">
        <f t="array" ref="D54">+IFERROR(INDEX('[1]Pedido VACIO'!$D$1:$D$65536,MATCH(1,('[1]Pedido VACIO'!$E$1:$E$65536=$B54)*('[1]Pedido VACIO'!$A$1:$A$65536="Pat Bet Plast"),0)),"")</f>
        <v/>
      </c>
      <c r="E54" s="278" t="str">
        <f t="shared" si="3"/>
        <v/>
      </c>
      <c r="F54" s="278" t="str">
        <f>+IF(OR(E54="LK"),ROUNDUP(D54*(VLOOKUP(B54,'[1]Pedido VACIO'!$E$1:$AT$65536,42,0))/25,0)*25,IF(E54="CH",D53-F53,""))</f>
        <v/>
      </c>
      <c r="G54" s="295"/>
      <c r="H54" s="280"/>
      <c r="I54" s="280"/>
      <c r="J54" s="280"/>
      <c r="K54" s="280"/>
      <c r="L54" s="280"/>
      <c r="M54" s="281"/>
    </row>
    <row r="55" spans="1:13" ht="18.75" x14ac:dyDescent="0.2">
      <c r="A55" s="300"/>
      <c r="B55" s="295"/>
      <c r="C55" s="296"/>
      <c r="D55" s="295"/>
      <c r="E55" s="278" t="str">
        <f t="shared" si="3"/>
        <v/>
      </c>
      <c r="F55" s="278" t="str">
        <f>+IF(OR(E55="LK"),ROUNDUP(D55*(VLOOKUP(B55,'[1]Pedido VACIO'!$E$1:$AT$65536,42,0))/25,0)*25,IF(E55="CH",D54-F54,""))</f>
        <v/>
      </c>
      <c r="G55" s="295"/>
      <c r="H55" s="280"/>
      <c r="I55" s="280"/>
      <c r="J55" s="280"/>
      <c r="K55" s="280"/>
      <c r="L55" s="280"/>
      <c r="M55" s="281"/>
    </row>
    <row r="56" spans="1:13" ht="18.75" x14ac:dyDescent="0.2">
      <c r="A56" s="300" t="str">
        <f t="array" ref="A56">+IFERROR(INDEX('[1]Pedido VACIO'!$B$1:$B$65536,MATCH(1,('[1]Pedido VACIO'!$E$1:$E$65536=$B56)*('[1]Pedido VACIO'!$A$1:$A$65536="Pat Bet Plast"),0)),"")</f>
        <v/>
      </c>
      <c r="B56" s="295">
        <f>+B54+1</f>
        <v>22</v>
      </c>
      <c r="C56" s="296" t="str">
        <f t="array" ref="C56">+IFERROR(INDEX('[1]Pedido VACIO'!$C$1:$C$65536,MATCH(1,('[1]Pedido VACIO'!$E$1:$E$65536=$B56)*('[1]Pedido VACIO'!$A$1:$A$65536="Pat Bet Plast"),0)),"")</f>
        <v/>
      </c>
      <c r="D56" s="295" t="str">
        <f t="array" ref="D56">+IFERROR(INDEX('[1]Pedido VACIO'!$D$1:$D$65536,MATCH(1,('[1]Pedido VACIO'!$E$1:$E$65536=$B56)*('[1]Pedido VACIO'!$A$1:$A$65536="Pat Bet Plast"),0)),"")</f>
        <v/>
      </c>
      <c r="E56" s="278" t="str">
        <f t="shared" si="3"/>
        <v/>
      </c>
      <c r="F56" s="278" t="str">
        <f>+IF(OR(E56="LK"),ROUNDUP(D56*(VLOOKUP(B56,'[1]Pedido VACIO'!$E$1:$AT$65536,42,0))/25,0)*25,IF(E56="CH",D55-F55,""))</f>
        <v/>
      </c>
      <c r="G56" s="295"/>
      <c r="H56" s="280"/>
      <c r="I56" s="280"/>
      <c r="J56" s="280"/>
      <c r="K56" s="280"/>
      <c r="L56" s="280"/>
      <c r="M56" s="281"/>
    </row>
    <row r="57" spans="1:13" ht="18.75" x14ac:dyDescent="0.2">
      <c r="A57" s="300"/>
      <c r="B57" s="295"/>
      <c r="C57" s="296"/>
      <c r="D57" s="295"/>
      <c r="E57" s="278" t="str">
        <f t="shared" si="3"/>
        <v/>
      </c>
      <c r="F57" s="278" t="str">
        <f>+IF(OR(E57="LK"),ROUNDUP(D57*(VLOOKUP(B57,'[1]Pedido VACIO'!$E$1:$AT$65536,42,0))/25,0)*25,IF(E57="CH",D56-F56,""))</f>
        <v/>
      </c>
      <c r="G57" s="295"/>
      <c r="H57" s="280"/>
      <c r="I57" s="280"/>
      <c r="J57" s="280"/>
      <c r="K57" s="280"/>
      <c r="L57" s="280"/>
      <c r="M57" s="281"/>
    </row>
    <row r="58" spans="1:13" ht="18.75" x14ac:dyDescent="0.2">
      <c r="A58" s="301" t="str">
        <f t="array" ref="A58">+IFERROR(INDEX('[1]Pedido VACIO'!$B$1:$B$65536,MATCH(1,('[1]Pedido VACIO'!$E$1:$E$65536=$B58)*('[1]Pedido VACIO'!$A$1:$A$65536="Pat Bet Plast"),0)),"")</f>
        <v/>
      </c>
      <c r="B58" s="303">
        <f>+B56+1</f>
        <v>23</v>
      </c>
      <c r="C58" s="305" t="str">
        <f t="array" ref="C58">+IFERROR(INDEX('[1]Pedido VACIO'!$C$1:$C$65536,MATCH(1,('[1]Pedido VACIO'!$E$1:$E$65536=$B58)*('[1]Pedido VACIO'!$A$1:$A$65536="Pat Bet Plast"),0)),"")</f>
        <v/>
      </c>
      <c r="D58" s="303" t="str">
        <f t="array" ref="D58">+IFERROR(INDEX('[1]Pedido VACIO'!$D$1:$D$65536,MATCH(1,('[1]Pedido VACIO'!$E$1:$E$65536=$B58)*('[1]Pedido VACIO'!$A$1:$A$65536="Pat Bet Plast"),0)),"")</f>
        <v/>
      </c>
      <c r="E58" s="278" t="str">
        <f t="shared" si="3"/>
        <v/>
      </c>
      <c r="F58" s="278" t="str">
        <f>+IF(OR(E58="LK"),ROUNDUP(D58*(VLOOKUP(B58,'[1]Pedido VACIO'!$E$1:$AT$65536,42,0))/25,0)*25,IF(E58="CH",D57-F57,""))</f>
        <v/>
      </c>
      <c r="G58" s="303"/>
      <c r="H58" s="280"/>
      <c r="I58" s="280"/>
      <c r="J58" s="280"/>
      <c r="K58" s="280"/>
      <c r="L58" s="280"/>
      <c r="M58" s="281"/>
    </row>
    <row r="59" spans="1:13" ht="19.5" thickBot="1" x14ac:dyDescent="0.25">
      <c r="A59" s="302"/>
      <c r="B59" s="304"/>
      <c r="C59" s="306"/>
      <c r="D59" s="304"/>
      <c r="E59" s="282" t="str">
        <f t="shared" si="3"/>
        <v/>
      </c>
      <c r="F59" s="282" t="str">
        <f>+IF(OR(E59="LK"),ROUNDUP(D59*(VLOOKUP(B59,'[1]Pedido VACIO'!$E$1:$AT$65536,42,0))/25,0)*25,IF(E59="CH",D58-F58,""))</f>
        <v/>
      </c>
      <c r="G59" s="304"/>
      <c r="H59" s="283"/>
      <c r="I59" s="283"/>
      <c r="J59" s="283"/>
      <c r="K59" s="283"/>
      <c r="L59" s="283"/>
      <c r="M59" s="284"/>
    </row>
    <row r="60" spans="1:13" ht="18.75" x14ac:dyDescent="0.2">
      <c r="A60" s="297" t="str">
        <f t="array" ref="A60">+IFERROR(INDEX('[1]Pedido VACIO'!$B$1:$B$65536,MATCH(1,('[1]Pedido VACIO'!$E$1:$E$65536=$B60)*('[1]Pedido VACIO'!$A$1:$A$65536="Pat Bet Plast"),0)),"")</f>
        <v/>
      </c>
      <c r="B60" s="298">
        <f>+B58+1</f>
        <v>24</v>
      </c>
      <c r="C60" s="299" t="str">
        <f t="array" ref="C60">+IFERROR(INDEX('[1]Pedido VACIO'!$C$1:$C$65536,MATCH(1,('[1]Pedido VACIO'!$E$1:$E$65536=$B60)*('[1]Pedido VACIO'!$A$1:$A$65536="Pat Bet Plast"),0)),"")</f>
        <v/>
      </c>
      <c r="D60" s="298" t="str">
        <f t="array" ref="D60">+IFERROR(INDEX('[1]Pedido VACIO'!$D$1:$D$65536,MATCH(1,('[1]Pedido VACIO'!$E$1:$E$65536=$B60)*('[1]Pedido VACIO'!$A$1:$A$65536="Pat Bet Plast"),0)),"")</f>
        <v/>
      </c>
      <c r="E60" s="285" t="str">
        <f>+IF(E59="LK","CH",IF(D60="","",IF(D60&gt;0,"LK","CH")))</f>
        <v/>
      </c>
      <c r="F60" s="285" t="str">
        <f>+IF(OR(E60="LK"),ROUNDUP(D60*0.7/25,0)*25,IF(E60="CH",D59-F59,""))</f>
        <v/>
      </c>
      <c r="G60" s="298"/>
      <c r="H60" s="286"/>
      <c r="I60" s="286"/>
      <c r="J60" s="286"/>
      <c r="K60" s="286"/>
      <c r="L60" s="286"/>
      <c r="M60" s="286"/>
    </row>
    <row r="61" spans="1:13" ht="18.75" x14ac:dyDescent="0.2">
      <c r="A61" s="294"/>
      <c r="B61" s="295"/>
      <c r="C61" s="296"/>
      <c r="D61" s="295"/>
      <c r="E61" s="278" t="str">
        <f t="shared" ref="E61:E73" si="4">+IF(E60="LK","CH",IF(D61="","",IF(D61&gt;0,"LK","CH")))</f>
        <v/>
      </c>
      <c r="F61" s="285" t="str">
        <f t="shared" ref="F61:F73" si="5">+IF(OR(E61="LK"),ROUNDUP(D61*0.7/25,0)*25,IF(E61="CH",D60-F60,""))</f>
        <v/>
      </c>
      <c r="G61" s="295"/>
      <c r="H61" s="280"/>
      <c r="I61" s="280"/>
      <c r="J61" s="280"/>
      <c r="K61" s="280"/>
      <c r="L61" s="280"/>
      <c r="M61" s="280"/>
    </row>
    <row r="62" spans="1:13" ht="18.75" x14ac:dyDescent="0.2">
      <c r="A62" s="294" t="str">
        <f t="array" ref="A62">+IFERROR(INDEX('[1]Pedido VACIO'!$B$1:$B$65536,MATCH(1,('[1]Pedido VACIO'!$E$1:$E$65536=$B62)*('[1]Pedido VACIO'!$A$1:$A$65536="Pat Bet Plast"),0)),"")</f>
        <v/>
      </c>
      <c r="B62" s="295">
        <f>+B60+1</f>
        <v>25</v>
      </c>
      <c r="C62" s="296" t="str">
        <f t="array" ref="C62">+IFERROR(INDEX('[1]Pedido VACIO'!$C$1:$C$65536,MATCH(1,('[1]Pedido VACIO'!$E$1:$E$65536=$B62)*('[1]Pedido VACIO'!$A$1:$A$65536="Pat Bet Plast"),0)),"")</f>
        <v/>
      </c>
      <c r="D62" s="295" t="str">
        <f t="array" ref="D62">+IFERROR(INDEX('[1]Pedido VACIO'!$D$1:$D$65536,MATCH(1,('[1]Pedido VACIO'!$E$1:$E$65536=$B62)*('[1]Pedido VACIO'!$A$1:$A$65536="Pat Bet Plast"),0)),"")</f>
        <v/>
      </c>
      <c r="E62" s="278" t="str">
        <f t="shared" si="4"/>
        <v/>
      </c>
      <c r="F62" s="285" t="str">
        <f t="shared" si="5"/>
        <v/>
      </c>
      <c r="G62" s="295"/>
      <c r="H62" s="280"/>
      <c r="I62" s="280"/>
      <c r="J62" s="280"/>
      <c r="K62" s="280"/>
      <c r="L62" s="280"/>
      <c r="M62" s="280"/>
    </row>
    <row r="63" spans="1:13" ht="18.75" x14ac:dyDescent="0.2">
      <c r="A63" s="294"/>
      <c r="B63" s="295"/>
      <c r="C63" s="296"/>
      <c r="D63" s="295"/>
      <c r="E63" s="278" t="str">
        <f t="shared" si="4"/>
        <v/>
      </c>
      <c r="F63" s="285" t="str">
        <f t="shared" si="5"/>
        <v/>
      </c>
      <c r="G63" s="295"/>
      <c r="H63" s="280"/>
      <c r="I63" s="280"/>
      <c r="J63" s="280"/>
      <c r="K63" s="280"/>
      <c r="L63" s="280"/>
      <c r="M63" s="280"/>
    </row>
    <row r="64" spans="1:13" ht="18.75" x14ac:dyDescent="0.2">
      <c r="A64" s="294" t="str">
        <f t="array" ref="A64">+IFERROR(INDEX('[1]Pedido VACIO'!$B$1:$B$65536,MATCH(1,('[1]Pedido VACIO'!$E$1:$E$65536=$B64)*('[1]Pedido VACIO'!$A$1:$A$65536="Pat Bet Plast"),0)),"")</f>
        <v/>
      </c>
      <c r="B64" s="295">
        <f>+B62+1</f>
        <v>26</v>
      </c>
      <c r="C64" s="296" t="str">
        <f t="array" ref="C64">+IFERROR(INDEX('[1]Pedido VACIO'!$C$1:$C$65536,MATCH(1,('[1]Pedido VACIO'!$E$1:$E$65536=$B64)*('[1]Pedido VACIO'!$A$1:$A$65536="Pat Bet Plast"),0)),"")</f>
        <v/>
      </c>
      <c r="D64" s="295" t="str">
        <f t="array" ref="D64">+IFERROR(INDEX('[1]Pedido VACIO'!$D$1:$D$65536,MATCH(1,('[1]Pedido VACIO'!$E$1:$E$65536=$B64)*('[1]Pedido VACIO'!$A$1:$A$65536="Pat Bet Plast"),0)),"")</f>
        <v/>
      </c>
      <c r="E64" s="278" t="str">
        <f t="shared" si="4"/>
        <v/>
      </c>
      <c r="F64" s="285" t="str">
        <f t="shared" si="5"/>
        <v/>
      </c>
      <c r="G64" s="295"/>
      <c r="H64" s="280"/>
      <c r="I64" s="280"/>
      <c r="J64" s="280"/>
      <c r="K64" s="280"/>
      <c r="L64" s="280"/>
      <c r="M64" s="280"/>
    </row>
    <row r="65" spans="1:13" ht="18.75" x14ac:dyDescent="0.2">
      <c r="A65" s="294"/>
      <c r="B65" s="295"/>
      <c r="C65" s="296"/>
      <c r="D65" s="295"/>
      <c r="E65" s="278" t="str">
        <f t="shared" si="4"/>
        <v/>
      </c>
      <c r="F65" s="285" t="str">
        <f t="shared" si="5"/>
        <v/>
      </c>
      <c r="G65" s="295"/>
      <c r="H65" s="280"/>
      <c r="I65" s="280"/>
      <c r="J65" s="280"/>
      <c r="K65" s="280"/>
      <c r="L65" s="280"/>
      <c r="M65" s="280"/>
    </row>
    <row r="66" spans="1:13" ht="18.75" x14ac:dyDescent="0.2">
      <c r="A66" s="294" t="str">
        <f t="array" ref="A66">+IFERROR(INDEX('[1]Pedido VACIO'!$B$1:$B$65536,MATCH(1,('[1]Pedido VACIO'!$E$1:$E$65536=$B66)*('[1]Pedido VACIO'!$A$1:$A$65536="Pat Bet Plast"),0)),"")</f>
        <v/>
      </c>
      <c r="B66" s="295">
        <f>+B64+1</f>
        <v>27</v>
      </c>
      <c r="C66" s="296" t="str">
        <f t="array" ref="C66">+IFERROR(INDEX('[1]Pedido VACIO'!$C$1:$C$65536,MATCH(1,('[1]Pedido VACIO'!$E$1:$E$65536=$B66)*('[1]Pedido VACIO'!$A$1:$A$65536="Pat Bet Plast"),0)),"")</f>
        <v/>
      </c>
      <c r="D66" s="295" t="str">
        <f t="array" ref="D66">+IFERROR(INDEX('[1]Pedido VACIO'!$D$1:$D$65536,MATCH(1,('[1]Pedido VACIO'!$E$1:$E$65536=$B66)*('[1]Pedido VACIO'!$A$1:$A$65536="Pat Bet Plast"),0)),"")</f>
        <v/>
      </c>
      <c r="E66" s="278" t="str">
        <f t="shared" si="4"/>
        <v/>
      </c>
      <c r="F66" s="285" t="str">
        <f t="shared" si="5"/>
        <v/>
      </c>
      <c r="G66" s="295"/>
      <c r="H66" s="280"/>
      <c r="I66" s="280"/>
      <c r="J66" s="280"/>
      <c r="K66" s="280"/>
      <c r="L66" s="280"/>
      <c r="M66" s="280"/>
    </row>
    <row r="67" spans="1:13" ht="18.75" x14ac:dyDescent="0.2">
      <c r="A67" s="294"/>
      <c r="B67" s="295"/>
      <c r="C67" s="296"/>
      <c r="D67" s="295"/>
      <c r="E67" s="278" t="str">
        <f t="shared" si="4"/>
        <v/>
      </c>
      <c r="F67" s="285" t="str">
        <f t="shared" si="5"/>
        <v/>
      </c>
      <c r="G67" s="295"/>
      <c r="H67" s="280"/>
      <c r="I67" s="280"/>
      <c r="J67" s="280"/>
      <c r="K67" s="280"/>
      <c r="L67" s="280"/>
      <c r="M67" s="280"/>
    </row>
    <row r="68" spans="1:13" ht="18.75" x14ac:dyDescent="0.2">
      <c r="A68" s="294" t="str">
        <f t="array" ref="A68">+IFERROR(INDEX('[1]Pedido VACIO'!$B$1:$B$65536,MATCH(1,('[1]Pedido VACIO'!$E$1:$E$65536=$B68)*('[1]Pedido VACIO'!$A$1:$A$65536="Pat Bet Plast"),0)),"")</f>
        <v/>
      </c>
      <c r="B68" s="295">
        <f>+B66+1</f>
        <v>28</v>
      </c>
      <c r="C68" s="296" t="str">
        <f t="array" ref="C68">+IFERROR(INDEX('[1]Pedido VACIO'!$C$1:$C$65536,MATCH(1,('[1]Pedido VACIO'!$E$1:$E$65536=$B68)*('[1]Pedido VACIO'!$A$1:$A$65536="Pat Bet Plast"),0)),"")</f>
        <v/>
      </c>
      <c r="D68" s="295" t="str">
        <f t="array" ref="D68">+IFERROR(INDEX('[1]Pedido VACIO'!$D$1:$D$65536,MATCH(1,('[1]Pedido VACIO'!$E$1:$E$65536=$B68)*('[1]Pedido VACIO'!$A$1:$A$65536="Pat Bet Plast"),0)),"")</f>
        <v/>
      </c>
      <c r="E68" s="278" t="str">
        <f t="shared" si="4"/>
        <v/>
      </c>
      <c r="F68" s="285" t="str">
        <f t="shared" si="5"/>
        <v/>
      </c>
      <c r="G68" s="295"/>
      <c r="H68" s="280"/>
      <c r="I68" s="280"/>
      <c r="J68" s="280"/>
      <c r="K68" s="280"/>
      <c r="L68" s="280"/>
      <c r="M68" s="280"/>
    </row>
    <row r="69" spans="1:13" ht="18.75" x14ac:dyDescent="0.2">
      <c r="A69" s="294"/>
      <c r="B69" s="295"/>
      <c r="C69" s="296"/>
      <c r="D69" s="295"/>
      <c r="E69" s="278" t="str">
        <f t="shared" si="4"/>
        <v/>
      </c>
      <c r="F69" s="285" t="str">
        <f t="shared" si="5"/>
        <v/>
      </c>
      <c r="G69" s="295"/>
      <c r="H69" s="280"/>
      <c r="I69" s="280"/>
      <c r="J69" s="280"/>
      <c r="K69" s="280"/>
      <c r="L69" s="280"/>
      <c r="M69" s="280"/>
    </row>
    <row r="70" spans="1:13" ht="18.75" x14ac:dyDescent="0.2">
      <c r="A70" s="294" t="str">
        <f t="array" ref="A70">+IFERROR(INDEX('[1]Pedido VACIO'!$B$1:$B$65536,MATCH(1,('[1]Pedido VACIO'!$E$1:$E$65536=$B70)*('[1]Pedido VACIO'!$A$1:$A$65536="Pat Bet Plast"),0)),"")</f>
        <v/>
      </c>
      <c r="B70" s="295">
        <f>+B68+1</f>
        <v>29</v>
      </c>
      <c r="C70" s="296" t="str">
        <f t="array" ref="C70">+IFERROR(INDEX('[1]Pedido VACIO'!$C$1:$C$65536,MATCH(1,('[1]Pedido VACIO'!$E$1:$E$65536=$B70)*('[1]Pedido VACIO'!$A$1:$A$65536="Pat Bet Plast"),0)),"")</f>
        <v/>
      </c>
      <c r="D70" s="295" t="str">
        <f t="array" ref="D70">+IFERROR(INDEX('[1]Pedido VACIO'!$D$1:$D$65536,MATCH(1,('[1]Pedido VACIO'!$E$1:$E$65536=$B70)*('[1]Pedido VACIO'!$A$1:$A$65536="Pat Bet Plast"),0)),"")</f>
        <v/>
      </c>
      <c r="E70" s="278" t="str">
        <f t="shared" si="4"/>
        <v/>
      </c>
      <c r="F70" s="285" t="str">
        <f t="shared" si="5"/>
        <v/>
      </c>
      <c r="G70" s="295"/>
      <c r="H70" s="280"/>
      <c r="I70" s="280"/>
      <c r="J70" s="280"/>
      <c r="K70" s="280"/>
      <c r="L70" s="280"/>
      <c r="M70" s="280"/>
    </row>
    <row r="71" spans="1:13" ht="18.75" x14ac:dyDescent="0.2">
      <c r="A71" s="294"/>
      <c r="B71" s="295"/>
      <c r="C71" s="296"/>
      <c r="D71" s="295"/>
      <c r="E71" s="278" t="str">
        <f t="shared" si="4"/>
        <v/>
      </c>
      <c r="F71" s="285" t="str">
        <f t="shared" si="5"/>
        <v/>
      </c>
      <c r="G71" s="295"/>
      <c r="H71" s="280"/>
      <c r="I71" s="280"/>
      <c r="J71" s="280"/>
      <c r="K71" s="280"/>
      <c r="L71" s="280"/>
      <c r="M71" s="280"/>
    </row>
    <row r="72" spans="1:13" ht="18.75" x14ac:dyDescent="0.2">
      <c r="A72" s="294" t="str">
        <f t="array" ref="A72">+IFERROR(INDEX('[1]Pedido VACIO'!$B$1:$B$65536,MATCH(1,('[1]Pedido VACIO'!$E$1:$E$65536=$B72)*('[1]Pedido VACIO'!$A$1:$A$65536="Pat Bet Plast"),0)),"")</f>
        <v/>
      </c>
      <c r="B72" s="295">
        <f>+B70+1</f>
        <v>30</v>
      </c>
      <c r="C72" s="296" t="str">
        <f t="array" ref="C72">+IFERROR(INDEX('[1]Pedido VACIO'!$C$1:$C$65536,MATCH(1,('[1]Pedido VACIO'!$E$1:$E$65536=$B72)*('[1]Pedido VACIO'!$A$1:$A$65536="Pat Bet Plast"),0)),"")</f>
        <v/>
      </c>
      <c r="D72" s="295" t="str">
        <f t="array" ref="D72">+IFERROR(INDEX('[1]Pedido VACIO'!$D$1:$D$65536,MATCH(1,('[1]Pedido VACIO'!$E$1:$E$65536=$B72)*('[1]Pedido VACIO'!$A$1:$A$65536="Pat Bet Plast"),0)),"")</f>
        <v/>
      </c>
      <c r="E72" s="278" t="str">
        <f t="shared" si="4"/>
        <v/>
      </c>
      <c r="F72" s="285" t="str">
        <f t="shared" si="5"/>
        <v/>
      </c>
      <c r="G72" s="295"/>
      <c r="H72" s="280"/>
      <c r="I72" s="280"/>
      <c r="J72" s="280"/>
      <c r="K72" s="280"/>
      <c r="L72" s="280"/>
      <c r="M72" s="280"/>
    </row>
    <row r="73" spans="1:13" ht="18.75" x14ac:dyDescent="0.2">
      <c r="A73" s="294"/>
      <c r="B73" s="295"/>
      <c r="C73" s="296"/>
      <c r="D73" s="295"/>
      <c r="E73" s="278" t="str">
        <f t="shared" si="4"/>
        <v/>
      </c>
      <c r="F73" s="285" t="str">
        <f t="shared" si="5"/>
        <v/>
      </c>
      <c r="G73" s="295"/>
      <c r="H73" s="280"/>
      <c r="I73" s="280"/>
      <c r="J73" s="280"/>
      <c r="K73" s="280"/>
      <c r="L73" s="280"/>
      <c r="M73" s="280"/>
    </row>
  </sheetData>
  <mergeCells count="167">
    <mergeCell ref="A4:B4"/>
    <mergeCell ref="F4:G4"/>
    <mergeCell ref="H4:L4"/>
    <mergeCell ref="A6:C6"/>
    <mergeCell ref="F6:H6"/>
    <mergeCell ref="I6:M6"/>
    <mergeCell ref="A1:C1"/>
    <mergeCell ref="F1:L1"/>
    <mergeCell ref="A2:B2"/>
    <mergeCell ref="F2:G2"/>
    <mergeCell ref="H2:L2"/>
    <mergeCell ref="A3:B3"/>
    <mergeCell ref="F3:G3"/>
    <mergeCell ref="H3:L3"/>
    <mergeCell ref="F8:H8"/>
    <mergeCell ref="I8:M8"/>
    <mergeCell ref="A10:M10"/>
    <mergeCell ref="A12:M12"/>
    <mergeCell ref="A14:A15"/>
    <mergeCell ref="B14:B15"/>
    <mergeCell ref="C14:C15"/>
    <mergeCell ref="D14:D15"/>
    <mergeCell ref="G14:G15"/>
    <mergeCell ref="A16:A17"/>
    <mergeCell ref="B16:B17"/>
    <mergeCell ref="C16:C17"/>
    <mergeCell ref="D16:D17"/>
    <mergeCell ref="A18:A19"/>
    <mergeCell ref="B18:B19"/>
    <mergeCell ref="C18:C19"/>
    <mergeCell ref="D18:D19"/>
    <mergeCell ref="A8:B8"/>
    <mergeCell ref="G18:G19"/>
    <mergeCell ref="A20:A21"/>
    <mergeCell ref="B20:B21"/>
    <mergeCell ref="C20:C21"/>
    <mergeCell ref="D20:D21"/>
    <mergeCell ref="A22:A23"/>
    <mergeCell ref="B22:B23"/>
    <mergeCell ref="C22:C23"/>
    <mergeCell ref="D22:D23"/>
    <mergeCell ref="G22:G23"/>
    <mergeCell ref="A24:A25"/>
    <mergeCell ref="B24:B25"/>
    <mergeCell ref="C24:C25"/>
    <mergeCell ref="D24:D25"/>
    <mergeCell ref="G24:G25"/>
    <mergeCell ref="A26:A27"/>
    <mergeCell ref="B26:B27"/>
    <mergeCell ref="C26:C27"/>
    <mergeCell ref="D26:D27"/>
    <mergeCell ref="G26:G27"/>
    <mergeCell ref="A28:A29"/>
    <mergeCell ref="B28:B29"/>
    <mergeCell ref="C28:C29"/>
    <mergeCell ref="D28:D29"/>
    <mergeCell ref="G28:G29"/>
    <mergeCell ref="A30:A31"/>
    <mergeCell ref="B30:B31"/>
    <mergeCell ref="C30:C31"/>
    <mergeCell ref="D30:D31"/>
    <mergeCell ref="G30:G31"/>
    <mergeCell ref="A32:A33"/>
    <mergeCell ref="B32:B33"/>
    <mergeCell ref="C32:C33"/>
    <mergeCell ref="D32:D33"/>
    <mergeCell ref="G32:G33"/>
    <mergeCell ref="A34:A35"/>
    <mergeCell ref="B34:B35"/>
    <mergeCell ref="C34:C35"/>
    <mergeCell ref="D34:D35"/>
    <mergeCell ref="G34:G35"/>
    <mergeCell ref="A36:A37"/>
    <mergeCell ref="B36:B37"/>
    <mergeCell ref="C36:C37"/>
    <mergeCell ref="D36:D37"/>
    <mergeCell ref="G36:G37"/>
    <mergeCell ref="A38:A39"/>
    <mergeCell ref="B38:B39"/>
    <mergeCell ref="C38:C39"/>
    <mergeCell ref="D38:D39"/>
    <mergeCell ref="G38:G39"/>
    <mergeCell ref="A40:A41"/>
    <mergeCell ref="B40:B41"/>
    <mergeCell ref="C40:C41"/>
    <mergeCell ref="D40:D41"/>
    <mergeCell ref="G40:G41"/>
    <mergeCell ref="A42:A43"/>
    <mergeCell ref="B42:B43"/>
    <mergeCell ref="C42:C43"/>
    <mergeCell ref="D42:D43"/>
    <mergeCell ref="G42:G43"/>
    <mergeCell ref="A44:A45"/>
    <mergeCell ref="B44:B45"/>
    <mergeCell ref="C44:C45"/>
    <mergeCell ref="D44:D45"/>
    <mergeCell ref="G44:G45"/>
    <mergeCell ref="A46:A47"/>
    <mergeCell ref="B46:B47"/>
    <mergeCell ref="C46:C47"/>
    <mergeCell ref="D46:D47"/>
    <mergeCell ref="G46:G47"/>
    <mergeCell ref="A48:A49"/>
    <mergeCell ref="B48:B49"/>
    <mergeCell ref="C48:C49"/>
    <mergeCell ref="D48:D49"/>
    <mergeCell ref="G48:G49"/>
    <mergeCell ref="A50:A51"/>
    <mergeCell ref="B50:B51"/>
    <mergeCell ref="C50:C51"/>
    <mergeCell ref="D50:D51"/>
    <mergeCell ref="G50:G51"/>
    <mergeCell ref="A52:A53"/>
    <mergeCell ref="B52:B53"/>
    <mergeCell ref="C52:C53"/>
    <mergeCell ref="D52:D53"/>
    <mergeCell ref="G52:G53"/>
    <mergeCell ref="A54:A55"/>
    <mergeCell ref="B54:B55"/>
    <mergeCell ref="C54:C55"/>
    <mergeCell ref="D54:D55"/>
    <mergeCell ref="G54:G55"/>
    <mergeCell ref="A56:A57"/>
    <mergeCell ref="B56:B57"/>
    <mergeCell ref="C56:C57"/>
    <mergeCell ref="D56:D57"/>
    <mergeCell ref="G56:G57"/>
    <mergeCell ref="A58:A59"/>
    <mergeCell ref="B58:B59"/>
    <mergeCell ref="C58:C59"/>
    <mergeCell ref="D58:D59"/>
    <mergeCell ref="G58:G59"/>
    <mergeCell ref="A60:A61"/>
    <mergeCell ref="B60:B61"/>
    <mergeCell ref="C60:C61"/>
    <mergeCell ref="D60:D61"/>
    <mergeCell ref="G60:G61"/>
    <mergeCell ref="A62:A63"/>
    <mergeCell ref="B62:B63"/>
    <mergeCell ref="C62:C63"/>
    <mergeCell ref="D62:D63"/>
    <mergeCell ref="G62:G63"/>
    <mergeCell ref="A64:A65"/>
    <mergeCell ref="B64:B65"/>
    <mergeCell ref="C64:C65"/>
    <mergeCell ref="D64:D65"/>
    <mergeCell ref="G64:G65"/>
    <mergeCell ref="A66:A67"/>
    <mergeCell ref="B66:B67"/>
    <mergeCell ref="C66:C67"/>
    <mergeCell ref="D66:D67"/>
    <mergeCell ref="G66:G67"/>
    <mergeCell ref="A72:A73"/>
    <mergeCell ref="B72:B73"/>
    <mergeCell ref="C72:C73"/>
    <mergeCell ref="D72:D73"/>
    <mergeCell ref="G72:G73"/>
    <mergeCell ref="A68:A69"/>
    <mergeCell ref="B68:B69"/>
    <mergeCell ref="C68:C69"/>
    <mergeCell ref="D68:D69"/>
    <mergeCell ref="G68:G69"/>
    <mergeCell ref="A70:A71"/>
    <mergeCell ref="B70:B71"/>
    <mergeCell ref="C70:C71"/>
    <mergeCell ref="D70:D71"/>
    <mergeCell ref="G70:G71"/>
  </mergeCells>
  <printOptions horizontalCentered="1"/>
  <pageMargins left="0" right="0" top="0" bottom="0" header="0" footer="0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11.42578125" style="252" customWidth="1"/>
    <col min="2" max="2" width="5.7109375" style="252" customWidth="1"/>
    <col min="3" max="3" width="7.85546875" style="253" customWidth="1"/>
    <col min="4" max="5" width="6.7109375" style="253" customWidth="1"/>
    <col min="6" max="6" width="7.85546875" style="253" customWidth="1"/>
    <col min="7" max="16384" width="11.5703125" style="252"/>
  </cols>
  <sheetData>
    <row r="1" spans="1:6" ht="19.5" thickBot="1" x14ac:dyDescent="0.3">
      <c r="A1" s="350" t="s">
        <v>1230</v>
      </c>
      <c r="B1" s="351"/>
      <c r="C1" s="351"/>
      <c r="D1" s="351"/>
      <c r="E1" s="351"/>
      <c r="F1" s="352"/>
    </row>
    <row r="2" spans="1:6" ht="36.950000000000003" customHeight="1" thickBot="1" x14ac:dyDescent="0.3">
      <c r="A2" s="262" t="s">
        <v>1225</v>
      </c>
      <c r="B2" s="263" t="s">
        <v>25</v>
      </c>
      <c r="C2" s="264" t="s">
        <v>1227</v>
      </c>
      <c r="D2" s="264" t="s">
        <v>1226</v>
      </c>
      <c r="E2" s="264" t="s">
        <v>1228</v>
      </c>
      <c r="F2" s="265" t="s">
        <v>1229</v>
      </c>
    </row>
    <row r="3" spans="1:6" ht="18.75" x14ac:dyDescent="0.25">
      <c r="A3" s="258">
        <f>+IFERROR(VLOOKUP(ROW()-2,'Relevamiento 11-03'!$B:$AD,3,),"")</f>
        <v>1100700</v>
      </c>
      <c r="B3" s="259">
        <f>+IFERROR(VLOOKUP(ROW()-2,'Relevamiento 11-03'!$B:$AD,5,),"")</f>
        <v>1</v>
      </c>
      <c r="C3" s="260">
        <f>+IF(D3&gt;F3,0,IF(E3&gt;0,IF(E3&lt;(F3-D3),E3,F3-D3),0))</f>
        <v>310</v>
      </c>
      <c r="D3" s="259">
        <f>+IFERROR(VLOOKUP(ROW()-2,'Relevamiento 11-03'!$B:$AD,12,),0)+IFERROR(VLOOKUP(ROW()-2,'Relevamiento 11-03'!$B:$AD,13,),0)/25</f>
        <v>50</v>
      </c>
      <c r="E3" s="259">
        <f>+IFERROR(VLOOKUP(ROW()-2,'Relevamiento 11-03'!$B:$AD,14,),"")/25</f>
        <v>310</v>
      </c>
      <c r="F3" s="261">
        <f>+IFERROR(VLOOKUP(ROW()-2,'Relevamiento 11-03'!$B:$AD,25,0),0)</f>
        <v>465</v>
      </c>
    </row>
    <row r="4" spans="1:6" ht="18.75" x14ac:dyDescent="0.25">
      <c r="A4" s="255">
        <f>+IFERROR(VLOOKUP(ROW()-2,'Relevamiento 11-03'!$B:$AD,3,),"")</f>
        <v>1101700</v>
      </c>
      <c r="B4" s="254">
        <f>+IFERROR(VLOOKUP(ROW()-2,'Relevamiento 11-03'!$B:$AD,5,),"")</f>
        <v>2</v>
      </c>
      <c r="C4" s="85">
        <f>+IF(D4&gt;F4,0,IF(E4&gt;0,IF(E4&lt;(F4-D4),E4,F4-D4),0))</f>
        <v>146</v>
      </c>
      <c r="D4" s="254">
        <f>+IFERROR(VLOOKUP(ROW()-2,'Relevamiento 11-03'!$B:$AD,12,),0)+IFERROR(VLOOKUP(ROW()-2,'Relevamiento 11-03'!$B:$AD,13,),0)/25</f>
        <v>68.52</v>
      </c>
      <c r="E4" s="254">
        <f>+IFERROR(VLOOKUP(ROW()-2,'Relevamiento 11-03'!$B:$AD,14,),"")/25</f>
        <v>146</v>
      </c>
      <c r="F4" s="86">
        <f>+IFERROR(VLOOKUP(ROW()-2,'Relevamiento 11-03'!$B:$AD,25,0),0)</f>
        <v>576</v>
      </c>
    </row>
    <row r="5" spans="1:6" ht="18.75" x14ac:dyDescent="0.25">
      <c r="A5" s="255">
        <f>+IFERROR(VLOOKUP(ROW()-2,'Relevamiento 11-03'!$B:$AD,3,),"")</f>
        <v>1103700</v>
      </c>
      <c r="B5" s="254">
        <f>+IFERROR(VLOOKUP(ROW()-2,'Relevamiento 11-03'!$B:$AD,5,),"")</f>
        <v>6</v>
      </c>
      <c r="C5" s="85">
        <f t="shared" ref="C5:C16" si="0">+IF(D5&gt;F5,0,IF(E5&gt;0,IF(E5&lt;(F5-D5),E5,F5-D5),0))</f>
        <v>0</v>
      </c>
      <c r="D5" s="254">
        <f>+IFERROR(VLOOKUP(ROW()-2,'Relevamiento 11-03'!$B:$AD,12,),0)+IFERROR(VLOOKUP(ROW()-2,'Relevamiento 11-03'!$B:$AD,13,),0)/25</f>
        <v>50</v>
      </c>
      <c r="E5" s="254">
        <f>+IFERROR(VLOOKUP(ROW()-2,'Relevamiento 11-03'!$B:$AD,14,),"")/25</f>
        <v>0</v>
      </c>
      <c r="F5" s="86">
        <f>+IFERROR(VLOOKUP(ROW()-2,'Relevamiento 11-03'!$B:$AD,25,0),0)</f>
        <v>376</v>
      </c>
    </row>
    <row r="6" spans="1:6" ht="18.75" x14ac:dyDescent="0.25">
      <c r="A6" s="255">
        <f>+IFERROR(VLOOKUP(ROW()-2,'Relevamiento 11-03'!$B:$AD,3,),"")</f>
        <v>1104700</v>
      </c>
      <c r="B6" s="254">
        <f>+IFERROR(VLOOKUP(ROW()-2,'Relevamiento 11-03'!$B:$AD,5,),"")</f>
        <v>7</v>
      </c>
      <c r="C6" s="85">
        <f t="shared" si="0"/>
        <v>0</v>
      </c>
      <c r="D6" s="254">
        <f>+IFERROR(VLOOKUP(ROW()-2,'Relevamiento 11-03'!$B:$AD,12,),0)+IFERROR(VLOOKUP(ROW()-2,'Relevamiento 11-03'!$B:$AD,13,),0)/25</f>
        <v>11.48</v>
      </c>
      <c r="E6" s="254">
        <f>+IFERROR(VLOOKUP(ROW()-2,'Relevamiento 11-03'!$B:$AD,14,),"")/25</f>
        <v>0</v>
      </c>
      <c r="F6" s="86">
        <f>+IFERROR(VLOOKUP(ROW()-2,'Relevamiento 11-03'!$B:$AD,25,0),0)</f>
        <v>95</v>
      </c>
    </row>
    <row r="7" spans="1:6" ht="18.75" x14ac:dyDescent="0.25">
      <c r="A7" s="255">
        <f>+IFERROR(VLOOKUP(ROW()-2,'Relevamiento 11-03'!$B:$AD,3,),"")</f>
        <v>1105700</v>
      </c>
      <c r="B7" s="254">
        <f>+IFERROR(VLOOKUP(ROW()-2,'Relevamiento 11-03'!$B:$AD,5,),"")</f>
        <v>8</v>
      </c>
      <c r="C7" s="85">
        <f t="shared" si="0"/>
        <v>0</v>
      </c>
      <c r="D7" s="254">
        <f>+IFERROR(VLOOKUP(ROW()-2,'Relevamiento 11-03'!$B:$AD,12,),0)+IFERROR(VLOOKUP(ROW()-2,'Relevamiento 11-03'!$B:$AD,13,),0)/25</f>
        <v>0</v>
      </c>
      <c r="E7" s="254">
        <f>+IFERROR(VLOOKUP(ROW()-2,'Relevamiento 11-03'!$B:$AD,14,),"")/25</f>
        <v>0</v>
      </c>
      <c r="F7" s="86">
        <f>+IFERROR(VLOOKUP(ROW()-2,'Relevamiento 11-03'!$B:$AD,25,0),0)</f>
        <v>60</v>
      </c>
    </row>
    <row r="8" spans="1:6" ht="18.75" x14ac:dyDescent="0.25">
      <c r="A8" s="255">
        <f>+IFERROR(VLOOKUP(ROW()-2,'Relevamiento 11-03'!$B:$AD,3,),"")</f>
        <v>1106700</v>
      </c>
      <c r="B8" s="254">
        <f>+IFERROR(VLOOKUP(ROW()-2,'Relevamiento 11-03'!$B:$AD,5,),"")</f>
        <v>10</v>
      </c>
      <c r="C8" s="85">
        <f t="shared" si="0"/>
        <v>0</v>
      </c>
      <c r="D8" s="254">
        <f>+IFERROR(VLOOKUP(ROW()-2,'Relevamiento 11-03'!$B:$AD,12,),0)+IFERROR(VLOOKUP(ROW()-2,'Relevamiento 11-03'!$B:$AD,13,),0)/25</f>
        <v>80</v>
      </c>
      <c r="E8" s="254">
        <f>+IFERROR(VLOOKUP(ROW()-2,'Relevamiento 11-03'!$B:$AD,14,),"")/25</f>
        <v>0</v>
      </c>
      <c r="F8" s="86">
        <f>+IFERROR(VLOOKUP(ROW()-2,'Relevamiento 11-03'!$B:$AD,25,0),0)</f>
        <v>160</v>
      </c>
    </row>
    <row r="9" spans="1:6" ht="18.75" x14ac:dyDescent="0.25">
      <c r="A9" s="255">
        <f>+IFERROR(VLOOKUP(ROW()-2,'Relevamiento 11-03'!$B:$AD,3,),"")</f>
        <v>1107700</v>
      </c>
      <c r="B9" s="254">
        <f>+IFERROR(VLOOKUP(ROW()-2,'Relevamiento 11-03'!$B:$AD,5,),"")</f>
        <v>12</v>
      </c>
      <c r="C9" s="85">
        <f t="shared" si="0"/>
        <v>0</v>
      </c>
      <c r="D9" s="254">
        <f>+IFERROR(VLOOKUP(ROW()-2,'Relevamiento 11-03'!$B:$AD,12,),0)+IFERROR(VLOOKUP(ROW()-2,'Relevamiento 11-03'!$B:$AD,13,),0)/25</f>
        <v>250</v>
      </c>
      <c r="E9" s="254">
        <f>+IFERROR(VLOOKUP(ROW()-2,'Relevamiento 11-03'!$B:$AD,14,),"")/25</f>
        <v>73.760000000000005</v>
      </c>
      <c r="F9" s="86">
        <f>+IFERROR(VLOOKUP(ROW()-2,'Relevamiento 11-03'!$B:$AD,25,0),0)</f>
        <v>171</v>
      </c>
    </row>
    <row r="10" spans="1:6" ht="18.75" x14ac:dyDescent="0.25">
      <c r="A10" s="255">
        <f>+IFERROR(VLOOKUP(ROW()-2,'Relevamiento 11-03'!$B:$AD,3,),"")</f>
        <v>1108700</v>
      </c>
      <c r="B10" s="254">
        <f>+IFERROR(VLOOKUP(ROW()-2,'Relevamiento 11-03'!$B:$AD,5,),"")</f>
        <v>13</v>
      </c>
      <c r="C10" s="85">
        <f t="shared" si="0"/>
        <v>60</v>
      </c>
      <c r="D10" s="254">
        <f>+IFERROR(VLOOKUP(ROW()-2,'Relevamiento 11-03'!$B:$AD,12,),0)+IFERROR(VLOOKUP(ROW()-2,'Relevamiento 11-03'!$B:$AD,13,),0)/25</f>
        <v>5.68</v>
      </c>
      <c r="E10" s="254">
        <f>+IFERROR(VLOOKUP(ROW()-2,'Relevamiento 11-03'!$B:$AD,14,),"")/25</f>
        <v>60</v>
      </c>
      <c r="F10" s="86">
        <f>+IFERROR(VLOOKUP(ROW()-2,'Relevamiento 11-03'!$B:$AD,25,0),0)</f>
        <v>105</v>
      </c>
    </row>
    <row r="11" spans="1:6" ht="18.75" x14ac:dyDescent="0.25">
      <c r="A11" s="255">
        <f>+IFERROR(VLOOKUP(ROW()-2,'Relevamiento 11-03'!$B:$AD,3,),"")</f>
        <v>1114700</v>
      </c>
      <c r="B11" s="254">
        <f>+IFERROR(VLOOKUP(ROW()-2,'Relevamiento 11-03'!$B:$AD,5,),"")</f>
        <v>15</v>
      </c>
      <c r="C11" s="85">
        <f t="shared" si="0"/>
        <v>0</v>
      </c>
      <c r="D11" s="254">
        <f>+IFERROR(VLOOKUP(ROW()-2,'Relevamiento 11-03'!$B:$AD,12,),0)+IFERROR(VLOOKUP(ROW()-2,'Relevamiento 11-03'!$B:$AD,13,),0)/25</f>
        <v>52.4</v>
      </c>
      <c r="E11" s="254">
        <f>+IFERROR(VLOOKUP(ROW()-2,'Relevamiento 11-03'!$B:$AD,14,),"")/25</f>
        <v>0</v>
      </c>
      <c r="F11" s="86">
        <f>+IFERROR(VLOOKUP(ROW()-2,'Relevamiento 11-03'!$B:$AD,25,0),0)</f>
        <v>0</v>
      </c>
    </row>
    <row r="12" spans="1:6" ht="18.75" x14ac:dyDescent="0.25">
      <c r="A12" s="255">
        <f>+IFERROR(VLOOKUP(ROW()-2,'Relevamiento 11-03'!$B:$AD,3,),"")</f>
        <v>1115700</v>
      </c>
      <c r="B12" s="254">
        <f>+IFERROR(VLOOKUP(ROW()-2,'Relevamiento 11-03'!$B:$AD,5,),"")</f>
        <v>16</v>
      </c>
      <c r="C12" s="85">
        <f t="shared" si="0"/>
        <v>0</v>
      </c>
      <c r="D12" s="254">
        <f>+IFERROR(VLOOKUP(ROW()-2,'Relevamiento 11-03'!$B:$AD,12,),0)+IFERROR(VLOOKUP(ROW()-2,'Relevamiento 11-03'!$B:$AD,13,),0)/25</f>
        <v>83</v>
      </c>
      <c r="E12" s="254">
        <f>+IFERROR(VLOOKUP(ROW()-2,'Relevamiento 11-03'!$B:$AD,14,),"")/25</f>
        <v>0</v>
      </c>
      <c r="F12" s="86">
        <f>+IFERROR(VLOOKUP(ROW()-2,'Relevamiento 11-03'!$B:$AD,25,0),0)</f>
        <v>0</v>
      </c>
    </row>
    <row r="13" spans="1:6" ht="18.75" x14ac:dyDescent="0.25">
      <c r="A13" s="255">
        <f>+IFERROR(VLOOKUP(ROW()-2,'Relevamiento 11-03'!$B:$AD,3,),"")</f>
        <v>1110700</v>
      </c>
      <c r="B13" s="254">
        <f>+IFERROR(VLOOKUP(ROW()-2,'Relevamiento 11-03'!$B:$AD,5,),"")</f>
        <v>22</v>
      </c>
      <c r="C13" s="85">
        <f t="shared" si="0"/>
        <v>208</v>
      </c>
      <c r="D13" s="254">
        <f>+IFERROR(VLOOKUP(ROW()-2,'Relevamiento 11-03'!$B:$AD,12,),0)+IFERROR(VLOOKUP(ROW()-2,'Relevamiento 11-03'!$B:$AD,13,),0)/25</f>
        <v>283</v>
      </c>
      <c r="E13" s="254">
        <f>+IFERROR(VLOOKUP(ROW()-2,'Relevamiento 11-03'!$B:$AD,14,),"")/25</f>
        <v>208</v>
      </c>
      <c r="F13" s="86">
        <f>+IFERROR(VLOOKUP(ROW()-2,'Relevamiento 11-03'!$B:$AD,25,0),0)</f>
        <v>680</v>
      </c>
    </row>
    <row r="14" spans="1:6" ht="18.75" x14ac:dyDescent="0.25">
      <c r="A14" s="255">
        <f>+IFERROR(VLOOKUP(ROW()-2,'Relevamiento 11-03'!$B:$AD,3,),"")</f>
        <v>1111700</v>
      </c>
      <c r="B14" s="254">
        <f>+IFERROR(VLOOKUP(ROW()-2,'Relevamiento 11-03'!$B:$AD,5,),"")</f>
        <v>27</v>
      </c>
      <c r="C14" s="85">
        <f t="shared" si="0"/>
        <v>0</v>
      </c>
      <c r="D14" s="254">
        <f>+IFERROR(VLOOKUP(ROW()-2,'Relevamiento 11-03'!$B:$AD,12,),0)+IFERROR(VLOOKUP(ROW()-2,'Relevamiento 11-03'!$B:$AD,13,),0)/25</f>
        <v>42.24</v>
      </c>
      <c r="E14" s="254">
        <f>+IFERROR(VLOOKUP(ROW()-2,'Relevamiento 11-03'!$B:$AD,14,),"")/25</f>
        <v>0</v>
      </c>
      <c r="F14" s="86">
        <f>+IFERROR(VLOOKUP(ROW()-2,'Relevamiento 11-03'!$B:$AD,25,0),0)</f>
        <v>43</v>
      </c>
    </row>
    <row r="15" spans="1:6" ht="18.75" x14ac:dyDescent="0.25">
      <c r="A15" s="255">
        <f>+IFERROR(VLOOKUP(ROW()-2,'Relevamiento 11-03'!$B:$AD,3,),"")</f>
        <v>1113700</v>
      </c>
      <c r="B15" s="254">
        <f>+IFERROR(VLOOKUP(ROW()-2,'Relevamiento 11-03'!$B:$AD,5,),"")</f>
        <v>29</v>
      </c>
      <c r="C15" s="85">
        <f t="shared" si="0"/>
        <v>365</v>
      </c>
      <c r="D15" s="254">
        <f>+IFERROR(VLOOKUP(ROW()-2,'Relevamiento 11-03'!$B:$AD,12,),0)+IFERROR(VLOOKUP(ROW()-2,'Relevamiento 11-03'!$B:$AD,13,),0)/25</f>
        <v>20</v>
      </c>
      <c r="E15" s="254">
        <f>+IFERROR(VLOOKUP(ROW()-2,'Relevamiento 11-03'!$B:$AD,14,),"")/25</f>
        <v>365</v>
      </c>
      <c r="F15" s="86">
        <f>+IFERROR(VLOOKUP(ROW()-2,'Relevamiento 11-03'!$B:$AD,25,0),0)</f>
        <v>1293</v>
      </c>
    </row>
    <row r="16" spans="1:6" ht="57" thickBot="1" x14ac:dyDescent="0.3">
      <c r="A16" s="256">
        <f>+IFERROR(VLOOKUP(ROW()-2,'Relevamiento 11-03'!$B:$AD,3,),"")</f>
        <v>1289700</v>
      </c>
      <c r="B16" s="257" t="str">
        <f>+IFERROR(VLOOKUP(ROW()-2,'Relevamiento 11-03'!$B:$AD,5,),"")</f>
        <v>Tira Imp.</v>
      </c>
      <c r="C16" s="213">
        <f t="shared" si="0"/>
        <v>0</v>
      </c>
      <c r="D16" s="257">
        <f>+IFERROR(VLOOKUP(ROW()-2,'Relevamiento 11-03'!$B:$AD,12,),0)+IFERROR(VLOOKUP(ROW()-2,'Relevamiento 11-03'!$B:$AD,13,),0)/25</f>
        <v>43.16</v>
      </c>
      <c r="E16" s="257">
        <f>+IFERROR(VLOOKUP(ROW()-2,'Relevamiento 11-03'!$B:$AD,14,),"")/25</f>
        <v>0</v>
      </c>
      <c r="F16" s="214">
        <f>+IFERROR(VLOOKUP(ROW()-2,'Relevamiento 11-03'!$B:$AD,25,0),0)</f>
        <v>50</v>
      </c>
    </row>
    <row r="17" spans="1:2" x14ac:dyDescent="0.25">
      <c r="A17" s="252" t="str">
        <f>+IFERROR(VLOOKUP(ROW()-2,'Relevamiento 11-03'!$B:$AD,3,),"")</f>
        <v/>
      </c>
      <c r="B17" s="252" t="str">
        <f>+IFERROR(VLOOKUP(ROW()-2,'Relevamiento 11-03'!$B:$AD,5,),"")</f>
        <v/>
      </c>
    </row>
    <row r="18" spans="1:2" x14ac:dyDescent="0.25">
      <c r="A18" s="252" t="str">
        <f>+IFERROR(VLOOKUP(ROW()-2,'Relevamiento 11-03'!$B:$AD,3,),"")</f>
        <v/>
      </c>
      <c r="B18" s="252" t="str">
        <f>+IFERROR(VLOOKUP(ROW()-2,'Relevamiento 11-03'!$B:$AD,5,),"")</f>
        <v/>
      </c>
    </row>
    <row r="19" spans="1:2" x14ac:dyDescent="0.25">
      <c r="A19" s="252" t="str">
        <f>+IFERROR(VLOOKUP(ROW()-2,'Relevamiento 11-03'!$B:$AD,3,),"")</f>
        <v/>
      </c>
      <c r="B19" s="252" t="str">
        <f>+IFERROR(VLOOKUP(ROW()-2,'Relevamiento 11-03'!$B:$AD,5,),"")</f>
        <v/>
      </c>
    </row>
    <row r="20" spans="1:2" x14ac:dyDescent="0.25">
      <c r="A20" s="252" t="str">
        <f>+IFERROR(VLOOKUP(ROW()-2,'Relevamiento 11-03'!$B:$AD,3,),"")</f>
        <v/>
      </c>
      <c r="B20" s="252" t="str">
        <f>+IFERROR(VLOOKUP(ROW()-2,'Relevamiento 11-03'!$B:$AD,5,),"")</f>
        <v/>
      </c>
    </row>
    <row r="21" spans="1:2" x14ac:dyDescent="0.25">
      <c r="A21" s="252" t="str">
        <f>+IFERROR(VLOOKUP(ROW()-2,'Relevamiento 11-03'!$B:$AD,3,),"")</f>
        <v/>
      </c>
      <c r="B21" s="252" t="str">
        <f>+IFERROR(VLOOKUP(ROW()-2,'Relevamiento 11-03'!$B:$AD,5,),"")</f>
        <v/>
      </c>
    </row>
    <row r="22" spans="1:2" x14ac:dyDescent="0.25">
      <c r="A22" s="252" t="str">
        <f>+IFERROR(VLOOKUP(ROW()-2,'Relevamiento 11-03'!$B:$AD,3,),"")</f>
        <v/>
      </c>
      <c r="B22" s="252" t="str">
        <f>+IFERROR(VLOOKUP(ROW()-2,'Relevamiento 11-03'!$B:$AD,5,),"")</f>
        <v/>
      </c>
    </row>
    <row r="23" spans="1:2" x14ac:dyDescent="0.25">
      <c r="A23" s="252" t="str">
        <f>+IFERROR(VLOOKUP(ROW()-2,'Relevamiento 11-03'!$B:$AD,3,),"")</f>
        <v/>
      </c>
      <c r="B23" s="252" t="str">
        <f>+IFERROR(VLOOKUP(ROW()-2,'Relevamiento 11-03'!$B:$AD,5,),"")</f>
        <v/>
      </c>
    </row>
    <row r="24" spans="1:2" x14ac:dyDescent="0.25">
      <c r="A24" s="252" t="str">
        <f>+IFERROR(VLOOKUP(ROW()-2,'Relevamiento 11-03'!$B:$AD,3,),"")</f>
        <v/>
      </c>
      <c r="B24" s="252" t="str">
        <f>+IFERROR(VLOOKUP(ROW()-2,'Relevamiento 11-03'!$B:$AD,5,),"")</f>
        <v/>
      </c>
    </row>
    <row r="25" spans="1:2" x14ac:dyDescent="0.25">
      <c r="A25" s="252" t="str">
        <f>+IFERROR(VLOOKUP(ROW()-2,'Relevamiento 11-03'!$B:$AD,3,),"")</f>
        <v/>
      </c>
      <c r="B25" s="252" t="str">
        <f>+IFERROR(VLOOKUP(ROW()-2,'Relevamiento 11-03'!$B:$AD,5,),"")</f>
        <v/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8"/>
  </sheetPr>
  <dimension ref="A1:AF31"/>
  <sheetViews>
    <sheetView zoomScale="89" zoomScaleNormal="89" workbookViewId="0">
      <selection activeCell="L33" sqref="L33"/>
    </sheetView>
  </sheetViews>
  <sheetFormatPr baseColWidth="10" defaultRowHeight="15" x14ac:dyDescent="0.25"/>
  <cols>
    <col min="3" max="3" width="6.42578125" customWidth="1"/>
    <col min="4" max="4" width="12" customWidth="1"/>
    <col min="5" max="5" width="8.28515625" customWidth="1"/>
    <col min="6" max="6" width="9.42578125" customWidth="1"/>
    <col min="7" max="7" width="12.140625" customWidth="1"/>
    <col min="8" max="8" width="6.140625" customWidth="1"/>
    <col min="9" max="9" width="11.7109375" customWidth="1"/>
    <col min="10" max="10" width="11" style="1" customWidth="1"/>
    <col min="11" max="11" width="10.7109375" customWidth="1"/>
    <col min="12" max="12" width="7.42578125" customWidth="1"/>
    <col min="13" max="13" width="8.7109375" customWidth="1"/>
    <col min="14" max="14" width="7.5703125" customWidth="1"/>
    <col min="15" max="15" width="10.5703125" customWidth="1"/>
    <col min="16" max="16" width="3.42578125" customWidth="1"/>
    <col min="17" max="17" width="11.140625" customWidth="1"/>
    <col min="18" max="18" width="8.28515625" customWidth="1"/>
    <col min="19" max="19" width="2.7109375" customWidth="1"/>
    <col min="20" max="20" width="24" customWidth="1"/>
    <col min="21" max="21" width="1.28515625" customWidth="1"/>
    <col min="22" max="22" width="12.42578125" style="243" customWidth="1"/>
    <col min="23" max="23" width="11.140625" customWidth="1"/>
    <col min="24" max="24" width="9.28515625" customWidth="1"/>
    <col min="25" max="25" width="1.42578125" customWidth="1"/>
    <col min="26" max="26" width="11.7109375" customWidth="1"/>
    <col min="27" max="27" width="11.42578125" customWidth="1"/>
    <col min="28" max="28" width="11.7109375" customWidth="1"/>
    <col min="29" max="29" width="13.28515625" customWidth="1"/>
  </cols>
  <sheetData>
    <row r="1" spans="1:32" ht="29.25" thickBot="1" x14ac:dyDescent="0.3">
      <c r="C1" s="217" t="s">
        <v>1201</v>
      </c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Q1" s="218"/>
      <c r="R1" s="219"/>
      <c r="V1" s="28"/>
      <c r="W1" s="12"/>
      <c r="AC1" s="36"/>
    </row>
    <row r="2" spans="1:32" ht="3.95" customHeight="1" thickBot="1" x14ac:dyDescent="0.35">
      <c r="K2" s="12"/>
      <c r="M2" s="35"/>
      <c r="N2" s="35"/>
      <c r="O2" s="36"/>
      <c r="R2" s="33"/>
      <c r="T2" s="32"/>
      <c r="W2" s="31"/>
      <c r="X2" s="12"/>
    </row>
    <row r="3" spans="1:32" ht="36.6" customHeight="1" thickBot="1" x14ac:dyDescent="0.3">
      <c r="C3" s="187" t="s">
        <v>871</v>
      </c>
      <c r="D3" s="188"/>
      <c r="E3" s="188"/>
      <c r="F3" s="188"/>
      <c r="G3" s="188"/>
      <c r="H3" s="188"/>
      <c r="I3" s="27" t="s">
        <v>29</v>
      </c>
      <c r="J3" s="27" t="s">
        <v>30</v>
      </c>
      <c r="L3" s="215"/>
      <c r="M3" s="353"/>
      <c r="N3" s="354"/>
      <c r="O3" s="355"/>
      <c r="V3" s="28"/>
      <c r="W3" s="12"/>
      <c r="AC3" s="36"/>
    </row>
    <row r="4" spans="1:32" ht="3.95" customHeight="1" thickBot="1" x14ac:dyDescent="0.35">
      <c r="K4" s="12"/>
      <c r="M4" s="35"/>
      <c r="N4" s="35"/>
      <c r="O4" s="36"/>
      <c r="T4" s="32"/>
      <c r="W4" s="31"/>
      <c r="X4" s="12"/>
    </row>
    <row r="5" spans="1:32" ht="29.25" thickBot="1" x14ac:dyDescent="0.3">
      <c r="C5" s="220" t="s">
        <v>1132</v>
      </c>
      <c r="D5" s="221"/>
      <c r="E5" s="221"/>
      <c r="F5" s="221"/>
      <c r="G5" s="221"/>
      <c r="H5" s="221"/>
      <c r="I5" s="37">
        <v>25</v>
      </c>
      <c r="J5" s="101">
        <v>4</v>
      </c>
      <c r="L5" s="221"/>
      <c r="M5" s="221"/>
      <c r="N5" s="221"/>
      <c r="O5" s="222"/>
      <c r="S5" s="98"/>
      <c r="U5" s="98"/>
      <c r="V5" s="28"/>
      <c r="W5" s="12"/>
    </row>
    <row r="6" spans="1:32" ht="3.95" customHeight="1" thickBot="1" x14ac:dyDescent="0.35">
      <c r="K6" s="12"/>
      <c r="M6" s="35"/>
      <c r="N6" s="35"/>
      <c r="O6" s="36"/>
      <c r="R6" s="33"/>
      <c r="T6" s="32"/>
      <c r="W6" s="31"/>
      <c r="X6" s="12"/>
    </row>
    <row r="7" spans="1:32" ht="29.25" thickBot="1" x14ac:dyDescent="0.4">
      <c r="C7" s="223" t="s">
        <v>1134</v>
      </c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Q7" s="224"/>
      <c r="R7" s="225"/>
      <c r="V7" s="28"/>
      <c r="W7" s="12"/>
      <c r="X7">
        <f>23*25+10</f>
        <v>585</v>
      </c>
      <c r="Z7" s="99"/>
      <c r="AA7" s="99"/>
      <c r="AB7" s="99"/>
      <c r="AC7" s="99"/>
      <c r="AD7" s="99"/>
    </row>
    <row r="8" spans="1:32" ht="29.25" thickBot="1" x14ac:dyDescent="0.4">
      <c r="C8" s="223" t="s">
        <v>1198</v>
      </c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Q8" s="224"/>
      <c r="R8" s="225"/>
      <c r="V8" s="28"/>
      <c r="W8" s="12"/>
      <c r="Z8" s="99"/>
      <c r="AA8" s="99"/>
      <c r="AB8" s="99"/>
      <c r="AC8" s="99"/>
      <c r="AD8" s="99"/>
    </row>
    <row r="9" spans="1:32" ht="3.95" customHeight="1" x14ac:dyDescent="0.3">
      <c r="K9" s="12"/>
      <c r="M9" s="35"/>
      <c r="N9" s="35"/>
      <c r="O9" s="36"/>
      <c r="R9" s="33"/>
      <c r="T9" s="32"/>
      <c r="W9" s="31"/>
      <c r="X9" s="12"/>
    </row>
    <row r="10" spans="1:32" ht="3.95" customHeight="1" thickBot="1" x14ac:dyDescent="0.35">
      <c r="K10" s="12"/>
      <c r="M10" s="35"/>
      <c r="N10" s="35"/>
      <c r="O10" s="36"/>
      <c r="R10" s="33"/>
      <c r="T10" s="32"/>
      <c r="W10" s="31"/>
      <c r="X10" s="12"/>
    </row>
    <row r="11" spans="1:32" ht="72" customHeight="1" thickBot="1" x14ac:dyDescent="0.35">
      <c r="C11" s="207" t="s">
        <v>1133</v>
      </c>
      <c r="D11" s="209" t="s">
        <v>1231</v>
      </c>
      <c r="E11" s="209" t="s">
        <v>1202</v>
      </c>
      <c r="F11" s="208" t="s">
        <v>25</v>
      </c>
      <c r="G11" s="228" t="s">
        <v>1203</v>
      </c>
      <c r="H11" s="226"/>
      <c r="I11" s="185" t="s">
        <v>22</v>
      </c>
      <c r="J11" s="209" t="s">
        <v>24</v>
      </c>
      <c r="K11" s="209" t="s">
        <v>23</v>
      </c>
      <c r="L11" s="232" t="s">
        <v>26</v>
      </c>
      <c r="M11" s="208" t="s">
        <v>1196</v>
      </c>
      <c r="N11" s="233" t="s">
        <v>1195</v>
      </c>
      <c r="O11" s="231" t="s">
        <v>1197</v>
      </c>
      <c r="Q11" s="210" t="s">
        <v>1135</v>
      </c>
      <c r="R11" s="30" t="s">
        <v>21</v>
      </c>
      <c r="S11" s="28"/>
      <c r="T11" s="29" t="s">
        <v>20</v>
      </c>
      <c r="U11" s="28"/>
      <c r="V11" s="27" t="s">
        <v>1204</v>
      </c>
      <c r="W11" s="26" t="s">
        <v>19</v>
      </c>
      <c r="X11" s="113" t="s">
        <v>1205</v>
      </c>
      <c r="Y11" s="2"/>
      <c r="Z11" s="238" t="s">
        <v>18</v>
      </c>
      <c r="AA11" s="239" t="s">
        <v>17</v>
      </c>
      <c r="AB11" s="240" t="s">
        <v>16</v>
      </c>
      <c r="AC11" s="239" t="s">
        <v>15</v>
      </c>
      <c r="AD11" s="26" t="s">
        <v>14</v>
      </c>
    </row>
    <row r="12" spans="1:32" ht="24" customHeight="1" x14ac:dyDescent="0.25">
      <c r="A12" t="s">
        <v>1240</v>
      </c>
      <c r="B12">
        <f t="shared" ref="B12:B31" si="0">+IF(LEN(D12)=7,B11+1,B11)</f>
        <v>1</v>
      </c>
      <c r="C12" s="100"/>
      <c r="D12" s="102">
        <v>1100700</v>
      </c>
      <c r="E12" s="102"/>
      <c r="F12" s="102">
        <v>1</v>
      </c>
      <c r="G12" s="229"/>
      <c r="H12" s="12"/>
      <c r="I12" s="112">
        <f>+J12-K12</f>
        <v>1020</v>
      </c>
      <c r="J12" s="206">
        <f t="shared" ref="J12:J25" si="1">+X12*$J$5</f>
        <v>10020</v>
      </c>
      <c r="K12" s="104">
        <f>+M12*$I$5+N12+O12</f>
        <v>9000</v>
      </c>
      <c r="L12" s="100" t="s">
        <v>13</v>
      </c>
      <c r="M12" s="103">
        <v>50</v>
      </c>
      <c r="N12" s="234"/>
      <c r="O12" s="236">
        <v>7750</v>
      </c>
      <c r="Q12" s="211"/>
      <c r="R12" s="203">
        <f t="shared" ref="R12:R25" si="2">+IFERROR(K12/(J12),0)</f>
        <v>0.89820359281437123</v>
      </c>
      <c r="S12" s="34"/>
      <c r="T12" s="105" t="s">
        <v>870</v>
      </c>
      <c r="U12" s="34"/>
      <c r="V12" s="241">
        <f>+AB12+Z12</f>
        <v>670</v>
      </c>
      <c r="W12" s="25">
        <f t="shared" ref="W12:W25" si="3">V12/X12</f>
        <v>0.26746506986027946</v>
      </c>
      <c r="X12" s="183">
        <f>IFERROR(VLOOKUP(F12,'Datos x Cja LK'!$C$1:$D$15,2,0),0)+IFERROR(VLOOKUP(F12,'Datos x Cja CH'!$C$1:$D$16,2,0),0)</f>
        <v>2505</v>
      </c>
      <c r="Y12" s="96"/>
      <c r="Z12" s="24">
        <v>465</v>
      </c>
      <c r="AA12" s="22">
        <v>11625</v>
      </c>
      <c r="AB12" s="23">
        <v>205</v>
      </c>
      <c r="AC12" s="22">
        <v>5125</v>
      </c>
      <c r="AD12" s="21">
        <v>1000</v>
      </c>
      <c r="AE12" s="289">
        <v>0.7</v>
      </c>
      <c r="AF12" s="289">
        <v>0.3</v>
      </c>
    </row>
    <row r="13" spans="1:32" ht="18" customHeight="1" x14ac:dyDescent="0.35">
      <c r="A13" t="s">
        <v>1240</v>
      </c>
      <c r="B13">
        <f t="shared" si="0"/>
        <v>2</v>
      </c>
      <c r="C13" s="100">
        <v>3</v>
      </c>
      <c r="D13" s="102">
        <v>1101700</v>
      </c>
      <c r="E13" s="102"/>
      <c r="F13" s="102">
        <v>2</v>
      </c>
      <c r="G13" s="229">
        <v>7000</v>
      </c>
      <c r="H13" s="12"/>
      <c r="I13" s="112">
        <f t="shared" ref="I13:I25" si="4">+J13-K13</f>
        <v>7708.8666666666668</v>
      </c>
      <c r="J13" s="206">
        <f t="shared" si="1"/>
        <v>13071.866666666667</v>
      </c>
      <c r="K13" s="104">
        <f t="shared" ref="K13:K25" si="5">+M13*$I$5+N13+O13</f>
        <v>5363</v>
      </c>
      <c r="L13" s="100" t="s">
        <v>12</v>
      </c>
      <c r="M13" s="103">
        <v>67</v>
      </c>
      <c r="N13" s="234">
        <v>38</v>
      </c>
      <c r="O13" s="236">
        <v>3650</v>
      </c>
      <c r="Q13" s="212"/>
      <c r="R13" s="204">
        <f t="shared" si="2"/>
        <v>0.41027040259488573</v>
      </c>
      <c r="S13" s="3"/>
      <c r="T13" s="106"/>
      <c r="U13" s="3"/>
      <c r="V13" s="242">
        <f t="shared" ref="V13:V25" si="6">+AB13+Z13</f>
        <v>1134</v>
      </c>
      <c r="W13" s="4">
        <f t="shared" si="3"/>
        <v>0.34700476341047948</v>
      </c>
      <c r="X13" s="184">
        <f>IFERROR(VLOOKUP(F13,'Datos x Cja LK'!$C$1:$D$15,2,0),0)+IFERROR(VLOOKUP(F13,'Datos x Cja CH'!$C$1:$D$16,2,0),0)</f>
        <v>3267.9666666666667</v>
      </c>
      <c r="Y13" s="2"/>
      <c r="Z13" s="20">
        <v>576</v>
      </c>
      <c r="AA13" s="18">
        <v>14400</v>
      </c>
      <c r="AB13" s="19">
        <v>558</v>
      </c>
      <c r="AC13" s="18">
        <v>13950</v>
      </c>
      <c r="AD13" s="17">
        <v>1000</v>
      </c>
      <c r="AE13" s="289">
        <v>0.7</v>
      </c>
      <c r="AF13" s="289">
        <v>0.3</v>
      </c>
    </row>
    <row r="14" spans="1:32" ht="21" hidden="1" x14ac:dyDescent="0.35">
      <c r="A14" t="s">
        <v>1240</v>
      </c>
      <c r="B14">
        <f t="shared" si="0"/>
        <v>3</v>
      </c>
      <c r="C14" s="216"/>
      <c r="D14" s="102">
        <v>1103700</v>
      </c>
      <c r="E14" s="102"/>
      <c r="F14" s="102">
        <v>6</v>
      </c>
      <c r="G14" s="229"/>
      <c r="H14" s="12"/>
      <c r="I14" s="112">
        <f t="shared" si="4"/>
        <v>-502</v>
      </c>
      <c r="J14" s="206">
        <f t="shared" si="1"/>
        <v>748</v>
      </c>
      <c r="K14" s="104">
        <f t="shared" si="5"/>
        <v>1250</v>
      </c>
      <c r="L14" s="100" t="s">
        <v>11</v>
      </c>
      <c r="M14" s="103">
        <v>50</v>
      </c>
      <c r="N14" s="234"/>
      <c r="O14" s="236"/>
      <c r="Q14" s="212">
        <v>0</v>
      </c>
      <c r="R14" s="204">
        <f t="shared" si="2"/>
        <v>1.6711229946524064</v>
      </c>
      <c r="S14" s="3"/>
      <c r="T14" s="106"/>
      <c r="U14" s="3"/>
      <c r="V14" s="242">
        <f t="shared" si="6"/>
        <v>694</v>
      </c>
      <c r="W14" s="4">
        <f t="shared" si="3"/>
        <v>3.7112299465240643</v>
      </c>
      <c r="X14" s="184">
        <f>IFERROR(VLOOKUP(F14,'Datos x Cja LK'!$C$1:$D$15,2,0),0)+IFERROR(VLOOKUP(F14,'Datos x Cja CH'!$C$1:$D$16,2,0),0)</f>
        <v>187</v>
      </c>
      <c r="Y14" s="2"/>
      <c r="Z14" s="20">
        <v>376</v>
      </c>
      <c r="AA14" s="18">
        <v>9400</v>
      </c>
      <c r="AB14" s="19">
        <v>318</v>
      </c>
      <c r="AC14" s="18">
        <v>7950</v>
      </c>
      <c r="AD14" s="17">
        <v>1000</v>
      </c>
      <c r="AE14" s="289">
        <v>0.7</v>
      </c>
      <c r="AF14" s="289">
        <v>0.3</v>
      </c>
    </row>
    <row r="15" spans="1:32" ht="21" x14ac:dyDescent="0.35">
      <c r="A15" t="s">
        <v>1240</v>
      </c>
      <c r="B15">
        <f t="shared" si="0"/>
        <v>4</v>
      </c>
      <c r="C15" s="100">
        <v>1</v>
      </c>
      <c r="D15" s="102">
        <v>1104700</v>
      </c>
      <c r="E15" s="102"/>
      <c r="F15" s="102">
        <v>7</v>
      </c>
      <c r="G15" s="229">
        <v>1000</v>
      </c>
      <c r="H15" s="12"/>
      <c r="I15" s="112">
        <f t="shared" si="4"/>
        <v>465</v>
      </c>
      <c r="J15" s="206">
        <f t="shared" si="1"/>
        <v>752</v>
      </c>
      <c r="K15" s="104">
        <f t="shared" si="5"/>
        <v>287</v>
      </c>
      <c r="L15" s="100" t="s">
        <v>10</v>
      </c>
      <c r="M15" s="103">
        <v>11</v>
      </c>
      <c r="N15" s="234">
        <v>12</v>
      </c>
      <c r="O15" s="236"/>
      <c r="Q15" s="212"/>
      <c r="R15" s="204">
        <f t="shared" si="2"/>
        <v>0.38164893617021278</v>
      </c>
      <c r="S15" s="3"/>
      <c r="T15" s="106"/>
      <c r="U15" s="3"/>
      <c r="V15" s="242">
        <f t="shared" si="6"/>
        <v>151</v>
      </c>
      <c r="W15" s="4">
        <f t="shared" si="3"/>
        <v>0.80319148936170215</v>
      </c>
      <c r="X15" s="184">
        <f>IFERROR(VLOOKUP(F15,'Datos x Cja LK'!$C$1:$D$15,2,0),0)+IFERROR(VLOOKUP(F15,'Datos x Cja CH'!$C$1:$D$16,2,0),0)</f>
        <v>188</v>
      </c>
      <c r="Y15" s="2"/>
      <c r="Z15" s="20">
        <v>95</v>
      </c>
      <c r="AA15" s="18">
        <v>2375</v>
      </c>
      <c r="AB15" s="19">
        <v>56</v>
      </c>
      <c r="AC15" s="18">
        <v>1400</v>
      </c>
      <c r="AD15" s="17">
        <v>1000</v>
      </c>
      <c r="AE15" s="289">
        <v>0.7</v>
      </c>
      <c r="AF15" s="289">
        <v>0.3</v>
      </c>
    </row>
    <row r="16" spans="1:32" ht="21" x14ac:dyDescent="0.35">
      <c r="A16" t="s">
        <v>1240</v>
      </c>
      <c r="B16">
        <f t="shared" si="0"/>
        <v>5</v>
      </c>
      <c r="C16" s="100"/>
      <c r="D16" s="102">
        <v>1105700</v>
      </c>
      <c r="E16" s="102"/>
      <c r="F16" s="102">
        <v>8</v>
      </c>
      <c r="G16" s="229"/>
      <c r="H16" s="12"/>
      <c r="I16" s="112">
        <f t="shared" si="4"/>
        <v>236</v>
      </c>
      <c r="J16" s="206">
        <f t="shared" si="1"/>
        <v>236</v>
      </c>
      <c r="K16" s="104">
        <f t="shared" si="5"/>
        <v>0</v>
      </c>
      <c r="L16" s="100" t="s">
        <v>9</v>
      </c>
      <c r="M16" s="103"/>
      <c r="N16" s="234"/>
      <c r="O16" s="236"/>
      <c r="Q16" s="212"/>
      <c r="R16" s="204">
        <f t="shared" si="2"/>
        <v>0</v>
      </c>
      <c r="S16" s="3"/>
      <c r="T16" s="106"/>
      <c r="U16" s="3"/>
      <c r="V16" s="242">
        <f t="shared" si="6"/>
        <v>60</v>
      </c>
      <c r="W16" s="4">
        <f t="shared" si="3"/>
        <v>1.0169491525423728</v>
      </c>
      <c r="X16" s="184">
        <f>IFERROR(VLOOKUP(F16,'Datos x Cja LK'!$C$1:$D$15,2,0),0)+IFERROR(VLOOKUP(F16,'Datos x Cja CH'!$C$1:$D$16,2,0),0)</f>
        <v>59</v>
      </c>
      <c r="Y16" s="2"/>
      <c r="Z16" s="20">
        <v>60</v>
      </c>
      <c r="AA16" s="18">
        <v>1500</v>
      </c>
      <c r="AB16" s="19">
        <v>0</v>
      </c>
      <c r="AC16" s="18">
        <v>0</v>
      </c>
      <c r="AD16" s="17">
        <v>1000</v>
      </c>
      <c r="AE16" s="289">
        <v>0.7</v>
      </c>
      <c r="AF16" s="289">
        <v>0.3</v>
      </c>
    </row>
    <row r="17" spans="1:32" ht="21" x14ac:dyDescent="0.35">
      <c r="A17" t="s">
        <v>1240</v>
      </c>
      <c r="B17">
        <f t="shared" si="0"/>
        <v>6</v>
      </c>
      <c r="C17" s="100"/>
      <c r="D17" s="102">
        <v>1106700</v>
      </c>
      <c r="E17" s="102"/>
      <c r="F17" s="102">
        <v>10</v>
      </c>
      <c r="G17" s="229"/>
      <c r="H17" s="12"/>
      <c r="I17" s="112">
        <f t="shared" si="4"/>
        <v>568.66666666666697</v>
      </c>
      <c r="J17" s="206">
        <f t="shared" si="1"/>
        <v>2568.666666666667</v>
      </c>
      <c r="K17" s="104">
        <f t="shared" si="5"/>
        <v>2000</v>
      </c>
      <c r="L17" s="100" t="s">
        <v>8</v>
      </c>
      <c r="M17" s="103">
        <v>80</v>
      </c>
      <c r="N17" s="234"/>
      <c r="O17" s="236"/>
      <c r="Q17" s="212"/>
      <c r="R17" s="204">
        <f t="shared" si="2"/>
        <v>0.7786140669608097</v>
      </c>
      <c r="S17" s="3"/>
      <c r="T17" s="106"/>
      <c r="U17" s="3"/>
      <c r="V17" s="242">
        <f t="shared" si="6"/>
        <v>252</v>
      </c>
      <c r="W17" s="4">
        <f t="shared" si="3"/>
        <v>0.39242148974824809</v>
      </c>
      <c r="X17" s="184">
        <f>IFERROR(VLOOKUP(F17,'Datos x Cja LK'!$C$1:$D$15,2,0),0)+IFERROR(VLOOKUP(F17,'Datos x Cja CH'!$C$1:$D$16,2,0),0)</f>
        <v>642.16666666666674</v>
      </c>
      <c r="Y17" s="2"/>
      <c r="Z17" s="20">
        <v>160</v>
      </c>
      <c r="AA17" s="18">
        <v>4000</v>
      </c>
      <c r="AB17" s="19">
        <v>92</v>
      </c>
      <c r="AC17" s="18">
        <v>2300</v>
      </c>
      <c r="AD17" s="17">
        <v>1000</v>
      </c>
      <c r="AE17" s="289">
        <v>0.7</v>
      </c>
      <c r="AF17" s="289">
        <v>0.3</v>
      </c>
    </row>
    <row r="18" spans="1:32" ht="21" hidden="1" x14ac:dyDescent="0.35">
      <c r="A18" t="s">
        <v>1240</v>
      </c>
      <c r="B18">
        <f t="shared" si="0"/>
        <v>7</v>
      </c>
      <c r="C18" s="100"/>
      <c r="D18" s="102">
        <v>1107700</v>
      </c>
      <c r="E18" s="102"/>
      <c r="F18" s="102">
        <v>12</v>
      </c>
      <c r="G18" s="229"/>
      <c r="H18" s="12"/>
      <c r="I18" s="112">
        <f t="shared" si="4"/>
        <v>-1829.9080459770121</v>
      </c>
      <c r="J18" s="206">
        <f t="shared" si="1"/>
        <v>6264.0919540229879</v>
      </c>
      <c r="K18" s="104">
        <f t="shared" si="5"/>
        <v>8094</v>
      </c>
      <c r="L18" s="100" t="s">
        <v>7</v>
      </c>
      <c r="M18" s="103">
        <v>250</v>
      </c>
      <c r="N18" s="234"/>
      <c r="O18" s="236">
        <v>1844</v>
      </c>
      <c r="Q18" s="212"/>
      <c r="R18" s="204">
        <f t="shared" si="2"/>
        <v>1.2921266257596666</v>
      </c>
      <c r="S18" s="3"/>
      <c r="T18" s="106"/>
      <c r="U18" s="3"/>
      <c r="V18" s="242">
        <f t="shared" si="6"/>
        <v>244</v>
      </c>
      <c r="W18" s="4">
        <f t="shared" si="3"/>
        <v>0.15580869616276682</v>
      </c>
      <c r="X18" s="184">
        <f>IFERROR(VLOOKUP(F18,'Datos x Cja LK'!$C$1:$D$15,2,0),0)+IFERROR(VLOOKUP(F18,'Datos x Cja CH'!$C$1:$D$16,2,0),0)</f>
        <v>1566.022988505747</v>
      </c>
      <c r="Y18" s="2"/>
      <c r="Z18" s="20">
        <v>171</v>
      </c>
      <c r="AA18" s="18">
        <v>4275</v>
      </c>
      <c r="AB18" s="19">
        <v>73</v>
      </c>
      <c r="AC18" s="18">
        <v>1825</v>
      </c>
      <c r="AD18" s="17">
        <v>1000</v>
      </c>
      <c r="AE18" s="289">
        <v>0.7</v>
      </c>
      <c r="AF18" s="289">
        <v>0.3</v>
      </c>
    </row>
    <row r="19" spans="1:32" ht="21" x14ac:dyDescent="0.35">
      <c r="A19" t="s">
        <v>1240</v>
      </c>
      <c r="B19">
        <f t="shared" si="0"/>
        <v>8</v>
      </c>
      <c r="C19" s="100"/>
      <c r="D19" s="102">
        <v>1108700</v>
      </c>
      <c r="E19" s="102"/>
      <c r="F19" s="102">
        <v>13</v>
      </c>
      <c r="G19" s="229"/>
      <c r="H19" s="12"/>
      <c r="I19" s="112">
        <f t="shared" si="4"/>
        <v>586</v>
      </c>
      <c r="J19" s="206">
        <f t="shared" si="1"/>
        <v>2228</v>
      </c>
      <c r="K19" s="104">
        <f>+M19*$I$5+N19+O19</f>
        <v>1642</v>
      </c>
      <c r="L19" s="100" t="s">
        <v>6</v>
      </c>
      <c r="M19" s="103">
        <v>5</v>
      </c>
      <c r="N19" s="234">
        <v>17</v>
      </c>
      <c r="O19" s="236">
        <v>1500</v>
      </c>
      <c r="Q19" s="212"/>
      <c r="R19" s="204">
        <f t="shared" si="2"/>
        <v>0.73698384201077194</v>
      </c>
      <c r="S19" s="3"/>
      <c r="T19" s="106"/>
      <c r="U19" s="3"/>
      <c r="V19" s="242">
        <f t="shared" si="6"/>
        <v>119</v>
      </c>
      <c r="W19" s="4">
        <f t="shared" si="3"/>
        <v>0.21364452423698385</v>
      </c>
      <c r="X19" s="184">
        <f>IFERROR(VLOOKUP(F19,'Datos x Cja LK'!$C$1:$D$15,2,0),0)+IFERROR(VLOOKUP(F19,'Datos x Cja CH'!$C$1:$D$16,2,0),0)</f>
        <v>557</v>
      </c>
      <c r="Y19" s="2"/>
      <c r="Z19" s="20">
        <v>105</v>
      </c>
      <c r="AA19" s="18">
        <v>2625</v>
      </c>
      <c r="AB19" s="19">
        <v>14</v>
      </c>
      <c r="AC19" s="18">
        <v>350</v>
      </c>
      <c r="AD19" s="17">
        <v>1000</v>
      </c>
    </row>
    <row r="20" spans="1:32" ht="21" hidden="1" x14ac:dyDescent="0.35">
      <c r="A20" t="s">
        <v>1240</v>
      </c>
      <c r="B20">
        <f t="shared" si="0"/>
        <v>9</v>
      </c>
      <c r="C20" s="100"/>
      <c r="D20" s="102">
        <v>1114700</v>
      </c>
      <c r="E20" s="102"/>
      <c r="F20" s="102">
        <v>15</v>
      </c>
      <c r="G20" s="229"/>
      <c r="H20" s="12"/>
      <c r="I20" s="112">
        <f t="shared" si="4"/>
        <v>-1310</v>
      </c>
      <c r="J20" s="206">
        <f t="shared" si="1"/>
        <v>0</v>
      </c>
      <c r="K20" s="104">
        <f t="shared" si="5"/>
        <v>1310</v>
      </c>
      <c r="L20" s="100" t="s">
        <v>874</v>
      </c>
      <c r="M20" s="103">
        <v>52</v>
      </c>
      <c r="N20" s="234">
        <v>10</v>
      </c>
      <c r="O20" s="236"/>
      <c r="Q20" s="212"/>
      <c r="R20" s="204">
        <f t="shared" si="2"/>
        <v>0</v>
      </c>
      <c r="S20" s="3"/>
      <c r="T20" s="106"/>
      <c r="U20" s="3"/>
      <c r="V20" s="242">
        <f t="shared" si="6"/>
        <v>0</v>
      </c>
      <c r="W20" s="4" t="e">
        <f t="shared" si="3"/>
        <v>#DIV/0!</v>
      </c>
      <c r="X20" s="184">
        <f>IFERROR(VLOOKUP(F20,'Datos x Cja LK'!$C$1:$D$15,2,0),0)+IFERROR(VLOOKUP(F20,'Datos x Cja CH'!$C$1:$D$16,2,0),0)</f>
        <v>0</v>
      </c>
      <c r="Y20" s="2"/>
      <c r="Z20" s="20"/>
      <c r="AA20" s="18"/>
      <c r="AB20" s="19"/>
      <c r="AC20" s="18"/>
      <c r="AD20" s="17">
        <v>1000</v>
      </c>
    </row>
    <row r="21" spans="1:32" ht="21" hidden="1" x14ac:dyDescent="0.35">
      <c r="A21" t="s">
        <v>1240</v>
      </c>
      <c r="B21">
        <f t="shared" si="0"/>
        <v>10</v>
      </c>
      <c r="C21" s="100"/>
      <c r="D21" s="102">
        <v>1115700</v>
      </c>
      <c r="E21" s="102"/>
      <c r="F21" s="102">
        <v>16</v>
      </c>
      <c r="G21" s="229"/>
      <c r="H21" s="12"/>
      <c r="I21" s="112">
        <f t="shared" si="4"/>
        <v>-1967</v>
      </c>
      <c r="J21" s="206">
        <f t="shared" si="1"/>
        <v>108</v>
      </c>
      <c r="K21" s="104">
        <f t="shared" si="5"/>
        <v>2075</v>
      </c>
      <c r="L21" s="100" t="s">
        <v>875</v>
      </c>
      <c r="M21" s="103">
        <v>83</v>
      </c>
      <c r="N21" s="234"/>
      <c r="O21" s="236"/>
      <c r="Q21" s="212"/>
      <c r="R21" s="204">
        <f t="shared" si="2"/>
        <v>19.212962962962962</v>
      </c>
      <c r="S21" s="3"/>
      <c r="T21" s="106"/>
      <c r="U21" s="3"/>
      <c r="V21" s="242">
        <f t="shared" si="6"/>
        <v>0</v>
      </c>
      <c r="W21" s="4">
        <f t="shared" si="3"/>
        <v>0</v>
      </c>
      <c r="X21" s="184">
        <f>IFERROR(VLOOKUP(F21,'Datos x Cja LK'!$C$1:$D$15,2,0),0)+IFERROR(VLOOKUP(F21,'Datos x Cja CH'!$C$1:$D$16,2,0),0)</f>
        <v>27</v>
      </c>
      <c r="Y21" s="2"/>
      <c r="Z21" s="20"/>
      <c r="AA21" s="18"/>
      <c r="AB21" s="19"/>
      <c r="AC21" s="18"/>
      <c r="AD21" s="17">
        <v>1000</v>
      </c>
    </row>
    <row r="22" spans="1:32" ht="21" x14ac:dyDescent="0.35">
      <c r="A22" t="s">
        <v>1240</v>
      </c>
      <c r="B22">
        <f t="shared" si="0"/>
        <v>11</v>
      </c>
      <c r="C22" s="100">
        <v>4</v>
      </c>
      <c r="D22" s="102">
        <v>1110700</v>
      </c>
      <c r="E22" s="102"/>
      <c r="F22" s="102">
        <v>22</v>
      </c>
      <c r="G22" s="229">
        <v>10000</v>
      </c>
      <c r="H22" s="12"/>
      <c r="I22" s="112">
        <f t="shared" si="4"/>
        <v>9990.3333333333358</v>
      </c>
      <c r="J22" s="206">
        <f t="shared" si="1"/>
        <v>22265.333333333336</v>
      </c>
      <c r="K22" s="104">
        <f t="shared" si="5"/>
        <v>12275</v>
      </c>
      <c r="L22" s="100" t="s">
        <v>5</v>
      </c>
      <c r="M22" s="103">
        <v>283</v>
      </c>
      <c r="N22" s="234"/>
      <c r="O22" s="236">
        <v>5200</v>
      </c>
      <c r="Q22" s="212"/>
      <c r="R22" s="204">
        <f t="shared" si="2"/>
        <v>0.55130546739325703</v>
      </c>
      <c r="S22" s="3"/>
      <c r="T22" s="106"/>
      <c r="U22" s="3"/>
      <c r="V22" s="242">
        <f t="shared" si="6"/>
        <v>680</v>
      </c>
      <c r="W22" s="4">
        <f t="shared" si="3"/>
        <v>0.12216300377268098</v>
      </c>
      <c r="X22" s="184">
        <f>IFERROR(VLOOKUP(F22,'Datos x Cja LK'!$C$1:$D$15,2,0),0)+IFERROR(VLOOKUP(F22,'Datos x Cja CH'!$C$1:$D$16,2,0),0)</f>
        <v>5566.3333333333339</v>
      </c>
      <c r="Y22" s="2"/>
      <c r="Z22" s="20">
        <v>680</v>
      </c>
      <c r="AA22" s="18">
        <v>17000</v>
      </c>
      <c r="AB22" s="19">
        <v>0</v>
      </c>
      <c r="AC22" s="18">
        <v>0</v>
      </c>
      <c r="AD22" s="17">
        <v>1000</v>
      </c>
      <c r="AE22" s="289">
        <v>0.7</v>
      </c>
      <c r="AF22" s="289">
        <v>0.3</v>
      </c>
    </row>
    <row r="23" spans="1:32" ht="21" hidden="1" x14ac:dyDescent="0.35">
      <c r="A23" t="s">
        <v>1240</v>
      </c>
      <c r="B23">
        <f t="shared" si="0"/>
        <v>12</v>
      </c>
      <c r="C23" s="100"/>
      <c r="D23" s="102">
        <v>1111700</v>
      </c>
      <c r="E23" s="102"/>
      <c r="F23" s="102">
        <v>27</v>
      </c>
      <c r="G23" s="229"/>
      <c r="H23" s="12"/>
      <c r="I23" s="112">
        <f t="shared" si="4"/>
        <v>-620</v>
      </c>
      <c r="J23" s="206">
        <f t="shared" si="1"/>
        <v>436</v>
      </c>
      <c r="K23" s="104">
        <f t="shared" si="5"/>
        <v>1056</v>
      </c>
      <c r="L23" s="100" t="s">
        <v>4</v>
      </c>
      <c r="M23" s="103">
        <v>40</v>
      </c>
      <c r="N23" s="234">
        <v>56</v>
      </c>
      <c r="O23" s="236"/>
      <c r="Q23" s="212"/>
      <c r="R23" s="204">
        <f t="shared" si="2"/>
        <v>2.4220183486238533</v>
      </c>
      <c r="S23" s="3"/>
      <c r="T23" s="106"/>
      <c r="U23" s="3"/>
      <c r="V23" s="242">
        <f t="shared" si="6"/>
        <v>66</v>
      </c>
      <c r="W23" s="4">
        <f t="shared" si="3"/>
        <v>0.60550458715596334</v>
      </c>
      <c r="X23" s="184">
        <f>IFERROR(VLOOKUP(F23,'Datos x Cja LK'!$C$1:$D$15,2,0),0)+IFERROR(VLOOKUP(F23,'Datos x Cja CH'!$C$1:$D$16,2,0),0)</f>
        <v>109</v>
      </c>
      <c r="Y23" s="2"/>
      <c r="Z23" s="20">
        <v>43</v>
      </c>
      <c r="AA23" s="18">
        <v>1075</v>
      </c>
      <c r="AB23" s="19">
        <v>23</v>
      </c>
      <c r="AC23" s="18">
        <v>575</v>
      </c>
      <c r="AD23" s="17">
        <v>1000</v>
      </c>
    </row>
    <row r="24" spans="1:32" ht="36.6" customHeight="1" x14ac:dyDescent="0.35">
      <c r="A24" t="s">
        <v>1240</v>
      </c>
      <c r="B24">
        <f t="shared" si="0"/>
        <v>13</v>
      </c>
      <c r="C24" s="100">
        <v>2</v>
      </c>
      <c r="D24" s="102">
        <v>1113700</v>
      </c>
      <c r="E24" s="102"/>
      <c r="F24" s="102">
        <v>29</v>
      </c>
      <c r="G24" s="229">
        <v>15500</v>
      </c>
      <c r="H24" s="12"/>
      <c r="I24" s="112">
        <f t="shared" si="4"/>
        <v>15323</v>
      </c>
      <c r="J24" s="206">
        <f t="shared" si="1"/>
        <v>24948</v>
      </c>
      <c r="K24" s="104">
        <f t="shared" si="5"/>
        <v>9625</v>
      </c>
      <c r="L24" s="100" t="s">
        <v>3</v>
      </c>
      <c r="M24" s="103">
        <v>19</v>
      </c>
      <c r="N24" s="234">
        <v>25</v>
      </c>
      <c r="O24" s="236">
        <v>9125</v>
      </c>
      <c r="Q24" s="212"/>
      <c r="R24" s="204">
        <f t="shared" si="2"/>
        <v>0.38580246913580246</v>
      </c>
      <c r="S24" s="3"/>
      <c r="T24" s="106"/>
      <c r="U24" s="3"/>
      <c r="V24" s="242">
        <f t="shared" si="6"/>
        <v>2032</v>
      </c>
      <c r="W24" s="4">
        <f t="shared" si="3"/>
        <v>0.32579765913099246</v>
      </c>
      <c r="X24" s="184">
        <f>IFERROR(VLOOKUP(F24,'Datos x Cja LK'!$C$1:$D$15,2,0),0)+IFERROR(VLOOKUP(F24,'Datos x Cja CH'!$C$1:$D$16,2,0),0)</f>
        <v>6237</v>
      </c>
      <c r="Y24" s="2"/>
      <c r="Z24" s="20">
        <v>1293</v>
      </c>
      <c r="AA24" s="18">
        <v>32325</v>
      </c>
      <c r="AB24" s="19">
        <v>739</v>
      </c>
      <c r="AC24" s="18">
        <v>18475</v>
      </c>
      <c r="AD24" s="17">
        <v>1000</v>
      </c>
      <c r="AE24" s="289">
        <v>0.7</v>
      </c>
      <c r="AF24" s="289">
        <v>0.3</v>
      </c>
    </row>
    <row r="25" spans="1:32" ht="21.75" hidden="1" thickBot="1" x14ac:dyDescent="0.4">
      <c r="B25">
        <f t="shared" si="0"/>
        <v>14</v>
      </c>
      <c r="C25" s="107"/>
      <c r="D25" s="109">
        <v>1289700</v>
      </c>
      <c r="E25" s="109"/>
      <c r="F25" s="108" t="s">
        <v>1</v>
      </c>
      <c r="G25" s="230"/>
      <c r="H25" s="227"/>
      <c r="I25" s="112">
        <f t="shared" si="4"/>
        <v>-1079</v>
      </c>
      <c r="J25" s="206">
        <f t="shared" si="1"/>
        <v>0</v>
      </c>
      <c r="K25" s="111">
        <f t="shared" si="5"/>
        <v>1079</v>
      </c>
      <c r="L25" s="107" t="s">
        <v>2</v>
      </c>
      <c r="M25" s="110">
        <v>43</v>
      </c>
      <c r="N25" s="235">
        <v>4</v>
      </c>
      <c r="O25" s="237"/>
      <c r="Q25" s="205"/>
      <c r="R25" s="204">
        <f t="shared" si="2"/>
        <v>0</v>
      </c>
      <c r="S25" s="3"/>
      <c r="T25" s="106"/>
      <c r="U25" s="3"/>
      <c r="V25" s="242">
        <f t="shared" si="6"/>
        <v>50</v>
      </c>
      <c r="W25" s="4" t="e">
        <f t="shared" si="3"/>
        <v>#DIV/0!</v>
      </c>
      <c r="X25" s="184">
        <f>IFERROR(VLOOKUP(F25,'Datos x Cja LK'!$C$1:$D$15,2,0),0)+IFERROR(VLOOKUP(F25,'Datos x Cja CH'!$C$1:$D$16,2,0),0)</f>
        <v>0</v>
      </c>
      <c r="Y25" s="2"/>
      <c r="Z25" s="16">
        <v>50</v>
      </c>
      <c r="AA25" s="14">
        <f>+Z25*15</f>
        <v>750</v>
      </c>
      <c r="AB25" s="15"/>
      <c r="AC25" s="14"/>
      <c r="AD25" s="13">
        <v>1000</v>
      </c>
    </row>
    <row r="26" spans="1:32" ht="21" hidden="1" x14ac:dyDescent="0.35">
      <c r="B26">
        <f t="shared" si="0"/>
        <v>14</v>
      </c>
      <c r="F26" s="12"/>
      <c r="G26" s="12"/>
      <c r="H26" s="12"/>
      <c r="I26" s="3"/>
      <c r="J26" s="10"/>
      <c r="K26" s="8"/>
      <c r="L26" s="12"/>
      <c r="M26" s="7"/>
      <c r="N26" s="7"/>
      <c r="O26" s="11"/>
      <c r="Q26" s="3"/>
      <c r="R26" s="8"/>
      <c r="S26" s="3"/>
      <c r="T26" s="3"/>
      <c r="U26" s="3"/>
      <c r="V26" s="9"/>
      <c r="W26" s="8"/>
      <c r="X26" s="7"/>
      <c r="Y26" s="2"/>
      <c r="Z26" s="6"/>
      <c r="AA26" s="6"/>
      <c r="AB26" s="6"/>
      <c r="AC26" s="6"/>
    </row>
    <row r="27" spans="1:32" ht="21" hidden="1" x14ac:dyDescent="0.35">
      <c r="B27">
        <f t="shared" si="0"/>
        <v>14</v>
      </c>
      <c r="F27" s="12"/>
      <c r="G27" s="12"/>
      <c r="H27" s="12"/>
      <c r="I27" s="3"/>
      <c r="J27" s="10"/>
      <c r="K27" s="8"/>
      <c r="L27" s="12"/>
      <c r="M27" s="7"/>
      <c r="N27" s="7"/>
      <c r="O27" s="11"/>
      <c r="Q27" s="3"/>
      <c r="R27" s="8"/>
      <c r="S27" s="3"/>
      <c r="T27" s="3"/>
      <c r="U27" s="3"/>
      <c r="V27" s="9"/>
      <c r="W27" s="8"/>
      <c r="X27" s="7"/>
      <c r="Y27" s="2"/>
      <c r="Z27" s="6"/>
      <c r="AA27" s="6"/>
      <c r="AB27" s="6"/>
      <c r="AC27" s="6"/>
    </row>
    <row r="28" spans="1:32" ht="18.75" hidden="1" x14ac:dyDescent="0.3">
      <c r="B28">
        <f t="shared" si="0"/>
        <v>14</v>
      </c>
      <c r="F28" s="2"/>
      <c r="G28" s="2"/>
      <c r="H28" s="2"/>
      <c r="I28" s="2"/>
      <c r="K28" s="2"/>
      <c r="L28" s="2" t="s">
        <v>0</v>
      </c>
      <c r="M28" s="2"/>
      <c r="N28" s="2"/>
      <c r="O28" s="2"/>
      <c r="Q28" s="2"/>
      <c r="R28" s="2"/>
      <c r="S28" s="2"/>
      <c r="T28" s="2"/>
      <c r="U28" s="2"/>
      <c r="V28" s="7"/>
      <c r="W28" s="2"/>
      <c r="X28" s="2"/>
      <c r="Y28" s="2"/>
      <c r="Z28" s="5"/>
      <c r="AA28" s="5"/>
      <c r="AB28" s="2"/>
      <c r="AC28" s="2"/>
    </row>
    <row r="29" spans="1:32" hidden="1" x14ac:dyDescent="0.25">
      <c r="B29">
        <f t="shared" si="0"/>
        <v>14</v>
      </c>
    </row>
    <row r="30" spans="1:32" hidden="1" x14ac:dyDescent="0.25">
      <c r="B30">
        <f t="shared" si="0"/>
        <v>14</v>
      </c>
    </row>
    <row r="31" spans="1:32" hidden="1" x14ac:dyDescent="0.25">
      <c r="B31">
        <f t="shared" si="0"/>
        <v>14</v>
      </c>
    </row>
  </sheetData>
  <autoFilter ref="C11:AD31">
    <filterColumn colId="6">
      <filters>
        <filter val="1.160"/>
        <filter val="15.323"/>
        <filter val="236"/>
        <filter val="398"/>
        <filter val="465"/>
        <filter val="521"/>
        <filter val="7.360"/>
        <filter val="9.986"/>
      </filters>
    </filterColumn>
    <sortState ref="C12:AD25">
      <sortCondition ref="F11:F25"/>
    </sortState>
  </autoFilter>
  <mergeCells count="1">
    <mergeCell ref="M3:O3"/>
  </mergeCells>
  <conditionalFormatting sqref="C12:C24">
    <cfRule type="duplicateValues" dxfId="7" priority="2"/>
  </conditionalFormatting>
  <conditionalFormatting sqref="C25">
    <cfRule type="duplicateValues" dxfId="6" priority="1"/>
  </conditionalFormatting>
  <conditionalFormatting sqref="D12:E24">
    <cfRule type="duplicateValues" dxfId="5" priority="4"/>
  </conditionalFormatting>
  <conditionalFormatting sqref="D25:E25">
    <cfRule type="duplicateValues" dxfId="4" priority="3"/>
  </conditionalFormatting>
  <conditionalFormatting sqref="F12:F24 H12:H24">
    <cfRule type="duplicateValues" dxfId="3" priority="15"/>
  </conditionalFormatting>
  <conditionalFormatting sqref="F25:H27">
    <cfRule type="duplicateValues" dxfId="2" priority="6"/>
  </conditionalFormatting>
  <conditionalFormatting sqref="L12:L24">
    <cfRule type="duplicateValues" dxfId="1" priority="16"/>
  </conditionalFormatting>
  <conditionalFormatting sqref="L25:L27">
    <cfRule type="duplicateValues" dxfId="0" priority="14"/>
  </conditionalFormatting>
  <printOptions horizontalCentered="1" verticalCentered="1"/>
  <pageMargins left="0" right="0" top="0" bottom="0" header="0" footer="0"/>
  <pageSetup paperSize="9" scale="12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1"/>
  <sheetViews>
    <sheetView tabSelected="1" zoomScale="70" zoomScaleNormal="70" workbookViewId="0">
      <selection activeCell="C1" sqref="C1:C1048576"/>
    </sheetView>
  </sheetViews>
  <sheetFormatPr baseColWidth="10" defaultRowHeight="23.25" x14ac:dyDescent="0.25"/>
  <cols>
    <col min="1" max="1" width="11.85546875" style="97" customWidth="1"/>
    <col min="2" max="2" width="39.7109375" style="115" bestFit="1" customWidth="1"/>
    <col min="3" max="3" width="14.140625" style="35" customWidth="1"/>
    <col min="4" max="4" width="1.140625" customWidth="1"/>
    <col min="5" max="5" width="8.85546875" customWidth="1"/>
    <col min="10" max="10" width="14.5703125" bestFit="1" customWidth="1"/>
    <col min="255" max="255" width="8.85546875" customWidth="1"/>
    <col min="256" max="256" width="32.5703125" customWidth="1"/>
    <col min="257" max="257" width="8.28515625" customWidth="1"/>
    <col min="511" max="511" width="8.85546875" customWidth="1"/>
    <col min="512" max="512" width="32.5703125" customWidth="1"/>
    <col min="513" max="513" width="8.28515625" customWidth="1"/>
    <col min="767" max="767" width="8.85546875" customWidth="1"/>
    <col min="768" max="768" width="32.5703125" customWidth="1"/>
    <col min="769" max="769" width="8.28515625" customWidth="1"/>
    <col min="1023" max="1023" width="8.85546875" customWidth="1"/>
    <col min="1024" max="1024" width="32.5703125" customWidth="1"/>
    <col min="1025" max="1025" width="8.28515625" customWidth="1"/>
    <col min="1279" max="1279" width="8.85546875" customWidth="1"/>
    <col min="1280" max="1280" width="32.5703125" customWidth="1"/>
    <col min="1281" max="1281" width="8.28515625" customWidth="1"/>
    <col min="1535" max="1535" width="8.85546875" customWidth="1"/>
    <col min="1536" max="1536" width="32.5703125" customWidth="1"/>
    <col min="1537" max="1537" width="8.28515625" customWidth="1"/>
    <col min="1791" max="1791" width="8.85546875" customWidth="1"/>
    <col min="1792" max="1792" width="32.5703125" customWidth="1"/>
    <col min="1793" max="1793" width="8.28515625" customWidth="1"/>
    <col min="2047" max="2047" width="8.85546875" customWidth="1"/>
    <col min="2048" max="2048" width="32.5703125" customWidth="1"/>
    <col min="2049" max="2049" width="8.28515625" customWidth="1"/>
    <col min="2303" max="2303" width="8.85546875" customWidth="1"/>
    <col min="2304" max="2304" width="32.5703125" customWidth="1"/>
    <col min="2305" max="2305" width="8.28515625" customWidth="1"/>
    <col min="2559" max="2559" width="8.85546875" customWidth="1"/>
    <col min="2560" max="2560" width="32.5703125" customWidth="1"/>
    <col min="2561" max="2561" width="8.28515625" customWidth="1"/>
    <col min="2815" max="2815" width="8.85546875" customWidth="1"/>
    <col min="2816" max="2816" width="32.5703125" customWidth="1"/>
    <col min="2817" max="2817" width="8.28515625" customWidth="1"/>
    <col min="3071" max="3071" width="8.85546875" customWidth="1"/>
    <col min="3072" max="3072" width="32.5703125" customWidth="1"/>
    <col min="3073" max="3073" width="8.28515625" customWidth="1"/>
    <col min="3327" max="3327" width="8.85546875" customWidth="1"/>
    <col min="3328" max="3328" width="32.5703125" customWidth="1"/>
    <col min="3329" max="3329" width="8.28515625" customWidth="1"/>
    <col min="3583" max="3583" width="8.85546875" customWidth="1"/>
    <col min="3584" max="3584" width="32.5703125" customWidth="1"/>
    <col min="3585" max="3585" width="8.28515625" customWidth="1"/>
    <col min="3839" max="3839" width="8.85546875" customWidth="1"/>
    <col min="3840" max="3840" width="32.5703125" customWidth="1"/>
    <col min="3841" max="3841" width="8.28515625" customWidth="1"/>
    <col min="4095" max="4095" width="8.85546875" customWidth="1"/>
    <col min="4096" max="4096" width="32.5703125" customWidth="1"/>
    <col min="4097" max="4097" width="8.28515625" customWidth="1"/>
    <col min="4351" max="4351" width="8.85546875" customWidth="1"/>
    <col min="4352" max="4352" width="32.5703125" customWidth="1"/>
    <col min="4353" max="4353" width="8.28515625" customWidth="1"/>
    <col min="4607" max="4607" width="8.85546875" customWidth="1"/>
    <col min="4608" max="4608" width="32.5703125" customWidth="1"/>
    <col min="4609" max="4609" width="8.28515625" customWidth="1"/>
    <col min="4863" max="4863" width="8.85546875" customWidth="1"/>
    <col min="4864" max="4864" width="32.5703125" customWidth="1"/>
    <col min="4865" max="4865" width="8.28515625" customWidth="1"/>
    <col min="5119" max="5119" width="8.85546875" customWidth="1"/>
    <col min="5120" max="5120" width="32.5703125" customWidth="1"/>
    <col min="5121" max="5121" width="8.28515625" customWidth="1"/>
    <col min="5375" max="5375" width="8.85546875" customWidth="1"/>
    <col min="5376" max="5376" width="32.5703125" customWidth="1"/>
    <col min="5377" max="5377" width="8.28515625" customWidth="1"/>
    <col min="5631" max="5631" width="8.85546875" customWidth="1"/>
    <col min="5632" max="5632" width="32.5703125" customWidth="1"/>
    <col min="5633" max="5633" width="8.28515625" customWidth="1"/>
    <col min="5887" max="5887" width="8.85546875" customWidth="1"/>
    <col min="5888" max="5888" width="32.5703125" customWidth="1"/>
    <col min="5889" max="5889" width="8.28515625" customWidth="1"/>
    <col min="6143" max="6143" width="8.85546875" customWidth="1"/>
    <col min="6144" max="6144" width="32.5703125" customWidth="1"/>
    <col min="6145" max="6145" width="8.28515625" customWidth="1"/>
    <col min="6399" max="6399" width="8.85546875" customWidth="1"/>
    <col min="6400" max="6400" width="32.5703125" customWidth="1"/>
    <col min="6401" max="6401" width="8.28515625" customWidth="1"/>
    <col min="6655" max="6655" width="8.85546875" customWidth="1"/>
    <col min="6656" max="6656" width="32.5703125" customWidth="1"/>
    <col min="6657" max="6657" width="8.28515625" customWidth="1"/>
    <col min="6911" max="6911" width="8.85546875" customWidth="1"/>
    <col min="6912" max="6912" width="32.5703125" customWidth="1"/>
    <col min="6913" max="6913" width="8.28515625" customWidth="1"/>
    <col min="7167" max="7167" width="8.85546875" customWidth="1"/>
    <col min="7168" max="7168" width="32.5703125" customWidth="1"/>
    <col min="7169" max="7169" width="8.28515625" customWidth="1"/>
    <col min="7423" max="7423" width="8.85546875" customWidth="1"/>
    <col min="7424" max="7424" width="32.5703125" customWidth="1"/>
    <col min="7425" max="7425" width="8.28515625" customWidth="1"/>
    <col min="7679" max="7679" width="8.85546875" customWidth="1"/>
    <col min="7680" max="7680" width="32.5703125" customWidth="1"/>
    <col min="7681" max="7681" width="8.28515625" customWidth="1"/>
    <col min="7935" max="7935" width="8.85546875" customWidth="1"/>
    <col min="7936" max="7936" width="32.5703125" customWidth="1"/>
    <col min="7937" max="7937" width="8.28515625" customWidth="1"/>
    <col min="8191" max="8191" width="8.85546875" customWidth="1"/>
    <col min="8192" max="8192" width="32.5703125" customWidth="1"/>
    <col min="8193" max="8193" width="8.28515625" customWidth="1"/>
    <col min="8447" max="8447" width="8.85546875" customWidth="1"/>
    <col min="8448" max="8448" width="32.5703125" customWidth="1"/>
    <col min="8449" max="8449" width="8.28515625" customWidth="1"/>
    <col min="8703" max="8703" width="8.85546875" customWidth="1"/>
    <col min="8704" max="8704" width="32.5703125" customWidth="1"/>
    <col min="8705" max="8705" width="8.28515625" customWidth="1"/>
    <col min="8959" max="8959" width="8.85546875" customWidth="1"/>
    <col min="8960" max="8960" width="32.5703125" customWidth="1"/>
    <col min="8961" max="8961" width="8.28515625" customWidth="1"/>
    <col min="9215" max="9215" width="8.85546875" customWidth="1"/>
    <col min="9216" max="9216" width="32.5703125" customWidth="1"/>
    <col min="9217" max="9217" width="8.28515625" customWidth="1"/>
    <col min="9471" max="9471" width="8.85546875" customWidth="1"/>
    <col min="9472" max="9472" width="32.5703125" customWidth="1"/>
    <col min="9473" max="9473" width="8.28515625" customWidth="1"/>
    <col min="9727" max="9727" width="8.85546875" customWidth="1"/>
    <col min="9728" max="9728" width="32.5703125" customWidth="1"/>
    <col min="9729" max="9729" width="8.28515625" customWidth="1"/>
    <col min="9983" max="9983" width="8.85546875" customWidth="1"/>
    <col min="9984" max="9984" width="32.5703125" customWidth="1"/>
    <col min="9985" max="9985" width="8.28515625" customWidth="1"/>
    <col min="10239" max="10239" width="8.85546875" customWidth="1"/>
    <col min="10240" max="10240" width="32.5703125" customWidth="1"/>
    <col min="10241" max="10241" width="8.28515625" customWidth="1"/>
    <col min="10495" max="10495" width="8.85546875" customWidth="1"/>
    <col min="10496" max="10496" width="32.5703125" customWidth="1"/>
    <col min="10497" max="10497" width="8.28515625" customWidth="1"/>
    <col min="10751" max="10751" width="8.85546875" customWidth="1"/>
    <col min="10752" max="10752" width="32.5703125" customWidth="1"/>
    <col min="10753" max="10753" width="8.28515625" customWidth="1"/>
    <col min="11007" max="11007" width="8.85546875" customWidth="1"/>
    <col min="11008" max="11008" width="32.5703125" customWidth="1"/>
    <col min="11009" max="11009" width="8.28515625" customWidth="1"/>
    <col min="11263" max="11263" width="8.85546875" customWidth="1"/>
    <col min="11264" max="11264" width="32.5703125" customWidth="1"/>
    <col min="11265" max="11265" width="8.28515625" customWidth="1"/>
    <col min="11519" max="11519" width="8.85546875" customWidth="1"/>
    <col min="11520" max="11520" width="32.5703125" customWidth="1"/>
    <col min="11521" max="11521" width="8.28515625" customWidth="1"/>
    <col min="11775" max="11775" width="8.85546875" customWidth="1"/>
    <col min="11776" max="11776" width="32.5703125" customWidth="1"/>
    <col min="11777" max="11777" width="8.28515625" customWidth="1"/>
    <col min="12031" max="12031" width="8.85546875" customWidth="1"/>
    <col min="12032" max="12032" width="32.5703125" customWidth="1"/>
    <col min="12033" max="12033" width="8.28515625" customWidth="1"/>
    <col min="12287" max="12287" width="8.85546875" customWidth="1"/>
    <col min="12288" max="12288" width="32.5703125" customWidth="1"/>
    <col min="12289" max="12289" width="8.28515625" customWidth="1"/>
    <col min="12543" max="12543" width="8.85546875" customWidth="1"/>
    <col min="12544" max="12544" width="32.5703125" customWidth="1"/>
    <col min="12545" max="12545" width="8.28515625" customWidth="1"/>
    <col min="12799" max="12799" width="8.85546875" customWidth="1"/>
    <col min="12800" max="12800" width="32.5703125" customWidth="1"/>
    <col min="12801" max="12801" width="8.28515625" customWidth="1"/>
    <col min="13055" max="13055" width="8.85546875" customWidth="1"/>
    <col min="13056" max="13056" width="32.5703125" customWidth="1"/>
    <col min="13057" max="13057" width="8.28515625" customWidth="1"/>
    <col min="13311" max="13311" width="8.85546875" customWidth="1"/>
    <col min="13312" max="13312" width="32.5703125" customWidth="1"/>
    <col min="13313" max="13313" width="8.28515625" customWidth="1"/>
    <col min="13567" max="13567" width="8.85546875" customWidth="1"/>
    <col min="13568" max="13568" width="32.5703125" customWidth="1"/>
    <col min="13569" max="13569" width="8.28515625" customWidth="1"/>
    <col min="13823" max="13823" width="8.85546875" customWidth="1"/>
    <col min="13824" max="13824" width="32.5703125" customWidth="1"/>
    <col min="13825" max="13825" width="8.28515625" customWidth="1"/>
    <col min="14079" max="14079" width="8.85546875" customWidth="1"/>
    <col min="14080" max="14080" width="32.5703125" customWidth="1"/>
    <col min="14081" max="14081" width="8.28515625" customWidth="1"/>
    <col min="14335" max="14335" width="8.85546875" customWidth="1"/>
    <col min="14336" max="14336" width="32.5703125" customWidth="1"/>
    <col min="14337" max="14337" width="8.28515625" customWidth="1"/>
    <col min="14591" max="14591" width="8.85546875" customWidth="1"/>
    <col min="14592" max="14592" width="32.5703125" customWidth="1"/>
    <col min="14593" max="14593" width="8.28515625" customWidth="1"/>
    <col min="14847" max="14847" width="8.85546875" customWidth="1"/>
    <col min="14848" max="14848" width="32.5703125" customWidth="1"/>
    <col min="14849" max="14849" width="8.28515625" customWidth="1"/>
    <col min="15103" max="15103" width="8.85546875" customWidth="1"/>
    <col min="15104" max="15104" width="32.5703125" customWidth="1"/>
    <col min="15105" max="15105" width="8.28515625" customWidth="1"/>
    <col min="15359" max="15359" width="8.85546875" customWidth="1"/>
    <col min="15360" max="15360" width="32.5703125" customWidth="1"/>
    <col min="15361" max="15361" width="8.28515625" customWidth="1"/>
    <col min="15615" max="15615" width="8.85546875" customWidth="1"/>
    <col min="15616" max="15616" width="32.5703125" customWidth="1"/>
    <col min="15617" max="15617" width="8.28515625" customWidth="1"/>
    <col min="15871" max="15871" width="8.85546875" customWidth="1"/>
    <col min="15872" max="15872" width="32.5703125" customWidth="1"/>
    <col min="15873" max="15873" width="8.28515625" customWidth="1"/>
    <col min="16127" max="16127" width="8.85546875" customWidth="1"/>
    <col min="16128" max="16128" width="32.5703125" customWidth="1"/>
    <col min="16129" max="16129" width="8.28515625" customWidth="1"/>
  </cols>
  <sheetData>
    <row r="1" spans="1:11" ht="45.2" customHeight="1" thickBot="1" x14ac:dyDescent="0.3">
      <c r="A1" s="165" t="s">
        <v>31</v>
      </c>
      <c r="B1" s="116" t="s">
        <v>32</v>
      </c>
      <c r="C1" s="38" t="s">
        <v>1136</v>
      </c>
      <c r="E1" s="150" t="s">
        <v>1088</v>
      </c>
    </row>
    <row r="2" spans="1:11" x14ac:dyDescent="0.3">
      <c r="A2" s="166">
        <v>505</v>
      </c>
      <c r="B2" s="175" t="s">
        <v>85</v>
      </c>
      <c r="C2" s="118">
        <v>30000</v>
      </c>
      <c r="E2" t="str">
        <f>+IF(A2="","",IF(OR(RIGHT(A2,1)="E",RIGHT(A2,1)="H"),"",IF(IFERROR(VLOOKUP(A2,'Datos x Cja LK'!A:A,1,),"Falta en Consumo")=A2,"Ok",IFERROR(VLOOKUP(A2,'Datos x Cja LK'!A:A,1,),"Falta en Consumo"))))</f>
        <v>Ok</v>
      </c>
      <c r="G2">
        <v>0</v>
      </c>
      <c r="H2" s="244">
        <f>+C2-G2</f>
        <v>30000</v>
      </c>
      <c r="J2" s="244"/>
      <c r="K2" s="293"/>
    </row>
    <row r="3" spans="1:11" x14ac:dyDescent="0.3">
      <c r="A3" s="166">
        <v>506</v>
      </c>
      <c r="B3" s="176" t="s">
        <v>86</v>
      </c>
      <c r="C3" s="119">
        <v>18840</v>
      </c>
      <c r="E3" t="str">
        <f>+IF(A3="","",IF(OR(RIGHT(A3,1)="E",RIGHT(A3,1)="H"),"",IF(IFERROR(VLOOKUP(A3,'Datos x Cja LK'!A:A,1,),"Falta en Consumo")=A3,"Ok",IFERROR(VLOOKUP(A3,'Datos x Cja LK'!A:A,1,),"Falta en Consumo"))))</f>
        <v>Ok</v>
      </c>
      <c r="G3">
        <v>0</v>
      </c>
      <c r="H3">
        <f t="shared" ref="H3:H66" si="0">+C3-G3</f>
        <v>18840</v>
      </c>
      <c r="J3" s="244"/>
      <c r="K3" s="293"/>
    </row>
    <row r="4" spans="1:11" x14ac:dyDescent="0.3">
      <c r="A4" s="166">
        <v>513</v>
      </c>
      <c r="B4" s="177" t="s">
        <v>93</v>
      </c>
      <c r="C4" s="118">
        <v>18204</v>
      </c>
      <c r="E4" t="str">
        <f>+IF(A4="","",IF(OR(RIGHT(A4,1)="E",RIGHT(A4,1)="H"),"",IF(IFERROR(VLOOKUP(A4,'Datos x Cja LK'!A:A,1,),"Falta en Consumo")=A4,"Ok",IFERROR(VLOOKUP(A4,'Datos x Cja LK'!A:A,1,),"Falta en Consumo"))))</f>
        <v>Ok</v>
      </c>
      <c r="G4">
        <v>0</v>
      </c>
      <c r="H4">
        <f t="shared" si="0"/>
        <v>18204</v>
      </c>
      <c r="J4" s="244"/>
      <c r="K4" s="293"/>
    </row>
    <row r="5" spans="1:11" x14ac:dyDescent="0.3">
      <c r="A5" s="166">
        <v>31</v>
      </c>
      <c r="B5" s="177" t="s">
        <v>37</v>
      </c>
      <c r="C5" s="120">
        <v>18192</v>
      </c>
      <c r="E5" t="str">
        <f>+IF(A5="","",IF(OR(RIGHT(A5,1)="E",RIGHT(A5,1)="H"),"",IF(IFERROR(VLOOKUP(A5,'Datos x Cja LK'!A:A,1,),"Falta en Consumo")=A5,"Ok",IFERROR(VLOOKUP(A5,'Datos x Cja LK'!A:A,1,),"Falta en Consumo"))))</f>
        <v>Ok</v>
      </c>
      <c r="G5">
        <v>0</v>
      </c>
      <c r="H5">
        <f t="shared" si="0"/>
        <v>18192</v>
      </c>
      <c r="J5" s="244"/>
      <c r="K5" s="293"/>
    </row>
    <row r="6" spans="1:11" x14ac:dyDescent="0.3">
      <c r="A6" s="166">
        <v>586</v>
      </c>
      <c r="B6" s="177" t="s">
        <v>139</v>
      </c>
      <c r="C6" s="120">
        <v>6996</v>
      </c>
      <c r="E6" t="str">
        <f>+IF(A6="","",IF(OR(RIGHT(A6,1)="E",RIGHT(A6,1)="H"),"",IF(IFERROR(VLOOKUP(A6,'Datos x Cja LK'!A:A,1,),"Falta en Consumo")=A6,"Ok",IFERROR(VLOOKUP(A6,'Datos x Cja LK'!A:A,1,),"Falta en Consumo"))))</f>
        <v>Ok</v>
      </c>
      <c r="G6">
        <v>0</v>
      </c>
      <c r="H6">
        <f t="shared" si="0"/>
        <v>6996</v>
      </c>
      <c r="J6" s="244"/>
      <c r="K6" s="293"/>
    </row>
    <row r="7" spans="1:11" x14ac:dyDescent="0.3">
      <c r="A7" s="166">
        <v>530</v>
      </c>
      <c r="B7" s="176" t="s">
        <v>104</v>
      </c>
      <c r="C7" s="121">
        <v>3600</v>
      </c>
      <c r="E7" t="str">
        <f>+IF(A7="","",IF(OR(RIGHT(A7,1)="E",RIGHT(A7,1)="H"),"",IF(IFERROR(VLOOKUP(A7,'Datos x Cja LK'!A:A,1,),"Falta en Consumo")=A7,"Ok",IFERROR(VLOOKUP(A7,'Datos x Cja LK'!A:A,1,),"Falta en Consumo"))))</f>
        <v>Ok</v>
      </c>
      <c r="G7">
        <v>0</v>
      </c>
      <c r="H7">
        <f t="shared" si="0"/>
        <v>3600</v>
      </c>
      <c r="J7" s="244"/>
      <c r="K7" s="293"/>
    </row>
    <row r="8" spans="1:11" x14ac:dyDescent="0.3">
      <c r="A8" s="166">
        <v>546</v>
      </c>
      <c r="B8" s="177" t="s">
        <v>112</v>
      </c>
      <c r="C8" s="120">
        <v>7200</v>
      </c>
      <c r="E8" t="str">
        <f>+IF(A8="","",IF(OR(RIGHT(A8,1)="E",RIGHT(A8,1)="H"),"",IF(IFERROR(VLOOKUP(A8,'Datos x Cja LK'!A:A,1,),"Falta en Consumo")=A8,"Ok",IFERROR(VLOOKUP(A8,'Datos x Cja LK'!A:A,1,),"Falta en Consumo"))))</f>
        <v>Ok</v>
      </c>
      <c r="G8">
        <v>0</v>
      </c>
      <c r="H8">
        <f t="shared" si="0"/>
        <v>7200</v>
      </c>
      <c r="J8" s="244"/>
      <c r="K8" s="293"/>
    </row>
    <row r="9" spans="1:11" x14ac:dyDescent="0.3">
      <c r="A9" s="166">
        <v>544</v>
      </c>
      <c r="B9" s="177" t="s">
        <v>111</v>
      </c>
      <c r="C9" s="119">
        <v>7464</v>
      </c>
      <c r="E9" t="str">
        <f>+IF(A9="","",IF(OR(RIGHT(A9,1)="E",RIGHT(A9,1)="H"),"",IF(IFERROR(VLOOKUP(A9,'Datos x Cja LK'!A:A,1,),"Falta en Consumo")=A9,"Ok",IFERROR(VLOOKUP(A9,'Datos x Cja LK'!A:A,1,),"Falta en Consumo"))))</f>
        <v>Ok</v>
      </c>
      <c r="G9">
        <v>0</v>
      </c>
      <c r="H9">
        <f t="shared" si="0"/>
        <v>7464</v>
      </c>
      <c r="J9" s="244"/>
      <c r="K9" s="293"/>
    </row>
    <row r="10" spans="1:11" x14ac:dyDescent="0.3">
      <c r="A10" s="166">
        <v>504</v>
      </c>
      <c r="B10" s="177" t="s">
        <v>84</v>
      </c>
      <c r="C10" s="119">
        <v>6996</v>
      </c>
      <c r="E10" t="str">
        <f>+IF(A10="","",IF(OR(RIGHT(A10,1)="E",RIGHT(A10,1)="H"),"",IF(IFERROR(VLOOKUP(A10,'Datos x Cja LK'!A:A,1,),"Falta en Consumo")=A10,"Ok",IFERROR(VLOOKUP(A10,'Datos x Cja LK'!A:A,1,),"Falta en Consumo"))))</f>
        <v>Ok</v>
      </c>
      <c r="G10">
        <v>0</v>
      </c>
      <c r="H10">
        <f t="shared" si="0"/>
        <v>6996</v>
      </c>
      <c r="J10" s="244"/>
      <c r="K10" s="293"/>
    </row>
    <row r="11" spans="1:11" x14ac:dyDescent="0.3">
      <c r="A11" s="166">
        <v>501</v>
      </c>
      <c r="B11" s="177" t="s">
        <v>82</v>
      </c>
      <c r="C11" s="120">
        <v>6912</v>
      </c>
      <c r="E11" t="str">
        <f>+IF(A11="","",IF(OR(RIGHT(A11,1)="E",RIGHT(A11,1)="H"),"",IF(IFERROR(VLOOKUP(A11,'Datos x Cja LK'!A:A,1,),"Falta en Consumo")=A11,"Ok",IFERROR(VLOOKUP(A11,'Datos x Cja LK'!A:A,1,),"Falta en Consumo"))))</f>
        <v>Ok</v>
      </c>
      <c r="G11">
        <v>0</v>
      </c>
      <c r="H11">
        <f t="shared" si="0"/>
        <v>6912</v>
      </c>
      <c r="J11" s="244"/>
      <c r="K11" s="293"/>
    </row>
    <row r="12" spans="1:11" x14ac:dyDescent="0.3">
      <c r="A12" s="166">
        <v>502</v>
      </c>
      <c r="B12" s="177" t="s">
        <v>83</v>
      </c>
      <c r="C12" s="121">
        <v>5796</v>
      </c>
      <c r="E12" t="str">
        <f>+IF(A12="","",IF(OR(RIGHT(A12,1)="E",RIGHT(A12,1)="H"),"",IF(IFERROR(VLOOKUP(A12,'Datos x Cja LK'!A:A,1,),"Falta en Consumo")=A12,"Ok",IFERROR(VLOOKUP(A12,'Datos x Cja LK'!A:A,1,),"Falta en Consumo"))))</f>
        <v>Ok</v>
      </c>
      <c r="G12">
        <v>0</v>
      </c>
      <c r="H12">
        <f t="shared" si="0"/>
        <v>5796</v>
      </c>
      <c r="J12" s="244"/>
      <c r="K12" s="293"/>
    </row>
    <row r="13" spans="1:11" x14ac:dyDescent="0.3">
      <c r="A13" s="166">
        <v>321</v>
      </c>
      <c r="B13" s="177" t="s">
        <v>883</v>
      </c>
      <c r="C13" s="119">
        <v>3120</v>
      </c>
      <c r="E13" t="str">
        <f>+IF(A13="","",IF(OR(RIGHT(A13,1)="E",RIGHT(A13,1)="H"),"",IF(IFERROR(VLOOKUP(A13,'Datos x Cja LK'!A:A,1,),"Falta en Consumo")=A13,"Ok",IFERROR(VLOOKUP(A13,'Datos x Cja LK'!A:A,1,),"Falta en Consumo"))))</f>
        <v>Ok</v>
      </c>
      <c r="G13">
        <v>0</v>
      </c>
      <c r="H13">
        <f t="shared" si="0"/>
        <v>3120</v>
      </c>
      <c r="J13" s="244"/>
      <c r="K13" s="293"/>
    </row>
    <row r="14" spans="1:11" x14ac:dyDescent="0.3">
      <c r="A14" s="166">
        <v>510</v>
      </c>
      <c r="B14" s="176" t="s">
        <v>90</v>
      </c>
      <c r="C14" s="121">
        <v>6456</v>
      </c>
      <c r="E14" t="str">
        <f>+IF(A14="","",IF(OR(RIGHT(A14,1)="E",RIGHT(A14,1)="H"),"",IF(IFERROR(VLOOKUP(A14,'Datos x Cja LK'!A:A,1,),"Falta en Consumo")=A14,"Ok",IFERROR(VLOOKUP(A14,'Datos x Cja LK'!A:A,1,),"Falta en Consumo"))))</f>
        <v>Ok</v>
      </c>
      <c r="G14">
        <v>0</v>
      </c>
      <c r="H14">
        <f t="shared" si="0"/>
        <v>6456</v>
      </c>
      <c r="J14" s="244"/>
      <c r="K14" s="293"/>
    </row>
    <row r="15" spans="1:11" x14ac:dyDescent="0.25">
      <c r="A15" s="166">
        <v>27</v>
      </c>
      <c r="B15" s="178" t="s">
        <v>34</v>
      </c>
      <c r="C15" s="122">
        <v>4512</v>
      </c>
      <c r="E15" t="str">
        <f>+IF(A15="","",IF(OR(RIGHT(A15,1)="E",RIGHT(A15,1)="H"),"",IF(IFERROR(VLOOKUP(A15,'Datos x Cja LK'!A:A,1,),"Falta en Consumo")=A15,"Ok",IFERROR(VLOOKUP(A15,'Datos x Cja LK'!A:A,1,),"Falta en Consumo"))))</f>
        <v>Ok</v>
      </c>
      <c r="G15">
        <v>0</v>
      </c>
      <c r="H15">
        <f t="shared" si="0"/>
        <v>4512</v>
      </c>
      <c r="J15" s="244"/>
      <c r="K15" s="293"/>
    </row>
    <row r="16" spans="1:11" x14ac:dyDescent="0.3">
      <c r="A16" s="166">
        <v>587</v>
      </c>
      <c r="B16" s="179" t="s">
        <v>140</v>
      </c>
      <c r="C16" s="119">
        <v>3600</v>
      </c>
      <c r="E16" t="str">
        <f>+IF(A16="","",IF(OR(RIGHT(A16,1)="E",RIGHT(A16,1)="H"),"",IF(IFERROR(VLOOKUP(A16,'Datos x Cja LK'!A:A,1,),"Falta en Consumo")=A16,"Ok",IFERROR(VLOOKUP(A16,'Datos x Cja LK'!A:A,1,),"Falta en Consumo"))))</f>
        <v>Ok</v>
      </c>
      <c r="G16">
        <v>0</v>
      </c>
      <c r="H16">
        <f t="shared" si="0"/>
        <v>3600</v>
      </c>
      <c r="J16" s="244"/>
      <c r="K16" s="293"/>
    </row>
    <row r="17" spans="1:11" x14ac:dyDescent="0.3">
      <c r="A17" s="166">
        <v>315</v>
      </c>
      <c r="B17" s="181" t="s">
        <v>57</v>
      </c>
      <c r="C17" s="122">
        <v>4500</v>
      </c>
      <c r="E17" t="str">
        <f>+IF(A17="","",IF(OR(RIGHT(A17,1)="E",RIGHT(A17,1)="H"),"",IF(IFERROR(VLOOKUP(A17,'Datos x Cja LK'!A:A,1,),"Falta en Consumo")=A17,"Ok",IFERROR(VLOOKUP(A17,'Datos x Cja LK'!A:A,1,),"Falta en Consumo"))))</f>
        <v>Ok</v>
      </c>
      <c r="G17">
        <v>0</v>
      </c>
      <c r="H17">
        <f t="shared" si="0"/>
        <v>4500</v>
      </c>
      <c r="J17" s="244"/>
      <c r="K17" s="293"/>
    </row>
    <row r="18" spans="1:11" x14ac:dyDescent="0.3">
      <c r="A18" s="166">
        <v>520</v>
      </c>
      <c r="B18" s="181" t="s">
        <v>100</v>
      </c>
      <c r="C18" s="122">
        <v>3120</v>
      </c>
      <c r="E18" t="str">
        <f>+IF(A18="","",IF(OR(RIGHT(A18,1)="E",RIGHT(A18,1)="H"),"",IF(IFERROR(VLOOKUP(A18,'Datos x Cja LK'!A:A,1,),"Falta en Consumo")=A18,"Ok",IFERROR(VLOOKUP(A18,'Datos x Cja LK'!A:A,1,),"Falta en Consumo"))))</f>
        <v>Ok</v>
      </c>
      <c r="G18">
        <v>0</v>
      </c>
      <c r="H18">
        <f t="shared" si="0"/>
        <v>3120</v>
      </c>
      <c r="J18" s="244"/>
      <c r="K18" s="293"/>
    </row>
    <row r="19" spans="1:11" x14ac:dyDescent="0.3">
      <c r="A19" s="166">
        <v>26</v>
      </c>
      <c r="B19" s="181" t="s">
        <v>33</v>
      </c>
      <c r="C19" s="123">
        <v>7236</v>
      </c>
      <c r="E19" t="str">
        <f>+IF(A19="","",IF(OR(RIGHT(A19,1)="E",RIGHT(A19,1)="H"),"",IF(IFERROR(VLOOKUP(A19,'Datos x Cja LK'!A:A,1,),"Falta en Consumo")=A19,"Ok",IFERROR(VLOOKUP(A19,'Datos x Cja LK'!A:A,1,),"Falta en Consumo"))))</f>
        <v>Ok</v>
      </c>
      <c r="G19">
        <v>0</v>
      </c>
      <c r="H19">
        <f t="shared" si="0"/>
        <v>7236</v>
      </c>
      <c r="J19" s="244"/>
      <c r="K19" s="293"/>
    </row>
    <row r="20" spans="1:11" x14ac:dyDescent="0.3">
      <c r="A20" s="166">
        <v>325</v>
      </c>
      <c r="B20" s="181" t="s">
        <v>60</v>
      </c>
      <c r="C20" s="123">
        <v>2256</v>
      </c>
      <c r="E20" t="str">
        <f>+IF(A20="","",IF(OR(RIGHT(A20,1)="E",RIGHT(A20,1)="H"),"",IF(IFERROR(VLOOKUP(A20,'Datos x Cja LK'!A:A,1,),"Falta en Consumo")=A20,"Ok",IFERROR(VLOOKUP(A20,'Datos x Cja LK'!A:A,1,),"Falta en Consumo"))))</f>
        <v>Ok</v>
      </c>
      <c r="G20">
        <v>0</v>
      </c>
      <c r="H20">
        <f t="shared" si="0"/>
        <v>2256</v>
      </c>
      <c r="J20" s="244"/>
      <c r="K20" s="293"/>
    </row>
    <row r="21" spans="1:11" x14ac:dyDescent="0.3">
      <c r="A21" s="166">
        <v>30</v>
      </c>
      <c r="B21" s="181" t="s">
        <v>36</v>
      </c>
      <c r="C21" s="123">
        <v>0</v>
      </c>
      <c r="E21" t="str">
        <f>+IF(A21="","",IF(OR(RIGHT(A21,1)="E",RIGHT(A21,1)="H"),"",IF(IFERROR(VLOOKUP(A21,'Datos x Cja LK'!A:A,1,),"Falta en Consumo")=A21,"Ok",IFERROR(VLOOKUP(A21,'Datos x Cja LK'!A:A,1,),"Falta en Consumo"))))</f>
        <v>Ok</v>
      </c>
      <c r="G21">
        <v>0</v>
      </c>
      <c r="H21">
        <f t="shared" si="0"/>
        <v>0</v>
      </c>
      <c r="J21" s="244"/>
      <c r="K21" s="293"/>
    </row>
    <row r="22" spans="1:11" x14ac:dyDescent="0.3">
      <c r="A22" s="166" t="s">
        <v>203</v>
      </c>
      <c r="B22" s="181" t="s">
        <v>189</v>
      </c>
      <c r="C22" s="122">
        <v>4400</v>
      </c>
      <c r="E22" t="str">
        <f>+IF(A22="","",IF(OR(RIGHT(A22,1)="E",RIGHT(A22,1)="H"),"",IF(IFERROR(VLOOKUP(A22,'Datos x Cja LK'!A:A,1,),"Falta en Consumo")=A22,"Ok",IFERROR(VLOOKUP(A22,'Datos x Cja LK'!A:A,1,),"Falta en Consumo"))))</f>
        <v/>
      </c>
      <c r="G22">
        <v>0</v>
      </c>
      <c r="H22">
        <f t="shared" si="0"/>
        <v>4400</v>
      </c>
      <c r="J22" s="244"/>
      <c r="K22" s="293"/>
    </row>
    <row r="23" spans="1:11" x14ac:dyDescent="0.3">
      <c r="A23" s="167">
        <v>224</v>
      </c>
      <c r="B23" s="181" t="s">
        <v>48</v>
      </c>
      <c r="C23" s="125">
        <v>588</v>
      </c>
      <c r="E23" t="str">
        <f>+IF(A23="","",IF(OR(RIGHT(A23,1)="E",RIGHT(A23,1)="H"),"",IF(IFERROR(VLOOKUP(A23,'Datos x Cja LK'!A:A,1,),"Falta en Consumo")=A23,"Ok",IFERROR(VLOOKUP(A23,'Datos x Cja LK'!A:A,1,),"Falta en Consumo"))))</f>
        <v>Ok</v>
      </c>
      <c r="G23">
        <v>0</v>
      </c>
      <c r="H23">
        <f t="shared" si="0"/>
        <v>588</v>
      </c>
      <c r="J23" s="244"/>
      <c r="K23" s="293"/>
    </row>
    <row r="24" spans="1:11" x14ac:dyDescent="0.3">
      <c r="A24" s="166">
        <v>29</v>
      </c>
      <c r="B24" s="181" t="s">
        <v>35</v>
      </c>
      <c r="C24" s="123">
        <v>0</v>
      </c>
      <c r="E24" t="str">
        <f>+IF(A24="","",IF(OR(RIGHT(A24,1)="E",RIGHT(A24,1)="H"),"",IF(IFERROR(VLOOKUP(A24,'Datos x Cja LK'!A:A,1,),"Falta en Consumo")=A24,"Ok",IFERROR(VLOOKUP(A24,'Datos x Cja LK'!A:A,1,),"Falta en Consumo"))))</f>
        <v>Ok</v>
      </c>
      <c r="G24">
        <v>0</v>
      </c>
      <c r="H24">
        <f t="shared" si="0"/>
        <v>0</v>
      </c>
      <c r="J24" s="244"/>
      <c r="K24" s="293"/>
    </row>
    <row r="25" spans="1:11" x14ac:dyDescent="0.3">
      <c r="A25" s="166">
        <v>558</v>
      </c>
      <c r="B25" s="181" t="s">
        <v>123</v>
      </c>
      <c r="C25" s="123">
        <v>2124</v>
      </c>
      <c r="E25" t="str">
        <f>+IF(A25="","",IF(OR(RIGHT(A25,1)="E",RIGHT(A25,1)="H"),"",IF(IFERROR(VLOOKUP(A25,'Datos x Cja LK'!A:A,1,),"Falta en Consumo")=A25,"Ok",IFERROR(VLOOKUP(A25,'Datos x Cja LK'!A:A,1,),"Falta en Consumo"))))</f>
        <v>Ok</v>
      </c>
      <c r="G25">
        <v>0</v>
      </c>
      <c r="H25">
        <f t="shared" si="0"/>
        <v>2124</v>
      </c>
      <c r="J25" s="244"/>
      <c r="K25" s="293"/>
    </row>
    <row r="26" spans="1:11" x14ac:dyDescent="0.3">
      <c r="A26" s="166">
        <v>523</v>
      </c>
      <c r="B26" s="181" t="s">
        <v>102</v>
      </c>
      <c r="C26" s="124">
        <v>2400</v>
      </c>
      <c r="E26" t="str">
        <f>+IF(A26="","",IF(OR(RIGHT(A26,1)="E",RIGHT(A26,1)="H"),"",IF(IFERROR(VLOOKUP(A26,'Datos x Cja LK'!A:A,1,),"Falta en Consumo")=A26,"Ok",IFERROR(VLOOKUP(A26,'Datos x Cja LK'!A:A,1,),"Falta en Consumo"))))</f>
        <v>Ok</v>
      </c>
      <c r="G26">
        <v>0</v>
      </c>
      <c r="H26">
        <f t="shared" si="0"/>
        <v>2400</v>
      </c>
      <c r="J26" s="244"/>
      <c r="K26" s="293"/>
    </row>
    <row r="27" spans="1:11" x14ac:dyDescent="0.3">
      <c r="A27" s="166">
        <v>512</v>
      </c>
      <c r="B27" s="181" t="s">
        <v>92</v>
      </c>
      <c r="C27" s="124">
        <v>1656</v>
      </c>
      <c r="E27" t="str">
        <f>+IF(A27="","",IF(OR(RIGHT(A27,1)="E",RIGHT(A27,1)="H"),"",IF(IFERROR(VLOOKUP(A27,'Datos x Cja LK'!A:A,1,),"Falta en Consumo")=A27,"Ok",IFERROR(VLOOKUP(A27,'Datos x Cja LK'!A:A,1,),"Falta en Consumo"))))</f>
        <v>Ok</v>
      </c>
      <c r="G27">
        <v>0</v>
      </c>
      <c r="H27">
        <f t="shared" si="0"/>
        <v>1656</v>
      </c>
      <c r="J27" s="244"/>
      <c r="K27" s="293"/>
    </row>
    <row r="28" spans="1:11" x14ac:dyDescent="0.3">
      <c r="A28" s="166">
        <v>521</v>
      </c>
      <c r="B28" s="181" t="s">
        <v>101</v>
      </c>
      <c r="C28" s="122">
        <v>2220</v>
      </c>
      <c r="E28" t="str">
        <f>+IF(A28="","",IF(OR(RIGHT(A28,1)="E",RIGHT(A28,1)="H"),"",IF(IFERROR(VLOOKUP(A28,'Datos x Cja LK'!A:A,1,),"Falta en Consumo")=A28,"Ok",IFERROR(VLOOKUP(A28,'Datos x Cja LK'!A:A,1,),"Falta en Consumo"))))</f>
        <v>Ok</v>
      </c>
      <c r="G28">
        <v>0</v>
      </c>
      <c r="H28">
        <f t="shared" si="0"/>
        <v>2220</v>
      </c>
      <c r="J28" s="244"/>
      <c r="K28" s="293"/>
    </row>
    <row r="29" spans="1:11" x14ac:dyDescent="0.3">
      <c r="A29" s="166">
        <v>581</v>
      </c>
      <c r="B29" s="181" t="s">
        <v>138</v>
      </c>
      <c r="C29" s="122">
        <v>768</v>
      </c>
      <c r="E29" t="str">
        <f>+IF(A29="","",IF(OR(RIGHT(A29,1)="E",RIGHT(A29,1)="H"),"",IF(IFERROR(VLOOKUP(A29,'Datos x Cja LK'!A:A,1,),"Falta en Consumo")=A29,"Ok",IFERROR(VLOOKUP(A29,'Datos x Cja LK'!A:A,1,),"Falta en Consumo"))))</f>
        <v>Ok</v>
      </c>
      <c r="G29">
        <v>0</v>
      </c>
      <c r="H29">
        <f t="shared" si="0"/>
        <v>768</v>
      </c>
      <c r="J29" s="244"/>
      <c r="K29" s="293"/>
    </row>
    <row r="30" spans="1:11" x14ac:dyDescent="0.3">
      <c r="A30" s="166">
        <v>531</v>
      </c>
      <c r="B30" s="181" t="s">
        <v>105</v>
      </c>
      <c r="C30" s="122">
        <v>1440</v>
      </c>
      <c r="E30" t="str">
        <f>+IF(A30="","",IF(OR(RIGHT(A30,1)="E",RIGHT(A30,1)="H"),"",IF(IFERROR(VLOOKUP(A30,'Datos x Cja LK'!A:A,1,),"Falta en Consumo")=A30,"Ok",IFERROR(VLOOKUP(A30,'Datos x Cja LK'!A:A,1,),"Falta en Consumo"))))</f>
        <v>Ok</v>
      </c>
      <c r="G30">
        <v>0</v>
      </c>
      <c r="H30">
        <f t="shared" si="0"/>
        <v>1440</v>
      </c>
      <c r="J30" s="244"/>
      <c r="K30" s="293"/>
    </row>
    <row r="31" spans="1:11" x14ac:dyDescent="0.3">
      <c r="A31" s="167">
        <v>248</v>
      </c>
      <c r="B31" s="181" t="s">
        <v>52</v>
      </c>
      <c r="C31" s="123">
        <v>924</v>
      </c>
      <c r="E31" t="str">
        <f>+IF(A31="","",IF(OR(RIGHT(A31,1)="E",RIGHT(A31,1)="H"),"",IF(IFERROR(VLOOKUP(A31,'Datos x Cja LK'!A:A,1,),"Falta en Consumo")=A31,"Ok",IFERROR(VLOOKUP(A31,'Datos x Cja LK'!A:A,1,),"Falta en Consumo"))))</f>
        <v>Ok</v>
      </c>
      <c r="G31">
        <v>0</v>
      </c>
      <c r="H31">
        <f t="shared" si="0"/>
        <v>924</v>
      </c>
      <c r="J31" s="244"/>
      <c r="K31" s="293"/>
    </row>
    <row r="32" spans="1:11" x14ac:dyDescent="0.3">
      <c r="A32" s="166">
        <v>555</v>
      </c>
      <c r="B32" s="180" t="s">
        <v>120</v>
      </c>
      <c r="C32" s="122">
        <v>1800</v>
      </c>
      <c r="E32" t="str">
        <f>+IF(A32="","",IF(OR(RIGHT(A32,1)="E",RIGHT(A32,1)="H"),"",IF(IFERROR(VLOOKUP(A32,'Datos x Cja LK'!A:A,1,),"Falta en Consumo")=A32,"Ok",IFERROR(VLOOKUP(A32,'Datos x Cja LK'!A:A,1,),"Falta en Consumo"))))</f>
        <v>Ok</v>
      </c>
      <c r="G32">
        <v>0</v>
      </c>
      <c r="H32">
        <f t="shared" si="0"/>
        <v>1800</v>
      </c>
      <c r="J32" s="244"/>
      <c r="K32" s="293"/>
    </row>
    <row r="33" spans="1:11" x14ac:dyDescent="0.3">
      <c r="A33" s="166">
        <v>575</v>
      </c>
      <c r="B33" s="177" t="s">
        <v>134</v>
      </c>
      <c r="C33" s="122">
        <v>1092</v>
      </c>
      <c r="E33" t="str">
        <f>+IF(A33="","",IF(OR(RIGHT(A33,1)="E",RIGHT(A33,1)="H"),"",IF(IFERROR(VLOOKUP(A33,'Datos x Cja LK'!A:A,1,),"Falta en Consumo")=A33,"Ok",IFERROR(VLOOKUP(A33,'Datos x Cja LK'!A:A,1,),"Falta en Consumo"))))</f>
        <v>Ok</v>
      </c>
      <c r="G33">
        <v>0</v>
      </c>
      <c r="H33">
        <f t="shared" si="0"/>
        <v>1092</v>
      </c>
      <c r="J33" s="244"/>
      <c r="K33" s="293"/>
    </row>
    <row r="34" spans="1:11" x14ac:dyDescent="0.3">
      <c r="A34" s="168">
        <v>66</v>
      </c>
      <c r="B34" s="177" t="s">
        <v>154</v>
      </c>
      <c r="C34" s="119">
        <v>2100</v>
      </c>
      <c r="E34" t="str">
        <f>+IF(A34="","",IF(OR(RIGHT(A34,1)="E",RIGHT(A34,1)="H"),"",IF(IFERROR(VLOOKUP(A34,'Datos x Cja LK'!A:A,1,),"Falta en Consumo")=A34,"Ok",IFERROR(VLOOKUP(A34,'Datos x Cja LK'!A:A,1,),"Falta en Consumo"))))</f>
        <v>Ok</v>
      </c>
      <c r="G34">
        <v>0</v>
      </c>
      <c r="H34">
        <f t="shared" si="0"/>
        <v>2100</v>
      </c>
      <c r="J34" s="244"/>
      <c r="K34" s="293"/>
    </row>
    <row r="35" spans="1:11" x14ac:dyDescent="0.3">
      <c r="A35" s="166">
        <v>535</v>
      </c>
      <c r="B35" s="177" t="s">
        <v>108</v>
      </c>
      <c r="C35" s="119">
        <v>1584</v>
      </c>
      <c r="E35" t="str">
        <f>+IF(A35="","",IF(OR(RIGHT(A35,1)="E",RIGHT(A35,1)="H"),"",IF(IFERROR(VLOOKUP(A35,'Datos x Cja LK'!A:A,1,),"Falta en Consumo")=A35,"Ok",IFERROR(VLOOKUP(A35,'Datos x Cja LK'!A:A,1,),"Falta en Consumo"))))</f>
        <v>Ok</v>
      </c>
      <c r="G35">
        <v>0</v>
      </c>
      <c r="H35">
        <f t="shared" si="0"/>
        <v>1584</v>
      </c>
      <c r="J35" s="244"/>
      <c r="K35" s="293"/>
    </row>
    <row r="36" spans="1:11" x14ac:dyDescent="0.3">
      <c r="A36" s="166">
        <v>34</v>
      </c>
      <c r="B36" s="177" t="s">
        <v>38</v>
      </c>
      <c r="C36" s="119">
        <v>1536</v>
      </c>
      <c r="E36" t="str">
        <f>+IF(A36="","",IF(OR(RIGHT(A36,1)="E",RIGHT(A36,1)="H"),"",IF(IFERROR(VLOOKUP(A36,'Datos x Cja LK'!A:A,1,),"Falta en Consumo")=A36,"Ok",IFERROR(VLOOKUP(A36,'Datos x Cja LK'!A:A,1,),"Falta en Consumo"))))</f>
        <v>Ok</v>
      </c>
      <c r="G36">
        <v>0</v>
      </c>
      <c r="H36">
        <f t="shared" si="0"/>
        <v>1536</v>
      </c>
      <c r="J36" s="244"/>
      <c r="K36" s="293"/>
    </row>
    <row r="37" spans="1:11" x14ac:dyDescent="0.3">
      <c r="A37" s="167">
        <v>551</v>
      </c>
      <c r="B37" s="181" t="s">
        <v>116</v>
      </c>
      <c r="C37" s="122">
        <v>468</v>
      </c>
      <c r="E37" t="str">
        <f>+IF(A37="","",IF(OR(RIGHT(A37,1)="E",RIGHT(A37,1)="H"),"",IF(IFERROR(VLOOKUP(A37,'Datos x Cja LK'!A:A,1,),"Falta en Consumo")=A37,"Ok",IFERROR(VLOOKUP(A37,'Datos x Cja LK'!A:A,1,),"Falta en Consumo"))))</f>
        <v>Ok</v>
      </c>
      <c r="G37">
        <v>0</v>
      </c>
      <c r="H37">
        <f t="shared" si="0"/>
        <v>468</v>
      </c>
      <c r="J37" s="244"/>
      <c r="K37" s="293"/>
    </row>
    <row r="38" spans="1:11" x14ac:dyDescent="0.3">
      <c r="A38" s="167">
        <v>550</v>
      </c>
      <c r="B38" s="181" t="s">
        <v>115</v>
      </c>
      <c r="C38" s="122">
        <v>1368</v>
      </c>
      <c r="E38" t="str">
        <f>+IF(A38="","",IF(OR(RIGHT(A38,1)="E",RIGHT(A38,1)="H"),"",IF(IFERROR(VLOOKUP(A38,'Datos x Cja LK'!A:A,1,),"Falta en Consumo")=A38,"Ok",IFERROR(VLOOKUP(A38,'Datos x Cja LK'!A:A,1,),"Falta en Consumo"))))</f>
        <v>Ok</v>
      </c>
      <c r="G38">
        <v>0</v>
      </c>
      <c r="H38">
        <f t="shared" si="0"/>
        <v>1368</v>
      </c>
      <c r="J38" s="244"/>
      <c r="K38" s="293"/>
    </row>
    <row r="39" spans="1:11" x14ac:dyDescent="0.3">
      <c r="A39" s="167">
        <v>562</v>
      </c>
      <c r="B39" s="181" t="s">
        <v>126</v>
      </c>
      <c r="C39" s="123">
        <v>1200</v>
      </c>
      <c r="E39" t="str">
        <f>+IF(A39="","",IF(OR(RIGHT(A39,1)="E",RIGHT(A39,1)="H"),"",IF(IFERROR(VLOOKUP(A39,'Datos x Cja LK'!A:A,1,),"Falta en Consumo")=A39,"Ok",IFERROR(VLOOKUP(A39,'Datos x Cja LK'!A:A,1,),"Falta en Consumo"))))</f>
        <v>Ok</v>
      </c>
      <c r="G39">
        <v>0</v>
      </c>
      <c r="H39">
        <f t="shared" si="0"/>
        <v>1200</v>
      </c>
      <c r="J39" s="244"/>
      <c r="K39" s="293"/>
    </row>
    <row r="40" spans="1:11" x14ac:dyDescent="0.3">
      <c r="A40" s="166" t="s">
        <v>231</v>
      </c>
      <c r="B40" s="179" t="s">
        <v>232</v>
      </c>
      <c r="C40" s="122">
        <v>1872</v>
      </c>
      <c r="E40" t="str">
        <f>+IF(A40="","",IF(OR(RIGHT(A40,1)="E",RIGHT(A40,1)="H"),"",IF(IFERROR(VLOOKUP(A40,'Datos x Cja LK'!A:A,1,),"Falta en Consumo")=A40,"Ok",IFERROR(VLOOKUP(A40,'Datos x Cja LK'!A:A,1,),"Falta en Consumo"))))</f>
        <v/>
      </c>
      <c r="G40">
        <v>0</v>
      </c>
      <c r="H40">
        <f t="shared" si="0"/>
        <v>1872</v>
      </c>
      <c r="J40" s="244"/>
      <c r="K40" s="293"/>
    </row>
    <row r="41" spans="1:11" x14ac:dyDescent="0.3">
      <c r="A41" s="167">
        <v>229</v>
      </c>
      <c r="B41" s="179" t="s">
        <v>50</v>
      </c>
      <c r="C41" s="123">
        <v>1008</v>
      </c>
      <c r="E41" t="str">
        <f>+IF(A41="","",IF(OR(RIGHT(A41,1)="E",RIGHT(A41,1)="H"),"",IF(IFERROR(VLOOKUP(A41,'Datos x Cja LK'!A:A,1,),"Falta en Consumo")=A41,"Ok",IFERROR(VLOOKUP(A41,'Datos x Cja LK'!A:A,1,),"Falta en Consumo"))))</f>
        <v>Ok</v>
      </c>
      <c r="G41">
        <v>0</v>
      </c>
      <c r="H41">
        <f t="shared" si="0"/>
        <v>1008</v>
      </c>
      <c r="J41" s="244"/>
      <c r="K41" s="293"/>
    </row>
    <row r="42" spans="1:11" x14ac:dyDescent="0.3">
      <c r="A42" s="166">
        <v>500</v>
      </c>
      <c r="B42" s="179" t="s">
        <v>81</v>
      </c>
      <c r="C42" s="119">
        <v>1440</v>
      </c>
      <c r="E42" t="str">
        <f>+IF(A42="","",IF(OR(RIGHT(A42,1)="E",RIGHT(A42,1)="H"),"",IF(IFERROR(VLOOKUP(A42,'Datos x Cja LK'!A:A,1,),"Falta en Consumo")=A42,"Ok",IFERROR(VLOOKUP(A42,'Datos x Cja LK'!A:A,1,),"Falta en Consumo"))))</f>
        <v>Ok</v>
      </c>
      <c r="G42">
        <v>0</v>
      </c>
      <c r="H42">
        <f t="shared" si="0"/>
        <v>1440</v>
      </c>
      <c r="J42" s="244"/>
      <c r="K42" s="293"/>
    </row>
    <row r="43" spans="1:11" x14ac:dyDescent="0.3">
      <c r="A43" s="167">
        <v>654</v>
      </c>
      <c r="B43" s="179" t="s">
        <v>146</v>
      </c>
      <c r="C43" s="124">
        <v>912</v>
      </c>
      <c r="E43" t="str">
        <f>+IF(A43="","",IF(OR(RIGHT(A43,1)="E",RIGHT(A43,1)="H"),"",IF(IFERROR(VLOOKUP(A43,'Datos x Cja LK'!A:A,1,),"Falta en Consumo")=A43,"Ok",IFERROR(VLOOKUP(A43,'Datos x Cja LK'!A:A,1,),"Falta en Consumo"))))</f>
        <v>Ok</v>
      </c>
      <c r="G43">
        <v>0</v>
      </c>
      <c r="H43">
        <f t="shared" si="0"/>
        <v>912</v>
      </c>
      <c r="J43" s="244"/>
      <c r="K43" s="293"/>
    </row>
    <row r="44" spans="1:11" x14ac:dyDescent="0.3">
      <c r="A44" s="167">
        <v>564</v>
      </c>
      <c r="B44" s="179" t="s">
        <v>128</v>
      </c>
      <c r="C44" s="125">
        <v>444</v>
      </c>
      <c r="E44" t="str">
        <f>+IF(A44="","",IF(OR(RIGHT(A44,1)="E",RIGHT(A44,1)="H"),"",IF(IFERROR(VLOOKUP(A44,'Datos x Cja LK'!A:A,1,),"Falta en Consumo")=A44,"Ok",IFERROR(VLOOKUP(A44,'Datos x Cja LK'!A:A,1,),"Falta en Consumo"))))</f>
        <v>Ok</v>
      </c>
      <c r="G44">
        <v>0</v>
      </c>
      <c r="H44">
        <f t="shared" si="0"/>
        <v>444</v>
      </c>
      <c r="J44" s="244"/>
      <c r="K44" s="293"/>
    </row>
    <row r="45" spans="1:11" x14ac:dyDescent="0.3">
      <c r="A45" s="166" t="s">
        <v>201</v>
      </c>
      <c r="B45" s="179" t="s">
        <v>103</v>
      </c>
      <c r="C45" s="119">
        <v>1800</v>
      </c>
      <c r="E45" t="str">
        <f>+IF(A45="","",IF(OR(RIGHT(A45,1)="E",RIGHT(A45,1)="H"),"",IF(IFERROR(VLOOKUP(A45,'Datos x Cja LK'!A:A,1,),"Falta en Consumo")=A45,"Ok",IFERROR(VLOOKUP(A45,'Datos x Cja LK'!A:A,1,),"Falta en Consumo"))))</f>
        <v/>
      </c>
      <c r="G45">
        <v>0</v>
      </c>
      <c r="H45">
        <f t="shared" si="0"/>
        <v>1800</v>
      </c>
      <c r="J45" s="244"/>
      <c r="K45" s="293"/>
    </row>
    <row r="46" spans="1:11" x14ac:dyDescent="0.3">
      <c r="A46" s="167">
        <v>560</v>
      </c>
      <c r="B46" s="179" t="s">
        <v>125</v>
      </c>
      <c r="C46" s="126">
        <v>660</v>
      </c>
      <c r="E46" t="str">
        <f>+IF(A46="","",IF(OR(RIGHT(A46,1)="E",RIGHT(A46,1)="H"),"",IF(IFERROR(VLOOKUP(A46,'Datos x Cja LK'!A:A,1,),"Falta en Consumo")=A46,"Ok",IFERROR(VLOOKUP(A46,'Datos x Cja LK'!A:A,1,),"Falta en Consumo"))))</f>
        <v>Ok</v>
      </c>
      <c r="G46">
        <v>0</v>
      </c>
      <c r="H46">
        <f t="shared" si="0"/>
        <v>660</v>
      </c>
      <c r="J46" s="244"/>
      <c r="K46" s="293"/>
    </row>
    <row r="47" spans="1:11" x14ac:dyDescent="0.3">
      <c r="A47" s="166">
        <v>225</v>
      </c>
      <c r="B47" s="179" t="s">
        <v>49</v>
      </c>
      <c r="C47" s="122">
        <v>2400</v>
      </c>
      <c r="E47" t="str">
        <f>+IF(A47="","",IF(OR(RIGHT(A47,1)="E",RIGHT(A47,1)="H"),"",IF(IFERROR(VLOOKUP(A47,'Datos x Cja LK'!A:A,1,),"Falta en Consumo")=A47,"Ok",IFERROR(VLOOKUP(A47,'Datos x Cja LK'!A:A,1,),"Falta en Consumo"))))</f>
        <v>Ok</v>
      </c>
      <c r="G47">
        <v>0</v>
      </c>
      <c r="H47">
        <f t="shared" si="0"/>
        <v>2400</v>
      </c>
      <c r="J47" s="244"/>
      <c r="K47" s="293"/>
    </row>
    <row r="48" spans="1:11" x14ac:dyDescent="0.3">
      <c r="A48" s="167">
        <v>518</v>
      </c>
      <c r="B48" s="179" t="s">
        <v>96</v>
      </c>
      <c r="C48" s="123">
        <v>780</v>
      </c>
      <c r="E48" t="str">
        <f>+IF(A48="","",IF(OR(RIGHT(A48,1)="E",RIGHT(A48,1)="H"),"",IF(IFERROR(VLOOKUP(A48,'Datos x Cja LK'!A:A,1,),"Falta en Consumo")=A48,"Ok",IFERROR(VLOOKUP(A48,'Datos x Cja LK'!A:A,1,),"Falta en Consumo"))))</f>
        <v>Ok</v>
      </c>
      <c r="G48">
        <v>0</v>
      </c>
      <c r="H48">
        <f t="shared" si="0"/>
        <v>780</v>
      </c>
      <c r="J48" s="244"/>
      <c r="K48" s="293"/>
    </row>
    <row r="49" spans="1:11" x14ac:dyDescent="0.3">
      <c r="A49" s="114">
        <v>580</v>
      </c>
      <c r="B49" s="179" t="s">
        <v>210</v>
      </c>
      <c r="C49" s="126">
        <v>684</v>
      </c>
      <c r="E49" t="str">
        <f>+IF(A49="","",IF(OR(RIGHT(A49,1)="E",RIGHT(A49,1)="H"),"",IF(IFERROR(VLOOKUP(A49,'Datos x Cja LK'!A:A,1,),"Falta en Consumo")=A49,"Ok",IFERROR(VLOOKUP(A49,'Datos x Cja LK'!A:A,1,),"Falta en Consumo"))))</f>
        <v>Ok</v>
      </c>
      <c r="G49">
        <v>0</v>
      </c>
      <c r="H49">
        <f t="shared" si="0"/>
        <v>684</v>
      </c>
      <c r="J49" s="244"/>
      <c r="K49" s="293"/>
    </row>
    <row r="50" spans="1:11" x14ac:dyDescent="0.3">
      <c r="A50" s="166">
        <v>577</v>
      </c>
      <c r="B50" s="179" t="s">
        <v>135</v>
      </c>
      <c r="C50" s="123">
        <v>984</v>
      </c>
      <c r="E50" t="str">
        <f>+IF(A50="","",IF(OR(RIGHT(A50,1)="E",RIGHT(A50,1)="H"),"",IF(IFERROR(VLOOKUP(A50,'Datos x Cja LK'!A:A,1,),"Falta en Consumo")=A50,"Ok",IFERROR(VLOOKUP(A50,'Datos x Cja LK'!A:A,1,),"Falta en Consumo"))))</f>
        <v>Ok</v>
      </c>
      <c r="G50">
        <v>0</v>
      </c>
      <c r="H50">
        <f t="shared" si="0"/>
        <v>984</v>
      </c>
      <c r="J50" s="244"/>
      <c r="K50" s="293"/>
    </row>
    <row r="51" spans="1:11" x14ac:dyDescent="0.3">
      <c r="A51" s="167">
        <v>280</v>
      </c>
      <c r="B51" s="179" t="s">
        <v>53</v>
      </c>
      <c r="C51" s="123">
        <v>1300</v>
      </c>
      <c r="E51" t="str">
        <f>+IF(A51="","",IF(OR(RIGHT(A51,1)="E",RIGHT(A51,1)="H"),"",IF(IFERROR(VLOOKUP(A51,'Datos x Cja LK'!A:A,1,),"Falta en Consumo")=A51,"Ok",IFERROR(VLOOKUP(A51,'Datos x Cja LK'!A:A,1,),"Falta en Consumo"))))</f>
        <v>Ok</v>
      </c>
      <c r="G51">
        <v>0</v>
      </c>
      <c r="H51">
        <f t="shared" si="0"/>
        <v>1300</v>
      </c>
      <c r="J51" s="244"/>
      <c r="K51" s="293"/>
    </row>
    <row r="52" spans="1:11" x14ac:dyDescent="0.3">
      <c r="A52" s="167">
        <v>507</v>
      </c>
      <c r="B52" s="179" t="s">
        <v>87</v>
      </c>
      <c r="C52" s="122">
        <v>792</v>
      </c>
      <c r="E52" t="str">
        <f>+IF(A52="","",IF(OR(RIGHT(A52,1)="E",RIGHT(A52,1)="H"),"",IF(IFERROR(VLOOKUP(A52,'Datos x Cja LK'!A:A,1,),"Falta en Consumo")=A52,"Ok",IFERROR(VLOOKUP(A52,'Datos x Cja LK'!A:A,1,),"Falta en Consumo"))))</f>
        <v>Ok</v>
      </c>
      <c r="G52">
        <v>0</v>
      </c>
      <c r="H52">
        <f t="shared" si="0"/>
        <v>792</v>
      </c>
      <c r="J52" s="244"/>
      <c r="K52" s="293"/>
    </row>
    <row r="53" spans="1:11" x14ac:dyDescent="0.3">
      <c r="A53" s="167">
        <v>220</v>
      </c>
      <c r="B53" s="179" t="s">
        <v>44</v>
      </c>
      <c r="C53" s="126">
        <v>540</v>
      </c>
      <c r="E53" t="str">
        <f>+IF(A53="","",IF(OR(RIGHT(A53,1)="E",RIGHT(A53,1)="H"),"",IF(IFERROR(VLOOKUP(A53,'Datos x Cja LK'!A:A,1,),"Falta en Consumo")=A53,"Ok",IFERROR(VLOOKUP(A53,'Datos x Cja LK'!A:A,1,),"Falta en Consumo"))))</f>
        <v>Ok</v>
      </c>
      <c r="G53">
        <v>0</v>
      </c>
      <c r="H53">
        <f t="shared" si="0"/>
        <v>540</v>
      </c>
      <c r="J53" s="244"/>
      <c r="K53" s="293"/>
    </row>
    <row r="54" spans="1:11" x14ac:dyDescent="0.3">
      <c r="A54" s="167">
        <v>559</v>
      </c>
      <c r="B54" s="179" t="s">
        <v>124</v>
      </c>
      <c r="C54" s="123">
        <v>996</v>
      </c>
      <c r="E54" t="str">
        <f>+IF(A54="","",IF(OR(RIGHT(A54,1)="E",RIGHT(A54,1)="H"),"",IF(IFERROR(VLOOKUP(A54,'Datos x Cja LK'!A:A,1,),"Falta en Consumo")=A54,"Ok",IFERROR(VLOOKUP(A54,'Datos x Cja LK'!A:A,1,),"Falta en Consumo"))))</f>
        <v>Ok</v>
      </c>
      <c r="G54">
        <v>0</v>
      </c>
      <c r="H54">
        <f t="shared" si="0"/>
        <v>996</v>
      </c>
      <c r="J54" s="244"/>
      <c r="K54" s="293"/>
    </row>
    <row r="55" spans="1:11" x14ac:dyDescent="0.3">
      <c r="A55" s="167">
        <v>519</v>
      </c>
      <c r="B55" s="179" t="s">
        <v>97</v>
      </c>
      <c r="C55" s="124">
        <v>600</v>
      </c>
      <c r="E55" t="str">
        <f>+IF(A55="","",IF(OR(RIGHT(A55,1)="E",RIGHT(A55,1)="H"),"",IF(IFERROR(VLOOKUP(A55,'Datos x Cja LK'!A:A,1,),"Falta en Consumo")=A55,"Ok",IFERROR(VLOOKUP(A55,'Datos x Cja LK'!A:A,1,),"Falta en Consumo"))))</f>
        <v>Ok</v>
      </c>
      <c r="G55">
        <v>0</v>
      </c>
      <c r="H55">
        <f t="shared" si="0"/>
        <v>600</v>
      </c>
      <c r="J55" s="244"/>
      <c r="K55" s="293"/>
    </row>
    <row r="56" spans="1:11" x14ac:dyDescent="0.3">
      <c r="A56" s="167">
        <v>221</v>
      </c>
      <c r="B56" s="179" t="s">
        <v>45</v>
      </c>
      <c r="C56" s="122">
        <v>396</v>
      </c>
      <c r="E56" t="str">
        <f>+IF(A56="","",IF(OR(RIGHT(A56,1)="E",RIGHT(A56,1)="H"),"",IF(IFERROR(VLOOKUP(A56,'Datos x Cja LK'!A:A,1,),"Falta en Consumo")=A56,"Ok",IFERROR(VLOOKUP(A56,'Datos x Cja LK'!A:A,1,),"Falta en Consumo"))))</f>
        <v>Ok</v>
      </c>
      <c r="G56">
        <v>0</v>
      </c>
      <c r="H56">
        <f t="shared" si="0"/>
        <v>396</v>
      </c>
      <c r="J56" s="244"/>
      <c r="K56" s="293"/>
    </row>
    <row r="57" spans="1:11" x14ac:dyDescent="0.3">
      <c r="A57" s="169">
        <v>557</v>
      </c>
      <c r="B57" s="179" t="s">
        <v>122</v>
      </c>
      <c r="C57" s="127">
        <v>1400</v>
      </c>
      <c r="E57" t="str">
        <f>+IF(A57="","",IF(OR(RIGHT(A57,1)="E",RIGHT(A57,1)="H"),"",IF(IFERROR(VLOOKUP(A57,'Datos x Cja LK'!A:A,1,),"Falta en Consumo")=A57,"Ok",IFERROR(VLOOKUP(A57,'Datos x Cja LK'!A:A,1,),"Falta en Consumo"))))</f>
        <v>Ok</v>
      </c>
      <c r="G57">
        <v>0</v>
      </c>
      <c r="H57">
        <f t="shared" si="0"/>
        <v>1400</v>
      </c>
      <c r="J57" s="244"/>
      <c r="K57" s="293"/>
    </row>
    <row r="58" spans="1:11" x14ac:dyDescent="0.3">
      <c r="A58" s="166">
        <v>57</v>
      </c>
      <c r="B58" s="179" t="s">
        <v>39</v>
      </c>
      <c r="C58" s="119">
        <v>744</v>
      </c>
      <c r="E58" t="str">
        <f>+IF(A58="","",IF(OR(RIGHT(A58,1)="E",RIGHT(A58,1)="H"),"",IF(IFERROR(VLOOKUP(A58,'Datos x Cja LK'!A:A,1,),"Falta en Consumo")=A58,"Ok",IFERROR(VLOOKUP(A58,'Datos x Cja LK'!A:A,1,),"Falta en Consumo"))))</f>
        <v>Ok</v>
      </c>
      <c r="G58">
        <v>0</v>
      </c>
      <c r="H58">
        <f t="shared" si="0"/>
        <v>744</v>
      </c>
      <c r="J58" s="244"/>
      <c r="K58" s="293"/>
    </row>
    <row r="59" spans="1:11" x14ac:dyDescent="0.3">
      <c r="A59" s="167">
        <v>207</v>
      </c>
      <c r="B59" s="179" t="s">
        <v>42</v>
      </c>
      <c r="C59" s="126">
        <v>600</v>
      </c>
      <c r="E59" t="str">
        <f>+IF(A59="","",IF(OR(RIGHT(A59,1)="E",RIGHT(A59,1)="H"),"",IF(IFERROR(VLOOKUP(A59,'Datos x Cja LK'!A:A,1,),"Falta en Consumo")=A59,"Ok",IFERROR(VLOOKUP(A59,'Datos x Cja LK'!A:A,1,),"Falta en Consumo"))))</f>
        <v>Ok</v>
      </c>
      <c r="G59">
        <v>0</v>
      </c>
      <c r="H59">
        <f t="shared" si="0"/>
        <v>600</v>
      </c>
      <c r="J59" s="244"/>
      <c r="K59" s="293"/>
    </row>
    <row r="60" spans="1:11" x14ac:dyDescent="0.3">
      <c r="A60" s="114">
        <v>565</v>
      </c>
      <c r="B60" s="179" t="s">
        <v>129</v>
      </c>
      <c r="C60" s="124">
        <v>432</v>
      </c>
      <c r="E60" t="str">
        <f>+IF(A60="","",IF(OR(RIGHT(A60,1)="E",RIGHT(A60,1)="H"),"",IF(IFERROR(VLOOKUP(A60,'Datos x Cja LK'!A:A,1,),"Falta en Consumo")=A60,"Ok",IFERROR(VLOOKUP(A60,'Datos x Cja LK'!A:A,1,),"Falta en Consumo"))))</f>
        <v>Ok</v>
      </c>
      <c r="G60">
        <v>0</v>
      </c>
      <c r="H60">
        <f t="shared" si="0"/>
        <v>432</v>
      </c>
      <c r="J60" s="244"/>
      <c r="K60" s="293"/>
    </row>
    <row r="61" spans="1:11" x14ac:dyDescent="0.3">
      <c r="A61" s="167">
        <v>222</v>
      </c>
      <c r="B61" s="179" t="s">
        <v>46</v>
      </c>
      <c r="C61" s="123">
        <v>600</v>
      </c>
      <c r="E61" t="str">
        <f>+IF(A61="","",IF(OR(RIGHT(A61,1)="E",RIGHT(A61,1)="H"),"",IF(IFERROR(VLOOKUP(A61,'Datos x Cja LK'!A:A,1,),"Falta en Consumo")=A61,"Ok",IFERROR(VLOOKUP(A61,'Datos x Cja LK'!A:A,1,),"Falta en Consumo"))))</f>
        <v>Ok</v>
      </c>
      <c r="G61">
        <v>0</v>
      </c>
      <c r="H61">
        <f t="shared" si="0"/>
        <v>600</v>
      </c>
      <c r="J61" s="244"/>
      <c r="K61" s="293"/>
    </row>
    <row r="62" spans="1:11" x14ac:dyDescent="0.3">
      <c r="A62" s="167">
        <v>355</v>
      </c>
      <c r="B62" s="179" t="s">
        <v>70</v>
      </c>
      <c r="C62" s="124">
        <v>720</v>
      </c>
      <c r="E62" t="str">
        <f>+IF(A62="","",IF(OR(RIGHT(A62,1)="E",RIGHT(A62,1)="H"),"",IF(IFERROR(VLOOKUP(A62,'Datos x Cja LK'!A:A,1,),"Falta en Consumo")=A62,"Ok",IFERROR(VLOOKUP(A62,'Datos x Cja LK'!A:A,1,),"Falta en Consumo"))))</f>
        <v>Ok</v>
      </c>
      <c r="G62">
        <v>0</v>
      </c>
      <c r="H62">
        <f t="shared" si="0"/>
        <v>720</v>
      </c>
      <c r="J62" s="244"/>
      <c r="K62" s="293"/>
    </row>
    <row r="63" spans="1:11" x14ac:dyDescent="0.3">
      <c r="A63" s="114">
        <v>573</v>
      </c>
      <c r="B63" s="179" t="s">
        <v>133</v>
      </c>
      <c r="C63" s="124">
        <v>360</v>
      </c>
      <c r="E63" t="str">
        <f>+IF(A63="","",IF(OR(RIGHT(A63,1)="E",RIGHT(A63,1)="H"),"",IF(IFERROR(VLOOKUP(A63,'Datos x Cja LK'!A:A,1,),"Falta en Consumo")=A63,"Ok",IFERROR(VLOOKUP(A63,'Datos x Cja LK'!A:A,1,),"Falta en Consumo"))))</f>
        <v>Ok</v>
      </c>
      <c r="G63">
        <v>0</v>
      </c>
      <c r="H63">
        <f t="shared" si="0"/>
        <v>360</v>
      </c>
      <c r="J63" s="244"/>
      <c r="K63" s="293"/>
    </row>
    <row r="64" spans="1:11" x14ac:dyDescent="0.3">
      <c r="A64" s="167">
        <v>508</v>
      </c>
      <c r="B64" s="179" t="s">
        <v>88</v>
      </c>
      <c r="C64" s="124">
        <v>420</v>
      </c>
      <c r="E64" t="str">
        <f>+IF(A64="","",IF(OR(RIGHT(A64,1)="E",RIGHT(A64,1)="H"),"",IF(IFERROR(VLOOKUP(A64,'Datos x Cja LK'!A:A,1,),"Falta en Consumo")=A64,"Ok",IFERROR(VLOOKUP(A64,'Datos x Cja LK'!A:A,1,),"Falta en Consumo"))))</f>
        <v>Ok</v>
      </c>
      <c r="G64">
        <v>0</v>
      </c>
      <c r="H64">
        <f t="shared" si="0"/>
        <v>420</v>
      </c>
      <c r="J64" s="244"/>
      <c r="K64" s="293"/>
    </row>
    <row r="65" spans="1:11" x14ac:dyDescent="0.3">
      <c r="A65" s="114">
        <v>553</v>
      </c>
      <c r="B65" s="179" t="s">
        <v>118</v>
      </c>
      <c r="C65" s="126">
        <v>0</v>
      </c>
      <c r="E65" t="str">
        <f>+IF(A65="","",IF(OR(RIGHT(A65,1)="E",RIGHT(A65,1)="H"),"",IF(IFERROR(VLOOKUP(A65,'Datos x Cja LK'!A:A,1,),"Falta en Consumo")=A65,"Ok",IFERROR(VLOOKUP(A65,'Datos x Cja LK'!A:A,1,),"Falta en Consumo"))))</f>
        <v>Ok</v>
      </c>
      <c r="G65">
        <v>0</v>
      </c>
      <c r="H65">
        <f t="shared" si="0"/>
        <v>0</v>
      </c>
      <c r="J65" s="244"/>
      <c r="K65" s="293"/>
    </row>
    <row r="66" spans="1:11" x14ac:dyDescent="0.3">
      <c r="A66" s="114">
        <v>395</v>
      </c>
      <c r="B66" s="179" t="s">
        <v>77</v>
      </c>
      <c r="C66" s="124">
        <v>600</v>
      </c>
      <c r="E66" t="str">
        <f>+IF(A66="","",IF(OR(RIGHT(A66,1)="E",RIGHT(A66,1)="H"),"",IF(IFERROR(VLOOKUP(A66,'Datos x Cja LK'!A:A,1,),"Falta en Consumo")=A66,"Ok",IFERROR(VLOOKUP(A66,'Datos x Cja LK'!A:A,1,),"Falta en Consumo"))))</f>
        <v>Ok</v>
      </c>
      <c r="G66">
        <v>0</v>
      </c>
      <c r="H66">
        <f t="shared" si="0"/>
        <v>600</v>
      </c>
      <c r="J66" s="244"/>
      <c r="K66" s="293"/>
    </row>
    <row r="67" spans="1:11" x14ac:dyDescent="0.3">
      <c r="A67" s="167">
        <v>594</v>
      </c>
      <c r="B67" s="179" t="s">
        <v>143</v>
      </c>
      <c r="C67" s="123">
        <v>312</v>
      </c>
      <c r="E67" t="str">
        <f>+IF(A67="","",IF(OR(RIGHT(A67,1)="E",RIGHT(A67,1)="H"),"",IF(IFERROR(VLOOKUP(A67,'Datos x Cja LK'!A:A,1,),"Falta en Consumo")=A67,"Ok",IFERROR(VLOOKUP(A67,'Datos x Cja LK'!A:A,1,),"Falta en Consumo"))))</f>
        <v>Ok</v>
      </c>
      <c r="G67">
        <v>0</v>
      </c>
      <c r="H67">
        <f t="shared" ref="H67:H130" si="1">+C67-G67</f>
        <v>312</v>
      </c>
      <c r="J67" s="244"/>
      <c r="K67" s="293"/>
    </row>
    <row r="68" spans="1:11" x14ac:dyDescent="0.3">
      <c r="A68" s="167">
        <v>223</v>
      </c>
      <c r="B68" s="179" t="s">
        <v>47</v>
      </c>
      <c r="C68" s="126">
        <v>276</v>
      </c>
      <c r="E68" t="str">
        <f>+IF(A68="","",IF(OR(RIGHT(A68,1)="E",RIGHT(A68,1)="H"),"",IF(IFERROR(VLOOKUP(A68,'Datos x Cja LK'!A:A,1,),"Falta en Consumo")=A68,"Ok",IFERROR(VLOOKUP(A68,'Datos x Cja LK'!A:A,1,),"Falta en Consumo"))))</f>
        <v>Ok</v>
      </c>
      <c r="G68">
        <v>0</v>
      </c>
      <c r="H68">
        <f t="shared" si="1"/>
        <v>276</v>
      </c>
      <c r="J68" s="244"/>
      <c r="K68" s="293"/>
    </row>
    <row r="69" spans="1:11" x14ac:dyDescent="0.3">
      <c r="A69" s="167" t="s">
        <v>221</v>
      </c>
      <c r="B69" s="179" t="s">
        <v>222</v>
      </c>
      <c r="C69" s="119">
        <v>360</v>
      </c>
      <c r="E69" t="str">
        <f>+IF(A69="","",IF(OR(RIGHT(A69,1)="E",RIGHT(A69,1)="H"),"",IF(IFERROR(VLOOKUP(A69,'Datos x Cja LK'!A:A,1,),"Falta en Consumo")=A69,"Ok",IFERROR(VLOOKUP(A69,'Datos x Cja LK'!A:A,1,),"Falta en Consumo"))))</f>
        <v/>
      </c>
      <c r="G69">
        <v>0</v>
      </c>
      <c r="H69">
        <f t="shared" si="1"/>
        <v>360</v>
      </c>
      <c r="J69" s="244"/>
      <c r="K69" s="293"/>
    </row>
    <row r="70" spans="1:11" x14ac:dyDescent="0.3">
      <c r="A70" s="167">
        <v>543</v>
      </c>
      <c r="B70" s="179" t="s">
        <v>110</v>
      </c>
      <c r="C70" s="125">
        <v>396</v>
      </c>
      <c r="E70" t="str">
        <f>+IF(A70="","",IF(OR(RIGHT(A70,1)="E",RIGHT(A70,1)="H"),"",IF(IFERROR(VLOOKUP(A70,'Datos x Cja LK'!A:A,1,),"Falta en Consumo")=A70,"Ok",IFERROR(VLOOKUP(A70,'Datos x Cja LK'!A:A,1,),"Falta en Consumo"))))</f>
        <v>Ok</v>
      </c>
      <c r="G70">
        <v>0</v>
      </c>
      <c r="H70">
        <f t="shared" si="1"/>
        <v>396</v>
      </c>
      <c r="J70" s="244"/>
      <c r="K70" s="293"/>
    </row>
    <row r="71" spans="1:11" x14ac:dyDescent="0.3">
      <c r="A71" s="114">
        <v>569</v>
      </c>
      <c r="B71" s="179" t="s">
        <v>130</v>
      </c>
      <c r="C71" s="126">
        <v>168</v>
      </c>
      <c r="E71" t="str">
        <f>+IF(A71="","",IF(OR(RIGHT(A71,1)="E",RIGHT(A71,1)="H"),"",IF(IFERROR(VLOOKUP(A71,'Datos x Cja LK'!A:A,1,),"Falta en Consumo")=A71,"Ok",IFERROR(VLOOKUP(A71,'Datos x Cja LK'!A:A,1,),"Falta en Consumo"))))</f>
        <v>Ok</v>
      </c>
      <c r="G71">
        <v>0</v>
      </c>
      <c r="H71">
        <f t="shared" si="1"/>
        <v>168</v>
      </c>
      <c r="J71" s="244"/>
      <c r="K71" s="293"/>
    </row>
    <row r="72" spans="1:11" x14ac:dyDescent="0.3">
      <c r="A72" s="167">
        <v>392</v>
      </c>
      <c r="B72" s="179" t="s">
        <v>74</v>
      </c>
      <c r="C72" s="125">
        <v>312</v>
      </c>
      <c r="E72" t="str">
        <f>+IF(A72="","",IF(OR(RIGHT(A72,1)="E",RIGHT(A72,1)="H"),"",IF(IFERROR(VLOOKUP(A72,'Datos x Cja LK'!A:A,1,),"Falta en Consumo")=A72,"Ok",IFERROR(VLOOKUP(A72,'Datos x Cja LK'!A:A,1,),"Falta en Consumo"))))</f>
        <v>Ok</v>
      </c>
      <c r="G72">
        <v>0</v>
      </c>
      <c r="H72">
        <f t="shared" si="1"/>
        <v>312</v>
      </c>
      <c r="J72" s="244"/>
      <c r="K72" s="293"/>
    </row>
    <row r="73" spans="1:11" x14ac:dyDescent="0.3">
      <c r="A73" s="167">
        <v>595</v>
      </c>
      <c r="B73" s="179" t="s">
        <v>144</v>
      </c>
      <c r="C73" s="126">
        <v>288</v>
      </c>
      <c r="E73" t="str">
        <f>+IF(A73="","",IF(OR(RIGHT(A73,1)="E",RIGHT(A73,1)="H"),"",IF(IFERROR(VLOOKUP(A73,'Datos x Cja LK'!A:A,1,),"Falta en Consumo")=A73,"Ok",IFERROR(VLOOKUP(A73,'Datos x Cja LK'!A:A,1,),"Falta en Consumo"))))</f>
        <v>Ok</v>
      </c>
      <c r="G73">
        <v>0</v>
      </c>
      <c r="H73">
        <f t="shared" si="1"/>
        <v>288</v>
      </c>
      <c r="J73" s="244"/>
      <c r="K73" s="293"/>
    </row>
    <row r="74" spans="1:11" x14ac:dyDescent="0.3">
      <c r="A74" s="114">
        <v>312</v>
      </c>
      <c r="B74" s="179" t="s">
        <v>56</v>
      </c>
      <c r="C74" s="123">
        <v>204</v>
      </c>
      <c r="E74" t="str">
        <f>+IF(A74="","",IF(OR(RIGHT(A74,1)="E",RIGHT(A74,1)="H"),"",IF(IFERROR(VLOOKUP(A74,'Datos x Cja LK'!A:A,1,),"Falta en Consumo")=A74,"Ok",IFERROR(VLOOKUP(A74,'Datos x Cja LK'!A:A,1,),"Falta en Consumo"))))</f>
        <v>Ok</v>
      </c>
      <c r="G74">
        <v>0</v>
      </c>
      <c r="H74">
        <f t="shared" si="1"/>
        <v>204</v>
      </c>
      <c r="J74" s="244"/>
      <c r="K74" s="293"/>
    </row>
    <row r="75" spans="1:11" x14ac:dyDescent="0.3">
      <c r="A75" s="167">
        <v>515</v>
      </c>
      <c r="B75" s="179" t="s">
        <v>94</v>
      </c>
      <c r="C75" s="126">
        <v>441.6</v>
      </c>
      <c r="E75" t="str">
        <f>+IF(A75="","",IF(OR(RIGHT(A75,1)="E",RIGHT(A75,1)="H"),"",IF(IFERROR(VLOOKUP(A75,'Datos x Cja LK'!A:A,1,),"Falta en Consumo")=A75,"Ok",IFERROR(VLOOKUP(A75,'Datos x Cja LK'!A:A,1,),"Falta en Consumo"))))</f>
        <v>Ok</v>
      </c>
      <c r="G75">
        <v>0</v>
      </c>
      <c r="H75" s="244">
        <f>+C75-G75</f>
        <v>441.6</v>
      </c>
      <c r="J75" s="244"/>
      <c r="K75" s="293"/>
    </row>
    <row r="76" spans="1:11" x14ac:dyDescent="0.3">
      <c r="A76" s="166">
        <v>579</v>
      </c>
      <c r="B76" s="179" t="s">
        <v>137</v>
      </c>
      <c r="C76" s="119">
        <v>660</v>
      </c>
      <c r="E76" t="str">
        <f>+IF(A76="","",IF(OR(RIGHT(A76,1)="E",RIGHT(A76,1)="H"),"",IF(IFERROR(VLOOKUP(A76,'Datos x Cja LK'!A:A,1,),"Falta en Consumo")=A76,"Ok",IFERROR(VLOOKUP(A76,'Datos x Cja LK'!A:A,1,),"Falta en Consumo"))))</f>
        <v>Ok</v>
      </c>
      <c r="G76">
        <v>0</v>
      </c>
      <c r="H76">
        <f t="shared" si="1"/>
        <v>660</v>
      </c>
      <c r="J76" s="244"/>
      <c r="K76" s="293"/>
    </row>
    <row r="77" spans="1:11" x14ac:dyDescent="0.3">
      <c r="A77" s="167">
        <v>532</v>
      </c>
      <c r="B77" s="179" t="s">
        <v>106</v>
      </c>
      <c r="C77" s="123">
        <v>312</v>
      </c>
      <c r="E77" t="str">
        <f>+IF(A77="","",IF(OR(RIGHT(A77,1)="E",RIGHT(A77,1)="H"),"",IF(IFERROR(VLOOKUP(A77,'Datos x Cja LK'!A:A,1,),"Falta en Consumo")=A77,"Ok",IFERROR(VLOOKUP(A77,'Datos x Cja LK'!A:A,1,),"Falta en Consumo"))))</f>
        <v>Ok</v>
      </c>
      <c r="G77">
        <v>0</v>
      </c>
      <c r="H77">
        <f t="shared" si="1"/>
        <v>312</v>
      </c>
      <c r="J77" s="244"/>
      <c r="K77" s="293"/>
    </row>
    <row r="78" spans="1:11" x14ac:dyDescent="0.3">
      <c r="A78" s="167">
        <v>511</v>
      </c>
      <c r="B78" s="179" t="s">
        <v>91</v>
      </c>
      <c r="C78" s="123">
        <v>484</v>
      </c>
      <c r="E78" t="str">
        <f>+IF(A78="","",IF(OR(RIGHT(A78,1)="E",RIGHT(A78,1)="H"),"",IF(IFERROR(VLOOKUP(A78,'Datos x Cja LK'!A:A,1,),"Falta en Consumo")=A78,"Ok",IFERROR(VLOOKUP(A78,'Datos x Cja LK'!A:A,1,),"Falta en Consumo"))))</f>
        <v>Ok</v>
      </c>
      <c r="G78">
        <v>0</v>
      </c>
      <c r="H78">
        <f t="shared" si="1"/>
        <v>484</v>
      </c>
      <c r="J78" s="244"/>
      <c r="K78" s="293"/>
    </row>
    <row r="79" spans="1:11" x14ac:dyDescent="0.3">
      <c r="A79" s="114">
        <v>394</v>
      </c>
      <c r="B79" s="179" t="s">
        <v>76</v>
      </c>
      <c r="C79" s="124">
        <v>360</v>
      </c>
      <c r="E79" t="str">
        <f>+IF(A79="","",IF(OR(RIGHT(A79,1)="E",RIGHT(A79,1)="H"),"",IF(IFERROR(VLOOKUP(A79,'Datos x Cja LK'!A:A,1,),"Falta en Consumo")=A79,"Ok",IFERROR(VLOOKUP(A79,'Datos x Cja LK'!A:A,1,),"Falta en Consumo"))))</f>
        <v>Ok</v>
      </c>
      <c r="G79">
        <v>0</v>
      </c>
      <c r="H79">
        <f t="shared" si="1"/>
        <v>360</v>
      </c>
      <c r="J79" s="244"/>
      <c r="K79" s="293"/>
    </row>
    <row r="80" spans="1:11" x14ac:dyDescent="0.3">
      <c r="A80" s="167">
        <v>542</v>
      </c>
      <c r="B80" s="179" t="s">
        <v>109</v>
      </c>
      <c r="C80" s="124">
        <v>384</v>
      </c>
      <c r="E80" t="str">
        <f>+IF(A80="","",IF(OR(RIGHT(A80,1)="E",RIGHT(A80,1)="H"),"",IF(IFERROR(VLOOKUP(A80,'Datos x Cja LK'!A:A,1,),"Falta en Consumo")=A80,"Ok",IFERROR(VLOOKUP(A80,'Datos x Cja LK'!A:A,1,),"Falta en Consumo"))))</f>
        <v>Ok</v>
      </c>
      <c r="G80">
        <v>0</v>
      </c>
      <c r="H80">
        <f t="shared" si="1"/>
        <v>384</v>
      </c>
      <c r="J80" s="244"/>
      <c r="K80" s="293"/>
    </row>
    <row r="81" spans="1:11" x14ac:dyDescent="0.3">
      <c r="A81" s="114">
        <v>299</v>
      </c>
      <c r="B81" s="179" t="s">
        <v>54</v>
      </c>
      <c r="C81" s="123">
        <v>324</v>
      </c>
      <c r="E81" t="str">
        <f>+IF(A81="","",IF(OR(RIGHT(A81,1)="E",RIGHT(A81,1)="H"),"",IF(IFERROR(VLOOKUP(A81,'Datos x Cja LK'!A:A,1,),"Falta en Consumo")=A81,"Ok",IFERROR(VLOOKUP(A81,'Datos x Cja LK'!A:A,1,),"Falta en Consumo"))))</f>
        <v>Ok</v>
      </c>
      <c r="G81">
        <v>0</v>
      </c>
      <c r="H81">
        <f t="shared" si="1"/>
        <v>324</v>
      </c>
      <c r="J81" s="244"/>
      <c r="K81" s="293"/>
    </row>
    <row r="82" spans="1:11" x14ac:dyDescent="0.3">
      <c r="A82" s="167">
        <v>393</v>
      </c>
      <c r="B82" s="179" t="s">
        <v>75</v>
      </c>
      <c r="C82" s="123">
        <v>312</v>
      </c>
      <c r="E82" t="str">
        <f>+IF(A82="","",IF(OR(RIGHT(A82,1)="E",RIGHT(A82,1)="H"),"",IF(IFERROR(VLOOKUP(A82,'Datos x Cja LK'!A:A,1,),"Falta en Consumo")=A82,"Ok",IFERROR(VLOOKUP(A82,'Datos x Cja LK'!A:A,1,),"Falta en Consumo"))))</f>
        <v>Ok</v>
      </c>
      <c r="G82">
        <v>0</v>
      </c>
      <c r="H82">
        <f t="shared" si="1"/>
        <v>312</v>
      </c>
      <c r="J82" s="244"/>
      <c r="K82" s="293"/>
    </row>
    <row r="83" spans="1:11" x14ac:dyDescent="0.3">
      <c r="A83" s="170">
        <v>59</v>
      </c>
      <c r="B83" s="179" t="s">
        <v>41</v>
      </c>
      <c r="C83" s="119">
        <v>144</v>
      </c>
      <c r="E83" t="str">
        <f>+IF(A83="","",IF(OR(RIGHT(A83,1)="E",RIGHT(A83,1)="H"),"",IF(IFERROR(VLOOKUP(A83,'Datos x Cja LK'!A:A,1,),"Falta en Consumo")=A83,"Ok",IFERROR(VLOOKUP(A83,'Datos x Cja LK'!A:A,1,),"Falta en Consumo"))))</f>
        <v>Ok</v>
      </c>
      <c r="G83">
        <v>0</v>
      </c>
      <c r="H83">
        <f t="shared" si="1"/>
        <v>144</v>
      </c>
      <c r="J83" s="244"/>
      <c r="K83" s="293"/>
    </row>
    <row r="84" spans="1:11" x14ac:dyDescent="0.3">
      <c r="A84" s="114">
        <v>334</v>
      </c>
      <c r="B84" s="179" t="s">
        <v>64</v>
      </c>
      <c r="C84" s="126">
        <v>192</v>
      </c>
      <c r="E84" t="str">
        <f>+IF(A84="","",IF(OR(RIGHT(A84,1)="E",RIGHT(A84,1)="H"),"",IF(IFERROR(VLOOKUP(A84,'Datos x Cja LK'!A:A,1,),"Falta en Consumo")=A84,"Ok",IFERROR(VLOOKUP(A84,'Datos x Cja LK'!A:A,1,),"Falta en Consumo"))))</f>
        <v>Ok</v>
      </c>
      <c r="G84">
        <v>0</v>
      </c>
      <c r="H84">
        <f t="shared" si="1"/>
        <v>192</v>
      </c>
      <c r="J84" s="244"/>
      <c r="K84" s="293"/>
    </row>
    <row r="85" spans="1:11" x14ac:dyDescent="0.3">
      <c r="A85" s="114">
        <v>58</v>
      </c>
      <c r="B85" s="179" t="s">
        <v>40</v>
      </c>
      <c r="C85" s="122">
        <v>312</v>
      </c>
      <c r="E85" t="str">
        <f>+IF(A85="","",IF(OR(RIGHT(A85,1)="E",RIGHT(A85,1)="H"),"",IF(IFERROR(VLOOKUP(A85,'Datos x Cja LK'!A:A,1,),"Falta en Consumo")=A85,"Ok",IFERROR(VLOOKUP(A85,'Datos x Cja LK'!A:A,1,),"Falta en Consumo"))))</f>
        <v>Ok</v>
      </c>
      <c r="G85">
        <v>0</v>
      </c>
      <c r="H85">
        <f t="shared" si="1"/>
        <v>312</v>
      </c>
      <c r="J85" s="244"/>
      <c r="K85" s="293"/>
    </row>
    <row r="86" spans="1:11" x14ac:dyDescent="0.3">
      <c r="A86" s="114">
        <v>323</v>
      </c>
      <c r="B86" s="179" t="s">
        <v>59</v>
      </c>
      <c r="C86" s="124">
        <v>264</v>
      </c>
      <c r="E86" t="str">
        <f>+IF(A86="","",IF(OR(RIGHT(A86,1)="E",RIGHT(A86,1)="H"),"",IF(IFERROR(VLOOKUP(A86,'Datos x Cja LK'!A:A,1,),"Falta en Consumo")=A86,"Ok",IFERROR(VLOOKUP(A86,'Datos x Cja LK'!A:A,1,),"Falta en Consumo"))))</f>
        <v>Ok</v>
      </c>
      <c r="G86">
        <v>0</v>
      </c>
      <c r="H86">
        <f t="shared" si="1"/>
        <v>264</v>
      </c>
      <c r="J86" s="244"/>
      <c r="K86" s="293"/>
    </row>
    <row r="87" spans="1:11" x14ac:dyDescent="0.3">
      <c r="A87" s="114">
        <v>242</v>
      </c>
      <c r="B87" s="179" t="s">
        <v>884</v>
      </c>
      <c r="C87" s="126">
        <v>0</v>
      </c>
      <c r="E87" t="str">
        <f>+IF(A87="","",IF(OR(RIGHT(A87,1)="E",RIGHT(A87,1)="H"),"",IF(IFERROR(VLOOKUP(A87,'Datos x Cja LK'!A:A,1,),"Falta en Consumo")=A87,"Ok",IFERROR(VLOOKUP(A87,'Datos x Cja LK'!A:A,1,),"Falta en Consumo"))))</f>
        <v>Falta en Consumo</v>
      </c>
      <c r="G87">
        <v>0</v>
      </c>
      <c r="H87">
        <f t="shared" si="1"/>
        <v>0</v>
      </c>
      <c r="J87" s="244"/>
      <c r="K87" s="293"/>
    </row>
    <row r="88" spans="1:11" x14ac:dyDescent="0.3">
      <c r="A88" s="114">
        <v>570</v>
      </c>
      <c r="B88" s="179" t="s">
        <v>131</v>
      </c>
      <c r="C88" s="125">
        <v>432</v>
      </c>
      <c r="E88" t="str">
        <f>+IF(A88="","",IF(OR(RIGHT(A88,1)="E",RIGHT(A88,1)="H"),"",IF(IFERROR(VLOOKUP(A88,'Datos x Cja LK'!A:A,1,),"Falta en Consumo")=A88,"Ok",IFERROR(VLOOKUP(A88,'Datos x Cja LK'!A:A,1,),"Falta en Consumo"))))</f>
        <v>Ok</v>
      </c>
      <c r="G88">
        <v>0</v>
      </c>
      <c r="H88">
        <f t="shared" si="1"/>
        <v>432</v>
      </c>
      <c r="J88" s="244"/>
      <c r="K88" s="293"/>
    </row>
    <row r="89" spans="1:11" x14ac:dyDescent="0.3">
      <c r="A89" s="114">
        <v>246</v>
      </c>
      <c r="B89" s="179" t="s">
        <v>51</v>
      </c>
      <c r="C89" s="124">
        <v>120</v>
      </c>
      <c r="E89" t="str">
        <f>+IF(A89="","",IF(OR(RIGHT(A89,1)="E",RIGHT(A89,1)="H"),"",IF(IFERROR(VLOOKUP(A89,'Datos x Cja LK'!A:A,1,),"Falta en Consumo")=A89,"Ok",IFERROR(VLOOKUP(A89,'Datos x Cja LK'!A:A,1,),"Falta en Consumo"))))</f>
        <v>Ok</v>
      </c>
      <c r="G89">
        <v>0</v>
      </c>
      <c r="H89">
        <f t="shared" si="1"/>
        <v>120</v>
      </c>
      <c r="J89" s="244"/>
      <c r="K89" s="293"/>
    </row>
    <row r="90" spans="1:11" x14ac:dyDescent="0.3">
      <c r="A90" s="114">
        <v>396</v>
      </c>
      <c r="B90" s="179" t="s">
        <v>78</v>
      </c>
      <c r="C90" s="125">
        <v>180</v>
      </c>
      <c r="E90" t="str">
        <f>+IF(A90="","",IF(OR(RIGHT(A90,1)="E",RIGHT(A90,1)="H"),"",IF(IFERROR(VLOOKUP(A90,'Datos x Cja LK'!A:A,1,),"Falta en Consumo")=A90,"Ok",IFERROR(VLOOKUP(A90,'Datos x Cja LK'!A:A,1,),"Falta en Consumo"))))</f>
        <v>Ok</v>
      </c>
      <c r="G90">
        <v>0</v>
      </c>
      <c r="H90">
        <f t="shared" si="1"/>
        <v>180</v>
      </c>
      <c r="J90" s="244"/>
      <c r="K90" s="293"/>
    </row>
    <row r="91" spans="1:11" x14ac:dyDescent="0.3">
      <c r="A91" s="114">
        <v>548</v>
      </c>
      <c r="B91" s="179" t="s">
        <v>114</v>
      </c>
      <c r="C91" s="126">
        <v>0</v>
      </c>
      <c r="E91" t="str">
        <f>+IF(A91="","",IF(OR(RIGHT(A91,1)="E",RIGHT(A91,1)="H"),"",IF(IFERROR(VLOOKUP(A91,'Datos x Cja LK'!A:A,1,),"Falta en Consumo")=A91,"Ok",IFERROR(VLOOKUP(A91,'Datos x Cja LK'!A:A,1,),"Falta en Consumo"))))</f>
        <v>Ok</v>
      </c>
      <c r="G91">
        <v>0</v>
      </c>
      <c r="H91">
        <f t="shared" si="1"/>
        <v>0</v>
      </c>
      <c r="J91" s="244"/>
      <c r="K91" s="293"/>
    </row>
    <row r="92" spans="1:11" x14ac:dyDescent="0.3">
      <c r="A92" s="114">
        <v>333</v>
      </c>
      <c r="B92" s="179" t="s">
        <v>63</v>
      </c>
      <c r="C92" s="119">
        <v>288</v>
      </c>
      <c r="E92" t="str">
        <f>+IF(A92="","",IF(OR(RIGHT(A92,1)="E",RIGHT(A92,1)="H"),"",IF(IFERROR(VLOOKUP(A92,'Datos x Cja LK'!A:A,1,),"Falta en Consumo")=A92,"Ok",IFERROR(VLOOKUP(A92,'Datos x Cja LK'!A:A,1,),"Falta en Consumo"))))</f>
        <v>Ok</v>
      </c>
      <c r="G92">
        <v>0</v>
      </c>
      <c r="H92">
        <f t="shared" si="1"/>
        <v>288</v>
      </c>
      <c r="J92" s="244"/>
      <c r="K92" s="293"/>
    </row>
    <row r="93" spans="1:11" x14ac:dyDescent="0.3">
      <c r="A93" s="114">
        <v>400</v>
      </c>
      <c r="B93" s="179" t="s">
        <v>885</v>
      </c>
      <c r="C93" s="126">
        <v>24</v>
      </c>
      <c r="E93" t="str">
        <f>+IF(A93="","",IF(OR(RIGHT(A93,1)="E",RIGHT(A93,1)="H"),"",IF(IFERROR(VLOOKUP(A93,'Datos x Cja LK'!A:A,1,),"Falta en Consumo")=A93,"Ok",IFERROR(VLOOKUP(A93,'Datos x Cja LK'!A:A,1,),"Falta en Consumo"))))</f>
        <v>Falta en Consumo</v>
      </c>
      <c r="G93">
        <v>0</v>
      </c>
      <c r="H93">
        <f t="shared" si="1"/>
        <v>24</v>
      </c>
      <c r="J93" s="244"/>
      <c r="K93" s="293"/>
    </row>
    <row r="94" spans="1:11" x14ac:dyDescent="0.3">
      <c r="A94" s="114">
        <v>596</v>
      </c>
      <c r="B94" s="179" t="s">
        <v>145</v>
      </c>
      <c r="C94" s="125">
        <v>108</v>
      </c>
      <c r="E94" t="str">
        <f>+IF(A94="","",IF(OR(RIGHT(A94,1)="E",RIGHT(A94,1)="H"),"",IF(IFERROR(VLOOKUP(A94,'Datos x Cja LK'!A:A,1,),"Falta en Consumo")=A94,"Ok",IFERROR(VLOOKUP(A94,'Datos x Cja LK'!A:A,1,),"Falta en Consumo"))))</f>
        <v>Ok</v>
      </c>
      <c r="G94">
        <v>0</v>
      </c>
      <c r="H94">
        <f t="shared" si="1"/>
        <v>108</v>
      </c>
      <c r="J94" s="244"/>
      <c r="K94" s="293"/>
    </row>
    <row r="95" spans="1:11" x14ac:dyDescent="0.3">
      <c r="A95" s="167">
        <v>499</v>
      </c>
      <c r="B95" s="179" t="s">
        <v>80</v>
      </c>
      <c r="C95" s="119">
        <v>144</v>
      </c>
      <c r="E95" t="str">
        <f>+IF(A95="","",IF(OR(RIGHT(A95,1)="E",RIGHT(A95,1)="H"),"",IF(IFERROR(VLOOKUP(A95,'Datos x Cja LK'!A:A,1,),"Falta en Consumo")=A95,"Ok",IFERROR(VLOOKUP(A95,'Datos x Cja LK'!A:A,1,),"Falta en Consumo"))))</f>
        <v>Ok</v>
      </c>
      <c r="G95">
        <v>0</v>
      </c>
      <c r="H95">
        <f t="shared" si="1"/>
        <v>144</v>
      </c>
      <c r="J95" s="244"/>
      <c r="K95" s="293"/>
    </row>
    <row r="96" spans="1:11" x14ac:dyDescent="0.3">
      <c r="A96" s="114">
        <v>391</v>
      </c>
      <c r="B96" s="179" t="s">
        <v>73</v>
      </c>
      <c r="C96" s="125">
        <v>192</v>
      </c>
      <c r="E96" t="str">
        <f>+IF(A96="","",IF(OR(RIGHT(A96,1)="E",RIGHT(A96,1)="H"),"",IF(IFERROR(VLOOKUP(A96,'Datos x Cja LK'!A:A,1,),"Falta en Consumo")=A96,"Ok",IFERROR(VLOOKUP(A96,'Datos x Cja LK'!A:A,1,),"Falta en Consumo"))))</f>
        <v>Ok</v>
      </c>
      <c r="G96">
        <v>0</v>
      </c>
      <c r="H96">
        <f t="shared" si="1"/>
        <v>192</v>
      </c>
      <c r="J96" s="244"/>
      <c r="K96" s="293"/>
    </row>
    <row r="97" spans="1:11" x14ac:dyDescent="0.3">
      <c r="A97" s="114">
        <v>336</v>
      </c>
      <c r="B97" s="179" t="s">
        <v>66</v>
      </c>
      <c r="C97" s="125">
        <v>216</v>
      </c>
      <c r="E97" t="str">
        <f>+IF(A97="","",IF(OR(RIGHT(A97,1)="E",RIGHT(A97,1)="H"),"",IF(IFERROR(VLOOKUP(A97,'Datos x Cja LK'!A:A,1,),"Falta en Consumo")=A97,"Ok",IFERROR(VLOOKUP(A97,'Datos x Cja LK'!A:A,1,),"Falta en Consumo"))))</f>
        <v>Ok</v>
      </c>
      <c r="G97">
        <v>0</v>
      </c>
      <c r="H97">
        <f t="shared" si="1"/>
        <v>216</v>
      </c>
      <c r="J97" s="244"/>
      <c r="K97" s="293"/>
    </row>
    <row r="98" spans="1:11" x14ac:dyDescent="0.3">
      <c r="A98" s="114">
        <v>332</v>
      </c>
      <c r="B98" s="179" t="s">
        <v>62</v>
      </c>
      <c r="C98" s="119">
        <v>264</v>
      </c>
      <c r="E98" t="str">
        <f>+IF(A98="","",IF(OR(RIGHT(A98,1)="E",RIGHT(A98,1)="H"),"",IF(IFERROR(VLOOKUP(A98,'Datos x Cja LK'!A:A,1,),"Falta en Consumo")=A98,"Ok",IFERROR(VLOOKUP(A98,'Datos x Cja LK'!A:A,1,),"Falta en Consumo"))))</f>
        <v>Ok</v>
      </c>
      <c r="G98">
        <v>0</v>
      </c>
      <c r="H98">
        <f t="shared" si="1"/>
        <v>264</v>
      </c>
      <c r="J98" s="244"/>
      <c r="K98" s="293"/>
    </row>
    <row r="99" spans="1:11" x14ac:dyDescent="0.3">
      <c r="A99" s="114">
        <v>311</v>
      </c>
      <c r="B99" s="179" t="s">
        <v>55</v>
      </c>
      <c r="C99" s="123">
        <v>96</v>
      </c>
      <c r="E99" t="str">
        <f>+IF(A99="","",IF(OR(RIGHT(A99,1)="E",RIGHT(A99,1)="H"),"",IF(IFERROR(VLOOKUP(A99,'Datos x Cja LK'!A:A,1,),"Falta en Consumo")=A99,"Ok",IFERROR(VLOOKUP(A99,'Datos x Cja LK'!A:A,1,),"Falta en Consumo"))))</f>
        <v>Ok</v>
      </c>
      <c r="G99">
        <v>0</v>
      </c>
      <c r="H99">
        <f t="shared" si="1"/>
        <v>96</v>
      </c>
      <c r="J99" s="244"/>
      <c r="K99" s="293"/>
    </row>
    <row r="100" spans="1:11" x14ac:dyDescent="0.3">
      <c r="A100" s="114">
        <v>208</v>
      </c>
      <c r="B100" s="179" t="s">
        <v>43</v>
      </c>
      <c r="C100" s="123">
        <v>144</v>
      </c>
      <c r="E100" t="str">
        <f>+IF(A100="","",IF(OR(RIGHT(A100,1)="E",RIGHT(A100,1)="H"),"",IF(IFERROR(VLOOKUP(A100,'Datos x Cja LK'!A:A,1,),"Falta en Consumo")=A100,"Ok",IFERROR(VLOOKUP(A100,'Datos x Cja LK'!A:A,1,),"Falta en Consumo"))))</f>
        <v>Ok</v>
      </c>
      <c r="G100">
        <v>0</v>
      </c>
      <c r="H100">
        <f t="shared" si="1"/>
        <v>144</v>
      </c>
      <c r="J100" s="244"/>
      <c r="K100" s="293"/>
    </row>
    <row r="101" spans="1:11" x14ac:dyDescent="0.3">
      <c r="A101" s="114">
        <v>561</v>
      </c>
      <c r="B101" s="179" t="s">
        <v>886</v>
      </c>
      <c r="C101" s="125">
        <v>300</v>
      </c>
      <c r="E101" t="str">
        <f>+IF(A101="","",IF(OR(RIGHT(A101,1)="E",RIGHT(A101,1)="H"),"",IF(IFERROR(VLOOKUP(A101,'Datos x Cja LK'!A:A,1,),"Falta en Consumo")=A101,"Ok",IFERROR(VLOOKUP(A101,'Datos x Cja LK'!A:A,1,),"Falta en Consumo"))))</f>
        <v>Ok</v>
      </c>
      <c r="G101">
        <v>0</v>
      </c>
      <c r="H101">
        <f t="shared" si="1"/>
        <v>300</v>
      </c>
      <c r="J101" s="244"/>
      <c r="K101" s="293"/>
    </row>
    <row r="102" spans="1:11" x14ac:dyDescent="0.3">
      <c r="A102" s="114">
        <v>823</v>
      </c>
      <c r="B102" s="179" t="s">
        <v>151</v>
      </c>
      <c r="C102" s="122">
        <v>108</v>
      </c>
      <c r="E102" t="str">
        <f>+IF(A102="","",IF(OR(RIGHT(A102,1)="E",RIGHT(A102,1)="H"),"",IF(IFERROR(VLOOKUP(A102,'Datos x Cja LK'!A:A,1,),"Falta en Consumo")=A102,"Ok",IFERROR(VLOOKUP(A102,'Datos x Cja LK'!A:A,1,),"Falta en Consumo"))))</f>
        <v>Ok</v>
      </c>
      <c r="G102">
        <v>0</v>
      </c>
      <c r="H102">
        <f t="shared" si="1"/>
        <v>108</v>
      </c>
      <c r="J102" s="244"/>
      <c r="K102" s="293"/>
    </row>
    <row r="103" spans="1:11" x14ac:dyDescent="0.3">
      <c r="A103" s="114">
        <v>509</v>
      </c>
      <c r="B103" s="179" t="s">
        <v>89</v>
      </c>
      <c r="C103" s="123">
        <v>192</v>
      </c>
      <c r="E103" t="str">
        <f>+IF(A103="","",IF(OR(RIGHT(A103,1)="E",RIGHT(A103,1)="H"),"",IF(IFERROR(VLOOKUP(A103,'Datos x Cja LK'!A:A,1,),"Falta en Consumo")=A103,"Ok",IFERROR(VLOOKUP(A103,'Datos x Cja LK'!A:A,1,),"Falta en Consumo"))))</f>
        <v>Ok</v>
      </c>
      <c r="G103">
        <v>0</v>
      </c>
      <c r="H103">
        <f t="shared" si="1"/>
        <v>192</v>
      </c>
      <c r="J103" s="244"/>
      <c r="K103" s="293"/>
    </row>
    <row r="104" spans="1:11" ht="18.75" x14ac:dyDescent="0.3">
      <c r="A104" s="171" t="s">
        <v>227</v>
      </c>
      <c r="B104" s="179" t="s">
        <v>228</v>
      </c>
      <c r="C104" s="128">
        <v>36</v>
      </c>
      <c r="E104" t="str">
        <f>+IF(A104="","",IF(OR(RIGHT(A104,1)="E",RIGHT(A104,1)="H"),"",IF(IFERROR(VLOOKUP(A104,'Datos x Cja LK'!A:A,1,),"Falta en Consumo")=A104,"Ok",IFERROR(VLOOKUP(A104,'Datos x Cja LK'!A:A,1,),"Falta en Consumo"))))</f>
        <v/>
      </c>
      <c r="G104">
        <v>0</v>
      </c>
      <c r="H104">
        <f t="shared" si="1"/>
        <v>36</v>
      </c>
      <c r="J104" s="244"/>
      <c r="K104" s="293"/>
    </row>
    <row r="105" spans="1:11" x14ac:dyDescent="0.3">
      <c r="A105" s="167" t="s">
        <v>213</v>
      </c>
      <c r="B105" s="179" t="s">
        <v>214</v>
      </c>
      <c r="C105" s="124">
        <v>600</v>
      </c>
      <c r="E105" t="str">
        <f>+IF(A105="","",IF(OR(RIGHT(A105,1)="E",RIGHT(A105,1)="H"),"",IF(IFERROR(VLOOKUP(A105,'Datos x Cja LK'!A:A,1,),"Falta en Consumo")=A105,"Ok",IFERROR(VLOOKUP(A105,'Datos x Cja LK'!A:A,1,),"Falta en Consumo"))))</f>
        <v/>
      </c>
      <c r="G105">
        <v>0</v>
      </c>
      <c r="H105">
        <f t="shared" si="1"/>
        <v>600</v>
      </c>
      <c r="J105" s="244"/>
      <c r="K105" s="293"/>
    </row>
    <row r="106" spans="1:11" x14ac:dyDescent="0.3">
      <c r="A106" s="167" t="s">
        <v>237</v>
      </c>
      <c r="B106" s="179" t="s">
        <v>238</v>
      </c>
      <c r="C106" s="123">
        <v>600</v>
      </c>
      <c r="E106" t="str">
        <f>+IF(A106="","",IF(OR(RIGHT(A106,1)="E",RIGHT(A106,1)="H"),"",IF(IFERROR(VLOOKUP(A106,'Datos x Cja LK'!A:A,1,),"Falta en Consumo")=A106,"Ok",IFERROR(VLOOKUP(A106,'Datos x Cja LK'!A:A,1,),"Falta en Consumo"))))</f>
        <v/>
      </c>
      <c r="G106">
        <v>0</v>
      </c>
      <c r="H106">
        <f t="shared" si="1"/>
        <v>600</v>
      </c>
      <c r="J106" s="244"/>
      <c r="K106" s="293"/>
    </row>
    <row r="107" spans="1:11" x14ac:dyDescent="0.3">
      <c r="A107" s="167" t="s">
        <v>209</v>
      </c>
      <c r="B107" s="179" t="s">
        <v>210</v>
      </c>
      <c r="C107" s="126">
        <v>0</v>
      </c>
      <c r="E107" t="str">
        <f>+IF(A107="","",IF(OR(RIGHT(A107,1)="E",RIGHT(A107,1)="H"),"",IF(IFERROR(VLOOKUP(A107,'Datos x Cja LK'!A:A,1,),"Falta en Consumo")=A107,"Ok",IFERROR(VLOOKUP(A107,'Datos x Cja LK'!A:A,1,),"Falta en Consumo"))))</f>
        <v/>
      </c>
      <c r="G107">
        <v>0</v>
      </c>
      <c r="H107">
        <f t="shared" si="1"/>
        <v>0</v>
      </c>
      <c r="J107" s="244"/>
      <c r="K107" s="293"/>
    </row>
    <row r="108" spans="1:11" x14ac:dyDescent="0.3">
      <c r="A108" s="114" t="s">
        <v>194</v>
      </c>
      <c r="B108" s="179" t="s">
        <v>195</v>
      </c>
      <c r="C108" s="126">
        <v>360</v>
      </c>
      <c r="E108" t="str">
        <f>+IF(A108="","",IF(OR(RIGHT(A108,1)="E",RIGHT(A108,1)="H"),"",IF(IFERROR(VLOOKUP(A108,'Datos x Cja LK'!A:A,1,),"Falta en Consumo")=A108,"Ok",IFERROR(VLOOKUP(A108,'Datos x Cja LK'!A:A,1,),"Falta en Consumo"))))</f>
        <v/>
      </c>
      <c r="G108">
        <v>0</v>
      </c>
      <c r="H108">
        <f t="shared" si="1"/>
        <v>360</v>
      </c>
      <c r="J108" s="244"/>
      <c r="K108" s="293"/>
    </row>
    <row r="109" spans="1:11" x14ac:dyDescent="0.3">
      <c r="A109" s="114" t="s">
        <v>217</v>
      </c>
      <c r="B109" s="179" t="s">
        <v>218</v>
      </c>
      <c r="C109" s="126">
        <v>120</v>
      </c>
      <c r="E109" t="str">
        <f>+IF(A109="","",IF(OR(RIGHT(A109,1)="E",RIGHT(A109,1)="H"),"",IF(IFERROR(VLOOKUP(A109,'Datos x Cja LK'!A:A,1,),"Falta en Consumo")=A109,"Ok",IFERROR(VLOOKUP(A109,'Datos x Cja LK'!A:A,1,),"Falta en Consumo"))))</f>
        <v/>
      </c>
      <c r="G109">
        <v>0</v>
      </c>
      <c r="H109">
        <f t="shared" si="1"/>
        <v>120</v>
      </c>
      <c r="J109" s="244"/>
      <c r="K109" s="293"/>
    </row>
    <row r="110" spans="1:11" x14ac:dyDescent="0.3">
      <c r="A110" s="114">
        <v>516</v>
      </c>
      <c r="B110" s="179" t="s">
        <v>95</v>
      </c>
      <c r="C110" s="123">
        <v>500</v>
      </c>
      <c r="E110" t="str">
        <f>+IF(A110="","",IF(OR(RIGHT(A110,1)="E",RIGHT(A110,1)="H"),"",IF(IFERROR(VLOOKUP(A110,'Datos x Cja LK'!A:A,1,),"Falta en Consumo")=A110,"Ok",IFERROR(VLOOKUP(A110,'Datos x Cja LK'!A:A,1,),"Falta en Consumo"))))</f>
        <v>Ok</v>
      </c>
      <c r="G110">
        <v>0</v>
      </c>
      <c r="H110">
        <f t="shared" si="1"/>
        <v>500</v>
      </c>
      <c r="J110" s="244"/>
      <c r="K110" s="293"/>
    </row>
    <row r="111" spans="1:11" x14ac:dyDescent="0.3">
      <c r="A111" s="114">
        <v>554</v>
      </c>
      <c r="B111" s="179" t="s">
        <v>119</v>
      </c>
      <c r="C111" s="126">
        <v>192</v>
      </c>
      <c r="E111" t="str">
        <f>+IF(A111="","",IF(OR(RIGHT(A111,1)="E",RIGHT(A111,1)="H"),"",IF(IFERROR(VLOOKUP(A111,'Datos x Cja LK'!A:A,1,),"Falta en Consumo")=A111,"Ok",IFERROR(VLOOKUP(A111,'Datos x Cja LK'!A:A,1,),"Falta en Consumo"))))</f>
        <v>Ok</v>
      </c>
      <c r="G111">
        <v>0</v>
      </c>
      <c r="H111">
        <f t="shared" si="1"/>
        <v>192</v>
      </c>
      <c r="J111" s="244"/>
      <c r="K111" s="293"/>
    </row>
    <row r="112" spans="1:11" x14ac:dyDescent="0.3">
      <c r="A112" s="172" t="s">
        <v>182</v>
      </c>
      <c r="B112" s="179" t="s">
        <v>183</v>
      </c>
      <c r="C112" s="124">
        <v>700</v>
      </c>
      <c r="E112" t="str">
        <f>+IF(A112="","",IF(OR(RIGHT(A112,1)="E",RIGHT(A112,1)="H"),"",IF(IFERROR(VLOOKUP(A112,'Datos x Cja LK'!A:A,1,),"Falta en Consumo")=A112,"Ok",IFERROR(VLOOKUP(A112,'Datos x Cja LK'!A:A,1,),"Falta en Consumo"))))</f>
        <v/>
      </c>
      <c r="G112">
        <v>0</v>
      </c>
      <c r="H112">
        <f t="shared" si="1"/>
        <v>700</v>
      </c>
      <c r="J112" s="244"/>
      <c r="K112" s="293"/>
    </row>
    <row r="113" spans="1:11" x14ac:dyDescent="0.3">
      <c r="A113" s="114">
        <v>335</v>
      </c>
      <c r="B113" s="179" t="s">
        <v>65</v>
      </c>
      <c r="C113" s="126">
        <v>120</v>
      </c>
      <c r="E113" t="str">
        <f>+IF(A113="","",IF(OR(RIGHT(A113,1)="E",RIGHT(A113,1)="H"),"",IF(IFERROR(VLOOKUP(A113,'Datos x Cja LK'!A:A,1,),"Falta en Consumo")=A113,"Ok",IFERROR(VLOOKUP(A113,'Datos x Cja LK'!A:A,1,),"Falta en Consumo"))))</f>
        <v>Ok</v>
      </c>
      <c r="G113">
        <v>0</v>
      </c>
      <c r="H113">
        <f t="shared" si="1"/>
        <v>120</v>
      </c>
      <c r="J113" s="244"/>
      <c r="K113" s="293"/>
    </row>
    <row r="114" spans="1:11" x14ac:dyDescent="0.3">
      <c r="A114" s="114">
        <v>390</v>
      </c>
      <c r="B114" s="179" t="s">
        <v>72</v>
      </c>
      <c r="C114" s="126">
        <v>120</v>
      </c>
      <c r="E114" t="str">
        <f>+IF(A114="","",IF(OR(RIGHT(A114,1)="E",RIGHT(A114,1)="H"),"",IF(IFERROR(VLOOKUP(A114,'Datos x Cja LK'!A:A,1,),"Falta en Consumo")=A114,"Ok",IFERROR(VLOOKUP(A114,'Datos x Cja LK'!A:A,1,),"Falta en Consumo"))))</f>
        <v>Ok</v>
      </c>
      <c r="G114">
        <v>0</v>
      </c>
      <c r="H114">
        <f t="shared" si="1"/>
        <v>120</v>
      </c>
      <c r="J114" s="244"/>
      <c r="K114" s="293"/>
    </row>
    <row r="115" spans="1:11" x14ac:dyDescent="0.3">
      <c r="A115" s="114">
        <v>389</v>
      </c>
      <c r="B115" s="179" t="s">
        <v>71</v>
      </c>
      <c r="C115" s="123">
        <v>0</v>
      </c>
      <c r="E115" t="str">
        <f>+IF(A115="","",IF(OR(RIGHT(A115,1)="E",RIGHT(A115,1)="H"),"",IF(IFERROR(VLOOKUP(A115,'Datos x Cja LK'!A:A,1,),"Falta en Consumo")=A115,"Ok",IFERROR(VLOOKUP(A115,'Datos x Cja LK'!A:A,1,),"Falta en Consumo"))))</f>
        <v>Ok</v>
      </c>
      <c r="G115">
        <v>0</v>
      </c>
      <c r="H115">
        <f t="shared" si="1"/>
        <v>0</v>
      </c>
      <c r="J115" s="244"/>
      <c r="K115" s="293"/>
    </row>
    <row r="116" spans="1:11" x14ac:dyDescent="0.3">
      <c r="A116" s="114">
        <v>534</v>
      </c>
      <c r="B116" s="179" t="s">
        <v>107</v>
      </c>
      <c r="C116" s="124">
        <v>144</v>
      </c>
      <c r="E116" t="str">
        <f>+IF(A116="","",IF(OR(RIGHT(A116,1)="E",RIGHT(A116,1)="H"),"",IF(IFERROR(VLOOKUP(A116,'Datos x Cja LK'!A:A,1,),"Falta en Consumo")=A116,"Ok",IFERROR(VLOOKUP(A116,'Datos x Cja LK'!A:A,1,),"Falta en Consumo"))))</f>
        <v>Ok</v>
      </c>
      <c r="G116">
        <v>0</v>
      </c>
      <c r="H116">
        <f t="shared" si="1"/>
        <v>144</v>
      </c>
      <c r="J116" s="244"/>
      <c r="K116" s="293"/>
    </row>
    <row r="117" spans="1:11" x14ac:dyDescent="0.3">
      <c r="A117" s="114">
        <v>339</v>
      </c>
      <c r="B117" s="179" t="s">
        <v>69</v>
      </c>
      <c r="C117" s="126">
        <v>0</v>
      </c>
      <c r="E117" t="str">
        <f>+IF(A117="","",IF(OR(RIGHT(A117,1)="E",RIGHT(A117,1)="H"),"",IF(IFERROR(VLOOKUP(A117,'Datos x Cja LK'!A:A,1,),"Falta en Consumo")=A117,"Ok",IFERROR(VLOOKUP(A117,'Datos x Cja LK'!A:A,1,),"Falta en Consumo"))))</f>
        <v>Ok</v>
      </c>
      <c r="G117">
        <v>0</v>
      </c>
      <c r="H117">
        <f t="shared" si="1"/>
        <v>0</v>
      </c>
      <c r="J117" s="244"/>
      <c r="K117" s="293"/>
    </row>
    <row r="118" spans="1:11" x14ac:dyDescent="0.3">
      <c r="A118" s="114">
        <v>338</v>
      </c>
      <c r="B118" s="179" t="s">
        <v>68</v>
      </c>
      <c r="C118" s="126">
        <v>240</v>
      </c>
      <c r="E118" t="str">
        <f>+IF(A118="","",IF(OR(RIGHT(A118,1)="E",RIGHT(A118,1)="H"),"",IF(IFERROR(VLOOKUP(A118,'Datos x Cja LK'!A:A,1,),"Falta en Consumo")=A118,"Ok",IFERROR(VLOOKUP(A118,'Datos x Cja LK'!A:A,1,),"Falta en Consumo"))))</f>
        <v>Ok</v>
      </c>
      <c r="G118">
        <v>0</v>
      </c>
      <c r="H118">
        <f t="shared" si="1"/>
        <v>240</v>
      </c>
      <c r="J118" s="244"/>
      <c r="K118" s="293"/>
    </row>
    <row r="119" spans="1:11" x14ac:dyDescent="0.3">
      <c r="A119" s="114">
        <v>498</v>
      </c>
      <c r="B119" s="179" t="s">
        <v>79</v>
      </c>
      <c r="C119" s="126">
        <v>144</v>
      </c>
      <c r="E119" t="str">
        <f>+IF(A119="","",IF(OR(RIGHT(A119,1)="E",RIGHT(A119,1)="H"),"",IF(IFERROR(VLOOKUP(A119,'Datos x Cja LK'!A:A,1,),"Falta en Consumo")=A119,"Ok",IFERROR(VLOOKUP(A119,'Datos x Cja LK'!A:A,1,),"Falta en Consumo"))))</f>
        <v>Ok</v>
      </c>
      <c r="G119">
        <v>0</v>
      </c>
      <c r="H119">
        <f t="shared" si="1"/>
        <v>144</v>
      </c>
      <c r="J119" s="244"/>
      <c r="K119" s="293"/>
    </row>
    <row r="120" spans="1:11" x14ac:dyDescent="0.3">
      <c r="A120" s="114">
        <v>337</v>
      </c>
      <c r="B120" s="179" t="s">
        <v>67</v>
      </c>
      <c r="C120" s="126">
        <v>96</v>
      </c>
      <c r="E120" t="str">
        <f>+IF(A120="","",IF(OR(RIGHT(A120,1)="E",RIGHT(A120,1)="H"),"",IF(IFERROR(VLOOKUP(A120,'Datos x Cja LK'!A:A,1,),"Falta en Consumo")=A120,"Ok",IFERROR(VLOOKUP(A120,'Datos x Cja LK'!A:A,1,),"Falta en Consumo"))))</f>
        <v>Ok</v>
      </c>
      <c r="G120">
        <v>0</v>
      </c>
      <c r="H120">
        <f t="shared" si="1"/>
        <v>96</v>
      </c>
      <c r="J120" s="244"/>
      <c r="K120" s="293"/>
    </row>
    <row r="121" spans="1:11" x14ac:dyDescent="0.3">
      <c r="A121" s="114">
        <v>547</v>
      </c>
      <c r="B121" s="179" t="s">
        <v>113</v>
      </c>
      <c r="C121" s="126">
        <v>24</v>
      </c>
      <c r="E121" t="str">
        <f>+IF(A121="","",IF(OR(RIGHT(A121,1)="E",RIGHT(A121,1)="H"),"",IF(IFERROR(VLOOKUP(A121,'Datos x Cja LK'!A:A,1,),"Falta en Consumo")=A121,"Ok",IFERROR(VLOOKUP(A121,'Datos x Cja LK'!A:A,1,),"Falta en Consumo"))))</f>
        <v>Ok</v>
      </c>
      <c r="G121">
        <v>0</v>
      </c>
      <c r="H121">
        <f t="shared" si="1"/>
        <v>24</v>
      </c>
      <c r="J121" s="244"/>
      <c r="K121" s="293"/>
    </row>
    <row r="122" spans="1:11" x14ac:dyDescent="0.3">
      <c r="A122" s="169" t="s">
        <v>176</v>
      </c>
      <c r="B122" s="179" t="s">
        <v>177</v>
      </c>
      <c r="C122" s="123">
        <v>0</v>
      </c>
      <c r="E122" t="str">
        <f>+IF(A122="","",IF(OR(RIGHT(A122,1)="E",RIGHT(A122,1)="H"),"",IF(IFERROR(VLOOKUP(A122,'Datos x Cja LK'!A:A,1,),"Falta en Consumo")=A122,"Ok",IFERROR(VLOOKUP(A122,'Datos x Cja LK'!A:A,1,),"Falta en Consumo"))))</f>
        <v/>
      </c>
      <c r="G122">
        <v>0</v>
      </c>
      <c r="H122">
        <f t="shared" si="1"/>
        <v>0</v>
      </c>
      <c r="J122" s="244"/>
      <c r="K122" s="293"/>
    </row>
    <row r="123" spans="1:11" x14ac:dyDescent="0.3">
      <c r="A123" s="169" t="s">
        <v>188</v>
      </c>
      <c r="B123" s="179" t="s">
        <v>189</v>
      </c>
      <c r="C123" s="123"/>
      <c r="E123" t="str">
        <f>+IF(A123="","",IF(OR(RIGHT(A123,1)="E",RIGHT(A123,1)="H"),"",IF(IFERROR(VLOOKUP(A123,'Datos x Cja LK'!A:A,1,),"Falta en Consumo")=A123,"Ok",IFERROR(VLOOKUP(A123,'Datos x Cja LK'!A:A,1,),"Falta en Consumo"))))</f>
        <v/>
      </c>
      <c r="G123">
        <v>0</v>
      </c>
      <c r="H123">
        <f t="shared" si="1"/>
        <v>0</v>
      </c>
      <c r="J123" s="244"/>
      <c r="K123" s="293"/>
    </row>
    <row r="124" spans="1:11" x14ac:dyDescent="0.3">
      <c r="A124" s="166" t="s">
        <v>201</v>
      </c>
      <c r="B124" s="179" t="s">
        <v>202</v>
      </c>
      <c r="C124" s="123">
        <v>1800</v>
      </c>
      <c r="E124" t="str">
        <f>+IF(A124="","",IF(OR(RIGHT(A124,1)="E",RIGHT(A124,1)="H"),"",IF(IFERROR(VLOOKUP(A124,'Datos x Cja LK'!A:A,1,),"Falta en Consumo")=A124,"Ok",IFERROR(VLOOKUP(A124,'Datos x Cja LK'!A:A,1,),"Falta en Consumo"))))</f>
        <v/>
      </c>
      <c r="G124">
        <v>0</v>
      </c>
      <c r="H124">
        <f t="shared" si="1"/>
        <v>1800</v>
      </c>
      <c r="J124" s="244"/>
      <c r="K124" s="293"/>
    </row>
    <row r="125" spans="1:11" x14ac:dyDescent="0.3">
      <c r="A125" s="114">
        <v>574</v>
      </c>
      <c r="B125" s="179" t="s">
        <v>208</v>
      </c>
      <c r="C125" s="123">
        <v>0</v>
      </c>
      <c r="E125" t="str">
        <f>+IF(A125="","",IF(OR(RIGHT(A125,1)="E",RIGHT(A125,1)="H"),"",IF(IFERROR(VLOOKUP(A125,'Datos x Cja LK'!A:A,1,),"Falta en Consumo")=A125,"Ok",IFERROR(VLOOKUP(A125,'Datos x Cja LK'!A:A,1,),"Falta en Consumo"))))</f>
        <v>Ok</v>
      </c>
      <c r="G125">
        <v>0</v>
      </c>
      <c r="H125">
        <f t="shared" si="1"/>
        <v>0</v>
      </c>
      <c r="J125" s="244"/>
      <c r="K125" s="293"/>
    </row>
    <row r="126" spans="1:11" x14ac:dyDescent="0.3">
      <c r="A126" s="114">
        <v>28</v>
      </c>
      <c r="B126" s="179" t="s">
        <v>887</v>
      </c>
      <c r="C126" s="123">
        <v>0</v>
      </c>
      <c r="E126" t="str">
        <f>+IF(A126="","",IF(OR(RIGHT(A126,1)="E",RIGHT(A126,1)="H"),"",IF(IFERROR(VLOOKUP(A126,'Datos x Cja LK'!A:A,1,),"Falta en Consumo")=A126,"Ok",IFERROR(VLOOKUP(A126,'Datos x Cja LK'!A:A,1,),"Falta en Consumo"))))</f>
        <v>Falta en Consumo</v>
      </c>
      <c r="G126">
        <v>0</v>
      </c>
      <c r="H126">
        <f t="shared" si="1"/>
        <v>0</v>
      </c>
      <c r="J126" s="244"/>
      <c r="K126" s="293"/>
    </row>
    <row r="127" spans="1:11" x14ac:dyDescent="0.3">
      <c r="A127" s="114">
        <v>250</v>
      </c>
      <c r="B127" s="179" t="s">
        <v>888</v>
      </c>
      <c r="C127" s="123">
        <v>0</v>
      </c>
      <c r="E127" t="str">
        <f>+IF(A127="","",IF(OR(RIGHT(A127,1)="E",RIGHT(A127,1)="H"),"",IF(IFERROR(VLOOKUP(A127,'Datos x Cja LK'!A:A,1,),"Falta en Consumo")=A127,"Ok",IFERROR(VLOOKUP(A127,'Datos x Cja LK'!A:A,1,),"Falta en Consumo"))))</f>
        <v>Ok</v>
      </c>
      <c r="G127">
        <v>0</v>
      </c>
      <c r="H127">
        <f t="shared" si="1"/>
        <v>0</v>
      </c>
      <c r="J127" s="244"/>
      <c r="K127" s="293"/>
    </row>
    <row r="128" spans="1:11" x14ac:dyDescent="0.3">
      <c r="A128" s="114">
        <v>253</v>
      </c>
      <c r="B128" s="179" t="s">
        <v>889</v>
      </c>
      <c r="C128" s="123">
        <v>0</v>
      </c>
      <c r="E128" t="str">
        <f>+IF(A128="","",IF(OR(RIGHT(A128,1)="E",RIGHT(A128,1)="H"),"",IF(IFERROR(VLOOKUP(A128,'Datos x Cja LK'!A:A,1,),"Falta en Consumo")=A128,"Ok",IFERROR(VLOOKUP(A128,'Datos x Cja LK'!A:A,1,),"Falta en Consumo"))))</f>
        <v>Ok</v>
      </c>
      <c r="G128">
        <v>0</v>
      </c>
      <c r="H128">
        <f t="shared" si="1"/>
        <v>0</v>
      </c>
      <c r="J128" s="244"/>
      <c r="K128" s="293"/>
    </row>
    <row r="129" spans="1:11" x14ac:dyDescent="0.3">
      <c r="A129" s="114">
        <v>254</v>
      </c>
      <c r="B129" s="179" t="s">
        <v>890</v>
      </c>
      <c r="C129" s="123">
        <v>0</v>
      </c>
      <c r="E129" t="str">
        <f>+IF(A129="","",IF(OR(RIGHT(A129,1)="E",RIGHT(A129,1)="H"),"",IF(IFERROR(VLOOKUP(A129,'Datos x Cja LK'!A:A,1,),"Falta en Consumo")=A129,"Ok",IFERROR(VLOOKUP(A129,'Datos x Cja LK'!A:A,1,),"Falta en Consumo"))))</f>
        <v>Ok</v>
      </c>
      <c r="G129">
        <v>0</v>
      </c>
      <c r="H129">
        <f t="shared" si="1"/>
        <v>0</v>
      </c>
      <c r="J129" s="244"/>
      <c r="K129" s="293"/>
    </row>
    <row r="130" spans="1:11" x14ac:dyDescent="0.3">
      <c r="A130" s="53">
        <v>578</v>
      </c>
      <c r="B130" s="179" t="s">
        <v>136</v>
      </c>
      <c r="C130" s="123">
        <v>0</v>
      </c>
      <c r="E130" t="str">
        <f>+IF(A130="","",IF(OR(RIGHT(A130,1)="E",RIGHT(A130,1)="H"),"",IF(IFERROR(VLOOKUP(A130,'Datos x Cja LK'!A:A,1,),"Falta en Consumo")=A130,"Ok",IFERROR(VLOOKUP(A130,'Datos x Cja LK'!A:A,1,),"Falta en Consumo"))))</f>
        <v>Ok</v>
      </c>
      <c r="G130">
        <v>0</v>
      </c>
      <c r="H130">
        <f t="shared" si="1"/>
        <v>0</v>
      </c>
      <c r="J130" s="244"/>
      <c r="K130" s="293"/>
    </row>
    <row r="131" spans="1:11" x14ac:dyDescent="0.3">
      <c r="A131" s="114" t="s">
        <v>207</v>
      </c>
      <c r="B131" s="179" t="s">
        <v>208</v>
      </c>
      <c r="C131" s="123">
        <v>648</v>
      </c>
      <c r="E131" t="str">
        <f>+IF(A131="","",IF(OR(RIGHT(A131,1)="E",RIGHT(A131,1)="H"),"",IF(IFERROR(VLOOKUP(A131,'Datos x Cja LK'!A:A,1,),"Falta en Consumo")=A131,"Ok",IFERROR(VLOOKUP(A131,'Datos x Cja LK'!A:A,1,),"Falta en Consumo"))))</f>
        <v/>
      </c>
      <c r="G131">
        <v>0</v>
      </c>
      <c r="H131">
        <f t="shared" ref="H131:H194" si="2">+C131-G131</f>
        <v>648</v>
      </c>
      <c r="J131" s="244"/>
      <c r="K131" s="293"/>
    </row>
    <row r="132" spans="1:11" x14ac:dyDescent="0.3">
      <c r="A132" s="114" t="s">
        <v>159</v>
      </c>
      <c r="B132" s="179" t="s">
        <v>160</v>
      </c>
      <c r="C132" s="123">
        <v>480</v>
      </c>
      <c r="E132" t="str">
        <f>+IF(A132="","",IF(OR(RIGHT(A132,1)="E",RIGHT(A132,1)="H"),"",IF(IFERROR(VLOOKUP(A132,'Datos x Cja LK'!A:A,1,),"Falta en Consumo")=A132,"Ok",IFERROR(VLOOKUP(A132,'Datos x Cja LK'!A:A,1,),"Falta en Consumo"))))</f>
        <v/>
      </c>
      <c r="G132">
        <v>0</v>
      </c>
      <c r="H132">
        <f t="shared" si="2"/>
        <v>480</v>
      </c>
      <c r="J132" s="244"/>
      <c r="K132" s="293"/>
    </row>
    <row r="133" spans="1:11" x14ac:dyDescent="0.3">
      <c r="A133" s="114" t="s">
        <v>98</v>
      </c>
      <c r="B133" s="179" t="s">
        <v>99</v>
      </c>
      <c r="C133" s="123">
        <v>0</v>
      </c>
      <c r="E133" t="str">
        <f>+IF(A133="","",IF(OR(RIGHT(A133,1)="E",RIGHT(A133,1)="H"),"",IF(IFERROR(VLOOKUP(A133,'Datos x Cja LK'!A:A,1,),"Falta en Consumo")=A133,"Ok",IFERROR(VLOOKUP(A133,'Datos x Cja LK'!A:A,1,),"Falta en Consumo"))))</f>
        <v>Falta en Consumo</v>
      </c>
      <c r="G133">
        <v>0</v>
      </c>
      <c r="H133">
        <f t="shared" si="2"/>
        <v>0</v>
      </c>
      <c r="J133" s="244"/>
      <c r="K133" s="293"/>
    </row>
    <row r="134" spans="1:11" x14ac:dyDescent="0.3">
      <c r="A134" s="114" t="s">
        <v>155</v>
      </c>
      <c r="B134" s="179" t="s">
        <v>156</v>
      </c>
      <c r="C134" s="123">
        <v>312</v>
      </c>
      <c r="E134" t="str">
        <f>+IF(A134="","",IF(OR(RIGHT(A134,1)="E",RIGHT(A134,1)="H"),"",IF(IFERROR(VLOOKUP(A134,'Datos x Cja LK'!A:A,1,),"Falta en Consumo")=A134,"Ok",IFERROR(VLOOKUP(A134,'Datos x Cja LK'!A:A,1,),"Falta en Consumo"))))</f>
        <v/>
      </c>
      <c r="G134">
        <v>0</v>
      </c>
      <c r="H134">
        <f t="shared" si="2"/>
        <v>312</v>
      </c>
      <c r="J134" s="244"/>
      <c r="K134" s="293"/>
    </row>
    <row r="135" spans="1:11" x14ac:dyDescent="0.3">
      <c r="A135" s="114" t="s">
        <v>157</v>
      </c>
      <c r="B135" s="179" t="s">
        <v>158</v>
      </c>
      <c r="C135" s="123">
        <v>180</v>
      </c>
      <c r="E135" t="str">
        <f>+IF(A135="","",IF(OR(RIGHT(A135,1)="E",RIGHT(A135,1)="H"),"",IF(IFERROR(VLOOKUP(A135,'Datos x Cja LK'!A:A,1,),"Falta en Consumo")=A135,"Ok",IFERROR(VLOOKUP(A135,'Datos x Cja LK'!A:A,1,),"Falta en Consumo"))))</f>
        <v/>
      </c>
      <c r="G135">
        <v>0</v>
      </c>
      <c r="H135">
        <f t="shared" si="2"/>
        <v>180</v>
      </c>
      <c r="J135" s="244"/>
      <c r="K135" s="293"/>
    </row>
    <row r="136" spans="1:11" x14ac:dyDescent="0.3">
      <c r="A136" s="114" t="s">
        <v>162</v>
      </c>
      <c r="B136" s="179" t="s">
        <v>163</v>
      </c>
      <c r="C136" s="123">
        <v>144</v>
      </c>
      <c r="E136" t="str">
        <f>+IF(A136="","",IF(OR(RIGHT(A136,1)="E",RIGHT(A136,1)="H"),"",IF(IFERROR(VLOOKUP(A136,'Datos x Cja LK'!A:A,1,),"Falta en Consumo")=A136,"Ok",IFERROR(VLOOKUP(A136,'Datos x Cja LK'!A:A,1,),"Falta en Consumo"))))</f>
        <v/>
      </c>
      <c r="G136">
        <v>0</v>
      </c>
      <c r="H136">
        <f t="shared" si="2"/>
        <v>144</v>
      </c>
      <c r="J136" s="244"/>
      <c r="K136" s="293"/>
    </row>
    <row r="137" spans="1:11" x14ac:dyDescent="0.3">
      <c r="A137" s="114" t="s">
        <v>219</v>
      </c>
      <c r="B137" s="179" t="s">
        <v>220</v>
      </c>
      <c r="C137" s="126">
        <v>240</v>
      </c>
      <c r="E137" t="str">
        <f>+IF(A137="","",IF(OR(RIGHT(A137,1)="E",RIGHT(A137,1)="H"),"",IF(IFERROR(VLOOKUP(A137,'Datos x Cja LK'!A:A,1,),"Falta en Consumo")=A137,"Ok",IFERROR(VLOOKUP(A137,'Datos x Cja LK'!A:A,1,),"Falta en Consumo"))))</f>
        <v/>
      </c>
      <c r="G137">
        <v>0</v>
      </c>
      <c r="H137">
        <f t="shared" si="2"/>
        <v>240</v>
      </c>
      <c r="J137" s="244"/>
      <c r="K137" s="293"/>
    </row>
    <row r="138" spans="1:11" x14ac:dyDescent="0.3">
      <c r="A138" s="114">
        <v>230</v>
      </c>
      <c r="B138" s="179" t="s">
        <v>891</v>
      </c>
      <c r="C138" s="126">
        <v>0</v>
      </c>
      <c r="E138" t="str">
        <f>+IF(A138="","",IF(OR(RIGHT(A138,1)="E",RIGHT(A138,1)="H"),"",IF(IFERROR(VLOOKUP(A138,'Datos x Cja LK'!A:A,1,),"Falta en Consumo")=A138,"Ok",IFERROR(VLOOKUP(A138,'Datos x Cja LK'!A:A,1,),"Falta en Consumo"))))</f>
        <v>Falta en Consumo</v>
      </c>
      <c r="G138">
        <v>0</v>
      </c>
      <c r="H138">
        <f t="shared" si="2"/>
        <v>0</v>
      </c>
      <c r="J138" s="244"/>
      <c r="K138" s="293"/>
    </row>
    <row r="139" spans="1:11" x14ac:dyDescent="0.3">
      <c r="A139" s="114">
        <v>233</v>
      </c>
      <c r="B139" s="179" t="s">
        <v>892</v>
      </c>
      <c r="C139" s="126">
        <v>0</v>
      </c>
      <c r="E139" t="str">
        <f>+IF(A139="","",IF(OR(RIGHT(A139,1)="E",RIGHT(A139,1)="H"),"",IF(IFERROR(VLOOKUP(A139,'Datos x Cja LK'!A:A,1,),"Falta en Consumo")=A139,"Ok",IFERROR(VLOOKUP(A139,'Datos x Cja LK'!A:A,1,),"Falta en Consumo"))))</f>
        <v>Falta en Consumo</v>
      </c>
      <c r="G139">
        <v>0</v>
      </c>
      <c r="H139">
        <f t="shared" si="2"/>
        <v>0</v>
      </c>
      <c r="J139" s="244"/>
      <c r="K139" s="293"/>
    </row>
    <row r="140" spans="1:11" x14ac:dyDescent="0.3">
      <c r="A140" s="53" t="s">
        <v>178</v>
      </c>
      <c r="B140" s="179" t="s">
        <v>179</v>
      </c>
      <c r="C140" s="126">
        <v>0</v>
      </c>
      <c r="E140" t="str">
        <f>+IF(A140="","",IF(OR(RIGHT(A140,1)="E",RIGHT(A140,1)="H"),"",IF(IFERROR(VLOOKUP(A140,'Datos x Cja LK'!A:A,1,),"Falta en Consumo")=A140,"Ok",IFERROR(VLOOKUP(A140,'Datos x Cja LK'!A:A,1,),"Falta en Consumo"))))</f>
        <v/>
      </c>
      <c r="G140">
        <v>0</v>
      </c>
      <c r="H140">
        <f t="shared" si="2"/>
        <v>0</v>
      </c>
      <c r="J140" s="244"/>
      <c r="K140" s="293"/>
    </row>
    <row r="141" spans="1:11" x14ac:dyDescent="0.3">
      <c r="A141" s="114" t="s">
        <v>223</v>
      </c>
      <c r="B141" s="179" t="s">
        <v>224</v>
      </c>
      <c r="C141" s="123">
        <v>600</v>
      </c>
      <c r="E141" t="str">
        <f>+IF(A141="","",IF(OR(RIGHT(A141,1)="E",RIGHT(A141,1)="H"),"",IF(IFERROR(VLOOKUP(A141,'Datos x Cja LK'!A:A,1,),"Falta en Consumo")=A141,"Ok",IFERROR(VLOOKUP(A141,'Datos x Cja LK'!A:A,1,),"Falta en Consumo"))))</f>
        <v/>
      </c>
      <c r="G141">
        <v>0</v>
      </c>
      <c r="H141">
        <f t="shared" si="2"/>
        <v>600</v>
      </c>
      <c r="J141" s="244"/>
      <c r="K141" s="293"/>
    </row>
    <row r="142" spans="1:11" x14ac:dyDescent="0.3">
      <c r="A142" s="53" t="s">
        <v>180</v>
      </c>
      <c r="B142" s="179" t="s">
        <v>181</v>
      </c>
      <c r="C142" s="124">
        <v>912</v>
      </c>
      <c r="E142" t="str">
        <f>+IF(A142="","",IF(OR(RIGHT(A142,1)="E",RIGHT(A142,1)="H"),"",IF(IFERROR(VLOOKUP(A142,'Datos x Cja LK'!A:A,1,),"Falta en Consumo")=A142,"Ok",IFERROR(VLOOKUP(A142,'Datos x Cja LK'!A:A,1,),"Falta en Consumo"))))</f>
        <v/>
      </c>
      <c r="G142">
        <v>0</v>
      </c>
      <c r="H142">
        <f t="shared" si="2"/>
        <v>912</v>
      </c>
      <c r="J142" s="244"/>
      <c r="K142" s="293"/>
    </row>
    <row r="143" spans="1:11" x14ac:dyDescent="0.3">
      <c r="A143" s="114">
        <v>231</v>
      </c>
      <c r="B143" s="179" t="s">
        <v>893</v>
      </c>
      <c r="C143" s="129">
        <v>0</v>
      </c>
      <c r="E143" t="str">
        <f>+IF(A143="","",IF(OR(RIGHT(A143,1)="E",RIGHT(A143,1)="H"),"",IF(IFERROR(VLOOKUP(A143,'Datos x Cja LK'!A:A,1,),"Falta en Consumo")=A143,"Ok",IFERROR(VLOOKUP(A143,'Datos x Cja LK'!A:A,1,),"Falta en Consumo"))))</f>
        <v>Falta en Consumo</v>
      </c>
      <c r="G143">
        <v>0</v>
      </c>
      <c r="H143">
        <f t="shared" si="2"/>
        <v>0</v>
      </c>
      <c r="J143" s="244"/>
      <c r="K143" s="293"/>
    </row>
    <row r="144" spans="1:11" ht="24" thickBot="1" x14ac:dyDescent="0.35">
      <c r="A144" s="114">
        <v>322</v>
      </c>
      <c r="B144" s="179" t="s">
        <v>894</v>
      </c>
      <c r="C144" s="189">
        <v>0</v>
      </c>
      <c r="E144" t="str">
        <f>+IF(A144="","",IF(OR(RIGHT(A144,1)="E",RIGHT(A144,1)="H"),"",IF(IFERROR(VLOOKUP(A144,'Datos x Cja LK'!A:A,1,),"Falta en Consumo")=A144,"Ok",IFERROR(VLOOKUP(A144,'Datos x Cja LK'!A:A,1,),"Falta en Consumo"))))</f>
        <v>Ok</v>
      </c>
      <c r="G144">
        <v>0</v>
      </c>
      <c r="H144">
        <f t="shared" si="2"/>
        <v>0</v>
      </c>
      <c r="J144" s="244"/>
      <c r="K144" s="293"/>
    </row>
    <row r="145" spans="1:11" x14ac:dyDescent="0.3">
      <c r="A145" s="114">
        <v>517</v>
      </c>
      <c r="B145" s="179" t="s">
        <v>895</v>
      </c>
      <c r="C145" s="190">
        <v>0</v>
      </c>
      <c r="E145" t="str">
        <f>+IF(A145="","",IF(OR(RIGHT(A145,1)="E",RIGHT(A145,1)="H"),"",IF(IFERROR(VLOOKUP(A145,'Datos x Cja LK'!A:A,1,),"Falta en Consumo")=A145,"Ok",IFERROR(VLOOKUP(A145,'Datos x Cja LK'!A:A,1,),"Falta en Consumo"))))</f>
        <v>Ok</v>
      </c>
      <c r="G145">
        <v>0</v>
      </c>
      <c r="H145">
        <f t="shared" si="2"/>
        <v>0</v>
      </c>
      <c r="J145" s="244"/>
      <c r="K145" s="293"/>
    </row>
    <row r="146" spans="1:11" x14ac:dyDescent="0.3">
      <c r="A146" s="166" t="s">
        <v>877</v>
      </c>
      <c r="B146" s="179" t="s">
        <v>123</v>
      </c>
      <c r="C146" s="130">
        <v>0</v>
      </c>
      <c r="E146" t="str">
        <f>+IF(A146="","",IF(OR(RIGHT(A146,1)="E",RIGHT(A146,1)="H"),"",IF(IFERROR(VLOOKUP(A146,'Datos x Cja LK'!A:A,1,),"Falta en Consumo")=A146,"Ok",IFERROR(VLOOKUP(A146,'Datos x Cja LK'!A:A,1,),"Falta en Consumo"))))</f>
        <v>Falta en Consumo</v>
      </c>
      <c r="G146">
        <v>0</v>
      </c>
      <c r="H146">
        <f t="shared" si="2"/>
        <v>0</v>
      </c>
      <c r="J146" s="244"/>
      <c r="K146" s="293"/>
    </row>
    <row r="147" spans="1:11" x14ac:dyDescent="0.3">
      <c r="A147" s="114">
        <v>592</v>
      </c>
      <c r="B147" s="179" t="s">
        <v>141</v>
      </c>
      <c r="C147" s="126">
        <v>0</v>
      </c>
      <c r="E147" t="str">
        <f>+IF(A147="","",IF(OR(RIGHT(A147,1)="E",RIGHT(A147,1)="H"),"",IF(IFERROR(VLOOKUP(A147,'Datos x Cja LK'!A:A,1,),"Falta en Consumo")=A147,"Ok",IFERROR(VLOOKUP(A147,'Datos x Cja LK'!A:A,1,),"Falta en Consumo"))))</f>
        <v>Ok</v>
      </c>
      <c r="G147">
        <v>0</v>
      </c>
      <c r="H147">
        <f t="shared" si="2"/>
        <v>0</v>
      </c>
      <c r="J147" s="244"/>
      <c r="K147" s="293"/>
    </row>
    <row r="148" spans="1:11" x14ac:dyDescent="0.3">
      <c r="A148" s="114">
        <v>593</v>
      </c>
      <c r="B148" s="179" t="s">
        <v>142</v>
      </c>
      <c r="C148" s="126">
        <v>0</v>
      </c>
      <c r="E148" t="str">
        <f>+IF(A148="","",IF(OR(RIGHT(A148,1)="E",RIGHT(A148,1)="H"),"",IF(IFERROR(VLOOKUP(A148,'Datos x Cja LK'!A:A,1,),"Falta en Consumo")=A148,"Ok",IFERROR(VLOOKUP(A148,'Datos x Cja LK'!A:A,1,),"Falta en Consumo"))))</f>
        <v>Ok</v>
      </c>
      <c r="G148">
        <v>0</v>
      </c>
      <c r="H148">
        <f t="shared" si="2"/>
        <v>0</v>
      </c>
      <c r="J148" s="244"/>
      <c r="K148" s="293"/>
    </row>
    <row r="149" spans="1:11" x14ac:dyDescent="0.3">
      <c r="A149" s="114">
        <v>655</v>
      </c>
      <c r="B149" s="179" t="s">
        <v>147</v>
      </c>
      <c r="C149" s="126">
        <v>0</v>
      </c>
      <c r="E149" t="str">
        <f>+IF(A149="","",IF(OR(RIGHT(A149,1)="E",RIGHT(A149,1)="H"),"",IF(IFERROR(VLOOKUP(A149,'Datos x Cja LK'!A:A,1,),"Falta en Consumo")=A149,"Ok",IFERROR(VLOOKUP(A149,'Datos x Cja LK'!A:A,1,),"Falta en Consumo"))))</f>
        <v>Ok</v>
      </c>
      <c r="G149">
        <v>0</v>
      </c>
      <c r="H149">
        <f t="shared" si="2"/>
        <v>0</v>
      </c>
      <c r="J149" s="244"/>
      <c r="K149" s="293"/>
    </row>
    <row r="150" spans="1:11" x14ac:dyDescent="0.3">
      <c r="A150" s="114" t="s">
        <v>233</v>
      </c>
      <c r="B150" s="179" t="s">
        <v>234</v>
      </c>
      <c r="C150" s="123">
        <v>420</v>
      </c>
      <c r="E150" t="str">
        <f>+IF(A150="","",IF(OR(RIGHT(A150,1)="E",RIGHT(A150,1)="H"),"",IF(IFERROR(VLOOKUP(A150,'Datos x Cja LK'!A:A,1,),"Falta en Consumo")=A150,"Ok",IFERROR(VLOOKUP(A150,'Datos x Cja LK'!A:A,1,),"Falta en Consumo"))))</f>
        <v/>
      </c>
      <c r="G150">
        <v>0</v>
      </c>
      <c r="H150">
        <f t="shared" si="2"/>
        <v>420</v>
      </c>
      <c r="J150" s="244"/>
      <c r="K150" s="293"/>
    </row>
    <row r="151" spans="1:11" x14ac:dyDescent="0.3">
      <c r="A151" s="114">
        <v>326</v>
      </c>
      <c r="B151" s="179" t="s">
        <v>61</v>
      </c>
      <c r="C151" s="126">
        <v>144</v>
      </c>
      <c r="E151" t="str">
        <f>+IF(A151="","",IF(OR(RIGHT(A151,1)="E",RIGHT(A151,1)="H"),"",IF(IFERROR(VLOOKUP(A151,'Datos x Cja LK'!A:A,1,),"Falta en Consumo")=A151,"Ok",IFERROR(VLOOKUP(A151,'Datos x Cja LK'!A:A,1,),"Falta en Consumo"))))</f>
        <v>Ok</v>
      </c>
      <c r="G151">
        <v>0</v>
      </c>
      <c r="H151">
        <f t="shared" si="2"/>
        <v>144</v>
      </c>
      <c r="J151" s="244"/>
      <c r="K151" s="293"/>
    </row>
    <row r="152" spans="1:11" x14ac:dyDescent="0.3">
      <c r="A152" s="53">
        <v>571</v>
      </c>
      <c r="B152" s="179" t="s">
        <v>132</v>
      </c>
      <c r="C152" s="126">
        <v>0</v>
      </c>
      <c r="E152" t="str">
        <f>+IF(A152="","",IF(OR(RIGHT(A152,1)="E",RIGHT(A152,1)="H"),"",IF(IFERROR(VLOOKUP(A152,'Datos x Cja LK'!A:A,1,),"Falta en Consumo")=A152,"Ok",IFERROR(VLOOKUP(A152,'Datos x Cja LK'!A:A,1,),"Falta en Consumo"))))</f>
        <v>Falta en Consumo</v>
      </c>
      <c r="G152">
        <v>0</v>
      </c>
      <c r="H152">
        <f t="shared" si="2"/>
        <v>0</v>
      </c>
      <c r="J152" s="244"/>
      <c r="K152" s="293"/>
    </row>
    <row r="153" spans="1:11" x14ac:dyDescent="0.3">
      <c r="A153" s="114" t="s">
        <v>164</v>
      </c>
      <c r="B153" s="179" t="s">
        <v>165</v>
      </c>
      <c r="C153" s="126">
        <v>0</v>
      </c>
      <c r="E153" t="str">
        <f>+IF(A153="","",IF(OR(RIGHT(A153,1)="E",RIGHT(A153,1)="H"),"",IF(IFERROR(VLOOKUP(A153,'Datos x Cja LK'!A:A,1,),"Falta en Consumo")=A153,"Ok",IFERROR(VLOOKUP(A153,'Datos x Cja LK'!A:A,1,),"Falta en Consumo"))))</f>
        <v/>
      </c>
      <c r="G153">
        <v>0</v>
      </c>
      <c r="H153">
        <f t="shared" si="2"/>
        <v>0</v>
      </c>
      <c r="J153" s="244"/>
      <c r="K153" s="293"/>
    </row>
    <row r="154" spans="1:11" x14ac:dyDescent="0.3">
      <c r="A154" s="114" t="s">
        <v>98</v>
      </c>
      <c r="B154" s="179" t="s">
        <v>896</v>
      </c>
      <c r="C154" s="126">
        <v>0</v>
      </c>
      <c r="E154" t="str">
        <f>+IF(A154="","",IF(OR(RIGHT(A154,1)="E",RIGHT(A154,1)="H"),"",IF(IFERROR(VLOOKUP(A154,'Datos x Cja LK'!A:A,1,),"Falta en Consumo")=A154,"Ok",IFERROR(VLOOKUP(A154,'Datos x Cja LK'!A:A,1,),"Falta en Consumo"))))</f>
        <v>Falta en Consumo</v>
      </c>
      <c r="G154">
        <v>0</v>
      </c>
      <c r="H154">
        <f t="shared" si="2"/>
        <v>0</v>
      </c>
      <c r="J154" s="244"/>
      <c r="K154" s="293"/>
    </row>
    <row r="155" spans="1:11" x14ac:dyDescent="0.3">
      <c r="A155" s="114">
        <v>324</v>
      </c>
      <c r="B155" s="179" t="s">
        <v>897</v>
      </c>
      <c r="C155" s="126">
        <v>0</v>
      </c>
      <c r="E155" t="str">
        <f>+IF(A155="","",IF(OR(RIGHT(A155,1)="E",RIGHT(A155,1)="H"),"",IF(IFERROR(VLOOKUP(A155,'Datos x Cja LK'!A:A,1,),"Falta en Consumo")=A155,"Ok",IFERROR(VLOOKUP(A155,'Datos x Cja LK'!A:A,1,),"Falta en Consumo"))))</f>
        <v>Ok</v>
      </c>
      <c r="G155">
        <v>0</v>
      </c>
      <c r="H155">
        <f t="shared" si="2"/>
        <v>0</v>
      </c>
      <c r="J155" s="244"/>
      <c r="K155" s="293"/>
    </row>
    <row r="156" spans="1:11" x14ac:dyDescent="0.3">
      <c r="A156" s="114">
        <v>524</v>
      </c>
      <c r="B156" s="179" t="s">
        <v>898</v>
      </c>
      <c r="C156" s="126">
        <v>24</v>
      </c>
      <c r="E156" t="str">
        <f>+IF(A156="","",IF(OR(RIGHT(A156,1)="E",RIGHT(A156,1)="H"),"",IF(IFERROR(VLOOKUP(A156,'Datos x Cja LK'!A:A,1,),"Falta en Consumo")=A156,"Ok",IFERROR(VLOOKUP(A156,'Datos x Cja LK'!A:A,1,),"Falta en Consumo"))))</f>
        <v>Ok</v>
      </c>
      <c r="G156">
        <v>0</v>
      </c>
      <c r="H156">
        <f t="shared" si="2"/>
        <v>24</v>
      </c>
      <c r="J156" s="244"/>
      <c r="K156" s="293"/>
    </row>
    <row r="157" spans="1:11" x14ac:dyDescent="0.3">
      <c r="A157" s="167">
        <v>556</v>
      </c>
      <c r="B157" s="179" t="s">
        <v>121</v>
      </c>
      <c r="C157" s="126">
        <v>24</v>
      </c>
      <c r="E157" t="str">
        <f>+IF(A157="","",IF(OR(RIGHT(A157,1)="E",RIGHT(A157,1)="H"),"",IF(IFERROR(VLOOKUP(A157,'Datos x Cja LK'!A:A,1,),"Falta en Consumo")=A157,"Ok",IFERROR(VLOOKUP(A157,'Datos x Cja LK'!A:A,1,),"Falta en Consumo"))))</f>
        <v>Falta en Consumo</v>
      </c>
      <c r="G157">
        <v>0</v>
      </c>
      <c r="H157">
        <f t="shared" si="2"/>
        <v>24</v>
      </c>
      <c r="J157" s="244"/>
      <c r="K157" s="293"/>
    </row>
    <row r="158" spans="1:11" x14ac:dyDescent="0.3">
      <c r="A158" s="173" t="s">
        <v>192</v>
      </c>
      <c r="B158" s="179" t="s">
        <v>193</v>
      </c>
      <c r="C158" s="123">
        <v>0</v>
      </c>
      <c r="E158" t="str">
        <f>+IF(A158="","",IF(OR(RIGHT(A158,1)="E",RIGHT(A158,1)="H"),"",IF(IFERROR(VLOOKUP(A158,'Datos x Cja LK'!A:A,1,),"Falta en Consumo")=A158,"Ok",IFERROR(VLOOKUP(A158,'Datos x Cja LK'!A:A,1,),"Falta en Consumo"))))</f>
        <v>Falta en Consumo</v>
      </c>
      <c r="G158">
        <v>0</v>
      </c>
      <c r="H158">
        <f t="shared" si="2"/>
        <v>0</v>
      </c>
      <c r="J158" s="244"/>
      <c r="K158" s="293"/>
    </row>
    <row r="159" spans="1:11" x14ac:dyDescent="0.3">
      <c r="A159" s="53" t="s">
        <v>166</v>
      </c>
      <c r="B159" s="179" t="s">
        <v>167</v>
      </c>
      <c r="C159" s="126">
        <v>48</v>
      </c>
      <c r="E159" t="str">
        <f>+IF(A159="","",IF(OR(RIGHT(A159,1)="E",RIGHT(A159,1)="H"),"",IF(IFERROR(VLOOKUP(A159,'Datos x Cja LK'!A:A,1,),"Falta en Consumo")=A159,"Ok",IFERROR(VLOOKUP(A159,'Datos x Cja LK'!A:A,1,),"Falta en Consumo"))))</f>
        <v/>
      </c>
      <c r="G159">
        <v>0</v>
      </c>
      <c r="H159">
        <f t="shared" si="2"/>
        <v>48</v>
      </c>
      <c r="J159" s="244"/>
      <c r="K159" s="293"/>
    </row>
    <row r="160" spans="1:11" x14ac:dyDescent="0.3">
      <c r="A160" s="173" t="s">
        <v>196</v>
      </c>
      <c r="B160" s="179" t="s">
        <v>197</v>
      </c>
      <c r="C160" s="123">
        <v>0</v>
      </c>
      <c r="E160" t="str">
        <f>+IF(A160="","",IF(OR(RIGHT(A160,1)="E",RIGHT(A160,1)="H"),"",IF(IFERROR(VLOOKUP(A160,'Datos x Cja LK'!A:A,1,),"Falta en Consumo")=A160,"Ok",IFERROR(VLOOKUP(A160,'Datos x Cja LK'!A:A,1,),"Falta en Consumo"))))</f>
        <v>Falta en Consumo</v>
      </c>
      <c r="G160">
        <v>0</v>
      </c>
      <c r="H160">
        <f t="shared" si="2"/>
        <v>0</v>
      </c>
      <c r="J160" s="244"/>
      <c r="K160" s="293"/>
    </row>
    <row r="161" spans="1:11" x14ac:dyDescent="0.3">
      <c r="A161" s="53" t="s">
        <v>174</v>
      </c>
      <c r="B161" s="179" t="s">
        <v>175</v>
      </c>
      <c r="C161" s="126">
        <v>0</v>
      </c>
      <c r="E161" t="str">
        <f>+IF(A161="","",IF(OR(RIGHT(A161,1)="E",RIGHT(A161,1)="H"),"",IF(IFERROR(VLOOKUP(A161,'Datos x Cja LK'!A:A,1,),"Falta en Consumo")=A161,"Ok",IFERROR(VLOOKUP(A161,'Datos x Cja LK'!A:A,1,),"Falta en Consumo"))))</f>
        <v/>
      </c>
      <c r="G161">
        <v>0</v>
      </c>
      <c r="H161">
        <f t="shared" si="2"/>
        <v>0</v>
      </c>
      <c r="J161" s="244"/>
      <c r="K161" s="293"/>
    </row>
    <row r="162" spans="1:11" x14ac:dyDescent="0.3">
      <c r="A162" s="173" t="s">
        <v>199</v>
      </c>
      <c r="B162" s="179" t="s">
        <v>200</v>
      </c>
      <c r="C162" s="123">
        <v>0</v>
      </c>
      <c r="E162" t="str">
        <f>+IF(A162="","",IF(OR(RIGHT(A162,1)="E",RIGHT(A162,1)="H"),"",IF(IFERROR(VLOOKUP(A162,'Datos x Cja LK'!A:A,1,),"Falta en Consumo")=A162,"Ok",IFERROR(VLOOKUP(A162,'Datos x Cja LK'!A:A,1,),"Falta en Consumo"))))</f>
        <v>Falta en Consumo</v>
      </c>
      <c r="G162">
        <v>0</v>
      </c>
      <c r="H162">
        <f t="shared" si="2"/>
        <v>0</v>
      </c>
      <c r="J162" s="244"/>
      <c r="K162" s="293"/>
    </row>
    <row r="163" spans="1:11" x14ac:dyDescent="0.3">
      <c r="A163" s="114">
        <v>247</v>
      </c>
      <c r="B163" s="179" t="s">
        <v>899</v>
      </c>
      <c r="C163" s="126">
        <v>0</v>
      </c>
      <c r="E163" t="str">
        <f>+IF(A163="","",IF(OR(RIGHT(A163,1)="E",RIGHT(A163,1)="H"),"",IF(IFERROR(VLOOKUP(A163,'Datos x Cja LK'!A:A,1,),"Falta en Consumo")=A163,"Ok",IFERROR(VLOOKUP(A163,'Datos x Cja LK'!A:A,1,),"Falta en Consumo"))))</f>
        <v>Ok</v>
      </c>
      <c r="G163">
        <v>0</v>
      </c>
      <c r="H163">
        <f t="shared" si="2"/>
        <v>0</v>
      </c>
      <c r="J163" s="244"/>
      <c r="K163" s="293"/>
    </row>
    <row r="164" spans="1:11" x14ac:dyDescent="0.3">
      <c r="A164" s="173" t="s">
        <v>211</v>
      </c>
      <c r="B164" s="179" t="s">
        <v>212</v>
      </c>
      <c r="C164" s="123">
        <v>0</v>
      </c>
      <c r="E164" t="str">
        <f>+IF(A164="","",IF(OR(RIGHT(A164,1)="E",RIGHT(A164,1)="H"),"",IF(IFERROR(VLOOKUP(A164,'Datos x Cja LK'!A:A,1,),"Falta en Consumo")=A164,"Ok",IFERROR(VLOOKUP(A164,'Datos x Cja LK'!A:A,1,),"Falta en Consumo"))))</f>
        <v>Falta en Consumo</v>
      </c>
      <c r="G164">
        <v>0</v>
      </c>
      <c r="H164">
        <f t="shared" si="2"/>
        <v>0</v>
      </c>
      <c r="J164" s="244"/>
      <c r="K164" s="293"/>
    </row>
    <row r="165" spans="1:11" x14ac:dyDescent="0.3">
      <c r="A165" s="173" t="s">
        <v>215</v>
      </c>
      <c r="B165" s="179" t="s">
        <v>216</v>
      </c>
      <c r="C165" s="123">
        <v>0</v>
      </c>
      <c r="E165" t="str">
        <f>+IF(A165="","",IF(OR(RIGHT(A165,1)="E",RIGHT(A165,1)="H"),"",IF(IFERROR(VLOOKUP(A165,'Datos x Cja LK'!A:A,1,),"Falta en Consumo")=A165,"Ok",IFERROR(VLOOKUP(A165,'Datos x Cja LK'!A:A,1,),"Falta en Consumo"))))</f>
        <v>Falta en Consumo</v>
      </c>
      <c r="G165">
        <v>0</v>
      </c>
      <c r="H165">
        <f t="shared" si="2"/>
        <v>0</v>
      </c>
      <c r="J165" s="244"/>
      <c r="K165" s="293"/>
    </row>
    <row r="166" spans="1:11" x14ac:dyDescent="0.3">
      <c r="A166" s="166" t="s">
        <v>172</v>
      </c>
      <c r="B166" s="179" t="s">
        <v>173</v>
      </c>
      <c r="C166" s="126">
        <v>480</v>
      </c>
      <c r="E166" t="str">
        <f>+IF(A166="","",IF(OR(RIGHT(A166,1)="E",RIGHT(A166,1)="H"),"",IF(IFERROR(VLOOKUP(A166,'Datos x Cja LK'!A:A,1,),"Falta en Consumo")=A166,"Ok",IFERROR(VLOOKUP(A166,'Datos x Cja LK'!A:A,1,),"Falta en Consumo"))))</f>
        <v/>
      </c>
      <c r="G166">
        <v>0</v>
      </c>
      <c r="H166">
        <f t="shared" si="2"/>
        <v>480</v>
      </c>
      <c r="J166" s="244"/>
      <c r="K166" s="293"/>
    </row>
    <row r="167" spans="1:11" x14ac:dyDescent="0.3">
      <c r="A167" s="53" t="s">
        <v>184</v>
      </c>
      <c r="B167" s="179" t="s">
        <v>185</v>
      </c>
      <c r="C167" s="131">
        <v>120</v>
      </c>
      <c r="E167" t="str">
        <f>+IF(A167="","",IF(OR(RIGHT(A167,1)="E",RIGHT(A167,1)="H"),"",IF(IFERROR(VLOOKUP(A167,'Datos x Cja LK'!A:A,1,),"Falta en Consumo")=A167,"Ok",IFERROR(VLOOKUP(A167,'Datos x Cja LK'!A:A,1,),"Falta en Consumo"))))</f>
        <v/>
      </c>
      <c r="G167">
        <v>0</v>
      </c>
      <c r="H167">
        <f t="shared" si="2"/>
        <v>120</v>
      </c>
      <c r="J167" s="244"/>
      <c r="K167" s="293"/>
    </row>
    <row r="168" spans="1:11" x14ac:dyDescent="0.3">
      <c r="A168" s="53" t="s">
        <v>186</v>
      </c>
      <c r="B168" s="179" t="s">
        <v>187</v>
      </c>
      <c r="C168" s="129">
        <v>120</v>
      </c>
      <c r="E168" t="str">
        <f>+IF(A168="","",IF(OR(RIGHT(A168,1)="E",RIGHT(A168,1)="H"),"",IF(IFERROR(VLOOKUP(A168,'Datos x Cja LK'!A:A,1,),"Falta en Consumo")=A168,"Ok",IFERROR(VLOOKUP(A168,'Datos x Cja LK'!A:A,1,),"Falta en Consumo"))))</f>
        <v/>
      </c>
      <c r="G168">
        <v>0</v>
      </c>
      <c r="H168">
        <f t="shared" si="2"/>
        <v>120</v>
      </c>
      <c r="J168" s="244"/>
      <c r="K168" s="293"/>
    </row>
    <row r="169" spans="1:11" x14ac:dyDescent="0.3">
      <c r="A169" s="167" t="s">
        <v>168</v>
      </c>
      <c r="B169" s="179" t="s">
        <v>169</v>
      </c>
      <c r="C169" s="126">
        <v>120</v>
      </c>
      <c r="E169" t="str">
        <f>+IF(A169="","",IF(OR(RIGHT(A169,1)="E",RIGHT(A169,1)="H"),"",IF(IFERROR(VLOOKUP(A169,'Datos x Cja LK'!A:A,1,),"Falta en Consumo")=A169,"Ok",IFERROR(VLOOKUP(A169,'Datos x Cja LK'!A:A,1,),"Falta en Consumo"))))</f>
        <v/>
      </c>
      <c r="G169">
        <v>0</v>
      </c>
      <c r="H169">
        <f t="shared" si="2"/>
        <v>120</v>
      </c>
      <c r="J169" s="244"/>
      <c r="K169" s="293"/>
    </row>
    <row r="170" spans="1:11" x14ac:dyDescent="0.3">
      <c r="A170" s="103">
        <v>526</v>
      </c>
      <c r="B170" s="179" t="s">
        <v>900</v>
      </c>
      <c r="C170" s="124">
        <v>0</v>
      </c>
      <c r="E170" t="str">
        <f>+IF(A170="","",IF(OR(RIGHT(A170,1)="E",RIGHT(A170,1)="H"),"",IF(IFERROR(VLOOKUP(A170,'Datos x Cja LK'!A:A,1,),"Falta en Consumo")=A170,"Ok",IFERROR(VLOOKUP(A170,'Datos x Cja LK'!A:A,1,),"Falta en Consumo"))))</f>
        <v>Ok</v>
      </c>
      <c r="G170">
        <v>0</v>
      </c>
      <c r="H170">
        <f t="shared" si="2"/>
        <v>0</v>
      </c>
      <c r="J170" s="244"/>
      <c r="K170" s="293"/>
    </row>
    <row r="171" spans="1:11" x14ac:dyDescent="0.3">
      <c r="A171" s="114">
        <v>552</v>
      </c>
      <c r="B171" s="179" t="s">
        <v>117</v>
      </c>
      <c r="C171" s="131">
        <v>0</v>
      </c>
      <c r="E171" t="str">
        <f>+IF(A171="","",IF(OR(RIGHT(A171,1)="E",RIGHT(A171,1)="H"),"",IF(IFERROR(VLOOKUP(A171,'Datos x Cja LK'!A:A,1,),"Falta en Consumo")=A171,"Ok",IFERROR(VLOOKUP(A171,'Datos x Cja LK'!A:A,1,),"Falta en Consumo"))))</f>
        <v>Ok</v>
      </c>
      <c r="G171">
        <v>0</v>
      </c>
      <c r="H171">
        <f t="shared" si="2"/>
        <v>0</v>
      </c>
      <c r="J171" s="244"/>
      <c r="K171" s="293"/>
    </row>
    <row r="172" spans="1:11" x14ac:dyDescent="0.3">
      <c r="A172" s="53">
        <v>658</v>
      </c>
      <c r="B172" s="179" t="s">
        <v>149</v>
      </c>
      <c r="C172" s="126">
        <v>0</v>
      </c>
      <c r="E172" t="str">
        <f>+IF(A172="","",IF(OR(RIGHT(A172,1)="E",RIGHT(A172,1)="H"),"",IF(IFERROR(VLOOKUP(A172,'Datos x Cja LK'!A:A,1,),"Falta en Consumo")=A172,"Ok",IFERROR(VLOOKUP(A172,'Datos x Cja LK'!A:A,1,),"Falta en Consumo"))))</f>
        <v>Ok</v>
      </c>
      <c r="G172">
        <v>0</v>
      </c>
      <c r="H172">
        <f t="shared" si="2"/>
        <v>0</v>
      </c>
      <c r="J172" s="244"/>
      <c r="K172" s="293"/>
    </row>
    <row r="173" spans="1:11" x14ac:dyDescent="0.3">
      <c r="A173" s="53">
        <v>659</v>
      </c>
      <c r="B173" s="179" t="s">
        <v>150</v>
      </c>
      <c r="C173" s="126">
        <v>0</v>
      </c>
      <c r="E173" t="str">
        <f>+IF(A173="","",IF(OR(RIGHT(A173,1)="E",RIGHT(A173,1)="H"),"",IF(IFERROR(VLOOKUP(A173,'Datos x Cja LK'!A:A,1,),"Falta en Consumo")=A173,"Ok",IFERROR(VLOOKUP(A173,'Datos x Cja LK'!A:A,1,),"Falta en Consumo"))))</f>
        <v>Ok</v>
      </c>
      <c r="G173">
        <v>0</v>
      </c>
      <c r="H173">
        <f t="shared" si="2"/>
        <v>0</v>
      </c>
      <c r="J173" s="244"/>
      <c r="K173" s="293"/>
    </row>
    <row r="174" spans="1:11" x14ac:dyDescent="0.3">
      <c r="A174" s="169" t="s">
        <v>190</v>
      </c>
      <c r="B174" s="179" t="s">
        <v>191</v>
      </c>
      <c r="C174" s="132">
        <v>0</v>
      </c>
      <c r="E174" t="str">
        <f>+IF(A174="","",IF(OR(RIGHT(A174,1)="E",RIGHT(A174,1)="H"),"",IF(IFERROR(VLOOKUP(A174,'Datos x Cja LK'!A:A,1,),"Falta en Consumo")=A174,"Ok",IFERROR(VLOOKUP(A174,'Datos x Cja LK'!A:A,1,),"Falta en Consumo"))))</f>
        <v/>
      </c>
      <c r="G174">
        <v>0</v>
      </c>
      <c r="H174">
        <f t="shared" si="2"/>
        <v>0</v>
      </c>
      <c r="J174" s="244"/>
      <c r="K174" s="293"/>
    </row>
    <row r="175" spans="1:11" x14ac:dyDescent="0.3">
      <c r="A175" s="166" t="s">
        <v>878</v>
      </c>
      <c r="B175" s="179" t="s">
        <v>170</v>
      </c>
      <c r="C175" s="133">
        <v>336</v>
      </c>
      <c r="E175" t="str">
        <f>+IF(A175="","",IF(OR(RIGHT(A175,1)="E",RIGHT(A175,1)="H"),"",IF(IFERROR(VLOOKUP(A175,'Datos x Cja LK'!A:A,1,),"Falta en Consumo")=A175,"Ok",IFERROR(VLOOKUP(A175,'Datos x Cja LK'!A:A,1,),"Falta en Consumo"))))</f>
        <v/>
      </c>
      <c r="G175">
        <v>0</v>
      </c>
      <c r="H175">
        <f t="shared" si="2"/>
        <v>336</v>
      </c>
      <c r="J175" s="244"/>
      <c r="K175" s="293"/>
    </row>
    <row r="176" spans="1:11" x14ac:dyDescent="0.3">
      <c r="A176" s="53" t="s">
        <v>198</v>
      </c>
      <c r="B176" s="179" t="s">
        <v>92</v>
      </c>
      <c r="C176" s="124">
        <v>0</v>
      </c>
      <c r="E176" t="str">
        <f>+IF(A176="","",IF(OR(RIGHT(A176,1)="E",RIGHT(A176,1)="H"),"",IF(IFERROR(VLOOKUP(A176,'Datos x Cja LK'!A:A,1,),"Falta en Consumo")=A176,"Ok",IFERROR(VLOOKUP(A176,'Datos x Cja LK'!A:A,1,),"Falta en Consumo"))))</f>
        <v/>
      </c>
      <c r="G176">
        <v>0</v>
      </c>
      <c r="H176">
        <f t="shared" si="2"/>
        <v>0</v>
      </c>
      <c r="J176" s="244"/>
      <c r="K176" s="293"/>
    </row>
    <row r="177" spans="1:11" x14ac:dyDescent="0.3">
      <c r="A177" s="166" t="s">
        <v>879</v>
      </c>
      <c r="B177" s="179" t="s">
        <v>171</v>
      </c>
      <c r="C177" s="35">
        <v>0</v>
      </c>
      <c r="E177" t="str">
        <f>+IF(A177="","",IF(OR(RIGHT(A177,1)="E",RIGHT(A177,1)="H"),"",IF(IFERROR(VLOOKUP(A177,'Datos x Cja LK'!A:A,1,),"Falta en Consumo")=A177,"Ok",IFERROR(VLOOKUP(A177,'Datos x Cja LK'!A:A,1,),"Falta en Consumo"))))</f>
        <v/>
      </c>
      <c r="G177">
        <v>0</v>
      </c>
      <c r="H177">
        <f t="shared" si="2"/>
        <v>0</v>
      </c>
      <c r="J177" s="244"/>
      <c r="K177" s="293"/>
    </row>
    <row r="178" spans="1:11" x14ac:dyDescent="0.3">
      <c r="A178" s="169" t="s">
        <v>205</v>
      </c>
      <c r="B178" s="179" t="s">
        <v>206</v>
      </c>
      <c r="C178" s="123">
        <v>0</v>
      </c>
      <c r="E178" t="str">
        <f>+IF(A178="","",IF(OR(RIGHT(A178,1)="E",RIGHT(A178,1)="H"),"",IF(IFERROR(VLOOKUP(A178,'Datos x Cja LK'!A:A,1,),"Falta en Consumo")=A178,"Ok",IFERROR(VLOOKUP(A178,'Datos x Cja LK'!A:A,1,),"Falta en Consumo"))))</f>
        <v/>
      </c>
      <c r="G178">
        <v>0</v>
      </c>
      <c r="H178">
        <f t="shared" si="2"/>
        <v>0</v>
      </c>
      <c r="J178" s="244"/>
      <c r="K178" s="293"/>
    </row>
    <row r="179" spans="1:11" x14ac:dyDescent="0.3">
      <c r="A179" s="114">
        <v>25</v>
      </c>
      <c r="B179" s="179" t="s">
        <v>901</v>
      </c>
      <c r="C179" s="123">
        <v>0</v>
      </c>
      <c r="E179" t="str">
        <f>+IF(A179="","",IF(OR(RIGHT(A179,1)="E",RIGHT(A179,1)="H"),"",IF(IFERROR(VLOOKUP(A179,'Datos x Cja LK'!A:A,1,),"Falta en Consumo")=A179,"Ok",IFERROR(VLOOKUP(A179,'Datos x Cja LK'!A:A,1,),"Falta en Consumo"))))</f>
        <v>Falta en Consumo</v>
      </c>
      <c r="G179">
        <v>0</v>
      </c>
      <c r="H179">
        <f t="shared" si="2"/>
        <v>0</v>
      </c>
      <c r="J179" s="244"/>
      <c r="K179" s="293"/>
    </row>
    <row r="180" spans="1:11" x14ac:dyDescent="0.3">
      <c r="A180" s="114">
        <v>56</v>
      </c>
      <c r="B180" s="179" t="s">
        <v>902</v>
      </c>
      <c r="C180" s="123">
        <v>0</v>
      </c>
      <c r="E180" t="str">
        <f>+IF(A180="","",IF(OR(RIGHT(A180,1)="E",RIGHT(A180,1)="H"),"",IF(IFERROR(VLOOKUP(A180,'Datos x Cja LK'!A:A,1,),"Falta en Consumo")=A180,"Ok",IFERROR(VLOOKUP(A180,'Datos x Cja LK'!A:A,1,),"Falta en Consumo"))))</f>
        <v>Falta en Consumo</v>
      </c>
      <c r="G180">
        <v>0</v>
      </c>
      <c r="H180">
        <f t="shared" si="2"/>
        <v>0</v>
      </c>
      <c r="J180" s="244"/>
      <c r="K180" s="293"/>
    </row>
    <row r="181" spans="1:11" ht="18.75" x14ac:dyDescent="0.3">
      <c r="A181" s="171">
        <v>563</v>
      </c>
      <c r="B181" s="179" t="s">
        <v>127</v>
      </c>
      <c r="C181" s="128">
        <v>96</v>
      </c>
      <c r="E181" t="str">
        <f>+IF(A181="","",IF(OR(RIGHT(A181,1)="E",RIGHT(A181,1)="H"),"",IF(IFERROR(VLOOKUP(A181,'Datos x Cja LK'!A:A,1,),"Falta en Consumo")=A181,"Ok",IFERROR(VLOOKUP(A181,'Datos x Cja LK'!A:A,1,),"Falta en Consumo"))))</f>
        <v>Falta en Consumo</v>
      </c>
      <c r="G181">
        <v>0</v>
      </c>
      <c r="H181">
        <f t="shared" si="2"/>
        <v>96</v>
      </c>
      <c r="J181" s="244"/>
      <c r="K181" s="293"/>
    </row>
    <row r="182" spans="1:11" ht="21" x14ac:dyDescent="0.3">
      <c r="A182" s="171">
        <v>657</v>
      </c>
      <c r="B182" s="179" t="s">
        <v>148</v>
      </c>
      <c r="C182" s="134">
        <v>0</v>
      </c>
      <c r="E182" t="str">
        <f>+IF(A182="","",IF(OR(RIGHT(A182,1)="E",RIGHT(A182,1)="H"),"",IF(IFERROR(VLOOKUP(A182,'Datos x Cja LK'!A:A,1,),"Falta en Consumo")=A182,"Ok",IFERROR(VLOOKUP(A182,'Datos x Cja LK'!A:A,1,),"Falta en Consumo"))))</f>
        <v>Falta en Consumo</v>
      </c>
      <c r="G182">
        <v>0</v>
      </c>
      <c r="H182">
        <f t="shared" si="2"/>
        <v>0</v>
      </c>
      <c r="J182" s="244"/>
      <c r="K182" s="293"/>
    </row>
    <row r="183" spans="1:11" ht="18.75" x14ac:dyDescent="0.3">
      <c r="A183" s="171" t="s">
        <v>225</v>
      </c>
      <c r="B183" s="179" t="s">
        <v>226</v>
      </c>
      <c r="C183" s="128">
        <v>0</v>
      </c>
      <c r="E183" t="str">
        <f>+IF(A183="","",IF(OR(RIGHT(A183,1)="E",RIGHT(A183,1)="H"),"",IF(IFERROR(VLOOKUP(A183,'Datos x Cja LK'!A:A,1,),"Falta en Consumo")=A183,"Ok",IFERROR(VLOOKUP(A183,'Datos x Cja LK'!A:A,1,),"Falta en Consumo"))))</f>
        <v/>
      </c>
      <c r="G183">
        <v>0</v>
      </c>
      <c r="H183">
        <f t="shared" si="2"/>
        <v>0</v>
      </c>
      <c r="J183" s="244"/>
      <c r="K183" s="293"/>
    </row>
    <row r="184" spans="1:11" ht="18.75" x14ac:dyDescent="0.3">
      <c r="A184" s="171" t="s">
        <v>229</v>
      </c>
      <c r="B184" s="179" t="s">
        <v>230</v>
      </c>
      <c r="C184" s="128">
        <v>0</v>
      </c>
      <c r="E184" t="str">
        <f>+IF(A184="","",IF(OR(RIGHT(A184,1)="E",RIGHT(A184,1)="H"),"",IF(IFERROR(VLOOKUP(A184,'Datos x Cja LK'!A:A,1,),"Falta en Consumo")=A184,"Ok",IFERROR(VLOOKUP(A184,'Datos x Cja LK'!A:A,1,),"Falta en Consumo"))))</f>
        <v/>
      </c>
      <c r="G184">
        <v>0</v>
      </c>
      <c r="H184">
        <f t="shared" si="2"/>
        <v>0</v>
      </c>
      <c r="J184" s="244"/>
      <c r="K184" s="293"/>
    </row>
    <row r="185" spans="1:11" ht="18.75" x14ac:dyDescent="0.3">
      <c r="A185" s="171" t="s">
        <v>235</v>
      </c>
      <c r="B185" s="179" t="s">
        <v>236</v>
      </c>
      <c r="C185" s="128">
        <v>0</v>
      </c>
      <c r="E185" t="str">
        <f>+IF(A185="","",IF(OR(RIGHT(A185,1)="E",RIGHT(A185,1)="H"),"",IF(IFERROR(VLOOKUP(A185,'Datos x Cja LK'!A:A,1,),"Falta en Consumo")=A185,"Ok",IFERROR(VLOOKUP(A185,'Datos x Cja LK'!A:A,1,),"Falta en Consumo"))))</f>
        <v/>
      </c>
      <c r="G185">
        <v>0</v>
      </c>
      <c r="H185">
        <f t="shared" si="2"/>
        <v>0</v>
      </c>
      <c r="J185" s="244"/>
      <c r="K185" s="293"/>
    </row>
    <row r="186" spans="1:11" ht="21" x14ac:dyDescent="0.3">
      <c r="A186" s="114" t="s">
        <v>98</v>
      </c>
      <c r="B186" s="179" t="s">
        <v>204</v>
      </c>
      <c r="C186" s="128">
        <v>0</v>
      </c>
      <c r="E186" t="str">
        <f>+IF(A186="","",IF(OR(RIGHT(A186,1)="E",RIGHT(A186,1)="H"),"",IF(IFERROR(VLOOKUP(A186,'Datos x Cja LK'!A:A,1,),"Falta en Consumo")=A186,"Ok",IFERROR(VLOOKUP(A186,'Datos x Cja LK'!A:A,1,),"Falta en Consumo"))))</f>
        <v>Falta en Consumo</v>
      </c>
      <c r="G186">
        <v>0</v>
      </c>
      <c r="H186">
        <f t="shared" si="2"/>
        <v>0</v>
      </c>
      <c r="J186" s="244"/>
      <c r="K186" s="293"/>
    </row>
    <row r="187" spans="1:11" x14ac:dyDescent="0.3">
      <c r="A187" s="171" t="s">
        <v>152</v>
      </c>
      <c r="B187" s="179" t="s">
        <v>153</v>
      </c>
      <c r="C187" s="123">
        <v>0</v>
      </c>
      <c r="E187" t="str">
        <f>+IF(A187="","",IF(OR(RIGHT(A187,1)="E",RIGHT(A187,1)="H"),"",IF(IFERROR(VLOOKUP(A187,'Datos x Cja LK'!A:A,1,),"Falta en Consumo")=A187,"Ok",IFERROR(VLOOKUP(A187,'Datos x Cja LK'!A:A,1,),"Falta en Consumo"))))</f>
        <v/>
      </c>
      <c r="G187">
        <v>0</v>
      </c>
      <c r="H187">
        <f t="shared" si="2"/>
        <v>0</v>
      </c>
      <c r="J187" s="244"/>
      <c r="K187" s="293"/>
    </row>
    <row r="188" spans="1:11" x14ac:dyDescent="0.3">
      <c r="A188" s="169">
        <v>67</v>
      </c>
      <c r="B188" s="179" t="s">
        <v>903</v>
      </c>
      <c r="C188" s="135">
        <v>840</v>
      </c>
      <c r="E188" t="str">
        <f>+IF(A188="","",IF(OR(RIGHT(A188,1)="E",RIGHT(A188,1)="H"),"",IF(IFERROR(VLOOKUP(A188,'Datos x Cja LK'!A:A,1,),"Falta en Consumo")=A188,"Ok",IFERROR(VLOOKUP(A188,'Datos x Cja LK'!A:A,1,),"Falta en Consumo"))))</f>
        <v>Ok</v>
      </c>
      <c r="G188">
        <v>0</v>
      </c>
      <c r="H188">
        <f t="shared" si="2"/>
        <v>840</v>
      </c>
      <c r="J188" s="244"/>
      <c r="K188" s="293"/>
    </row>
    <row r="189" spans="1:11" x14ac:dyDescent="0.3">
      <c r="A189" s="174" t="s">
        <v>880</v>
      </c>
      <c r="B189" s="179"/>
      <c r="C189" s="130">
        <v>0</v>
      </c>
      <c r="E189" t="str">
        <f>+IF(A189="","",IF(OR(RIGHT(A189,1)="E",RIGHT(A189,1)="H"),"",IF(IFERROR(VLOOKUP(A189,'Datos x Cja LK'!A:A,1,),"Falta en Consumo")=A189,"Ok",IFERROR(VLOOKUP(A189,'Datos x Cja LK'!A:A,1,),"Falta en Consumo"))))</f>
        <v>Falta en Consumo</v>
      </c>
      <c r="G189">
        <v>0</v>
      </c>
      <c r="H189">
        <f t="shared" si="2"/>
        <v>0</v>
      </c>
      <c r="J189" s="244"/>
      <c r="K189" s="293"/>
    </row>
    <row r="190" spans="1:11" ht="21" x14ac:dyDescent="0.3">
      <c r="A190" s="174" t="s">
        <v>881</v>
      </c>
      <c r="B190" s="179"/>
      <c r="C190" s="136">
        <v>0</v>
      </c>
      <c r="E190" t="str">
        <f>+IF(A190="","",IF(OR(RIGHT(A190,1)="E",RIGHT(A190,1)="H"),"",IF(IFERROR(VLOOKUP(A190,'Datos x Cja LK'!A:A,1,),"Falta en Consumo")=A190,"Ok",IFERROR(VLOOKUP(A190,'Datos x Cja LK'!A:A,1,),"Falta en Consumo"))))</f>
        <v>Falta en Consumo</v>
      </c>
      <c r="G190">
        <v>0</v>
      </c>
      <c r="H190">
        <f t="shared" si="2"/>
        <v>0</v>
      </c>
      <c r="J190" s="244"/>
      <c r="K190" s="293"/>
    </row>
    <row r="191" spans="1:11" x14ac:dyDescent="0.3">
      <c r="A191" s="114">
        <v>241</v>
      </c>
      <c r="B191" s="179" t="s">
        <v>904</v>
      </c>
      <c r="C191" s="126">
        <v>0</v>
      </c>
      <c r="E191" t="str">
        <f>+IF(A191="","",IF(OR(RIGHT(A191,1)="E",RIGHT(A191,1)="H"),"",IF(IFERROR(VLOOKUP(A191,'Datos x Cja LK'!A:A,1,),"Falta en Consumo")=A191,"Ok",IFERROR(VLOOKUP(A191,'Datos x Cja LK'!A:A,1,),"Falta en Consumo"))))</f>
        <v>Falta en Consumo</v>
      </c>
      <c r="G191">
        <v>0</v>
      </c>
      <c r="H191">
        <f t="shared" si="2"/>
        <v>0</v>
      </c>
      <c r="J191" s="244"/>
      <c r="K191" s="293"/>
    </row>
    <row r="192" spans="1:11" x14ac:dyDescent="0.3">
      <c r="A192" s="114">
        <v>398</v>
      </c>
      <c r="B192" s="179" t="s">
        <v>905</v>
      </c>
      <c r="C192" s="126">
        <v>0</v>
      </c>
      <c r="E192" t="str">
        <f>+IF(A192="","",IF(OR(RIGHT(A192,1)="E",RIGHT(A192,1)="H"),"",IF(IFERROR(VLOOKUP(A192,'Datos x Cja LK'!A:A,1,),"Falta en Consumo")=A192,"Ok",IFERROR(VLOOKUP(A192,'Datos x Cja LK'!A:A,1,),"Falta en Consumo"))))</f>
        <v>Falta en Consumo</v>
      </c>
      <c r="G192">
        <v>0</v>
      </c>
      <c r="H192">
        <f t="shared" si="2"/>
        <v>0</v>
      </c>
      <c r="J192" s="244"/>
      <c r="K192" s="293"/>
    </row>
    <row r="193" spans="1:11" x14ac:dyDescent="0.3">
      <c r="A193" s="114">
        <v>399</v>
      </c>
      <c r="B193" s="179" t="s">
        <v>906</v>
      </c>
      <c r="C193" s="126">
        <v>0</v>
      </c>
      <c r="E193" t="str">
        <f>+IF(A193="","",IF(OR(RIGHT(A193,1)="E",RIGHT(A193,1)="H"),"",IF(IFERROR(VLOOKUP(A193,'Datos x Cja LK'!A:A,1,),"Falta en Consumo")=A193,"Ok",IFERROR(VLOOKUP(A193,'Datos x Cja LK'!A:A,1,),"Falta en Consumo"))))</f>
        <v>Falta en Consumo</v>
      </c>
      <c r="G193">
        <v>0</v>
      </c>
      <c r="H193">
        <f t="shared" si="2"/>
        <v>0</v>
      </c>
      <c r="J193" s="244"/>
      <c r="K193" s="293"/>
    </row>
    <row r="194" spans="1:11" x14ac:dyDescent="0.3">
      <c r="A194" s="114">
        <v>514</v>
      </c>
      <c r="B194" s="179" t="s">
        <v>907</v>
      </c>
      <c r="C194" s="126">
        <v>0</v>
      </c>
      <c r="E194" t="str">
        <f>+IF(A194="","",IF(OR(RIGHT(A194,1)="E",RIGHT(A194,1)="H"),"",IF(IFERROR(VLOOKUP(A194,'Datos x Cja LK'!A:A,1,),"Falta en Consumo")=A194,"Ok",IFERROR(VLOOKUP(A194,'Datos x Cja LK'!A:A,1,),"Falta en Consumo"))))</f>
        <v>Falta en Consumo</v>
      </c>
      <c r="G194">
        <v>0</v>
      </c>
      <c r="H194">
        <f t="shared" si="2"/>
        <v>0</v>
      </c>
      <c r="J194" s="244"/>
      <c r="K194" s="293"/>
    </row>
    <row r="195" spans="1:11" x14ac:dyDescent="0.3">
      <c r="A195" s="174" t="s">
        <v>882</v>
      </c>
      <c r="B195" s="179"/>
      <c r="C195" s="126">
        <v>0</v>
      </c>
      <c r="E195" t="str">
        <f>+IF(A195="","",IF(OR(RIGHT(A195,1)="E",RIGHT(A195,1)="H"),"",IF(IFERROR(VLOOKUP(A195,'Datos x Cja LK'!A:A,1,),"Falta en Consumo")=A195,"Ok",IFERROR(VLOOKUP(A195,'Datos x Cja LK'!A:A,1,),"Falta en Consumo"))))</f>
        <v>Falta en Consumo</v>
      </c>
      <c r="G195">
        <v>0</v>
      </c>
      <c r="H195">
        <f t="shared" ref="H195:H241" si="3">+C195-G195</f>
        <v>0</v>
      </c>
      <c r="J195" s="244"/>
      <c r="K195" s="293"/>
    </row>
    <row r="196" spans="1:11" x14ac:dyDescent="0.3">
      <c r="A196" s="114" t="s">
        <v>161</v>
      </c>
      <c r="B196" s="179" t="s">
        <v>160</v>
      </c>
      <c r="C196" s="126">
        <v>0</v>
      </c>
      <c r="E196" t="str">
        <f>+IF(A196="","",IF(OR(RIGHT(A196,1)="E",RIGHT(A196,1)="H"),"",IF(IFERROR(VLOOKUP(A196,'Datos x Cja LK'!A:A,1,),"Falta en Consumo")=A196,"Ok",IFERROR(VLOOKUP(A196,'Datos x Cja LK'!A:A,1,),"Falta en Consumo"))))</f>
        <v/>
      </c>
      <c r="G196">
        <v>0</v>
      </c>
      <c r="H196">
        <f t="shared" si="3"/>
        <v>0</v>
      </c>
      <c r="J196" s="244"/>
      <c r="K196" s="293"/>
    </row>
    <row r="197" spans="1:11" x14ac:dyDescent="0.3">
      <c r="A197" s="114">
        <v>537</v>
      </c>
      <c r="B197" s="179" t="s">
        <v>908</v>
      </c>
      <c r="C197" s="126">
        <v>0</v>
      </c>
      <c r="E197" t="str">
        <f>+IF(A197="","",IF(OR(RIGHT(A197,1)="E",RIGHT(A197,1)="H"),"",IF(IFERROR(VLOOKUP(A197,'Datos x Cja LK'!A:A,1,),"Falta en Consumo")=A197,"Ok",IFERROR(VLOOKUP(A197,'Datos x Cja LK'!A:A,1,),"Falta en Consumo"))))</f>
        <v>Ok</v>
      </c>
      <c r="G197">
        <v>0</v>
      </c>
      <c r="H197">
        <f t="shared" si="3"/>
        <v>0</v>
      </c>
      <c r="J197" s="244"/>
      <c r="K197" s="293"/>
    </row>
    <row r="198" spans="1:11" x14ac:dyDescent="0.3">
      <c r="A198" s="191">
        <v>101</v>
      </c>
      <c r="B198" s="179" t="s">
        <v>1090</v>
      </c>
      <c r="C198" s="126">
        <v>300</v>
      </c>
      <c r="E198" t="str">
        <f>+IF(A198="","",IF(OR(RIGHT(A198,1)="E",RIGHT(A198,1)="H"),"",IF(IFERROR(VLOOKUP(A198,'Datos x Cja LK'!A:A,1,),"Falta en Consumo")=A198,"Ok",IFERROR(VLOOKUP(A198,'Datos x Cja LK'!A:A,1,),"Falta en Consumo"))))</f>
        <v>Ok</v>
      </c>
      <c r="G198">
        <v>0</v>
      </c>
      <c r="H198">
        <f t="shared" si="3"/>
        <v>300</v>
      </c>
      <c r="J198" s="244"/>
      <c r="K198" s="293"/>
    </row>
    <row r="199" spans="1:11" x14ac:dyDescent="0.3">
      <c r="A199" s="191" t="s">
        <v>1137</v>
      </c>
      <c r="B199" s="179" t="s">
        <v>1091</v>
      </c>
      <c r="C199" s="126">
        <v>4000</v>
      </c>
      <c r="E199" t="str">
        <f>+IF(A199="","",IF(OR(RIGHT(A199,1)="E",RIGHT(A199,1)="H"),"",IF(IFERROR(VLOOKUP(A199,'Datos x Cja LK'!A:A,1,),"Falta en Consumo")=A199,"Ok",IFERROR(VLOOKUP(A199,'Datos x Cja LK'!A:A,1,),"Falta en Consumo"))))</f>
        <v/>
      </c>
      <c r="G199">
        <v>0</v>
      </c>
      <c r="H199">
        <f t="shared" si="3"/>
        <v>4000</v>
      </c>
      <c r="J199" s="244"/>
      <c r="K199" s="293"/>
    </row>
    <row r="200" spans="1:11" x14ac:dyDescent="0.3">
      <c r="A200" s="191">
        <v>103</v>
      </c>
      <c r="B200" s="179" t="s">
        <v>1138</v>
      </c>
      <c r="C200" s="126">
        <v>1024</v>
      </c>
      <c r="E200" t="str">
        <f>+IF(A200="","",IF(OR(RIGHT(A200,1)="E",RIGHT(A200,1)="H"),"",IF(IFERROR(VLOOKUP(A200,'Datos x Cja LK'!A:A,1,),"Falta en Consumo")=A200,"Ok",IFERROR(VLOOKUP(A200,'Datos x Cja LK'!A:A,1,),"Falta en Consumo"))))</f>
        <v>Falta en Consumo</v>
      </c>
      <c r="G200">
        <v>0</v>
      </c>
      <c r="H200">
        <f t="shared" si="3"/>
        <v>1024</v>
      </c>
      <c r="J200" s="244"/>
      <c r="K200" s="293"/>
    </row>
    <row r="201" spans="1:11" x14ac:dyDescent="0.3">
      <c r="A201" s="191">
        <v>104</v>
      </c>
      <c r="B201" s="179" t="s">
        <v>1104</v>
      </c>
      <c r="C201" s="126">
        <v>1140</v>
      </c>
      <c r="E201" t="str">
        <f>+IF(A201="","",IF(OR(RIGHT(A201,1)="E",RIGHT(A201,1)="H"),"",IF(IFERROR(VLOOKUP(A201,'Datos x Cja LK'!A:A,1,),"Falta en Consumo")=A201,"Ok",IFERROR(VLOOKUP(A201,'Datos x Cja LK'!A:A,1,),"Falta en Consumo"))))</f>
        <v>Ok</v>
      </c>
      <c r="G201">
        <v>0</v>
      </c>
      <c r="H201">
        <f t="shared" si="3"/>
        <v>1140</v>
      </c>
      <c r="J201" s="244"/>
      <c r="K201" s="293"/>
    </row>
    <row r="202" spans="1:11" x14ac:dyDescent="0.3">
      <c r="A202" s="191" t="s">
        <v>1139</v>
      </c>
      <c r="B202" s="179" t="s">
        <v>1092</v>
      </c>
      <c r="C202" s="126">
        <v>1500</v>
      </c>
      <c r="E202" t="str">
        <f>+IF(A202="","",IF(OR(RIGHT(A202,1)="E",RIGHT(A202,1)="H"),"",IF(IFERROR(VLOOKUP(A202,'Datos x Cja LK'!A:A,1,),"Falta en Consumo")=A202,"Ok",IFERROR(VLOOKUP(A202,'Datos x Cja LK'!A:A,1,),"Falta en Consumo"))))</f>
        <v/>
      </c>
      <c r="G202">
        <v>0</v>
      </c>
      <c r="H202">
        <f t="shared" si="3"/>
        <v>1500</v>
      </c>
      <c r="J202" s="244"/>
      <c r="K202" s="293"/>
    </row>
    <row r="203" spans="1:11" x14ac:dyDescent="0.3">
      <c r="A203" s="191">
        <v>108</v>
      </c>
      <c r="B203" s="179" t="s">
        <v>1093</v>
      </c>
      <c r="C203" s="126">
        <v>408</v>
      </c>
      <c r="E203" t="str">
        <f>+IF(A203="","",IF(OR(RIGHT(A203,1)="E",RIGHT(A203,1)="H"),"",IF(IFERROR(VLOOKUP(A203,'Datos x Cja LK'!A:A,1,),"Falta en Consumo")=A203,"Ok",IFERROR(VLOOKUP(A203,'Datos x Cja LK'!A:A,1,),"Falta en Consumo"))))</f>
        <v>Ok</v>
      </c>
      <c r="G203">
        <v>0</v>
      </c>
      <c r="H203">
        <f t="shared" si="3"/>
        <v>408</v>
      </c>
      <c r="J203" s="244"/>
      <c r="K203" s="293"/>
    </row>
    <row r="204" spans="1:11" x14ac:dyDescent="0.3">
      <c r="A204" s="191">
        <v>110</v>
      </c>
      <c r="B204" s="179" t="s">
        <v>1094</v>
      </c>
      <c r="C204" s="126">
        <v>1200</v>
      </c>
      <c r="E204" t="str">
        <f>+IF(A204="","",IF(OR(RIGHT(A204,1)="E",RIGHT(A204,1)="H"),"",IF(IFERROR(VLOOKUP(A204,'Datos x Cja LK'!A:A,1,),"Falta en Consumo")=A204,"Ok",IFERROR(VLOOKUP(A204,'Datos x Cja LK'!A:A,1,),"Falta en Consumo"))))</f>
        <v>Ok</v>
      </c>
      <c r="G204">
        <v>0</v>
      </c>
      <c r="H204">
        <f t="shared" si="3"/>
        <v>1200</v>
      </c>
      <c r="J204" s="244"/>
      <c r="K204" s="293"/>
    </row>
    <row r="205" spans="1:11" x14ac:dyDescent="0.3">
      <c r="A205" s="191">
        <v>111</v>
      </c>
      <c r="B205" s="179" t="s">
        <v>1095</v>
      </c>
      <c r="C205" s="126">
        <v>552</v>
      </c>
      <c r="E205" t="str">
        <f>+IF(A205="","",IF(OR(RIGHT(A205,1)="E",RIGHT(A205,1)="H"),"",IF(IFERROR(VLOOKUP(A205,'Datos x Cja LK'!A:A,1,),"Falta en Consumo")=A205,"Ok",IFERROR(VLOOKUP(A205,'Datos x Cja LK'!A:A,1,),"Falta en Consumo"))))</f>
        <v>Ok</v>
      </c>
      <c r="G205">
        <v>0</v>
      </c>
      <c r="H205">
        <f t="shared" si="3"/>
        <v>552</v>
      </c>
      <c r="J205" s="244"/>
      <c r="K205" s="293"/>
    </row>
    <row r="206" spans="1:11" x14ac:dyDescent="0.3">
      <c r="A206" s="191">
        <v>112</v>
      </c>
      <c r="B206" s="179" t="s">
        <v>1140</v>
      </c>
      <c r="C206" s="126">
        <v>360</v>
      </c>
      <c r="E206" t="str">
        <f>+IF(A206="","",IF(OR(RIGHT(A206,1)="E",RIGHT(A206,1)="H"),"",IF(IFERROR(VLOOKUP(A206,'Datos x Cja LK'!A:A,1,),"Falta en Consumo")=A206,"Ok",IFERROR(VLOOKUP(A206,'Datos x Cja LK'!A:A,1,),"Falta en Consumo"))))</f>
        <v>Ok</v>
      </c>
      <c r="G206">
        <v>0</v>
      </c>
      <c r="H206">
        <f t="shared" si="3"/>
        <v>360</v>
      </c>
      <c r="J206" s="244"/>
      <c r="K206" s="293"/>
    </row>
    <row r="207" spans="1:11" x14ac:dyDescent="0.3">
      <c r="A207" s="191">
        <v>113</v>
      </c>
      <c r="B207" s="179" t="s">
        <v>1141</v>
      </c>
      <c r="C207" s="126">
        <v>360</v>
      </c>
      <c r="E207" t="str">
        <f>+IF(A207="","",IF(OR(RIGHT(A207,1)="E",RIGHT(A207,1)="H"),"",IF(IFERROR(VLOOKUP(A207,'Datos x Cja LK'!A:A,1,),"Falta en Consumo")=A207,"Ok",IFERROR(VLOOKUP(A207,'Datos x Cja LK'!A:A,1,),"Falta en Consumo"))))</f>
        <v>Ok</v>
      </c>
      <c r="G207">
        <v>0</v>
      </c>
      <c r="H207">
        <f t="shared" si="3"/>
        <v>360</v>
      </c>
      <c r="J207" s="244"/>
      <c r="K207" s="293"/>
    </row>
    <row r="208" spans="1:11" x14ac:dyDescent="0.3">
      <c r="A208" s="191">
        <v>114</v>
      </c>
      <c r="B208" s="179" t="s">
        <v>1096</v>
      </c>
      <c r="C208" s="126">
        <v>264</v>
      </c>
      <c r="E208" t="str">
        <f>+IF(A208="","",IF(OR(RIGHT(A208,1)="E",RIGHT(A208,1)="H"),"",IF(IFERROR(VLOOKUP(A208,'Datos x Cja LK'!A:A,1,),"Falta en Consumo")=A208,"Ok",IFERROR(VLOOKUP(A208,'Datos x Cja LK'!A:A,1,),"Falta en Consumo"))))</f>
        <v>Ok</v>
      </c>
      <c r="G208">
        <v>0</v>
      </c>
      <c r="H208">
        <f t="shared" si="3"/>
        <v>264</v>
      </c>
      <c r="J208" s="244"/>
      <c r="K208" s="293"/>
    </row>
    <row r="209" spans="1:11" x14ac:dyDescent="0.3">
      <c r="A209" s="191">
        <v>115</v>
      </c>
      <c r="B209" s="179" t="s">
        <v>1097</v>
      </c>
      <c r="C209" s="126">
        <v>312</v>
      </c>
      <c r="E209" t="str">
        <f>+IF(A209="","",IF(OR(RIGHT(A209,1)="E",RIGHT(A209,1)="H"),"",IF(IFERROR(VLOOKUP(A209,'Datos x Cja LK'!A:A,1,),"Falta en Consumo")=A209,"Ok",IFERROR(VLOOKUP(A209,'Datos x Cja LK'!A:A,1,),"Falta en Consumo"))))</f>
        <v>Ok</v>
      </c>
      <c r="G209">
        <v>0</v>
      </c>
      <c r="H209">
        <f t="shared" si="3"/>
        <v>312</v>
      </c>
      <c r="J209" s="244"/>
      <c r="K209" s="293"/>
    </row>
    <row r="210" spans="1:11" x14ac:dyDescent="0.3">
      <c r="A210" s="191">
        <v>116</v>
      </c>
      <c r="B210" s="179" t="s">
        <v>1106</v>
      </c>
      <c r="C210" s="126">
        <v>600</v>
      </c>
      <c r="E210" t="str">
        <f>+IF(A210="","",IF(OR(RIGHT(A210,1)="E",RIGHT(A210,1)="H"),"",IF(IFERROR(VLOOKUP(A210,'Datos x Cja LK'!A:A,1,),"Falta en Consumo")=A210,"Ok",IFERROR(VLOOKUP(A210,'Datos x Cja LK'!A:A,1,),"Falta en Consumo"))))</f>
        <v>Ok</v>
      </c>
      <c r="G210">
        <v>0</v>
      </c>
      <c r="H210">
        <f t="shared" si="3"/>
        <v>600</v>
      </c>
      <c r="J210" s="244"/>
      <c r="K210" s="293"/>
    </row>
    <row r="211" spans="1:11" x14ac:dyDescent="0.3">
      <c r="A211" s="191">
        <v>119</v>
      </c>
      <c r="B211" s="179" t="s">
        <v>1142</v>
      </c>
      <c r="C211" s="126">
        <v>600</v>
      </c>
      <c r="E211" t="str">
        <f>+IF(A211="","",IF(OR(RIGHT(A211,1)="E",RIGHT(A211,1)="H"),"",IF(IFERROR(VLOOKUP(A211,'Datos x Cja LK'!A:A,1,),"Falta en Consumo")=A211,"Ok",IFERROR(VLOOKUP(A211,'Datos x Cja LK'!A:A,1,),"Falta en Consumo"))))</f>
        <v>Ok</v>
      </c>
      <c r="G211">
        <v>0</v>
      </c>
      <c r="H211">
        <f t="shared" si="3"/>
        <v>600</v>
      </c>
      <c r="J211" s="244"/>
      <c r="K211" s="293"/>
    </row>
    <row r="212" spans="1:11" x14ac:dyDescent="0.3">
      <c r="A212" s="191">
        <v>121</v>
      </c>
      <c r="B212" s="179" t="s">
        <v>1105</v>
      </c>
      <c r="C212" s="126">
        <v>456</v>
      </c>
      <c r="E212" t="str">
        <f>+IF(A212="","",IF(OR(RIGHT(A212,1)="E",RIGHT(A212,1)="H"),"",IF(IFERROR(VLOOKUP(A212,'Datos x Cja LK'!A:A,1,),"Falta en Consumo")=A212,"Ok",IFERROR(VLOOKUP(A212,'Datos x Cja LK'!A:A,1,),"Falta en Consumo"))))</f>
        <v>Ok</v>
      </c>
      <c r="G212">
        <v>0</v>
      </c>
      <c r="H212">
        <f t="shared" si="3"/>
        <v>456</v>
      </c>
      <c r="J212" s="244"/>
      <c r="K212" s="293"/>
    </row>
    <row r="213" spans="1:11" x14ac:dyDescent="0.3">
      <c r="A213" s="191">
        <v>123</v>
      </c>
      <c r="B213" s="179" t="s">
        <v>1098</v>
      </c>
      <c r="C213" s="126">
        <v>2136</v>
      </c>
      <c r="E213" t="str">
        <f>+IF(A213="","",IF(OR(RIGHT(A213,1)="E",RIGHT(A213,1)="H"),"",IF(IFERROR(VLOOKUP(A213,'Datos x Cja LK'!A:A,1,),"Falta en Consumo")=A213,"Ok",IFERROR(VLOOKUP(A213,'Datos x Cja LK'!A:A,1,),"Falta en Consumo"))))</f>
        <v>Ok</v>
      </c>
      <c r="G213">
        <v>0</v>
      </c>
      <c r="H213">
        <f t="shared" si="3"/>
        <v>2136</v>
      </c>
      <c r="J213" s="244"/>
      <c r="K213" s="293"/>
    </row>
    <row r="214" spans="1:11" x14ac:dyDescent="0.3">
      <c r="A214" s="191" t="s">
        <v>1143</v>
      </c>
      <c r="B214" s="179" t="s">
        <v>1144</v>
      </c>
      <c r="C214" s="126">
        <v>480</v>
      </c>
      <c r="E214" t="str">
        <f>+IF(A214="","",IF(OR(RIGHT(A214,1)="E",RIGHT(A214,1)="H"),"",IF(IFERROR(VLOOKUP(A214,'Datos x Cja LK'!A:A,1,),"Falta en Consumo")=A214,"Ok",IFERROR(VLOOKUP(A214,'Datos x Cja LK'!A:A,1,),"Falta en Consumo"))))</f>
        <v/>
      </c>
      <c r="G214">
        <v>0</v>
      </c>
      <c r="H214">
        <f t="shared" si="3"/>
        <v>480</v>
      </c>
      <c r="J214" s="244"/>
      <c r="K214" s="293"/>
    </row>
    <row r="215" spans="1:11" x14ac:dyDescent="0.3">
      <c r="A215" s="191" t="s">
        <v>1145</v>
      </c>
      <c r="B215" s="179" t="s">
        <v>1146</v>
      </c>
      <c r="C215" s="126">
        <v>0</v>
      </c>
      <c r="E215" t="str">
        <f>+IF(A215="","",IF(OR(RIGHT(A215,1)="E",RIGHT(A215,1)="H"),"",IF(IFERROR(VLOOKUP(A215,'Datos x Cja LK'!A:A,1,),"Falta en Consumo")=A215,"Ok",IFERROR(VLOOKUP(A215,'Datos x Cja LK'!A:A,1,),"Falta en Consumo"))))</f>
        <v/>
      </c>
      <c r="G215">
        <v>0</v>
      </c>
      <c r="H215">
        <f t="shared" si="3"/>
        <v>0</v>
      </c>
      <c r="J215" s="244"/>
      <c r="K215" s="293"/>
    </row>
    <row r="216" spans="1:11" x14ac:dyDescent="0.3">
      <c r="A216" s="191">
        <v>186</v>
      </c>
      <c r="B216" s="179" t="s">
        <v>1147</v>
      </c>
      <c r="C216" s="126">
        <v>1860</v>
      </c>
      <c r="E216" t="str">
        <f>+IF(A216="","",IF(OR(RIGHT(A216,1)="E",RIGHT(A216,1)="H"),"",IF(IFERROR(VLOOKUP(A216,'Datos x Cja LK'!A:A,1,),"Falta en Consumo")=A216,"Ok",IFERROR(VLOOKUP(A216,'Datos x Cja LK'!A:A,1,),"Falta en Consumo"))))</f>
        <v>Ok</v>
      </c>
      <c r="G216">
        <v>0</v>
      </c>
      <c r="H216">
        <f t="shared" si="3"/>
        <v>1860</v>
      </c>
      <c r="J216" s="244"/>
      <c r="K216" s="293"/>
    </row>
    <row r="217" spans="1:11" x14ac:dyDescent="0.25">
      <c r="A217" s="191">
        <v>193</v>
      </c>
      <c r="B217" s="192" t="s">
        <v>1148</v>
      </c>
      <c r="C217" s="126">
        <v>276</v>
      </c>
      <c r="E217" t="str">
        <f>+IF(A217="","",IF(OR(RIGHT(A217,1)="E",RIGHT(A217,1)="H"),"",IF(IFERROR(VLOOKUP(A217,'Datos x Cja LK'!A:A,1,),"Falta en Consumo")=A217,"Ok",IFERROR(VLOOKUP(A217,'Datos x Cja LK'!A:A,1,),"Falta en Consumo"))))</f>
        <v>Ok</v>
      </c>
      <c r="G217">
        <v>0</v>
      </c>
      <c r="H217">
        <f t="shared" si="3"/>
        <v>276</v>
      </c>
      <c r="J217" s="244"/>
      <c r="K217" s="293"/>
    </row>
    <row r="218" spans="1:11" x14ac:dyDescent="0.25">
      <c r="A218" s="114" t="s">
        <v>1149</v>
      </c>
      <c r="B218" s="192" t="s">
        <v>1150</v>
      </c>
      <c r="C218" s="126">
        <v>120</v>
      </c>
      <c r="E218" t="str">
        <f>+IF(A218="","",IF(OR(RIGHT(A218,1)="E",RIGHT(A218,1)="H"),"",IF(IFERROR(VLOOKUP(A218,'Datos x Cja LK'!A:A,1,),"Falta en Consumo")=A218,"Ok",IFERROR(VLOOKUP(A218,'Datos x Cja LK'!A:A,1,),"Falta en Consumo"))))</f>
        <v/>
      </c>
      <c r="G218">
        <v>0</v>
      </c>
      <c r="H218">
        <f t="shared" si="3"/>
        <v>120</v>
      </c>
      <c r="J218" s="244"/>
      <c r="K218" s="293"/>
    </row>
    <row r="219" spans="1:11" x14ac:dyDescent="0.25">
      <c r="A219" s="114" t="s">
        <v>1151</v>
      </c>
      <c r="B219" s="192" t="s">
        <v>1152</v>
      </c>
      <c r="C219" s="126">
        <v>600</v>
      </c>
      <c r="E219" t="str">
        <f>+IF(A219="","",IF(OR(RIGHT(A219,1)="E",RIGHT(A219,1)="H"),"",IF(IFERROR(VLOOKUP(A219,'Datos x Cja LK'!A:A,1,),"Falta en Consumo")=A219,"Ok",IFERROR(VLOOKUP(A219,'Datos x Cja LK'!A:A,1,),"Falta en Consumo"))))</f>
        <v/>
      </c>
      <c r="G219">
        <v>0</v>
      </c>
      <c r="H219">
        <f t="shared" si="3"/>
        <v>600</v>
      </c>
      <c r="J219" s="244"/>
      <c r="K219" s="293"/>
    </row>
    <row r="220" spans="1:11" x14ac:dyDescent="0.25">
      <c r="A220" s="114" t="s">
        <v>1153</v>
      </c>
      <c r="B220" s="192" t="s">
        <v>1154</v>
      </c>
      <c r="C220" s="126">
        <v>564</v>
      </c>
      <c r="E220" t="str">
        <f>+IF(A220="","",IF(OR(RIGHT(A220,1)="E",RIGHT(A220,1)="H"),"",IF(IFERROR(VLOOKUP(A220,'Datos x Cja LK'!A:A,1,),"Falta en Consumo")=A220,"Ok",IFERROR(VLOOKUP(A220,'Datos x Cja LK'!A:A,1,),"Falta en Consumo"))))</f>
        <v/>
      </c>
      <c r="G220">
        <v>0</v>
      </c>
      <c r="H220">
        <f t="shared" si="3"/>
        <v>564</v>
      </c>
      <c r="J220" s="244"/>
      <c r="K220" s="293"/>
    </row>
    <row r="221" spans="1:11" x14ac:dyDescent="0.25">
      <c r="A221" s="114" t="s">
        <v>1126</v>
      </c>
      <c r="B221" s="192" t="s">
        <v>1155</v>
      </c>
      <c r="C221" s="126">
        <v>648</v>
      </c>
      <c r="E221" t="str">
        <f>+IF(A221="","",IF(OR(RIGHT(A221,1)="E",RIGHT(A221,1)="H"),"",IF(IFERROR(VLOOKUP(A221,'Datos x Cja LK'!A:A,1,),"Falta en Consumo")=A221,"Ok",IFERROR(VLOOKUP(A221,'Datos x Cja LK'!A:A,1,),"Falta en Consumo"))))</f>
        <v/>
      </c>
      <c r="G221">
        <v>0</v>
      </c>
      <c r="H221">
        <f t="shared" si="3"/>
        <v>648</v>
      </c>
      <c r="J221" s="244"/>
      <c r="K221" s="293"/>
    </row>
    <row r="222" spans="1:11" x14ac:dyDescent="0.25">
      <c r="A222" s="114" t="s">
        <v>1129</v>
      </c>
      <c r="B222" s="192" t="s">
        <v>1156</v>
      </c>
      <c r="C222" s="126">
        <v>435</v>
      </c>
      <c r="E222" t="str">
        <f>+IF(A222="","",IF(OR(RIGHT(A222,1)="E",RIGHT(A222,1)="H"),"",IF(IFERROR(VLOOKUP(A222,'Datos x Cja LK'!A:A,1,),"Falta en Consumo")=A222,"Ok",IFERROR(VLOOKUP(A222,'Datos x Cja LK'!A:A,1,),"Falta en Consumo"))))</f>
        <v/>
      </c>
      <c r="G222">
        <v>0</v>
      </c>
      <c r="H222">
        <f t="shared" si="3"/>
        <v>435</v>
      </c>
      <c r="J222" s="244"/>
      <c r="K222" s="293"/>
    </row>
    <row r="223" spans="1:11" x14ac:dyDescent="0.25">
      <c r="A223" s="114" t="s">
        <v>1157</v>
      </c>
      <c r="B223" s="192" t="s">
        <v>1158</v>
      </c>
      <c r="C223" s="126">
        <v>450</v>
      </c>
      <c r="E223" t="str">
        <f>+IF(A223="","",IF(OR(RIGHT(A223,1)="E",RIGHT(A223,1)="H"),"",IF(IFERROR(VLOOKUP(A223,'Datos x Cja LK'!A:A,1,),"Falta en Consumo")=A223,"Ok",IFERROR(VLOOKUP(A223,'Datos x Cja LK'!A:A,1,),"Falta en Consumo"))))</f>
        <v/>
      </c>
      <c r="G223">
        <v>0</v>
      </c>
      <c r="H223">
        <f t="shared" si="3"/>
        <v>450</v>
      </c>
      <c r="J223" s="244"/>
      <c r="K223" s="293"/>
    </row>
    <row r="224" spans="1:11" x14ac:dyDescent="0.25">
      <c r="A224" s="114" t="s">
        <v>1127</v>
      </c>
      <c r="B224" s="192" t="s">
        <v>1159</v>
      </c>
      <c r="C224" s="126">
        <v>600</v>
      </c>
      <c r="E224" t="str">
        <f>+IF(A224="","",IF(OR(RIGHT(A224,1)="E",RIGHT(A224,1)="H"),"",IF(IFERROR(VLOOKUP(A224,'Datos x Cja LK'!A:A,1,),"Falta en Consumo")=A224,"Ok",IFERROR(VLOOKUP(A224,'Datos x Cja LK'!A:A,1,),"Falta en Consumo"))))</f>
        <v/>
      </c>
      <c r="G224">
        <v>0</v>
      </c>
      <c r="H224">
        <f t="shared" si="3"/>
        <v>600</v>
      </c>
      <c r="J224" s="244"/>
      <c r="K224" s="293"/>
    </row>
    <row r="225" spans="1:11" x14ac:dyDescent="0.25">
      <c r="A225" s="114" t="s">
        <v>1160</v>
      </c>
      <c r="B225" s="192" t="s">
        <v>1161</v>
      </c>
      <c r="C225" s="126">
        <v>240</v>
      </c>
      <c r="E225" t="str">
        <f>+IF(A225="","",IF(OR(RIGHT(A225,1)="E",RIGHT(A225,1)="H"),"",IF(IFERROR(VLOOKUP(A225,'Datos x Cja LK'!A:A,1,),"Falta en Consumo")=A225,"Ok",IFERROR(VLOOKUP(A225,'Datos x Cja LK'!A:A,1,),"Falta en Consumo"))))</f>
        <v/>
      </c>
      <c r="G225">
        <v>0</v>
      </c>
      <c r="H225">
        <f t="shared" si="3"/>
        <v>240</v>
      </c>
      <c r="J225" s="244"/>
      <c r="K225" s="293"/>
    </row>
    <row r="226" spans="1:11" x14ac:dyDescent="0.25">
      <c r="A226" s="114">
        <v>597</v>
      </c>
      <c r="B226" s="192" t="s">
        <v>1162</v>
      </c>
      <c r="C226" s="126">
        <v>48</v>
      </c>
      <c r="E226" t="str">
        <f>+IF(A226="","",IF(OR(RIGHT(A226,1)="E",RIGHT(A226,1)="H"),"",IF(IFERROR(VLOOKUP(A226,'Datos x Cja LK'!A:A,1,),"Falta en Consumo")=A226,"Ok",IFERROR(VLOOKUP(A226,'Datos x Cja LK'!A:A,1,),"Falta en Consumo"))))</f>
        <v>Falta en Consumo</v>
      </c>
      <c r="G226">
        <v>0</v>
      </c>
      <c r="H226">
        <f t="shared" si="3"/>
        <v>48</v>
      </c>
      <c r="J226" s="244"/>
      <c r="K226" s="293"/>
    </row>
    <row r="227" spans="1:11" x14ac:dyDescent="0.25">
      <c r="A227" s="114" t="s">
        <v>1125</v>
      </c>
      <c r="B227" s="192" t="s">
        <v>1163</v>
      </c>
      <c r="C227" s="126">
        <v>180</v>
      </c>
      <c r="E227" t="str">
        <f>+IF(A227="","",IF(OR(RIGHT(A227,1)="E",RIGHT(A227,1)="H"),"",IF(IFERROR(VLOOKUP(A227,'Datos x Cja LK'!A:A,1,),"Falta en Consumo")=A227,"Ok",IFERROR(VLOOKUP(A227,'Datos x Cja LK'!A:A,1,),"Falta en Consumo"))))</f>
        <v/>
      </c>
      <c r="G227">
        <v>0</v>
      </c>
      <c r="H227">
        <f t="shared" si="3"/>
        <v>180</v>
      </c>
      <c r="J227" s="244"/>
      <c r="K227" s="293"/>
    </row>
    <row r="228" spans="1:11" x14ac:dyDescent="0.25">
      <c r="A228" s="114" t="s">
        <v>1164</v>
      </c>
      <c r="B228" s="192" t="s">
        <v>1165</v>
      </c>
      <c r="C228" s="126">
        <v>240</v>
      </c>
      <c r="G228">
        <v>0</v>
      </c>
      <c r="H228">
        <f t="shared" si="3"/>
        <v>240</v>
      </c>
      <c r="J228" s="244"/>
      <c r="K228" s="293"/>
    </row>
    <row r="229" spans="1:11" x14ac:dyDescent="0.25">
      <c r="A229" s="114" t="s">
        <v>1166</v>
      </c>
      <c r="B229" s="192" t="s">
        <v>1167</v>
      </c>
      <c r="C229" s="126">
        <v>480</v>
      </c>
      <c r="G229">
        <v>0</v>
      </c>
      <c r="H229">
        <f t="shared" si="3"/>
        <v>480</v>
      </c>
      <c r="J229" s="244"/>
      <c r="K229" s="293"/>
    </row>
    <row r="230" spans="1:11" x14ac:dyDescent="0.25">
      <c r="A230" s="114" t="s">
        <v>1168</v>
      </c>
      <c r="B230" s="192" t="s">
        <v>1169</v>
      </c>
      <c r="C230" s="126">
        <v>800</v>
      </c>
      <c r="G230">
        <v>0</v>
      </c>
      <c r="H230">
        <f t="shared" si="3"/>
        <v>800</v>
      </c>
      <c r="J230" s="244"/>
      <c r="K230" s="293"/>
    </row>
    <row r="231" spans="1:11" x14ac:dyDescent="0.25">
      <c r="A231" s="114" t="s">
        <v>1170</v>
      </c>
      <c r="B231" s="192" t="s">
        <v>1171</v>
      </c>
      <c r="C231" s="126">
        <v>80</v>
      </c>
      <c r="G231">
        <v>0</v>
      </c>
      <c r="H231">
        <f t="shared" si="3"/>
        <v>80</v>
      </c>
      <c r="J231" s="244"/>
      <c r="K231" s="293"/>
    </row>
    <row r="232" spans="1:11" x14ac:dyDescent="0.25">
      <c r="A232" s="114" t="s">
        <v>1172</v>
      </c>
      <c r="B232" s="192" t="s">
        <v>1173</v>
      </c>
      <c r="C232" s="126">
        <v>120</v>
      </c>
      <c r="G232">
        <v>0</v>
      </c>
      <c r="H232">
        <f t="shared" si="3"/>
        <v>120</v>
      </c>
      <c r="J232" s="244"/>
      <c r="K232" s="293"/>
    </row>
    <row r="233" spans="1:11" x14ac:dyDescent="0.25">
      <c r="A233" s="114" t="s">
        <v>1174</v>
      </c>
      <c r="B233" s="192" t="s">
        <v>1175</v>
      </c>
      <c r="C233" s="126">
        <v>120</v>
      </c>
      <c r="G233">
        <v>0</v>
      </c>
      <c r="H233">
        <f t="shared" si="3"/>
        <v>120</v>
      </c>
      <c r="J233" s="244"/>
      <c r="K233" s="293"/>
    </row>
    <row r="234" spans="1:11" x14ac:dyDescent="0.25">
      <c r="A234" s="114" t="s">
        <v>1176</v>
      </c>
      <c r="B234" s="192" t="s">
        <v>1177</v>
      </c>
      <c r="C234" s="126">
        <v>120</v>
      </c>
      <c r="G234">
        <v>0</v>
      </c>
      <c r="H234">
        <f t="shared" si="3"/>
        <v>120</v>
      </c>
      <c r="J234" s="244"/>
      <c r="K234" s="293"/>
    </row>
    <row r="235" spans="1:11" x14ac:dyDescent="0.25">
      <c r="A235" s="114" t="s">
        <v>1178</v>
      </c>
      <c r="B235" s="192" t="s">
        <v>1179</v>
      </c>
      <c r="C235" s="126">
        <v>120</v>
      </c>
      <c r="G235">
        <v>0</v>
      </c>
      <c r="H235">
        <f t="shared" si="3"/>
        <v>120</v>
      </c>
      <c r="J235" s="244"/>
      <c r="K235" s="293"/>
    </row>
    <row r="236" spans="1:11" x14ac:dyDescent="0.25">
      <c r="A236" s="114" t="s">
        <v>1180</v>
      </c>
      <c r="B236" s="192" t="s">
        <v>1181</v>
      </c>
      <c r="C236" s="126">
        <v>120</v>
      </c>
      <c r="G236">
        <v>0</v>
      </c>
      <c r="H236">
        <f t="shared" si="3"/>
        <v>120</v>
      </c>
      <c r="J236" s="244"/>
      <c r="K236" s="293"/>
    </row>
    <row r="237" spans="1:11" x14ac:dyDescent="0.25">
      <c r="A237" s="114" t="s">
        <v>1182</v>
      </c>
      <c r="B237" s="192" t="s">
        <v>1183</v>
      </c>
      <c r="C237" s="126">
        <v>120</v>
      </c>
      <c r="G237">
        <v>0</v>
      </c>
      <c r="H237">
        <f t="shared" si="3"/>
        <v>120</v>
      </c>
      <c r="J237" s="244"/>
      <c r="K237" s="293"/>
    </row>
    <row r="238" spans="1:11" x14ac:dyDescent="0.25">
      <c r="A238" s="114" t="s">
        <v>1184</v>
      </c>
      <c r="B238" s="192" t="s">
        <v>1185</v>
      </c>
      <c r="C238" s="126">
        <v>120</v>
      </c>
      <c r="G238">
        <v>0</v>
      </c>
      <c r="H238">
        <f t="shared" si="3"/>
        <v>120</v>
      </c>
      <c r="J238" s="244"/>
      <c r="K238" s="293"/>
    </row>
    <row r="239" spans="1:11" x14ac:dyDescent="0.25">
      <c r="A239" s="114" t="s">
        <v>1186</v>
      </c>
      <c r="B239" s="192" t="s">
        <v>1187</v>
      </c>
      <c r="C239" s="126">
        <v>120</v>
      </c>
      <c r="G239">
        <v>0</v>
      </c>
      <c r="H239">
        <f t="shared" si="3"/>
        <v>120</v>
      </c>
      <c r="J239" s="244"/>
      <c r="K239" s="293"/>
    </row>
    <row r="240" spans="1:11" x14ac:dyDescent="0.25">
      <c r="A240" s="114" t="s">
        <v>1188</v>
      </c>
      <c r="B240" s="192" t="s">
        <v>1189</v>
      </c>
      <c r="C240" s="126">
        <v>120</v>
      </c>
      <c r="G240">
        <v>0</v>
      </c>
      <c r="H240">
        <f t="shared" si="3"/>
        <v>120</v>
      </c>
      <c r="J240" s="244"/>
      <c r="K240" s="293"/>
    </row>
    <row r="241" spans="1:11" x14ac:dyDescent="0.25">
      <c r="A241" s="114" t="s">
        <v>1190</v>
      </c>
      <c r="B241" s="192" t="s">
        <v>1191</v>
      </c>
      <c r="C241" s="126">
        <v>600</v>
      </c>
      <c r="G241">
        <v>0</v>
      </c>
      <c r="H241">
        <f t="shared" si="3"/>
        <v>600</v>
      </c>
      <c r="J241" s="244"/>
      <c r="K241" s="293"/>
    </row>
  </sheetData>
  <autoFilter ref="B1:E24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10"/>
  <sheetViews>
    <sheetView zoomScale="70" zoomScaleNormal="70" workbookViewId="0">
      <selection activeCell="A3" sqref="A3:XFD3"/>
    </sheetView>
  </sheetViews>
  <sheetFormatPr baseColWidth="10" defaultRowHeight="15.75" x14ac:dyDescent="0.25"/>
  <cols>
    <col min="1" max="1" width="7.28515625" style="137" customWidth="1"/>
    <col min="2" max="2" width="32.85546875" style="147" customWidth="1"/>
    <col min="3" max="3" width="12.140625" style="115" customWidth="1"/>
    <col min="4" max="4" width="2" customWidth="1"/>
    <col min="5" max="5" width="8.85546875" customWidth="1"/>
    <col min="256" max="256" width="7.28515625" customWidth="1"/>
    <col min="257" max="257" width="40" customWidth="1"/>
    <col min="258" max="258" width="8.28515625" customWidth="1"/>
    <col min="259" max="260" width="41" customWidth="1"/>
    <col min="512" max="512" width="7.28515625" customWidth="1"/>
    <col min="513" max="513" width="40" customWidth="1"/>
    <col min="514" max="514" width="8.28515625" customWidth="1"/>
    <col min="515" max="516" width="41" customWidth="1"/>
    <col min="768" max="768" width="7.28515625" customWidth="1"/>
    <col min="769" max="769" width="40" customWidth="1"/>
    <col min="770" max="770" width="8.28515625" customWidth="1"/>
    <col min="771" max="772" width="41" customWidth="1"/>
    <col min="1024" max="1024" width="7.28515625" customWidth="1"/>
    <col min="1025" max="1025" width="40" customWidth="1"/>
    <col min="1026" max="1026" width="8.28515625" customWidth="1"/>
    <col min="1027" max="1028" width="41" customWidth="1"/>
    <col min="1280" max="1280" width="7.28515625" customWidth="1"/>
    <col min="1281" max="1281" width="40" customWidth="1"/>
    <col min="1282" max="1282" width="8.28515625" customWidth="1"/>
    <col min="1283" max="1284" width="41" customWidth="1"/>
    <col min="1536" max="1536" width="7.28515625" customWidth="1"/>
    <col min="1537" max="1537" width="40" customWidth="1"/>
    <col min="1538" max="1538" width="8.28515625" customWidth="1"/>
    <col min="1539" max="1540" width="41" customWidth="1"/>
    <col min="1792" max="1792" width="7.28515625" customWidth="1"/>
    <col min="1793" max="1793" width="40" customWidth="1"/>
    <col min="1794" max="1794" width="8.28515625" customWidth="1"/>
    <col min="1795" max="1796" width="41" customWidth="1"/>
    <col min="2048" max="2048" width="7.28515625" customWidth="1"/>
    <col min="2049" max="2049" width="40" customWidth="1"/>
    <col min="2050" max="2050" width="8.28515625" customWidth="1"/>
    <col min="2051" max="2052" width="41" customWidth="1"/>
    <col min="2304" max="2304" width="7.28515625" customWidth="1"/>
    <col min="2305" max="2305" width="40" customWidth="1"/>
    <col min="2306" max="2306" width="8.28515625" customWidth="1"/>
    <col min="2307" max="2308" width="41" customWidth="1"/>
    <col min="2560" max="2560" width="7.28515625" customWidth="1"/>
    <col min="2561" max="2561" width="40" customWidth="1"/>
    <col min="2562" max="2562" width="8.28515625" customWidth="1"/>
    <col min="2563" max="2564" width="41" customWidth="1"/>
    <col min="2816" max="2816" width="7.28515625" customWidth="1"/>
    <col min="2817" max="2817" width="40" customWidth="1"/>
    <col min="2818" max="2818" width="8.28515625" customWidth="1"/>
    <col min="2819" max="2820" width="41" customWidth="1"/>
    <col min="3072" max="3072" width="7.28515625" customWidth="1"/>
    <col min="3073" max="3073" width="40" customWidth="1"/>
    <col min="3074" max="3074" width="8.28515625" customWidth="1"/>
    <col min="3075" max="3076" width="41" customWidth="1"/>
    <col min="3328" max="3328" width="7.28515625" customWidth="1"/>
    <col min="3329" max="3329" width="40" customWidth="1"/>
    <col min="3330" max="3330" width="8.28515625" customWidth="1"/>
    <col min="3331" max="3332" width="41" customWidth="1"/>
    <col min="3584" max="3584" width="7.28515625" customWidth="1"/>
    <col min="3585" max="3585" width="40" customWidth="1"/>
    <col min="3586" max="3586" width="8.28515625" customWidth="1"/>
    <col min="3587" max="3588" width="41" customWidth="1"/>
    <col min="3840" max="3840" width="7.28515625" customWidth="1"/>
    <col min="3841" max="3841" width="40" customWidth="1"/>
    <col min="3842" max="3842" width="8.28515625" customWidth="1"/>
    <col min="3843" max="3844" width="41" customWidth="1"/>
    <col min="4096" max="4096" width="7.28515625" customWidth="1"/>
    <col min="4097" max="4097" width="40" customWidth="1"/>
    <col min="4098" max="4098" width="8.28515625" customWidth="1"/>
    <col min="4099" max="4100" width="41" customWidth="1"/>
    <col min="4352" max="4352" width="7.28515625" customWidth="1"/>
    <col min="4353" max="4353" width="40" customWidth="1"/>
    <col min="4354" max="4354" width="8.28515625" customWidth="1"/>
    <col min="4355" max="4356" width="41" customWidth="1"/>
    <col min="4608" max="4608" width="7.28515625" customWidth="1"/>
    <col min="4609" max="4609" width="40" customWidth="1"/>
    <col min="4610" max="4610" width="8.28515625" customWidth="1"/>
    <col min="4611" max="4612" width="41" customWidth="1"/>
    <col min="4864" max="4864" width="7.28515625" customWidth="1"/>
    <col min="4865" max="4865" width="40" customWidth="1"/>
    <col min="4866" max="4866" width="8.28515625" customWidth="1"/>
    <col min="4867" max="4868" width="41" customWidth="1"/>
    <col min="5120" max="5120" width="7.28515625" customWidth="1"/>
    <col min="5121" max="5121" width="40" customWidth="1"/>
    <col min="5122" max="5122" width="8.28515625" customWidth="1"/>
    <col min="5123" max="5124" width="41" customWidth="1"/>
    <col min="5376" max="5376" width="7.28515625" customWidth="1"/>
    <col min="5377" max="5377" width="40" customWidth="1"/>
    <col min="5378" max="5378" width="8.28515625" customWidth="1"/>
    <col min="5379" max="5380" width="41" customWidth="1"/>
    <col min="5632" max="5632" width="7.28515625" customWidth="1"/>
    <col min="5633" max="5633" width="40" customWidth="1"/>
    <col min="5634" max="5634" width="8.28515625" customWidth="1"/>
    <col min="5635" max="5636" width="41" customWidth="1"/>
    <col min="5888" max="5888" width="7.28515625" customWidth="1"/>
    <col min="5889" max="5889" width="40" customWidth="1"/>
    <col min="5890" max="5890" width="8.28515625" customWidth="1"/>
    <col min="5891" max="5892" width="41" customWidth="1"/>
    <col min="6144" max="6144" width="7.28515625" customWidth="1"/>
    <col min="6145" max="6145" width="40" customWidth="1"/>
    <col min="6146" max="6146" width="8.28515625" customWidth="1"/>
    <col min="6147" max="6148" width="41" customWidth="1"/>
    <col min="6400" max="6400" width="7.28515625" customWidth="1"/>
    <col min="6401" max="6401" width="40" customWidth="1"/>
    <col min="6402" max="6402" width="8.28515625" customWidth="1"/>
    <col min="6403" max="6404" width="41" customWidth="1"/>
    <col min="6656" max="6656" width="7.28515625" customWidth="1"/>
    <col min="6657" max="6657" width="40" customWidth="1"/>
    <col min="6658" max="6658" width="8.28515625" customWidth="1"/>
    <col min="6659" max="6660" width="41" customWidth="1"/>
    <col min="6912" max="6912" width="7.28515625" customWidth="1"/>
    <col min="6913" max="6913" width="40" customWidth="1"/>
    <col min="6914" max="6914" width="8.28515625" customWidth="1"/>
    <col min="6915" max="6916" width="41" customWidth="1"/>
    <col min="7168" max="7168" width="7.28515625" customWidth="1"/>
    <col min="7169" max="7169" width="40" customWidth="1"/>
    <col min="7170" max="7170" width="8.28515625" customWidth="1"/>
    <col min="7171" max="7172" width="41" customWidth="1"/>
    <col min="7424" max="7424" width="7.28515625" customWidth="1"/>
    <col min="7425" max="7425" width="40" customWidth="1"/>
    <col min="7426" max="7426" width="8.28515625" customWidth="1"/>
    <col min="7427" max="7428" width="41" customWidth="1"/>
    <col min="7680" max="7680" width="7.28515625" customWidth="1"/>
    <col min="7681" max="7681" width="40" customWidth="1"/>
    <col min="7682" max="7682" width="8.28515625" customWidth="1"/>
    <col min="7683" max="7684" width="41" customWidth="1"/>
    <col min="7936" max="7936" width="7.28515625" customWidth="1"/>
    <col min="7937" max="7937" width="40" customWidth="1"/>
    <col min="7938" max="7938" width="8.28515625" customWidth="1"/>
    <col min="7939" max="7940" width="41" customWidth="1"/>
    <col min="8192" max="8192" width="7.28515625" customWidth="1"/>
    <col min="8193" max="8193" width="40" customWidth="1"/>
    <col min="8194" max="8194" width="8.28515625" customWidth="1"/>
    <col min="8195" max="8196" width="41" customWidth="1"/>
    <col min="8448" max="8448" width="7.28515625" customWidth="1"/>
    <col min="8449" max="8449" width="40" customWidth="1"/>
    <col min="8450" max="8450" width="8.28515625" customWidth="1"/>
    <col min="8451" max="8452" width="41" customWidth="1"/>
    <col min="8704" max="8704" width="7.28515625" customWidth="1"/>
    <col min="8705" max="8705" width="40" customWidth="1"/>
    <col min="8706" max="8706" width="8.28515625" customWidth="1"/>
    <col min="8707" max="8708" width="41" customWidth="1"/>
    <col min="8960" max="8960" width="7.28515625" customWidth="1"/>
    <col min="8961" max="8961" width="40" customWidth="1"/>
    <col min="8962" max="8962" width="8.28515625" customWidth="1"/>
    <col min="8963" max="8964" width="41" customWidth="1"/>
    <col min="9216" max="9216" width="7.28515625" customWidth="1"/>
    <col min="9217" max="9217" width="40" customWidth="1"/>
    <col min="9218" max="9218" width="8.28515625" customWidth="1"/>
    <col min="9219" max="9220" width="41" customWidth="1"/>
    <col min="9472" max="9472" width="7.28515625" customWidth="1"/>
    <col min="9473" max="9473" width="40" customWidth="1"/>
    <col min="9474" max="9474" width="8.28515625" customWidth="1"/>
    <col min="9475" max="9476" width="41" customWidth="1"/>
    <col min="9728" max="9728" width="7.28515625" customWidth="1"/>
    <col min="9729" max="9729" width="40" customWidth="1"/>
    <col min="9730" max="9730" width="8.28515625" customWidth="1"/>
    <col min="9731" max="9732" width="41" customWidth="1"/>
    <col min="9984" max="9984" width="7.28515625" customWidth="1"/>
    <col min="9985" max="9985" width="40" customWidth="1"/>
    <col min="9986" max="9986" width="8.28515625" customWidth="1"/>
    <col min="9987" max="9988" width="41" customWidth="1"/>
    <col min="10240" max="10240" width="7.28515625" customWidth="1"/>
    <col min="10241" max="10241" width="40" customWidth="1"/>
    <col min="10242" max="10242" width="8.28515625" customWidth="1"/>
    <col min="10243" max="10244" width="41" customWidth="1"/>
    <col min="10496" max="10496" width="7.28515625" customWidth="1"/>
    <col min="10497" max="10497" width="40" customWidth="1"/>
    <col min="10498" max="10498" width="8.28515625" customWidth="1"/>
    <col min="10499" max="10500" width="41" customWidth="1"/>
    <col min="10752" max="10752" width="7.28515625" customWidth="1"/>
    <col min="10753" max="10753" width="40" customWidth="1"/>
    <col min="10754" max="10754" width="8.28515625" customWidth="1"/>
    <col min="10755" max="10756" width="41" customWidth="1"/>
    <col min="11008" max="11008" width="7.28515625" customWidth="1"/>
    <col min="11009" max="11009" width="40" customWidth="1"/>
    <col min="11010" max="11010" width="8.28515625" customWidth="1"/>
    <col min="11011" max="11012" width="41" customWidth="1"/>
    <col min="11264" max="11264" width="7.28515625" customWidth="1"/>
    <col min="11265" max="11265" width="40" customWidth="1"/>
    <col min="11266" max="11266" width="8.28515625" customWidth="1"/>
    <col min="11267" max="11268" width="41" customWidth="1"/>
    <col min="11520" max="11520" width="7.28515625" customWidth="1"/>
    <col min="11521" max="11521" width="40" customWidth="1"/>
    <col min="11522" max="11522" width="8.28515625" customWidth="1"/>
    <col min="11523" max="11524" width="41" customWidth="1"/>
    <col min="11776" max="11776" width="7.28515625" customWidth="1"/>
    <col min="11777" max="11777" width="40" customWidth="1"/>
    <col min="11778" max="11778" width="8.28515625" customWidth="1"/>
    <col min="11779" max="11780" width="41" customWidth="1"/>
    <col min="12032" max="12032" width="7.28515625" customWidth="1"/>
    <col min="12033" max="12033" width="40" customWidth="1"/>
    <col min="12034" max="12034" width="8.28515625" customWidth="1"/>
    <col min="12035" max="12036" width="41" customWidth="1"/>
    <col min="12288" max="12288" width="7.28515625" customWidth="1"/>
    <col min="12289" max="12289" width="40" customWidth="1"/>
    <col min="12290" max="12290" width="8.28515625" customWidth="1"/>
    <col min="12291" max="12292" width="41" customWidth="1"/>
    <col min="12544" max="12544" width="7.28515625" customWidth="1"/>
    <col min="12545" max="12545" width="40" customWidth="1"/>
    <col min="12546" max="12546" width="8.28515625" customWidth="1"/>
    <col min="12547" max="12548" width="41" customWidth="1"/>
    <col min="12800" max="12800" width="7.28515625" customWidth="1"/>
    <col min="12801" max="12801" width="40" customWidth="1"/>
    <col min="12802" max="12802" width="8.28515625" customWidth="1"/>
    <col min="12803" max="12804" width="41" customWidth="1"/>
    <col min="13056" max="13056" width="7.28515625" customWidth="1"/>
    <col min="13057" max="13057" width="40" customWidth="1"/>
    <col min="13058" max="13058" width="8.28515625" customWidth="1"/>
    <col min="13059" max="13060" width="41" customWidth="1"/>
    <col min="13312" max="13312" width="7.28515625" customWidth="1"/>
    <col min="13313" max="13313" width="40" customWidth="1"/>
    <col min="13314" max="13314" width="8.28515625" customWidth="1"/>
    <col min="13315" max="13316" width="41" customWidth="1"/>
    <col min="13568" max="13568" width="7.28515625" customWidth="1"/>
    <col min="13569" max="13569" width="40" customWidth="1"/>
    <col min="13570" max="13570" width="8.28515625" customWidth="1"/>
    <col min="13571" max="13572" width="41" customWidth="1"/>
    <col min="13824" max="13824" width="7.28515625" customWidth="1"/>
    <col min="13825" max="13825" width="40" customWidth="1"/>
    <col min="13826" max="13826" width="8.28515625" customWidth="1"/>
    <col min="13827" max="13828" width="41" customWidth="1"/>
    <col min="14080" max="14080" width="7.28515625" customWidth="1"/>
    <col min="14081" max="14081" width="40" customWidth="1"/>
    <col min="14082" max="14082" width="8.28515625" customWidth="1"/>
    <col min="14083" max="14084" width="41" customWidth="1"/>
    <col min="14336" max="14336" width="7.28515625" customWidth="1"/>
    <col min="14337" max="14337" width="40" customWidth="1"/>
    <col min="14338" max="14338" width="8.28515625" customWidth="1"/>
    <col min="14339" max="14340" width="41" customWidth="1"/>
    <col min="14592" max="14592" width="7.28515625" customWidth="1"/>
    <col min="14593" max="14593" width="40" customWidth="1"/>
    <col min="14594" max="14594" width="8.28515625" customWidth="1"/>
    <col min="14595" max="14596" width="41" customWidth="1"/>
    <col min="14848" max="14848" width="7.28515625" customWidth="1"/>
    <col min="14849" max="14849" width="40" customWidth="1"/>
    <col min="14850" max="14850" width="8.28515625" customWidth="1"/>
    <col min="14851" max="14852" width="41" customWidth="1"/>
    <col min="15104" max="15104" width="7.28515625" customWidth="1"/>
    <col min="15105" max="15105" width="40" customWidth="1"/>
    <col min="15106" max="15106" width="8.28515625" customWidth="1"/>
    <col min="15107" max="15108" width="41" customWidth="1"/>
    <col min="15360" max="15360" width="7.28515625" customWidth="1"/>
    <col min="15361" max="15361" width="40" customWidth="1"/>
    <col min="15362" max="15362" width="8.28515625" customWidth="1"/>
    <col min="15363" max="15364" width="41" customWidth="1"/>
    <col min="15616" max="15616" width="7.28515625" customWidth="1"/>
    <col min="15617" max="15617" width="40" customWidth="1"/>
    <col min="15618" max="15618" width="8.28515625" customWidth="1"/>
    <col min="15619" max="15620" width="41" customWidth="1"/>
    <col min="15872" max="15872" width="7.28515625" customWidth="1"/>
    <col min="15873" max="15873" width="40" customWidth="1"/>
    <col min="15874" max="15874" width="8.28515625" customWidth="1"/>
    <col min="15875" max="15876" width="41" customWidth="1"/>
    <col min="16128" max="16128" width="7.28515625" customWidth="1"/>
    <col min="16129" max="16129" width="40" customWidth="1"/>
    <col min="16130" max="16130" width="8.28515625" customWidth="1"/>
    <col min="16131" max="16132" width="41" customWidth="1"/>
  </cols>
  <sheetData>
    <row r="1" spans="1:5" ht="2.85" customHeight="1" x14ac:dyDescent="0.25">
      <c r="C1" s="35"/>
    </row>
    <row r="2" spans="1:5" ht="2.85" customHeight="1" thickBot="1" x14ac:dyDescent="0.3">
      <c r="C2" s="35"/>
    </row>
    <row r="3" spans="1:5" ht="2.85" customHeight="1" thickBot="1" x14ac:dyDescent="0.3">
      <c r="A3" s="138"/>
      <c r="B3" s="148"/>
      <c r="C3" s="35" t="s">
        <v>1102</v>
      </c>
    </row>
    <row r="4" spans="1:5" ht="25.5" customHeight="1" thickBot="1" x14ac:dyDescent="0.3">
      <c r="A4" s="139"/>
      <c r="B4" s="149"/>
      <c r="C4" s="117"/>
    </row>
    <row r="5" spans="1:5" ht="50.85" customHeight="1" thickBot="1" x14ac:dyDescent="0.3">
      <c r="A5" s="27" t="s">
        <v>239</v>
      </c>
      <c r="B5" s="39" t="s">
        <v>32</v>
      </c>
      <c r="C5" s="195" t="s">
        <v>1194</v>
      </c>
      <c r="E5" s="150" t="s">
        <v>1088</v>
      </c>
    </row>
    <row r="6" spans="1:5" ht="21" x14ac:dyDescent="0.3">
      <c r="A6" s="40">
        <v>98</v>
      </c>
      <c r="B6" s="151" t="s">
        <v>943</v>
      </c>
      <c r="C6" s="196">
        <v>0</v>
      </c>
      <c r="E6" t="str">
        <f>+IF(A6="","",IF(OR(RIGHT(A6,1)="E",RIGHT(A6,1)="H"),"",IF(IFERROR(VLOOKUP(A6,'Datos x Cja CH'!A:A,1,),"Falta en Consumo")=A6,"Ok",IFERROR(VLOOKUP(A6,'Datos x Cja CH'!A:A,1,),"Falta en Consumo"))))</f>
        <v>Ok</v>
      </c>
    </row>
    <row r="7" spans="1:5" ht="21" x14ac:dyDescent="0.3">
      <c r="A7" s="40">
        <v>828</v>
      </c>
      <c r="B7" s="151" t="s">
        <v>944</v>
      </c>
      <c r="C7" s="197">
        <v>0</v>
      </c>
      <c r="E7" t="str">
        <f>+IF(A7="","",IF(OR(RIGHT(A7,1)="E",RIGHT(A7,1)="H"),"",IF(IFERROR(VLOOKUP(A7,'Datos x Cja CH'!A:A,1,),"Falta en Consumo")=A7,"Ok",IFERROR(VLOOKUP(A7,'Datos x Cja CH'!A:A,1,),"Falta en Consumo"))))</f>
        <v>Ok</v>
      </c>
    </row>
    <row r="8" spans="1:5" ht="21" x14ac:dyDescent="0.3">
      <c r="A8" s="40">
        <v>830</v>
      </c>
      <c r="B8" s="151" t="s">
        <v>945</v>
      </c>
      <c r="C8" s="197">
        <v>0</v>
      </c>
      <c r="E8" t="str">
        <f>+IF(A8="","",IF(OR(RIGHT(A8,1)="E",RIGHT(A8,1)="H"),"",IF(IFERROR(VLOOKUP(A8,'Datos x Cja CH'!A:A,1,),"Falta en Consumo")=A8,"Ok",IFERROR(VLOOKUP(A8,'Datos x Cja CH'!A:A,1,),"Falta en Consumo"))))</f>
        <v>Ok</v>
      </c>
    </row>
    <row r="9" spans="1:5" ht="18.75" x14ac:dyDescent="0.3">
      <c r="A9" s="40">
        <v>977</v>
      </c>
      <c r="B9" s="151" t="s">
        <v>947</v>
      </c>
      <c r="C9" s="198">
        <v>0</v>
      </c>
      <c r="E9" t="str">
        <f>+IF(A9="","",IF(OR(RIGHT(A9,1)="E",RIGHT(A9,1)="H"),"",IF(IFERROR(VLOOKUP(A9,'Datos x Cja CH'!A:A,1,),"Falta en Consumo")=A9,"Ok",IFERROR(VLOOKUP(A9,'Datos x Cja CH'!A:A,1,),"Falta en Consumo"))))</f>
        <v>Ok</v>
      </c>
    </row>
    <row r="10" spans="1:5" ht="21" x14ac:dyDescent="0.3">
      <c r="A10" s="40"/>
      <c r="B10" s="151"/>
      <c r="C10" s="197"/>
      <c r="E10" t="str">
        <f>+IF(A10="","",IF(OR(RIGHT(A10,1)="E",RIGHT(A10,1)="H"),"",IF(IFERROR(VLOOKUP(A10,'Datos x Cja CH'!A:A,1,),"Falta en Consumo")=A10,"Ok",IFERROR(VLOOKUP(A10,'Datos x Cja CH'!A:A,1,),"Falta en Consumo"))))</f>
        <v/>
      </c>
    </row>
    <row r="11" spans="1:5" ht="21" x14ac:dyDescent="0.3">
      <c r="A11" s="40">
        <v>706</v>
      </c>
      <c r="B11" s="151" t="s">
        <v>241</v>
      </c>
      <c r="C11" s="197">
        <v>3144</v>
      </c>
      <c r="E11" t="str">
        <f>+IF(A11="","",IF(OR(RIGHT(A11,1)="E",RIGHT(A11,1)="H"),"",IF(IFERROR(VLOOKUP(A11,'Datos x Cja CH'!A:A,1,),"Falta en Consumo")=A11,"Ok",IFERROR(VLOOKUP(A11,'Datos x Cja CH'!A:A,1,),"Falta en Consumo"))))</f>
        <v>Ok</v>
      </c>
    </row>
    <row r="12" spans="1:5" ht="21" x14ac:dyDescent="0.3">
      <c r="A12" s="40">
        <v>99</v>
      </c>
      <c r="B12" s="151" t="s">
        <v>254</v>
      </c>
      <c r="C12" s="197">
        <v>2976</v>
      </c>
      <c r="E12" t="str">
        <f>+IF(A12="","",IF(OR(RIGHT(A12,1)="E",RIGHT(A12,1)="H"),"",IF(IFERROR(VLOOKUP(A12,'Datos x Cja CH'!A:A,1,),"Falta en Consumo")=A12,"Ok",IFERROR(VLOOKUP(A12,'Datos x Cja CH'!A:A,1,),"Falta en Consumo"))))</f>
        <v>Ok</v>
      </c>
    </row>
    <row r="13" spans="1:5" ht="21" x14ac:dyDescent="0.3">
      <c r="A13" s="40">
        <v>713</v>
      </c>
      <c r="B13" s="151" t="s">
        <v>242</v>
      </c>
      <c r="C13" s="197">
        <v>2280</v>
      </c>
      <c r="E13" t="str">
        <f>+IF(A13="","",IF(OR(RIGHT(A13,1)="E",RIGHT(A13,1)="H"),"",IF(IFERROR(VLOOKUP(A13,'Datos x Cja CH'!A:A,1,),"Falta en Consumo")=A13,"Ok",IFERROR(VLOOKUP(A13,'Datos x Cja CH'!A:A,1,),"Falta en Consumo"))))</f>
        <v>Ok</v>
      </c>
    </row>
    <row r="14" spans="1:5" ht="21" x14ac:dyDescent="0.3">
      <c r="A14" s="40" t="s">
        <v>246</v>
      </c>
      <c r="B14" s="151" t="s">
        <v>245</v>
      </c>
      <c r="C14" s="197">
        <v>1200</v>
      </c>
      <c r="E14" t="str">
        <f>+IF(A14="","",IF(OR(RIGHT(A14,1)="E",RIGHT(A14,1)="H"),"",IF(IFERROR(VLOOKUP(A14,'Datos x Cja CH'!A:A,1,),"Falta en Consumo")=A14,"Ok",IFERROR(VLOOKUP(A14,'Datos x Cja CH'!A:A,1,),"Falta en Consumo"))))</f>
        <v/>
      </c>
    </row>
    <row r="15" spans="1:5" ht="21" x14ac:dyDescent="0.3">
      <c r="A15" s="40">
        <v>840</v>
      </c>
      <c r="B15" s="151" t="s">
        <v>58</v>
      </c>
      <c r="C15" s="197">
        <v>2400</v>
      </c>
      <c r="E15" t="str">
        <f>+IF(A15="","",IF(OR(RIGHT(A15,1)="E",RIGHT(A15,1)="H"),"",IF(IFERROR(VLOOKUP(A15,'Datos x Cja CH'!A:A,1,),"Falta en Consumo")=A15,"Ok",IFERROR(VLOOKUP(A15,'Datos x Cja CH'!A:A,1,),"Falta en Consumo"))))</f>
        <v>Ok</v>
      </c>
    </row>
    <row r="16" spans="1:5" ht="21" x14ac:dyDescent="0.3">
      <c r="A16" s="40" t="s">
        <v>217</v>
      </c>
      <c r="B16" s="151" t="s">
        <v>247</v>
      </c>
      <c r="C16" s="197">
        <v>1680</v>
      </c>
      <c r="E16" t="str">
        <f>+IF(A16="","",IF(OR(RIGHT(A16,1)="E",RIGHT(A16,1)="H"),"",IF(IFERROR(VLOOKUP(A16,'Datos x Cja CH'!A:A,1,),"Falta en Consumo")=A16,"Ok",IFERROR(VLOOKUP(A16,'Datos x Cja CH'!A:A,1,),"Falta en Consumo"))))</f>
        <v/>
      </c>
    </row>
    <row r="17" spans="1:5" ht="21" x14ac:dyDescent="0.3">
      <c r="A17" s="40">
        <v>824</v>
      </c>
      <c r="B17" s="151" t="s">
        <v>244</v>
      </c>
      <c r="C17" s="197">
        <v>1920</v>
      </c>
      <c r="E17" t="str">
        <f>+IF(A17="","",IF(OR(RIGHT(A17,1)="E",RIGHT(A17,1)="H"),"",IF(IFERROR(VLOOKUP(A17,'Datos x Cja CH'!A:A,1,),"Falta en Consumo")=A17,"Ok",IFERROR(VLOOKUP(A17,'Datos x Cja CH'!A:A,1,),"Falta en Consumo"))))</f>
        <v>Ok</v>
      </c>
    </row>
    <row r="18" spans="1:5" ht="21" x14ac:dyDescent="0.3">
      <c r="A18" s="40">
        <v>701</v>
      </c>
      <c r="B18" s="151" t="s">
        <v>82</v>
      </c>
      <c r="C18" s="197">
        <v>618</v>
      </c>
      <c r="E18" t="str">
        <f>+IF(A18="","",IF(OR(RIGHT(A18,1)="E",RIGHT(A18,1)="H"),"",IF(IFERROR(VLOOKUP(A18,'Datos x Cja CH'!A:A,1,),"Falta en Consumo")=A18,"Ok",IFERROR(VLOOKUP(A18,'Datos x Cja CH'!A:A,1,),"Falta en Consumo"))))</f>
        <v>Ok</v>
      </c>
    </row>
    <row r="19" spans="1:5" ht="21" x14ac:dyDescent="0.3">
      <c r="A19" s="40">
        <v>97</v>
      </c>
      <c r="B19" s="151" t="s">
        <v>261</v>
      </c>
      <c r="C19" s="197">
        <v>840</v>
      </c>
      <c r="E19" t="str">
        <f>+IF(A19="","",IF(OR(RIGHT(A19,1)="E",RIGHT(A19,1)="H"),"",IF(IFERROR(VLOOKUP(A19,'Datos x Cja CH'!A:A,1,),"Falta en Consumo")=A19,"Ok",IFERROR(VLOOKUP(A19,'Datos x Cja CH'!A:A,1,),"Falta en Consumo"))))</f>
        <v>Ok</v>
      </c>
    </row>
    <row r="20" spans="1:5" ht="21" x14ac:dyDescent="0.3">
      <c r="A20" s="40">
        <v>901</v>
      </c>
      <c r="B20" s="151" t="s">
        <v>253</v>
      </c>
      <c r="C20" s="197">
        <v>1440</v>
      </c>
      <c r="E20" t="str">
        <f>+IF(A20="","",IF(OR(RIGHT(A20,1)="E",RIGHT(A20,1)="H"),"",IF(IFERROR(VLOOKUP(A20,'Datos x Cja CH'!A:A,1,),"Falta en Consumo")=A20,"Ok",IFERROR(VLOOKUP(A20,'Datos x Cja CH'!A:A,1,),"Falta en Consumo"))))</f>
        <v>Ok</v>
      </c>
    </row>
    <row r="21" spans="1:5" ht="21" x14ac:dyDescent="0.3">
      <c r="A21" s="40">
        <v>809</v>
      </c>
      <c r="B21" s="151" t="s">
        <v>112</v>
      </c>
      <c r="C21" s="197">
        <v>1296</v>
      </c>
      <c r="E21" t="str">
        <f>+IF(A21="","",IF(OR(RIGHT(A21,1)="E",RIGHT(A21,1)="H"),"",IF(IFERROR(VLOOKUP(A21,'Datos x Cja CH'!A:A,1,),"Falta en Consumo")=A21,"Ok",IFERROR(VLOOKUP(A21,'Datos x Cja CH'!A:A,1,),"Falta en Consumo"))))</f>
        <v>Ok</v>
      </c>
    </row>
    <row r="22" spans="1:5" ht="21" x14ac:dyDescent="0.3">
      <c r="A22" s="40">
        <v>836</v>
      </c>
      <c r="B22" s="151" t="s">
        <v>240</v>
      </c>
      <c r="C22" s="197">
        <v>2400</v>
      </c>
      <c r="E22" t="str">
        <f>+IF(A22="","",IF(OR(RIGHT(A22,1)="E",RIGHT(A22,1)="H"),"",IF(IFERROR(VLOOKUP(A22,'Datos x Cja CH'!A:A,1,),"Falta en Consumo")=A22,"Ok",IFERROR(VLOOKUP(A22,'Datos x Cja CH'!A:A,1,),"Falta en Consumo"))))</f>
        <v>Ok</v>
      </c>
    </row>
    <row r="23" spans="1:5" ht="21" x14ac:dyDescent="0.3">
      <c r="A23" s="40">
        <v>825</v>
      </c>
      <c r="B23" s="154" t="s">
        <v>243</v>
      </c>
      <c r="C23" s="197">
        <v>2328</v>
      </c>
      <c r="E23" t="str">
        <f>+IF(A23="","",IF(OR(RIGHT(A23,1)="E",RIGHT(A23,1)="H"),"",IF(IFERROR(VLOOKUP(A23,'Datos x Cja CH'!A:A,1,),"Falta en Consumo")=A23,"Ok",IFERROR(VLOOKUP(A23,'Datos x Cja CH'!A:A,1,),"Falta en Consumo"))))</f>
        <v>Ok</v>
      </c>
    </row>
    <row r="24" spans="1:5" ht="21" x14ac:dyDescent="0.3">
      <c r="A24" s="40">
        <v>702</v>
      </c>
      <c r="B24" s="151" t="s">
        <v>245</v>
      </c>
      <c r="C24" s="197">
        <v>504</v>
      </c>
      <c r="E24" t="str">
        <f>+IF(A24="","",IF(OR(RIGHT(A24,1)="E",RIGHT(A24,1)="H"),"",IF(IFERROR(VLOOKUP(A24,'Datos x Cja CH'!A:A,1,),"Falta en Consumo")=A24,"Ok",IFERROR(VLOOKUP(A24,'Datos x Cja CH'!A:A,1,),"Falta en Consumo"))))</f>
        <v>Falta en Consumo</v>
      </c>
    </row>
    <row r="25" spans="1:5" ht="21" x14ac:dyDescent="0.3">
      <c r="A25" s="193">
        <v>910</v>
      </c>
      <c r="B25" s="151" t="s">
        <v>280</v>
      </c>
      <c r="C25" s="197">
        <v>864</v>
      </c>
      <c r="E25" t="str">
        <f>+IF(A25="","",IF(OR(RIGHT(A25,1)="E",RIGHT(A25,1)="H"),"",IF(IFERROR(VLOOKUP(A25,'Datos x Cja CH'!A:A,1,),"Falta en Consumo")=A25,"Ok",IFERROR(VLOOKUP(A25,'Datos x Cja CH'!A:A,1,),"Falta en Consumo"))))</f>
        <v>Ok</v>
      </c>
    </row>
    <row r="26" spans="1:5" ht="21" x14ac:dyDescent="0.3">
      <c r="A26" s="40" t="s">
        <v>277</v>
      </c>
      <c r="B26" s="151" t="s">
        <v>189</v>
      </c>
      <c r="C26" s="197">
        <v>792</v>
      </c>
      <c r="E26" t="str">
        <f>+IF(A26="","",IF(OR(RIGHT(A26,1)="E",RIGHT(A26,1)="H"),"",IF(IFERROR(VLOOKUP(A26,'Datos x Cja CH'!A:A,1,),"Falta en Consumo")=A26,"Ok",IFERROR(VLOOKUP(A26,'Datos x Cja CH'!A:A,1,),"Falta en Consumo"))))</f>
        <v/>
      </c>
    </row>
    <row r="27" spans="1:5" ht="21" x14ac:dyDescent="0.25">
      <c r="A27" s="40">
        <v>922</v>
      </c>
      <c r="B27" s="153" t="s">
        <v>278</v>
      </c>
      <c r="C27" s="197">
        <v>696</v>
      </c>
      <c r="E27" t="str">
        <f>+IF(A27="","",IF(OR(RIGHT(A27,1)="E",RIGHT(A27,1)="H"),"",IF(IFERROR(VLOOKUP(A27,'Datos x Cja CH'!A:A,1,),"Falta en Consumo")=A27,"Ok",IFERROR(VLOOKUP(A27,'Datos x Cja CH'!A:A,1,),"Falta en Consumo"))))</f>
        <v>Ok</v>
      </c>
    </row>
    <row r="28" spans="1:5" ht="21" x14ac:dyDescent="0.3">
      <c r="A28" s="40">
        <v>847</v>
      </c>
      <c r="B28" s="151" t="s">
        <v>271</v>
      </c>
      <c r="C28" s="197">
        <v>1440</v>
      </c>
      <c r="E28" t="str">
        <f>+IF(A28="","",IF(OR(RIGHT(A28,1)="E",RIGHT(A28,1)="H"),"",IF(IFERROR(VLOOKUP(A28,'Datos x Cja CH'!A:A,1,),"Falta en Consumo")=A28,"Ok",IFERROR(VLOOKUP(A28,'Datos x Cja CH'!A:A,1,),"Falta en Consumo"))))</f>
        <v>Ok</v>
      </c>
    </row>
    <row r="29" spans="1:5" ht="21" x14ac:dyDescent="0.3">
      <c r="A29" s="193">
        <v>802</v>
      </c>
      <c r="B29" s="151" t="s">
        <v>206</v>
      </c>
      <c r="C29" s="197">
        <v>540</v>
      </c>
      <c r="E29" t="str">
        <f>+IF(A29="","",IF(OR(RIGHT(A29,1)="E",RIGHT(A29,1)="H"),"",IF(IFERROR(VLOOKUP(A29,'Datos x Cja CH'!A:A,1,),"Falta en Consumo")=A29,"Ok",IFERROR(VLOOKUP(A29,'Datos x Cja CH'!A:A,1,),"Falta en Consumo"))))</f>
        <v>Ok</v>
      </c>
    </row>
    <row r="30" spans="1:5" ht="21" x14ac:dyDescent="0.3">
      <c r="A30" s="40" t="s">
        <v>259</v>
      </c>
      <c r="B30" s="151" t="s">
        <v>189</v>
      </c>
      <c r="C30" s="197">
        <v>240</v>
      </c>
      <c r="E30" t="str">
        <f>+IF(A30="","",IF(OR(RIGHT(A30,1)="E",RIGHT(A30,1)="H"),"",IF(IFERROR(VLOOKUP(A30,'Datos x Cja CH'!A:A,1,),"Falta en Consumo")=A30,"Ok",IFERROR(VLOOKUP(A30,'Datos x Cja CH'!A:A,1,),"Falta en Consumo"))))</f>
        <v/>
      </c>
    </row>
    <row r="31" spans="1:5" ht="21" x14ac:dyDescent="0.3">
      <c r="A31" s="40">
        <v>817</v>
      </c>
      <c r="B31" s="151" t="s">
        <v>1193</v>
      </c>
      <c r="C31" s="197">
        <v>312</v>
      </c>
      <c r="E31" t="str">
        <f>+IF(A31="","",IF(OR(RIGHT(A31,1)="E",RIGHT(A31,1)="H"),"",IF(IFERROR(VLOOKUP(A31,'Datos x Cja CH'!A:A,1,),"Falta en Consumo")=A31,"Ok",IFERROR(VLOOKUP(A31,'Datos x Cja CH'!A:A,1,),"Falta en Consumo"))))</f>
        <v>Ok</v>
      </c>
    </row>
    <row r="32" spans="1:5" ht="21" x14ac:dyDescent="0.3">
      <c r="A32" s="40" t="s">
        <v>257</v>
      </c>
      <c r="B32" s="151" t="s">
        <v>103</v>
      </c>
      <c r="C32" s="197">
        <v>1080</v>
      </c>
      <c r="E32" t="str">
        <f>+IF(A32="","",IF(OR(RIGHT(A32,1)="E",RIGHT(A32,1)="H"),"",IF(IFERROR(VLOOKUP(A32,'Datos x Cja CH'!A:A,1,),"Falta en Consumo")=A32,"Ok",IFERROR(VLOOKUP(A32,'Datos x Cja CH'!A:A,1,),"Falta en Consumo"))))</f>
        <v/>
      </c>
    </row>
    <row r="33" spans="1:5" ht="21" x14ac:dyDescent="0.3">
      <c r="A33" s="40">
        <v>609</v>
      </c>
      <c r="B33" s="151" t="s">
        <v>258</v>
      </c>
      <c r="C33" s="197">
        <v>480</v>
      </c>
      <c r="E33" t="str">
        <f>+IF(A33="","",IF(OR(RIGHT(A33,1)="E",RIGHT(A33,1)="H"),"",IF(IFERROR(VLOOKUP(A33,'Datos x Cja CH'!A:A,1,),"Falta en Consumo")=A33,"Ok",IFERROR(VLOOKUP(A33,'Datos x Cja CH'!A:A,1,),"Falta en Consumo"))))</f>
        <v>Ok</v>
      </c>
    </row>
    <row r="34" spans="1:5" ht="21" x14ac:dyDescent="0.3">
      <c r="A34" s="40">
        <v>731</v>
      </c>
      <c r="B34" s="151" t="s">
        <v>255</v>
      </c>
      <c r="C34" s="197">
        <v>264</v>
      </c>
      <c r="E34" t="str">
        <f>+IF(A34="","",IF(OR(RIGHT(A34,1)="E",RIGHT(A34,1)="H"),"",IF(IFERROR(VLOOKUP(A34,'Datos x Cja CH'!A:A,1,),"Falta en Consumo")=A34,"Ok",IFERROR(VLOOKUP(A34,'Datos x Cja CH'!A:A,1,),"Falta en Consumo"))))</f>
        <v>Ok</v>
      </c>
    </row>
    <row r="35" spans="1:5" ht="21" x14ac:dyDescent="0.3">
      <c r="A35" s="40">
        <v>723</v>
      </c>
      <c r="B35" s="151" t="s">
        <v>102</v>
      </c>
      <c r="C35" s="197">
        <v>372</v>
      </c>
      <c r="E35" t="str">
        <f>+IF(A35="","",IF(OR(RIGHT(A35,1)="E",RIGHT(A35,1)="H"),"",IF(IFERROR(VLOOKUP(A35,'Datos x Cja CH'!A:A,1,),"Falta en Consumo")=A35,"Ok",IFERROR(VLOOKUP(A35,'Datos x Cja CH'!A:A,1,),"Falta en Consumo"))))</f>
        <v>Ok</v>
      </c>
    </row>
    <row r="36" spans="1:5" ht="21" x14ac:dyDescent="0.3">
      <c r="A36" s="40">
        <v>730</v>
      </c>
      <c r="B36" s="151" t="s">
        <v>252</v>
      </c>
      <c r="C36" s="197">
        <v>600</v>
      </c>
      <c r="E36" t="str">
        <f>+IF(A36="","",IF(OR(RIGHT(A36,1)="E",RIGHT(A36,1)="H"),"",IF(IFERROR(VLOOKUP(A36,'Datos x Cja CH'!A:A,1,),"Falta en Consumo")=A36,"Ok",IFERROR(VLOOKUP(A36,'Datos x Cja CH'!A:A,1,),"Falta en Consumo"))))</f>
        <v>Ok</v>
      </c>
    </row>
    <row r="37" spans="1:5" ht="21" x14ac:dyDescent="0.3">
      <c r="A37" s="40">
        <v>911</v>
      </c>
      <c r="B37" s="151" t="s">
        <v>264</v>
      </c>
      <c r="C37" s="197">
        <v>336</v>
      </c>
      <c r="E37" t="str">
        <f>+IF(A37="","",IF(OR(RIGHT(A37,1)="E",RIGHT(A37,1)="H"),"",IF(IFERROR(VLOOKUP(A37,'Datos x Cja CH'!A:A,1,),"Falta en Consumo")=A37,"Ok",IFERROR(VLOOKUP(A37,'Datos x Cja CH'!A:A,1,),"Falta en Consumo"))))</f>
        <v>Ok</v>
      </c>
    </row>
    <row r="38" spans="1:5" ht="21" x14ac:dyDescent="0.3">
      <c r="A38" s="40">
        <v>789</v>
      </c>
      <c r="B38" s="151" t="s">
        <v>274</v>
      </c>
      <c r="C38" s="197">
        <v>1056</v>
      </c>
      <c r="E38" t="str">
        <f>+IF(A38="","",IF(OR(RIGHT(A38,1)="E",RIGHT(A38,1)="H"),"",IF(IFERROR(VLOOKUP(A38,'Datos x Cja CH'!A:A,1,),"Falta en Consumo")=A38,"Ok",IFERROR(VLOOKUP(A38,'Datos x Cja CH'!A:A,1,),"Falta en Consumo"))))</f>
        <v>Ok</v>
      </c>
    </row>
    <row r="39" spans="1:5" ht="21" x14ac:dyDescent="0.3">
      <c r="A39" s="40">
        <v>909</v>
      </c>
      <c r="B39" s="151" t="s">
        <v>269</v>
      </c>
      <c r="C39" s="197">
        <v>276</v>
      </c>
      <c r="E39" t="str">
        <f>+IF(A39="","",IF(OR(RIGHT(A39,1)="E",RIGHT(A39,1)="H"),"",IF(IFERROR(VLOOKUP(A39,'Datos x Cja CH'!A:A,1,),"Falta en Consumo")=A39,"Ok",IFERROR(VLOOKUP(A39,'Datos x Cja CH'!A:A,1,),"Falta en Consumo"))))</f>
        <v>Ok</v>
      </c>
    </row>
    <row r="40" spans="1:5" ht="21" x14ac:dyDescent="0.3">
      <c r="A40" s="40" t="s">
        <v>301</v>
      </c>
      <c r="B40" s="151" t="s">
        <v>302</v>
      </c>
      <c r="C40" s="197">
        <v>276</v>
      </c>
      <c r="E40" t="str">
        <f>+IF(A40="","",IF(OR(RIGHT(A40,1)="E",RIGHT(A40,1)="H"),"",IF(IFERROR(VLOOKUP(A40,'Datos x Cja CH'!A:A,1,),"Falta en Consumo")=A40,"Ok",IFERROR(VLOOKUP(A40,'Datos x Cja CH'!A:A,1,),"Falta en Consumo"))))</f>
        <v/>
      </c>
    </row>
    <row r="41" spans="1:5" ht="21" x14ac:dyDescent="0.3">
      <c r="A41" s="40">
        <v>725</v>
      </c>
      <c r="B41" s="151" t="s">
        <v>103</v>
      </c>
      <c r="C41" s="197">
        <v>480</v>
      </c>
      <c r="E41" t="str">
        <f>+IF(A41="","",IF(OR(RIGHT(A41,1)="E",RIGHT(A41,1)="H"),"",IF(IFERROR(VLOOKUP(A41,'Datos x Cja CH'!A:A,1,),"Falta en Consumo")=A41,"Ok",IFERROR(VLOOKUP(A41,'Datos x Cja CH'!A:A,1,),"Falta en Consumo"))))</f>
        <v>Ok</v>
      </c>
    </row>
    <row r="42" spans="1:5" ht="21" x14ac:dyDescent="0.3">
      <c r="A42" s="40">
        <v>43</v>
      </c>
      <c r="B42" s="151" t="s">
        <v>272</v>
      </c>
      <c r="C42" s="197">
        <v>240</v>
      </c>
      <c r="E42" t="str">
        <f>+IF(A42="","",IF(OR(RIGHT(A42,1)="E",RIGHT(A42,1)="H"),"",IF(IFERROR(VLOOKUP(A42,'Datos x Cja CH'!A:A,1,),"Falta en Consumo")=A42,"Ok",IFERROR(VLOOKUP(A42,'Datos x Cja CH'!A:A,1,),"Falta en Consumo"))))</f>
        <v>Ok</v>
      </c>
    </row>
    <row r="43" spans="1:5" ht="21" x14ac:dyDescent="0.3">
      <c r="A43" s="40">
        <v>763</v>
      </c>
      <c r="B43" s="151" t="s">
        <v>123</v>
      </c>
      <c r="C43" s="197">
        <v>480</v>
      </c>
      <c r="E43" t="str">
        <f>+IF(A43="","",IF(OR(RIGHT(A43,1)="E",RIGHT(A43,1)="H"),"",IF(IFERROR(VLOOKUP(A43,'Datos x Cja CH'!A:A,1,),"Falta en Consumo")=A43,"Ok",IFERROR(VLOOKUP(A43,'Datos x Cja CH'!A:A,1,),"Falta en Consumo"))))</f>
        <v>Ok</v>
      </c>
    </row>
    <row r="44" spans="1:5" ht="21" x14ac:dyDescent="0.3">
      <c r="A44" s="40" t="s">
        <v>300</v>
      </c>
      <c r="B44" s="151" t="s">
        <v>232</v>
      </c>
      <c r="C44" s="197">
        <v>240</v>
      </c>
      <c r="E44" t="str">
        <f>+IF(A44="","",IF(OR(RIGHT(A44,1)="E",RIGHT(A44,1)="H"),"",IF(IFERROR(VLOOKUP(A44,'Datos x Cja CH'!A:A,1,),"Falta en Consumo")=A44,"Ok",IFERROR(VLOOKUP(A44,'Datos x Cja CH'!A:A,1,),"Falta en Consumo"))))</f>
        <v/>
      </c>
    </row>
    <row r="45" spans="1:5" ht="21" x14ac:dyDescent="0.3">
      <c r="A45" s="40">
        <v>839</v>
      </c>
      <c r="B45" s="151" t="s">
        <v>263</v>
      </c>
      <c r="C45" s="197">
        <v>180</v>
      </c>
      <c r="E45" t="str">
        <f>+IF(A45="","",IF(OR(RIGHT(A45,1)="E",RIGHT(A45,1)="H"),"",IF(IFERROR(VLOOKUP(A45,'Datos x Cja CH'!A:A,1,),"Falta en Consumo")=A45,"Ok",IFERROR(VLOOKUP(A45,'Datos x Cja CH'!A:A,1,),"Falta en Consumo"))))</f>
        <v>Ok</v>
      </c>
    </row>
    <row r="46" spans="1:5" ht="21" x14ac:dyDescent="0.3">
      <c r="A46" s="40">
        <v>902</v>
      </c>
      <c r="B46" s="151" t="s">
        <v>260</v>
      </c>
      <c r="C46" s="197">
        <v>228</v>
      </c>
      <c r="E46" t="str">
        <f>+IF(A46="","",IF(OR(RIGHT(A46,1)="E",RIGHT(A46,1)="H"),"",IF(IFERROR(VLOOKUP(A46,'Datos x Cja CH'!A:A,1,),"Falta en Consumo")=A46,"Ok",IFERROR(VLOOKUP(A46,'Datos x Cja CH'!A:A,1,),"Falta en Consumo"))))</f>
        <v>Ok</v>
      </c>
    </row>
    <row r="47" spans="1:5" ht="21" x14ac:dyDescent="0.3">
      <c r="A47" s="40">
        <v>760</v>
      </c>
      <c r="B47" s="151" t="s">
        <v>248</v>
      </c>
      <c r="C47" s="197">
        <v>288</v>
      </c>
      <c r="E47" t="str">
        <f>+IF(A47="","",IF(OR(RIGHT(A47,1)="E",RIGHT(A47,1)="H"),"",IF(IFERROR(VLOOKUP(A47,'Datos x Cja CH'!A:A,1,),"Falta en Consumo")=A47,"Ok",IFERROR(VLOOKUP(A47,'Datos x Cja CH'!A:A,1,),"Falta en Consumo"))))</f>
        <v>Ok</v>
      </c>
    </row>
    <row r="48" spans="1:5" ht="21" x14ac:dyDescent="0.3">
      <c r="A48" s="40">
        <v>816</v>
      </c>
      <c r="B48" s="151" t="s">
        <v>256</v>
      </c>
      <c r="C48" s="197">
        <v>204</v>
      </c>
      <c r="E48" t="str">
        <f>+IF(A48="","",IF(OR(RIGHT(A48,1)="E",RIGHT(A48,1)="H"),"",IF(IFERROR(VLOOKUP(A48,'Datos x Cja CH'!A:A,1,),"Falta en Consumo")=A48,"Ok",IFERROR(VLOOKUP(A48,'Datos x Cja CH'!A:A,1,),"Falta en Consumo"))))</f>
        <v>Ok</v>
      </c>
    </row>
    <row r="49" spans="1:5" ht="21" x14ac:dyDescent="0.3">
      <c r="A49" s="40" t="s">
        <v>303</v>
      </c>
      <c r="B49" s="151" t="s">
        <v>304</v>
      </c>
      <c r="C49" s="197">
        <v>204</v>
      </c>
      <c r="E49" t="str">
        <f>+IF(A49="","",IF(OR(RIGHT(A49,1)="E",RIGHT(A49,1)="H"),"",IF(IFERROR(VLOOKUP(A49,'Datos x Cja CH'!A:A,1,),"Falta en Consumo")=A49,"Ok",IFERROR(VLOOKUP(A49,'Datos x Cja CH'!A:A,1,),"Falta en Consumo"))))</f>
        <v/>
      </c>
    </row>
    <row r="50" spans="1:5" ht="21" x14ac:dyDescent="0.3">
      <c r="A50" s="40">
        <v>700</v>
      </c>
      <c r="B50" s="151" t="s">
        <v>267</v>
      </c>
      <c r="C50" s="197">
        <v>96</v>
      </c>
      <c r="E50" t="str">
        <f>+IF(A50="","",IF(OR(RIGHT(A50,1)="E",RIGHT(A50,1)="H"),"",IF(IFERROR(VLOOKUP(A50,'Datos x Cja CH'!A:A,1,),"Falta en Consumo")=A50,"Ok",IFERROR(VLOOKUP(A50,'Datos x Cja CH'!A:A,1,),"Falta en Consumo"))))</f>
        <v>Ok</v>
      </c>
    </row>
    <row r="51" spans="1:5" ht="21" x14ac:dyDescent="0.3">
      <c r="A51" s="40">
        <v>307</v>
      </c>
      <c r="B51" s="151" t="s">
        <v>262</v>
      </c>
      <c r="C51" s="197">
        <v>360</v>
      </c>
      <c r="E51" t="str">
        <f>+IF(A51="","",IF(OR(RIGHT(A51,1)="E",RIGHT(A51,1)="H"),"",IF(IFERROR(VLOOKUP(A51,'Datos x Cja CH'!A:A,1,),"Falta en Consumo")=A51,"Ok",IFERROR(VLOOKUP(A51,'Datos x Cja CH'!A:A,1,),"Falta en Consumo"))))</f>
        <v>Ok</v>
      </c>
    </row>
    <row r="52" spans="1:5" ht="21" x14ac:dyDescent="0.3">
      <c r="A52" s="40">
        <v>769</v>
      </c>
      <c r="B52" s="151" t="s">
        <v>299</v>
      </c>
      <c r="C52" s="197">
        <v>240</v>
      </c>
      <c r="E52" t="str">
        <f>+IF(A52="","",IF(OR(RIGHT(A52,1)="E",RIGHT(A52,1)="H"),"",IF(IFERROR(VLOOKUP(A52,'Datos x Cja CH'!A:A,1,),"Falta en Consumo")=A52,"Ok",IFERROR(VLOOKUP(A52,'Datos x Cja CH'!A:A,1,),"Falta en Consumo"))))</f>
        <v>Ok</v>
      </c>
    </row>
    <row r="53" spans="1:5" ht="21" x14ac:dyDescent="0.3">
      <c r="A53" s="40">
        <v>863</v>
      </c>
      <c r="B53" s="151" t="s">
        <v>282</v>
      </c>
      <c r="C53" s="197">
        <v>48</v>
      </c>
      <c r="E53" t="str">
        <f>+IF(A53="","",IF(OR(RIGHT(A53,1)="E",RIGHT(A53,1)="H"),"",IF(IFERROR(VLOOKUP(A53,'Datos x Cja CH'!A:A,1,),"Falta en Consumo")=A53,"Ok",IFERROR(VLOOKUP(A53,'Datos x Cja CH'!A:A,1,),"Falta en Consumo"))))</f>
        <v>Ok</v>
      </c>
    </row>
    <row r="54" spans="1:5" ht="21" x14ac:dyDescent="0.3">
      <c r="A54" s="40">
        <v>764</v>
      </c>
      <c r="B54" s="151" t="s">
        <v>249</v>
      </c>
      <c r="C54" s="197">
        <v>504</v>
      </c>
      <c r="E54" t="str">
        <f>+IF(A54="","",IF(OR(RIGHT(A54,1)="E",RIGHT(A54,1)="H"),"",IF(IFERROR(VLOOKUP(A54,'Datos x Cja CH'!A:A,1,),"Falta en Consumo")=A54,"Ok",IFERROR(VLOOKUP(A54,'Datos x Cja CH'!A:A,1,),"Falta en Consumo"))))</f>
        <v>Ok</v>
      </c>
    </row>
    <row r="55" spans="1:5" ht="21" x14ac:dyDescent="0.3">
      <c r="A55" s="40">
        <v>920</v>
      </c>
      <c r="B55" s="151" t="s">
        <v>265</v>
      </c>
      <c r="C55" s="197">
        <v>144</v>
      </c>
      <c r="E55" t="str">
        <f>+IF(A55="","",IF(OR(RIGHT(A55,1)="E",RIGHT(A55,1)="H"),"",IF(IFERROR(VLOOKUP(A55,'Datos x Cja CH'!A:A,1,),"Falta en Consumo")=A55,"Ok",IFERROR(VLOOKUP(A55,'Datos x Cja CH'!A:A,1,),"Falta en Consumo"))))</f>
        <v>Ok</v>
      </c>
    </row>
    <row r="56" spans="1:5" ht="21" x14ac:dyDescent="0.3">
      <c r="A56" s="40">
        <v>842</v>
      </c>
      <c r="B56" s="151" t="s">
        <v>266</v>
      </c>
      <c r="C56" s="197">
        <v>120</v>
      </c>
      <c r="E56" t="str">
        <f>+IF(A56="","",IF(OR(RIGHT(A56,1)="E",RIGHT(A56,1)="H"),"",IF(IFERROR(VLOOKUP(A56,'Datos x Cja CH'!A:A,1,),"Falta en Consumo")=A56,"Ok",IFERROR(VLOOKUP(A56,'Datos x Cja CH'!A:A,1,),"Falta en Consumo"))))</f>
        <v>Ok</v>
      </c>
    </row>
    <row r="57" spans="1:5" ht="21" x14ac:dyDescent="0.3">
      <c r="A57" s="40">
        <v>846</v>
      </c>
      <c r="B57" s="151" t="s">
        <v>270</v>
      </c>
      <c r="C57" s="197">
        <v>192</v>
      </c>
      <c r="E57" t="str">
        <f>+IF(A57="","",IF(OR(RIGHT(A57,1)="E",RIGHT(A57,1)="H"),"",IF(IFERROR(VLOOKUP(A57,'Datos x Cja CH'!A:A,1,),"Falta en Consumo")=A57,"Ok",IFERROR(VLOOKUP(A57,'Datos x Cja CH'!A:A,1,),"Falta en Consumo"))))</f>
        <v>Ok</v>
      </c>
    </row>
    <row r="58" spans="1:5" ht="21" x14ac:dyDescent="0.3">
      <c r="A58" s="40">
        <v>867</v>
      </c>
      <c r="B58" s="151" t="s">
        <v>283</v>
      </c>
      <c r="C58" s="197">
        <v>312</v>
      </c>
      <c r="E58" t="str">
        <f>+IF(A58="","",IF(OR(RIGHT(A58,1)="E",RIGHT(A58,1)="H"),"",IF(IFERROR(VLOOKUP(A58,'Datos x Cja CH'!A:A,1,),"Falta en Consumo")=A58,"Ok",IFERROR(VLOOKUP(A58,'Datos x Cja CH'!A:A,1,),"Falta en Consumo"))))</f>
        <v>Ok</v>
      </c>
    </row>
    <row r="59" spans="1:5" ht="21" x14ac:dyDescent="0.3">
      <c r="A59" s="40" t="s">
        <v>250</v>
      </c>
      <c r="B59" s="151" t="s">
        <v>251</v>
      </c>
      <c r="C59" s="197">
        <v>240</v>
      </c>
      <c r="E59" t="str">
        <f>+IF(A59="","",IF(OR(RIGHT(A59,1)="E",RIGHT(A59,1)="H"),"",IF(IFERROR(VLOOKUP(A59,'Datos x Cja CH'!A:A,1,),"Falta en Consumo")=A59,"Ok",IFERROR(VLOOKUP(A59,'Datos x Cja CH'!A:A,1,),"Falta en Consumo"))))</f>
        <v/>
      </c>
    </row>
    <row r="60" spans="1:5" ht="21" x14ac:dyDescent="0.3">
      <c r="A60" s="40">
        <v>720</v>
      </c>
      <c r="B60" s="151" t="s">
        <v>298</v>
      </c>
      <c r="C60" s="197">
        <v>24</v>
      </c>
      <c r="E60" t="str">
        <f>+IF(A60="","",IF(OR(RIGHT(A60,1)="E",RIGHT(A60,1)="H"),"",IF(IFERROR(VLOOKUP(A60,'Datos x Cja CH'!A:A,1,),"Falta en Consumo")=A60,"Ok",IFERROR(VLOOKUP(A60,'Datos x Cja CH'!A:A,1,),"Falta en Consumo"))))</f>
        <v>Ok</v>
      </c>
    </row>
    <row r="61" spans="1:5" ht="21" x14ac:dyDescent="0.3">
      <c r="A61" s="40">
        <v>800</v>
      </c>
      <c r="B61" s="151" t="s">
        <v>321</v>
      </c>
      <c r="C61" s="197">
        <v>72</v>
      </c>
      <c r="E61" t="str">
        <f>+IF(A61="","",IF(OR(RIGHT(A61,1)="E",RIGHT(A61,1)="H"),"",IF(IFERROR(VLOOKUP(A61,'Datos x Cja CH'!A:A,1,),"Falta en Consumo")=A61,"Ok",IFERROR(VLOOKUP(A61,'Datos x Cja CH'!A:A,1,),"Falta en Consumo"))))</f>
        <v>Ok</v>
      </c>
    </row>
    <row r="62" spans="1:5" ht="21" x14ac:dyDescent="0.3">
      <c r="A62" s="40">
        <v>55</v>
      </c>
      <c r="B62" s="151" t="s">
        <v>938</v>
      </c>
      <c r="C62" s="197">
        <v>96</v>
      </c>
      <c r="E62" t="str">
        <f>+IF(A62="","",IF(OR(RIGHT(A62,1)="E",RIGHT(A62,1)="H"),"",IF(IFERROR(VLOOKUP(A62,'Datos x Cja CH'!A:A,1,),"Falta en Consumo")=A62,"Ok",IFERROR(VLOOKUP(A62,'Datos x Cja CH'!A:A,1,),"Falta en Consumo"))))</f>
        <v>Ok</v>
      </c>
    </row>
    <row r="63" spans="1:5" ht="21" x14ac:dyDescent="0.3">
      <c r="A63" s="40">
        <v>615</v>
      </c>
      <c r="B63" s="151" t="s">
        <v>94</v>
      </c>
      <c r="C63" s="197">
        <v>60</v>
      </c>
      <c r="E63" t="str">
        <f>+IF(A63="","",IF(OR(RIGHT(A63,1)="E",RIGHT(A63,1)="H"),"",IF(IFERROR(VLOOKUP(A63,'Datos x Cja CH'!A:A,1,),"Falta en Consumo")=A63,"Ok",IFERROR(VLOOKUP(A63,'Datos x Cja CH'!A:A,1,),"Falta en Consumo"))))</f>
        <v>Ok</v>
      </c>
    </row>
    <row r="64" spans="1:5" ht="21" x14ac:dyDescent="0.3">
      <c r="A64" s="40">
        <v>859</v>
      </c>
      <c r="B64" s="151" t="s">
        <v>124</v>
      </c>
      <c r="C64" s="197">
        <v>72</v>
      </c>
      <c r="E64" t="str">
        <f>+IF(A64="","",IF(OR(RIGHT(A64,1)="E",RIGHT(A64,1)="H"),"",IF(IFERROR(VLOOKUP(A64,'Datos x Cja CH'!A:A,1,),"Falta en Consumo")=A64,"Ok",IFERROR(VLOOKUP(A64,'Datos x Cja CH'!A:A,1,),"Falta en Consumo"))))</f>
        <v>Ok</v>
      </c>
    </row>
    <row r="65" spans="1:5" ht="21" x14ac:dyDescent="0.3">
      <c r="A65" s="40">
        <v>864</v>
      </c>
      <c r="B65" s="151" t="s">
        <v>114</v>
      </c>
      <c r="C65" s="197">
        <v>48</v>
      </c>
      <c r="E65" t="str">
        <f>+IF(A65="","",IF(OR(RIGHT(A65,1)="E",RIGHT(A65,1)="H"),"",IF(IFERROR(VLOOKUP(A65,'Datos x Cja CH'!A:A,1,),"Falta en Consumo")=A65,"Ok",IFERROR(VLOOKUP(A65,'Datos x Cja CH'!A:A,1,),"Falta en Consumo"))))</f>
        <v>Ok</v>
      </c>
    </row>
    <row r="66" spans="1:5" ht="21" x14ac:dyDescent="0.3">
      <c r="A66" s="40">
        <v>845</v>
      </c>
      <c r="B66" s="151" t="s">
        <v>275</v>
      </c>
      <c r="C66" s="197">
        <v>168</v>
      </c>
      <c r="E66" t="str">
        <f>+IF(A66="","",IF(OR(RIGHT(A66,1)="E",RIGHT(A66,1)="H"),"",IF(IFERROR(VLOOKUP(A66,'Datos x Cja CH'!A:A,1,),"Falta en Consumo")=A66,"Ok",IFERROR(VLOOKUP(A66,'Datos x Cja CH'!A:A,1,),"Falta en Consumo"))))</f>
        <v>Ok</v>
      </c>
    </row>
    <row r="67" spans="1:5" ht="21" x14ac:dyDescent="0.3">
      <c r="A67" s="40">
        <v>53</v>
      </c>
      <c r="B67" s="151" t="s">
        <v>311</v>
      </c>
      <c r="C67" s="197">
        <v>48</v>
      </c>
      <c r="E67" t="str">
        <f>+IF(A67="","",IF(OR(RIGHT(A67,1)="E",RIGHT(A67,1)="H"),"",IF(IFERROR(VLOOKUP(A67,'Datos x Cja CH'!A:A,1,),"Falta en Consumo")=A67,"Ok",IFERROR(VLOOKUP(A67,'Datos x Cja CH'!A:A,1,),"Falta en Consumo"))))</f>
        <v>Ok</v>
      </c>
    </row>
    <row r="68" spans="1:5" ht="21" x14ac:dyDescent="0.3">
      <c r="A68" s="40">
        <v>708</v>
      </c>
      <c r="B68" s="151" t="s">
        <v>268</v>
      </c>
      <c r="C68" s="197">
        <v>72</v>
      </c>
      <c r="E68" t="str">
        <f>+IF(A68="","",IF(OR(RIGHT(A68,1)="E",RIGHT(A68,1)="H"),"",IF(IFERROR(VLOOKUP(A68,'Datos x Cja CH'!A:A,1,),"Falta en Consumo")=A68,"Ok",IFERROR(VLOOKUP(A68,'Datos x Cja CH'!A:A,1,),"Falta en Consumo"))))</f>
        <v>Ok</v>
      </c>
    </row>
    <row r="69" spans="1:5" ht="21" x14ac:dyDescent="0.3">
      <c r="A69" s="40">
        <v>719</v>
      </c>
      <c r="B69" s="151" t="s">
        <v>307</v>
      </c>
      <c r="C69" s="197">
        <v>72</v>
      </c>
      <c r="E69" t="str">
        <f>+IF(A69="","",IF(OR(RIGHT(A69,1)="E",RIGHT(A69,1)="H"),"",IF(IFERROR(VLOOKUP(A69,'Datos x Cja CH'!A:A,1,),"Falta en Consumo")=A69,"Ok",IFERROR(VLOOKUP(A69,'Datos x Cja CH'!A:A,1,),"Falta en Consumo"))))</f>
        <v>Ok</v>
      </c>
    </row>
    <row r="70" spans="1:5" ht="21" x14ac:dyDescent="0.25">
      <c r="A70" s="141">
        <v>735</v>
      </c>
      <c r="B70" s="153" t="s">
        <v>941</v>
      </c>
      <c r="C70" s="197">
        <v>96</v>
      </c>
      <c r="E70" t="str">
        <f>+IF(A70="","",IF(OR(RIGHT(A70,1)="E",RIGHT(A70,1)="H"),"",IF(IFERROR(VLOOKUP(A70,'Datos x Cja CH'!A:A,1,),"Falta en Consumo")=A70,"Ok",IFERROR(VLOOKUP(A70,'Datos x Cja CH'!A:A,1,),"Falta en Consumo"))))</f>
        <v>Ok</v>
      </c>
    </row>
    <row r="71" spans="1:5" ht="21" x14ac:dyDescent="0.3">
      <c r="A71" s="40">
        <v>878</v>
      </c>
      <c r="B71" s="151" t="s">
        <v>291</v>
      </c>
      <c r="C71" s="197">
        <v>240</v>
      </c>
      <c r="E71" t="str">
        <f>+IF(A71="","",IF(OR(RIGHT(A71,1)="E",RIGHT(A71,1)="H"),"",IF(IFERROR(VLOOKUP(A71,'Datos x Cja CH'!A:A,1,),"Falta en Consumo")=A71,"Ok",IFERROR(VLOOKUP(A71,'Datos x Cja CH'!A:A,1,),"Falta en Consumo"))))</f>
        <v>Ok</v>
      </c>
    </row>
    <row r="72" spans="1:5" ht="21" x14ac:dyDescent="0.3">
      <c r="A72" s="40">
        <v>630</v>
      </c>
      <c r="B72" s="151" t="s">
        <v>297</v>
      </c>
      <c r="C72" s="197">
        <v>72</v>
      </c>
      <c r="E72" t="str">
        <f>+IF(A72="","",IF(OR(RIGHT(A72,1)="E",RIGHT(A72,1)="H"),"",IF(IFERROR(VLOOKUP(A72,'Datos x Cja CH'!A:A,1,),"Falta en Consumo")=A72,"Ok",IFERROR(VLOOKUP(A72,'Datos x Cja CH'!A:A,1,),"Falta en Consumo"))))</f>
        <v>Ok</v>
      </c>
    </row>
    <row r="73" spans="1:5" ht="21" x14ac:dyDescent="0.3">
      <c r="A73" s="40">
        <v>715</v>
      </c>
      <c r="B73" s="151" t="s">
        <v>289</v>
      </c>
      <c r="C73" s="197">
        <v>192</v>
      </c>
      <c r="E73" t="str">
        <f>+IF(A73="","",IF(OR(RIGHT(A73,1)="E",RIGHT(A73,1)="H"),"",IF(IFERROR(VLOOKUP(A73,'Datos x Cja CH'!A:A,1,),"Falta en Consumo")=A73,"Ok",IFERROR(VLOOKUP(A73,'Datos x Cja CH'!A:A,1,),"Falta en Consumo"))))</f>
        <v>Ok</v>
      </c>
    </row>
    <row r="74" spans="1:5" ht="21" x14ac:dyDescent="0.3">
      <c r="A74" s="40">
        <v>722</v>
      </c>
      <c r="B74" s="151" t="s">
        <v>110</v>
      </c>
      <c r="C74" s="197">
        <v>24</v>
      </c>
      <c r="E74" t="str">
        <f>+IF(A74="","",IF(OR(RIGHT(A74,1)="E",RIGHT(A74,1)="H"),"",IF(IFERROR(VLOOKUP(A74,'Datos x Cja CH'!A:A,1,),"Falta en Consumo")=A74,"Ok",IFERROR(VLOOKUP(A74,'Datos x Cja CH'!A:A,1,),"Falta en Consumo"))))</f>
        <v>Ok</v>
      </c>
    </row>
    <row r="75" spans="1:5" ht="21" x14ac:dyDescent="0.3">
      <c r="A75" s="40">
        <v>732</v>
      </c>
      <c r="B75" s="151" t="s">
        <v>290</v>
      </c>
      <c r="C75" s="197">
        <v>96</v>
      </c>
      <c r="E75" t="str">
        <f>+IF(A75="","",IF(OR(RIGHT(A75,1)="E",RIGHT(A75,1)="H"),"",IF(IFERROR(VLOOKUP(A75,'Datos x Cja CH'!A:A,1,),"Falta en Consumo")=A75,"Ok",IFERROR(VLOOKUP(A75,'Datos x Cja CH'!A:A,1,),"Falta en Consumo"))))</f>
        <v>Ok</v>
      </c>
    </row>
    <row r="76" spans="1:5" ht="21" x14ac:dyDescent="0.3">
      <c r="A76" s="40">
        <v>908</v>
      </c>
      <c r="B76" s="151" t="s">
        <v>293</v>
      </c>
      <c r="C76" s="197">
        <v>60</v>
      </c>
      <c r="E76" t="str">
        <f>+IF(A76="","",IF(OR(RIGHT(A76,1)="E",RIGHT(A76,1)="H"),"",IF(IFERROR(VLOOKUP(A76,'Datos x Cja CH'!A:A,1,),"Falta en Consumo")=A76,"Ok",IFERROR(VLOOKUP(A76,'Datos x Cja CH'!A:A,1,),"Falta en Consumo"))))</f>
        <v>Ok</v>
      </c>
    </row>
    <row r="77" spans="1:5" ht="21" x14ac:dyDescent="0.3">
      <c r="A77" s="40">
        <v>52</v>
      </c>
      <c r="B77" s="151" t="s">
        <v>310</v>
      </c>
      <c r="C77" s="197">
        <v>24</v>
      </c>
      <c r="E77" t="str">
        <f>+IF(A77="","",IF(OR(RIGHT(A77,1)="E",RIGHT(A77,1)="H"),"",IF(IFERROR(VLOOKUP(A77,'Datos x Cja CH'!A:A,1,),"Falta en Consumo")=A77,"Ok",IFERROR(VLOOKUP(A77,'Datos x Cja CH'!A:A,1,),"Falta en Consumo"))))</f>
        <v>Ok</v>
      </c>
    </row>
    <row r="78" spans="1:5" ht="21" x14ac:dyDescent="0.3">
      <c r="A78" s="40">
        <v>707</v>
      </c>
      <c r="B78" s="151" t="s">
        <v>87</v>
      </c>
      <c r="C78" s="197">
        <v>48</v>
      </c>
      <c r="E78" t="str">
        <f>+IF(A78="","",IF(OR(RIGHT(A78,1)="E",RIGHT(A78,1)="H"),"",IF(IFERROR(VLOOKUP(A78,'Datos x Cja CH'!A:A,1,),"Falta en Consumo")=A78,"Ok",IFERROR(VLOOKUP(A78,'Datos x Cja CH'!A:A,1,),"Falta en Consumo"))))</f>
        <v>Ok</v>
      </c>
    </row>
    <row r="79" spans="1:5" ht="21" x14ac:dyDescent="0.3">
      <c r="A79" s="40">
        <v>709</v>
      </c>
      <c r="B79" s="151" t="s">
        <v>77</v>
      </c>
      <c r="C79" s="197">
        <v>24</v>
      </c>
      <c r="E79" t="str">
        <f>+IF(A79="","",IF(OR(RIGHT(A79,1)="E",RIGHT(A79,1)="H"),"",IF(IFERROR(VLOOKUP(A79,'Datos x Cja CH'!A:A,1,),"Falta en Consumo")=A79,"Ok",IFERROR(VLOOKUP(A79,'Datos x Cja CH'!A:A,1,),"Falta en Consumo"))))</f>
        <v>Ok</v>
      </c>
    </row>
    <row r="80" spans="1:5" ht="21" x14ac:dyDescent="0.3">
      <c r="A80" s="40">
        <v>761</v>
      </c>
      <c r="B80" s="151" t="s">
        <v>119</v>
      </c>
      <c r="C80" s="197">
        <v>24</v>
      </c>
      <c r="E80" t="str">
        <f>+IF(A80="","",IF(OR(RIGHT(A80,1)="E",RIGHT(A80,1)="H"),"",IF(IFERROR(VLOOKUP(A80,'Datos x Cja CH'!A:A,1,),"Falta en Consumo")=A80,"Ok",IFERROR(VLOOKUP(A80,'Datos x Cja CH'!A:A,1,),"Falta en Consumo"))))</f>
        <v>Ok</v>
      </c>
    </row>
    <row r="81" spans="1:5" ht="21" x14ac:dyDescent="0.3">
      <c r="A81" s="40">
        <v>844</v>
      </c>
      <c r="B81" s="151" t="s">
        <v>323</v>
      </c>
      <c r="C81" s="197">
        <v>48</v>
      </c>
      <c r="E81" t="str">
        <f>+IF(A81="","",IF(OR(RIGHT(A81,1)="E",RIGHT(A81,1)="H"),"",IF(IFERROR(VLOOKUP(A81,'Datos x Cja CH'!A:A,1,),"Falta en Consumo")=A81,"Ok",IFERROR(VLOOKUP(A81,'Datos x Cja CH'!A:A,1,),"Falta en Consumo"))))</f>
        <v>Ok</v>
      </c>
    </row>
    <row r="82" spans="1:5" ht="21" x14ac:dyDescent="0.3">
      <c r="A82" s="40">
        <v>848</v>
      </c>
      <c r="B82" s="151" t="s">
        <v>60</v>
      </c>
      <c r="C82" s="197">
        <v>24</v>
      </c>
      <c r="E82" t="str">
        <f>+IF(A82="","",IF(OR(RIGHT(A82,1)="E",RIGHT(A82,1)="H"),"",IF(IFERROR(VLOOKUP(A82,'Datos x Cja CH'!A:A,1,),"Falta en Consumo")=A82,"Ok",IFERROR(VLOOKUP(A82,'Datos x Cja CH'!A:A,1,),"Falta en Consumo"))))</f>
        <v>Ok</v>
      </c>
    </row>
    <row r="83" spans="1:5" ht="21" x14ac:dyDescent="0.3">
      <c r="A83" s="40">
        <v>856</v>
      </c>
      <c r="B83" s="151" t="s">
        <v>308</v>
      </c>
      <c r="C83" s="197">
        <v>96</v>
      </c>
      <c r="E83" t="str">
        <f>+IF(A83="","",IF(OR(RIGHT(A83,1)="E",RIGHT(A83,1)="H"),"",IF(IFERROR(VLOOKUP(A83,'Datos x Cja CH'!A:A,1,),"Falta en Consumo")=A83,"Ok",IFERROR(VLOOKUP(A83,'Datos x Cja CH'!A:A,1,),"Falta en Consumo"))))</f>
        <v>Ok</v>
      </c>
    </row>
    <row r="84" spans="1:5" ht="21" x14ac:dyDescent="0.3">
      <c r="A84" s="40">
        <v>858</v>
      </c>
      <c r="B84" s="151" t="s">
        <v>131</v>
      </c>
      <c r="C84" s="197">
        <v>96</v>
      </c>
      <c r="E84" t="str">
        <f>+IF(A84="","",IF(OR(RIGHT(A84,1)="E",RIGHT(A84,1)="H"),"",IF(IFERROR(VLOOKUP(A84,'Datos x Cja CH'!A:A,1,),"Falta en Consumo")=A84,"Ok",IFERROR(VLOOKUP(A84,'Datos x Cja CH'!A:A,1,),"Falta en Consumo"))))</f>
        <v>Ok</v>
      </c>
    </row>
    <row r="85" spans="1:5" ht="21" x14ac:dyDescent="0.3">
      <c r="A85" s="40">
        <v>879</v>
      </c>
      <c r="B85" s="151" t="s">
        <v>292</v>
      </c>
      <c r="C85" s="197">
        <v>24</v>
      </c>
      <c r="E85" t="str">
        <f>+IF(A85="","",IF(OR(RIGHT(A85,1)="E",RIGHT(A85,1)="H"),"",IF(IFERROR(VLOOKUP(A85,'Datos x Cja CH'!A:A,1,),"Falta en Consumo")=A85,"Ok",IFERROR(VLOOKUP(A85,'Datos x Cja CH'!A:A,1,),"Falta en Consumo"))))</f>
        <v>Ok</v>
      </c>
    </row>
    <row r="86" spans="1:5" ht="21" x14ac:dyDescent="0.3">
      <c r="A86" s="40">
        <v>900</v>
      </c>
      <c r="B86" s="151" t="s">
        <v>330</v>
      </c>
      <c r="C86" s="197">
        <v>24</v>
      </c>
      <c r="E86" t="str">
        <f>+IF(A86="","",IF(OR(RIGHT(A86,1)="E",RIGHT(A86,1)="H"),"",IF(IFERROR(VLOOKUP(A86,'Datos x Cja CH'!A:A,1,),"Falta en Consumo")=A86,"Ok",IFERROR(VLOOKUP(A86,'Datos x Cja CH'!A:A,1,),"Falta en Consumo"))))</f>
        <v>Ok</v>
      </c>
    </row>
    <row r="87" spans="1:5" ht="21" x14ac:dyDescent="0.3">
      <c r="A87" s="40">
        <v>718</v>
      </c>
      <c r="B87" s="151" t="s">
        <v>320</v>
      </c>
      <c r="C87" s="197">
        <v>48</v>
      </c>
      <c r="E87" t="str">
        <f>+IF(A87="","",IF(OR(RIGHT(A87,1)="E",RIGHT(A87,1)="H"),"",IF(IFERROR(VLOOKUP(A87,'Datos x Cja CH'!A:A,1,),"Falta en Consumo")=A87,"Ok",IFERROR(VLOOKUP(A87,'Datos x Cja CH'!A:A,1,),"Falta en Consumo"))))</f>
        <v>Ok</v>
      </c>
    </row>
    <row r="88" spans="1:5" ht="21" x14ac:dyDescent="0.3">
      <c r="A88" s="40">
        <v>843</v>
      </c>
      <c r="B88" s="151" t="s">
        <v>322</v>
      </c>
      <c r="C88" s="197">
        <v>48</v>
      </c>
      <c r="E88" t="str">
        <f>+IF(A88="","",IF(OR(RIGHT(A88,1)="E",RIGHT(A88,1)="H"),"",IF(IFERROR(VLOOKUP(A88,'Datos x Cja CH'!A:A,1,),"Falta en Consumo")=A88,"Ok",IFERROR(VLOOKUP(A88,'Datos x Cja CH'!A:A,1,),"Falta en Consumo"))))</f>
        <v>Ok</v>
      </c>
    </row>
    <row r="89" spans="1:5" ht="21" x14ac:dyDescent="0.3">
      <c r="A89" s="40">
        <v>852</v>
      </c>
      <c r="B89" s="151" t="s">
        <v>276</v>
      </c>
      <c r="C89" s="197">
        <v>60</v>
      </c>
      <c r="E89" t="str">
        <f>+IF(A89="","",IF(OR(RIGHT(A89,1)="E",RIGHT(A89,1)="H"),"",IF(IFERROR(VLOOKUP(A89,'Datos x Cja CH'!A:A,1,),"Falta en Consumo")=A89,"Ok",IFERROR(VLOOKUP(A89,'Datos x Cja CH'!A:A,1,),"Falta en Consumo"))))</f>
        <v>Ok</v>
      </c>
    </row>
    <row r="90" spans="1:5" ht="21" x14ac:dyDescent="0.3">
      <c r="A90" s="40">
        <v>54</v>
      </c>
      <c r="B90" s="151" t="s">
        <v>279</v>
      </c>
      <c r="C90" s="199">
        <v>24</v>
      </c>
      <c r="E90" t="str">
        <f>+IF(A90="","",IF(OR(RIGHT(A90,1)="E",RIGHT(A90,1)="H"),"",IF(IFERROR(VLOOKUP(A90,'Datos x Cja CH'!A:A,1,),"Falta en Consumo")=A90,"Ok",IFERROR(VLOOKUP(A90,'Datos x Cja CH'!A:A,1,),"Falta en Consumo"))))</f>
        <v>Ok</v>
      </c>
    </row>
    <row r="91" spans="1:5" ht="21" x14ac:dyDescent="0.3">
      <c r="A91" s="40">
        <v>631</v>
      </c>
      <c r="B91" s="151" t="s">
        <v>315</v>
      </c>
      <c r="C91" s="197">
        <v>48</v>
      </c>
      <c r="E91" t="str">
        <f>+IF(A91="","",IF(OR(RIGHT(A91,1)="E",RIGHT(A91,1)="H"),"",IF(IFERROR(VLOOKUP(A91,'Datos x Cja CH'!A:A,1,),"Falta en Consumo")=A91,"Ok",IFERROR(VLOOKUP(A91,'Datos x Cja CH'!A:A,1,),"Falta en Consumo"))))</f>
        <v>Ok</v>
      </c>
    </row>
    <row r="92" spans="1:5" ht="21" x14ac:dyDescent="0.3">
      <c r="A92" s="40">
        <v>632</v>
      </c>
      <c r="B92" s="151" t="s">
        <v>316</v>
      </c>
      <c r="C92" s="197">
        <v>24</v>
      </c>
      <c r="E92" t="str">
        <f>+IF(A92="","",IF(OR(RIGHT(A92,1)="E",RIGHT(A92,1)="H"),"",IF(IFERROR(VLOOKUP(A92,'Datos x Cja CH'!A:A,1,),"Falta en Consumo")=A92,"Ok",IFERROR(VLOOKUP(A92,'Datos x Cja CH'!A:A,1,),"Falta en Consumo"))))</f>
        <v>Ok</v>
      </c>
    </row>
    <row r="93" spans="1:5" ht="21" x14ac:dyDescent="0.3">
      <c r="A93" s="40">
        <v>635</v>
      </c>
      <c r="B93" s="151" t="s">
        <v>318</v>
      </c>
      <c r="C93" s="197">
        <v>48</v>
      </c>
      <c r="E93" t="str">
        <f>+IF(A93="","",IF(OR(RIGHT(A93,1)="E",RIGHT(A93,1)="H"),"",IF(IFERROR(VLOOKUP(A93,'Datos x Cja CH'!A:A,1,),"Falta en Consumo")=A93,"Ok",IFERROR(VLOOKUP(A93,'Datos x Cja CH'!A:A,1,),"Falta en Consumo"))))</f>
        <v>Ok</v>
      </c>
    </row>
    <row r="94" spans="1:5" ht="21" x14ac:dyDescent="0.3">
      <c r="A94" s="40">
        <v>636</v>
      </c>
      <c r="B94" s="151" t="s">
        <v>306</v>
      </c>
      <c r="C94" s="197">
        <v>48</v>
      </c>
      <c r="E94" t="str">
        <f>+IF(A94="","",IF(OR(RIGHT(A94,1)="E",RIGHT(A94,1)="H"),"",IF(IFERROR(VLOOKUP(A94,'Datos x Cja CH'!A:A,1,),"Falta en Consumo")=A94,"Ok",IFERROR(VLOOKUP(A94,'Datos x Cja CH'!A:A,1,),"Falta en Consumo"))))</f>
        <v>Ok</v>
      </c>
    </row>
    <row r="95" spans="1:5" ht="21" x14ac:dyDescent="0.3">
      <c r="A95" s="40">
        <v>872</v>
      </c>
      <c r="B95" s="151" t="s">
        <v>141</v>
      </c>
      <c r="C95" s="197">
        <v>0</v>
      </c>
      <c r="E95" t="str">
        <f>+IF(A95="","",IF(OR(RIGHT(A95,1)="E",RIGHT(A95,1)="H"),"",IF(IFERROR(VLOOKUP(A95,'Datos x Cja CH'!A:A,1,),"Falta en Consumo")=A95,"Ok",IFERROR(VLOOKUP(A95,'Datos x Cja CH'!A:A,1,),"Falta en Consumo"))))</f>
        <v>Ok</v>
      </c>
    </row>
    <row r="96" spans="1:5" ht="21" x14ac:dyDescent="0.3">
      <c r="A96" s="40">
        <v>873</v>
      </c>
      <c r="B96" s="151" t="s">
        <v>142</v>
      </c>
      <c r="C96" s="197">
        <v>0</v>
      </c>
      <c r="E96" t="str">
        <f>+IF(A96="","",IF(OR(RIGHT(A96,1)="E",RIGHT(A96,1)="H"),"",IF(IFERROR(VLOOKUP(A96,'Datos x Cja CH'!A:A,1,),"Falta en Consumo")=A96,"Ok",IFERROR(VLOOKUP(A96,'Datos x Cja CH'!A:A,1,),"Falta en Consumo"))))</f>
        <v>Ok</v>
      </c>
    </row>
    <row r="97" spans="1:5" ht="21" x14ac:dyDescent="0.3">
      <c r="A97" s="40">
        <v>633</v>
      </c>
      <c r="B97" s="151" t="s">
        <v>305</v>
      </c>
      <c r="C97" s="197">
        <v>36</v>
      </c>
      <c r="E97" t="str">
        <f>+IF(A97="","",IF(OR(RIGHT(A97,1)="E",RIGHT(A97,1)="H"),"",IF(IFERROR(VLOOKUP(A97,'Datos x Cja CH'!A:A,1,),"Falta en Consumo")=A97,"Ok",IFERROR(VLOOKUP(A97,'Datos x Cja CH'!A:A,1,),"Falta en Consumo"))))</f>
        <v>Ok</v>
      </c>
    </row>
    <row r="98" spans="1:5" ht="21" x14ac:dyDescent="0.3">
      <c r="A98" s="40">
        <v>634</v>
      </c>
      <c r="B98" s="151" t="s">
        <v>317</v>
      </c>
      <c r="C98" s="197">
        <v>12</v>
      </c>
      <c r="E98" t="str">
        <f>+IF(A98="","",IF(OR(RIGHT(A98,1)="E",RIGHT(A98,1)="H"),"",IF(IFERROR(VLOOKUP(A98,'Datos x Cja CH'!A:A,1,),"Falta en Consumo")=A98,"Ok",IFERROR(VLOOKUP(A98,'Datos x Cja CH'!A:A,1,),"Falta en Consumo"))))</f>
        <v>Ok</v>
      </c>
    </row>
    <row r="99" spans="1:5" ht="21" x14ac:dyDescent="0.3">
      <c r="A99" s="40">
        <v>710</v>
      </c>
      <c r="B99" s="151" t="s">
        <v>327</v>
      </c>
      <c r="C99" s="197">
        <v>0</v>
      </c>
      <c r="E99" t="str">
        <f>+IF(A99="","",IF(OR(RIGHT(A99,1)="E",RIGHT(A99,1)="H"),"",IF(IFERROR(VLOOKUP(A99,'Datos x Cja CH'!A:A,1,),"Falta en Consumo")=A99,"Ok",IFERROR(VLOOKUP(A99,'Datos x Cja CH'!A:A,1,),"Falta en Consumo"))))</f>
        <v>Ok</v>
      </c>
    </row>
    <row r="100" spans="1:5" ht="21" x14ac:dyDescent="0.3">
      <c r="A100" s="40">
        <v>857</v>
      </c>
      <c r="B100" s="151" t="s">
        <v>324</v>
      </c>
      <c r="C100" s="197">
        <v>24</v>
      </c>
      <c r="E100" t="str">
        <f>+IF(A100="","",IF(OR(RIGHT(A100,1)="E",RIGHT(A100,1)="H"),"",IF(IFERROR(VLOOKUP(A100,'Datos x Cja CH'!A:A,1,),"Falta en Consumo")=A100,"Ok",IFERROR(VLOOKUP(A100,'Datos x Cja CH'!A:A,1,),"Falta en Consumo"))))</f>
        <v>Ok</v>
      </c>
    </row>
    <row r="101" spans="1:5" ht="21" x14ac:dyDescent="0.3">
      <c r="A101" s="40">
        <v>860</v>
      </c>
      <c r="B101" s="151" t="s">
        <v>325</v>
      </c>
      <c r="C101" s="197">
        <v>0</v>
      </c>
      <c r="E101" t="str">
        <f>+IF(A101="","",IF(OR(RIGHT(A101,1)="E",RIGHT(A101,1)="H"),"",IF(IFERROR(VLOOKUP(A101,'Datos x Cja CH'!A:A,1,),"Falta en Consumo")=A101,"Ok",IFERROR(VLOOKUP(A101,'Datos x Cja CH'!A:A,1,),"Falta en Consumo"))))</f>
        <v>Ok</v>
      </c>
    </row>
    <row r="102" spans="1:5" ht="21" x14ac:dyDescent="0.3">
      <c r="A102" s="40">
        <v>755</v>
      </c>
      <c r="B102" s="151" t="s">
        <v>273</v>
      </c>
      <c r="C102" s="197">
        <v>0</v>
      </c>
      <c r="E102" t="str">
        <f>+IF(A102="","",IF(OR(RIGHT(A102,1)="E",RIGHT(A102,1)="H"),"",IF(IFERROR(VLOOKUP(A102,'Datos x Cja CH'!A:A,1,),"Falta en Consumo")=A102,"Ok",IFERROR(VLOOKUP(A102,'Datos x Cja CH'!A:A,1,),"Falta en Consumo"))))</f>
        <v>Ok</v>
      </c>
    </row>
    <row r="103" spans="1:5" ht="21" x14ac:dyDescent="0.3">
      <c r="A103" s="40">
        <v>818</v>
      </c>
      <c r="B103" s="151" t="s">
        <v>329</v>
      </c>
      <c r="C103" s="197">
        <v>0</v>
      </c>
      <c r="E103" t="str">
        <f>+IF(A103="","",IF(OR(RIGHT(A103,1)="E",RIGHT(A103,1)="H"),"",IF(IFERROR(VLOOKUP(A103,'Datos x Cja CH'!A:A,1,),"Falta en Consumo")=A103,"Ok",IFERROR(VLOOKUP(A103,'Datos x Cja CH'!A:A,1,),"Falta en Consumo"))))</f>
        <v>Ok</v>
      </c>
    </row>
    <row r="104" spans="1:5" ht="17.25" x14ac:dyDescent="0.3">
      <c r="A104" s="140" t="s">
        <v>909</v>
      </c>
      <c r="B104" s="151" t="s">
        <v>940</v>
      </c>
      <c r="C104" s="198">
        <v>24</v>
      </c>
      <c r="E104" t="str">
        <f>+IF(A104="","",IF(OR(RIGHT(A104,1)="E",RIGHT(A104,1)="H"),"",IF(IFERROR(VLOOKUP(A104,'Datos x Cja CH'!A:A,1,),"Falta en Consumo")=A104,"Ok",IFERROR(VLOOKUP(A104,'Datos x Cja CH'!A:A,1,),"Falta en Consumo"))))</f>
        <v/>
      </c>
    </row>
    <row r="105" spans="1:5" ht="21" x14ac:dyDescent="0.3">
      <c r="A105" s="40" t="s">
        <v>294</v>
      </c>
      <c r="B105" s="151" t="s">
        <v>295</v>
      </c>
      <c r="C105" s="197">
        <v>120</v>
      </c>
      <c r="E105" t="str">
        <f>+IF(A105="","",IF(OR(RIGHT(A105,1)="E",RIGHT(A105,1)="H"),"",IF(IFERROR(VLOOKUP(A105,'Datos x Cja CH'!A:A,1,),"Falta en Consumo")=A105,"Ok",IFERROR(VLOOKUP(A105,'Datos x Cja CH'!A:A,1,),"Falta en Consumo"))))</f>
        <v/>
      </c>
    </row>
    <row r="106" spans="1:5" ht="21" x14ac:dyDescent="0.3">
      <c r="A106" s="40" t="s">
        <v>296</v>
      </c>
      <c r="B106" s="151" t="s">
        <v>158</v>
      </c>
      <c r="C106" s="200">
        <v>0</v>
      </c>
      <c r="E106" t="str">
        <f>+IF(A106="","",IF(OR(RIGHT(A106,1)="E",RIGHT(A106,1)="H"),"",IF(IFERROR(VLOOKUP(A106,'Datos x Cja CH'!A:A,1,),"Falta en Consumo")=A106,"Ok",IFERROR(VLOOKUP(A106,'Datos x Cja CH'!A:A,1,),"Falta en Consumo"))))</f>
        <v/>
      </c>
    </row>
    <row r="107" spans="1:5" ht="18.75" x14ac:dyDescent="0.3">
      <c r="A107" s="40">
        <v>801</v>
      </c>
      <c r="B107" s="151" t="s">
        <v>946</v>
      </c>
      <c r="C107" s="198">
        <v>24</v>
      </c>
      <c r="E107" t="str">
        <f>+IF(A107="","",IF(OR(RIGHT(A107,1)="E",RIGHT(A107,1)="H"),"",IF(IFERROR(VLOOKUP(A107,'Datos x Cja CH'!A:A,1,),"Falta en Consumo")=A107,"Ok",IFERROR(VLOOKUP(A107,'Datos x Cja CH'!A:A,1,),"Falta en Consumo"))))</f>
        <v>Ok</v>
      </c>
    </row>
    <row r="108" spans="1:5" ht="21" x14ac:dyDescent="0.3">
      <c r="A108" s="40">
        <v>61</v>
      </c>
      <c r="B108" s="151" t="s">
        <v>326</v>
      </c>
      <c r="C108" s="197">
        <v>0</v>
      </c>
      <c r="E108" t="str">
        <f>+IF(A108="","",IF(OR(RIGHT(A108,1)="E",RIGHT(A108,1)="H"),"",IF(IFERROR(VLOOKUP(A108,'Datos x Cja CH'!A:A,1,),"Falta en Consumo")=A108,"Ok",IFERROR(VLOOKUP(A108,'Datos x Cja CH'!A:A,1,),"Falta en Consumo"))))</f>
        <v>Ok</v>
      </c>
    </row>
    <row r="109" spans="1:5" ht="21" x14ac:dyDescent="0.3">
      <c r="A109" s="40">
        <v>724</v>
      </c>
      <c r="B109" s="151" t="s">
        <v>328</v>
      </c>
      <c r="C109" s="197">
        <v>0</v>
      </c>
      <c r="E109" t="str">
        <f>+IF(A109="","",IF(OR(RIGHT(A109,1)="E",RIGHT(A109,1)="H"),"",IF(IFERROR(VLOOKUP(A109,'Datos x Cja CH'!A:A,1,),"Falta en Consumo")=A109,"Ok",IFERROR(VLOOKUP(A109,'Datos x Cja CH'!A:A,1,),"Falta en Consumo"))))</f>
        <v>Ok</v>
      </c>
    </row>
    <row r="110" spans="1:5" ht="21" x14ac:dyDescent="0.3">
      <c r="A110" s="40">
        <v>762</v>
      </c>
      <c r="B110" s="151" t="s">
        <v>122</v>
      </c>
      <c r="C110" s="197">
        <v>24</v>
      </c>
      <c r="E110" t="str">
        <f>+IF(A110="","",IF(OR(RIGHT(A110,1)="E",RIGHT(A110,1)="H"),"",IF(IFERROR(VLOOKUP(A110,'Datos x Cja CH'!A:A,1,),"Falta en Consumo")=A110,"Ok",IFERROR(VLOOKUP(A110,'Datos x Cja CH'!A:A,1,),"Falta en Consumo"))))</f>
        <v>Ok</v>
      </c>
    </row>
    <row r="111" spans="1:5" ht="21" x14ac:dyDescent="0.3">
      <c r="A111" s="40">
        <v>765</v>
      </c>
      <c r="B111" s="155" t="s">
        <v>121</v>
      </c>
      <c r="C111" s="200">
        <v>0</v>
      </c>
      <c r="E111" t="str">
        <f>+IF(A111="","",IF(OR(RIGHT(A111,1)="E",RIGHT(A111,1)="H"),"",IF(IFERROR(VLOOKUP(A111,'Datos x Cja CH'!A:A,1,),"Falta en Consumo")=A111,"Ok",IFERROR(VLOOKUP(A111,'Datos x Cja CH'!A:A,1,),"Falta en Consumo"))))</f>
        <v>Ok</v>
      </c>
    </row>
    <row r="112" spans="1:5" ht="21.75" thickBot="1" x14ac:dyDescent="0.35">
      <c r="A112" s="40" t="s">
        <v>1192</v>
      </c>
      <c r="B112" s="156" t="s">
        <v>1159</v>
      </c>
      <c r="C112" s="201">
        <v>252</v>
      </c>
      <c r="E112" t="str">
        <f>+IF(A112="","",IF(OR(RIGHT(A112,1)="E",RIGHT(A112,1)="H"),"",IF(IFERROR(VLOOKUP(A112,'Datos x Cja CH'!A:A,1,),"Falta en Consumo")=A112,"Ok",IFERROR(VLOOKUP(A112,'Datos x Cja CH'!A:A,1,),"Falta en Consumo"))))</f>
        <v/>
      </c>
    </row>
    <row r="113" spans="1:5" ht="16.5" thickBot="1" x14ac:dyDescent="0.3">
      <c r="C113"/>
      <c r="E113" t="str">
        <f>+IF(A113="","",IF(OR(RIGHT(A113,1)="E",RIGHT(A113,1)="H"),"",IF(IFERROR(VLOOKUP(A113,'Datos x Cja CH'!A:A,1,),"Falta en Consumo")=A113,"Ok",IFERROR(VLOOKUP(A113,'Datos x Cja CH'!A:A,1,),"Falta en Consumo"))))</f>
        <v/>
      </c>
    </row>
    <row r="114" spans="1:5" ht="34.5" thickBot="1" x14ac:dyDescent="0.3">
      <c r="A114" s="142"/>
      <c r="B114" s="158"/>
      <c r="C114"/>
      <c r="E114" t="str">
        <f>+IF(A114="","",IF(OR(RIGHT(A114,1)="E",RIGHT(A114,1)="H"),"",IF(IFERROR(VLOOKUP(A114,'Datos x Cja CH'!A:A,1,),"Falta en Consumo")=A114,"Ok",IFERROR(VLOOKUP(A114,'Datos x Cja CH'!A:A,1,),"Falta en Consumo"))))</f>
        <v/>
      </c>
    </row>
    <row r="115" spans="1:5" ht="21.75" thickBot="1" x14ac:dyDescent="0.3">
      <c r="A115" s="143" t="s">
        <v>239</v>
      </c>
      <c r="B115" s="159" t="s">
        <v>32</v>
      </c>
      <c r="C115" t="s">
        <v>1194</v>
      </c>
      <c r="E115" t="str">
        <f>+IF(A115="","",IF(OR(RIGHT(A115,1)="E",RIGHT(A115,1)="H"),"",IF(IFERROR(VLOOKUP(A115,'Datos x Cja CH'!A:A,1,),"Falta en Consumo")=A115,"Ok",IFERROR(VLOOKUP(A115,'Datos x Cja CH'!A:A,1,),"Falta en Consumo"))))</f>
        <v>Falta en Consumo</v>
      </c>
    </row>
    <row r="116" spans="1:5" ht="21" x14ac:dyDescent="0.3">
      <c r="A116" s="40" t="s">
        <v>842</v>
      </c>
      <c r="B116" s="151" t="s">
        <v>948</v>
      </c>
      <c r="C116" s="157">
        <v>0</v>
      </c>
      <c r="E116" t="str">
        <f>+IF(A116="","",IF(OR(RIGHT(A116,1)="E",RIGHT(A116,1)="H"),"",IF(IFERROR(VLOOKUP(A116,'Datos x Cja CH'!A:A,1,),"Falta en Consumo")=A116,"Ok",IFERROR(VLOOKUP(A116,'Datos x Cja CH'!A:A,1,),"Falta en Consumo"))))</f>
        <v>Ok</v>
      </c>
    </row>
    <row r="117" spans="1:5" ht="21" x14ac:dyDescent="0.3">
      <c r="A117" s="40" t="s">
        <v>844</v>
      </c>
      <c r="B117" s="151" t="s">
        <v>949</v>
      </c>
      <c r="C117" s="157">
        <v>0</v>
      </c>
      <c r="E117" t="str">
        <f>+IF(A117="","",IF(OR(RIGHT(A117,1)="E",RIGHT(A117,1)="H"),"",IF(IFERROR(VLOOKUP(A117,'Datos x Cja CH'!A:A,1,),"Falta en Consumo")=A117,"Ok",IFERROR(VLOOKUP(A117,'Datos x Cja CH'!A:A,1,),"Falta en Consumo"))))</f>
        <v>Ok</v>
      </c>
    </row>
    <row r="118" spans="1:5" ht="21" x14ac:dyDescent="0.3">
      <c r="A118" s="40" t="s">
        <v>846</v>
      </c>
      <c r="B118" s="151" t="s">
        <v>950</v>
      </c>
      <c r="C118" s="157">
        <v>0</v>
      </c>
      <c r="E118" t="str">
        <f>+IF(A118="","",IF(OR(RIGHT(A118,1)="E",RIGHT(A118,1)="H"),"",IF(IFERROR(VLOOKUP(A118,'Datos x Cja CH'!A:A,1,),"Falta en Consumo")=A118,"Ok",IFERROR(VLOOKUP(A118,'Datos x Cja CH'!A:A,1,),"Falta en Consumo"))))</f>
        <v>Ok</v>
      </c>
    </row>
    <row r="119" spans="1:5" ht="21" x14ac:dyDescent="0.3">
      <c r="A119" s="40" t="s">
        <v>848</v>
      </c>
      <c r="B119" s="151" t="s">
        <v>951</v>
      </c>
      <c r="C119" s="157">
        <v>0</v>
      </c>
      <c r="E119" t="str">
        <f>+IF(A119="","",IF(OR(RIGHT(A119,1)="E",RIGHT(A119,1)="H"),"",IF(IFERROR(VLOOKUP(A119,'Datos x Cja CH'!A:A,1,),"Falta en Consumo")=A119,"Ok",IFERROR(VLOOKUP(A119,'Datos x Cja CH'!A:A,1,),"Falta en Consumo"))))</f>
        <v>Ok</v>
      </c>
    </row>
    <row r="120" spans="1:5" ht="21" x14ac:dyDescent="0.3">
      <c r="A120" s="40" t="s">
        <v>850</v>
      </c>
      <c r="B120" s="151" t="s">
        <v>952</v>
      </c>
      <c r="C120" s="157">
        <v>0</v>
      </c>
      <c r="E120" t="str">
        <f>+IF(A120="","",IF(OR(RIGHT(A120,1)="E",RIGHT(A120,1)="H"),"",IF(IFERROR(VLOOKUP(A120,'Datos x Cja CH'!A:A,1,),"Falta en Consumo")=A120,"Ok",IFERROR(VLOOKUP(A120,'Datos x Cja CH'!A:A,1,),"Falta en Consumo"))))</f>
        <v>Ok</v>
      </c>
    </row>
    <row r="121" spans="1:5" ht="21" x14ac:dyDescent="0.3">
      <c r="A121" s="40" t="s">
        <v>852</v>
      </c>
      <c r="B121" s="151" t="s">
        <v>226</v>
      </c>
      <c r="C121" s="157">
        <v>0</v>
      </c>
      <c r="E121" t="str">
        <f>+IF(A121="","",IF(OR(RIGHT(A121,1)="E",RIGHT(A121,1)="H"),"",IF(IFERROR(VLOOKUP(A121,'Datos x Cja CH'!A:A,1,),"Falta en Consumo")=A121,"Ok",IFERROR(VLOOKUP(A121,'Datos x Cja CH'!A:A,1,),"Falta en Consumo"))))</f>
        <v>Ok</v>
      </c>
    </row>
    <row r="122" spans="1:5" ht="21" x14ac:dyDescent="0.3">
      <c r="A122" s="40" t="s">
        <v>853</v>
      </c>
      <c r="B122" s="151" t="s">
        <v>112</v>
      </c>
      <c r="C122" s="157">
        <v>0</v>
      </c>
      <c r="E122" t="str">
        <f>+IF(A122="","",IF(OR(RIGHT(A122,1)="E",RIGHT(A122,1)="H"),"",IF(IFERROR(VLOOKUP(A122,'Datos x Cja CH'!A:A,1,),"Falta en Consumo")=A122,"Ok",IFERROR(VLOOKUP(A122,'Datos x Cja CH'!A:A,1,),"Falta en Consumo"))))</f>
        <v>Ok</v>
      </c>
    </row>
    <row r="123" spans="1:5" ht="21" x14ac:dyDescent="0.3">
      <c r="A123" s="40" t="s">
        <v>854</v>
      </c>
      <c r="B123" s="151" t="s">
        <v>93</v>
      </c>
      <c r="C123" s="157">
        <v>0</v>
      </c>
      <c r="E123" t="str">
        <f>+IF(A123="","",IF(OR(RIGHT(A123,1)="E",RIGHT(A123,1)="H"),"",IF(IFERROR(VLOOKUP(A123,'Datos x Cja CH'!A:A,1,),"Falta en Consumo")=A123,"Ok",IFERROR(VLOOKUP(A123,'Datos x Cja CH'!A:A,1,),"Falta en Consumo"))))</f>
        <v>Ok</v>
      </c>
    </row>
    <row r="124" spans="1:5" ht="21" x14ac:dyDescent="0.3">
      <c r="A124" s="40" t="s">
        <v>856</v>
      </c>
      <c r="B124" s="151" t="s">
        <v>953</v>
      </c>
      <c r="C124" s="157">
        <v>0</v>
      </c>
      <c r="E124" t="str">
        <f>+IF(A124="","",IF(OR(RIGHT(A124,1)="E",RIGHT(A124,1)="H"),"",IF(IFERROR(VLOOKUP(A124,'Datos x Cja CH'!A:A,1,),"Falta en Consumo")=A124,"Ok",IFERROR(VLOOKUP(A124,'Datos x Cja CH'!A:A,1,),"Falta en Consumo"))))</f>
        <v>Ok</v>
      </c>
    </row>
    <row r="125" spans="1:5" ht="21" x14ac:dyDescent="0.3">
      <c r="A125" s="40" t="s">
        <v>857</v>
      </c>
      <c r="B125" s="151" t="s">
        <v>954</v>
      </c>
      <c r="C125" s="157">
        <v>0</v>
      </c>
      <c r="E125" t="str">
        <f>+IF(A125="","",IF(OR(RIGHT(A125,1)="E",RIGHT(A125,1)="H"),"",IF(IFERROR(VLOOKUP(A125,'Datos x Cja CH'!A:A,1,),"Falta en Consumo")=A125,"Ok",IFERROR(VLOOKUP(A125,'Datos x Cja CH'!A:A,1,),"Falta en Consumo"))))</f>
        <v>Ok</v>
      </c>
    </row>
    <row r="126" spans="1:5" ht="21" x14ac:dyDescent="0.3">
      <c r="A126" s="40" t="s">
        <v>910</v>
      </c>
      <c r="B126" s="151" t="s">
        <v>955</v>
      </c>
      <c r="C126" s="157">
        <v>0</v>
      </c>
      <c r="E126" t="str">
        <f>+IF(A126="","",IF(OR(RIGHT(A126,1)="E",RIGHT(A126,1)="H"),"",IF(IFERROR(VLOOKUP(A126,'Datos x Cja CH'!A:A,1,),"Falta en Consumo")=A126,"Ok",IFERROR(VLOOKUP(A126,'Datos x Cja CH'!A:A,1,),"Falta en Consumo"))))</f>
        <v>Falta en Consumo</v>
      </c>
    </row>
    <row r="127" spans="1:5" ht="21" x14ac:dyDescent="0.3">
      <c r="A127" s="40" t="s">
        <v>859</v>
      </c>
      <c r="B127" s="151" t="s">
        <v>956</v>
      </c>
      <c r="C127" s="157">
        <v>0</v>
      </c>
      <c r="E127" t="str">
        <f>+IF(A127="","",IF(OR(RIGHT(A127,1)="E",RIGHT(A127,1)="H"),"",IF(IFERROR(VLOOKUP(A127,'Datos x Cja CH'!A:A,1,),"Falta en Consumo")=A127,"Ok",IFERROR(VLOOKUP(A127,'Datos x Cja CH'!A:A,1,),"Falta en Consumo"))))</f>
        <v>Ok</v>
      </c>
    </row>
    <row r="128" spans="1:5" ht="21" x14ac:dyDescent="0.3">
      <c r="A128" s="40" t="s">
        <v>861</v>
      </c>
      <c r="B128" s="151" t="s">
        <v>957</v>
      </c>
      <c r="C128" s="157">
        <v>0</v>
      </c>
      <c r="E128" t="str">
        <f>+IF(A128="","",IF(OR(RIGHT(A128,1)="E",RIGHT(A128,1)="H"),"",IF(IFERROR(VLOOKUP(A128,'Datos x Cja CH'!A:A,1,),"Falta en Consumo")=A128,"Ok",IFERROR(VLOOKUP(A128,'Datos x Cja CH'!A:A,1,),"Falta en Consumo"))))</f>
        <v>Ok</v>
      </c>
    </row>
    <row r="129" spans="1:5" ht="17.25" x14ac:dyDescent="0.3">
      <c r="A129" s="140"/>
      <c r="B129" s="151"/>
      <c r="C129"/>
      <c r="E129" t="str">
        <f>+IF(A129="","",IF(OR(RIGHT(A129,1)="E",RIGHT(A129,1)="H"),"",IF(IFERROR(VLOOKUP(A129,'Datos x Cja CH'!A:A,1,),"Falta en Consumo")=A129,"Ok",IFERROR(VLOOKUP(A129,'Datos x Cja CH'!A:A,1,),"Falta en Consumo"))))</f>
        <v/>
      </c>
    </row>
    <row r="130" spans="1:5" ht="21" x14ac:dyDescent="0.3">
      <c r="A130" s="41">
        <v>717</v>
      </c>
      <c r="B130" s="152" t="s">
        <v>331</v>
      </c>
      <c r="C130" s="157">
        <v>0</v>
      </c>
      <c r="E130" t="str">
        <f>+IF(A130="","",IF(OR(RIGHT(A130,1)="E",RIGHT(A130,1)="H"),"",IF(IFERROR(VLOOKUP(A130,'Datos x Cja CH'!A:A,1,),"Falta en Consumo")=A130,"Ok",IFERROR(VLOOKUP(A130,'Datos x Cja CH'!A:A,1,),"Falta en Consumo"))))</f>
        <v>Ok</v>
      </c>
    </row>
    <row r="131" spans="1:5" ht="21" x14ac:dyDescent="0.3">
      <c r="A131" s="41">
        <v>912</v>
      </c>
      <c r="B131" s="152" t="s">
        <v>309</v>
      </c>
      <c r="C131" s="157">
        <v>0</v>
      </c>
      <c r="E131" t="str">
        <f>+IF(A131="","",IF(OR(RIGHT(A131,1)="E",RIGHT(A131,1)="H"),"",IF(IFERROR(VLOOKUP(A131,'Datos x Cja CH'!A:A,1,),"Falta en Consumo")=A131,"Ok",IFERROR(VLOOKUP(A131,'Datos x Cja CH'!A:A,1,),"Falta en Consumo"))))</f>
        <v>Ok</v>
      </c>
    </row>
    <row r="132" spans="1:5" ht="21" x14ac:dyDescent="0.3">
      <c r="A132" s="193">
        <v>862</v>
      </c>
      <c r="B132" s="152" t="s">
        <v>281</v>
      </c>
      <c r="C132" s="157">
        <v>180</v>
      </c>
      <c r="E132" t="str">
        <f>+IF(A132="","",IF(OR(RIGHT(A132,1)="E",RIGHT(A132,1)="H"),"",IF(IFERROR(VLOOKUP(A132,'Datos x Cja CH'!A:A,1,),"Falta en Consumo")=A132,"Ok",IFERROR(VLOOKUP(A132,'Datos x Cja CH'!A:A,1,),"Falta en Consumo"))))</f>
        <v>Ok</v>
      </c>
    </row>
    <row r="133" spans="1:5" ht="21" x14ac:dyDescent="0.3">
      <c r="A133" s="41">
        <v>747</v>
      </c>
      <c r="B133" s="152" t="s">
        <v>118</v>
      </c>
      <c r="C133" s="157">
        <v>24</v>
      </c>
      <c r="E133" t="str">
        <f>+IF(A133="","",IF(OR(RIGHT(A133,1)="E",RIGHT(A133,1)="H"),"",IF(IFERROR(VLOOKUP(A133,'Datos x Cja CH'!A:A,1,),"Falta en Consumo")=A133,"Ok",IFERROR(VLOOKUP(A133,'Datos x Cja CH'!A:A,1,),"Falta en Consumo"))))</f>
        <v>Ok</v>
      </c>
    </row>
    <row r="134" spans="1:5" ht="21" x14ac:dyDescent="0.3">
      <c r="A134" s="41">
        <v>748</v>
      </c>
      <c r="B134" s="152" t="s">
        <v>332</v>
      </c>
      <c r="C134" s="157">
        <v>0</v>
      </c>
      <c r="E134" t="str">
        <f>+IF(A134="","",IF(OR(RIGHT(A134,1)="E",RIGHT(A134,1)="H"),"",IF(IFERROR(VLOOKUP(A134,'Datos x Cja CH'!A:A,1,),"Falta en Consumo")=A134,"Ok",IFERROR(VLOOKUP(A134,'Datos x Cja CH'!A:A,1,),"Falta en Consumo"))))</f>
        <v>Falta en Consumo</v>
      </c>
    </row>
    <row r="135" spans="1:5" ht="21" x14ac:dyDescent="0.3">
      <c r="A135" s="41">
        <v>637</v>
      </c>
      <c r="B135" s="152" t="s">
        <v>319</v>
      </c>
      <c r="C135" s="157">
        <v>12</v>
      </c>
      <c r="E135" t="str">
        <f>+IF(A135="","",IF(OR(RIGHT(A135,1)="E",RIGHT(A135,1)="H"),"",IF(IFERROR(VLOOKUP(A135,'Datos x Cja CH'!A:A,1,),"Falta en Consumo")=A135,"Ok",IFERROR(VLOOKUP(A135,'Datos x Cja CH'!A:A,1,),"Falta en Consumo"))))</f>
        <v>Ok</v>
      </c>
    </row>
    <row r="136" spans="1:5" ht="21" x14ac:dyDescent="0.3">
      <c r="A136" s="193">
        <v>617</v>
      </c>
      <c r="B136" s="152" t="s">
        <v>312</v>
      </c>
      <c r="C136" s="157">
        <v>0</v>
      </c>
      <c r="E136" t="str">
        <f>+IF(A136="","",IF(OR(RIGHT(A136,1)="E",RIGHT(A136,1)="H"),"",IF(IFERROR(VLOOKUP(A136,'Datos x Cja CH'!A:A,1,),"Falta en Consumo")=A136,"Ok",IFERROR(VLOOKUP(A136,'Datos x Cja CH'!A:A,1,),"Falta en Consumo"))))</f>
        <v>Ok</v>
      </c>
    </row>
    <row r="137" spans="1:5" ht="21" x14ac:dyDescent="0.3">
      <c r="A137" s="193">
        <v>618</v>
      </c>
      <c r="B137" s="152" t="s">
        <v>313</v>
      </c>
      <c r="C137" s="157">
        <v>0</v>
      </c>
      <c r="E137" t="str">
        <f>+IF(A137="","",IF(OR(RIGHT(A137,1)="E",RIGHT(A137,1)="H"),"",IF(IFERROR(VLOOKUP(A137,'Datos x Cja CH'!A:A,1,),"Falta en Consumo")=A137,"Ok",IFERROR(VLOOKUP(A137,'Datos x Cja CH'!A:A,1,),"Falta en Consumo"))))</f>
        <v>Falta en Consumo</v>
      </c>
    </row>
    <row r="138" spans="1:5" ht="21" x14ac:dyDescent="0.3">
      <c r="A138" s="193">
        <v>619</v>
      </c>
      <c r="B138" s="152" t="s">
        <v>314</v>
      </c>
      <c r="C138" s="157">
        <v>0</v>
      </c>
      <c r="E138" t="str">
        <f>+IF(A138="","",IF(OR(RIGHT(A138,1)="E",RIGHT(A138,1)="H"),"",IF(IFERROR(VLOOKUP(A138,'Datos x Cja CH'!A:A,1,),"Falta en Consumo")=A138,"Ok",IFERROR(VLOOKUP(A138,'Datos x Cja CH'!A:A,1,),"Falta en Consumo"))))</f>
        <v>Falta en Consumo</v>
      </c>
    </row>
    <row r="139" spans="1:5" ht="21" x14ac:dyDescent="0.3">
      <c r="A139" s="41">
        <v>613</v>
      </c>
      <c r="B139" s="152" t="s">
        <v>288</v>
      </c>
      <c r="C139" s="157">
        <v>0</v>
      </c>
      <c r="E139" t="str">
        <f>+IF(A139="","",IF(OR(RIGHT(A139,1)="E",RIGHT(A139,1)="H"),"",IF(IFERROR(VLOOKUP(A139,'Datos x Cja CH'!A:A,1,),"Falta en Consumo")=A139,"Ok",IFERROR(VLOOKUP(A139,'Datos x Cja CH'!A:A,1,),"Falta en Consumo"))))</f>
        <v>Falta en Consumo</v>
      </c>
    </row>
    <row r="140" spans="1:5" ht="21" x14ac:dyDescent="0.3">
      <c r="A140" s="140" t="s">
        <v>180</v>
      </c>
      <c r="B140" s="151" t="s">
        <v>971</v>
      </c>
      <c r="C140" s="157">
        <v>168</v>
      </c>
      <c r="E140" t="str">
        <f>+IF(A140="","",IF(OR(RIGHT(A140,1)="E",RIGHT(A140,1)="H"),"",IF(IFERROR(VLOOKUP(A140,'Datos x Cja CH'!A:A,1,),"Falta en Consumo")=A140,"Ok",IFERROR(VLOOKUP(A140,'Datos x Cja CH'!A:A,1,),"Falta en Consumo"))))</f>
        <v/>
      </c>
    </row>
    <row r="141" spans="1:5" ht="21" x14ac:dyDescent="0.3">
      <c r="A141" s="140" t="s">
        <v>182</v>
      </c>
      <c r="B141" s="151" t="s">
        <v>972</v>
      </c>
      <c r="C141" s="157">
        <v>336</v>
      </c>
      <c r="E141" t="str">
        <f>+IF(A141="","",IF(OR(RIGHT(A141,1)="E",RIGHT(A141,1)="H"),"",IF(IFERROR(VLOOKUP(A141,'Datos x Cja CH'!A:A,1,),"Falta en Consumo")=A141,"Ok",IFERROR(VLOOKUP(A141,'Datos x Cja CH'!A:A,1,),"Falta en Consumo"))))</f>
        <v/>
      </c>
    </row>
    <row r="142" spans="1:5" ht="21" x14ac:dyDescent="0.3">
      <c r="A142" s="193">
        <v>452</v>
      </c>
      <c r="B142" s="152" t="s">
        <v>939</v>
      </c>
      <c r="C142" s="157">
        <v>0</v>
      </c>
      <c r="E142" t="str">
        <f>+IF(A142="","",IF(OR(RIGHT(A142,1)="E",RIGHT(A142,1)="H"),"",IF(IFERROR(VLOOKUP(A142,'Datos x Cja CH'!A:A,1,),"Falta en Consumo")=A142,"Ok",IFERROR(VLOOKUP(A142,'Datos x Cja CH'!A:A,1,),"Falta en Consumo"))))</f>
        <v>Falta en Consumo</v>
      </c>
    </row>
    <row r="143" spans="1:5" ht="21" x14ac:dyDescent="0.3">
      <c r="A143" s="193">
        <v>453</v>
      </c>
      <c r="B143" s="152" t="s">
        <v>284</v>
      </c>
      <c r="C143" s="157">
        <v>0</v>
      </c>
      <c r="E143" t="str">
        <f>+IF(A143="","",IF(OR(RIGHT(A143,1)="E",RIGHT(A143,1)="H"),"",IF(IFERROR(VLOOKUP(A143,'Datos x Cja CH'!A:A,1,),"Falta en Consumo")=A143,"Ok",IFERROR(VLOOKUP(A143,'Datos x Cja CH'!A:A,1,),"Falta en Consumo"))))</f>
        <v>Falta en Consumo</v>
      </c>
    </row>
    <row r="144" spans="1:5" ht="21" x14ac:dyDescent="0.3">
      <c r="A144" s="193">
        <v>454</v>
      </c>
      <c r="B144" s="152" t="s">
        <v>285</v>
      </c>
      <c r="C144" s="157">
        <v>0</v>
      </c>
      <c r="E144" t="str">
        <f>+IF(A144="","",IF(OR(RIGHT(A144,1)="E",RIGHT(A144,1)="H"),"",IF(IFERROR(VLOOKUP(A144,'Datos x Cja CH'!A:A,1,),"Falta en Consumo")=A144,"Ok",IFERROR(VLOOKUP(A144,'Datos x Cja CH'!A:A,1,),"Falta en Consumo"))))</f>
        <v>Falta en Consumo</v>
      </c>
    </row>
    <row r="145" spans="1:5" ht="21" x14ac:dyDescent="0.3">
      <c r="A145" s="193">
        <v>455</v>
      </c>
      <c r="B145" s="152" t="s">
        <v>286</v>
      </c>
      <c r="C145" s="157">
        <v>0</v>
      </c>
      <c r="E145" t="str">
        <f>+IF(A145="","",IF(OR(RIGHT(A145,1)="E",RIGHT(A145,1)="H"),"",IF(IFERROR(VLOOKUP(A145,'Datos x Cja CH'!A:A,1,),"Falta en Consumo")=A145,"Ok",IFERROR(VLOOKUP(A145,'Datos x Cja CH'!A:A,1,),"Falta en Consumo"))))</f>
        <v>Falta en Consumo</v>
      </c>
    </row>
    <row r="146" spans="1:5" ht="21" x14ac:dyDescent="0.3">
      <c r="A146" s="193">
        <v>456</v>
      </c>
      <c r="B146" s="152" t="s">
        <v>287</v>
      </c>
      <c r="C146" s="157">
        <v>0</v>
      </c>
      <c r="E146" t="str">
        <f>+IF(A146="","",IF(OR(RIGHT(A146,1)="E",RIGHT(A146,1)="H"),"",IF(IFERROR(VLOOKUP(A146,'Datos x Cja CH'!A:A,1,),"Falta en Consumo")=A146,"Ok",IFERROR(VLOOKUP(A146,'Datos x Cja CH'!A:A,1,),"Falta en Consumo"))))</f>
        <v>Falta en Consumo</v>
      </c>
    </row>
    <row r="147" spans="1:5" ht="21" x14ac:dyDescent="0.3">
      <c r="A147" s="40">
        <v>823</v>
      </c>
      <c r="B147" s="151" t="s">
        <v>942</v>
      </c>
      <c r="C147" s="157">
        <v>0</v>
      </c>
      <c r="E147" t="str">
        <f>+IF(A147="","",IF(OR(RIGHT(A147,1)="E",RIGHT(A147,1)="H"),"",IF(IFERROR(VLOOKUP(A147,'Datos x Cja CH'!A:A,1,),"Falta en Consumo")=A147,"Ok",IFERROR(VLOOKUP(A147,'Datos x Cja CH'!A:A,1,),"Falta en Consumo"))))</f>
        <v>Ok</v>
      </c>
    </row>
    <row r="148" spans="1:5" ht="17.25" x14ac:dyDescent="0.3">
      <c r="A148" s="140">
        <v>64</v>
      </c>
      <c r="B148" s="151" t="s">
        <v>958</v>
      </c>
      <c r="C148">
        <v>0</v>
      </c>
      <c r="E148" t="str">
        <f>+IF(A148="","",IF(OR(RIGHT(A148,1)="E",RIGHT(A148,1)="H"),"",IF(IFERROR(VLOOKUP(A148,'Datos x Cja CH'!A:A,1,),"Falta en Consumo")=A148,"Ok",IFERROR(VLOOKUP(A148,'Datos x Cja CH'!A:A,1,),"Falta en Consumo"))))</f>
        <v>Ok</v>
      </c>
    </row>
    <row r="149" spans="1:5" ht="17.25" x14ac:dyDescent="0.3">
      <c r="A149" s="140">
        <v>711</v>
      </c>
      <c r="B149" s="151" t="s">
        <v>85</v>
      </c>
      <c r="C149">
        <v>0</v>
      </c>
      <c r="E149" t="str">
        <f>+IF(A149="","",IF(OR(RIGHT(A149,1)="E",RIGHT(A149,1)="H"),"",IF(IFERROR(VLOOKUP(A149,'Datos x Cja CH'!A:A,1,),"Falta en Consumo")=A149,"Ok",IFERROR(VLOOKUP(A149,'Datos x Cja CH'!A:A,1,),"Falta en Consumo"))))</f>
        <v>Ok</v>
      </c>
    </row>
    <row r="150" spans="1:5" ht="17.25" x14ac:dyDescent="0.3">
      <c r="A150" s="140">
        <v>750</v>
      </c>
      <c r="B150" s="151" t="s">
        <v>959</v>
      </c>
      <c r="C150">
        <v>0</v>
      </c>
      <c r="E150" t="str">
        <f>+IF(A150="","",IF(OR(RIGHT(A150,1)="E",RIGHT(A150,1)="H"),"",IF(IFERROR(VLOOKUP(A150,'Datos x Cja CH'!A:A,1,),"Falta en Consumo")=A150,"Ok",IFERROR(VLOOKUP(A150,'Datos x Cja CH'!A:A,1,),"Falta en Consumo"))))</f>
        <v>Ok</v>
      </c>
    </row>
    <row r="151" spans="1:5" ht="17.25" x14ac:dyDescent="0.3">
      <c r="A151" s="140">
        <v>751</v>
      </c>
      <c r="B151" s="151" t="s">
        <v>960</v>
      </c>
      <c r="C151">
        <v>0</v>
      </c>
      <c r="E151" t="str">
        <f>+IF(A151="","",IF(OR(RIGHT(A151,1)="E",RIGHT(A151,1)="H"),"",IF(IFERROR(VLOOKUP(A151,'Datos x Cja CH'!A:A,1,),"Falta en Consumo")=A151,"Ok",IFERROR(VLOOKUP(A151,'Datos x Cja CH'!A:A,1,),"Falta en Consumo"))))</f>
        <v>Ok</v>
      </c>
    </row>
    <row r="152" spans="1:5" ht="17.25" x14ac:dyDescent="0.3">
      <c r="A152" s="140">
        <v>766</v>
      </c>
      <c r="B152" s="151" t="s">
        <v>961</v>
      </c>
      <c r="C152">
        <v>0</v>
      </c>
      <c r="E152" t="str">
        <f>+IF(A152="","",IF(OR(RIGHT(A152,1)="E",RIGHT(A152,1)="H"),"",IF(IFERROR(VLOOKUP(A152,'Datos x Cja CH'!A:A,1,),"Falta en Consumo")=A152,"Ok",IFERROR(VLOOKUP(A152,'Datos x Cja CH'!A:A,1,),"Falta en Consumo"))))</f>
        <v>Ok</v>
      </c>
    </row>
    <row r="153" spans="1:5" ht="17.25" x14ac:dyDescent="0.3">
      <c r="A153" s="140">
        <v>756</v>
      </c>
      <c r="B153" s="151" t="s">
        <v>962</v>
      </c>
      <c r="C153">
        <v>0</v>
      </c>
      <c r="E153" t="str">
        <f>+IF(A153="","",IF(OR(RIGHT(A153,1)="E",RIGHT(A153,1)="H"),"",IF(IFERROR(VLOOKUP(A153,'Datos x Cja CH'!A:A,1,),"Falta en Consumo")=A153,"Ok",IFERROR(VLOOKUP(A153,'Datos x Cja CH'!A:A,1,),"Falta en Consumo"))))</f>
        <v>Ok</v>
      </c>
    </row>
    <row r="154" spans="1:5" ht="17.25" x14ac:dyDescent="0.3">
      <c r="A154" s="140">
        <v>767</v>
      </c>
      <c r="B154" s="151" t="s">
        <v>963</v>
      </c>
      <c r="C154">
        <v>0</v>
      </c>
      <c r="E154" t="str">
        <f>+IF(A154="","",IF(OR(RIGHT(A154,1)="E",RIGHT(A154,1)="H"),"",IF(IFERROR(VLOOKUP(A154,'Datos x Cja CH'!A:A,1,),"Falta en Consumo")=A154,"Ok",IFERROR(VLOOKUP(A154,'Datos x Cja CH'!A:A,1,),"Falta en Consumo"))))</f>
        <v>Ok</v>
      </c>
    </row>
    <row r="155" spans="1:5" ht="17.25" x14ac:dyDescent="0.3">
      <c r="A155" s="140">
        <v>770</v>
      </c>
      <c r="B155" s="151" t="s">
        <v>890</v>
      </c>
      <c r="C155">
        <v>0</v>
      </c>
      <c r="E155" t="str">
        <f>+IF(A155="","",IF(OR(RIGHT(A155,1)="E",RIGHT(A155,1)="H"),"",IF(IFERROR(VLOOKUP(A155,'Datos x Cja CH'!A:A,1,),"Falta en Consumo")=A155,"Ok",IFERROR(VLOOKUP(A155,'Datos x Cja CH'!A:A,1,),"Falta en Consumo"))))</f>
        <v>Ok</v>
      </c>
    </row>
    <row r="156" spans="1:5" ht="17.25" x14ac:dyDescent="0.3">
      <c r="A156" s="140">
        <v>790</v>
      </c>
      <c r="B156" s="151" t="s">
        <v>889</v>
      </c>
      <c r="C156">
        <v>0</v>
      </c>
      <c r="E156" t="str">
        <f>+IF(A156="","",IF(OR(RIGHT(A156,1)="E",RIGHT(A156,1)="H"),"",IF(IFERROR(VLOOKUP(A156,'Datos x Cja CH'!A:A,1,),"Falta en Consumo")=A156,"Ok",IFERROR(VLOOKUP(A156,'Datos x Cja CH'!A:A,1,),"Falta en Consumo"))))</f>
        <v>Ok</v>
      </c>
    </row>
    <row r="157" spans="1:5" ht="17.25" x14ac:dyDescent="0.3">
      <c r="A157" s="140">
        <v>792</v>
      </c>
      <c r="B157" s="151" t="s">
        <v>964</v>
      </c>
      <c r="C157">
        <v>0</v>
      </c>
      <c r="E157" t="str">
        <f>+IF(A157="","",IF(OR(RIGHT(A157,1)="E",RIGHT(A157,1)="H"),"",IF(IFERROR(VLOOKUP(A157,'Datos x Cja CH'!A:A,1,),"Falta en Consumo")=A157,"Ok",IFERROR(VLOOKUP(A157,'Datos x Cja CH'!A:A,1,),"Falta en Consumo"))))</f>
        <v>Ok</v>
      </c>
    </row>
    <row r="158" spans="1:5" ht="17.25" x14ac:dyDescent="0.3">
      <c r="A158" s="144">
        <v>903</v>
      </c>
      <c r="B158" s="152" t="s">
        <v>965</v>
      </c>
      <c r="C158" s="202">
        <v>0</v>
      </c>
      <c r="E158" t="str">
        <f>+IF(A158="","",IF(OR(RIGHT(A158,1)="E",RIGHT(A158,1)="H"),"",IF(IFERROR(VLOOKUP(A158,'Datos x Cja CH'!A:A,1,),"Falta en Consumo")=A158,"Ok",IFERROR(VLOOKUP(A158,'Datos x Cja CH'!A:A,1,),"Falta en Consumo"))))</f>
        <v>Falta en Consumo</v>
      </c>
    </row>
    <row r="159" spans="1:5" ht="17.25" x14ac:dyDescent="0.3">
      <c r="A159" s="144">
        <v>904</v>
      </c>
      <c r="B159" s="152" t="s">
        <v>966</v>
      </c>
      <c r="C159" s="202">
        <v>0</v>
      </c>
      <c r="E159" t="str">
        <f>+IF(A159="","",IF(OR(RIGHT(A159,1)="E",RIGHT(A159,1)="H"),"",IF(IFERROR(VLOOKUP(A159,'Datos x Cja CH'!A:A,1,),"Falta en Consumo")=A159,"Ok",IFERROR(VLOOKUP(A159,'Datos x Cja CH'!A:A,1,),"Falta en Consumo"))))</f>
        <v>Falta en Consumo</v>
      </c>
    </row>
    <row r="160" spans="1:5" ht="17.25" x14ac:dyDescent="0.3">
      <c r="A160" s="144">
        <v>905</v>
      </c>
      <c r="B160" s="152" t="s">
        <v>967</v>
      </c>
      <c r="C160" s="202">
        <v>0</v>
      </c>
      <c r="E160" t="str">
        <f>+IF(A160="","",IF(OR(RIGHT(A160,1)="E",RIGHT(A160,1)="H"),"",IF(IFERROR(VLOOKUP(A160,'Datos x Cja CH'!A:A,1,),"Falta en Consumo")=A160,"Ok",IFERROR(VLOOKUP(A160,'Datos x Cja CH'!A:A,1,),"Falta en Consumo"))))</f>
        <v>Falta en Consumo</v>
      </c>
    </row>
    <row r="161" spans="1:5" ht="17.25" x14ac:dyDescent="0.3">
      <c r="A161" s="140" t="s">
        <v>911</v>
      </c>
      <c r="B161" s="151" t="s">
        <v>968</v>
      </c>
      <c r="C161">
        <v>0</v>
      </c>
      <c r="E161" t="str">
        <f>+IF(A161="","",IF(OR(RIGHT(A161,1)="E",RIGHT(A161,1)="H"),"",IF(IFERROR(VLOOKUP(A161,'Datos x Cja CH'!A:A,1,),"Falta en Consumo")=A161,"Ok",IFERROR(VLOOKUP(A161,'Datos x Cja CH'!A:A,1,),"Falta en Consumo"))))</f>
        <v/>
      </c>
    </row>
    <row r="162" spans="1:5" ht="17.25" x14ac:dyDescent="0.3">
      <c r="A162" s="140"/>
      <c r="B162" s="151" t="s">
        <v>953</v>
      </c>
      <c r="C162"/>
      <c r="E162" t="str">
        <f>+IF(A162="","",IF(OR(RIGHT(A162,1)="E",RIGHT(A162,1)="H"),"",IF(IFERROR(VLOOKUP(A162,'Datos x Cja CH'!A:A,1,),"Falta en Consumo")=A162,"Ok",IFERROR(VLOOKUP(A162,'Datos x Cja CH'!A:A,1,),"Falta en Consumo"))))</f>
        <v/>
      </c>
    </row>
    <row r="163" spans="1:5" ht="17.25" x14ac:dyDescent="0.3">
      <c r="A163" s="140" t="s">
        <v>912</v>
      </c>
      <c r="B163" s="151" t="s">
        <v>158</v>
      </c>
      <c r="C163">
        <v>0</v>
      </c>
      <c r="E163" t="str">
        <f>+IF(A163="","",IF(OR(RIGHT(A163,1)="E",RIGHT(A163,1)="H"),"",IF(IFERROR(VLOOKUP(A163,'Datos x Cja CH'!A:A,1,),"Falta en Consumo")=A163,"Ok",IFERROR(VLOOKUP(A163,'Datos x Cja CH'!A:A,1,),"Falta en Consumo"))))</f>
        <v/>
      </c>
    </row>
    <row r="164" spans="1:5" ht="17.25" x14ac:dyDescent="0.3">
      <c r="A164" s="140" t="s">
        <v>176</v>
      </c>
      <c r="B164" s="151" t="s">
        <v>969</v>
      </c>
      <c r="C164">
        <v>0</v>
      </c>
      <c r="E164" t="str">
        <f>+IF(A164="","",IF(OR(RIGHT(A164,1)="E",RIGHT(A164,1)="H"),"",IF(IFERROR(VLOOKUP(A164,'Datos x Cja CH'!A:A,1,),"Falta en Consumo")=A164,"Ok",IFERROR(VLOOKUP(A164,'Datos x Cja CH'!A:A,1,),"Falta en Consumo"))))</f>
        <v/>
      </c>
    </row>
    <row r="165" spans="1:5" ht="17.25" x14ac:dyDescent="0.3">
      <c r="A165" s="140" t="s">
        <v>178</v>
      </c>
      <c r="B165" s="151" t="s">
        <v>970</v>
      </c>
      <c r="C165">
        <v>0</v>
      </c>
      <c r="E165" t="str">
        <f>+IF(A165="","",IF(OR(RIGHT(A165,1)="E",RIGHT(A165,1)="H"),"",IF(IFERROR(VLOOKUP(A165,'Datos x Cja CH'!A:A,1,),"Falta en Consumo")=A165,"Ok",IFERROR(VLOOKUP(A165,'Datos x Cja CH'!A:A,1,),"Falta en Consumo"))))</f>
        <v/>
      </c>
    </row>
    <row r="166" spans="1:5" ht="17.25" x14ac:dyDescent="0.3">
      <c r="A166" s="140" t="s">
        <v>184</v>
      </c>
      <c r="B166" s="151" t="s">
        <v>973</v>
      </c>
      <c r="C166">
        <v>0</v>
      </c>
      <c r="E166" t="str">
        <f>+IF(A166="","",IF(OR(RIGHT(A166,1)="E",RIGHT(A166,1)="H"),"",IF(IFERROR(VLOOKUP(A166,'Datos x Cja CH'!A:A,1,),"Falta en Consumo")=A166,"Ok",IFERROR(VLOOKUP(A166,'Datos x Cja CH'!A:A,1,),"Falta en Consumo"))))</f>
        <v/>
      </c>
    </row>
    <row r="167" spans="1:5" ht="17.25" x14ac:dyDescent="0.3">
      <c r="A167" s="140" t="s">
        <v>186</v>
      </c>
      <c r="B167" s="151" t="s">
        <v>974</v>
      </c>
      <c r="C167">
        <v>0</v>
      </c>
      <c r="E167" t="str">
        <f>+IF(A167="","",IF(OR(RIGHT(A167,1)="E",RIGHT(A167,1)="H"),"",IF(IFERROR(VLOOKUP(A167,'Datos x Cja CH'!A:A,1,),"Falta en Consumo")=A167,"Ok",IFERROR(VLOOKUP(A167,'Datos x Cja CH'!A:A,1,),"Falta en Consumo"))))</f>
        <v/>
      </c>
    </row>
    <row r="168" spans="1:5" ht="17.25" x14ac:dyDescent="0.3">
      <c r="A168" s="140" t="s">
        <v>913</v>
      </c>
      <c r="B168" s="151" t="s">
        <v>975</v>
      </c>
      <c r="C168">
        <v>0</v>
      </c>
      <c r="E168" t="str">
        <f>+IF(A168="","",IF(OR(RIGHT(A168,1)="E",RIGHT(A168,1)="H"),"",IF(IFERROR(VLOOKUP(A168,'Datos x Cja CH'!A:A,1,),"Falta en Consumo")=A168,"Ok",IFERROR(VLOOKUP(A168,'Datos x Cja CH'!A:A,1,),"Falta en Consumo"))))</f>
        <v/>
      </c>
    </row>
    <row r="169" spans="1:5" ht="17.25" x14ac:dyDescent="0.3">
      <c r="A169" s="140" t="s">
        <v>205</v>
      </c>
      <c r="B169" s="151" t="s">
        <v>953</v>
      </c>
      <c r="C169">
        <v>0</v>
      </c>
      <c r="E169" t="str">
        <f>+IF(A169="","",IF(OR(RIGHT(A169,1)="E",RIGHT(A169,1)="H"),"",IF(IFERROR(VLOOKUP(A169,'Datos x Cja CH'!A:A,1,),"Falta en Consumo")=A169,"Ok",IFERROR(VLOOKUP(A169,'Datos x Cja CH'!A:A,1,),"Falta en Consumo"))))</f>
        <v/>
      </c>
    </row>
    <row r="170" spans="1:5" ht="17.25" x14ac:dyDescent="0.3">
      <c r="A170" s="140" t="s">
        <v>914</v>
      </c>
      <c r="B170" s="151" t="s">
        <v>976</v>
      </c>
      <c r="C170">
        <v>0</v>
      </c>
      <c r="E170" t="str">
        <f>+IF(A170="","",IF(OR(RIGHT(A170,1)="E",RIGHT(A170,1)="H"),"",IF(IFERROR(VLOOKUP(A170,'Datos x Cja CH'!A:A,1,),"Falta en Consumo")=A170,"Ok",IFERROR(VLOOKUP(A170,'Datos x Cja CH'!A:A,1,),"Falta en Consumo"))))</f>
        <v/>
      </c>
    </row>
    <row r="171" spans="1:5" ht="17.25" x14ac:dyDescent="0.3">
      <c r="A171" s="140" t="s">
        <v>915</v>
      </c>
      <c r="B171" s="151" t="s">
        <v>977</v>
      </c>
      <c r="C171">
        <v>0</v>
      </c>
      <c r="E171" t="str">
        <f>+IF(A171="","",IF(OR(RIGHT(A171,1)="E",RIGHT(A171,1)="H"),"",IF(IFERROR(VLOOKUP(A171,'Datos x Cja CH'!A:A,1,),"Falta en Consumo")=A171,"Ok",IFERROR(VLOOKUP(A171,'Datos x Cja CH'!A:A,1,),"Falta en Consumo"))))</f>
        <v/>
      </c>
    </row>
    <row r="172" spans="1:5" ht="17.25" x14ac:dyDescent="0.3">
      <c r="A172" s="140" t="s">
        <v>916</v>
      </c>
      <c r="B172" s="151" t="s">
        <v>978</v>
      </c>
      <c r="C172">
        <v>0</v>
      </c>
      <c r="E172" t="str">
        <f>+IF(A172="","",IF(OR(RIGHT(A172,1)="E",RIGHT(A172,1)="H"),"",IF(IFERROR(VLOOKUP(A172,'Datos x Cja CH'!A:A,1,),"Falta en Consumo")=A172,"Ok",IFERROR(VLOOKUP(A172,'Datos x Cja CH'!A:A,1,),"Falta en Consumo"))))</f>
        <v/>
      </c>
    </row>
    <row r="173" spans="1:5" ht="17.25" x14ac:dyDescent="0.3">
      <c r="A173" s="140" t="s">
        <v>917</v>
      </c>
      <c r="B173" s="151" t="s">
        <v>979</v>
      </c>
      <c r="C173">
        <v>0</v>
      </c>
      <c r="E173" t="str">
        <f>+IF(A173="","",IF(OR(RIGHT(A173,1)="E",RIGHT(A173,1)="H"),"",IF(IFERROR(VLOOKUP(A173,'Datos x Cja CH'!A:A,1,),"Falta en Consumo")=A173,"Ok",IFERROR(VLOOKUP(A173,'Datos x Cja CH'!A:A,1,),"Falta en Consumo"))))</f>
        <v/>
      </c>
    </row>
    <row r="174" spans="1:5" ht="17.25" x14ac:dyDescent="0.3">
      <c r="A174" s="140" t="s">
        <v>918</v>
      </c>
      <c r="B174" s="151" t="s">
        <v>206</v>
      </c>
      <c r="C174">
        <v>0</v>
      </c>
      <c r="E174" t="str">
        <f>+IF(A174="","",IF(OR(RIGHT(A174,1)="E",RIGHT(A174,1)="H"),"",IF(IFERROR(VLOOKUP(A174,'Datos x Cja CH'!A:A,1,),"Falta en Consumo")=A174,"Ok",IFERROR(VLOOKUP(A174,'Datos x Cja CH'!A:A,1,),"Falta en Consumo"))))</f>
        <v/>
      </c>
    </row>
    <row r="175" spans="1:5" ht="17.25" x14ac:dyDescent="0.3">
      <c r="A175" s="140" t="s">
        <v>919</v>
      </c>
      <c r="B175" s="151" t="s">
        <v>980</v>
      </c>
      <c r="C175">
        <v>0</v>
      </c>
      <c r="E175" t="str">
        <f>+IF(A175="","",IF(OR(RIGHT(A175,1)="E",RIGHT(A175,1)="H"),"",IF(IFERROR(VLOOKUP(A175,'Datos x Cja CH'!A:A,1,),"Falta en Consumo")=A175,"Ok",IFERROR(VLOOKUP(A175,'Datos x Cja CH'!A:A,1,),"Falta en Consumo"))))</f>
        <v/>
      </c>
    </row>
    <row r="176" spans="1:5" ht="17.25" x14ac:dyDescent="0.3">
      <c r="A176" s="140" t="s">
        <v>225</v>
      </c>
      <c r="B176" s="151" t="s">
        <v>226</v>
      </c>
      <c r="C176">
        <v>0</v>
      </c>
      <c r="E176" t="str">
        <f>+IF(A176="","",IF(OR(RIGHT(A176,1)="E",RIGHT(A176,1)="H"),"",IF(IFERROR(VLOOKUP(A176,'Datos x Cja CH'!A:A,1,),"Falta en Consumo")=A176,"Ok",IFERROR(VLOOKUP(A176,'Datos x Cja CH'!A:A,1,),"Falta en Consumo"))))</f>
        <v/>
      </c>
    </row>
    <row r="177" spans="1:5" ht="17.25" x14ac:dyDescent="0.3">
      <c r="A177" s="140" t="s">
        <v>229</v>
      </c>
      <c r="B177" s="151" t="s">
        <v>981</v>
      </c>
      <c r="C177">
        <v>0</v>
      </c>
      <c r="E177" t="str">
        <f>+IF(A177="","",IF(OR(RIGHT(A177,1)="E",RIGHT(A177,1)="H"),"",IF(IFERROR(VLOOKUP(A177,'Datos x Cja CH'!A:A,1,),"Falta en Consumo")=A177,"Ok",IFERROR(VLOOKUP(A177,'Datos x Cja CH'!A:A,1,),"Falta en Consumo"))))</f>
        <v/>
      </c>
    </row>
    <row r="178" spans="1:5" ht="17.25" x14ac:dyDescent="0.3">
      <c r="A178" s="140" t="s">
        <v>920</v>
      </c>
      <c r="B178" s="151" t="s">
        <v>982</v>
      </c>
      <c r="C178">
        <v>0</v>
      </c>
      <c r="E178" t="str">
        <f>+IF(A178="","",IF(OR(RIGHT(A178,1)="E",RIGHT(A178,1)="H"),"",IF(IFERROR(VLOOKUP(A178,'Datos x Cja CH'!A:A,1,),"Falta en Consumo")=A178,"Ok",IFERROR(VLOOKUP(A178,'Datos x Cja CH'!A:A,1,),"Falta en Consumo"))))</f>
        <v/>
      </c>
    </row>
    <row r="179" spans="1:5" ht="17.25" x14ac:dyDescent="0.25">
      <c r="A179" s="140">
        <v>838</v>
      </c>
      <c r="B179" s="160" t="s">
        <v>983</v>
      </c>
      <c r="C179">
        <v>0</v>
      </c>
      <c r="E179" t="str">
        <f>+IF(A179="","",IF(OR(RIGHT(A179,1)="E",RIGHT(A179,1)="H"),"",IF(IFERROR(VLOOKUP(A179,'Datos x Cja CH'!A:A,1,),"Falta en Consumo")=A179,"Ok",IFERROR(VLOOKUP(A179,'Datos x Cja CH'!A:A,1,),"Falta en Consumo"))))</f>
        <v>Ok</v>
      </c>
    </row>
    <row r="180" spans="1:5" ht="17.25" x14ac:dyDescent="0.3">
      <c r="A180" s="140">
        <v>56</v>
      </c>
      <c r="B180" s="151" t="s">
        <v>136</v>
      </c>
      <c r="C180">
        <v>0</v>
      </c>
      <c r="E180" t="str">
        <f>+IF(A180="","",IF(OR(RIGHT(A180,1)="E",RIGHT(A180,1)="H"),"",IF(IFERROR(VLOOKUP(A180,'Datos x Cja CH'!A:A,1,),"Falta en Consumo")=A180,"Ok",IFERROR(VLOOKUP(A180,'Datos x Cja CH'!A:A,1,),"Falta en Consumo"))))</f>
        <v>Ok</v>
      </c>
    </row>
    <row r="181" spans="1:5" ht="17.25" x14ac:dyDescent="0.3">
      <c r="A181" s="140">
        <v>726</v>
      </c>
      <c r="B181" s="151" t="s">
        <v>663</v>
      </c>
      <c r="C181">
        <v>0</v>
      </c>
      <c r="E181" t="str">
        <f>+IF(A181="","",IF(OR(RIGHT(A181,1)="E",RIGHT(A181,1)="H"),"",IF(IFERROR(VLOOKUP(A181,'Datos x Cja CH'!A:A,1,),"Falta en Consumo")=A181,"Ok",IFERROR(VLOOKUP(A181,'Datos x Cja CH'!A:A,1,),"Falta en Consumo"))))</f>
        <v>Ok</v>
      </c>
    </row>
    <row r="182" spans="1:5" ht="17.25" x14ac:dyDescent="0.3">
      <c r="A182" s="140">
        <v>781</v>
      </c>
      <c r="B182" s="151" t="s">
        <v>984</v>
      </c>
      <c r="C182">
        <v>0</v>
      </c>
      <c r="E182" t="str">
        <f>+IF(A182="","",IF(OR(RIGHT(A182,1)="E",RIGHT(A182,1)="H"),"",IF(IFERROR(VLOOKUP(A182,'Datos x Cja CH'!A:A,1,),"Falta en Consumo")=A182,"Ok",IFERROR(VLOOKUP(A182,'Datos x Cja CH'!A:A,1,),"Falta en Consumo"))))</f>
        <v>Ok</v>
      </c>
    </row>
    <row r="183" spans="1:5" ht="17.25" x14ac:dyDescent="0.3">
      <c r="A183" s="140">
        <v>826</v>
      </c>
      <c r="B183" s="154" t="s">
        <v>985</v>
      </c>
      <c r="C183">
        <v>0</v>
      </c>
      <c r="E183" t="str">
        <f>+IF(A183="","",IF(OR(RIGHT(A183,1)="E",RIGHT(A183,1)="H"),"",IF(IFERROR(VLOOKUP(A183,'Datos x Cja CH'!A:A,1,),"Falta en Consumo")=A183,"Ok",IFERROR(VLOOKUP(A183,'Datos x Cja CH'!A:A,1,),"Falta en Consumo"))))</f>
        <v>Ok</v>
      </c>
    </row>
    <row r="184" spans="1:5" ht="17.25" x14ac:dyDescent="0.3">
      <c r="A184" s="194">
        <v>861</v>
      </c>
      <c r="B184" s="152" t="s">
        <v>986</v>
      </c>
      <c r="C184" s="202">
        <v>0</v>
      </c>
      <c r="E184" t="str">
        <f>+IF(A184="","",IF(OR(RIGHT(A184,1)="E",RIGHT(A184,1)="H"),"",IF(IFERROR(VLOOKUP(A184,'Datos x Cja CH'!A:A,1,),"Falta en Consumo")=A184,"Ok",IFERROR(VLOOKUP(A184,'Datos x Cja CH'!A:A,1,),"Falta en Consumo"))))</f>
        <v>Ok</v>
      </c>
    </row>
    <row r="185" spans="1:5" ht="17.25" x14ac:dyDescent="0.3">
      <c r="A185" s="140">
        <v>1063</v>
      </c>
      <c r="B185" s="151" t="s">
        <v>987</v>
      </c>
      <c r="C185">
        <v>0</v>
      </c>
      <c r="E185" t="str">
        <f>+IF(A185="","",IF(OR(RIGHT(A185,1)="E",RIGHT(A185,1)="H"),"",IF(IFERROR(VLOOKUP(A185,'Datos x Cja CH'!A:A,1,),"Falta en Consumo")=A185,"Ok",IFERROR(VLOOKUP(A185,'Datos x Cja CH'!A:A,1,),"Falta en Consumo"))))</f>
        <v>Ok</v>
      </c>
    </row>
    <row r="186" spans="1:5" ht="17.25" x14ac:dyDescent="0.3">
      <c r="A186" s="140">
        <v>1064</v>
      </c>
      <c r="B186" s="151" t="s">
        <v>988</v>
      </c>
      <c r="C186">
        <v>0</v>
      </c>
      <c r="E186" t="str">
        <f>+IF(A186="","",IF(OR(RIGHT(A186,1)="E",RIGHT(A186,1)="H"),"",IF(IFERROR(VLOOKUP(A186,'Datos x Cja CH'!A:A,1,),"Falta en Consumo")=A186,"Ok",IFERROR(VLOOKUP(A186,'Datos x Cja CH'!A:A,1,),"Falta en Consumo"))))</f>
        <v>Ok</v>
      </c>
    </row>
    <row r="187" spans="1:5" ht="17.25" x14ac:dyDescent="0.3">
      <c r="A187" s="140">
        <v>1065</v>
      </c>
      <c r="B187" s="151" t="s">
        <v>989</v>
      </c>
      <c r="C187">
        <v>0</v>
      </c>
      <c r="E187" t="str">
        <f>+IF(A187="","",IF(OR(RIGHT(A187,1)="E",RIGHT(A187,1)="H"),"",IF(IFERROR(VLOOKUP(A187,'Datos x Cja CH'!A:A,1,),"Falta en Consumo")=A187,"Ok",IFERROR(VLOOKUP(A187,'Datos x Cja CH'!A:A,1,),"Falta en Consumo"))))</f>
        <v>Ok</v>
      </c>
    </row>
    <row r="188" spans="1:5" ht="17.25" x14ac:dyDescent="0.3">
      <c r="A188" s="140">
        <v>1066</v>
      </c>
      <c r="B188" s="151" t="s">
        <v>191</v>
      </c>
      <c r="C188">
        <v>0</v>
      </c>
      <c r="E188" t="str">
        <f>+IF(A188="","",IF(OR(RIGHT(A188,1)="E",RIGHT(A188,1)="H"),"",IF(IFERROR(VLOOKUP(A188,'Datos x Cja CH'!A:A,1,),"Falta en Consumo")=A188,"Ok",IFERROR(VLOOKUP(A188,'Datos x Cja CH'!A:A,1,),"Falta en Consumo"))))</f>
        <v>Falta en Consumo</v>
      </c>
    </row>
    <row r="189" spans="1:5" ht="17.25" x14ac:dyDescent="0.3">
      <c r="A189" s="140">
        <v>1067</v>
      </c>
      <c r="B189" s="151" t="s">
        <v>990</v>
      </c>
      <c r="C189">
        <v>0</v>
      </c>
      <c r="E189" t="str">
        <f>+IF(A189="","",IF(OR(RIGHT(A189,1)="E",RIGHT(A189,1)="H"),"",IF(IFERROR(VLOOKUP(A189,'Datos x Cja CH'!A:A,1,),"Falta en Consumo")=A189,"Ok",IFERROR(VLOOKUP(A189,'Datos x Cja CH'!A:A,1,),"Falta en Consumo"))))</f>
        <v>Ok</v>
      </c>
    </row>
    <row r="190" spans="1:5" ht="17.25" x14ac:dyDescent="0.3">
      <c r="A190" s="140">
        <v>1068</v>
      </c>
      <c r="B190" s="151" t="s">
        <v>991</v>
      </c>
      <c r="C190">
        <v>0</v>
      </c>
      <c r="E190" t="str">
        <f>+IF(A190="","",IF(OR(RIGHT(A190,1)="E",RIGHT(A190,1)="H"),"",IF(IFERROR(VLOOKUP(A190,'Datos x Cja CH'!A:A,1,),"Falta en Consumo")=A190,"Ok",IFERROR(VLOOKUP(A190,'Datos x Cja CH'!A:A,1,),"Falta en Consumo"))))</f>
        <v>Falta en Consumo</v>
      </c>
    </row>
    <row r="191" spans="1:5" ht="17.25" x14ac:dyDescent="0.3">
      <c r="A191" s="140">
        <v>1069</v>
      </c>
      <c r="B191" s="151" t="s">
        <v>992</v>
      </c>
      <c r="C191">
        <v>0</v>
      </c>
      <c r="E191" t="str">
        <f>+IF(A191="","",IF(OR(RIGHT(A191,1)="E",RIGHT(A191,1)="H"),"",IF(IFERROR(VLOOKUP(A191,'Datos x Cja CH'!A:A,1,),"Falta en Consumo")=A191,"Ok",IFERROR(VLOOKUP(A191,'Datos x Cja CH'!A:A,1,),"Falta en Consumo"))))</f>
        <v>Falta en Consumo</v>
      </c>
    </row>
    <row r="192" spans="1:5" ht="17.25" x14ac:dyDescent="0.3">
      <c r="A192" s="140">
        <v>1070</v>
      </c>
      <c r="B192" s="151" t="s">
        <v>993</v>
      </c>
      <c r="C192">
        <v>0</v>
      </c>
      <c r="E192" t="str">
        <f>+IF(A192="","",IF(OR(RIGHT(A192,1)="E",RIGHT(A192,1)="H"),"",IF(IFERROR(VLOOKUP(A192,'Datos x Cja CH'!A:A,1,),"Falta en Consumo")=A192,"Ok",IFERROR(VLOOKUP(A192,'Datos x Cja CH'!A:A,1,),"Falta en Consumo"))))</f>
        <v>Falta en Consumo</v>
      </c>
    </row>
    <row r="193" spans="1:5" ht="17.25" x14ac:dyDescent="0.3">
      <c r="A193" s="140">
        <v>1071</v>
      </c>
      <c r="B193" s="151" t="s">
        <v>994</v>
      </c>
      <c r="C193">
        <v>0</v>
      </c>
      <c r="E193" t="str">
        <f>+IF(A193="","",IF(OR(RIGHT(A193,1)="E",RIGHT(A193,1)="H"),"",IF(IFERROR(VLOOKUP(A193,'Datos x Cja CH'!A:A,1,),"Falta en Consumo")=A193,"Ok",IFERROR(VLOOKUP(A193,'Datos x Cja CH'!A:A,1,),"Falta en Consumo"))))</f>
        <v>Falta en Consumo</v>
      </c>
    </row>
    <row r="194" spans="1:5" ht="17.25" x14ac:dyDescent="0.3">
      <c r="A194" s="140">
        <v>1072</v>
      </c>
      <c r="B194" s="151" t="s">
        <v>995</v>
      </c>
      <c r="C194">
        <v>0</v>
      </c>
      <c r="E194" t="str">
        <f>+IF(A194="","",IF(OR(RIGHT(A194,1)="E",RIGHT(A194,1)="H"),"",IF(IFERROR(VLOOKUP(A194,'Datos x Cja CH'!A:A,1,),"Falta en Consumo")=A194,"Ok",IFERROR(VLOOKUP(A194,'Datos x Cja CH'!A:A,1,),"Falta en Consumo"))))</f>
        <v>Falta en Consumo</v>
      </c>
    </row>
    <row r="195" spans="1:5" ht="17.25" x14ac:dyDescent="0.3">
      <c r="A195" s="140">
        <v>1076</v>
      </c>
      <c r="B195" s="151" t="s">
        <v>996</v>
      </c>
      <c r="C195">
        <v>0</v>
      </c>
      <c r="E195" t="str">
        <f>+IF(A195="","",IF(OR(RIGHT(A195,1)="E",RIGHT(A195,1)="H"),"",IF(IFERROR(VLOOKUP(A195,'Datos x Cja CH'!A:A,1,),"Falta en Consumo")=A195,"Ok",IFERROR(VLOOKUP(A195,'Datos x Cja CH'!A:A,1,),"Falta en Consumo"))))</f>
        <v>Ok</v>
      </c>
    </row>
    <row r="196" spans="1:5" ht="17.25" x14ac:dyDescent="0.3">
      <c r="A196" s="140">
        <v>1077</v>
      </c>
      <c r="B196" s="151" t="s">
        <v>129</v>
      </c>
      <c r="C196">
        <v>0</v>
      </c>
      <c r="E196" t="str">
        <f>+IF(A196="","",IF(OR(RIGHT(A196,1)="E",RIGHT(A196,1)="H"),"",IF(IFERROR(VLOOKUP(A196,'Datos x Cja CH'!A:A,1,),"Falta en Consumo")=A196,"Ok",IFERROR(VLOOKUP(A196,'Datos x Cja CH'!A:A,1,),"Falta en Consumo"))))</f>
        <v>Ok</v>
      </c>
    </row>
    <row r="197" spans="1:5" ht="17.25" x14ac:dyDescent="0.3">
      <c r="A197" s="140">
        <v>1079</v>
      </c>
      <c r="B197" s="151" t="s">
        <v>106</v>
      </c>
      <c r="C197">
        <v>0</v>
      </c>
      <c r="E197" t="str">
        <f>+IF(A197="","",IF(OR(RIGHT(A197,1)="E",RIGHT(A197,1)="H"),"",IF(IFERROR(VLOOKUP(A197,'Datos x Cja CH'!A:A,1,),"Falta en Consumo")=A197,"Ok",IFERROR(VLOOKUP(A197,'Datos x Cja CH'!A:A,1,),"Falta en Consumo"))))</f>
        <v>Ok</v>
      </c>
    </row>
    <row r="198" spans="1:5" ht="17.25" x14ac:dyDescent="0.3">
      <c r="A198" s="140">
        <v>1080</v>
      </c>
      <c r="B198" s="151" t="s">
        <v>997</v>
      </c>
      <c r="C198">
        <v>0</v>
      </c>
      <c r="E198" t="str">
        <f>+IF(A198="","",IF(OR(RIGHT(A198,1)="E",RIGHT(A198,1)="H"),"",IF(IFERROR(VLOOKUP(A198,'Datos x Cja CH'!A:A,1,),"Falta en Consumo")=A198,"Ok",IFERROR(VLOOKUP(A198,'Datos x Cja CH'!A:A,1,),"Falta en Consumo"))))</f>
        <v>Ok</v>
      </c>
    </row>
    <row r="199" spans="1:5" ht="17.25" x14ac:dyDescent="0.3">
      <c r="A199" s="140">
        <v>1081</v>
      </c>
      <c r="B199" s="151" t="s">
        <v>998</v>
      </c>
      <c r="C199">
        <v>0</v>
      </c>
      <c r="E199" t="str">
        <f>+IF(A199="","",IF(OR(RIGHT(A199,1)="E",RIGHT(A199,1)="H"),"",IF(IFERROR(VLOOKUP(A199,'Datos x Cja CH'!A:A,1,),"Falta en Consumo")=A199,"Ok",IFERROR(VLOOKUP(A199,'Datos x Cja CH'!A:A,1,),"Falta en Consumo"))))</f>
        <v>Ok</v>
      </c>
    </row>
    <row r="200" spans="1:5" ht="17.25" x14ac:dyDescent="0.3">
      <c r="A200" s="140">
        <v>1088</v>
      </c>
      <c r="B200" s="151" t="s">
        <v>124</v>
      </c>
      <c r="C200">
        <v>0</v>
      </c>
      <c r="E200" t="str">
        <f>+IF(A200="","",IF(OR(RIGHT(A200,1)="E",RIGHT(A200,1)="H"),"",IF(IFERROR(VLOOKUP(A200,'Datos x Cja CH'!A:A,1,),"Falta en Consumo")=A200,"Ok",IFERROR(VLOOKUP(A200,'Datos x Cja CH'!A:A,1,),"Falta en Consumo"))))</f>
        <v>Falta en Consumo</v>
      </c>
    </row>
    <row r="201" spans="1:5" ht="17.25" x14ac:dyDescent="0.3">
      <c r="A201" s="140">
        <v>1089</v>
      </c>
      <c r="B201" s="151" t="s">
        <v>94</v>
      </c>
      <c r="C201">
        <v>0</v>
      </c>
      <c r="E201" t="str">
        <f>+IF(A201="","",IF(OR(RIGHT(A201,1)="E",RIGHT(A201,1)="H"),"",IF(IFERROR(VLOOKUP(A201,'Datos x Cja CH'!A:A,1,),"Falta en Consumo")=A201,"Ok",IFERROR(VLOOKUP(A201,'Datos x Cja CH'!A:A,1,),"Falta en Consumo"))))</f>
        <v>Falta en Consumo</v>
      </c>
    </row>
    <row r="202" spans="1:5" ht="17.25" x14ac:dyDescent="0.3">
      <c r="A202" s="140">
        <v>1090</v>
      </c>
      <c r="B202" s="151" t="s">
        <v>999</v>
      </c>
      <c r="C202">
        <v>0</v>
      </c>
      <c r="E202" t="str">
        <f>+IF(A202="","",IF(OR(RIGHT(A202,1)="E",RIGHT(A202,1)="H"),"",IF(IFERROR(VLOOKUP(A202,'Datos x Cja CH'!A:A,1,),"Falta en Consumo")=A202,"Ok",IFERROR(VLOOKUP(A202,'Datos x Cja CH'!A:A,1,),"Falta en Consumo"))))</f>
        <v>Ok</v>
      </c>
    </row>
    <row r="203" spans="1:5" ht="17.25" x14ac:dyDescent="0.3">
      <c r="A203" s="140">
        <v>1091</v>
      </c>
      <c r="B203" s="151" t="s">
        <v>1000</v>
      </c>
      <c r="C203">
        <v>0</v>
      </c>
      <c r="E203" t="str">
        <f>+IF(A203="","",IF(OR(RIGHT(A203,1)="E",RIGHT(A203,1)="H"),"",IF(IFERROR(VLOOKUP(A203,'Datos x Cja CH'!A:A,1,),"Falta en Consumo")=A203,"Ok",IFERROR(VLOOKUP(A203,'Datos x Cja CH'!A:A,1,),"Falta en Consumo"))))</f>
        <v>Ok</v>
      </c>
    </row>
    <row r="204" spans="1:5" ht="17.25" x14ac:dyDescent="0.3">
      <c r="A204" s="140">
        <v>1092</v>
      </c>
      <c r="B204" s="151" t="s">
        <v>1001</v>
      </c>
      <c r="C204">
        <v>0</v>
      </c>
      <c r="E204" t="str">
        <f>+IF(A204="","",IF(OR(RIGHT(A204,1)="E",RIGHT(A204,1)="H"),"",IF(IFERROR(VLOOKUP(A204,'Datos x Cja CH'!A:A,1,),"Falta en Consumo")=A204,"Ok",IFERROR(VLOOKUP(A204,'Datos x Cja CH'!A:A,1,),"Falta en Consumo"))))</f>
        <v>Ok</v>
      </c>
    </row>
    <row r="205" spans="1:5" ht="17.25" x14ac:dyDescent="0.3">
      <c r="A205" s="140">
        <v>1093</v>
      </c>
      <c r="B205" s="151" t="s">
        <v>1002</v>
      </c>
      <c r="C205">
        <v>0</v>
      </c>
      <c r="E205" t="str">
        <f>+IF(A205="","",IF(OR(RIGHT(A205,1)="E",RIGHT(A205,1)="H"),"",IF(IFERROR(VLOOKUP(A205,'Datos x Cja CH'!A:A,1,),"Falta en Consumo")=A205,"Ok",IFERROR(VLOOKUP(A205,'Datos x Cja CH'!A:A,1,),"Falta en Consumo"))))</f>
        <v>Ok</v>
      </c>
    </row>
    <row r="206" spans="1:5" ht="17.25" x14ac:dyDescent="0.3">
      <c r="A206" s="140">
        <v>1094</v>
      </c>
      <c r="B206" s="151" t="s">
        <v>1003</v>
      </c>
      <c r="C206">
        <v>0</v>
      </c>
      <c r="E206" t="str">
        <f>+IF(A206="","",IF(OR(RIGHT(A206,1)="E",RIGHT(A206,1)="H"),"",IF(IFERROR(VLOOKUP(A206,'Datos x Cja CH'!A:A,1,),"Falta en Consumo")=A206,"Ok",IFERROR(VLOOKUP(A206,'Datos x Cja CH'!A:A,1,),"Falta en Consumo"))))</f>
        <v>Ok</v>
      </c>
    </row>
    <row r="207" spans="1:5" ht="17.25" x14ac:dyDescent="0.3">
      <c r="A207" s="140">
        <v>1095</v>
      </c>
      <c r="B207" s="151" t="s">
        <v>1004</v>
      </c>
      <c r="C207">
        <v>0</v>
      </c>
      <c r="E207" t="str">
        <f>+IF(A207="","",IF(OR(RIGHT(A207,1)="E",RIGHT(A207,1)="H"),"",IF(IFERROR(VLOOKUP(A207,'Datos x Cja CH'!A:A,1,),"Falta en Consumo")=A207,"Ok",IFERROR(VLOOKUP(A207,'Datos x Cja CH'!A:A,1,),"Falta en Consumo"))))</f>
        <v>Falta en Consumo</v>
      </c>
    </row>
    <row r="208" spans="1:5" ht="17.25" x14ac:dyDescent="0.3">
      <c r="A208" s="140" t="s">
        <v>921</v>
      </c>
      <c r="B208" s="151" t="s">
        <v>1005</v>
      </c>
      <c r="C208">
        <v>0</v>
      </c>
      <c r="E208" t="str">
        <f>+IF(A208="","",IF(OR(RIGHT(A208,1)="E",RIGHT(A208,1)="H"),"",IF(IFERROR(VLOOKUP(A208,'Datos x Cja CH'!A:A,1,),"Falta en Consumo")=A208,"Ok",IFERROR(VLOOKUP(A208,'Datos x Cja CH'!A:A,1,),"Falta en Consumo"))))</f>
        <v>Falta en Consumo</v>
      </c>
    </row>
    <row r="209" spans="1:5" ht="17.25" x14ac:dyDescent="0.3">
      <c r="A209" s="140" t="s">
        <v>922</v>
      </c>
      <c r="B209" s="151" t="s">
        <v>1006</v>
      </c>
      <c r="C209">
        <v>0</v>
      </c>
      <c r="E209" t="str">
        <f>+IF(A209="","",IF(OR(RIGHT(A209,1)="E",RIGHT(A209,1)="H"),"",IF(IFERROR(VLOOKUP(A209,'Datos x Cja CH'!A:A,1,),"Falta en Consumo")=A209,"Ok",IFERROR(VLOOKUP(A209,'Datos x Cja CH'!A:A,1,),"Falta en Consumo"))))</f>
        <v>Falta en Consumo</v>
      </c>
    </row>
    <row r="210" spans="1:5" ht="17.25" x14ac:dyDescent="0.3">
      <c r="A210" s="140" t="s">
        <v>923</v>
      </c>
      <c r="B210" s="151" t="s">
        <v>1007</v>
      </c>
      <c r="C210">
        <v>0</v>
      </c>
      <c r="E210" t="str">
        <f>+IF(A210="","",IF(OR(RIGHT(A210,1)="E",RIGHT(A210,1)="H"),"",IF(IFERROR(VLOOKUP(A210,'Datos x Cja CH'!A:A,1,),"Falta en Consumo")=A210,"Ok",IFERROR(VLOOKUP(A210,'Datos x Cja CH'!A:A,1,),"Falta en Consumo"))))</f>
        <v>Falta en Consumo</v>
      </c>
    </row>
    <row r="211" spans="1:5" ht="17.25" x14ac:dyDescent="0.3">
      <c r="A211" s="140" t="s">
        <v>924</v>
      </c>
      <c r="B211" s="151" t="s">
        <v>62</v>
      </c>
      <c r="C211">
        <v>0</v>
      </c>
      <c r="E211" t="str">
        <f>+IF(A211="","",IF(OR(RIGHT(A211,1)="E",RIGHT(A211,1)="H"),"",IF(IFERROR(VLOOKUP(A211,'Datos x Cja CH'!A:A,1,),"Falta en Consumo")=A211,"Ok",IFERROR(VLOOKUP(A211,'Datos x Cja CH'!A:A,1,),"Falta en Consumo"))))</f>
        <v>Falta en Consumo</v>
      </c>
    </row>
    <row r="212" spans="1:5" ht="17.25" x14ac:dyDescent="0.3">
      <c r="A212" s="140">
        <v>9</v>
      </c>
      <c r="B212" s="151" t="s">
        <v>1008</v>
      </c>
      <c r="C212">
        <v>0</v>
      </c>
      <c r="E212" t="str">
        <f>+IF(A212="","",IF(OR(RIGHT(A212,1)="E",RIGHT(A212,1)="H"),"",IF(IFERROR(VLOOKUP(A212,'Datos x Cja CH'!A:A,1,),"Falta en Consumo")=A212,"Ok",IFERROR(VLOOKUP(A212,'Datos x Cja CH'!A:A,1,),"Falta en Consumo"))))</f>
        <v>Ok</v>
      </c>
    </row>
    <row r="213" spans="1:5" ht="17.25" x14ac:dyDescent="0.3">
      <c r="A213" s="140">
        <v>29</v>
      </c>
      <c r="B213" s="151" t="s">
        <v>94</v>
      </c>
      <c r="C213">
        <v>0</v>
      </c>
      <c r="E213" t="str">
        <f>+IF(A213="","",IF(OR(RIGHT(A213,1)="E",RIGHT(A213,1)="H"),"",IF(IFERROR(VLOOKUP(A213,'Datos x Cja CH'!A:A,1,),"Falta en Consumo")=A213,"Ok",IFERROR(VLOOKUP(A213,'Datos x Cja CH'!A:A,1,),"Falta en Consumo"))))</f>
        <v>Ok</v>
      </c>
    </row>
    <row r="214" spans="1:5" ht="17.25" x14ac:dyDescent="0.3">
      <c r="A214" s="140">
        <v>100</v>
      </c>
      <c r="B214" s="151" t="s">
        <v>1009</v>
      </c>
      <c r="C214">
        <v>0</v>
      </c>
      <c r="E214" t="str">
        <f>+IF(A214="","",IF(OR(RIGHT(A214,1)="E",RIGHT(A214,1)="H"),"",IF(IFERROR(VLOOKUP(A214,'Datos x Cja CH'!A:A,1,),"Falta en Consumo")=A214,"Ok",IFERROR(VLOOKUP(A214,'Datos x Cja CH'!A:A,1,),"Falta en Consumo"))))</f>
        <v>Falta en Consumo</v>
      </c>
    </row>
    <row r="215" spans="1:5" ht="17.25" x14ac:dyDescent="0.3">
      <c r="A215" s="140">
        <v>101</v>
      </c>
      <c r="B215" s="151" t="s">
        <v>124</v>
      </c>
      <c r="C215">
        <v>0</v>
      </c>
      <c r="E215" t="str">
        <f>+IF(A215="","",IF(OR(RIGHT(A215,1)="E",RIGHT(A215,1)="H"),"",IF(IFERROR(VLOOKUP(A215,'Datos x Cja CH'!A:A,1,),"Falta en Consumo")=A215,"Ok",IFERROR(VLOOKUP(A215,'Datos x Cja CH'!A:A,1,),"Falta en Consumo"))))</f>
        <v>Falta en Consumo</v>
      </c>
    </row>
    <row r="216" spans="1:5" ht="17.25" x14ac:dyDescent="0.3">
      <c r="A216" s="140">
        <v>102</v>
      </c>
      <c r="B216" s="151" t="s">
        <v>84</v>
      </c>
      <c r="C216">
        <v>0</v>
      </c>
      <c r="E216" t="str">
        <f>+IF(A216="","",IF(OR(RIGHT(A216,1)="E",RIGHT(A216,1)="H"),"",IF(IFERROR(VLOOKUP(A216,'Datos x Cja CH'!A:A,1,),"Falta en Consumo")=A216,"Ok",IFERROR(VLOOKUP(A216,'Datos x Cja CH'!A:A,1,),"Falta en Consumo"))))</f>
        <v>Falta en Consumo</v>
      </c>
    </row>
    <row r="217" spans="1:5" ht="17.25" x14ac:dyDescent="0.3">
      <c r="A217" s="140">
        <v>104</v>
      </c>
      <c r="B217" s="151" t="s">
        <v>112</v>
      </c>
      <c r="C217">
        <v>0</v>
      </c>
      <c r="E217" t="str">
        <f>+IF(A217="","",IF(OR(RIGHT(A217,1)="E",RIGHT(A217,1)="H"),"",IF(IFERROR(VLOOKUP(A217,'Datos x Cja CH'!A:A,1,),"Falta en Consumo")=A217,"Ok",IFERROR(VLOOKUP(A217,'Datos x Cja CH'!A:A,1,),"Falta en Consumo"))))</f>
        <v>Falta en Consumo</v>
      </c>
    </row>
    <row r="218" spans="1:5" ht="17.25" x14ac:dyDescent="0.3">
      <c r="A218" s="140">
        <v>277</v>
      </c>
      <c r="B218" s="151" t="s">
        <v>328</v>
      </c>
      <c r="C218">
        <v>0</v>
      </c>
      <c r="E218" t="str">
        <f>+IF(A218="","",IF(OR(RIGHT(A218,1)="E",RIGHT(A218,1)="H"),"",IF(IFERROR(VLOOKUP(A218,'Datos x Cja CH'!A:A,1,),"Falta en Consumo")=A218,"Ok",IFERROR(VLOOKUP(A218,'Datos x Cja CH'!A:A,1,),"Falta en Consumo"))))</f>
        <v>Falta en Consumo</v>
      </c>
    </row>
    <row r="219" spans="1:5" ht="17.25" x14ac:dyDescent="0.3">
      <c r="A219" s="140">
        <v>643</v>
      </c>
      <c r="B219" s="151" t="s">
        <v>1010</v>
      </c>
      <c r="C219">
        <v>0</v>
      </c>
      <c r="E219" t="str">
        <f>+IF(A219="","",IF(OR(RIGHT(A219,1)="E",RIGHT(A219,1)="H"),"",IF(IFERROR(VLOOKUP(A219,'Datos x Cja CH'!A:A,1,),"Falta en Consumo")=A219,"Ok",IFERROR(VLOOKUP(A219,'Datos x Cja CH'!A:A,1,),"Falta en Consumo"))))</f>
        <v>Ok</v>
      </c>
    </row>
    <row r="220" spans="1:5" ht="17.25" x14ac:dyDescent="0.3">
      <c r="A220" s="140">
        <v>644</v>
      </c>
      <c r="B220" s="151" t="s">
        <v>1011</v>
      </c>
      <c r="C220">
        <v>0</v>
      </c>
      <c r="E220" t="str">
        <f>+IF(A220="","",IF(OR(RIGHT(A220,1)="E",RIGHT(A220,1)="H"),"",IF(IFERROR(VLOOKUP(A220,'Datos x Cja CH'!A:A,1,),"Falta en Consumo")=A220,"Ok",IFERROR(VLOOKUP(A220,'Datos x Cja CH'!A:A,1,),"Falta en Consumo"))))</f>
        <v>Ok</v>
      </c>
    </row>
    <row r="221" spans="1:5" ht="17.25" x14ac:dyDescent="0.3">
      <c r="A221" s="140">
        <v>651</v>
      </c>
      <c r="B221" s="151" t="s">
        <v>1012</v>
      </c>
      <c r="C221">
        <v>0</v>
      </c>
      <c r="E221" t="str">
        <f>+IF(A221="","",IF(OR(RIGHT(A221,1)="E",RIGHT(A221,1)="H"),"",IF(IFERROR(VLOOKUP(A221,'Datos x Cja CH'!A:A,1,),"Falta en Consumo")=A221,"Ok",IFERROR(VLOOKUP(A221,'Datos x Cja CH'!A:A,1,),"Falta en Consumo"))))</f>
        <v>Ok</v>
      </c>
    </row>
    <row r="222" spans="1:5" ht="17.25" x14ac:dyDescent="0.3">
      <c r="A222" s="140">
        <v>704</v>
      </c>
      <c r="B222" s="151" t="s">
        <v>226</v>
      </c>
      <c r="C222">
        <v>0</v>
      </c>
      <c r="E222" t="str">
        <f>+IF(A222="","",IF(OR(RIGHT(A222,1)="E",RIGHT(A222,1)="H"),"",IF(IFERROR(VLOOKUP(A222,'Datos x Cja CH'!A:A,1,),"Falta en Consumo")=A222,"Ok",IFERROR(VLOOKUP(A222,'Datos x Cja CH'!A:A,1,),"Falta en Consumo"))))</f>
        <v>Ok</v>
      </c>
    </row>
    <row r="223" spans="1:5" ht="17.25" x14ac:dyDescent="0.3">
      <c r="A223" s="140">
        <v>803</v>
      </c>
      <c r="B223" s="151" t="s">
        <v>1013</v>
      </c>
      <c r="C223">
        <v>0</v>
      </c>
      <c r="E223" t="str">
        <f>+IF(A223="","",IF(OR(RIGHT(A223,1)="E",RIGHT(A223,1)="H"),"",IF(IFERROR(VLOOKUP(A223,'Datos x Cja CH'!A:A,1,),"Falta en Consumo")=A223,"Ok",IFERROR(VLOOKUP(A223,'Datos x Cja CH'!A:A,1,),"Falta en Consumo"))))</f>
        <v>Ok</v>
      </c>
    </row>
    <row r="224" spans="1:5" ht="17.25" x14ac:dyDescent="0.3">
      <c r="A224" s="140">
        <v>815</v>
      </c>
      <c r="B224" s="151" t="s">
        <v>1014</v>
      </c>
      <c r="C224">
        <v>0</v>
      </c>
      <c r="E224" t="str">
        <f>+IF(A224="","",IF(OR(RIGHT(A224,1)="E",RIGHT(A224,1)="H"),"",IF(IFERROR(VLOOKUP(A224,'Datos x Cja CH'!A:A,1,),"Falta en Consumo")=A224,"Ok",IFERROR(VLOOKUP(A224,'Datos x Cja CH'!A:A,1,),"Falta en Consumo"))))</f>
        <v>Ok</v>
      </c>
    </row>
    <row r="225" spans="1:5" ht="17.25" x14ac:dyDescent="0.3">
      <c r="A225" s="140">
        <v>832</v>
      </c>
      <c r="B225" s="151" t="s">
        <v>1015</v>
      </c>
      <c r="C225">
        <v>0</v>
      </c>
      <c r="E225" t="str">
        <f>+IF(A225="","",IF(OR(RIGHT(A225,1)="E",RIGHT(A225,1)="H"),"",IF(IFERROR(VLOOKUP(A225,'Datos x Cja CH'!A:A,1,),"Falta en Consumo")=A225,"Ok",IFERROR(VLOOKUP(A225,'Datos x Cja CH'!A:A,1,),"Falta en Consumo"))))</f>
        <v>Ok</v>
      </c>
    </row>
    <row r="226" spans="1:5" ht="17.25" x14ac:dyDescent="0.3">
      <c r="A226" s="140">
        <v>841</v>
      </c>
      <c r="B226" s="151" t="s">
        <v>1016</v>
      </c>
      <c r="C226">
        <v>0</v>
      </c>
      <c r="E226" t="str">
        <f>+IF(A226="","",IF(OR(RIGHT(A226,1)="E",RIGHT(A226,1)="H"),"",IF(IFERROR(VLOOKUP(A226,'Datos x Cja CH'!A:A,1,),"Falta en Consumo")=A226,"Ok",IFERROR(VLOOKUP(A226,'Datos x Cja CH'!A:A,1,),"Falta en Consumo"))))</f>
        <v>Ok</v>
      </c>
    </row>
    <row r="227" spans="1:5" ht="17.25" x14ac:dyDescent="0.3">
      <c r="A227" s="140">
        <v>866</v>
      </c>
      <c r="B227" s="151" t="s">
        <v>1017</v>
      </c>
      <c r="C227">
        <v>0</v>
      </c>
      <c r="E227" t="str">
        <f>+IF(A227="","",IF(OR(RIGHT(A227,1)="E",RIGHT(A227,1)="H"),"",IF(IFERROR(VLOOKUP(A227,'Datos x Cja CH'!A:A,1,),"Falta en Consumo")=A227,"Ok",IFERROR(VLOOKUP(A227,'Datos x Cja CH'!A:A,1,),"Falta en Consumo"))))</f>
        <v>Falta en Consumo</v>
      </c>
    </row>
    <row r="228" spans="1:5" ht="17.25" x14ac:dyDescent="0.3">
      <c r="A228" s="140" t="s">
        <v>925</v>
      </c>
      <c r="B228" s="151" t="s">
        <v>1018</v>
      </c>
      <c r="C228">
        <v>0</v>
      </c>
      <c r="E228" t="str">
        <f>+IF(A228="","",IF(OR(RIGHT(A228,1)="E",RIGHT(A228,1)="H"),"",IF(IFERROR(VLOOKUP(A228,'Datos x Cja CH'!A:A,1,),"Falta en Consumo")=A228,"Ok",IFERROR(VLOOKUP(A228,'Datos x Cja CH'!A:A,1,),"Falta en Consumo"))))</f>
        <v>Falta en Consumo</v>
      </c>
    </row>
    <row r="229" spans="1:5" ht="17.25" x14ac:dyDescent="0.3">
      <c r="A229" s="140">
        <v>962</v>
      </c>
      <c r="B229" s="151" t="s">
        <v>1019</v>
      </c>
      <c r="C229">
        <v>0</v>
      </c>
      <c r="E229" t="str">
        <f>+IF(A229="","",IF(OR(RIGHT(A229,1)="E",RIGHT(A229,1)="H"),"",IF(IFERROR(VLOOKUP(A229,'Datos x Cja CH'!A:A,1,),"Falta en Consumo")=A229,"Ok",IFERROR(VLOOKUP(A229,'Datos x Cja CH'!A:A,1,),"Falta en Consumo"))))</f>
        <v>Falta en Consumo</v>
      </c>
    </row>
    <row r="230" spans="1:5" ht="17.25" x14ac:dyDescent="0.3">
      <c r="A230" s="145" t="s">
        <v>748</v>
      </c>
      <c r="B230" s="151" t="s">
        <v>1020</v>
      </c>
      <c r="C230">
        <v>0</v>
      </c>
      <c r="E230" t="str">
        <f>+IF(A230="","",IF(OR(RIGHT(A230,1)="E",RIGHT(A230,1)="H"),"",IF(IFERROR(VLOOKUP(A230,'Datos x Cja CH'!A:A,1,),"Falta en Consumo")=A230,"Ok",IFERROR(VLOOKUP(A230,'Datos x Cja CH'!A:A,1,),"Falta en Consumo"))))</f>
        <v>Ok</v>
      </c>
    </row>
    <row r="231" spans="1:5" ht="17.25" x14ac:dyDescent="0.3">
      <c r="A231" s="140" t="s">
        <v>926</v>
      </c>
      <c r="B231" s="151" t="s">
        <v>1021</v>
      </c>
      <c r="C231">
        <v>0</v>
      </c>
      <c r="E231" t="str">
        <f>+IF(A231="","",IF(OR(RIGHT(A231,1)="E",RIGHT(A231,1)="H"),"",IF(IFERROR(VLOOKUP(A231,'Datos x Cja CH'!A:A,1,),"Falta en Consumo")=A231,"Ok",IFERROR(VLOOKUP(A231,'Datos x Cja CH'!A:A,1,),"Falta en Consumo"))))</f>
        <v/>
      </c>
    </row>
    <row r="232" spans="1:5" ht="17.25" x14ac:dyDescent="0.3">
      <c r="A232" s="145" t="s">
        <v>750</v>
      </c>
      <c r="B232" s="151" t="s">
        <v>102</v>
      </c>
      <c r="C232">
        <v>0</v>
      </c>
      <c r="E232" t="str">
        <f>+IF(A232="","",IF(OR(RIGHT(A232,1)="E",RIGHT(A232,1)="H"),"",IF(IFERROR(VLOOKUP(A232,'Datos x Cja CH'!A:A,1,),"Falta en Consumo")=A232,"Ok",IFERROR(VLOOKUP(A232,'Datos x Cja CH'!A:A,1,),"Falta en Consumo"))))</f>
        <v>Ok</v>
      </c>
    </row>
    <row r="233" spans="1:5" ht="17.25" x14ac:dyDescent="0.3">
      <c r="A233" s="145" t="s">
        <v>752</v>
      </c>
      <c r="B233" s="151" t="s">
        <v>1022</v>
      </c>
      <c r="C233">
        <v>0</v>
      </c>
      <c r="E233" t="str">
        <f>+IF(A233="","",IF(OR(RIGHT(A233,1)="E",RIGHT(A233,1)="H"),"",IF(IFERROR(VLOOKUP(A233,'Datos x Cja CH'!A:A,1,),"Falta en Consumo")=A233,"Ok",IFERROR(VLOOKUP(A233,'Datos x Cja CH'!A:A,1,),"Falta en Consumo"))))</f>
        <v>Ok</v>
      </c>
    </row>
    <row r="234" spans="1:5" ht="17.25" x14ac:dyDescent="0.3">
      <c r="A234" s="145" t="s">
        <v>776</v>
      </c>
      <c r="B234" s="151" t="s">
        <v>978</v>
      </c>
      <c r="C234">
        <v>0</v>
      </c>
      <c r="E234" t="str">
        <f>+IF(A234="","",IF(OR(RIGHT(A234,1)="E",RIGHT(A234,1)="H"),"",IF(IFERROR(VLOOKUP(A234,'Datos x Cja CH'!A:A,1,),"Falta en Consumo")=A234,"Ok",IFERROR(VLOOKUP(A234,'Datos x Cja CH'!A:A,1,),"Falta en Consumo"))))</f>
        <v>Ok</v>
      </c>
    </row>
    <row r="235" spans="1:5" ht="17.25" x14ac:dyDescent="0.3">
      <c r="A235" s="140" t="s">
        <v>927</v>
      </c>
      <c r="B235" s="151" t="s">
        <v>978</v>
      </c>
      <c r="C235">
        <v>0</v>
      </c>
      <c r="E235" t="str">
        <f>+IF(A235="","",IF(OR(RIGHT(A235,1)="E",RIGHT(A235,1)="H"),"",IF(IFERROR(VLOOKUP(A235,'Datos x Cja CH'!A:A,1,),"Falta en Consumo")=A235,"Ok",IFERROR(VLOOKUP(A235,'Datos x Cja CH'!A:A,1,),"Falta en Consumo"))))</f>
        <v/>
      </c>
    </row>
    <row r="236" spans="1:5" ht="17.25" x14ac:dyDescent="0.3">
      <c r="A236" s="140" t="s">
        <v>780</v>
      </c>
      <c r="B236" s="151" t="s">
        <v>1023</v>
      </c>
      <c r="C236">
        <v>0</v>
      </c>
      <c r="E236" t="str">
        <f>+IF(A236="","",IF(OR(RIGHT(A236,1)="E",RIGHT(A236,1)="H"),"",IF(IFERROR(VLOOKUP(A236,'Datos x Cja CH'!A:A,1,),"Falta en Consumo")=A236,"Ok",IFERROR(VLOOKUP(A236,'Datos x Cja CH'!A:A,1,),"Falta en Consumo"))))</f>
        <v>Ok</v>
      </c>
    </row>
    <row r="237" spans="1:5" ht="17.25" x14ac:dyDescent="0.3">
      <c r="A237" s="140" t="s">
        <v>786</v>
      </c>
      <c r="B237" s="151" t="s">
        <v>1024</v>
      </c>
      <c r="C237">
        <v>0</v>
      </c>
      <c r="E237" t="str">
        <f>+IF(A237="","",IF(OR(RIGHT(A237,1)="E",RIGHT(A237,1)="H"),"",IF(IFERROR(VLOOKUP(A237,'Datos x Cja CH'!A:A,1,),"Falta en Consumo")=A237,"Ok",IFERROR(VLOOKUP(A237,'Datos x Cja CH'!A:A,1,),"Falta en Consumo"))))</f>
        <v>Ok</v>
      </c>
    </row>
    <row r="238" spans="1:5" ht="17.25" x14ac:dyDescent="0.3">
      <c r="A238" s="145" t="s">
        <v>803</v>
      </c>
      <c r="B238" s="151" t="s">
        <v>1025</v>
      </c>
      <c r="C238">
        <v>0</v>
      </c>
      <c r="E238" t="str">
        <f>+IF(A238="","",IF(OR(RIGHT(A238,1)="E",RIGHT(A238,1)="H"),"",IF(IFERROR(VLOOKUP(A238,'Datos x Cja CH'!A:A,1,),"Falta en Consumo")=A238,"Ok",IFERROR(VLOOKUP(A238,'Datos x Cja CH'!A:A,1,),"Falta en Consumo"))))</f>
        <v>Ok</v>
      </c>
    </row>
    <row r="239" spans="1:5" ht="17.25" x14ac:dyDescent="0.3">
      <c r="A239" s="140" t="s">
        <v>928</v>
      </c>
      <c r="B239" s="151" t="s">
        <v>1026</v>
      </c>
      <c r="C239">
        <v>0</v>
      </c>
      <c r="E239" t="str">
        <f>+IF(A239="","",IF(OR(RIGHT(A239,1)="E",RIGHT(A239,1)="H"),"",IF(IFERROR(VLOOKUP(A239,'Datos x Cja CH'!A:A,1,),"Falta en Consumo")=A239,"Ok",IFERROR(VLOOKUP(A239,'Datos x Cja CH'!A:A,1,),"Falta en Consumo"))))</f>
        <v>Falta en Consumo</v>
      </c>
    </row>
    <row r="240" spans="1:5" ht="17.25" x14ac:dyDescent="0.3">
      <c r="A240" s="145" t="s">
        <v>747</v>
      </c>
      <c r="B240" s="151" t="s">
        <v>106</v>
      </c>
      <c r="C240">
        <v>0</v>
      </c>
      <c r="E240" t="str">
        <f>+IF(A240="","",IF(OR(RIGHT(A240,1)="E",RIGHT(A240,1)="H"),"",IF(IFERROR(VLOOKUP(A240,'Datos x Cja CH'!A:A,1,),"Falta en Consumo")=A240,"Ok",IFERROR(VLOOKUP(A240,'Datos x Cja CH'!A:A,1,),"Falta en Consumo"))))</f>
        <v>Ok</v>
      </c>
    </row>
    <row r="241" spans="1:5" ht="17.25" x14ac:dyDescent="0.3">
      <c r="A241" s="140" t="s">
        <v>751</v>
      </c>
      <c r="B241" s="151" t="s">
        <v>298</v>
      </c>
      <c r="C241">
        <v>0</v>
      </c>
      <c r="E241" t="str">
        <f>+IF(A241="","",IF(OR(RIGHT(A241,1)="E",RIGHT(A241,1)="H"),"",IF(IFERROR(VLOOKUP(A241,'Datos x Cja CH'!A:A,1,),"Falta en Consumo")=A241,"Ok",IFERROR(VLOOKUP(A241,'Datos x Cja CH'!A:A,1,),"Falta en Consumo"))))</f>
        <v>Ok</v>
      </c>
    </row>
    <row r="242" spans="1:5" ht="17.25" x14ac:dyDescent="0.3">
      <c r="A242" s="140" t="s">
        <v>758</v>
      </c>
      <c r="B242" s="151" t="s">
        <v>131</v>
      </c>
      <c r="C242">
        <v>0</v>
      </c>
      <c r="E242" t="str">
        <f>+IF(A242="","",IF(OR(RIGHT(A242,1)="E",RIGHT(A242,1)="H"),"",IF(IFERROR(VLOOKUP(A242,'Datos x Cja CH'!A:A,1,),"Falta en Consumo")=A242,"Ok",IFERROR(VLOOKUP(A242,'Datos x Cja CH'!A:A,1,),"Falta en Consumo"))))</f>
        <v>Ok</v>
      </c>
    </row>
    <row r="243" spans="1:5" ht="17.25" x14ac:dyDescent="0.3">
      <c r="A243" s="140" t="s">
        <v>759</v>
      </c>
      <c r="B243" s="151" t="s">
        <v>1027</v>
      </c>
      <c r="C243">
        <v>0</v>
      </c>
      <c r="E243" t="str">
        <f>+IF(A243="","",IF(OR(RIGHT(A243,1)="E",RIGHT(A243,1)="H"),"",IF(IFERROR(VLOOKUP(A243,'Datos x Cja CH'!A:A,1,),"Falta en Consumo")=A243,"Ok",IFERROR(VLOOKUP(A243,'Datos x Cja CH'!A:A,1,),"Falta en Consumo"))))</f>
        <v>Ok</v>
      </c>
    </row>
    <row r="244" spans="1:5" ht="17.25" x14ac:dyDescent="0.3">
      <c r="A244" s="140" t="s">
        <v>929</v>
      </c>
      <c r="B244" s="151" t="s">
        <v>1028</v>
      </c>
      <c r="C244">
        <v>0</v>
      </c>
      <c r="E244" t="str">
        <f>+IF(A244="","",IF(OR(RIGHT(A244,1)="E",RIGHT(A244,1)="H"),"",IF(IFERROR(VLOOKUP(A244,'Datos x Cja CH'!A:A,1,),"Falta en Consumo")=A244,"Ok",IFERROR(VLOOKUP(A244,'Datos x Cja CH'!A:A,1,),"Falta en Consumo"))))</f>
        <v>Falta en Consumo</v>
      </c>
    </row>
    <row r="245" spans="1:5" ht="17.25" x14ac:dyDescent="0.3">
      <c r="A245" s="145" t="s">
        <v>761</v>
      </c>
      <c r="B245" s="151" t="s">
        <v>58</v>
      </c>
      <c r="C245">
        <v>0</v>
      </c>
      <c r="E245" t="str">
        <f>+IF(A245="","",IF(OR(RIGHT(A245,1)="E",RIGHT(A245,1)="H"),"",IF(IFERROR(VLOOKUP(A245,'Datos x Cja CH'!A:A,1,),"Falta en Consumo")=A245,"Ok",IFERROR(VLOOKUP(A245,'Datos x Cja CH'!A:A,1,),"Falta en Consumo"))))</f>
        <v>Ok</v>
      </c>
    </row>
    <row r="246" spans="1:5" ht="17.25" x14ac:dyDescent="0.3">
      <c r="A246" s="140" t="s">
        <v>762</v>
      </c>
      <c r="B246" s="151" t="s">
        <v>1029</v>
      </c>
      <c r="C246">
        <v>0</v>
      </c>
      <c r="E246" t="str">
        <f>+IF(A246="","",IF(OR(RIGHT(A246,1)="E",RIGHT(A246,1)="H"),"",IF(IFERROR(VLOOKUP(A246,'Datos x Cja CH'!A:A,1,),"Falta en Consumo")=A246,"Ok",IFERROR(VLOOKUP(A246,'Datos x Cja CH'!A:A,1,),"Falta en Consumo"))))</f>
        <v>Ok</v>
      </c>
    </row>
    <row r="247" spans="1:5" ht="17.25" x14ac:dyDescent="0.3">
      <c r="A247" s="140" t="s">
        <v>764</v>
      </c>
      <c r="B247" s="151" t="s">
        <v>1030</v>
      </c>
      <c r="C247">
        <v>0</v>
      </c>
      <c r="E247" t="str">
        <f>+IF(A247="","",IF(OR(RIGHT(A247,1)="E",RIGHT(A247,1)="H"),"",IF(IFERROR(VLOOKUP(A247,'Datos x Cja CH'!A:A,1,),"Falta en Consumo")=A247,"Ok",IFERROR(VLOOKUP(A247,'Datos x Cja CH'!A:A,1,),"Falta en Consumo"))))</f>
        <v>Ok</v>
      </c>
    </row>
    <row r="248" spans="1:5" ht="17.25" x14ac:dyDescent="0.3">
      <c r="A248" s="140" t="s">
        <v>766</v>
      </c>
      <c r="B248" s="151" t="s">
        <v>1031</v>
      </c>
      <c r="C248">
        <v>0</v>
      </c>
      <c r="E248" t="str">
        <f>+IF(A248="","",IF(OR(RIGHT(A248,1)="E",RIGHT(A248,1)="H"),"",IF(IFERROR(VLOOKUP(A248,'Datos x Cja CH'!A:A,1,),"Falta en Consumo")=A248,"Ok",IFERROR(VLOOKUP(A248,'Datos x Cja CH'!A:A,1,),"Falta en Consumo"))))</f>
        <v>Ok</v>
      </c>
    </row>
    <row r="249" spans="1:5" ht="17.25" x14ac:dyDescent="0.3">
      <c r="A249" s="140" t="s">
        <v>768</v>
      </c>
      <c r="B249" s="151" t="s">
        <v>129</v>
      </c>
      <c r="C249">
        <v>0</v>
      </c>
      <c r="E249" t="str">
        <f>+IF(A249="","",IF(OR(RIGHT(A249,1)="E",RIGHT(A249,1)="H"),"",IF(IFERROR(VLOOKUP(A249,'Datos x Cja CH'!A:A,1,),"Falta en Consumo")=A249,"Ok",IFERROR(VLOOKUP(A249,'Datos x Cja CH'!A:A,1,),"Falta en Consumo"))))</f>
        <v>Ok</v>
      </c>
    </row>
    <row r="250" spans="1:5" ht="17.25" x14ac:dyDescent="0.3">
      <c r="A250" s="140" t="s">
        <v>769</v>
      </c>
      <c r="B250" s="151" t="s">
        <v>1032</v>
      </c>
      <c r="C250">
        <v>0</v>
      </c>
      <c r="E250" t="str">
        <f>+IF(A250="","",IF(OR(RIGHT(A250,1)="E",RIGHT(A250,1)="H"),"",IF(IFERROR(VLOOKUP(A250,'Datos x Cja CH'!A:A,1,),"Falta en Consumo")=A250,"Ok",IFERROR(VLOOKUP(A250,'Datos x Cja CH'!A:A,1,),"Falta en Consumo"))))</f>
        <v>Ok</v>
      </c>
    </row>
    <row r="251" spans="1:5" ht="17.25" x14ac:dyDescent="0.3">
      <c r="A251" s="140" t="s">
        <v>771</v>
      </c>
      <c r="B251" s="151" t="s">
        <v>1033</v>
      </c>
      <c r="C251">
        <v>0</v>
      </c>
      <c r="E251" t="str">
        <f>+IF(A251="","",IF(OR(RIGHT(A251,1)="E",RIGHT(A251,1)="H"),"",IF(IFERROR(VLOOKUP(A251,'Datos x Cja CH'!A:A,1,),"Falta en Consumo")=A251,"Ok",IFERROR(VLOOKUP(A251,'Datos x Cja CH'!A:A,1,),"Falta en Consumo"))))</f>
        <v>Ok</v>
      </c>
    </row>
    <row r="252" spans="1:5" ht="17.25" x14ac:dyDescent="0.3">
      <c r="A252" s="140" t="s">
        <v>772</v>
      </c>
      <c r="B252" s="151" t="s">
        <v>51</v>
      </c>
      <c r="C252">
        <v>0</v>
      </c>
      <c r="E252" t="str">
        <f>+IF(A252="","",IF(OR(RIGHT(A252,1)="E",RIGHT(A252,1)="H"),"",IF(IFERROR(VLOOKUP(A252,'Datos x Cja CH'!A:A,1,),"Falta en Consumo")=A252,"Ok",IFERROR(VLOOKUP(A252,'Datos x Cja CH'!A:A,1,),"Falta en Consumo"))))</f>
        <v>Ok</v>
      </c>
    </row>
    <row r="253" spans="1:5" ht="17.25" x14ac:dyDescent="0.3">
      <c r="A253" s="140" t="s">
        <v>930</v>
      </c>
      <c r="B253" s="151" t="s">
        <v>1034</v>
      </c>
      <c r="C253">
        <v>0</v>
      </c>
      <c r="E253" t="str">
        <f>+IF(A253="","",IF(OR(RIGHT(A253,1)="E",RIGHT(A253,1)="H"),"",IF(IFERROR(VLOOKUP(A253,'Datos x Cja CH'!A:A,1,),"Falta en Consumo")=A253,"Ok",IFERROR(VLOOKUP(A253,'Datos x Cja CH'!A:A,1,),"Falta en Consumo"))))</f>
        <v>Falta en Consumo</v>
      </c>
    </row>
    <row r="254" spans="1:5" ht="17.25" x14ac:dyDescent="0.3">
      <c r="A254" s="145" t="s">
        <v>778</v>
      </c>
      <c r="B254" s="151" t="s">
        <v>1035</v>
      </c>
      <c r="C254">
        <v>0</v>
      </c>
      <c r="E254" t="str">
        <f>+IF(A254="","",IF(OR(RIGHT(A254,1)="E",RIGHT(A254,1)="H"),"",IF(IFERROR(VLOOKUP(A254,'Datos x Cja CH'!A:A,1,),"Falta en Consumo")=A254,"Ok",IFERROR(VLOOKUP(A254,'Datos x Cja CH'!A:A,1,),"Falta en Consumo"))))</f>
        <v>Ok</v>
      </c>
    </row>
    <row r="255" spans="1:5" ht="17.25" x14ac:dyDescent="0.3">
      <c r="A255" s="145" t="s">
        <v>784</v>
      </c>
      <c r="B255" s="151" t="s">
        <v>244</v>
      </c>
      <c r="C255">
        <v>0</v>
      </c>
      <c r="E255" t="str">
        <f>+IF(A255="","",IF(OR(RIGHT(A255,1)="E",RIGHT(A255,1)="H"),"",IF(IFERROR(VLOOKUP(A255,'Datos x Cja CH'!A:A,1,),"Falta en Consumo")=A255,"Ok",IFERROR(VLOOKUP(A255,'Datos x Cja CH'!A:A,1,),"Falta en Consumo"))))</f>
        <v>Ok</v>
      </c>
    </row>
    <row r="256" spans="1:5" ht="17.25" x14ac:dyDescent="0.3">
      <c r="A256" s="145" t="s">
        <v>788</v>
      </c>
      <c r="B256" s="151" t="s">
        <v>1036</v>
      </c>
      <c r="C256">
        <v>0</v>
      </c>
      <c r="E256" t="str">
        <f>+IF(A256="","",IF(OR(RIGHT(A256,1)="E",RIGHT(A256,1)="H"),"",IF(IFERROR(VLOOKUP(A256,'Datos x Cja CH'!A:A,1,),"Falta en Consumo")=A256,"Ok",IFERROR(VLOOKUP(A256,'Datos x Cja CH'!A:A,1,),"Falta en Consumo"))))</f>
        <v>Ok</v>
      </c>
    </row>
    <row r="257" spans="1:5" ht="17.25" x14ac:dyDescent="0.3">
      <c r="A257" s="140" t="s">
        <v>789</v>
      </c>
      <c r="B257" s="151" t="s">
        <v>1037</v>
      </c>
      <c r="C257">
        <v>0</v>
      </c>
      <c r="E257" t="str">
        <f>+IF(A257="","",IF(OR(RIGHT(A257,1)="E",RIGHT(A257,1)="H"),"",IF(IFERROR(VLOOKUP(A257,'Datos x Cja CH'!A:A,1,),"Falta en Consumo")=A257,"Ok",IFERROR(VLOOKUP(A257,'Datos x Cja CH'!A:A,1,),"Falta en Consumo"))))</f>
        <v>Ok</v>
      </c>
    </row>
    <row r="258" spans="1:5" ht="17.25" x14ac:dyDescent="0.3">
      <c r="A258" s="140" t="s">
        <v>791</v>
      </c>
      <c r="B258" s="151" t="s">
        <v>1038</v>
      </c>
      <c r="C258">
        <v>0</v>
      </c>
      <c r="E258" t="str">
        <f>+IF(A258="","",IF(OR(RIGHT(A258,1)="E",RIGHT(A258,1)="H"),"",IF(IFERROR(VLOOKUP(A258,'Datos x Cja CH'!A:A,1,),"Falta en Consumo")=A258,"Ok",IFERROR(VLOOKUP(A258,'Datos x Cja CH'!A:A,1,),"Falta en Consumo"))))</f>
        <v>Ok</v>
      </c>
    </row>
    <row r="259" spans="1:5" ht="17.25" x14ac:dyDescent="0.3">
      <c r="A259" s="140" t="s">
        <v>793</v>
      </c>
      <c r="B259" s="151" t="s">
        <v>1039</v>
      </c>
      <c r="C259">
        <v>0</v>
      </c>
      <c r="E259" t="str">
        <f>+IF(A259="","",IF(OR(RIGHT(A259,1)="E",RIGHT(A259,1)="H"),"",IF(IFERROR(VLOOKUP(A259,'Datos x Cja CH'!A:A,1,),"Falta en Consumo")=A259,"Ok",IFERROR(VLOOKUP(A259,'Datos x Cja CH'!A:A,1,),"Falta en Consumo"))))</f>
        <v>Ok</v>
      </c>
    </row>
    <row r="260" spans="1:5" ht="17.25" x14ac:dyDescent="0.3">
      <c r="A260" s="140" t="s">
        <v>795</v>
      </c>
      <c r="B260" s="151" t="s">
        <v>1040</v>
      </c>
      <c r="C260">
        <v>0</v>
      </c>
      <c r="E260" t="str">
        <f>+IF(A260="","",IF(OR(RIGHT(A260,1)="E",RIGHT(A260,1)="H"),"",IF(IFERROR(VLOOKUP(A260,'Datos x Cja CH'!A:A,1,),"Falta en Consumo")=A260,"Ok",IFERROR(VLOOKUP(A260,'Datos x Cja CH'!A:A,1,),"Falta en Consumo"))))</f>
        <v>Ok</v>
      </c>
    </row>
    <row r="261" spans="1:5" ht="17.25" x14ac:dyDescent="0.3">
      <c r="A261" s="140" t="s">
        <v>797</v>
      </c>
      <c r="B261" s="151" t="s">
        <v>1041</v>
      </c>
      <c r="C261">
        <v>0</v>
      </c>
      <c r="E261" t="str">
        <f>+IF(A261="","",IF(OR(RIGHT(A261,1)="E",RIGHT(A261,1)="H"),"",IF(IFERROR(VLOOKUP(A261,'Datos x Cja CH'!A:A,1,),"Falta en Consumo")=A261,"Ok",IFERROR(VLOOKUP(A261,'Datos x Cja CH'!A:A,1,),"Falta en Consumo"))))</f>
        <v>Ok</v>
      </c>
    </row>
    <row r="262" spans="1:5" ht="17.25" x14ac:dyDescent="0.3">
      <c r="A262" s="140" t="s">
        <v>799</v>
      </c>
      <c r="B262" s="151" t="s">
        <v>74</v>
      </c>
      <c r="C262">
        <v>0</v>
      </c>
      <c r="E262" t="str">
        <f>+IF(A262="","",IF(OR(RIGHT(A262,1)="E",RIGHT(A262,1)="H"),"",IF(IFERROR(VLOOKUP(A262,'Datos x Cja CH'!A:A,1,),"Falta en Consumo")=A262,"Ok",IFERROR(VLOOKUP(A262,'Datos x Cja CH'!A:A,1,),"Falta en Consumo"))))</f>
        <v>Ok</v>
      </c>
    </row>
    <row r="263" spans="1:5" ht="17.25" x14ac:dyDescent="0.3">
      <c r="A263" s="140" t="s">
        <v>801</v>
      </c>
      <c r="B263" s="151" t="s">
        <v>1042</v>
      </c>
      <c r="C263">
        <v>0</v>
      </c>
      <c r="E263" t="str">
        <f>+IF(A263="","",IF(OR(RIGHT(A263,1)="E",RIGHT(A263,1)="H"),"",IF(IFERROR(VLOOKUP(A263,'Datos x Cja CH'!A:A,1,),"Falta en Consumo")=A263,"Ok",IFERROR(VLOOKUP(A263,'Datos x Cja CH'!A:A,1,),"Falta en Consumo"))))</f>
        <v>Ok</v>
      </c>
    </row>
    <row r="264" spans="1:5" ht="17.25" x14ac:dyDescent="0.3">
      <c r="A264" s="140" t="s">
        <v>809</v>
      </c>
      <c r="B264" s="151" t="s">
        <v>1043</v>
      </c>
      <c r="C264">
        <v>0</v>
      </c>
      <c r="E264" t="str">
        <f>+IF(A264="","",IF(OR(RIGHT(A264,1)="E",RIGHT(A264,1)="H"),"",IF(IFERROR(VLOOKUP(A264,'Datos x Cja CH'!A:A,1,),"Falta en Consumo")=A264,"Ok",IFERROR(VLOOKUP(A264,'Datos x Cja CH'!A:A,1,),"Falta en Consumo"))))</f>
        <v>Ok</v>
      </c>
    </row>
    <row r="265" spans="1:5" ht="17.25" x14ac:dyDescent="0.3">
      <c r="A265" s="140" t="s">
        <v>931</v>
      </c>
      <c r="B265" s="151" t="s">
        <v>1044</v>
      </c>
      <c r="C265">
        <v>0</v>
      </c>
      <c r="E265" t="str">
        <f>+IF(A265="","",IF(OR(RIGHT(A265,1)="E",RIGHT(A265,1)="H"),"",IF(IFERROR(VLOOKUP(A265,'Datos x Cja CH'!A:A,1,),"Falta en Consumo")=A265,"Ok",IFERROR(VLOOKUP(A265,'Datos x Cja CH'!A:A,1,),"Falta en Consumo"))))</f>
        <v>Falta en Consumo</v>
      </c>
    </row>
    <row r="266" spans="1:5" ht="17.25" x14ac:dyDescent="0.3">
      <c r="A266" s="140" t="s">
        <v>932</v>
      </c>
      <c r="B266" s="151" t="s">
        <v>1045</v>
      </c>
      <c r="C266">
        <v>0</v>
      </c>
      <c r="E266" t="str">
        <f>+IF(A266="","",IF(OR(RIGHT(A266,1)="E",RIGHT(A266,1)="H"),"",IF(IFERROR(VLOOKUP(A266,'Datos x Cja CH'!A:A,1,),"Falta en Consumo")=A266,"Ok",IFERROR(VLOOKUP(A266,'Datos x Cja CH'!A:A,1,),"Falta en Consumo"))))</f>
        <v>Falta en Consumo</v>
      </c>
    </row>
    <row r="267" spans="1:5" ht="17.25" x14ac:dyDescent="0.3">
      <c r="A267" s="140" t="s">
        <v>933</v>
      </c>
      <c r="B267" s="151" t="s">
        <v>1046</v>
      </c>
      <c r="C267">
        <v>0</v>
      </c>
      <c r="E267" t="str">
        <f>+IF(A267="","",IF(OR(RIGHT(A267,1)="E",RIGHT(A267,1)="H"),"",IF(IFERROR(VLOOKUP(A267,'Datos x Cja CH'!A:A,1,),"Falta en Consumo")=A267,"Ok",IFERROR(VLOOKUP(A267,'Datos x Cja CH'!A:A,1,),"Falta en Consumo"))))</f>
        <v>Falta en Consumo</v>
      </c>
    </row>
    <row r="268" spans="1:5" ht="17.25" x14ac:dyDescent="0.3">
      <c r="A268" s="140" t="s">
        <v>934</v>
      </c>
      <c r="B268" s="151" t="s">
        <v>1047</v>
      </c>
      <c r="C268">
        <v>0</v>
      </c>
      <c r="E268" t="str">
        <f>+IF(A268="","",IF(OR(RIGHT(A268,1)="E",RIGHT(A268,1)="H"),"",IF(IFERROR(VLOOKUP(A268,'Datos x Cja CH'!A:A,1,),"Falta en Consumo")=A268,"Ok",IFERROR(VLOOKUP(A268,'Datos x Cja CH'!A:A,1,),"Falta en Consumo"))))</f>
        <v>Falta en Consumo</v>
      </c>
    </row>
    <row r="269" spans="1:5" ht="17.25" x14ac:dyDescent="0.3">
      <c r="A269" s="145" t="s">
        <v>782</v>
      </c>
      <c r="B269" s="151" t="s">
        <v>1048</v>
      </c>
      <c r="C269">
        <v>0</v>
      </c>
      <c r="E269" t="str">
        <f>+IF(A269="","",IF(OR(RIGHT(A269,1)="E",RIGHT(A269,1)="H"),"",IF(IFERROR(VLOOKUP(A269,'Datos x Cja CH'!A:A,1,),"Falta en Consumo")=A269,"Ok",IFERROR(VLOOKUP(A269,'Datos x Cja CH'!A:A,1,),"Falta en Consumo"))))</f>
        <v>Ok</v>
      </c>
    </row>
    <row r="270" spans="1:5" ht="17.25" x14ac:dyDescent="0.3">
      <c r="A270" s="146">
        <v>1</v>
      </c>
      <c r="B270" s="161" t="s">
        <v>1049</v>
      </c>
      <c r="C270">
        <v>0</v>
      </c>
      <c r="E270" t="str">
        <f>+IF(A270="","",IF(OR(RIGHT(A270,1)="E",RIGHT(A270,1)="H"),"",IF(IFERROR(VLOOKUP(A270,'Datos x Cja CH'!A:A,1,),"Falta en Consumo")=A270,"Ok",IFERROR(VLOOKUP(A270,'Datos x Cja CH'!A:A,1,),"Falta en Consumo"))))</f>
        <v>Falta en Consumo</v>
      </c>
    </row>
    <row r="271" spans="1:5" ht="17.25" x14ac:dyDescent="0.3">
      <c r="A271" s="140" t="s">
        <v>935</v>
      </c>
      <c r="B271" s="151" t="s">
        <v>1050</v>
      </c>
      <c r="C271">
        <v>0</v>
      </c>
      <c r="E271" t="str">
        <f>+IF(A271="","",IF(OR(RIGHT(A271,1)="E",RIGHT(A271,1)="H"),"",IF(IFERROR(VLOOKUP(A271,'Datos x Cja CH'!A:A,1,),"Falta en Consumo")=A271,"Ok",IFERROR(VLOOKUP(A271,'Datos x Cja CH'!A:A,1,),"Falta en Consumo"))))</f>
        <v>Falta en Consumo</v>
      </c>
    </row>
    <row r="272" spans="1:5" ht="17.25" x14ac:dyDescent="0.3">
      <c r="A272" s="140" t="s">
        <v>936</v>
      </c>
      <c r="B272" s="151" t="s">
        <v>1051</v>
      </c>
      <c r="C272">
        <v>0</v>
      </c>
      <c r="E272" t="str">
        <f>+IF(A272="","",IF(OR(RIGHT(A272,1)="E",RIGHT(A272,1)="H"),"",IF(IFERROR(VLOOKUP(A272,'Datos x Cja CH'!A:A,1,),"Falta en Consumo")=A272,"Ok",IFERROR(VLOOKUP(A272,'Datos x Cja CH'!A:A,1,),"Falta en Consumo"))))</f>
        <v>Falta en Consumo</v>
      </c>
    </row>
    <row r="273" spans="1:5" ht="17.25" x14ac:dyDescent="0.3">
      <c r="A273" s="140" t="s">
        <v>937</v>
      </c>
      <c r="B273" s="151" t="s">
        <v>1052</v>
      </c>
      <c r="C273">
        <v>0</v>
      </c>
      <c r="E273" t="str">
        <f>+IF(A273="","",IF(OR(RIGHT(A273,1)="E",RIGHT(A273,1)="H"),"",IF(IFERROR(VLOOKUP(A273,'Datos x Cja CH'!A:A,1,),"Falta en Consumo")=A273,"Ok",IFERROR(VLOOKUP(A273,'Datos x Cja CH'!A:A,1,),"Falta en Consumo"))))</f>
        <v>Falta en Consumo</v>
      </c>
    </row>
    <row r="274" spans="1:5" ht="17.25" x14ac:dyDescent="0.3">
      <c r="A274" s="140">
        <v>164</v>
      </c>
      <c r="B274" s="151" t="s">
        <v>1053</v>
      </c>
      <c r="C274">
        <v>0</v>
      </c>
      <c r="E274" t="str">
        <f>+IF(A274="","",IF(OR(RIGHT(A274,1)="E",RIGHT(A274,1)="H"),"",IF(IFERROR(VLOOKUP(A274,'Datos x Cja CH'!A:A,1,),"Falta en Consumo")=A274,"Ok",IFERROR(VLOOKUP(A274,'Datos x Cja CH'!A:A,1,),"Falta en Consumo"))))</f>
        <v>Ok</v>
      </c>
    </row>
    <row r="275" spans="1:5" ht="17.25" x14ac:dyDescent="0.3">
      <c r="A275" s="140">
        <v>640</v>
      </c>
      <c r="B275" s="151" t="s">
        <v>1054</v>
      </c>
      <c r="C275">
        <v>0</v>
      </c>
      <c r="E275" t="str">
        <f>+IF(A275="","",IF(OR(RIGHT(A275,1)="E",RIGHT(A275,1)="H"),"",IF(IFERROR(VLOOKUP(A275,'Datos x Cja CH'!A:A,1,),"Falta en Consumo")=A275,"Ok",IFERROR(VLOOKUP(A275,'Datos x Cja CH'!A:A,1,),"Falta en Consumo"))))</f>
        <v>Ok</v>
      </c>
    </row>
    <row r="276" spans="1:5" ht="17.25" x14ac:dyDescent="0.3">
      <c r="A276" s="140">
        <v>785</v>
      </c>
      <c r="B276" s="151" t="s">
        <v>1055</v>
      </c>
      <c r="C276">
        <v>0</v>
      </c>
      <c r="E276" t="str">
        <f>+IF(A276="","",IF(OR(RIGHT(A276,1)="E",RIGHT(A276,1)="H"),"",IF(IFERROR(VLOOKUP(A276,'Datos x Cja CH'!A:A,1,),"Falta en Consumo")=A276,"Ok",IFERROR(VLOOKUP(A276,'Datos x Cja CH'!A:A,1,),"Falta en Consumo"))))</f>
        <v>Ok</v>
      </c>
    </row>
    <row r="277" spans="1:5" ht="17.25" x14ac:dyDescent="0.3">
      <c r="A277" s="140">
        <v>768</v>
      </c>
      <c r="B277" s="151" t="s">
        <v>1056</v>
      </c>
      <c r="C277">
        <v>0</v>
      </c>
      <c r="E277" t="str">
        <f>+IF(A277="","",IF(OR(RIGHT(A277,1)="E",RIGHT(A277,1)="H"),"",IF(IFERROR(VLOOKUP(A277,'Datos x Cja CH'!A:A,1,),"Falta en Consumo")=A277,"Ok",IFERROR(VLOOKUP(A277,'Datos x Cja CH'!A:A,1,),"Falta en Consumo"))))</f>
        <v>Ok</v>
      </c>
    </row>
    <row r="278" spans="1:5" ht="17.25" x14ac:dyDescent="0.3">
      <c r="A278" s="140">
        <v>26</v>
      </c>
      <c r="B278" s="151" t="s">
        <v>1057</v>
      </c>
      <c r="C278">
        <v>0</v>
      </c>
      <c r="E278" t="str">
        <f>+IF(A278="","",IF(OR(RIGHT(A278,1)="E",RIGHT(A278,1)="H"),"",IF(IFERROR(VLOOKUP(A278,'Datos x Cja CH'!A:A,1,),"Falta en Consumo")=A278,"Ok",IFERROR(VLOOKUP(A278,'Datos x Cja CH'!A:A,1,),"Falta en Consumo"))))</f>
        <v>Ok</v>
      </c>
    </row>
    <row r="279" spans="1:5" ht="17.25" x14ac:dyDescent="0.3">
      <c r="A279" s="140">
        <v>28</v>
      </c>
      <c r="B279" s="151" t="s">
        <v>1058</v>
      </c>
      <c r="C279">
        <v>0</v>
      </c>
      <c r="E279" t="str">
        <f>+IF(A279="","",IF(OR(RIGHT(A279,1)="E",RIGHT(A279,1)="H"),"",IF(IFERROR(VLOOKUP(A279,'Datos x Cja CH'!A:A,1,),"Falta en Consumo")=A279,"Ok",IFERROR(VLOOKUP(A279,'Datos x Cja CH'!A:A,1,),"Falta en Consumo"))))</f>
        <v>Ok</v>
      </c>
    </row>
    <row r="280" spans="1:5" ht="17.25" x14ac:dyDescent="0.3">
      <c r="A280" s="140">
        <v>33</v>
      </c>
      <c r="B280" s="151" t="s">
        <v>1059</v>
      </c>
      <c r="C280">
        <v>0</v>
      </c>
      <c r="E280" t="str">
        <f>+IF(A280="","",IF(OR(RIGHT(A280,1)="E",RIGHT(A280,1)="H"),"",IF(IFERROR(VLOOKUP(A280,'Datos x Cja CH'!A:A,1,),"Falta en Consumo")=A280,"Ok",IFERROR(VLOOKUP(A280,'Datos x Cja CH'!A:A,1,),"Falta en Consumo"))))</f>
        <v>Ok</v>
      </c>
    </row>
    <row r="281" spans="1:5" ht="17.25" x14ac:dyDescent="0.3">
      <c r="A281" s="140">
        <v>34</v>
      </c>
      <c r="B281" s="151" t="s">
        <v>1060</v>
      </c>
      <c r="C281">
        <v>0</v>
      </c>
      <c r="E281" t="str">
        <f>+IF(A281="","",IF(OR(RIGHT(A281,1)="E",RIGHT(A281,1)="H"),"",IF(IFERROR(VLOOKUP(A281,'Datos x Cja CH'!A:A,1,),"Falta en Consumo")=A281,"Ok",IFERROR(VLOOKUP(A281,'Datos x Cja CH'!A:A,1,),"Falta en Consumo"))))</f>
        <v>Ok</v>
      </c>
    </row>
    <row r="282" spans="1:5" ht="17.25" x14ac:dyDescent="0.3">
      <c r="A282" s="140">
        <v>36</v>
      </c>
      <c r="B282" s="151" t="s">
        <v>1061</v>
      </c>
      <c r="C282">
        <v>0</v>
      </c>
      <c r="E282" t="str">
        <f>+IF(A282="","",IF(OR(RIGHT(A282,1)="E",RIGHT(A282,1)="H"),"",IF(IFERROR(VLOOKUP(A282,'Datos x Cja CH'!A:A,1,),"Falta en Consumo")=A282,"Ok",IFERROR(VLOOKUP(A282,'Datos x Cja CH'!A:A,1,),"Falta en Consumo"))))</f>
        <v>Ok</v>
      </c>
    </row>
    <row r="283" spans="1:5" ht="17.25" x14ac:dyDescent="0.3">
      <c r="A283" s="140">
        <v>37</v>
      </c>
      <c r="B283" s="151" t="s">
        <v>1062</v>
      </c>
      <c r="C283">
        <v>0</v>
      </c>
      <c r="E283" t="str">
        <f>+IF(A283="","",IF(OR(RIGHT(A283,1)="E",RIGHT(A283,1)="H"),"",IF(IFERROR(VLOOKUP(A283,'Datos x Cja CH'!A:A,1,),"Falta en Consumo")=A283,"Ok",IFERROR(VLOOKUP(A283,'Datos x Cja CH'!A:A,1,),"Falta en Consumo"))))</f>
        <v>Ok</v>
      </c>
    </row>
    <row r="284" spans="1:5" ht="17.25" x14ac:dyDescent="0.3">
      <c r="A284" s="140">
        <v>51</v>
      </c>
      <c r="B284" s="151" t="s">
        <v>1063</v>
      </c>
      <c r="C284">
        <v>0</v>
      </c>
      <c r="E284" t="str">
        <f>+IF(A284="","",IF(OR(RIGHT(A284,1)="E",RIGHT(A284,1)="H"),"",IF(IFERROR(VLOOKUP(A284,'Datos x Cja CH'!A:A,1,),"Falta en Consumo")=A284,"Ok",IFERROR(VLOOKUP(A284,'Datos x Cja CH'!A:A,1,),"Falta en Consumo"))))</f>
        <v>Ok</v>
      </c>
    </row>
    <row r="285" spans="1:5" ht="17.25" x14ac:dyDescent="0.3">
      <c r="A285" s="140">
        <v>62</v>
      </c>
      <c r="B285" s="151" t="s">
        <v>1064</v>
      </c>
      <c r="C285">
        <v>0</v>
      </c>
      <c r="E285" t="str">
        <f>+IF(A285="","",IF(OR(RIGHT(A285,1)="E",RIGHT(A285,1)="H"),"",IF(IFERROR(VLOOKUP(A285,'Datos x Cja CH'!A:A,1,),"Falta en Consumo")=A285,"Ok",IFERROR(VLOOKUP(A285,'Datos x Cja CH'!A:A,1,),"Falta en Consumo"))))</f>
        <v>Ok</v>
      </c>
    </row>
    <row r="286" spans="1:5" ht="17.25" x14ac:dyDescent="0.3">
      <c r="A286" s="140">
        <v>63</v>
      </c>
      <c r="B286" s="151" t="s">
        <v>1065</v>
      </c>
      <c r="C286">
        <v>0</v>
      </c>
      <c r="E286" t="str">
        <f>+IF(A286="","",IF(OR(RIGHT(A286,1)="E",RIGHT(A286,1)="H"),"",IF(IFERROR(VLOOKUP(A286,'Datos x Cja CH'!A:A,1,),"Falta en Consumo")=A286,"Ok",IFERROR(VLOOKUP(A286,'Datos x Cja CH'!A:A,1,),"Falta en Consumo"))))</f>
        <v>Ok</v>
      </c>
    </row>
    <row r="287" spans="1:5" ht="17.25" x14ac:dyDescent="0.3">
      <c r="A287" s="140">
        <v>75</v>
      </c>
      <c r="B287" s="151" t="s">
        <v>1066</v>
      </c>
      <c r="C287">
        <v>0</v>
      </c>
      <c r="E287" t="str">
        <f>+IF(A287="","",IF(OR(RIGHT(A287,1)="E",RIGHT(A287,1)="H"),"",IF(IFERROR(VLOOKUP(A287,'Datos x Cja CH'!A:A,1,),"Falta en Consumo")=A287,"Ok",IFERROR(VLOOKUP(A287,'Datos x Cja CH'!A:A,1,),"Falta en Consumo"))))</f>
        <v>Ok</v>
      </c>
    </row>
    <row r="288" spans="1:5" ht="17.25" x14ac:dyDescent="0.3">
      <c r="A288" s="140">
        <v>96</v>
      </c>
      <c r="B288" s="151" t="s">
        <v>1067</v>
      </c>
      <c r="C288">
        <v>0</v>
      </c>
      <c r="E288" t="str">
        <f>+IF(A288="","",IF(OR(RIGHT(A288,1)="E",RIGHT(A288,1)="H"),"",IF(IFERROR(VLOOKUP(A288,'Datos x Cja CH'!A:A,1,),"Falta en Consumo")=A288,"Ok",IFERROR(VLOOKUP(A288,'Datos x Cja CH'!A:A,1,),"Falta en Consumo"))))</f>
        <v>Ok</v>
      </c>
    </row>
    <row r="289" spans="1:5" ht="17.25" x14ac:dyDescent="0.3">
      <c r="A289" s="140">
        <v>105</v>
      </c>
      <c r="B289" s="151" t="s">
        <v>1068</v>
      </c>
      <c r="C289">
        <v>0</v>
      </c>
      <c r="E289" t="str">
        <f>+IF(A289="","",IF(OR(RIGHT(A289,1)="E",RIGHT(A289,1)="H"),"",IF(IFERROR(VLOOKUP(A289,'Datos x Cja CH'!A:A,1,),"Falta en Consumo")=A289,"Ok",IFERROR(VLOOKUP(A289,'Datos x Cja CH'!A:A,1,),"Falta en Consumo"))))</f>
        <v>Ok</v>
      </c>
    </row>
    <row r="290" spans="1:5" ht="17.25" x14ac:dyDescent="0.3">
      <c r="A290" s="140">
        <v>209</v>
      </c>
      <c r="B290" s="151" t="s">
        <v>1069</v>
      </c>
      <c r="C290">
        <v>0</v>
      </c>
      <c r="E290" t="str">
        <f>+IF(A290="","",IF(OR(RIGHT(A290,1)="E",RIGHT(A290,1)="H"),"",IF(IFERROR(VLOOKUP(A290,'Datos x Cja CH'!A:A,1,),"Falta en Consumo")=A290,"Ok",IFERROR(VLOOKUP(A290,'Datos x Cja CH'!A:A,1,),"Falta en Consumo"))))</f>
        <v>Ok</v>
      </c>
    </row>
    <row r="291" spans="1:5" ht="17.25" x14ac:dyDescent="0.3">
      <c r="A291" s="140">
        <v>276</v>
      </c>
      <c r="B291" s="151" t="s">
        <v>110</v>
      </c>
      <c r="C291">
        <v>0</v>
      </c>
      <c r="E291" t="str">
        <f>+IF(A291="","",IF(OR(RIGHT(A291,1)="E",RIGHT(A291,1)="H"),"",IF(IFERROR(VLOOKUP(A291,'Datos x Cja CH'!A:A,1,),"Falta en Consumo")=A291,"Ok",IFERROR(VLOOKUP(A291,'Datos x Cja CH'!A:A,1,),"Falta en Consumo"))))</f>
        <v>Falta en Consumo</v>
      </c>
    </row>
    <row r="292" spans="1:5" ht="17.25" x14ac:dyDescent="0.3">
      <c r="A292" s="140">
        <v>648</v>
      </c>
      <c r="B292" s="151" t="s">
        <v>1070</v>
      </c>
      <c r="C292">
        <v>0</v>
      </c>
      <c r="E292" t="str">
        <f>+IF(A292="","",IF(OR(RIGHT(A292,1)="E",RIGHT(A292,1)="H"),"",IF(IFERROR(VLOOKUP(A292,'Datos x Cja CH'!A:A,1,),"Falta en Consumo")=A292,"Ok",IFERROR(VLOOKUP(A292,'Datos x Cja CH'!A:A,1,),"Falta en Consumo"))))</f>
        <v>Ok</v>
      </c>
    </row>
    <row r="293" spans="1:5" ht="17.25" x14ac:dyDescent="0.3">
      <c r="A293" s="140">
        <v>649</v>
      </c>
      <c r="B293" s="151" t="s">
        <v>1071</v>
      </c>
      <c r="C293">
        <v>0</v>
      </c>
      <c r="E293" t="str">
        <f>+IF(A293="","",IF(OR(RIGHT(A293,1)="E",RIGHT(A293,1)="H"),"",IF(IFERROR(VLOOKUP(A293,'Datos x Cja CH'!A:A,1,),"Falta en Consumo")=A293,"Ok",IFERROR(VLOOKUP(A293,'Datos x Cja CH'!A:A,1,),"Falta en Consumo"))))</f>
        <v>Ok</v>
      </c>
    </row>
    <row r="294" spans="1:5" ht="17.25" x14ac:dyDescent="0.3">
      <c r="A294" s="140">
        <v>652</v>
      </c>
      <c r="B294" s="151" t="s">
        <v>1072</v>
      </c>
      <c r="C294">
        <v>0</v>
      </c>
      <c r="E294" t="str">
        <f>+IF(A294="","",IF(OR(RIGHT(A294,1)="E",RIGHT(A294,1)="H"),"",IF(IFERROR(VLOOKUP(A294,'Datos x Cja CH'!A:A,1,),"Falta en Consumo")=A294,"Ok",IFERROR(VLOOKUP(A294,'Datos x Cja CH'!A:A,1,),"Falta en Consumo"))))</f>
        <v>Ok</v>
      </c>
    </row>
    <row r="295" spans="1:5" ht="17.25" x14ac:dyDescent="0.3">
      <c r="A295" s="140">
        <v>661</v>
      </c>
      <c r="B295" s="151" t="s">
        <v>1073</v>
      </c>
      <c r="C295">
        <v>0</v>
      </c>
      <c r="E295" t="str">
        <f>+IF(A295="","",IF(OR(RIGHT(A295,1)="E",RIGHT(A295,1)="H"),"",IF(IFERROR(VLOOKUP(A295,'Datos x Cja CH'!A:A,1,),"Falta en Consumo")=A295,"Ok",IFERROR(VLOOKUP(A295,'Datos x Cja CH'!A:A,1,),"Falta en Consumo"))))</f>
        <v>Ok</v>
      </c>
    </row>
    <row r="296" spans="1:5" ht="17.25" x14ac:dyDescent="0.3">
      <c r="A296" s="140">
        <v>662</v>
      </c>
      <c r="B296" s="151" t="s">
        <v>1074</v>
      </c>
      <c r="C296">
        <v>0</v>
      </c>
      <c r="E296" t="str">
        <f>+IF(A296="","",IF(OR(RIGHT(A296,1)="E",RIGHT(A296,1)="H"),"",IF(IFERROR(VLOOKUP(A296,'Datos x Cja CH'!A:A,1,),"Falta en Consumo")=A296,"Ok",IFERROR(VLOOKUP(A296,'Datos x Cja CH'!A:A,1,),"Falta en Consumo"))))</f>
        <v>Ok</v>
      </c>
    </row>
    <row r="297" spans="1:5" ht="17.25" x14ac:dyDescent="0.3">
      <c r="A297" s="140">
        <v>663</v>
      </c>
      <c r="B297" s="151" t="s">
        <v>1075</v>
      </c>
      <c r="C297">
        <v>0</v>
      </c>
      <c r="E297" t="str">
        <f>+IF(A297="","",IF(OR(RIGHT(A297,1)="E",RIGHT(A297,1)="H"),"",IF(IFERROR(VLOOKUP(A297,'Datos x Cja CH'!A:A,1,),"Falta en Consumo")=A297,"Ok",IFERROR(VLOOKUP(A297,'Datos x Cja CH'!A:A,1,),"Falta en Consumo"))))</f>
        <v>Ok</v>
      </c>
    </row>
    <row r="298" spans="1:5" ht="17.25" x14ac:dyDescent="0.3">
      <c r="A298" s="140">
        <v>641</v>
      </c>
      <c r="B298" s="151" t="s">
        <v>1076</v>
      </c>
      <c r="C298">
        <v>0</v>
      </c>
      <c r="E298" t="str">
        <f>+IF(A298="","",IF(OR(RIGHT(A298,1)="E",RIGHT(A298,1)="H"),"",IF(IFERROR(VLOOKUP(A298,'Datos x Cja CH'!A:A,1,),"Falta en Consumo")=A298,"Ok",IFERROR(VLOOKUP(A298,'Datos x Cja CH'!A:A,1,),"Falta en Consumo"))))</f>
        <v>Ok</v>
      </c>
    </row>
    <row r="299" spans="1:5" ht="17.25" x14ac:dyDescent="0.3">
      <c r="A299" s="140">
        <v>642</v>
      </c>
      <c r="B299" s="151" t="s">
        <v>1077</v>
      </c>
      <c r="C299">
        <v>0</v>
      </c>
      <c r="E299" t="str">
        <f>+IF(A299="","",IF(OR(RIGHT(A299,1)="E",RIGHT(A299,1)="H"),"",IF(IFERROR(VLOOKUP(A299,'Datos x Cja CH'!A:A,1,),"Falta en Consumo")=A299,"Ok",IFERROR(VLOOKUP(A299,'Datos x Cja CH'!A:A,1,),"Falta en Consumo"))))</f>
        <v>Ok</v>
      </c>
    </row>
    <row r="300" spans="1:5" ht="17.25" x14ac:dyDescent="0.3">
      <c r="A300" s="140">
        <v>645</v>
      </c>
      <c r="B300" s="151" t="s">
        <v>1078</v>
      </c>
      <c r="C300">
        <v>0</v>
      </c>
      <c r="E300" t="str">
        <f>+IF(A300="","",IF(OR(RIGHT(A300,1)="E",RIGHT(A300,1)="H"),"",IF(IFERROR(VLOOKUP(A300,'Datos x Cja CH'!A:A,1,),"Falta en Consumo")=A300,"Ok",IFERROR(VLOOKUP(A300,'Datos x Cja CH'!A:A,1,),"Falta en Consumo"))))</f>
        <v>Ok</v>
      </c>
    </row>
    <row r="301" spans="1:5" ht="17.25" x14ac:dyDescent="0.3">
      <c r="A301" s="140">
        <v>646</v>
      </c>
      <c r="B301" s="151" t="s">
        <v>1079</v>
      </c>
      <c r="C301">
        <v>0</v>
      </c>
      <c r="E301" t="str">
        <f>+IF(A301="","",IF(OR(RIGHT(A301,1)="E",RIGHT(A301,1)="H"),"",IF(IFERROR(VLOOKUP(A301,'Datos x Cja CH'!A:A,1,),"Falta en Consumo")=A301,"Ok",IFERROR(VLOOKUP(A301,'Datos x Cja CH'!A:A,1,),"Falta en Consumo"))))</f>
        <v>Ok</v>
      </c>
    </row>
    <row r="302" spans="1:5" ht="17.25" x14ac:dyDescent="0.3">
      <c r="A302" s="140">
        <v>655</v>
      </c>
      <c r="B302" s="151" t="s">
        <v>1080</v>
      </c>
      <c r="C302">
        <v>0</v>
      </c>
      <c r="E302" t="str">
        <f>+IF(A302="","",IF(OR(RIGHT(A302,1)="E",RIGHT(A302,1)="H"),"",IF(IFERROR(VLOOKUP(A302,'Datos x Cja CH'!A:A,1,),"Falta en Consumo")=A302,"Ok",IFERROR(VLOOKUP(A302,'Datos x Cja CH'!A:A,1,),"Falta en Consumo"))))</f>
        <v>Ok</v>
      </c>
    </row>
    <row r="303" spans="1:5" ht="17.25" x14ac:dyDescent="0.3">
      <c r="A303" s="140">
        <v>656</v>
      </c>
      <c r="B303" s="151" t="s">
        <v>1081</v>
      </c>
      <c r="C303">
        <v>0</v>
      </c>
      <c r="E303" t="str">
        <f>+IF(A303="","",IF(OR(RIGHT(A303,1)="E",RIGHT(A303,1)="H"),"",IF(IFERROR(VLOOKUP(A303,'Datos x Cja CH'!A:A,1,),"Falta en Consumo")=A303,"Ok",IFERROR(VLOOKUP(A303,'Datos x Cja CH'!A:A,1,),"Falta en Consumo"))))</f>
        <v>Ok</v>
      </c>
    </row>
    <row r="304" spans="1:5" ht="17.25" x14ac:dyDescent="0.3">
      <c r="A304" s="140">
        <v>657</v>
      </c>
      <c r="B304" s="151" t="s">
        <v>1082</v>
      </c>
      <c r="C304">
        <v>0</v>
      </c>
      <c r="E304" t="str">
        <f>+IF(A304="","",IF(OR(RIGHT(A304,1)="E",RIGHT(A304,1)="H"),"",IF(IFERROR(VLOOKUP(A304,'Datos x Cja CH'!A:A,1,),"Falta en Consumo")=A304,"Ok",IFERROR(VLOOKUP(A304,'Datos x Cja CH'!A:A,1,),"Falta en Consumo"))))</f>
        <v>Ok</v>
      </c>
    </row>
    <row r="305" spans="1:5" ht="17.25" x14ac:dyDescent="0.3">
      <c r="A305" s="140">
        <v>658</v>
      </c>
      <c r="B305" s="151" t="s">
        <v>1083</v>
      </c>
      <c r="C305">
        <v>0</v>
      </c>
      <c r="E305" t="str">
        <f>+IF(A305="","",IF(OR(RIGHT(A305,1)="E",RIGHT(A305,1)="H"),"",IF(IFERROR(VLOOKUP(A305,'Datos x Cja CH'!A:A,1,),"Falta en Consumo")=A305,"Ok",IFERROR(VLOOKUP(A305,'Datos x Cja CH'!A:A,1,),"Falta en Consumo"))))</f>
        <v>Ok</v>
      </c>
    </row>
    <row r="306" spans="1:5" ht="17.25" x14ac:dyDescent="0.3">
      <c r="A306" s="140">
        <v>659</v>
      </c>
      <c r="B306" s="151" t="s">
        <v>1084</v>
      </c>
      <c r="C306">
        <v>0</v>
      </c>
      <c r="E306" t="str">
        <f>+IF(A306="","",IF(OR(RIGHT(A306,1)="E",RIGHT(A306,1)="H"),"",IF(IFERROR(VLOOKUP(A306,'Datos x Cja CH'!A:A,1,),"Falta en Consumo")=A306,"Ok",IFERROR(VLOOKUP(A306,'Datos x Cja CH'!A:A,1,),"Falta en Consumo"))))</f>
        <v>Ok</v>
      </c>
    </row>
    <row r="307" spans="1:5" ht="17.25" x14ac:dyDescent="0.3">
      <c r="A307" s="140">
        <v>771</v>
      </c>
      <c r="B307" s="151" t="s">
        <v>1085</v>
      </c>
      <c r="C307">
        <v>0</v>
      </c>
      <c r="E307" t="str">
        <f>+IF(A307="","",IF(OR(RIGHT(A307,1)="E",RIGHT(A307,1)="H"),"",IF(IFERROR(VLOOKUP(A307,'Datos x Cja CH'!A:A,1,),"Falta en Consumo")=A307,"Ok",IFERROR(VLOOKUP(A307,'Datos x Cja CH'!A:A,1,),"Falta en Consumo"))))</f>
        <v>Ok</v>
      </c>
    </row>
    <row r="308" spans="1:5" ht="17.25" x14ac:dyDescent="0.3">
      <c r="A308" s="140">
        <v>778</v>
      </c>
      <c r="B308" s="151" t="s">
        <v>124</v>
      </c>
      <c r="C308">
        <v>0</v>
      </c>
      <c r="E308" t="str">
        <f>+IF(A308="","",IF(OR(RIGHT(A308,1)="E",RIGHT(A308,1)="H"),"",IF(IFERROR(VLOOKUP(A308,'Datos x Cja CH'!A:A,1,),"Falta en Consumo")=A308,"Ok",IFERROR(VLOOKUP(A308,'Datos x Cja CH'!A:A,1,),"Falta en Consumo"))))</f>
        <v>Ok</v>
      </c>
    </row>
    <row r="309" spans="1:5" ht="17.25" x14ac:dyDescent="0.3">
      <c r="A309" s="140" t="s">
        <v>1100</v>
      </c>
      <c r="B309" s="151" t="s">
        <v>1086</v>
      </c>
      <c r="C309">
        <v>0</v>
      </c>
      <c r="E309" t="str">
        <f>+IF(A309="","",IF(OR(RIGHT(A309,1)="E",RIGHT(A309,1)="H"),"",IF(IFERROR(VLOOKUP(A309,'Datos x Cja CH'!A:A,1,),"Falta en Consumo")=A309,"Ok",IFERROR(VLOOKUP(A309,'Datos x Cja CH'!A:A,1,),"Falta en Consumo"))))</f>
        <v>Falta en Consumo</v>
      </c>
    </row>
    <row r="310" spans="1:5" ht="17.25" x14ac:dyDescent="0.3">
      <c r="A310" s="140" t="s">
        <v>1101</v>
      </c>
      <c r="B310" s="151" t="s">
        <v>1087</v>
      </c>
      <c r="C310">
        <v>0</v>
      </c>
    </row>
  </sheetData>
  <autoFilter ref="A5:E309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J248"/>
  <sheetViews>
    <sheetView topLeftCell="A106" zoomScaleNormal="100" workbookViewId="0">
      <selection activeCell="P11" sqref="P11"/>
    </sheetView>
  </sheetViews>
  <sheetFormatPr baseColWidth="10" defaultRowHeight="15.75" x14ac:dyDescent="0.25"/>
  <cols>
    <col min="1" max="1" width="8.140625" style="1" customWidth="1"/>
    <col min="2" max="2" width="35.140625" customWidth="1"/>
    <col min="3" max="4" width="8.140625" style="1" customWidth="1"/>
    <col min="5" max="5" width="13" style="1" bestFit="1" customWidth="1"/>
    <col min="6" max="6" width="8.28515625" style="42" customWidth="1"/>
    <col min="7" max="7" width="9.5703125" style="1" customWidth="1"/>
    <col min="8" max="8" width="10.28515625" customWidth="1"/>
    <col min="9" max="9" width="10.140625" customWidth="1"/>
    <col min="10" max="10" width="7.7109375" customWidth="1"/>
  </cols>
  <sheetData>
    <row r="1" spans="1:10" ht="36.950000000000003" customHeight="1" thickBot="1" x14ac:dyDescent="0.35">
      <c r="A1" s="42"/>
      <c r="B1" s="43"/>
      <c r="C1" s="44" t="s">
        <v>333</v>
      </c>
      <c r="D1" s="93" t="s">
        <v>334</v>
      </c>
      <c r="E1" s="68" t="s">
        <v>1222</v>
      </c>
      <c r="F1" s="45"/>
      <c r="G1" s="46"/>
      <c r="H1" s="43"/>
      <c r="I1" s="43"/>
      <c r="J1" s="47"/>
    </row>
    <row r="2" spans="1:10" ht="21" customHeight="1" x14ac:dyDescent="0.3">
      <c r="A2" s="42"/>
      <c r="B2" s="43"/>
      <c r="C2" s="246">
        <v>1</v>
      </c>
      <c r="D2" s="245">
        <f t="shared" ref="D2:D15" si="0">SUMIFS($E$18:$E$153,$D$18:$D$153,C2)</f>
        <v>1910</v>
      </c>
      <c r="E2" s="247" t="s">
        <v>1210</v>
      </c>
      <c r="F2" s="45"/>
      <c r="G2" s="46"/>
      <c r="H2" s="43"/>
      <c r="I2" s="43"/>
      <c r="J2" s="47"/>
    </row>
    <row r="3" spans="1:10" x14ac:dyDescent="0.25">
      <c r="A3" s="42"/>
      <c r="C3" s="246">
        <v>2</v>
      </c>
      <c r="D3" s="245">
        <f t="shared" si="0"/>
        <v>2725.9666666666667</v>
      </c>
      <c r="E3" s="247" t="s">
        <v>1211</v>
      </c>
      <c r="G3" s="50"/>
      <c r="H3" s="51"/>
      <c r="I3" s="47"/>
      <c r="J3" s="47"/>
    </row>
    <row r="4" spans="1:10" x14ac:dyDescent="0.25">
      <c r="A4" s="42"/>
      <c r="C4" s="248">
        <v>6</v>
      </c>
      <c r="D4" s="245">
        <f t="shared" si="0"/>
        <v>160</v>
      </c>
      <c r="E4" s="247" t="s">
        <v>1212</v>
      </c>
      <c r="G4" s="50"/>
      <c r="H4" s="51"/>
      <c r="I4" s="47"/>
      <c r="J4" s="47"/>
    </row>
    <row r="5" spans="1:10" x14ac:dyDescent="0.25">
      <c r="A5" s="42"/>
      <c r="C5" s="248">
        <v>7</v>
      </c>
      <c r="D5" s="245">
        <f t="shared" si="0"/>
        <v>188</v>
      </c>
      <c r="E5" s="247" t="s">
        <v>1213</v>
      </c>
      <c r="G5" s="50"/>
      <c r="H5" s="51"/>
      <c r="I5" s="47"/>
      <c r="J5" s="47"/>
    </row>
    <row r="6" spans="1:10" x14ac:dyDescent="0.25">
      <c r="A6" s="42"/>
      <c r="C6" s="248">
        <v>10</v>
      </c>
      <c r="D6" s="245">
        <f t="shared" si="0"/>
        <v>424.16666666666669</v>
      </c>
      <c r="E6" s="247" t="s">
        <v>1214</v>
      </c>
      <c r="G6" s="50"/>
      <c r="H6" s="51"/>
      <c r="I6" s="47"/>
      <c r="J6" s="47"/>
    </row>
    <row r="7" spans="1:10" x14ac:dyDescent="0.25">
      <c r="A7" s="42"/>
      <c r="C7" s="248">
        <v>12</v>
      </c>
      <c r="D7" s="245">
        <f t="shared" si="0"/>
        <v>1275.022988505747</v>
      </c>
      <c r="E7" s="247" t="s">
        <v>1215</v>
      </c>
      <c r="G7" s="50"/>
      <c r="H7" s="51"/>
      <c r="I7" s="47"/>
      <c r="J7" s="47"/>
    </row>
    <row r="8" spans="1:10" x14ac:dyDescent="0.25">
      <c r="A8" s="42"/>
      <c r="C8" s="248">
        <v>13</v>
      </c>
      <c r="D8" s="245">
        <f t="shared" si="0"/>
        <v>472</v>
      </c>
      <c r="E8" s="247" t="s">
        <v>1216</v>
      </c>
      <c r="G8" s="50"/>
      <c r="H8" s="51"/>
      <c r="I8" s="47"/>
      <c r="J8" s="47"/>
    </row>
    <row r="9" spans="1:10" x14ac:dyDescent="0.25">
      <c r="A9" s="42"/>
      <c r="C9" s="248">
        <v>14</v>
      </c>
      <c r="D9" s="245">
        <f t="shared" si="0"/>
        <v>0</v>
      </c>
      <c r="E9" s="247" t="s">
        <v>1217</v>
      </c>
      <c r="G9" s="50"/>
      <c r="H9" s="51"/>
      <c r="I9" s="47"/>
      <c r="J9" s="47"/>
    </row>
    <row r="10" spans="1:10" x14ac:dyDescent="0.25">
      <c r="A10" s="42"/>
      <c r="C10" s="248">
        <v>15</v>
      </c>
      <c r="D10" s="245">
        <f t="shared" si="0"/>
        <v>0</v>
      </c>
      <c r="E10" s="247" t="s">
        <v>1224</v>
      </c>
      <c r="G10" s="50">
        <v>15</v>
      </c>
      <c r="H10" s="51"/>
      <c r="I10" s="47">
        <v>9.3333333333333339</v>
      </c>
      <c r="J10" s="47"/>
    </row>
    <row r="11" spans="1:10" x14ac:dyDescent="0.25">
      <c r="A11" s="42"/>
      <c r="C11" s="248">
        <v>16</v>
      </c>
      <c r="D11" s="245">
        <f t="shared" si="0"/>
        <v>27</v>
      </c>
      <c r="E11" s="247" t="s">
        <v>1223</v>
      </c>
      <c r="G11" s="50"/>
      <c r="H11" s="51"/>
      <c r="I11" s="47"/>
      <c r="J11" s="47"/>
    </row>
    <row r="12" spans="1:10" x14ac:dyDescent="0.25">
      <c r="A12" s="42"/>
      <c r="C12" s="248">
        <v>22</v>
      </c>
      <c r="D12" s="245">
        <f t="shared" si="0"/>
        <v>5112.3333333333339</v>
      </c>
      <c r="E12" s="247" t="s">
        <v>1218</v>
      </c>
      <c r="G12" s="50"/>
      <c r="H12" s="51"/>
      <c r="I12" s="47"/>
      <c r="J12" s="47"/>
    </row>
    <row r="13" spans="1:10" x14ac:dyDescent="0.25">
      <c r="A13" s="42"/>
      <c r="C13" s="248">
        <v>27</v>
      </c>
      <c r="D13" s="245">
        <f t="shared" si="0"/>
        <v>78</v>
      </c>
      <c r="E13" s="247" t="s">
        <v>1219</v>
      </c>
      <c r="G13" s="50"/>
      <c r="H13" s="51"/>
      <c r="I13" s="47"/>
      <c r="J13" s="47"/>
    </row>
    <row r="14" spans="1:10" x14ac:dyDescent="0.25">
      <c r="A14" s="42"/>
      <c r="C14" s="248">
        <v>28</v>
      </c>
      <c r="D14" s="245">
        <f t="shared" si="0"/>
        <v>0</v>
      </c>
      <c r="E14" s="247" t="s">
        <v>1220</v>
      </c>
      <c r="G14" s="50"/>
      <c r="H14" s="51"/>
      <c r="I14" s="47"/>
      <c r="J14" s="47"/>
    </row>
    <row r="15" spans="1:10" ht="16.5" thickBot="1" x14ac:dyDescent="0.3">
      <c r="A15" s="42"/>
      <c r="C15" s="249">
        <v>29</v>
      </c>
      <c r="D15" s="250">
        <f t="shared" si="0"/>
        <v>5955</v>
      </c>
      <c r="E15" s="251" t="s">
        <v>1221</v>
      </c>
      <c r="G15" s="50"/>
      <c r="H15" s="51"/>
      <c r="I15" s="47"/>
      <c r="J15" s="47"/>
    </row>
    <row r="16" spans="1:10" ht="17.100000000000001" customHeight="1" thickBot="1" x14ac:dyDescent="0.3"/>
    <row r="17" spans="1:7" ht="38.25" thickBot="1" x14ac:dyDescent="0.35">
      <c r="A17" s="44" t="s">
        <v>340</v>
      </c>
      <c r="B17" s="55" t="s">
        <v>341</v>
      </c>
      <c r="C17" s="56" t="s">
        <v>1089</v>
      </c>
      <c r="D17" s="93" t="s">
        <v>343</v>
      </c>
      <c r="E17" s="57" t="s">
        <v>344</v>
      </c>
      <c r="F17" s="43"/>
      <c r="G17" s="43"/>
    </row>
    <row r="18" spans="1:7" x14ac:dyDescent="0.25">
      <c r="A18" s="58">
        <v>26</v>
      </c>
      <c r="B18" s="59" t="s">
        <v>345</v>
      </c>
      <c r="C18" s="60">
        <v>36</v>
      </c>
      <c r="D18" s="61">
        <v>2</v>
      </c>
      <c r="E18" s="62">
        <f>+IFERROR(VLOOKUP(A18,'Est Madre LK 10-25'!$A:$C,3,0),0)/C18</f>
        <v>201</v>
      </c>
      <c r="F18"/>
      <c r="G18" t="str">
        <f t="shared" ref="G18:G103" si="1">IF(F18="ver",A18,"")</f>
        <v/>
      </c>
    </row>
    <row r="19" spans="1:7" x14ac:dyDescent="0.25">
      <c r="A19" s="64">
        <v>27</v>
      </c>
      <c r="B19" s="52" t="s">
        <v>346</v>
      </c>
      <c r="C19" s="60">
        <v>24</v>
      </c>
      <c r="D19" s="65">
        <v>2</v>
      </c>
      <c r="E19" s="62">
        <f>+IFERROR(VLOOKUP(A19,'Est Madre LK 10-25'!$A:$C,3,0),0)/C19</f>
        <v>188</v>
      </c>
      <c r="F19"/>
      <c r="G19" t="str">
        <f t="shared" si="1"/>
        <v/>
      </c>
    </row>
    <row r="20" spans="1:7" x14ac:dyDescent="0.25">
      <c r="A20" s="64">
        <v>29</v>
      </c>
      <c r="B20" s="52" t="s">
        <v>347</v>
      </c>
      <c r="C20" s="60">
        <v>24</v>
      </c>
      <c r="D20" s="65">
        <v>6</v>
      </c>
      <c r="E20" s="62">
        <f>+IFERROR(VLOOKUP(A20,'Est Madre LK 10-25'!$A:$C,3,0),0)/C20</f>
        <v>0</v>
      </c>
      <c r="F20"/>
      <c r="G20"/>
    </row>
    <row r="21" spans="1:7" x14ac:dyDescent="0.25">
      <c r="A21" s="64">
        <v>30</v>
      </c>
      <c r="B21" s="94" t="s">
        <v>869</v>
      </c>
      <c r="C21" s="60">
        <v>24</v>
      </c>
      <c r="D21" s="65">
        <v>10</v>
      </c>
      <c r="E21" s="62">
        <f>+IFERROR(VLOOKUP(A21,'Est Madre LK 10-25'!$A:$C,3,0),0)/C21</f>
        <v>0</v>
      </c>
      <c r="F21"/>
      <c r="G21"/>
    </row>
    <row r="22" spans="1:7" x14ac:dyDescent="0.25">
      <c r="A22" s="64">
        <v>31</v>
      </c>
      <c r="B22" s="52" t="s">
        <v>348</v>
      </c>
      <c r="C22" s="60">
        <v>24</v>
      </c>
      <c r="D22" s="65">
        <v>22</v>
      </c>
      <c r="E22" s="62">
        <f>+IFERROR(VLOOKUP(A22,'Est Madre LK 10-25'!$A:$C,3,0),0)/C22</f>
        <v>758</v>
      </c>
      <c r="F22"/>
      <c r="G22"/>
    </row>
    <row r="23" spans="1:7" x14ac:dyDescent="0.25">
      <c r="A23" s="64">
        <v>34</v>
      </c>
      <c r="B23" s="52" t="s">
        <v>349</v>
      </c>
      <c r="C23" s="60">
        <v>24</v>
      </c>
      <c r="D23" s="65">
        <v>2</v>
      </c>
      <c r="E23" s="62">
        <f>+IFERROR(VLOOKUP(A23,'Est Madre LK 10-25'!$A:$C,3,0),0)/C23</f>
        <v>64</v>
      </c>
      <c r="F23"/>
      <c r="G23" t="str">
        <f t="shared" si="1"/>
        <v/>
      </c>
    </row>
    <row r="24" spans="1:7" x14ac:dyDescent="0.25">
      <c r="A24" s="64">
        <v>57</v>
      </c>
      <c r="B24" s="52" t="s">
        <v>350</v>
      </c>
      <c r="C24" s="60">
        <v>12</v>
      </c>
      <c r="D24" s="65">
        <v>29</v>
      </c>
      <c r="E24" s="62">
        <f>+IFERROR(VLOOKUP(A24,'Est Madre LK 10-25'!$A:$C,3,0),0)/C24</f>
        <v>62</v>
      </c>
      <c r="F24"/>
      <c r="G24" t="str">
        <f t="shared" si="1"/>
        <v/>
      </c>
    </row>
    <row r="25" spans="1:7" x14ac:dyDescent="0.25">
      <c r="A25" s="64">
        <v>58</v>
      </c>
      <c r="B25" s="52" t="s">
        <v>351</v>
      </c>
      <c r="C25" s="60">
        <v>12</v>
      </c>
      <c r="D25" s="65">
        <v>22</v>
      </c>
      <c r="E25" s="62">
        <f>+IFERROR(VLOOKUP(A25,'Est Madre LK 10-25'!$A:$C,3,0),0)/C25</f>
        <v>26</v>
      </c>
      <c r="F25"/>
      <c r="G25" t="str">
        <f t="shared" si="1"/>
        <v/>
      </c>
    </row>
    <row r="26" spans="1:7" x14ac:dyDescent="0.25">
      <c r="A26" s="64">
        <v>59</v>
      </c>
      <c r="B26" s="52" t="s">
        <v>352</v>
      </c>
      <c r="C26" s="60">
        <v>12</v>
      </c>
      <c r="D26" s="65">
        <v>22</v>
      </c>
      <c r="E26" s="62">
        <f>+IFERROR(VLOOKUP(A26,'Est Madre LK 10-25'!$A:$C,3,0),0)/C26</f>
        <v>12</v>
      </c>
      <c r="F26"/>
      <c r="G26" t="str">
        <f t="shared" si="1"/>
        <v/>
      </c>
    </row>
    <row r="27" spans="1:7" x14ac:dyDescent="0.25">
      <c r="A27" s="64">
        <v>66</v>
      </c>
      <c r="B27" s="52" t="s">
        <v>154</v>
      </c>
      <c r="C27" s="60">
        <v>12</v>
      </c>
      <c r="D27" s="65">
        <v>2</v>
      </c>
      <c r="E27" s="62">
        <f>+IFERROR(VLOOKUP(A27,'Est Madre LK 10-25'!$A:$C,3,0),0)/C27</f>
        <v>175</v>
      </c>
      <c r="F27"/>
      <c r="G27" t="str">
        <f t="shared" si="1"/>
        <v/>
      </c>
    </row>
    <row r="28" spans="1:7" x14ac:dyDescent="0.25">
      <c r="A28" s="64">
        <v>67</v>
      </c>
      <c r="B28" s="52" t="s">
        <v>1206</v>
      </c>
      <c r="C28" s="60">
        <v>60</v>
      </c>
      <c r="D28" s="65">
        <v>2</v>
      </c>
      <c r="E28" s="62">
        <f>+IFERROR(VLOOKUP(A28,'Est Madre LK 10-25'!$A:$C,3,0),0)/C28</f>
        <v>14</v>
      </c>
      <c r="F28"/>
      <c r="G28" t="str">
        <f t="shared" si="1"/>
        <v/>
      </c>
    </row>
    <row r="29" spans="1:7" x14ac:dyDescent="0.25">
      <c r="A29" s="64">
        <v>70</v>
      </c>
      <c r="B29" s="52" t="s">
        <v>1241</v>
      </c>
      <c r="C29" s="60">
        <v>4</v>
      </c>
      <c r="D29" s="65">
        <v>10</v>
      </c>
      <c r="E29" s="62">
        <v>12</v>
      </c>
      <c r="F29"/>
      <c r="G29" t="str">
        <f t="shared" si="1"/>
        <v/>
      </c>
    </row>
    <row r="30" spans="1:7" x14ac:dyDescent="0.25">
      <c r="A30" s="64">
        <v>101</v>
      </c>
      <c r="B30" s="52" t="s">
        <v>1090</v>
      </c>
      <c r="C30" s="60">
        <v>12</v>
      </c>
      <c r="D30" s="65">
        <v>22</v>
      </c>
      <c r="E30" s="62">
        <f>+IFERROR(VLOOKUP(A30,'Est Madre LK 10-25'!$A:$C,3,0),0)/C30</f>
        <v>25</v>
      </c>
      <c r="F30"/>
      <c r="G30" t="str">
        <f t="shared" si="1"/>
        <v/>
      </c>
    </row>
    <row r="31" spans="1:7" x14ac:dyDescent="0.25">
      <c r="A31" s="64">
        <v>104</v>
      </c>
      <c r="B31" s="52" t="s">
        <v>1104</v>
      </c>
      <c r="C31" s="60">
        <v>12</v>
      </c>
      <c r="D31" s="65">
        <v>22</v>
      </c>
      <c r="E31" s="62">
        <f>+IFERROR(VLOOKUP(A31,'Est Madre LK 10-25'!$A:$C,3,0),0)/C31</f>
        <v>95</v>
      </c>
      <c r="F31"/>
      <c r="G31" t="str">
        <f t="shared" si="1"/>
        <v/>
      </c>
    </row>
    <row r="32" spans="1:7" x14ac:dyDescent="0.25">
      <c r="A32" s="64">
        <v>108</v>
      </c>
      <c r="B32" s="52" t="s">
        <v>1093</v>
      </c>
      <c r="C32" s="60">
        <v>12</v>
      </c>
      <c r="D32" s="65">
        <v>22</v>
      </c>
      <c r="E32" s="62">
        <f>+IFERROR(VLOOKUP(A32,'Est Madre LK 10-25'!$A:$C,3,0),0)/C32</f>
        <v>34</v>
      </c>
      <c r="F32"/>
      <c r="G32" t="str">
        <f t="shared" si="1"/>
        <v/>
      </c>
    </row>
    <row r="33" spans="1:7" x14ac:dyDescent="0.25">
      <c r="A33" s="64">
        <v>110</v>
      </c>
      <c r="B33" s="52" t="s">
        <v>1094</v>
      </c>
      <c r="C33" s="60">
        <v>36</v>
      </c>
      <c r="D33" s="65">
        <v>2</v>
      </c>
      <c r="E33" s="62">
        <f>+IFERROR(VLOOKUP(A33,'Est Madre LK 10-25'!$A:$C,3,0),0)/C33</f>
        <v>33.333333333333336</v>
      </c>
      <c r="F33"/>
      <c r="G33" t="str">
        <f t="shared" si="1"/>
        <v/>
      </c>
    </row>
    <row r="34" spans="1:7" x14ac:dyDescent="0.25">
      <c r="A34" s="64">
        <v>111</v>
      </c>
      <c r="B34" s="52" t="s">
        <v>1095</v>
      </c>
      <c r="C34" s="60">
        <v>24</v>
      </c>
      <c r="D34" s="65">
        <v>2</v>
      </c>
      <c r="E34" s="62">
        <f>+IFERROR(VLOOKUP(A34,'Est Madre LK 10-25'!$A:$C,3,0),0)/C34</f>
        <v>23</v>
      </c>
      <c r="F34"/>
      <c r="G34" t="str">
        <f t="shared" si="1"/>
        <v/>
      </c>
    </row>
    <row r="35" spans="1:7" x14ac:dyDescent="0.25">
      <c r="A35" s="64">
        <v>112</v>
      </c>
      <c r="B35" s="52" t="s">
        <v>1140</v>
      </c>
      <c r="C35" s="60">
        <v>12</v>
      </c>
      <c r="D35" s="65">
        <v>6</v>
      </c>
      <c r="E35" s="62">
        <f>+IFERROR(VLOOKUP(A35,'Est Madre LK 10-25'!$A:$C,3,0),0)/C35</f>
        <v>30</v>
      </c>
      <c r="F35"/>
      <c r="G35" t="str">
        <f t="shared" si="1"/>
        <v/>
      </c>
    </row>
    <row r="36" spans="1:7" x14ac:dyDescent="0.25">
      <c r="A36" s="64">
        <v>113</v>
      </c>
      <c r="B36" s="52" t="s">
        <v>1141</v>
      </c>
      <c r="C36" s="60">
        <v>12</v>
      </c>
      <c r="D36" s="65">
        <v>10</v>
      </c>
      <c r="E36" s="62">
        <f>+IFERROR(VLOOKUP(A36,'Est Madre LK 10-25'!$A:$C,3,0),0)/C36</f>
        <v>30</v>
      </c>
      <c r="F36"/>
      <c r="G36" t="str">
        <f t="shared" si="1"/>
        <v/>
      </c>
    </row>
    <row r="37" spans="1:7" x14ac:dyDescent="0.25">
      <c r="A37" s="64">
        <v>114</v>
      </c>
      <c r="B37" s="52" t="s">
        <v>1096</v>
      </c>
      <c r="C37" s="60">
        <v>6</v>
      </c>
      <c r="D37" s="65">
        <v>1</v>
      </c>
      <c r="E37" s="62">
        <f>+IFERROR(VLOOKUP(A37,'Est Madre LK 10-25'!$A:$C,3,0),0)/C37</f>
        <v>44</v>
      </c>
      <c r="F37"/>
      <c r="G37" t="str">
        <f t="shared" si="1"/>
        <v/>
      </c>
    </row>
    <row r="38" spans="1:7" x14ac:dyDescent="0.25">
      <c r="A38" s="64">
        <v>115</v>
      </c>
      <c r="B38" s="52" t="s">
        <v>1097</v>
      </c>
      <c r="C38" s="60">
        <v>12</v>
      </c>
      <c r="D38" s="65">
        <v>6</v>
      </c>
      <c r="E38" s="62">
        <f>+IFERROR(VLOOKUP(A38,'Est Madre LK 10-25'!$A:$C,3,0),0)/C38</f>
        <v>26</v>
      </c>
      <c r="F38"/>
      <c r="G38" t="str">
        <f t="shared" si="1"/>
        <v/>
      </c>
    </row>
    <row r="39" spans="1:7" x14ac:dyDescent="0.25">
      <c r="A39" s="64">
        <v>116</v>
      </c>
      <c r="B39" s="52" t="s">
        <v>1106</v>
      </c>
      <c r="C39" s="60">
        <v>12</v>
      </c>
      <c r="D39" s="65">
        <v>2</v>
      </c>
      <c r="E39" s="62">
        <f>+IFERROR(VLOOKUP(A39,'Est Madre LK 10-25'!$A:$C,3,0),0)/C39</f>
        <v>50</v>
      </c>
      <c r="F39"/>
      <c r="G39" t="str">
        <f t="shared" si="1"/>
        <v/>
      </c>
    </row>
    <row r="40" spans="1:7" x14ac:dyDescent="0.25">
      <c r="A40" s="64">
        <v>119</v>
      </c>
      <c r="B40" s="52" t="s">
        <v>1209</v>
      </c>
      <c r="C40" s="60">
        <v>12</v>
      </c>
      <c r="D40" s="65">
        <v>1</v>
      </c>
      <c r="E40" s="62">
        <f>+IFERROR(VLOOKUP(A40,'Est Madre LK 10-25'!$A:$C,3,0),0)/C40</f>
        <v>50</v>
      </c>
      <c r="F40"/>
      <c r="G40" t="str">
        <f t="shared" si="1"/>
        <v/>
      </c>
    </row>
    <row r="41" spans="1:7" x14ac:dyDescent="0.25">
      <c r="A41" s="64">
        <v>121</v>
      </c>
      <c r="B41" s="52" t="s">
        <v>1105</v>
      </c>
      <c r="C41" s="60">
        <v>12</v>
      </c>
      <c r="D41" s="65">
        <v>13</v>
      </c>
      <c r="E41" s="62">
        <f>+IFERROR(VLOOKUP(A41,'Est Madre LK 10-25'!$A:$C,3,0),0)/C41</f>
        <v>38</v>
      </c>
      <c r="F41"/>
      <c r="G41" t="str">
        <f t="shared" si="1"/>
        <v/>
      </c>
    </row>
    <row r="42" spans="1:7" x14ac:dyDescent="0.25">
      <c r="A42" s="64">
        <v>123</v>
      </c>
      <c r="B42" s="52" t="s">
        <v>1098</v>
      </c>
      <c r="C42" s="60">
        <v>12</v>
      </c>
      <c r="D42" s="65">
        <v>29</v>
      </c>
      <c r="E42" s="62">
        <f>+IFERROR(VLOOKUP(A42,'Est Madre LK 10-25'!$A:$C,3,0),0)/C42</f>
        <v>178</v>
      </c>
      <c r="F42"/>
      <c r="G42" t="str">
        <f t="shared" si="1"/>
        <v/>
      </c>
    </row>
    <row r="43" spans="1:7" x14ac:dyDescent="0.25">
      <c r="A43" s="64">
        <v>186</v>
      </c>
      <c r="B43" s="52" t="s">
        <v>1103</v>
      </c>
      <c r="C43" s="60">
        <v>12</v>
      </c>
      <c r="D43" s="65">
        <v>22</v>
      </c>
      <c r="E43" s="62">
        <f>+IFERROR(VLOOKUP(A43,'Est Madre LK 10-25'!$A:$C,3,0),0)/C43</f>
        <v>155</v>
      </c>
      <c r="F43"/>
      <c r="G43" t="str">
        <f t="shared" si="1"/>
        <v/>
      </c>
    </row>
    <row r="44" spans="1:7" x14ac:dyDescent="0.25">
      <c r="A44" s="64">
        <v>193</v>
      </c>
      <c r="B44" s="52" t="s">
        <v>1148</v>
      </c>
      <c r="C44" s="60">
        <v>12</v>
      </c>
      <c r="D44" s="65">
        <v>7</v>
      </c>
      <c r="E44" s="62">
        <f>+IFERROR(VLOOKUP(A44,'Est Madre LK 10-25'!$A:$C,3,0),0)/C44</f>
        <v>23</v>
      </c>
      <c r="F44"/>
      <c r="G44" t="str">
        <f t="shared" si="1"/>
        <v/>
      </c>
    </row>
    <row r="45" spans="1:7" x14ac:dyDescent="0.25">
      <c r="A45" s="64">
        <v>207</v>
      </c>
      <c r="B45" s="52" t="s">
        <v>1099</v>
      </c>
      <c r="C45" s="60">
        <v>12</v>
      </c>
      <c r="D45" s="65">
        <v>1</v>
      </c>
      <c r="E45" s="62">
        <f>+IFERROR(VLOOKUP(A45,'Est Madre LK 10-25'!$A:$C,3,0),0)/C45</f>
        <v>50</v>
      </c>
      <c r="F45"/>
      <c r="G45" t="str">
        <f t="shared" si="1"/>
        <v/>
      </c>
    </row>
    <row r="46" spans="1:7" x14ac:dyDescent="0.25">
      <c r="A46" s="64">
        <v>208</v>
      </c>
      <c r="B46" s="52" t="s">
        <v>1208</v>
      </c>
      <c r="C46" s="60">
        <v>12</v>
      </c>
      <c r="D46" s="65">
        <v>22</v>
      </c>
      <c r="E46" s="62">
        <f>+IFERROR(VLOOKUP(A46,'Est Madre LK 10-25'!$A:$C,3,0),0)/C46</f>
        <v>12</v>
      </c>
      <c r="F46"/>
      <c r="G46" t="str">
        <f t="shared" si="1"/>
        <v/>
      </c>
    </row>
    <row r="47" spans="1:7" x14ac:dyDescent="0.25">
      <c r="A47" s="64">
        <v>220</v>
      </c>
      <c r="B47" s="52" t="s">
        <v>353</v>
      </c>
      <c r="C47" s="60">
        <v>12</v>
      </c>
      <c r="D47" s="65">
        <v>27</v>
      </c>
      <c r="E47" s="62">
        <f>+IFERROR(VLOOKUP(A47,'Est Madre LK 10-25'!$A:$C,3,0),0)/C47</f>
        <v>45</v>
      </c>
      <c r="F47"/>
      <c r="G47" t="str">
        <f t="shared" si="1"/>
        <v/>
      </c>
    </row>
    <row r="48" spans="1:7" x14ac:dyDescent="0.25">
      <c r="A48" s="64">
        <v>221</v>
      </c>
      <c r="B48" s="52" t="s">
        <v>354</v>
      </c>
      <c r="C48" s="60">
        <v>12</v>
      </c>
      <c r="D48" s="65">
        <v>27</v>
      </c>
      <c r="E48" s="62">
        <f>+IFERROR(VLOOKUP(A48,'Est Madre LK 10-25'!$A:$C,3,0),0)/C48</f>
        <v>33</v>
      </c>
      <c r="F48"/>
      <c r="G48" t="str">
        <f t="shared" si="1"/>
        <v/>
      </c>
    </row>
    <row r="49" spans="1:7" x14ac:dyDescent="0.25">
      <c r="A49" s="64">
        <v>222</v>
      </c>
      <c r="B49" s="52" t="s">
        <v>355</v>
      </c>
      <c r="C49" s="60">
        <v>12</v>
      </c>
      <c r="D49" s="65">
        <v>12</v>
      </c>
      <c r="E49" s="62">
        <f>+IFERROR(VLOOKUP(A49,'Est Madre LK 10-25'!$A:$C,3,0),0)/C49</f>
        <v>50</v>
      </c>
      <c r="F49"/>
      <c r="G49" t="str">
        <f t="shared" si="1"/>
        <v/>
      </c>
    </row>
    <row r="50" spans="1:7" x14ac:dyDescent="0.25">
      <c r="A50" s="64">
        <v>223</v>
      </c>
      <c r="B50" s="52" t="s">
        <v>356</v>
      </c>
      <c r="C50" s="60">
        <v>12</v>
      </c>
      <c r="D50" s="65">
        <v>2</v>
      </c>
      <c r="E50" s="62">
        <f>+IFERROR(VLOOKUP(A50,'Est Madre LK 10-25'!$A:$C,3,0),0)/C50</f>
        <v>23</v>
      </c>
      <c r="F50"/>
      <c r="G50" t="str">
        <f t="shared" si="1"/>
        <v/>
      </c>
    </row>
    <row r="51" spans="1:7" x14ac:dyDescent="0.25">
      <c r="A51" s="64">
        <v>224</v>
      </c>
      <c r="B51" s="52" t="s">
        <v>357</v>
      </c>
      <c r="C51" s="60">
        <v>12</v>
      </c>
      <c r="D51" s="65">
        <v>2</v>
      </c>
      <c r="E51" s="62">
        <f>+IFERROR(VLOOKUP(A51,'Est Madre LK 10-25'!$A:$C,3,0),0)/C51</f>
        <v>49</v>
      </c>
      <c r="F51"/>
      <c r="G51" t="str">
        <f t="shared" si="1"/>
        <v/>
      </c>
    </row>
    <row r="52" spans="1:7" x14ac:dyDescent="0.25">
      <c r="A52" s="64">
        <v>225</v>
      </c>
      <c r="B52" s="52" t="s">
        <v>358</v>
      </c>
      <c r="C52" s="60">
        <v>12</v>
      </c>
      <c r="D52" s="65">
        <v>12</v>
      </c>
      <c r="E52" s="62">
        <f>+IFERROR(VLOOKUP(A52,'Est Madre LK 10-25'!$A:$C,3,0),0)/C52</f>
        <v>200</v>
      </c>
      <c r="F52"/>
      <c r="G52" t="str">
        <f t="shared" si="1"/>
        <v/>
      </c>
    </row>
    <row r="53" spans="1:7" x14ac:dyDescent="0.25">
      <c r="A53" s="64">
        <v>229</v>
      </c>
      <c r="B53" s="52" t="s">
        <v>359</v>
      </c>
      <c r="C53" s="60">
        <v>12</v>
      </c>
      <c r="D53" s="65">
        <v>22</v>
      </c>
      <c r="E53" s="62">
        <f>+IFERROR(VLOOKUP(A53,'Est Madre LK 10-25'!$A:$C,3,0),0)/C53</f>
        <v>84</v>
      </c>
      <c r="F53"/>
      <c r="G53" t="str">
        <f t="shared" si="1"/>
        <v/>
      </c>
    </row>
    <row r="54" spans="1:7" x14ac:dyDescent="0.25">
      <c r="A54" s="64">
        <v>246</v>
      </c>
      <c r="B54" s="52" t="s">
        <v>360</v>
      </c>
      <c r="C54" s="60">
        <v>6</v>
      </c>
      <c r="D54" s="65">
        <v>10</v>
      </c>
      <c r="E54" s="62">
        <f>+IFERROR(VLOOKUP(A54,'Est Madre LK 10-25'!$A:$C,3,0),0)/C54</f>
        <v>20</v>
      </c>
      <c r="F54"/>
      <c r="G54" t="str">
        <f t="shared" si="1"/>
        <v/>
      </c>
    </row>
    <row r="55" spans="1:7" x14ac:dyDescent="0.25">
      <c r="A55" s="64">
        <v>248</v>
      </c>
      <c r="B55" s="52" t="s">
        <v>361</v>
      </c>
      <c r="C55" s="60">
        <v>12</v>
      </c>
      <c r="D55" s="65">
        <v>12</v>
      </c>
      <c r="E55" s="62">
        <f>+IFERROR(VLOOKUP(A55,'Est Madre LK 10-25'!$A:$C,3,0),0)/C55</f>
        <v>77</v>
      </c>
      <c r="F55"/>
      <c r="G55" t="str">
        <f t="shared" si="1"/>
        <v/>
      </c>
    </row>
    <row r="56" spans="1:7" x14ac:dyDescent="0.25">
      <c r="A56" s="64">
        <v>280</v>
      </c>
      <c r="B56" s="52" t="s">
        <v>362</v>
      </c>
      <c r="C56" s="60">
        <v>12</v>
      </c>
      <c r="D56" s="65">
        <v>12</v>
      </c>
      <c r="E56" s="62">
        <f>+IFERROR(VLOOKUP(A56,'Est Madre LK 10-25'!$A:$C,3,0),0)/C56</f>
        <v>108.33333333333333</v>
      </c>
      <c r="F56"/>
      <c r="G56" t="str">
        <f t="shared" si="1"/>
        <v/>
      </c>
    </row>
    <row r="57" spans="1:7" x14ac:dyDescent="0.25">
      <c r="A57" s="64">
        <v>299</v>
      </c>
      <c r="B57" s="52" t="s">
        <v>363</v>
      </c>
      <c r="C57" s="60">
        <v>12</v>
      </c>
      <c r="D57" s="65">
        <v>29</v>
      </c>
      <c r="E57" s="62">
        <f>+IFERROR(VLOOKUP(A57,'Est Madre LK 10-25'!$A:$C,3,0),0)/C57</f>
        <v>27</v>
      </c>
      <c r="F57"/>
      <c r="G57" t="str">
        <f t="shared" si="1"/>
        <v/>
      </c>
    </row>
    <row r="58" spans="1:7" x14ac:dyDescent="0.25">
      <c r="A58" s="64">
        <v>311</v>
      </c>
      <c r="B58" s="52" t="s">
        <v>865</v>
      </c>
      <c r="C58" s="60">
        <v>12</v>
      </c>
      <c r="D58" s="65">
        <v>12</v>
      </c>
      <c r="E58" s="62">
        <f>+IFERROR(VLOOKUP(A58,'Est Madre LK 10-25'!$A:$C,3,0),0)/C58</f>
        <v>8</v>
      </c>
      <c r="F58"/>
      <c r="G58" t="str">
        <f t="shared" si="1"/>
        <v/>
      </c>
    </row>
    <row r="59" spans="1:7" x14ac:dyDescent="0.25">
      <c r="A59" s="64">
        <v>312</v>
      </c>
      <c r="B59" s="52" t="s">
        <v>364</v>
      </c>
      <c r="C59" s="60">
        <v>12</v>
      </c>
      <c r="D59" s="65">
        <v>12</v>
      </c>
      <c r="E59" s="62">
        <f>+IFERROR(VLOOKUP(A59,'Est Madre LK 10-25'!$A:$C,3,0),0)/C59</f>
        <v>17</v>
      </c>
      <c r="F59"/>
      <c r="G59" t="str">
        <f t="shared" si="1"/>
        <v/>
      </c>
    </row>
    <row r="60" spans="1:7" x14ac:dyDescent="0.25">
      <c r="A60" s="64">
        <v>315</v>
      </c>
      <c r="B60" s="52" t="s">
        <v>365</v>
      </c>
      <c r="C60" s="60">
        <v>12</v>
      </c>
      <c r="D60" s="65">
        <v>13</v>
      </c>
      <c r="E60" s="62">
        <f>+IFERROR(VLOOKUP(A60,'Est Madre LK 10-25'!$A:$C,3,0),0)/C60</f>
        <v>375</v>
      </c>
      <c r="F60"/>
      <c r="G60" t="str">
        <f t="shared" si="1"/>
        <v/>
      </c>
    </row>
    <row r="61" spans="1:7" x14ac:dyDescent="0.25">
      <c r="A61" s="64">
        <v>321</v>
      </c>
      <c r="B61" s="52" t="s">
        <v>366</v>
      </c>
      <c r="C61" s="60">
        <v>12</v>
      </c>
      <c r="D61" s="65">
        <v>10</v>
      </c>
      <c r="E61" s="62">
        <f>+IFERROR(VLOOKUP(A61,'Est Madre LK 10-25'!$A:$C,3,0),0)/C61</f>
        <v>260</v>
      </c>
      <c r="F61"/>
      <c r="G61" t="str">
        <f t="shared" si="1"/>
        <v/>
      </c>
    </row>
    <row r="62" spans="1:7" x14ac:dyDescent="0.25">
      <c r="A62" s="64">
        <v>323</v>
      </c>
      <c r="B62" s="52" t="s">
        <v>367</v>
      </c>
      <c r="C62" s="60">
        <v>12</v>
      </c>
      <c r="D62" s="65">
        <v>13</v>
      </c>
      <c r="E62" s="62">
        <f>+IFERROR(VLOOKUP(A62,'Est Madre LK 10-25'!$A:$C,3,0),0)/C62</f>
        <v>22</v>
      </c>
      <c r="F62"/>
      <c r="G62" t="str">
        <f t="shared" si="1"/>
        <v/>
      </c>
    </row>
    <row r="63" spans="1:7" x14ac:dyDescent="0.25">
      <c r="A63" s="64">
        <v>325</v>
      </c>
      <c r="B63" s="52" t="s">
        <v>368</v>
      </c>
      <c r="C63" s="60">
        <v>24</v>
      </c>
      <c r="D63" s="65">
        <v>22</v>
      </c>
      <c r="E63" s="62">
        <f>+IFERROR(VLOOKUP(A63,'Est Madre LK 10-25'!$A:$C,3,0),0)/C63</f>
        <v>94</v>
      </c>
      <c r="F63"/>
      <c r="G63" t="str">
        <f t="shared" si="1"/>
        <v/>
      </c>
    </row>
    <row r="64" spans="1:7" x14ac:dyDescent="0.25">
      <c r="A64" s="64">
        <v>326</v>
      </c>
      <c r="B64" s="52" t="s">
        <v>369</v>
      </c>
      <c r="C64" s="60">
        <v>24</v>
      </c>
      <c r="D64" s="65">
        <v>2</v>
      </c>
      <c r="E64" s="62">
        <f>+IFERROR(VLOOKUP(A64,'Est Madre LK 10-25'!$A:$C,3,0),0)/C64</f>
        <v>6</v>
      </c>
      <c r="F64"/>
      <c r="G64" t="str">
        <f t="shared" si="1"/>
        <v/>
      </c>
    </row>
    <row r="65" spans="1:7" x14ac:dyDescent="0.25">
      <c r="A65" s="64">
        <v>332</v>
      </c>
      <c r="B65" s="52" t="s">
        <v>370</v>
      </c>
      <c r="C65" s="60">
        <v>24</v>
      </c>
      <c r="D65" s="65">
        <v>12</v>
      </c>
      <c r="E65" s="62">
        <f>+IFERROR(VLOOKUP(A65,'Est Madre LK 10-25'!$A:$C,3,0),0)/C65</f>
        <v>11</v>
      </c>
      <c r="F65"/>
      <c r="G65" t="str">
        <f t="shared" si="1"/>
        <v/>
      </c>
    </row>
    <row r="66" spans="1:7" x14ac:dyDescent="0.25">
      <c r="A66" s="64">
        <v>333</v>
      </c>
      <c r="B66" s="52" t="s">
        <v>371</v>
      </c>
      <c r="C66" s="60">
        <v>12</v>
      </c>
      <c r="D66" s="65">
        <v>12</v>
      </c>
      <c r="E66" s="62">
        <f>+IFERROR(VLOOKUP(A66,'Est Madre LK 10-25'!$A:$C,3,0),0)/C66</f>
        <v>24</v>
      </c>
      <c r="F66"/>
      <c r="G66" t="str">
        <f t="shared" si="1"/>
        <v/>
      </c>
    </row>
    <row r="67" spans="1:7" x14ac:dyDescent="0.25">
      <c r="A67" s="64">
        <v>334</v>
      </c>
      <c r="B67" s="52" t="s">
        <v>372</v>
      </c>
      <c r="C67" s="60">
        <v>24</v>
      </c>
      <c r="D67" s="65">
        <v>12</v>
      </c>
      <c r="E67" s="62">
        <f>+IFERROR(VLOOKUP(A67,'Est Madre LK 10-25'!$A:$C,3,0),0)/C67</f>
        <v>8</v>
      </c>
      <c r="F67"/>
      <c r="G67" t="str">
        <f t="shared" si="1"/>
        <v/>
      </c>
    </row>
    <row r="68" spans="1:7" x14ac:dyDescent="0.25">
      <c r="A68" s="64">
        <v>335</v>
      </c>
      <c r="B68" s="52" t="s">
        <v>373</v>
      </c>
      <c r="C68" s="60">
        <v>24</v>
      </c>
      <c r="D68" s="65">
        <v>12</v>
      </c>
      <c r="E68" s="62">
        <f>+IFERROR(VLOOKUP(A68,'Est Madre LK 10-25'!$A:$C,3,0),0)/C68</f>
        <v>5</v>
      </c>
      <c r="F68"/>
      <c r="G68" t="str">
        <f t="shared" si="1"/>
        <v/>
      </c>
    </row>
    <row r="69" spans="1:7" x14ac:dyDescent="0.25">
      <c r="A69" s="64">
        <v>336</v>
      </c>
      <c r="B69" s="52" t="s">
        <v>374</v>
      </c>
      <c r="C69" s="60">
        <v>12</v>
      </c>
      <c r="D69" s="65">
        <v>12</v>
      </c>
      <c r="E69" s="62">
        <f>+IFERROR(VLOOKUP(A69,'Est Madre LK 10-25'!$A:$C,3,0),0)/C69</f>
        <v>18</v>
      </c>
      <c r="F69"/>
      <c r="G69" t="str">
        <f t="shared" si="1"/>
        <v/>
      </c>
    </row>
    <row r="70" spans="1:7" x14ac:dyDescent="0.25">
      <c r="A70" s="64">
        <v>337</v>
      </c>
      <c r="B70" s="52" t="s">
        <v>375</v>
      </c>
      <c r="C70" s="60">
        <v>24</v>
      </c>
      <c r="D70" s="65">
        <v>12</v>
      </c>
      <c r="E70" s="62">
        <f>+IFERROR(VLOOKUP(A70,'Est Madre LK 10-25'!$A:$C,3,0),0)/C70</f>
        <v>4</v>
      </c>
      <c r="F70"/>
      <c r="G70" t="str">
        <f t="shared" si="1"/>
        <v/>
      </c>
    </row>
    <row r="71" spans="1:7" x14ac:dyDescent="0.25">
      <c r="A71" s="64">
        <v>338</v>
      </c>
      <c r="B71" s="52" t="s">
        <v>376</v>
      </c>
      <c r="C71" s="60">
        <v>24</v>
      </c>
      <c r="D71" s="65">
        <v>12</v>
      </c>
      <c r="E71" s="62">
        <f>+IFERROR(VLOOKUP(A71,'Est Madre LK 10-25'!$A:$C,3,0),0)/C71</f>
        <v>10</v>
      </c>
      <c r="F71"/>
      <c r="G71" t="str">
        <f t="shared" si="1"/>
        <v/>
      </c>
    </row>
    <row r="72" spans="1:7" x14ac:dyDescent="0.25">
      <c r="A72" s="64">
        <v>339</v>
      </c>
      <c r="B72" s="52" t="s">
        <v>319</v>
      </c>
      <c r="C72" s="60">
        <v>24</v>
      </c>
      <c r="D72" s="65">
        <v>6</v>
      </c>
      <c r="E72" s="62">
        <f>+IFERROR(VLOOKUP(A72,'Est Madre LK 10-25'!$A:$C,3,0),0)/C72</f>
        <v>0</v>
      </c>
      <c r="F72"/>
      <c r="G72" t="str">
        <f t="shared" si="1"/>
        <v/>
      </c>
    </row>
    <row r="73" spans="1:7" x14ac:dyDescent="0.25">
      <c r="A73" s="64">
        <v>355</v>
      </c>
      <c r="B73" s="52" t="s">
        <v>377</v>
      </c>
      <c r="C73" s="60">
        <v>24</v>
      </c>
      <c r="D73" s="65">
        <v>7</v>
      </c>
      <c r="E73" s="62">
        <f>+IFERROR(VLOOKUP(A73,'Est Madre LK 10-25'!$A:$C,3,0),0)/C73</f>
        <v>30</v>
      </c>
      <c r="F73"/>
      <c r="G73" t="str">
        <f t="shared" si="1"/>
        <v/>
      </c>
    </row>
    <row r="74" spans="1:7" x14ac:dyDescent="0.25">
      <c r="A74" s="64">
        <v>389</v>
      </c>
      <c r="B74" s="52" t="s">
        <v>442</v>
      </c>
      <c r="C74" s="60">
        <v>12</v>
      </c>
      <c r="D74" s="65">
        <v>12</v>
      </c>
      <c r="E74" s="62">
        <f>+IFERROR(VLOOKUP(A74,'Est Madre LK 10-25'!$A:$C,3,0),0)/C74</f>
        <v>0</v>
      </c>
      <c r="F74"/>
      <c r="G74" t="str">
        <f t="shared" si="1"/>
        <v/>
      </c>
    </row>
    <row r="75" spans="1:7" x14ac:dyDescent="0.25">
      <c r="A75" s="64">
        <v>390</v>
      </c>
      <c r="B75" s="52" t="s">
        <v>378</v>
      </c>
      <c r="C75" s="60">
        <v>24</v>
      </c>
      <c r="D75" s="65">
        <v>12</v>
      </c>
      <c r="E75" s="62">
        <f>+IFERROR(VLOOKUP(A75,'Est Madre LK 10-25'!$A:$C,3,0),0)/C75</f>
        <v>5</v>
      </c>
      <c r="F75"/>
      <c r="G75" t="str">
        <f t="shared" si="1"/>
        <v/>
      </c>
    </row>
    <row r="76" spans="1:7" x14ac:dyDescent="0.25">
      <c r="A76" s="64">
        <v>391</v>
      </c>
      <c r="B76" s="52" t="s">
        <v>379</v>
      </c>
      <c r="C76" s="60">
        <v>24</v>
      </c>
      <c r="D76" s="65">
        <v>7</v>
      </c>
      <c r="E76" s="62">
        <f>+IFERROR(VLOOKUP(A76,'Est Madre LK 10-25'!$A:$C,3,0),0)/C76</f>
        <v>8</v>
      </c>
      <c r="F76"/>
      <c r="G76" t="str">
        <f t="shared" si="1"/>
        <v/>
      </c>
    </row>
    <row r="77" spans="1:7" x14ac:dyDescent="0.25">
      <c r="A77" s="64">
        <v>392</v>
      </c>
      <c r="B77" s="52" t="s">
        <v>380</v>
      </c>
      <c r="C77" s="60">
        <v>24</v>
      </c>
      <c r="D77" s="65">
        <v>7</v>
      </c>
      <c r="E77" s="62">
        <f>+IFERROR(VLOOKUP(A77,'Est Madre LK 10-25'!$A:$C,3,0),0)/C77</f>
        <v>13</v>
      </c>
      <c r="F77"/>
      <c r="G77" t="str">
        <f t="shared" si="1"/>
        <v/>
      </c>
    </row>
    <row r="78" spans="1:7" x14ac:dyDescent="0.25">
      <c r="A78" s="64">
        <v>393</v>
      </c>
      <c r="B78" s="52" t="s">
        <v>381</v>
      </c>
      <c r="C78" s="60">
        <v>24</v>
      </c>
      <c r="D78" s="65">
        <v>12</v>
      </c>
      <c r="E78" s="62">
        <f>+IFERROR(VLOOKUP(A78,'Est Madre LK 10-25'!$A:$C,3,0),0)/C78</f>
        <v>13</v>
      </c>
      <c r="F78"/>
      <c r="G78" t="str">
        <f t="shared" si="1"/>
        <v/>
      </c>
    </row>
    <row r="79" spans="1:7" x14ac:dyDescent="0.25">
      <c r="A79" s="64">
        <v>394</v>
      </c>
      <c r="B79" s="52" t="s">
        <v>382</v>
      </c>
      <c r="C79" s="60">
        <v>24</v>
      </c>
      <c r="D79" s="65">
        <v>12</v>
      </c>
      <c r="E79" s="62">
        <f>+IFERROR(VLOOKUP(A79,'Est Madre LK 10-25'!$A:$C,3,0),0)/C79</f>
        <v>15</v>
      </c>
      <c r="F79"/>
      <c r="G79" t="str">
        <f t="shared" si="1"/>
        <v/>
      </c>
    </row>
    <row r="80" spans="1:7" x14ac:dyDescent="0.25">
      <c r="A80" s="64">
        <v>395</v>
      </c>
      <c r="B80" s="52" t="s">
        <v>383</v>
      </c>
      <c r="C80" s="60">
        <v>12</v>
      </c>
      <c r="D80" s="65">
        <v>2</v>
      </c>
      <c r="E80" s="62">
        <f>+IFERROR(VLOOKUP(A80,'Est Madre LK 10-25'!$A:$C,3,0),0)/C80</f>
        <v>50</v>
      </c>
      <c r="F80"/>
      <c r="G80" t="str">
        <f t="shared" si="1"/>
        <v/>
      </c>
    </row>
    <row r="81" spans="1:7" x14ac:dyDescent="0.25">
      <c r="A81" s="64">
        <v>396</v>
      </c>
      <c r="B81" s="52" t="s">
        <v>384</v>
      </c>
      <c r="C81" s="60">
        <v>12</v>
      </c>
      <c r="D81" s="65">
        <v>2</v>
      </c>
      <c r="E81" s="62">
        <f>+IFERROR(VLOOKUP(A81,'Est Madre LK 10-25'!$A:$C,3,0),0)/C81</f>
        <v>15</v>
      </c>
      <c r="F81"/>
      <c r="G81" t="str">
        <f t="shared" si="1"/>
        <v/>
      </c>
    </row>
    <row r="82" spans="1:7" x14ac:dyDescent="0.25">
      <c r="A82" s="64">
        <v>498</v>
      </c>
      <c r="B82" s="52" t="s">
        <v>866</v>
      </c>
      <c r="C82" s="60">
        <v>12</v>
      </c>
      <c r="D82" s="65">
        <v>29</v>
      </c>
      <c r="E82" s="62">
        <f>+IFERROR(VLOOKUP(A82,'Est Madre LK 10-25'!$A:$C,3,0),0)/C82</f>
        <v>12</v>
      </c>
      <c r="F82"/>
      <c r="G82" t="str">
        <f t="shared" si="1"/>
        <v/>
      </c>
    </row>
    <row r="83" spans="1:7" x14ac:dyDescent="0.25">
      <c r="A83" s="64">
        <v>499</v>
      </c>
      <c r="B83" s="52" t="s">
        <v>385</v>
      </c>
      <c r="C83" s="60">
        <v>12</v>
      </c>
      <c r="D83" s="65">
        <v>29</v>
      </c>
      <c r="E83" s="62">
        <f>+IFERROR(VLOOKUP(A83,'Est Madre LK 10-25'!$A:$C,3,0),0)/C83</f>
        <v>12</v>
      </c>
      <c r="F83"/>
      <c r="G83" t="str">
        <f t="shared" si="1"/>
        <v/>
      </c>
    </row>
    <row r="84" spans="1:7" x14ac:dyDescent="0.25">
      <c r="A84" s="64">
        <v>500</v>
      </c>
      <c r="B84" s="52" t="s">
        <v>386</v>
      </c>
      <c r="C84" s="60">
        <v>12</v>
      </c>
      <c r="D84" s="65">
        <v>29</v>
      </c>
      <c r="E84" s="62">
        <f>+IFERROR(VLOOKUP(A84,'Est Madre LK 10-25'!$A:$C,3,0),0)/C84</f>
        <v>120</v>
      </c>
      <c r="F84"/>
      <c r="G84" t="str">
        <f t="shared" si="1"/>
        <v/>
      </c>
    </row>
    <row r="85" spans="1:7" x14ac:dyDescent="0.25">
      <c r="A85" s="64">
        <v>501</v>
      </c>
      <c r="B85" s="52" t="s">
        <v>387</v>
      </c>
      <c r="C85" s="60">
        <v>6</v>
      </c>
      <c r="D85" s="65">
        <v>22</v>
      </c>
      <c r="E85" s="62">
        <f>+IFERROR(VLOOKUP(A85,'Est Madre LK 10-25'!$A:$C,3,0),0)/C85</f>
        <v>1152</v>
      </c>
      <c r="F85"/>
      <c r="G85" t="str">
        <f t="shared" si="1"/>
        <v/>
      </c>
    </row>
    <row r="86" spans="1:7" x14ac:dyDescent="0.25">
      <c r="A86" s="64">
        <v>502</v>
      </c>
      <c r="B86" s="52" t="s">
        <v>388</v>
      </c>
      <c r="C86" s="60">
        <v>12</v>
      </c>
      <c r="D86" s="65">
        <v>2</v>
      </c>
      <c r="E86" s="62">
        <f>+IFERROR(VLOOKUP(A86,'Est Madre LK 10-25'!$A:$C,3,0),0)/C86</f>
        <v>483</v>
      </c>
      <c r="F86"/>
      <c r="G86" t="str">
        <f t="shared" si="1"/>
        <v/>
      </c>
    </row>
    <row r="87" spans="1:7" x14ac:dyDescent="0.25">
      <c r="A87" s="64">
        <v>504</v>
      </c>
      <c r="B87" s="52" t="s">
        <v>389</v>
      </c>
      <c r="C87" s="60">
        <v>6</v>
      </c>
      <c r="D87" s="65">
        <v>1</v>
      </c>
      <c r="E87" s="62">
        <f>+IFERROR(VLOOKUP(A87,'Est Madre LK 10-25'!$A:$C,3,0),0)/C87</f>
        <v>1166</v>
      </c>
      <c r="F87"/>
      <c r="G87" t="str">
        <f t="shared" si="1"/>
        <v/>
      </c>
    </row>
    <row r="88" spans="1:7" x14ac:dyDescent="0.25">
      <c r="A88" s="64">
        <v>505</v>
      </c>
      <c r="B88" s="52" t="s">
        <v>390</v>
      </c>
      <c r="C88" s="60">
        <v>12</v>
      </c>
      <c r="D88" s="65">
        <v>29</v>
      </c>
      <c r="E88" s="62">
        <f>+IFERROR(VLOOKUP(A88,'Est Madre LK 10-25'!$A:$C,3,0),0)/C88</f>
        <v>2500</v>
      </c>
      <c r="F88"/>
      <c r="G88" t="str">
        <f t="shared" si="1"/>
        <v/>
      </c>
    </row>
    <row r="89" spans="1:7" x14ac:dyDescent="0.25">
      <c r="A89" s="64">
        <v>506</v>
      </c>
      <c r="B89" s="52" t="s">
        <v>391</v>
      </c>
      <c r="C89" s="60">
        <v>12</v>
      </c>
      <c r="D89" s="65">
        <v>29</v>
      </c>
      <c r="E89" s="62">
        <f>+IFERROR(VLOOKUP(A89,'Est Madre LK 10-25'!$A:$C,3,0),0)/C89</f>
        <v>1570</v>
      </c>
      <c r="F89"/>
      <c r="G89" t="str">
        <f t="shared" si="1"/>
        <v/>
      </c>
    </row>
    <row r="90" spans="1:7" x14ac:dyDescent="0.25">
      <c r="A90" s="64">
        <v>507</v>
      </c>
      <c r="B90" s="52" t="s">
        <v>392</v>
      </c>
      <c r="C90" s="60">
        <v>12</v>
      </c>
      <c r="D90" s="65">
        <v>2</v>
      </c>
      <c r="E90" s="62">
        <f>+IFERROR(VLOOKUP(A90,'Est Madre LK 10-25'!$A:$C,3,0),0)/C90</f>
        <v>66</v>
      </c>
      <c r="F90"/>
      <c r="G90" t="str">
        <f t="shared" si="1"/>
        <v/>
      </c>
    </row>
    <row r="91" spans="1:7" x14ac:dyDescent="0.25">
      <c r="A91" s="64">
        <v>508</v>
      </c>
      <c r="B91" s="52" t="s">
        <v>393</v>
      </c>
      <c r="C91" s="60">
        <v>6</v>
      </c>
      <c r="D91" s="65">
        <v>2</v>
      </c>
      <c r="E91" s="62">
        <f>+IFERROR(VLOOKUP(A91,'Est Madre LK 10-25'!$A:$C,3,0),0)/C91</f>
        <v>70</v>
      </c>
      <c r="F91"/>
      <c r="G91" t="str">
        <f t="shared" si="1"/>
        <v/>
      </c>
    </row>
    <row r="92" spans="1:7" x14ac:dyDescent="0.25">
      <c r="A92" s="64">
        <v>509</v>
      </c>
      <c r="B92" s="52" t="s">
        <v>394</v>
      </c>
      <c r="C92" s="60">
        <v>12</v>
      </c>
      <c r="D92" s="65">
        <v>2</v>
      </c>
      <c r="E92" s="62">
        <f>+IFERROR(VLOOKUP(A92,'Est Madre LK 10-25'!$A:$C,3,0),0)/C92</f>
        <v>16</v>
      </c>
      <c r="F92"/>
      <c r="G92" t="str">
        <f t="shared" si="1"/>
        <v/>
      </c>
    </row>
    <row r="93" spans="1:7" x14ac:dyDescent="0.25">
      <c r="A93" s="64">
        <v>510</v>
      </c>
      <c r="B93" s="52" t="s">
        <v>395</v>
      </c>
      <c r="C93" s="60">
        <v>12</v>
      </c>
      <c r="D93" s="65">
        <v>29</v>
      </c>
      <c r="E93" s="62">
        <f>+IFERROR(VLOOKUP(A93,'Est Madre LK 10-25'!$A:$C,3,0),0)/C93</f>
        <v>538</v>
      </c>
      <c r="F93"/>
      <c r="G93" t="str">
        <f t="shared" si="1"/>
        <v/>
      </c>
    </row>
    <row r="94" spans="1:7" x14ac:dyDescent="0.25">
      <c r="A94" s="64">
        <v>511</v>
      </c>
      <c r="B94" s="52" t="s">
        <v>396</v>
      </c>
      <c r="C94" s="60">
        <v>12</v>
      </c>
      <c r="D94" s="65">
        <v>22</v>
      </c>
      <c r="E94" s="62">
        <f>+IFERROR(VLOOKUP(A94,'Est Madre LK 10-25'!$A:$C,3,0),0)/C94</f>
        <v>40.333333333333336</v>
      </c>
      <c r="F94"/>
      <c r="G94" t="str">
        <f t="shared" si="1"/>
        <v/>
      </c>
    </row>
    <row r="95" spans="1:7" x14ac:dyDescent="0.25">
      <c r="A95" s="64">
        <v>512</v>
      </c>
      <c r="B95" s="52" t="s">
        <v>397</v>
      </c>
      <c r="C95" s="60">
        <v>12</v>
      </c>
      <c r="D95" s="65">
        <v>2</v>
      </c>
      <c r="E95" s="62">
        <f>+IFERROR(VLOOKUP(A95,'Est Madre LK 10-25'!$A:$C,3,0),0)/C95</f>
        <v>138</v>
      </c>
      <c r="F95"/>
      <c r="G95" t="str">
        <f t="shared" si="1"/>
        <v/>
      </c>
    </row>
    <row r="96" spans="1:7" x14ac:dyDescent="0.25">
      <c r="A96" s="64">
        <v>513</v>
      </c>
      <c r="B96" s="52" t="s">
        <v>398</v>
      </c>
      <c r="C96" s="60">
        <v>12</v>
      </c>
      <c r="D96" s="65">
        <v>22</v>
      </c>
      <c r="E96" s="62">
        <f>+IFERROR(VLOOKUP(A96,'Est Madre LK 10-25'!$A:$C,3,0),0)/C96</f>
        <v>1517</v>
      </c>
      <c r="F96"/>
      <c r="G96" t="str">
        <f t="shared" si="1"/>
        <v/>
      </c>
    </row>
    <row r="97" spans="1:7" x14ac:dyDescent="0.25">
      <c r="A97" s="64">
        <v>515</v>
      </c>
      <c r="B97" s="52" t="s">
        <v>399</v>
      </c>
      <c r="C97" s="60">
        <v>12</v>
      </c>
      <c r="D97" s="65">
        <v>2</v>
      </c>
      <c r="E97" s="62">
        <f>+IFERROR(VLOOKUP(A97,'Est Madre LK 10-25'!$A:$C,3,0),0)/C97</f>
        <v>36.800000000000004</v>
      </c>
      <c r="F97"/>
      <c r="G97" t="str">
        <f t="shared" si="1"/>
        <v/>
      </c>
    </row>
    <row r="98" spans="1:7" x14ac:dyDescent="0.25">
      <c r="A98" s="64">
        <v>516</v>
      </c>
      <c r="B98" s="52" t="s">
        <v>400</v>
      </c>
      <c r="C98" s="60">
        <v>100</v>
      </c>
      <c r="D98" s="65">
        <v>22</v>
      </c>
      <c r="E98" s="62">
        <f>+IFERROR(VLOOKUP(A98,'Est Madre LK 10-25'!$A:$C,3,0),0)/C98</f>
        <v>5</v>
      </c>
      <c r="F98"/>
      <c r="G98" t="str">
        <f t="shared" si="1"/>
        <v/>
      </c>
    </row>
    <row r="99" spans="1:7" x14ac:dyDescent="0.25">
      <c r="A99" s="64">
        <v>518</v>
      </c>
      <c r="B99" s="52" t="s">
        <v>401</v>
      </c>
      <c r="C99" s="60">
        <v>12</v>
      </c>
      <c r="D99" s="65">
        <v>7</v>
      </c>
      <c r="E99" s="62">
        <f>+IFERROR(VLOOKUP(A99,'Est Madre LK 10-25'!$A:$C,3,0),0)/C99</f>
        <v>65</v>
      </c>
      <c r="F99"/>
      <c r="G99" t="str">
        <f t="shared" si="1"/>
        <v/>
      </c>
    </row>
    <row r="100" spans="1:7" x14ac:dyDescent="0.25">
      <c r="A100" s="64">
        <v>519</v>
      </c>
      <c r="B100" s="52" t="s">
        <v>402</v>
      </c>
      <c r="C100" s="60">
        <v>12</v>
      </c>
      <c r="D100" s="65">
        <v>22</v>
      </c>
      <c r="E100" s="62">
        <f>+IFERROR(VLOOKUP(A100,'Est Madre LK 10-25'!$A:$C,3,0),0)/C100</f>
        <v>50</v>
      </c>
      <c r="F100"/>
      <c r="G100" t="str">
        <f t="shared" si="1"/>
        <v/>
      </c>
    </row>
    <row r="101" spans="1:7" x14ac:dyDescent="0.25">
      <c r="A101" s="64">
        <v>520</v>
      </c>
      <c r="B101" s="52" t="s">
        <v>403</v>
      </c>
      <c r="C101" s="60">
        <v>12</v>
      </c>
      <c r="D101" s="65">
        <v>29</v>
      </c>
      <c r="E101" s="62">
        <f>+IFERROR(VLOOKUP(A101,'Est Madre LK 10-25'!$A:$C,3,0),0)/C101</f>
        <v>260</v>
      </c>
      <c r="F101"/>
      <c r="G101" t="str">
        <f t="shared" si="1"/>
        <v/>
      </c>
    </row>
    <row r="102" spans="1:7" x14ac:dyDescent="0.25">
      <c r="A102" s="64">
        <v>521</v>
      </c>
      <c r="B102" s="52" t="s">
        <v>404</v>
      </c>
      <c r="C102" s="60">
        <v>12</v>
      </c>
      <c r="D102" s="65">
        <v>29</v>
      </c>
      <c r="E102" s="62">
        <f>+IFERROR(VLOOKUP(A102,'Est Madre LK 10-25'!$A:$C,3,0),0)/C102</f>
        <v>185</v>
      </c>
      <c r="F102"/>
      <c r="G102" t="str">
        <f t="shared" si="1"/>
        <v/>
      </c>
    </row>
    <row r="103" spans="1:7" x14ac:dyDescent="0.25">
      <c r="A103" s="64">
        <v>523</v>
      </c>
      <c r="B103" s="52" t="s">
        <v>405</v>
      </c>
      <c r="C103" s="60">
        <v>12</v>
      </c>
      <c r="D103" s="65">
        <v>2</v>
      </c>
      <c r="E103" s="62">
        <f>+IFERROR(VLOOKUP(A103,'Est Madre LK 10-25'!$A:$C,3,0),0)/C103</f>
        <v>200</v>
      </c>
      <c r="F103"/>
      <c r="G103" t="str">
        <f t="shared" si="1"/>
        <v/>
      </c>
    </row>
    <row r="104" spans="1:7" x14ac:dyDescent="0.25">
      <c r="A104" s="64">
        <v>525</v>
      </c>
      <c r="B104" s="52" t="s">
        <v>443</v>
      </c>
      <c r="C104" s="60">
        <v>24</v>
      </c>
      <c r="D104" s="65">
        <v>13</v>
      </c>
      <c r="E104" s="62">
        <f>+IFERROR(VLOOKUP(A104,'Est Madre LK 10-25'!$A:$C,3,0),0)/C104</f>
        <v>0</v>
      </c>
      <c r="F104"/>
      <c r="G104" t="str">
        <f t="shared" ref="G104:G145" si="2">IF(F104="ver",A104,"")</f>
        <v/>
      </c>
    </row>
    <row r="105" spans="1:7" x14ac:dyDescent="0.25">
      <c r="A105" s="64">
        <v>530</v>
      </c>
      <c r="B105" s="52" t="s">
        <v>406</v>
      </c>
      <c r="C105" s="60">
        <v>12</v>
      </c>
      <c r="D105" s="162">
        <v>29</v>
      </c>
      <c r="E105" s="62">
        <f>+IFERROR(VLOOKUP(A105,'Est Madre LK 10-25'!$A:$C,3,0),0)/C105</f>
        <v>300</v>
      </c>
      <c r="F105"/>
      <c r="G105" t="str">
        <f t="shared" si="2"/>
        <v/>
      </c>
    </row>
    <row r="106" spans="1:7" x14ac:dyDescent="0.25">
      <c r="A106" s="64">
        <v>531</v>
      </c>
      <c r="B106" s="52" t="s">
        <v>407</v>
      </c>
      <c r="C106" s="60">
        <v>12</v>
      </c>
      <c r="D106" s="65">
        <v>29</v>
      </c>
      <c r="E106" s="62">
        <f>+IFERROR(VLOOKUP(A106,'Est Madre LK 10-25'!$A:$C,3,0),0)/C106</f>
        <v>120</v>
      </c>
      <c r="F106"/>
      <c r="G106" t="str">
        <f t="shared" si="2"/>
        <v/>
      </c>
    </row>
    <row r="107" spans="1:7" x14ac:dyDescent="0.25">
      <c r="A107" s="64">
        <v>532</v>
      </c>
      <c r="B107" s="52" t="s">
        <v>408</v>
      </c>
      <c r="C107" s="60">
        <v>24</v>
      </c>
      <c r="D107" s="65">
        <v>7</v>
      </c>
      <c r="E107" s="62">
        <f>+IFERROR(VLOOKUP(A107,'Est Madre LK 10-25'!$A:$C,3,0),0)/C107</f>
        <v>13</v>
      </c>
      <c r="F107"/>
      <c r="G107" t="str">
        <f t="shared" si="2"/>
        <v/>
      </c>
    </row>
    <row r="108" spans="1:7" x14ac:dyDescent="0.25">
      <c r="A108" s="64">
        <v>534</v>
      </c>
      <c r="B108" s="52" t="s">
        <v>409</v>
      </c>
      <c r="C108" s="60">
        <v>24</v>
      </c>
      <c r="D108" s="65">
        <v>10</v>
      </c>
      <c r="E108" s="62">
        <f>+IFERROR(VLOOKUP(A108,'Est Madre LK 10-25'!$A:$C,3,0),0)/C108</f>
        <v>6</v>
      </c>
      <c r="F108"/>
      <c r="G108" t="str">
        <f t="shared" si="2"/>
        <v/>
      </c>
    </row>
    <row r="109" spans="1:7" x14ac:dyDescent="0.25">
      <c r="A109" s="64">
        <v>535</v>
      </c>
      <c r="B109" s="52" t="s">
        <v>410</v>
      </c>
      <c r="C109" s="60">
        <v>24</v>
      </c>
      <c r="D109" s="65">
        <v>6</v>
      </c>
      <c r="E109" s="62">
        <f>+IFERROR(VLOOKUP(A109,'Est Madre LK 10-25'!$A:$C,3,0),0)/C109</f>
        <v>66</v>
      </c>
      <c r="F109"/>
      <c r="G109" t="str">
        <f t="shared" si="2"/>
        <v/>
      </c>
    </row>
    <row r="110" spans="1:7" x14ac:dyDescent="0.25">
      <c r="A110" s="64">
        <v>542</v>
      </c>
      <c r="B110" s="52" t="s">
        <v>411</v>
      </c>
      <c r="C110" s="60">
        <v>12</v>
      </c>
      <c r="D110" s="65">
        <v>22</v>
      </c>
      <c r="E110" s="62">
        <f>+IFERROR(VLOOKUP(A110,'Est Madre LK 10-25'!$A:$C,3,0),0)/C110</f>
        <v>32</v>
      </c>
      <c r="F110"/>
      <c r="G110" t="str">
        <f t="shared" si="2"/>
        <v/>
      </c>
    </row>
    <row r="111" spans="1:7" x14ac:dyDescent="0.25">
      <c r="A111" s="64">
        <v>543</v>
      </c>
      <c r="B111" s="52" t="s">
        <v>412</v>
      </c>
      <c r="C111" s="60">
        <v>12</v>
      </c>
      <c r="D111" s="65">
        <v>22</v>
      </c>
      <c r="E111" s="62">
        <f>+IFERROR(VLOOKUP(A111,'Est Madre LK 10-25'!$A:$C,3,0),0)/C111</f>
        <v>33</v>
      </c>
      <c r="F111"/>
      <c r="G111" t="str">
        <f t="shared" si="2"/>
        <v/>
      </c>
    </row>
    <row r="112" spans="1:7" x14ac:dyDescent="0.25">
      <c r="A112" s="64">
        <v>544</v>
      </c>
      <c r="B112" s="52" t="s">
        <v>413</v>
      </c>
      <c r="C112" s="60">
        <v>12</v>
      </c>
      <c r="D112" s="65">
        <v>12</v>
      </c>
      <c r="E112" s="62">
        <f>+IFERROR(VLOOKUP(A112,'Est Madre LK 10-25'!$A:$C,3,0),0)/C112</f>
        <v>622</v>
      </c>
      <c r="F112"/>
      <c r="G112" t="str">
        <f t="shared" si="2"/>
        <v/>
      </c>
    </row>
    <row r="113" spans="1:7" x14ac:dyDescent="0.25">
      <c r="A113" s="64">
        <v>546</v>
      </c>
      <c r="B113" s="52" t="s">
        <v>414</v>
      </c>
      <c r="C113" s="60">
        <v>12</v>
      </c>
      <c r="D113" s="65">
        <v>1</v>
      </c>
      <c r="E113" s="62">
        <f>+IFERROR(VLOOKUP(A113,'Est Madre LK 10-25'!$A:$C,3,0),0)/C113</f>
        <v>600</v>
      </c>
      <c r="F113"/>
      <c r="G113" t="str">
        <f t="shared" si="2"/>
        <v/>
      </c>
    </row>
    <row r="114" spans="1:7" x14ac:dyDescent="0.25">
      <c r="A114" s="64">
        <v>547</v>
      </c>
      <c r="B114" s="52" t="s">
        <v>415</v>
      </c>
      <c r="C114" s="60">
        <v>12</v>
      </c>
      <c r="D114" s="65">
        <v>10</v>
      </c>
      <c r="E114" s="62">
        <f>+IFERROR(VLOOKUP(A114,'Est Madre LK 10-25'!$A:$C,3,0),0)/C114</f>
        <v>2</v>
      </c>
      <c r="F114"/>
      <c r="G114" t="str">
        <f t="shared" si="2"/>
        <v/>
      </c>
    </row>
    <row r="115" spans="1:7" x14ac:dyDescent="0.25">
      <c r="A115" s="64">
        <v>548</v>
      </c>
      <c r="B115" s="52" t="s">
        <v>416</v>
      </c>
      <c r="C115" s="60">
        <v>24</v>
      </c>
      <c r="D115" s="65">
        <v>13</v>
      </c>
      <c r="E115" s="62">
        <f>+IFERROR(VLOOKUP(A115,'Est Madre LK 10-25'!$A:$C,3,0),0)/C115</f>
        <v>0</v>
      </c>
      <c r="F115"/>
      <c r="G115" t="str">
        <f t="shared" si="2"/>
        <v/>
      </c>
    </row>
    <row r="116" spans="1:7" x14ac:dyDescent="0.25">
      <c r="A116" s="64">
        <v>550</v>
      </c>
      <c r="B116" s="52" t="s">
        <v>417</v>
      </c>
      <c r="C116" s="60">
        <v>36</v>
      </c>
      <c r="D116" s="65">
        <v>22</v>
      </c>
      <c r="E116" s="62">
        <f>+IFERROR(VLOOKUP(A116,'Est Madre LK 10-25'!$A:$C,3,0),0)/C116</f>
        <v>38</v>
      </c>
      <c r="F116"/>
      <c r="G116" t="str">
        <f t="shared" si="2"/>
        <v/>
      </c>
    </row>
    <row r="117" spans="1:7" x14ac:dyDescent="0.25">
      <c r="A117" s="64">
        <v>551</v>
      </c>
      <c r="B117" s="52" t="s">
        <v>418</v>
      </c>
      <c r="C117" s="60">
        <v>12</v>
      </c>
      <c r="D117" s="65">
        <v>22</v>
      </c>
      <c r="E117" s="62">
        <f>+IFERROR(VLOOKUP(A117,'Est Madre LK 10-25'!$A:$C,3,0),0)/C117</f>
        <v>39</v>
      </c>
      <c r="F117"/>
      <c r="G117" t="str">
        <f t="shared" si="2"/>
        <v/>
      </c>
    </row>
    <row r="118" spans="1:7" x14ac:dyDescent="0.25">
      <c r="A118" s="64">
        <v>553</v>
      </c>
      <c r="B118" s="52" t="s">
        <v>867</v>
      </c>
      <c r="C118" s="60">
        <v>24</v>
      </c>
      <c r="D118" s="65">
        <v>2</v>
      </c>
      <c r="E118" s="62">
        <f>+IFERROR(VLOOKUP(A118,'Est Madre LK 10-25'!$A:$C,3,0),0)/C118</f>
        <v>0</v>
      </c>
      <c r="F118"/>
      <c r="G118" t="str">
        <f t="shared" si="2"/>
        <v/>
      </c>
    </row>
    <row r="119" spans="1:7" x14ac:dyDescent="0.25">
      <c r="A119" s="64">
        <v>554</v>
      </c>
      <c r="B119" s="52" t="s">
        <v>419</v>
      </c>
      <c r="C119" s="60">
        <v>24</v>
      </c>
      <c r="D119" s="65">
        <v>2</v>
      </c>
      <c r="E119" s="62">
        <f>+IFERROR(VLOOKUP(A119,'Est Madre LK 10-25'!$A:$C,3,0),0)/C119</f>
        <v>8</v>
      </c>
      <c r="F119"/>
      <c r="G119" t="str">
        <f t="shared" si="2"/>
        <v/>
      </c>
    </row>
    <row r="120" spans="1:7" x14ac:dyDescent="0.25">
      <c r="A120" s="64">
        <v>555</v>
      </c>
      <c r="B120" s="52" t="s">
        <v>420</v>
      </c>
      <c r="C120" s="60">
        <v>36</v>
      </c>
      <c r="D120" s="65">
        <v>2</v>
      </c>
      <c r="E120" s="62">
        <f>+IFERROR(VLOOKUP(A120,'Est Madre LK 10-25'!$A:$C,3,0),0)/C120</f>
        <v>50</v>
      </c>
      <c r="F120"/>
      <c r="G120" t="str">
        <f t="shared" si="2"/>
        <v/>
      </c>
    </row>
    <row r="121" spans="1:7" x14ac:dyDescent="0.25">
      <c r="A121" s="64">
        <v>557</v>
      </c>
      <c r="B121" s="52" t="s">
        <v>421</v>
      </c>
      <c r="C121" s="60">
        <v>24</v>
      </c>
      <c r="D121" s="65">
        <v>2</v>
      </c>
      <c r="E121" s="62">
        <f>+IFERROR(VLOOKUP(A121,'Est Madre LK 10-25'!$A:$C,3,0),0)/C121</f>
        <v>58.333333333333336</v>
      </c>
      <c r="F121"/>
      <c r="G121" t="str">
        <f t="shared" si="2"/>
        <v/>
      </c>
    </row>
    <row r="122" spans="1:7" x14ac:dyDescent="0.25">
      <c r="A122" s="64">
        <v>558</v>
      </c>
      <c r="B122" s="52" t="s">
        <v>422</v>
      </c>
      <c r="C122" s="60">
        <v>24</v>
      </c>
      <c r="D122" s="65">
        <v>2</v>
      </c>
      <c r="E122" s="62">
        <f>+IFERROR(VLOOKUP(A122,'Est Madre LK 10-25'!$A:$C,3,0),0)/C122</f>
        <v>88.5</v>
      </c>
      <c r="F122"/>
      <c r="G122" t="str">
        <f t="shared" si="2"/>
        <v/>
      </c>
    </row>
    <row r="123" spans="1:7" x14ac:dyDescent="0.25">
      <c r="A123" s="64">
        <v>559</v>
      </c>
      <c r="B123" s="52" t="s">
        <v>423</v>
      </c>
      <c r="C123" s="60">
        <v>12</v>
      </c>
      <c r="D123" s="65">
        <v>2</v>
      </c>
      <c r="E123" s="62">
        <f>+IFERROR(VLOOKUP(A123,'Est Madre LK 10-25'!$A:$C,3,0),0)/C123</f>
        <v>83</v>
      </c>
      <c r="F123"/>
      <c r="G123" t="str">
        <f t="shared" si="2"/>
        <v/>
      </c>
    </row>
    <row r="124" spans="1:7" x14ac:dyDescent="0.25">
      <c r="A124" s="64">
        <v>560</v>
      </c>
      <c r="B124" s="52" t="s">
        <v>424</v>
      </c>
      <c r="C124" s="60">
        <v>12</v>
      </c>
      <c r="D124" s="65">
        <v>2</v>
      </c>
      <c r="E124" s="62">
        <f>+IFERROR(VLOOKUP(A124,'Est Madre LK 10-25'!$A:$C,3,0),0)/C124</f>
        <v>55</v>
      </c>
      <c r="F124"/>
      <c r="G124" t="str">
        <f t="shared" si="2"/>
        <v/>
      </c>
    </row>
    <row r="125" spans="1:7" x14ac:dyDescent="0.25">
      <c r="A125" s="64">
        <v>562</v>
      </c>
      <c r="B125" s="52" t="s">
        <v>425</v>
      </c>
      <c r="C125" s="60">
        <v>12</v>
      </c>
      <c r="D125" s="65">
        <v>2</v>
      </c>
      <c r="E125" s="62">
        <f>+IFERROR(VLOOKUP(A125,'Est Madre LK 10-25'!$A:$C,3,0),0)/C125</f>
        <v>100</v>
      </c>
      <c r="F125"/>
      <c r="G125" t="str">
        <f t="shared" si="2"/>
        <v/>
      </c>
    </row>
    <row r="126" spans="1:7" x14ac:dyDescent="0.25">
      <c r="A126" s="64">
        <v>564</v>
      </c>
      <c r="B126" s="52" t="s">
        <v>426</v>
      </c>
      <c r="C126" s="60">
        <v>12</v>
      </c>
      <c r="D126" s="65">
        <v>13</v>
      </c>
      <c r="E126" s="62">
        <f>+IFERROR(VLOOKUP(A126,'Est Madre LK 10-25'!$A:$C,3,0),0)/C126</f>
        <v>37</v>
      </c>
      <c r="F126"/>
      <c r="G126" t="str">
        <f t="shared" si="2"/>
        <v/>
      </c>
    </row>
    <row r="127" spans="1:7" x14ac:dyDescent="0.25">
      <c r="A127" s="64">
        <v>565</v>
      </c>
      <c r="B127" s="52" t="s">
        <v>427</v>
      </c>
      <c r="C127" s="60">
        <v>12</v>
      </c>
      <c r="D127" s="65">
        <v>22</v>
      </c>
      <c r="E127" s="62">
        <f>+IFERROR(VLOOKUP(A127,'Est Madre LK 10-25'!$A:$C,3,0),0)/C127</f>
        <v>36</v>
      </c>
      <c r="F127"/>
      <c r="G127" t="str">
        <f t="shared" si="2"/>
        <v/>
      </c>
    </row>
    <row r="128" spans="1:7" x14ac:dyDescent="0.25">
      <c r="A128" s="64">
        <v>569</v>
      </c>
      <c r="B128" s="52" t="s">
        <v>428</v>
      </c>
      <c r="C128" s="60">
        <v>12</v>
      </c>
      <c r="D128" s="65">
        <v>29</v>
      </c>
      <c r="E128" s="62">
        <f>+IFERROR(VLOOKUP(A128,'Est Madre LK 10-25'!$A:$C,3,0),0)/C128</f>
        <v>14</v>
      </c>
      <c r="F128"/>
      <c r="G128" t="str">
        <f t="shared" si="2"/>
        <v/>
      </c>
    </row>
    <row r="129" spans="1:7" x14ac:dyDescent="0.25">
      <c r="A129" s="64">
        <v>570</v>
      </c>
      <c r="B129" s="52" t="s">
        <v>429</v>
      </c>
      <c r="C129" s="60">
        <v>24</v>
      </c>
      <c r="D129" s="65">
        <v>7</v>
      </c>
      <c r="E129" s="62">
        <f>+IFERROR(VLOOKUP(A129,'Est Madre LK 10-25'!$A:$C,3,0),0)/C129</f>
        <v>18</v>
      </c>
      <c r="F129"/>
      <c r="G129" t="str">
        <f t="shared" si="2"/>
        <v/>
      </c>
    </row>
    <row r="130" spans="1:7" x14ac:dyDescent="0.25">
      <c r="A130" s="64">
        <v>573</v>
      </c>
      <c r="B130" s="52" t="s">
        <v>430</v>
      </c>
      <c r="C130" s="60">
        <v>24</v>
      </c>
      <c r="D130" s="65">
        <v>2</v>
      </c>
      <c r="E130" s="62">
        <f>+IFERROR(VLOOKUP(A130,'Est Madre LK 10-25'!$A:$C,3,0),0)/C130</f>
        <v>15</v>
      </c>
      <c r="F130"/>
      <c r="G130" t="str">
        <f t="shared" si="2"/>
        <v/>
      </c>
    </row>
    <row r="131" spans="1:7" x14ac:dyDescent="0.25">
      <c r="A131" s="64">
        <v>574</v>
      </c>
      <c r="B131" s="52" t="s">
        <v>1207</v>
      </c>
      <c r="C131" s="60">
        <v>12</v>
      </c>
      <c r="D131" s="65">
        <v>1</v>
      </c>
      <c r="E131" s="62">
        <f>+IFERROR(VLOOKUP(A131,'Est Madre LK 10-25'!$A:$C,3,0),0)/C131</f>
        <v>0</v>
      </c>
      <c r="F131"/>
      <c r="G131" t="str">
        <f t="shared" si="2"/>
        <v/>
      </c>
    </row>
    <row r="132" spans="1:7" x14ac:dyDescent="0.25">
      <c r="A132" s="64">
        <v>575</v>
      </c>
      <c r="B132" s="52" t="s">
        <v>431</v>
      </c>
      <c r="C132" s="60">
        <v>12</v>
      </c>
      <c r="D132" s="65">
        <v>22</v>
      </c>
      <c r="E132" s="62">
        <f>+IFERROR(VLOOKUP(A132,'Est Madre LK 10-25'!$A:$C,3,0),0)/C132</f>
        <v>91</v>
      </c>
      <c r="F132"/>
      <c r="G132" t="str">
        <f t="shared" si="2"/>
        <v/>
      </c>
    </row>
    <row r="133" spans="1:7" x14ac:dyDescent="0.25">
      <c r="A133" s="64">
        <v>577</v>
      </c>
      <c r="B133" s="52" t="s">
        <v>432</v>
      </c>
      <c r="C133" s="60">
        <v>12</v>
      </c>
      <c r="D133" s="65">
        <v>22</v>
      </c>
      <c r="E133" s="62">
        <f>+IFERROR(VLOOKUP(A133,'Est Madre LK 10-25'!$A:$C,3,0),0)/C133</f>
        <v>82</v>
      </c>
      <c r="F133"/>
      <c r="G133" t="str">
        <f t="shared" si="2"/>
        <v/>
      </c>
    </row>
    <row r="134" spans="1:7" x14ac:dyDescent="0.25">
      <c r="A134" s="64">
        <v>579</v>
      </c>
      <c r="B134" s="52" t="s">
        <v>433</v>
      </c>
      <c r="C134" s="60">
        <v>12</v>
      </c>
      <c r="D134" s="65">
        <v>22</v>
      </c>
      <c r="E134" s="62">
        <f>+IFERROR(VLOOKUP(A134,'Est Madre LK 10-25'!$A:$C,3,0),0)/C134</f>
        <v>55</v>
      </c>
      <c r="F134"/>
      <c r="G134" t="str">
        <f t="shared" si="2"/>
        <v/>
      </c>
    </row>
    <row r="135" spans="1:7" x14ac:dyDescent="0.25">
      <c r="A135" s="64">
        <v>580</v>
      </c>
      <c r="B135" s="52" t="s">
        <v>210</v>
      </c>
      <c r="C135" s="60">
        <v>12</v>
      </c>
      <c r="D135" s="162">
        <v>29</v>
      </c>
      <c r="E135" s="62">
        <f>+IFERROR(VLOOKUP(A135,'Est Madre LK 10-25'!$A:$C,3,0),0)/C135</f>
        <v>57</v>
      </c>
      <c r="F135"/>
      <c r="G135" t="str">
        <f t="shared" si="2"/>
        <v/>
      </c>
    </row>
    <row r="136" spans="1:7" x14ac:dyDescent="0.25">
      <c r="A136" s="64">
        <v>581</v>
      </c>
      <c r="B136" s="52" t="s">
        <v>138</v>
      </c>
      <c r="C136" s="60">
        <v>12</v>
      </c>
      <c r="D136" s="65">
        <v>22</v>
      </c>
      <c r="E136" s="62">
        <f>+IFERROR(VLOOKUP(A136,'Est Madre LK 10-25'!$A:$C,3,0),0)/C136</f>
        <v>64</v>
      </c>
      <c r="F136"/>
      <c r="G136" t="str">
        <f t="shared" si="2"/>
        <v/>
      </c>
    </row>
    <row r="137" spans="1:7" x14ac:dyDescent="0.25">
      <c r="A137" s="64">
        <v>586</v>
      </c>
      <c r="B137" s="52" t="s">
        <v>434</v>
      </c>
      <c r="C137" s="60">
        <v>12</v>
      </c>
      <c r="D137" s="65">
        <v>22</v>
      </c>
      <c r="E137" s="62">
        <f>+IFERROR(VLOOKUP(A137,'Est Madre LK 10-25'!$A:$C,3,0),0)/C137</f>
        <v>583</v>
      </c>
      <c r="F137"/>
      <c r="G137" t="str">
        <f t="shared" si="2"/>
        <v/>
      </c>
    </row>
    <row r="138" spans="1:7" x14ac:dyDescent="0.25">
      <c r="A138" s="64">
        <v>587</v>
      </c>
      <c r="B138" s="52" t="s">
        <v>435</v>
      </c>
      <c r="C138" s="60">
        <v>12</v>
      </c>
      <c r="D138" s="65">
        <v>2</v>
      </c>
      <c r="E138" s="62">
        <f>+IFERROR(VLOOKUP(A138,'Est Madre LK 10-25'!$A:$C,3,0),0)/C138</f>
        <v>300</v>
      </c>
      <c r="F138"/>
      <c r="G138" t="str">
        <f t="shared" si="2"/>
        <v/>
      </c>
    </row>
    <row r="139" spans="1:7" x14ac:dyDescent="0.25">
      <c r="A139" s="64">
        <v>592</v>
      </c>
      <c r="B139" s="52" t="s">
        <v>436</v>
      </c>
      <c r="C139" s="60">
        <v>12</v>
      </c>
      <c r="D139" s="65">
        <v>7</v>
      </c>
      <c r="E139" s="62">
        <f>+IFERROR(VLOOKUP(A139,'Est Madre LK 10-25'!$A:$C,3,0),0)/C139</f>
        <v>0</v>
      </c>
      <c r="F139"/>
      <c r="G139" t="str">
        <f t="shared" si="2"/>
        <v/>
      </c>
    </row>
    <row r="140" spans="1:7" x14ac:dyDescent="0.25">
      <c r="A140" s="64">
        <v>594</v>
      </c>
      <c r="B140" s="52" t="s">
        <v>437</v>
      </c>
      <c r="C140" s="60">
        <v>12</v>
      </c>
      <c r="D140" s="65">
        <v>12</v>
      </c>
      <c r="E140" s="62">
        <f>+IFERROR(VLOOKUP(A140,'Est Madre LK 10-25'!$A:$C,3,0),0)/C140</f>
        <v>26</v>
      </c>
      <c r="F140"/>
      <c r="G140" t="str">
        <f t="shared" si="2"/>
        <v/>
      </c>
    </row>
    <row r="141" spans="1:7" x14ac:dyDescent="0.25">
      <c r="A141" s="64">
        <v>595</v>
      </c>
      <c r="B141" s="52" t="s">
        <v>438</v>
      </c>
      <c r="C141" s="60">
        <v>12</v>
      </c>
      <c r="D141" s="65">
        <v>12</v>
      </c>
      <c r="E141" s="62">
        <f>+IFERROR(VLOOKUP(A141,'Est Madre LK 10-25'!$A:$C,3,0),0)/C141</f>
        <v>24</v>
      </c>
      <c r="F141"/>
      <c r="G141" t="str">
        <f t="shared" si="2"/>
        <v/>
      </c>
    </row>
    <row r="142" spans="1:7" x14ac:dyDescent="0.25">
      <c r="A142" s="64">
        <v>596</v>
      </c>
      <c r="B142" s="52" t="s">
        <v>439</v>
      </c>
      <c r="C142" s="60">
        <v>12</v>
      </c>
      <c r="D142" s="65">
        <v>12</v>
      </c>
      <c r="E142" s="62">
        <f>+IFERROR(VLOOKUP(A142,'Est Madre LK 10-25'!$A:$C,3,0),0)/C142</f>
        <v>9</v>
      </c>
      <c r="F142"/>
      <c r="G142" t="str">
        <f t="shared" si="2"/>
        <v/>
      </c>
    </row>
    <row r="143" spans="1:7" x14ac:dyDescent="0.25">
      <c r="A143" s="64">
        <v>654</v>
      </c>
      <c r="B143" s="52" t="s">
        <v>440</v>
      </c>
      <c r="C143" s="60">
        <v>24</v>
      </c>
      <c r="D143" s="65">
        <v>2</v>
      </c>
      <c r="E143" s="62">
        <f>+IFERROR(VLOOKUP(A143,'Est Madre LK 10-25'!$A:$C,3,0),0)/C143</f>
        <v>38</v>
      </c>
      <c r="F143"/>
      <c r="G143" t="str">
        <f t="shared" si="2"/>
        <v/>
      </c>
    </row>
    <row r="144" spans="1:7" x14ac:dyDescent="0.25">
      <c r="A144" s="64">
        <v>655</v>
      </c>
      <c r="B144" s="52" t="s">
        <v>147</v>
      </c>
      <c r="C144" s="60">
        <v>24</v>
      </c>
      <c r="D144" s="65">
        <v>2</v>
      </c>
      <c r="E144" s="62">
        <f>+IFERROR(VLOOKUP(A144,'Est Madre LK 10-25'!$A:$C,3,0),0)/C144</f>
        <v>0</v>
      </c>
      <c r="F144"/>
      <c r="G144" t="str">
        <f t="shared" si="2"/>
        <v/>
      </c>
    </row>
    <row r="145" spans="1:7" x14ac:dyDescent="0.25">
      <c r="A145" s="64">
        <v>823</v>
      </c>
      <c r="B145" s="52" t="s">
        <v>441</v>
      </c>
      <c r="C145" s="60">
        <v>6</v>
      </c>
      <c r="D145" s="65">
        <v>7</v>
      </c>
      <c r="E145" s="62">
        <f>+IFERROR(VLOOKUP(A145,'Est Madre LK 10-25'!$A:$C,3,0),0)/C145</f>
        <v>18</v>
      </c>
      <c r="F145"/>
      <c r="G145" t="str">
        <f t="shared" si="2"/>
        <v/>
      </c>
    </row>
    <row r="146" spans="1:7" x14ac:dyDescent="0.25">
      <c r="A146" s="186" t="s">
        <v>1125</v>
      </c>
      <c r="B146" s="52" t="s">
        <v>1122</v>
      </c>
      <c r="C146" s="60">
        <v>12</v>
      </c>
      <c r="D146" s="65">
        <v>10</v>
      </c>
      <c r="E146" s="62">
        <f>+IFERROR(VLOOKUP(A146,'Est Madre LK 10-25'!$A:$C,3,0),0)/C146</f>
        <v>15</v>
      </c>
      <c r="F146"/>
      <c r="G146"/>
    </row>
    <row r="147" spans="1:7" x14ac:dyDescent="0.25">
      <c r="A147" s="186" t="s">
        <v>180</v>
      </c>
      <c r="B147" s="52" t="s">
        <v>1199</v>
      </c>
      <c r="C147" s="60">
        <v>24</v>
      </c>
      <c r="D147" s="65">
        <v>6</v>
      </c>
      <c r="E147" s="62">
        <f>+IFERROR(VLOOKUP(A147,'Est Madre LK 10-25'!$A:$C,3,0),0)/C147</f>
        <v>38</v>
      </c>
      <c r="F147"/>
      <c r="G147"/>
    </row>
    <row r="148" spans="1:7" x14ac:dyDescent="0.25">
      <c r="A148" s="186" t="s">
        <v>182</v>
      </c>
      <c r="B148" s="52" t="s">
        <v>1200</v>
      </c>
      <c r="C148" s="60">
        <v>24</v>
      </c>
      <c r="D148" s="65">
        <v>10</v>
      </c>
      <c r="E148" s="62">
        <f>+IFERROR(VLOOKUP(A148,'Est Madre LK 10-25'!$A:$C,3,0),0)/C148</f>
        <v>29.166666666666668</v>
      </c>
      <c r="F148"/>
      <c r="G148"/>
    </row>
    <row r="149" spans="1:7" x14ac:dyDescent="0.25">
      <c r="A149" s="186" t="s">
        <v>184</v>
      </c>
      <c r="B149" s="52" t="s">
        <v>1123</v>
      </c>
      <c r="C149" s="60">
        <v>6</v>
      </c>
      <c r="D149" s="65">
        <v>10</v>
      </c>
      <c r="E149" s="62">
        <f>+IFERROR(VLOOKUP(A149,'Est Madre LK 10-25'!$A:$C,3,0),0)/C149</f>
        <v>20</v>
      </c>
      <c r="F149"/>
      <c r="G149"/>
    </row>
    <row r="150" spans="1:7" x14ac:dyDescent="0.25">
      <c r="A150" s="186" t="s">
        <v>186</v>
      </c>
      <c r="B150" s="52" t="s">
        <v>1124</v>
      </c>
      <c r="C150" s="60">
        <v>4</v>
      </c>
      <c r="D150" s="65">
        <v>10</v>
      </c>
      <c r="E150" s="62">
        <f>+IFERROR(VLOOKUP(A150,'Est Madre LK 10-25'!$A:$C,3,0),0)/C150</f>
        <v>30</v>
      </c>
      <c r="F150"/>
      <c r="G150"/>
    </row>
    <row r="151" spans="1:7" x14ac:dyDescent="0.25">
      <c r="A151" s="186" t="s">
        <v>1126</v>
      </c>
      <c r="B151" s="52" t="s">
        <v>1130</v>
      </c>
      <c r="C151" s="60">
        <v>24</v>
      </c>
      <c r="D151" s="65">
        <v>16</v>
      </c>
      <c r="E151" s="62">
        <f>+IFERROR(VLOOKUP(A151,'Est Madre LK 10-25'!$A:$C,3,0),0)/C151</f>
        <v>27</v>
      </c>
      <c r="F151"/>
      <c r="G151"/>
    </row>
    <row r="152" spans="1:7" x14ac:dyDescent="0.25">
      <c r="A152" s="186" t="s">
        <v>1129</v>
      </c>
      <c r="B152" s="52" t="s">
        <v>1131</v>
      </c>
      <c r="C152" s="60">
        <v>15</v>
      </c>
      <c r="D152" s="65">
        <v>2</v>
      </c>
      <c r="E152" s="62">
        <f>+IFERROR(VLOOKUP(A152,'Est Madre LK 10-25'!$A:$C,3,0),0)/C152</f>
        <v>29</v>
      </c>
      <c r="F152"/>
      <c r="G152"/>
    </row>
    <row r="153" spans="1:7" x14ac:dyDescent="0.25">
      <c r="A153" s="186" t="s">
        <v>1127</v>
      </c>
      <c r="B153" s="52" t="s">
        <v>1128</v>
      </c>
      <c r="C153" s="60">
        <v>29</v>
      </c>
      <c r="D153" s="65">
        <v>12</v>
      </c>
      <c r="E153" s="62">
        <f>+IFERROR(VLOOKUP(A153,'Est Madre LK 10-25'!$A:$C,3,0),0)/C153</f>
        <v>20.689655172413794</v>
      </c>
      <c r="F153"/>
      <c r="G153"/>
    </row>
    <row r="155" spans="1:7" ht="15.6" customHeight="1" x14ac:dyDescent="0.25">
      <c r="A155" s="66"/>
      <c r="B155" s="66" t="s">
        <v>444</v>
      </c>
      <c r="C155" s="66"/>
      <c r="D155" s="66"/>
      <c r="E155" s="66"/>
      <c r="F155" s="66"/>
      <c r="G155" s="66"/>
    </row>
    <row r="156" spans="1:7" x14ac:dyDescent="0.25">
      <c r="A156" s="42">
        <v>1</v>
      </c>
      <c r="B156" t="s">
        <v>445</v>
      </c>
      <c r="C156" s="1">
        <v>24</v>
      </c>
      <c r="D156" s="1">
        <v>2</v>
      </c>
      <c r="E156" s="67"/>
    </row>
    <row r="157" spans="1:7" x14ac:dyDescent="0.25">
      <c r="A157" s="42">
        <v>2</v>
      </c>
      <c r="B157" t="s">
        <v>446</v>
      </c>
      <c r="C157" s="1">
        <v>12</v>
      </c>
      <c r="D157" s="1">
        <v>2</v>
      </c>
      <c r="E157" s="67"/>
    </row>
    <row r="158" spans="1:7" x14ac:dyDescent="0.25">
      <c r="A158" s="42">
        <v>3</v>
      </c>
      <c r="B158" t="s">
        <v>447</v>
      </c>
      <c r="C158" s="1">
        <v>24</v>
      </c>
      <c r="D158" s="1">
        <v>22</v>
      </c>
      <c r="E158" s="67"/>
    </row>
    <row r="159" spans="1:7" x14ac:dyDescent="0.25">
      <c r="A159" s="42">
        <v>4</v>
      </c>
      <c r="B159" t="s">
        <v>448</v>
      </c>
      <c r="C159" s="1">
        <v>24</v>
      </c>
      <c r="D159" s="1">
        <v>22</v>
      </c>
      <c r="E159" s="67"/>
    </row>
    <row r="160" spans="1:7" x14ac:dyDescent="0.25">
      <c r="A160" s="42">
        <v>5</v>
      </c>
      <c r="B160" t="s">
        <v>449</v>
      </c>
      <c r="C160" s="1">
        <v>12</v>
      </c>
      <c r="D160" s="1">
        <v>2</v>
      </c>
      <c r="E160" s="67"/>
    </row>
    <row r="161" spans="1:5" x14ac:dyDescent="0.25">
      <c r="A161" s="42">
        <v>6</v>
      </c>
      <c r="B161" t="s">
        <v>450</v>
      </c>
      <c r="C161" s="1">
        <v>12</v>
      </c>
      <c r="D161" s="1">
        <v>22</v>
      </c>
      <c r="E161" s="67"/>
    </row>
    <row r="162" spans="1:5" x14ac:dyDescent="0.25">
      <c r="A162" s="42">
        <v>7</v>
      </c>
      <c r="B162" t="s">
        <v>451</v>
      </c>
      <c r="C162" s="1">
        <v>12</v>
      </c>
      <c r="D162" s="1">
        <v>22</v>
      </c>
      <c r="E162" s="67"/>
    </row>
    <row r="163" spans="1:5" x14ac:dyDescent="0.25">
      <c r="A163" s="42">
        <v>8</v>
      </c>
      <c r="B163" t="s">
        <v>452</v>
      </c>
      <c r="C163" s="1">
        <v>24</v>
      </c>
      <c r="D163" s="1">
        <v>22</v>
      </c>
      <c r="E163" s="67"/>
    </row>
    <row r="164" spans="1:5" x14ac:dyDescent="0.25">
      <c r="A164" s="42">
        <v>11</v>
      </c>
      <c r="B164" t="s">
        <v>453</v>
      </c>
      <c r="C164" s="1">
        <v>12</v>
      </c>
      <c r="D164" s="1">
        <v>22</v>
      </c>
      <c r="E164" s="67"/>
    </row>
    <row r="165" spans="1:5" x14ac:dyDescent="0.25">
      <c r="A165" s="42">
        <v>12</v>
      </c>
      <c r="B165" t="s">
        <v>454</v>
      </c>
      <c r="C165" s="1">
        <v>12</v>
      </c>
      <c r="D165" s="1">
        <v>2</v>
      </c>
      <c r="E165" s="67"/>
    </row>
    <row r="166" spans="1:5" x14ac:dyDescent="0.25">
      <c r="A166" s="42">
        <v>13</v>
      </c>
      <c r="B166" t="s">
        <v>455</v>
      </c>
      <c r="C166" s="1">
        <v>12</v>
      </c>
      <c r="D166" s="1">
        <v>2</v>
      </c>
      <c r="E166" s="67"/>
    </row>
    <row r="167" spans="1:5" x14ac:dyDescent="0.25">
      <c r="A167" s="42">
        <v>14</v>
      </c>
      <c r="B167" t="s">
        <v>456</v>
      </c>
      <c r="C167" s="1">
        <v>24</v>
      </c>
      <c r="D167" s="1">
        <v>22</v>
      </c>
      <c r="E167" s="67"/>
    </row>
    <row r="168" spans="1:5" x14ac:dyDescent="0.25">
      <c r="A168" s="42">
        <v>15</v>
      </c>
      <c r="B168" t="s">
        <v>457</v>
      </c>
      <c r="C168" s="1">
        <v>24</v>
      </c>
      <c r="D168" s="1">
        <v>2</v>
      </c>
      <c r="E168" s="67"/>
    </row>
    <row r="169" spans="1:5" x14ac:dyDescent="0.25">
      <c r="A169" s="42">
        <v>17</v>
      </c>
      <c r="B169" t="s">
        <v>458</v>
      </c>
      <c r="C169" s="1">
        <v>24</v>
      </c>
      <c r="D169" s="1">
        <v>22</v>
      </c>
      <c r="E169" s="67"/>
    </row>
    <row r="170" spans="1:5" x14ac:dyDescent="0.25">
      <c r="A170" s="42">
        <v>18</v>
      </c>
      <c r="B170" t="s">
        <v>459</v>
      </c>
      <c r="C170" s="1">
        <v>24</v>
      </c>
      <c r="D170" s="1">
        <v>2</v>
      </c>
      <c r="E170" s="67"/>
    </row>
    <row r="171" spans="1:5" x14ac:dyDescent="0.25">
      <c r="A171" s="42">
        <v>35</v>
      </c>
      <c r="B171" t="s">
        <v>348</v>
      </c>
      <c r="C171" s="1">
        <v>24</v>
      </c>
      <c r="D171" s="1">
        <v>22</v>
      </c>
      <c r="E171" s="67"/>
    </row>
    <row r="172" spans="1:5" x14ac:dyDescent="0.25">
      <c r="A172" s="42">
        <v>36</v>
      </c>
      <c r="B172" t="s">
        <v>366</v>
      </c>
      <c r="C172" s="1">
        <v>36</v>
      </c>
      <c r="D172" s="1">
        <v>28</v>
      </c>
      <c r="E172" s="67"/>
    </row>
    <row r="173" spans="1:5" x14ac:dyDescent="0.25">
      <c r="A173" s="42">
        <v>37</v>
      </c>
      <c r="B173" t="s">
        <v>460</v>
      </c>
      <c r="C173" s="1">
        <v>24</v>
      </c>
      <c r="D173" s="1">
        <v>12</v>
      </c>
      <c r="E173" s="67"/>
    </row>
    <row r="174" spans="1:5" x14ac:dyDescent="0.25">
      <c r="A174" s="42">
        <v>38</v>
      </c>
      <c r="B174" t="s">
        <v>461</v>
      </c>
      <c r="C174" s="1">
        <v>24</v>
      </c>
      <c r="D174" s="1">
        <v>7</v>
      </c>
      <c r="E174" s="67"/>
    </row>
    <row r="175" spans="1:5" x14ac:dyDescent="0.25">
      <c r="A175" s="42">
        <v>40</v>
      </c>
      <c r="B175" t="s">
        <v>436</v>
      </c>
      <c r="C175" s="1">
        <v>12</v>
      </c>
      <c r="D175" s="1">
        <v>7</v>
      </c>
      <c r="E175" s="67"/>
    </row>
    <row r="176" spans="1:5" x14ac:dyDescent="0.25">
      <c r="A176" s="42">
        <v>41</v>
      </c>
      <c r="B176" t="s">
        <v>462</v>
      </c>
      <c r="C176" s="1">
        <v>36</v>
      </c>
      <c r="D176" s="1">
        <v>12</v>
      </c>
      <c r="E176" s="67"/>
    </row>
    <row r="177" spans="1:5" x14ac:dyDescent="0.25">
      <c r="A177" s="42">
        <v>42</v>
      </c>
      <c r="B177" t="s">
        <v>463</v>
      </c>
      <c r="C177" s="1">
        <v>24</v>
      </c>
      <c r="D177" s="1">
        <v>12</v>
      </c>
      <c r="E177" s="67"/>
    </row>
    <row r="178" spans="1:5" x14ac:dyDescent="0.25">
      <c r="A178" s="42">
        <v>43</v>
      </c>
      <c r="B178" t="s">
        <v>464</v>
      </c>
      <c r="C178" s="1">
        <v>24</v>
      </c>
      <c r="D178" s="1">
        <v>2</v>
      </c>
      <c r="E178" s="67"/>
    </row>
    <row r="179" spans="1:5" x14ac:dyDescent="0.25">
      <c r="A179" s="42">
        <v>50</v>
      </c>
      <c r="B179" t="s">
        <v>465</v>
      </c>
      <c r="C179" s="1">
        <v>24</v>
      </c>
      <c r="D179" s="1">
        <v>2</v>
      </c>
      <c r="E179" s="67"/>
    </row>
    <row r="180" spans="1:5" x14ac:dyDescent="0.25">
      <c r="A180" s="42">
        <v>51</v>
      </c>
      <c r="B180" t="s">
        <v>466</v>
      </c>
      <c r="C180" s="1">
        <v>36</v>
      </c>
      <c r="D180" s="1">
        <v>2</v>
      </c>
      <c r="E180" s="67"/>
    </row>
    <row r="181" spans="1:5" x14ac:dyDescent="0.25">
      <c r="A181" s="42" t="s">
        <v>467</v>
      </c>
      <c r="B181" t="s">
        <v>468</v>
      </c>
      <c r="C181" s="1">
        <v>36</v>
      </c>
      <c r="D181" s="1">
        <v>2</v>
      </c>
      <c r="E181" s="67"/>
    </row>
    <row r="182" spans="1:5" x14ac:dyDescent="0.25">
      <c r="A182" s="42" t="s">
        <v>469</v>
      </c>
      <c r="B182" t="s">
        <v>470</v>
      </c>
      <c r="C182" s="1">
        <v>24</v>
      </c>
      <c r="D182" s="1">
        <v>7</v>
      </c>
      <c r="E182" s="67"/>
    </row>
    <row r="183" spans="1:5" x14ac:dyDescent="0.25">
      <c r="A183" s="42" t="s">
        <v>471</v>
      </c>
      <c r="B183" t="s">
        <v>472</v>
      </c>
      <c r="C183" s="1">
        <v>24</v>
      </c>
      <c r="D183" s="1">
        <v>10</v>
      </c>
      <c r="E183" s="67"/>
    </row>
    <row r="184" spans="1:5" x14ac:dyDescent="0.25">
      <c r="A184" s="42" t="s">
        <v>473</v>
      </c>
      <c r="B184" t="s">
        <v>474</v>
      </c>
      <c r="C184" s="1">
        <v>12</v>
      </c>
      <c r="D184" s="1">
        <v>22</v>
      </c>
      <c r="E184" s="67"/>
    </row>
    <row r="185" spans="1:5" x14ac:dyDescent="0.25">
      <c r="A185" s="42" t="s">
        <v>475</v>
      </c>
      <c r="B185" t="s">
        <v>476</v>
      </c>
      <c r="C185" s="1">
        <v>24</v>
      </c>
      <c r="D185" s="1">
        <v>2</v>
      </c>
      <c r="E185" s="67"/>
    </row>
    <row r="186" spans="1:5" x14ac:dyDescent="0.25">
      <c r="A186" s="42" t="s">
        <v>477</v>
      </c>
      <c r="B186" t="s">
        <v>478</v>
      </c>
      <c r="C186" s="1">
        <v>24</v>
      </c>
      <c r="D186" s="1">
        <v>10</v>
      </c>
      <c r="E186" s="67"/>
    </row>
    <row r="187" spans="1:5" x14ac:dyDescent="0.25">
      <c r="A187" s="42" t="s">
        <v>479</v>
      </c>
      <c r="B187" t="s">
        <v>480</v>
      </c>
      <c r="C187" s="1">
        <v>24</v>
      </c>
      <c r="D187" s="1">
        <v>6</v>
      </c>
      <c r="E187" s="67"/>
    </row>
    <row r="188" spans="1:5" x14ac:dyDescent="0.25">
      <c r="A188" s="42" t="s">
        <v>481</v>
      </c>
      <c r="B188" t="s">
        <v>482</v>
      </c>
      <c r="C188" s="1">
        <v>24</v>
      </c>
      <c r="D188" s="1">
        <v>2</v>
      </c>
      <c r="E188" s="67"/>
    </row>
    <row r="189" spans="1:5" x14ac:dyDescent="0.25">
      <c r="A189" s="42" t="s">
        <v>483</v>
      </c>
      <c r="B189" t="s">
        <v>484</v>
      </c>
      <c r="C189" s="1">
        <v>24</v>
      </c>
      <c r="D189" s="1">
        <v>22</v>
      </c>
      <c r="E189" s="67"/>
    </row>
    <row r="190" spans="1:5" x14ac:dyDescent="0.25">
      <c r="A190" s="42" t="s">
        <v>485</v>
      </c>
      <c r="B190" t="s">
        <v>486</v>
      </c>
      <c r="C190" s="1">
        <v>24</v>
      </c>
      <c r="D190" s="1">
        <v>10</v>
      </c>
      <c r="E190" s="67"/>
    </row>
    <row r="191" spans="1:5" x14ac:dyDescent="0.25">
      <c r="A191" s="42" t="s">
        <v>487</v>
      </c>
      <c r="B191" t="s">
        <v>488</v>
      </c>
      <c r="C191" s="1">
        <v>24</v>
      </c>
      <c r="D191" s="1">
        <v>22</v>
      </c>
      <c r="E191" s="67"/>
    </row>
    <row r="192" spans="1:5" x14ac:dyDescent="0.25">
      <c r="A192" s="42" t="s">
        <v>489</v>
      </c>
      <c r="B192" t="s">
        <v>490</v>
      </c>
      <c r="C192" s="1">
        <v>36</v>
      </c>
      <c r="D192" s="1">
        <v>2</v>
      </c>
      <c r="E192" s="67"/>
    </row>
    <row r="193" spans="1:5" x14ac:dyDescent="0.25">
      <c r="A193" s="42" t="s">
        <v>491</v>
      </c>
      <c r="B193" t="s">
        <v>492</v>
      </c>
      <c r="C193" s="1">
        <v>36</v>
      </c>
      <c r="D193" s="1">
        <v>2</v>
      </c>
      <c r="E193" s="67"/>
    </row>
    <row r="194" spans="1:5" x14ac:dyDescent="0.25">
      <c r="A194" s="42" t="s">
        <v>493</v>
      </c>
      <c r="B194" t="s">
        <v>494</v>
      </c>
      <c r="C194" s="1">
        <v>24</v>
      </c>
      <c r="D194" s="1">
        <v>2</v>
      </c>
      <c r="E194" s="67"/>
    </row>
    <row r="195" spans="1:5" x14ac:dyDescent="0.25">
      <c r="A195" s="42" t="s">
        <v>495</v>
      </c>
      <c r="B195" t="s">
        <v>496</v>
      </c>
      <c r="C195" s="1">
        <v>24</v>
      </c>
      <c r="D195" s="1">
        <v>7</v>
      </c>
      <c r="E195" s="67"/>
    </row>
    <row r="196" spans="1:5" x14ac:dyDescent="0.25">
      <c r="A196" s="42" t="s">
        <v>497</v>
      </c>
      <c r="B196" t="s">
        <v>498</v>
      </c>
      <c r="C196" s="1">
        <v>24</v>
      </c>
      <c r="D196" s="1">
        <v>10</v>
      </c>
      <c r="E196" s="67"/>
    </row>
    <row r="197" spans="1:5" x14ac:dyDescent="0.25">
      <c r="A197" s="42" t="s">
        <v>499</v>
      </c>
      <c r="B197" t="s">
        <v>500</v>
      </c>
      <c r="C197" s="1">
        <v>24</v>
      </c>
      <c r="D197" s="1">
        <v>10</v>
      </c>
      <c r="E197" s="67"/>
    </row>
    <row r="198" spans="1:5" x14ac:dyDescent="0.25">
      <c r="A198" s="42" t="s">
        <v>501</v>
      </c>
      <c r="B198" t="s">
        <v>502</v>
      </c>
      <c r="C198" s="1">
        <v>36</v>
      </c>
      <c r="D198" s="1">
        <v>2</v>
      </c>
      <c r="E198" s="67"/>
    </row>
    <row r="199" spans="1:5" x14ac:dyDescent="0.25">
      <c r="A199" s="42" t="s">
        <v>503</v>
      </c>
      <c r="B199" t="s">
        <v>504</v>
      </c>
      <c r="C199" s="1">
        <v>6</v>
      </c>
      <c r="D199" s="1">
        <v>7</v>
      </c>
      <c r="E199" s="67"/>
    </row>
    <row r="200" spans="1:5" x14ac:dyDescent="0.25">
      <c r="A200" s="42" t="s">
        <v>505</v>
      </c>
      <c r="B200" t="s">
        <v>506</v>
      </c>
      <c r="C200" s="1">
        <v>12</v>
      </c>
      <c r="D200" s="1">
        <v>12</v>
      </c>
      <c r="E200" s="67"/>
    </row>
    <row r="201" spans="1:5" x14ac:dyDescent="0.25">
      <c r="A201" s="42" t="s">
        <v>507</v>
      </c>
      <c r="B201" t="s">
        <v>508</v>
      </c>
      <c r="C201" s="1">
        <v>36</v>
      </c>
      <c r="D201" s="1">
        <v>6</v>
      </c>
      <c r="E201" s="67"/>
    </row>
    <row r="202" spans="1:5" x14ac:dyDescent="0.25">
      <c r="A202" s="42" t="s">
        <v>509</v>
      </c>
      <c r="B202" t="s">
        <v>510</v>
      </c>
      <c r="C202" s="1">
        <v>24</v>
      </c>
      <c r="D202" s="1">
        <v>12</v>
      </c>
      <c r="E202" s="67"/>
    </row>
    <row r="203" spans="1:5" x14ac:dyDescent="0.25">
      <c r="A203" s="42" t="s">
        <v>511</v>
      </c>
      <c r="B203" t="s">
        <v>512</v>
      </c>
      <c r="C203" s="1">
        <v>24</v>
      </c>
      <c r="D203" s="1" t="s">
        <v>513</v>
      </c>
      <c r="E203" s="67"/>
    </row>
    <row r="204" spans="1:5" x14ac:dyDescent="0.25">
      <c r="A204" s="42" t="s">
        <v>514</v>
      </c>
      <c r="B204" t="s">
        <v>515</v>
      </c>
      <c r="C204" s="1">
        <v>24</v>
      </c>
      <c r="D204" s="1" t="s">
        <v>513</v>
      </c>
      <c r="E204" s="67"/>
    </row>
    <row r="205" spans="1:5" x14ac:dyDescent="0.25">
      <c r="A205" s="42" t="s">
        <v>516</v>
      </c>
      <c r="B205" t="s">
        <v>517</v>
      </c>
      <c r="E205" s="67"/>
    </row>
    <row r="206" spans="1:5" x14ac:dyDescent="0.25">
      <c r="A206" s="42" t="s">
        <v>518</v>
      </c>
      <c r="B206" t="s">
        <v>519</v>
      </c>
      <c r="D206" s="1" t="s">
        <v>513</v>
      </c>
      <c r="E206" s="67"/>
    </row>
    <row r="207" spans="1:5" x14ac:dyDescent="0.25">
      <c r="A207" s="42" t="s">
        <v>520</v>
      </c>
      <c r="B207" t="s">
        <v>521</v>
      </c>
      <c r="C207" s="1">
        <v>12</v>
      </c>
      <c r="D207" s="1">
        <v>2</v>
      </c>
      <c r="E207" s="67"/>
    </row>
    <row r="208" spans="1:5" x14ac:dyDescent="0.25">
      <c r="A208" s="42" t="s">
        <v>522</v>
      </c>
      <c r="B208" t="s">
        <v>523</v>
      </c>
      <c r="C208" s="1">
        <v>12</v>
      </c>
      <c r="D208" s="1" t="s">
        <v>513</v>
      </c>
      <c r="E208" s="67"/>
    </row>
    <row r="209" spans="1:5" x14ac:dyDescent="0.25">
      <c r="A209" s="42" t="s">
        <v>524</v>
      </c>
      <c r="B209" t="s">
        <v>525</v>
      </c>
      <c r="D209" s="1" t="s">
        <v>513</v>
      </c>
      <c r="E209" s="67"/>
    </row>
    <row r="210" spans="1:5" x14ac:dyDescent="0.25">
      <c r="A210" s="42" t="s">
        <v>526</v>
      </c>
      <c r="B210" t="s">
        <v>527</v>
      </c>
      <c r="C210" s="1">
        <v>12</v>
      </c>
      <c r="D210" s="1">
        <v>29</v>
      </c>
      <c r="E210" s="67"/>
    </row>
    <row r="211" spans="1:5" x14ac:dyDescent="0.25">
      <c r="A211" s="42" t="s">
        <v>528</v>
      </c>
      <c r="B211" t="s">
        <v>529</v>
      </c>
      <c r="C211" s="1">
        <v>12</v>
      </c>
      <c r="D211" s="1">
        <v>29</v>
      </c>
      <c r="E211" s="67"/>
    </row>
    <row r="212" spans="1:5" x14ac:dyDescent="0.25">
      <c r="A212" s="42" t="s">
        <v>530</v>
      </c>
      <c r="B212" t="s">
        <v>531</v>
      </c>
      <c r="C212" s="1">
        <v>12</v>
      </c>
      <c r="D212" s="1">
        <v>29</v>
      </c>
      <c r="E212" s="67"/>
    </row>
    <row r="213" spans="1:5" x14ac:dyDescent="0.25">
      <c r="A213" s="42" t="s">
        <v>532</v>
      </c>
      <c r="B213" t="s">
        <v>533</v>
      </c>
      <c r="D213" s="1" t="s">
        <v>513</v>
      </c>
      <c r="E213" s="67"/>
    </row>
    <row r="214" spans="1:5" x14ac:dyDescent="0.25">
      <c r="A214" s="42" t="s">
        <v>534</v>
      </c>
      <c r="B214" t="s">
        <v>535</v>
      </c>
      <c r="D214" s="1" t="s">
        <v>513</v>
      </c>
      <c r="E214" s="67"/>
    </row>
    <row r="215" spans="1:5" x14ac:dyDescent="0.25">
      <c r="A215" s="42" t="s">
        <v>536</v>
      </c>
      <c r="B215" t="s">
        <v>537</v>
      </c>
      <c r="C215" s="1">
        <v>12</v>
      </c>
      <c r="D215" s="1">
        <v>29</v>
      </c>
      <c r="E215" s="67"/>
    </row>
    <row r="216" spans="1:5" x14ac:dyDescent="0.25">
      <c r="A216" s="42" t="s">
        <v>538</v>
      </c>
      <c r="B216" t="s">
        <v>539</v>
      </c>
      <c r="C216" s="1">
        <v>12</v>
      </c>
      <c r="D216" s="1">
        <v>29</v>
      </c>
      <c r="E216" s="67"/>
    </row>
    <row r="217" spans="1:5" x14ac:dyDescent="0.25">
      <c r="A217" s="42" t="s">
        <v>540</v>
      </c>
      <c r="B217" t="s">
        <v>541</v>
      </c>
      <c r="D217" s="1" t="s">
        <v>513</v>
      </c>
      <c r="E217" s="67"/>
    </row>
    <row r="218" spans="1:5" x14ac:dyDescent="0.25">
      <c r="A218" s="42" t="s">
        <v>542</v>
      </c>
      <c r="B218" t="s">
        <v>541</v>
      </c>
      <c r="D218" s="1" t="s">
        <v>513</v>
      </c>
      <c r="E218" s="67"/>
    </row>
    <row r="219" spans="1:5" x14ac:dyDescent="0.25">
      <c r="A219" s="42" t="s">
        <v>543</v>
      </c>
      <c r="B219" t="s">
        <v>544</v>
      </c>
      <c r="D219" s="1" t="s">
        <v>513</v>
      </c>
      <c r="E219" s="67"/>
    </row>
    <row r="220" spans="1:5" x14ac:dyDescent="0.25">
      <c r="A220" s="42" t="s">
        <v>545</v>
      </c>
      <c r="B220" t="s">
        <v>546</v>
      </c>
      <c r="D220" s="1" t="s">
        <v>513</v>
      </c>
      <c r="E220" s="67"/>
    </row>
    <row r="221" spans="1:5" x14ac:dyDescent="0.25">
      <c r="A221" s="42" t="s">
        <v>547</v>
      </c>
      <c r="B221" t="s">
        <v>548</v>
      </c>
      <c r="C221" s="1">
        <v>12</v>
      </c>
      <c r="D221" s="1">
        <v>6</v>
      </c>
      <c r="E221" s="67"/>
    </row>
    <row r="222" spans="1:5" x14ac:dyDescent="0.25">
      <c r="A222" s="42" t="s">
        <v>549</v>
      </c>
      <c r="B222" t="s">
        <v>550</v>
      </c>
      <c r="C222" s="1">
        <v>12</v>
      </c>
      <c r="D222" s="1">
        <v>22</v>
      </c>
      <c r="E222" s="67"/>
    </row>
    <row r="223" spans="1:5" x14ac:dyDescent="0.25">
      <c r="A223" s="42" t="s">
        <v>551</v>
      </c>
      <c r="B223" t="s">
        <v>552</v>
      </c>
      <c r="C223" s="1">
        <v>36</v>
      </c>
      <c r="D223" s="1">
        <v>6</v>
      </c>
      <c r="E223" s="67"/>
    </row>
    <row r="224" spans="1:5" x14ac:dyDescent="0.25">
      <c r="A224" s="42" t="s">
        <v>553</v>
      </c>
      <c r="B224" t="s">
        <v>554</v>
      </c>
      <c r="C224" s="1">
        <v>12</v>
      </c>
      <c r="D224" s="1">
        <v>22</v>
      </c>
      <c r="E224" s="67"/>
    </row>
    <row r="225" spans="1:5" x14ac:dyDescent="0.25">
      <c r="A225" s="42" t="s">
        <v>555</v>
      </c>
      <c r="B225" t="s">
        <v>556</v>
      </c>
      <c r="C225" s="1">
        <v>12</v>
      </c>
      <c r="D225" s="1">
        <v>29</v>
      </c>
      <c r="E225" s="67"/>
    </row>
    <row r="226" spans="1:5" x14ac:dyDescent="0.25">
      <c r="A226" s="42" t="s">
        <v>557</v>
      </c>
      <c r="B226" t="s">
        <v>558</v>
      </c>
      <c r="C226" s="1">
        <v>12</v>
      </c>
      <c r="D226" s="1" t="s">
        <v>513</v>
      </c>
      <c r="E226" s="67"/>
    </row>
    <row r="227" spans="1:5" x14ac:dyDescent="0.25">
      <c r="A227" s="42" t="s">
        <v>559</v>
      </c>
      <c r="B227" t="s">
        <v>560</v>
      </c>
      <c r="C227" s="1">
        <v>12</v>
      </c>
      <c r="D227" s="1">
        <v>22</v>
      </c>
      <c r="E227" s="67"/>
    </row>
    <row r="228" spans="1:5" x14ac:dyDescent="0.25">
      <c r="A228" s="42" t="s">
        <v>561</v>
      </c>
      <c r="B228" t="s">
        <v>562</v>
      </c>
      <c r="C228" s="1">
        <v>12</v>
      </c>
      <c r="D228" s="1">
        <v>22</v>
      </c>
      <c r="E228" s="67"/>
    </row>
    <row r="229" spans="1:5" x14ac:dyDescent="0.25">
      <c r="A229" s="42" t="s">
        <v>563</v>
      </c>
      <c r="B229" t="s">
        <v>564</v>
      </c>
      <c r="C229" s="1">
        <v>24</v>
      </c>
      <c r="D229" s="1">
        <v>22</v>
      </c>
      <c r="E229" s="67"/>
    </row>
    <row r="230" spans="1:5" x14ac:dyDescent="0.25">
      <c r="A230" s="42" t="s">
        <v>565</v>
      </c>
      <c r="B230" t="s">
        <v>566</v>
      </c>
      <c r="C230" s="1">
        <v>24</v>
      </c>
      <c r="D230" s="1">
        <v>2</v>
      </c>
      <c r="E230" s="67"/>
    </row>
    <row r="231" spans="1:5" x14ac:dyDescent="0.25">
      <c r="A231" s="42">
        <v>30</v>
      </c>
      <c r="B231" t="s">
        <v>567</v>
      </c>
      <c r="C231" s="1">
        <v>24</v>
      </c>
      <c r="D231" s="1">
        <v>10</v>
      </c>
      <c r="E231" s="67"/>
    </row>
    <row r="232" spans="1:5" x14ac:dyDescent="0.25">
      <c r="A232" s="42">
        <v>247</v>
      </c>
      <c r="B232" t="s">
        <v>568</v>
      </c>
      <c r="C232" s="1">
        <v>12</v>
      </c>
      <c r="D232" s="1">
        <v>12</v>
      </c>
      <c r="E232" s="67"/>
    </row>
    <row r="233" spans="1:5" x14ac:dyDescent="0.25">
      <c r="A233" s="42">
        <v>250</v>
      </c>
      <c r="B233" t="s">
        <v>569</v>
      </c>
      <c r="C233" s="1">
        <v>36</v>
      </c>
      <c r="D233" s="1">
        <v>10</v>
      </c>
      <c r="E233" s="67"/>
    </row>
    <row r="234" spans="1:5" x14ac:dyDescent="0.25">
      <c r="A234" s="42">
        <v>253</v>
      </c>
      <c r="B234" t="s">
        <v>570</v>
      </c>
      <c r="C234" s="1">
        <v>36</v>
      </c>
      <c r="D234" s="1">
        <v>10</v>
      </c>
      <c r="E234" s="67"/>
    </row>
    <row r="235" spans="1:5" x14ac:dyDescent="0.25">
      <c r="A235" s="42">
        <v>254</v>
      </c>
      <c r="B235" t="s">
        <v>571</v>
      </c>
      <c r="C235" s="1">
        <v>36</v>
      </c>
      <c r="D235" s="1">
        <v>14</v>
      </c>
      <c r="E235" s="67"/>
    </row>
    <row r="236" spans="1:5" x14ac:dyDescent="0.25">
      <c r="A236" s="42">
        <v>322</v>
      </c>
      <c r="B236" t="s">
        <v>572</v>
      </c>
      <c r="C236" s="1">
        <v>24</v>
      </c>
      <c r="D236" s="1">
        <v>2</v>
      </c>
      <c r="E236" s="67"/>
    </row>
    <row r="237" spans="1:5" x14ac:dyDescent="0.25">
      <c r="A237" s="42">
        <v>324</v>
      </c>
      <c r="B237" t="s">
        <v>573</v>
      </c>
      <c r="C237" s="1">
        <v>24</v>
      </c>
      <c r="D237" s="1">
        <v>2</v>
      </c>
      <c r="E237" s="67"/>
    </row>
    <row r="238" spans="1:5" x14ac:dyDescent="0.25">
      <c r="A238" s="42">
        <v>517</v>
      </c>
      <c r="B238" t="s">
        <v>574</v>
      </c>
      <c r="C238" s="1">
        <v>12</v>
      </c>
      <c r="D238" s="1">
        <v>7</v>
      </c>
      <c r="E238" s="67"/>
    </row>
    <row r="239" spans="1:5" x14ac:dyDescent="0.25">
      <c r="A239" s="42">
        <v>524</v>
      </c>
      <c r="B239" t="s">
        <v>575</v>
      </c>
      <c r="C239" s="1">
        <v>12</v>
      </c>
      <c r="D239" s="1">
        <v>7</v>
      </c>
      <c r="E239" s="67"/>
    </row>
    <row r="240" spans="1:5" x14ac:dyDescent="0.25">
      <c r="A240" s="42">
        <v>526</v>
      </c>
      <c r="B240" t="s">
        <v>576</v>
      </c>
      <c r="C240" s="1">
        <v>12</v>
      </c>
      <c r="D240" s="1">
        <v>2</v>
      </c>
      <c r="E240" s="67"/>
    </row>
    <row r="241" spans="1:5" x14ac:dyDescent="0.25">
      <c r="A241" s="42">
        <v>537</v>
      </c>
      <c r="B241" t="s">
        <v>577</v>
      </c>
      <c r="C241" s="1">
        <v>12</v>
      </c>
      <c r="D241" s="1">
        <v>7</v>
      </c>
      <c r="E241" s="67"/>
    </row>
    <row r="242" spans="1:5" x14ac:dyDescent="0.25">
      <c r="A242" s="42">
        <v>552</v>
      </c>
      <c r="B242" t="s">
        <v>578</v>
      </c>
      <c r="C242" s="1">
        <v>24</v>
      </c>
      <c r="D242" s="1">
        <v>2</v>
      </c>
      <c r="E242" s="67"/>
    </row>
    <row r="243" spans="1:5" x14ac:dyDescent="0.25">
      <c r="A243" s="42">
        <v>553</v>
      </c>
      <c r="B243" t="s">
        <v>579</v>
      </c>
      <c r="C243" s="1">
        <v>24</v>
      </c>
      <c r="D243" s="1">
        <v>2</v>
      </c>
      <c r="E243" s="67"/>
    </row>
    <row r="244" spans="1:5" x14ac:dyDescent="0.25">
      <c r="A244" s="42">
        <v>561</v>
      </c>
      <c r="B244" t="s">
        <v>580</v>
      </c>
      <c r="C244" s="1">
        <v>12</v>
      </c>
      <c r="D244" s="1">
        <v>12</v>
      </c>
      <c r="E244" s="67"/>
    </row>
    <row r="245" spans="1:5" x14ac:dyDescent="0.25">
      <c r="A245" s="42">
        <v>578</v>
      </c>
      <c r="B245" t="s">
        <v>581</v>
      </c>
      <c r="C245" s="1">
        <v>12</v>
      </c>
      <c r="D245" s="1">
        <v>2</v>
      </c>
      <c r="E245" s="67"/>
    </row>
    <row r="246" spans="1:5" x14ac:dyDescent="0.25">
      <c r="A246" s="42">
        <v>593</v>
      </c>
      <c r="B246" t="s">
        <v>582</v>
      </c>
      <c r="C246" s="1">
        <v>12</v>
      </c>
      <c r="D246" s="1">
        <v>7</v>
      </c>
      <c r="E246" s="67"/>
    </row>
    <row r="247" spans="1:5" x14ac:dyDescent="0.25">
      <c r="A247" s="42">
        <v>658</v>
      </c>
      <c r="B247" t="s">
        <v>583</v>
      </c>
      <c r="C247" s="1">
        <v>24</v>
      </c>
      <c r="D247" s="1">
        <v>2</v>
      </c>
      <c r="E247" s="67"/>
    </row>
    <row r="248" spans="1:5" x14ac:dyDescent="0.25">
      <c r="A248" s="42">
        <v>659</v>
      </c>
      <c r="B248" t="s">
        <v>584</v>
      </c>
      <c r="C248" s="1">
        <v>24</v>
      </c>
      <c r="D248" s="1">
        <v>2</v>
      </c>
      <c r="E248" s="67"/>
    </row>
  </sheetData>
  <autoFilter ref="A17:F153">
    <sortState ref="A18:F153">
      <sortCondition ref="A17:A153"/>
    </sortState>
  </autoFilter>
  <printOptions horizontalCentered="1"/>
  <pageMargins left="0.11811023622047245" right="0.11811023622047245" top="0.74803149606299213" bottom="0.74803149606299213" header="0.31496062992125984" footer="0.31496062992125984"/>
  <pageSetup paperSize="9" scale="12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92D050"/>
  </sheetPr>
  <dimension ref="A1:N269"/>
  <sheetViews>
    <sheetView zoomScale="85" zoomScaleNormal="85" workbookViewId="0">
      <selection activeCell="E86" sqref="E86"/>
    </sheetView>
  </sheetViews>
  <sheetFormatPr baseColWidth="10" defaultRowHeight="15" x14ac:dyDescent="0.25"/>
  <cols>
    <col min="1" max="1" width="9.85546875" style="1" customWidth="1"/>
    <col min="2" max="2" width="31.28515625" bestFit="1" customWidth="1"/>
    <col min="3" max="3" width="8.140625" bestFit="1" customWidth="1"/>
    <col min="4" max="4" width="8.5703125" customWidth="1"/>
    <col min="5" max="5" width="10.42578125" customWidth="1"/>
    <col min="6" max="6" width="11.7109375" customWidth="1"/>
    <col min="7" max="7" width="8.28515625" customWidth="1"/>
    <col min="8" max="9" width="10.28515625" customWidth="1"/>
    <col min="10" max="10" width="7.85546875" style="1" bestFit="1" customWidth="1"/>
    <col min="11" max="11" width="8.28515625" style="1" bestFit="1" customWidth="1"/>
    <col min="12" max="12" width="8" style="1" bestFit="1" customWidth="1"/>
    <col min="13" max="13" width="8.28515625" style="1" bestFit="1" customWidth="1"/>
    <col min="14" max="14" width="9.140625" style="1" customWidth="1"/>
    <col min="15" max="21" width="11" customWidth="1"/>
  </cols>
  <sheetData>
    <row r="1" spans="3:14" ht="45.75" thickBot="1" x14ac:dyDescent="0.3">
      <c r="C1" s="68" t="s">
        <v>333</v>
      </c>
      <c r="D1" s="68" t="s">
        <v>334</v>
      </c>
      <c r="I1" s="356" t="s">
        <v>585</v>
      </c>
      <c r="J1" s="48" t="s">
        <v>335</v>
      </c>
      <c r="K1" s="48" t="s">
        <v>336</v>
      </c>
      <c r="L1" s="48" t="s">
        <v>337</v>
      </c>
      <c r="M1" s="49" t="s">
        <v>338</v>
      </c>
      <c r="N1" s="48" t="s">
        <v>586</v>
      </c>
    </row>
    <row r="2" spans="3:14" x14ac:dyDescent="0.25">
      <c r="C2" s="69">
        <v>1</v>
      </c>
      <c r="D2" s="70">
        <f t="shared" ref="D2:D16" si="0">+SUMIFS($E$18:$E$475,$D$18:$D$475,$C2)</f>
        <v>595</v>
      </c>
      <c r="I2" s="356"/>
      <c r="J2" s="54">
        <v>25</v>
      </c>
      <c r="K2" s="54">
        <v>150</v>
      </c>
      <c r="L2" s="54">
        <v>1</v>
      </c>
      <c r="M2" s="54">
        <f>+K2*L2</f>
        <v>150</v>
      </c>
      <c r="N2" s="71">
        <f>+M2*J2</f>
        <v>3750</v>
      </c>
    </row>
    <row r="3" spans="3:14" x14ac:dyDescent="0.25">
      <c r="C3" s="53">
        <v>2</v>
      </c>
      <c r="D3" s="70">
        <f t="shared" si="0"/>
        <v>542</v>
      </c>
      <c r="I3" s="356"/>
      <c r="J3" s="54">
        <v>25</v>
      </c>
      <c r="K3" s="54">
        <v>80</v>
      </c>
      <c r="L3" s="54">
        <v>1</v>
      </c>
      <c r="M3" s="54">
        <f t="shared" ref="M3:M16" si="1">+K3*L3</f>
        <v>80</v>
      </c>
      <c r="N3" s="71">
        <f t="shared" ref="N3:N16" si="2">+M3*J3</f>
        <v>2000</v>
      </c>
    </row>
    <row r="4" spans="3:14" x14ac:dyDescent="0.25">
      <c r="C4" s="53">
        <v>5</v>
      </c>
      <c r="D4" s="70">
        <f t="shared" si="0"/>
        <v>0</v>
      </c>
      <c r="I4" s="356"/>
      <c r="J4" s="54">
        <v>25</v>
      </c>
      <c r="K4" s="54">
        <v>28</v>
      </c>
      <c r="L4" s="54">
        <v>2</v>
      </c>
      <c r="M4" s="54">
        <f t="shared" si="1"/>
        <v>56</v>
      </c>
      <c r="N4" s="71">
        <f t="shared" si="2"/>
        <v>1400</v>
      </c>
    </row>
    <row r="5" spans="3:14" x14ac:dyDescent="0.25">
      <c r="C5" s="53">
        <v>6</v>
      </c>
      <c r="D5" s="70">
        <f t="shared" si="0"/>
        <v>27</v>
      </c>
      <c r="I5" s="356"/>
      <c r="J5" s="54">
        <v>25</v>
      </c>
      <c r="K5" s="54">
        <v>30</v>
      </c>
      <c r="L5" s="54">
        <v>1</v>
      </c>
      <c r="M5" s="54">
        <f t="shared" si="1"/>
        <v>30</v>
      </c>
      <c r="N5" s="71">
        <f t="shared" si="2"/>
        <v>750</v>
      </c>
    </row>
    <row r="6" spans="3:14" x14ac:dyDescent="0.25">
      <c r="C6" s="53">
        <v>8</v>
      </c>
      <c r="D6" s="70">
        <f t="shared" si="0"/>
        <v>59</v>
      </c>
      <c r="I6" s="356"/>
      <c r="J6" s="54">
        <v>25</v>
      </c>
      <c r="K6" s="54">
        <v>40</v>
      </c>
      <c r="L6" s="54">
        <v>1</v>
      </c>
      <c r="M6" s="54">
        <f t="shared" si="1"/>
        <v>40</v>
      </c>
      <c r="N6" s="71">
        <f t="shared" si="2"/>
        <v>1000</v>
      </c>
    </row>
    <row r="7" spans="3:14" x14ac:dyDescent="0.25">
      <c r="C7" s="53">
        <v>9</v>
      </c>
      <c r="D7" s="70">
        <f t="shared" si="0"/>
        <v>0</v>
      </c>
      <c r="I7" s="356"/>
      <c r="J7" s="54">
        <v>25</v>
      </c>
      <c r="K7" s="54" t="s">
        <v>339</v>
      </c>
      <c r="L7" s="54" t="s">
        <v>339</v>
      </c>
      <c r="M7" s="54" t="s">
        <v>339</v>
      </c>
      <c r="N7" s="71" t="s">
        <v>339</v>
      </c>
    </row>
    <row r="8" spans="3:14" x14ac:dyDescent="0.25">
      <c r="C8" s="53">
        <v>10</v>
      </c>
      <c r="D8" s="70">
        <f t="shared" si="0"/>
        <v>218</v>
      </c>
      <c r="I8" s="356"/>
      <c r="J8" s="54">
        <v>25</v>
      </c>
      <c r="K8" s="54">
        <v>50</v>
      </c>
      <c r="L8" s="54">
        <v>1</v>
      </c>
      <c r="M8" s="54">
        <f t="shared" si="1"/>
        <v>50</v>
      </c>
      <c r="N8" s="71">
        <f t="shared" si="2"/>
        <v>1250</v>
      </c>
    </row>
    <row r="9" spans="3:14" x14ac:dyDescent="0.25">
      <c r="C9" s="53">
        <v>12</v>
      </c>
      <c r="D9" s="70">
        <f t="shared" si="0"/>
        <v>291</v>
      </c>
      <c r="I9" s="356"/>
      <c r="J9" s="54">
        <v>25</v>
      </c>
      <c r="K9" s="54">
        <v>50</v>
      </c>
      <c r="L9" s="54">
        <v>1</v>
      </c>
      <c r="M9" s="54">
        <f t="shared" si="1"/>
        <v>50</v>
      </c>
      <c r="N9" s="71">
        <f t="shared" si="2"/>
        <v>1250</v>
      </c>
    </row>
    <row r="10" spans="3:14" x14ac:dyDescent="0.25">
      <c r="C10" s="53">
        <v>13</v>
      </c>
      <c r="D10" s="70">
        <f t="shared" si="0"/>
        <v>85</v>
      </c>
      <c r="I10" s="356"/>
      <c r="J10" s="54">
        <v>25</v>
      </c>
      <c r="K10" s="54" t="s">
        <v>339</v>
      </c>
      <c r="L10" s="54" t="s">
        <v>339</v>
      </c>
      <c r="M10" s="54" t="s">
        <v>339</v>
      </c>
      <c r="N10" s="71" t="s">
        <v>339</v>
      </c>
    </row>
    <row r="11" spans="3:14" x14ac:dyDescent="0.25">
      <c r="C11" s="53">
        <v>14</v>
      </c>
      <c r="D11" s="70">
        <f t="shared" si="0"/>
        <v>0</v>
      </c>
      <c r="I11" s="356"/>
      <c r="J11" s="54">
        <v>25</v>
      </c>
      <c r="K11" s="54" t="s">
        <v>339</v>
      </c>
      <c r="L11" s="54" t="s">
        <v>339</v>
      </c>
      <c r="M11" s="54" t="s">
        <v>339</v>
      </c>
      <c r="N11" s="71" t="s">
        <v>339</v>
      </c>
    </row>
    <row r="12" spans="3:14" x14ac:dyDescent="0.25">
      <c r="C12" s="53">
        <v>15</v>
      </c>
      <c r="D12" s="70">
        <f t="shared" si="0"/>
        <v>0</v>
      </c>
      <c r="I12" s="356"/>
      <c r="J12" s="54">
        <v>25</v>
      </c>
      <c r="K12" s="54" t="s">
        <v>339</v>
      </c>
      <c r="L12" s="54" t="s">
        <v>339</v>
      </c>
      <c r="M12" s="54" t="s">
        <v>339</v>
      </c>
      <c r="N12" s="71" t="s">
        <v>339</v>
      </c>
    </row>
    <row r="13" spans="3:14" x14ac:dyDescent="0.25">
      <c r="C13" s="53">
        <v>16</v>
      </c>
      <c r="D13" s="70">
        <f t="shared" si="0"/>
        <v>0</v>
      </c>
      <c r="I13" s="356"/>
      <c r="J13" s="54">
        <v>25</v>
      </c>
      <c r="K13" s="54" t="s">
        <v>339</v>
      </c>
      <c r="L13" s="54" t="s">
        <v>339</v>
      </c>
      <c r="M13" s="54" t="s">
        <v>339</v>
      </c>
      <c r="N13" s="71" t="s">
        <v>339</v>
      </c>
    </row>
    <row r="14" spans="3:14" x14ac:dyDescent="0.25">
      <c r="C14" s="53">
        <v>22</v>
      </c>
      <c r="D14" s="70">
        <f t="shared" si="0"/>
        <v>454</v>
      </c>
      <c r="I14" s="356"/>
      <c r="J14" s="54">
        <v>25</v>
      </c>
      <c r="K14" s="54">
        <v>60</v>
      </c>
      <c r="L14" s="54">
        <v>1</v>
      </c>
      <c r="M14" s="54">
        <f t="shared" si="1"/>
        <v>60</v>
      </c>
      <c r="N14" s="71">
        <f t="shared" si="2"/>
        <v>1500</v>
      </c>
    </row>
    <row r="15" spans="3:14" x14ac:dyDescent="0.25">
      <c r="C15" s="53">
        <v>27</v>
      </c>
      <c r="D15" s="70">
        <f t="shared" si="0"/>
        <v>31</v>
      </c>
      <c r="I15" s="356"/>
      <c r="J15" s="54">
        <v>25</v>
      </c>
      <c r="K15" s="54" t="s">
        <v>339</v>
      </c>
      <c r="L15" s="54" t="s">
        <v>339</v>
      </c>
      <c r="M15" s="54" t="s">
        <v>339</v>
      </c>
      <c r="N15" s="71" t="s">
        <v>339</v>
      </c>
    </row>
    <row r="16" spans="3:14" x14ac:dyDescent="0.25">
      <c r="C16" s="53">
        <v>29</v>
      </c>
      <c r="D16" s="70">
        <f t="shared" si="0"/>
        <v>282</v>
      </c>
      <c r="I16" s="356"/>
      <c r="J16" s="54">
        <v>25</v>
      </c>
      <c r="K16" s="54">
        <v>60</v>
      </c>
      <c r="L16" s="54">
        <v>1</v>
      </c>
      <c r="M16" s="54">
        <f t="shared" si="1"/>
        <v>60</v>
      </c>
      <c r="N16" s="71">
        <f t="shared" si="2"/>
        <v>1500</v>
      </c>
    </row>
    <row r="17" spans="1:8" ht="15.75" thickBot="1" x14ac:dyDescent="0.3"/>
    <row r="18" spans="1:8" ht="38.25" thickBot="1" x14ac:dyDescent="0.3">
      <c r="A18" s="68" t="s">
        <v>340</v>
      </c>
      <c r="B18" s="55" t="s">
        <v>341</v>
      </c>
      <c r="C18" s="55" t="s">
        <v>342</v>
      </c>
      <c r="D18" s="72" t="s">
        <v>343</v>
      </c>
      <c r="E18" s="68" t="s">
        <v>344</v>
      </c>
    </row>
    <row r="19" spans="1:8" ht="15.75" hidden="1" x14ac:dyDescent="0.25">
      <c r="A19" s="73">
        <v>43</v>
      </c>
      <c r="B19" s="59" t="s">
        <v>587</v>
      </c>
      <c r="C19" s="59">
        <v>12</v>
      </c>
      <c r="D19" s="182">
        <v>22</v>
      </c>
      <c r="E19" s="74">
        <f>+IFERROR(VLOOKUP(A19,'Est Madre CH 10-25'!$A:$E,3,0),0)/C19</f>
        <v>20</v>
      </c>
      <c r="F19" s="163"/>
    </row>
    <row r="20" spans="1:8" ht="15.75" x14ac:dyDescent="0.25">
      <c r="A20" s="75">
        <v>52</v>
      </c>
      <c r="B20" s="52" t="s">
        <v>588</v>
      </c>
      <c r="C20" s="59">
        <v>12</v>
      </c>
      <c r="D20" s="95">
        <v>8</v>
      </c>
      <c r="E20" s="74">
        <f>+IFERROR(VLOOKUP(A20,'Est Madre CH 10-25'!$A:$E,3,0),0)/C20</f>
        <v>2</v>
      </c>
      <c r="F20" s="163"/>
    </row>
    <row r="21" spans="1:8" ht="15.75" hidden="1" x14ac:dyDescent="0.25">
      <c r="A21" s="75">
        <v>53</v>
      </c>
      <c r="B21" s="52" t="s">
        <v>589</v>
      </c>
      <c r="C21" s="59">
        <v>12</v>
      </c>
      <c r="D21" s="95">
        <v>12</v>
      </c>
      <c r="E21" s="74">
        <f>+IFERROR(VLOOKUP(A21,'Est Madre CH 10-25'!$A:$E,3,0),0)/C21</f>
        <v>4</v>
      </c>
      <c r="F21" s="163"/>
    </row>
    <row r="22" spans="1:8" ht="15.75" hidden="1" x14ac:dyDescent="0.25">
      <c r="A22" s="75">
        <v>54</v>
      </c>
      <c r="B22" s="52" t="s">
        <v>590</v>
      </c>
      <c r="C22" s="59">
        <v>12</v>
      </c>
      <c r="D22" s="95">
        <v>12</v>
      </c>
      <c r="E22" s="74">
        <f>+IFERROR(VLOOKUP(A22,'Est Madre CH 10-25'!$A:$E,3,0),0)/C22</f>
        <v>2</v>
      </c>
      <c r="F22" s="163"/>
    </row>
    <row r="23" spans="1:8" ht="15.75" hidden="1" x14ac:dyDescent="0.25">
      <c r="A23" s="75">
        <v>55</v>
      </c>
      <c r="B23" s="52" t="s">
        <v>591</v>
      </c>
      <c r="C23" s="59">
        <v>12</v>
      </c>
      <c r="D23" s="95">
        <v>12</v>
      </c>
      <c r="E23" s="74">
        <f>+IFERROR(VLOOKUP(A23,'Est Madre CH 10-25'!$A:$E,3,0),0)/C23</f>
        <v>8</v>
      </c>
      <c r="F23" s="163"/>
      <c r="H23" s="63"/>
    </row>
    <row r="24" spans="1:8" ht="15.75" hidden="1" x14ac:dyDescent="0.25">
      <c r="A24" s="75">
        <v>97</v>
      </c>
      <c r="B24" s="52" t="s">
        <v>592</v>
      </c>
      <c r="C24" s="59">
        <v>6</v>
      </c>
      <c r="D24" s="95">
        <v>1</v>
      </c>
      <c r="E24" s="74">
        <f>+IFERROR(VLOOKUP(A24,'Est Madre CH 10-25'!$A:$E,3,0),0)/C24</f>
        <v>140</v>
      </c>
      <c r="F24" s="163"/>
    </row>
    <row r="25" spans="1:8" ht="15.75" hidden="1" x14ac:dyDescent="0.25">
      <c r="A25" s="75">
        <v>99</v>
      </c>
      <c r="B25" s="52" t="s">
        <v>593</v>
      </c>
      <c r="C25" s="59">
        <v>12</v>
      </c>
      <c r="D25" s="95">
        <v>1</v>
      </c>
      <c r="E25" s="74">
        <f>+IFERROR(VLOOKUP(A25,'Est Madre CH 10-25'!$A:$E,3,0),0)/C25</f>
        <v>248</v>
      </c>
      <c r="F25" s="163"/>
    </row>
    <row r="26" spans="1:8" ht="15.75" hidden="1" x14ac:dyDescent="0.25">
      <c r="A26" s="75">
        <v>307</v>
      </c>
      <c r="B26" s="52" t="s">
        <v>594</v>
      </c>
      <c r="C26" s="59">
        <v>24</v>
      </c>
      <c r="D26" s="95">
        <v>6</v>
      </c>
      <c r="E26" s="74">
        <f>+IFERROR(VLOOKUP(A26,'Est Madre CH 10-25'!$A:$E,3,0),0)/C26</f>
        <v>15</v>
      </c>
      <c r="F26" s="163"/>
    </row>
    <row r="27" spans="1:8" ht="15.75" hidden="1" x14ac:dyDescent="0.25">
      <c r="A27" s="75" t="s">
        <v>180</v>
      </c>
      <c r="B27" s="52" t="s">
        <v>1199</v>
      </c>
      <c r="C27" s="59">
        <v>24</v>
      </c>
      <c r="D27" s="95">
        <v>6</v>
      </c>
      <c r="E27" s="74">
        <f>+IFERROR(VLOOKUP(A27,'Est Madre CH 10-25'!$A:$E,3,0),0)/C27</f>
        <v>7</v>
      </c>
      <c r="F27" s="163"/>
    </row>
    <row r="28" spans="1:8" ht="15.75" hidden="1" x14ac:dyDescent="0.25">
      <c r="A28" s="75" t="s">
        <v>182</v>
      </c>
      <c r="B28" s="52" t="s">
        <v>1200</v>
      </c>
      <c r="C28" s="59">
        <v>24</v>
      </c>
      <c r="D28" s="95">
        <v>10</v>
      </c>
      <c r="E28" s="74">
        <f>+IFERROR(VLOOKUP(A28,'Est Madre CH 10-25'!$A:$E,3,0),0)/C28</f>
        <v>14</v>
      </c>
      <c r="F28" s="163"/>
    </row>
    <row r="29" spans="1:8" ht="15.75" hidden="1" x14ac:dyDescent="0.25">
      <c r="A29" s="75">
        <v>609</v>
      </c>
      <c r="B29" s="52" t="s">
        <v>595</v>
      </c>
      <c r="C29" s="59">
        <v>12</v>
      </c>
      <c r="D29" s="95">
        <v>13</v>
      </c>
      <c r="E29" s="74">
        <f>+IFERROR(VLOOKUP(A29,'Est Madre CH 10-25'!$A:$E,3,0),0)/C29</f>
        <v>40</v>
      </c>
      <c r="F29" s="163"/>
    </row>
    <row r="30" spans="1:8" ht="15.75" hidden="1" x14ac:dyDescent="0.25">
      <c r="A30" s="75">
        <v>615</v>
      </c>
      <c r="B30" s="52" t="s">
        <v>596</v>
      </c>
      <c r="C30" s="59">
        <v>12</v>
      </c>
      <c r="D30" s="95">
        <v>2</v>
      </c>
      <c r="E30" s="74">
        <f>+IFERROR(VLOOKUP(A30,'Est Madre CH 10-25'!$A:$E,3,0),0)/C30</f>
        <v>5</v>
      </c>
      <c r="F30" s="163"/>
    </row>
    <row r="31" spans="1:8" ht="15.75" hidden="1" x14ac:dyDescent="0.25">
      <c r="A31" s="75">
        <v>630</v>
      </c>
      <c r="B31" s="52" t="s">
        <v>597</v>
      </c>
      <c r="C31" s="59">
        <v>12</v>
      </c>
      <c r="D31" s="95">
        <v>12</v>
      </c>
      <c r="E31" s="74">
        <f>+IFERROR(VLOOKUP(A31,'Est Madre CH 10-25'!$A:$E,3,0),0)/C31</f>
        <v>6</v>
      </c>
      <c r="F31" s="163"/>
    </row>
    <row r="32" spans="1:8" ht="15.75" hidden="1" x14ac:dyDescent="0.25">
      <c r="A32" s="75">
        <v>631</v>
      </c>
      <c r="B32" s="52" t="s">
        <v>598</v>
      </c>
      <c r="C32" s="59">
        <v>24</v>
      </c>
      <c r="D32" s="95">
        <v>12</v>
      </c>
      <c r="E32" s="74">
        <f>+IFERROR(VLOOKUP(A32,'Est Madre CH 10-25'!$A:$E,3,0),0)/C32</f>
        <v>2</v>
      </c>
      <c r="F32" s="163"/>
    </row>
    <row r="33" spans="1:6" ht="15.75" hidden="1" x14ac:dyDescent="0.25">
      <c r="A33" s="75">
        <v>632</v>
      </c>
      <c r="B33" s="52" t="s">
        <v>599</v>
      </c>
      <c r="C33" s="59">
        <v>24</v>
      </c>
      <c r="D33" s="95">
        <v>12</v>
      </c>
      <c r="E33" s="74">
        <f>+IFERROR(VLOOKUP(A33,'Est Madre CH 10-25'!$A:$E,3,0),0)/C33</f>
        <v>1</v>
      </c>
      <c r="F33" s="163"/>
    </row>
    <row r="34" spans="1:6" ht="15.75" hidden="1" x14ac:dyDescent="0.25">
      <c r="A34" s="75">
        <v>633</v>
      </c>
      <c r="B34" s="52" t="s">
        <v>600</v>
      </c>
      <c r="C34" s="59">
        <v>24</v>
      </c>
      <c r="D34" s="95">
        <v>12</v>
      </c>
      <c r="E34" s="74">
        <f>+IFERROR(VLOOKUP(A34,'Est Madre CH 10-25'!$A:$E,3,0),0)/C34</f>
        <v>1.5</v>
      </c>
      <c r="F34" s="163"/>
    </row>
    <row r="35" spans="1:6" ht="15.75" hidden="1" x14ac:dyDescent="0.25">
      <c r="A35" s="75">
        <v>634</v>
      </c>
      <c r="B35" s="52" t="s">
        <v>601</v>
      </c>
      <c r="C35" s="59">
        <v>24</v>
      </c>
      <c r="D35" s="95">
        <v>12</v>
      </c>
      <c r="E35" s="74">
        <f>+IFERROR(VLOOKUP(A35,'Est Madre CH 10-25'!$A:$E,3,0),0)/C35</f>
        <v>0.5</v>
      </c>
      <c r="F35" s="163"/>
    </row>
    <row r="36" spans="1:6" ht="15.75" hidden="1" x14ac:dyDescent="0.25">
      <c r="A36" s="75">
        <v>635</v>
      </c>
      <c r="B36" s="52" t="s">
        <v>602</v>
      </c>
      <c r="C36" s="59">
        <v>24</v>
      </c>
      <c r="D36" s="95">
        <v>12</v>
      </c>
      <c r="E36" s="74">
        <f>+IFERROR(VLOOKUP(A36,'Est Madre CH 10-25'!$A:$E,3,0),0)/C36</f>
        <v>2</v>
      </c>
      <c r="F36" s="163"/>
    </row>
    <row r="37" spans="1:6" ht="15.75" hidden="1" x14ac:dyDescent="0.25">
      <c r="A37" s="75">
        <v>636</v>
      </c>
      <c r="B37" s="52" t="s">
        <v>603</v>
      </c>
      <c r="C37" s="59">
        <v>24</v>
      </c>
      <c r="D37" s="95">
        <v>12</v>
      </c>
      <c r="E37" s="74">
        <f>+IFERROR(VLOOKUP(A37,'Est Madre CH 10-25'!$A:$E,3,0),0)/C37</f>
        <v>2</v>
      </c>
      <c r="F37" s="163"/>
    </row>
    <row r="38" spans="1:6" ht="15.75" hidden="1" x14ac:dyDescent="0.25">
      <c r="A38" s="75">
        <v>637</v>
      </c>
      <c r="B38" s="52" t="s">
        <v>604</v>
      </c>
      <c r="C38" s="59">
        <v>12</v>
      </c>
      <c r="D38" s="95">
        <v>12</v>
      </c>
      <c r="E38" s="74">
        <f>+IFERROR(VLOOKUP(A38,'Est Madre CH 10-25'!$A:$E,3,0),0)/C38</f>
        <v>1</v>
      </c>
      <c r="F38" s="163"/>
    </row>
    <row r="39" spans="1:6" ht="15.75" hidden="1" x14ac:dyDescent="0.25">
      <c r="A39" s="75">
        <v>700</v>
      </c>
      <c r="B39" s="52" t="s">
        <v>605</v>
      </c>
      <c r="C39" s="59">
        <v>12</v>
      </c>
      <c r="D39" s="95">
        <v>29</v>
      </c>
      <c r="E39" s="74">
        <f>+IFERROR(VLOOKUP(A39,'Est Madre CH 10-25'!$A:$E,3,0),0)/C39</f>
        <v>8</v>
      </c>
      <c r="F39" s="163"/>
    </row>
    <row r="40" spans="1:6" ht="15.75" hidden="1" x14ac:dyDescent="0.25">
      <c r="A40" s="75">
        <v>701</v>
      </c>
      <c r="B40" s="52" t="s">
        <v>654</v>
      </c>
      <c r="C40" s="59">
        <v>6</v>
      </c>
      <c r="D40" s="95">
        <v>22</v>
      </c>
      <c r="E40" s="74">
        <f>+IFERROR(VLOOKUP(A40,'Est Madre CH 10-25'!$A:$E,3,0),0)/C40</f>
        <v>103</v>
      </c>
      <c r="F40" s="163"/>
    </row>
    <row r="41" spans="1:6" ht="15.75" hidden="1" x14ac:dyDescent="0.25">
      <c r="A41" s="75">
        <v>706</v>
      </c>
      <c r="B41" s="52" t="s">
        <v>606</v>
      </c>
      <c r="C41" s="59">
        <v>12</v>
      </c>
      <c r="D41" s="95">
        <v>29</v>
      </c>
      <c r="E41" s="74">
        <f>+IFERROR(VLOOKUP(A41,'Est Madre CH 10-25'!$A:$E,3,0),0)/C41</f>
        <v>262</v>
      </c>
      <c r="F41" s="163"/>
    </row>
    <row r="42" spans="1:6" ht="15.75" hidden="1" x14ac:dyDescent="0.25">
      <c r="A42" s="75">
        <v>707</v>
      </c>
      <c r="B42" s="52" t="s">
        <v>607</v>
      </c>
      <c r="C42" s="59">
        <v>12</v>
      </c>
      <c r="D42" s="95">
        <v>2</v>
      </c>
      <c r="E42" s="74">
        <f>+IFERROR(VLOOKUP(A42,'Est Madre CH 10-25'!$A:$E,3,0),0)/C42</f>
        <v>4</v>
      </c>
      <c r="F42" s="163"/>
    </row>
    <row r="43" spans="1:6" ht="15.75" hidden="1" x14ac:dyDescent="0.25">
      <c r="A43" s="75">
        <v>708</v>
      </c>
      <c r="B43" s="52" t="s">
        <v>608</v>
      </c>
      <c r="C43" s="59">
        <v>12</v>
      </c>
      <c r="D43" s="95">
        <v>13</v>
      </c>
      <c r="E43" s="74">
        <f>+IFERROR(VLOOKUP(A43,'Est Madre CH 10-25'!$A:$E,3,0),0)/C43</f>
        <v>6</v>
      </c>
      <c r="F43" s="163"/>
    </row>
    <row r="44" spans="1:6" ht="15.75" hidden="1" x14ac:dyDescent="0.25">
      <c r="A44" s="75">
        <v>709</v>
      </c>
      <c r="B44" s="52" t="s">
        <v>609</v>
      </c>
      <c r="C44" s="59">
        <v>12</v>
      </c>
      <c r="D44" s="95">
        <v>2</v>
      </c>
      <c r="E44" s="74">
        <f>+IFERROR(VLOOKUP(A44,'Est Madre CH 10-25'!$A:$E,3,0),0)/C44</f>
        <v>2</v>
      </c>
      <c r="F44" s="163"/>
    </row>
    <row r="45" spans="1:6" ht="15.75" hidden="1" x14ac:dyDescent="0.25">
      <c r="A45" s="75">
        <v>710</v>
      </c>
      <c r="B45" s="52" t="s">
        <v>610</v>
      </c>
      <c r="C45" s="59">
        <v>12</v>
      </c>
      <c r="D45" s="95">
        <v>2</v>
      </c>
      <c r="E45" s="74">
        <f>+IFERROR(VLOOKUP(A45,'Est Madre CH 10-25'!$A:$E,3,0),0)/C45</f>
        <v>0</v>
      </c>
      <c r="F45" s="163"/>
    </row>
    <row r="46" spans="1:6" ht="15.75" hidden="1" x14ac:dyDescent="0.25">
      <c r="A46" s="75">
        <v>713</v>
      </c>
      <c r="B46" s="52" t="s">
        <v>611</v>
      </c>
      <c r="C46" s="59">
        <v>12</v>
      </c>
      <c r="D46" s="95">
        <v>22</v>
      </c>
      <c r="E46" s="74">
        <f>+IFERROR(VLOOKUP(A46,'Est Madre CH 10-25'!$A:$E,3,0),0)/C46</f>
        <v>190</v>
      </c>
      <c r="F46" s="163"/>
    </row>
    <row r="47" spans="1:6" ht="15.75" hidden="1" x14ac:dyDescent="0.25">
      <c r="A47" s="75">
        <v>715</v>
      </c>
      <c r="B47" s="52" t="s">
        <v>612</v>
      </c>
      <c r="C47" s="59">
        <v>24</v>
      </c>
      <c r="D47" s="95">
        <v>1</v>
      </c>
      <c r="E47" s="74">
        <f>+IFERROR(VLOOKUP(A47,'Est Madre CH 10-25'!$A:$E,3,0),0)/C47</f>
        <v>8</v>
      </c>
      <c r="F47" s="163"/>
    </row>
    <row r="48" spans="1:6" ht="15.75" hidden="1" x14ac:dyDescent="0.25">
      <c r="A48" s="75">
        <v>717</v>
      </c>
      <c r="B48" s="52" t="s">
        <v>868</v>
      </c>
      <c r="C48" s="59">
        <v>24</v>
      </c>
      <c r="D48" s="95">
        <v>1</v>
      </c>
      <c r="E48" s="74">
        <f>+IFERROR(VLOOKUP(A48,'Est Madre CH 10-25'!$A:$E,3,0),0)/C48</f>
        <v>0</v>
      </c>
      <c r="F48" s="163"/>
    </row>
    <row r="49" spans="1:6" ht="15.75" hidden="1" x14ac:dyDescent="0.25">
      <c r="A49" s="75">
        <v>718</v>
      </c>
      <c r="B49" s="52" t="s">
        <v>666</v>
      </c>
      <c r="C49" s="59">
        <v>24</v>
      </c>
      <c r="D49" s="95">
        <v>1</v>
      </c>
      <c r="E49" s="74">
        <f>+IFERROR(VLOOKUP(A49,'Est Madre CH 10-25'!$A:$E,3,0),0)/C49</f>
        <v>2</v>
      </c>
      <c r="F49" s="163"/>
    </row>
    <row r="50" spans="1:6" ht="15.75" hidden="1" x14ac:dyDescent="0.25">
      <c r="A50" s="75">
        <v>719</v>
      </c>
      <c r="B50" s="52" t="s">
        <v>667</v>
      </c>
      <c r="C50" s="59">
        <v>12</v>
      </c>
      <c r="D50" s="95">
        <v>22</v>
      </c>
      <c r="E50" s="74">
        <f>+IFERROR(VLOOKUP(A50,'Est Madre CH 10-25'!$A:$E,3,0),0)/C50</f>
        <v>6</v>
      </c>
      <c r="F50" s="163"/>
    </row>
    <row r="51" spans="1:6" ht="15.75" hidden="1" x14ac:dyDescent="0.25">
      <c r="A51" s="75">
        <v>720</v>
      </c>
      <c r="B51" s="52" t="s">
        <v>613</v>
      </c>
      <c r="C51" s="59">
        <v>12</v>
      </c>
      <c r="D51" s="95">
        <v>1</v>
      </c>
      <c r="E51" s="74">
        <f>+IFERROR(VLOOKUP(A51,'Est Madre CH 10-25'!$A:$E,3,0),0)/C51</f>
        <v>2</v>
      </c>
      <c r="F51" s="163"/>
    </row>
    <row r="52" spans="1:6" ht="15.75" hidden="1" x14ac:dyDescent="0.25">
      <c r="A52" s="75">
        <v>722</v>
      </c>
      <c r="B52" s="52" t="s">
        <v>614</v>
      </c>
      <c r="C52" s="59">
        <v>12</v>
      </c>
      <c r="D52" s="95">
        <v>1</v>
      </c>
      <c r="E52" s="74">
        <f>+IFERROR(VLOOKUP(A52,'Est Madre CH 10-25'!$A:$E,3,0),0)/C52</f>
        <v>2</v>
      </c>
      <c r="F52" s="163"/>
    </row>
    <row r="53" spans="1:6" ht="15.75" hidden="1" x14ac:dyDescent="0.25">
      <c r="A53" s="75">
        <v>723</v>
      </c>
      <c r="B53" s="52" t="s">
        <v>615</v>
      </c>
      <c r="C53" s="59">
        <v>12</v>
      </c>
      <c r="D53" s="95">
        <v>2</v>
      </c>
      <c r="E53" s="74">
        <f>+IFERROR(VLOOKUP(A53,'Est Madre CH 10-25'!$A:$E,3,0),0)/C53</f>
        <v>31</v>
      </c>
      <c r="F53" s="163"/>
    </row>
    <row r="54" spans="1:6" ht="15.75" hidden="1" x14ac:dyDescent="0.25">
      <c r="A54" s="75">
        <v>725</v>
      </c>
      <c r="B54" s="52" t="s">
        <v>443</v>
      </c>
      <c r="C54" s="59">
        <v>24</v>
      </c>
      <c r="D54" s="95">
        <v>13</v>
      </c>
      <c r="E54" s="74">
        <f>+IFERROR(VLOOKUP(A54,'Est Madre CH 10-25'!$A:$E,3,0),0)/C54</f>
        <v>20</v>
      </c>
      <c r="F54" s="163"/>
    </row>
    <row r="55" spans="1:6" ht="15.75" hidden="1" x14ac:dyDescent="0.25">
      <c r="A55" s="75">
        <v>730</v>
      </c>
      <c r="B55" s="52" t="s">
        <v>616</v>
      </c>
      <c r="C55" s="59">
        <v>24</v>
      </c>
      <c r="D55" s="95">
        <v>2</v>
      </c>
      <c r="E55" s="74">
        <f>+IFERROR(VLOOKUP(A55,'Est Madre CH 10-25'!$A:$E,3,0),0)/C55</f>
        <v>25</v>
      </c>
      <c r="F55" s="163"/>
    </row>
    <row r="56" spans="1:6" ht="15.75" hidden="1" x14ac:dyDescent="0.25">
      <c r="A56" s="75">
        <v>731</v>
      </c>
      <c r="B56" s="52" t="s">
        <v>617</v>
      </c>
      <c r="C56" s="59">
        <v>24</v>
      </c>
      <c r="D56" s="95">
        <v>2</v>
      </c>
      <c r="E56" s="74">
        <f>+IFERROR(VLOOKUP(A56,'Est Madre CH 10-25'!$A:$E,3,0),0)/C56</f>
        <v>11</v>
      </c>
      <c r="F56" s="163"/>
    </row>
    <row r="57" spans="1:6" ht="15.75" x14ac:dyDescent="0.25">
      <c r="A57" s="75">
        <v>732</v>
      </c>
      <c r="B57" s="52" t="s">
        <v>618</v>
      </c>
      <c r="C57" s="59">
        <v>24</v>
      </c>
      <c r="D57" s="95">
        <v>8</v>
      </c>
      <c r="E57" s="74">
        <f>+IFERROR(VLOOKUP(A57,'Est Madre CH 10-25'!$A:$E,3,0),0)/C57</f>
        <v>4</v>
      </c>
      <c r="F57" s="163"/>
    </row>
    <row r="58" spans="1:6" ht="15.75" hidden="1" x14ac:dyDescent="0.25">
      <c r="A58" s="75">
        <v>735</v>
      </c>
      <c r="B58" s="52" t="s">
        <v>663</v>
      </c>
      <c r="C58" s="59">
        <v>12</v>
      </c>
      <c r="D58" s="95">
        <v>22</v>
      </c>
      <c r="E58" s="74">
        <f>+IFERROR(VLOOKUP(A58,'Est Madre CH 10-25'!$A:$E,3,0),0)/C58</f>
        <v>8</v>
      </c>
      <c r="F58" s="163"/>
    </row>
    <row r="59" spans="1:6" ht="15.75" hidden="1" x14ac:dyDescent="0.25">
      <c r="A59" s="75">
        <v>747</v>
      </c>
      <c r="B59" s="52" t="s">
        <v>867</v>
      </c>
      <c r="C59" s="59">
        <v>24</v>
      </c>
      <c r="D59" s="95">
        <v>1</v>
      </c>
      <c r="E59" s="74">
        <f>+IFERROR(VLOOKUP(A59,'Est Madre CH 10-25'!$A:$E,3,0),0)/C59</f>
        <v>1</v>
      </c>
      <c r="F59" s="163"/>
    </row>
    <row r="60" spans="1:6" ht="15.75" hidden="1" x14ac:dyDescent="0.25">
      <c r="A60" s="75">
        <v>755</v>
      </c>
      <c r="B60" s="52" t="s">
        <v>619</v>
      </c>
      <c r="C60" s="59">
        <v>24</v>
      </c>
      <c r="D60" s="95">
        <v>1</v>
      </c>
      <c r="E60" s="74">
        <f>+IFERROR(VLOOKUP(A60,'Est Madre CH 10-25'!$A:$E,3,0),0)/C60</f>
        <v>0</v>
      </c>
      <c r="F60" s="163"/>
    </row>
    <row r="61" spans="1:6" ht="15.75" hidden="1" x14ac:dyDescent="0.25">
      <c r="A61" s="75">
        <v>760</v>
      </c>
      <c r="B61" s="52" t="s">
        <v>620</v>
      </c>
      <c r="C61" s="59">
        <v>24</v>
      </c>
      <c r="D61" s="95">
        <v>29</v>
      </c>
      <c r="E61" s="74">
        <f>+IFERROR(VLOOKUP(A61,'Est Madre CH 10-25'!$A:$E,3,0),0)/C61</f>
        <v>12</v>
      </c>
      <c r="F61" s="163"/>
    </row>
    <row r="62" spans="1:6" ht="15.75" hidden="1" x14ac:dyDescent="0.25">
      <c r="A62" s="75">
        <v>761</v>
      </c>
      <c r="B62" s="52" t="s">
        <v>621</v>
      </c>
      <c r="C62" s="59">
        <v>24</v>
      </c>
      <c r="D62" s="95">
        <v>1</v>
      </c>
      <c r="E62" s="74">
        <f>+IFERROR(VLOOKUP(A62,'Est Madre CH 10-25'!$A:$E,3,0),0)/C62</f>
        <v>1</v>
      </c>
      <c r="F62" s="163"/>
    </row>
    <row r="63" spans="1:6" ht="15.75" hidden="1" x14ac:dyDescent="0.25">
      <c r="A63" s="75">
        <v>762</v>
      </c>
      <c r="B63" s="52" t="s">
        <v>421</v>
      </c>
      <c r="C63" s="59">
        <v>24</v>
      </c>
      <c r="D63" s="95">
        <v>1</v>
      </c>
      <c r="E63" s="74">
        <f>+IFERROR(VLOOKUP(A63,'Est Madre CH 10-25'!$A:$E,3,0),0)/C63</f>
        <v>1</v>
      </c>
      <c r="F63" s="163"/>
    </row>
    <row r="64" spans="1:6" ht="15.75" hidden="1" x14ac:dyDescent="0.25">
      <c r="A64" s="75">
        <v>763</v>
      </c>
      <c r="B64" s="52" t="s">
        <v>622</v>
      </c>
      <c r="C64" s="59">
        <v>24</v>
      </c>
      <c r="D64" s="95">
        <v>1</v>
      </c>
      <c r="E64" s="74">
        <f>+IFERROR(VLOOKUP(A64,'Est Madre CH 10-25'!$A:$E,3,0),0)/C64</f>
        <v>20</v>
      </c>
      <c r="F64" s="163"/>
    </row>
    <row r="65" spans="1:6" ht="15.75" hidden="1" x14ac:dyDescent="0.25">
      <c r="A65" s="75">
        <v>764</v>
      </c>
      <c r="B65" s="52" t="s">
        <v>623</v>
      </c>
      <c r="C65" s="59">
        <v>36</v>
      </c>
      <c r="D65" s="95">
        <v>1</v>
      </c>
      <c r="E65" s="74">
        <f>+IFERROR(VLOOKUP(A65,'Est Madre CH 10-25'!$A:$E,3,0),0)/C65</f>
        <v>14</v>
      </c>
      <c r="F65" s="163"/>
    </row>
    <row r="66" spans="1:6" ht="15.75" hidden="1" x14ac:dyDescent="0.25">
      <c r="A66" s="75">
        <v>769</v>
      </c>
      <c r="B66" s="52" t="s">
        <v>624</v>
      </c>
      <c r="C66" s="59">
        <v>24</v>
      </c>
      <c r="D66" s="95">
        <v>1</v>
      </c>
      <c r="E66" s="74">
        <f>+IFERROR(VLOOKUP(A66,'Est Madre CH 10-25'!$A:$E,3,0),0)/C66</f>
        <v>10</v>
      </c>
      <c r="F66" s="163"/>
    </row>
    <row r="67" spans="1:6" ht="15.75" x14ac:dyDescent="0.25">
      <c r="A67" s="75">
        <v>789</v>
      </c>
      <c r="B67" s="52" t="s">
        <v>625</v>
      </c>
      <c r="C67" s="59">
        <v>24</v>
      </c>
      <c r="D67" s="95">
        <v>8</v>
      </c>
      <c r="E67" s="74">
        <f>+IFERROR(VLOOKUP(A67,'Est Madre CH 10-25'!$A:$E,3,0),0)/C67</f>
        <v>44</v>
      </c>
      <c r="F67" s="163"/>
    </row>
    <row r="68" spans="1:6" ht="15.75" hidden="1" x14ac:dyDescent="0.25">
      <c r="A68" s="75">
        <v>800</v>
      </c>
      <c r="B68" s="52" t="s">
        <v>626</v>
      </c>
      <c r="C68" s="59">
        <v>12</v>
      </c>
      <c r="D68" s="95">
        <v>2</v>
      </c>
      <c r="E68" s="74">
        <f>+IFERROR(VLOOKUP(A68,'Est Madre CH 10-25'!$A:$E,3,0),0)/C68</f>
        <v>6</v>
      </c>
      <c r="F68" s="163"/>
    </row>
    <row r="69" spans="1:6" ht="15.75" hidden="1" x14ac:dyDescent="0.25">
      <c r="A69" s="75">
        <v>802</v>
      </c>
      <c r="B69" s="52" t="s">
        <v>627</v>
      </c>
      <c r="C69" s="59">
        <v>12</v>
      </c>
      <c r="D69" s="95">
        <v>12</v>
      </c>
      <c r="E69" s="74">
        <f>+IFERROR(VLOOKUP(A69,'Est Madre CH 10-25'!$A:$E,3,0),0)/C69</f>
        <v>45</v>
      </c>
      <c r="F69" s="163"/>
    </row>
    <row r="70" spans="1:6" ht="15.75" hidden="1" x14ac:dyDescent="0.25">
      <c r="A70" s="75">
        <v>809</v>
      </c>
      <c r="B70" s="52" t="s">
        <v>628</v>
      </c>
      <c r="C70" s="59">
        <v>12</v>
      </c>
      <c r="D70" s="95">
        <v>1</v>
      </c>
      <c r="E70" s="74">
        <f>+IFERROR(VLOOKUP(A70,'Est Madre CH 10-25'!$A:$E,3,0),0)/C70</f>
        <v>108</v>
      </c>
      <c r="F70" s="163"/>
    </row>
    <row r="71" spans="1:6" ht="15.75" hidden="1" x14ac:dyDescent="0.25">
      <c r="A71" s="75">
        <v>816</v>
      </c>
      <c r="B71" s="52" t="s">
        <v>629</v>
      </c>
      <c r="C71" s="59">
        <v>12</v>
      </c>
      <c r="D71" s="95">
        <v>22</v>
      </c>
      <c r="E71" s="74">
        <f>+IFERROR(VLOOKUP(A71,'Est Madre CH 10-25'!$A:$E,3,0),0)/C71</f>
        <v>17</v>
      </c>
      <c r="F71" s="163"/>
    </row>
    <row r="72" spans="1:6" ht="15.75" hidden="1" x14ac:dyDescent="0.25">
      <c r="A72" s="75">
        <v>817</v>
      </c>
      <c r="B72" s="52" t="s">
        <v>630</v>
      </c>
      <c r="C72" s="59">
        <v>12</v>
      </c>
      <c r="D72" s="95">
        <v>2</v>
      </c>
      <c r="E72" s="74">
        <f>+IFERROR(VLOOKUP(A72,'Est Madre CH 10-25'!$A:$E,3,0),0)/C72</f>
        <v>26</v>
      </c>
      <c r="F72" s="163"/>
    </row>
    <row r="73" spans="1:6" ht="15.75" hidden="1" x14ac:dyDescent="0.25">
      <c r="A73" s="75">
        <v>818</v>
      </c>
      <c r="B73" s="52" t="s">
        <v>631</v>
      </c>
      <c r="C73" s="59">
        <v>12</v>
      </c>
      <c r="D73" s="95">
        <v>10</v>
      </c>
      <c r="E73" s="74">
        <f>+IFERROR(VLOOKUP(A73,'Est Madre CH 10-25'!$A:$E,3,0),0)/C73</f>
        <v>0</v>
      </c>
      <c r="F73" s="163"/>
    </row>
    <row r="74" spans="1:6" ht="15.75" hidden="1" x14ac:dyDescent="0.25">
      <c r="A74" s="75">
        <v>824</v>
      </c>
      <c r="B74" s="52" t="s">
        <v>632</v>
      </c>
      <c r="C74" s="59">
        <v>12</v>
      </c>
      <c r="D74" s="95">
        <v>2</v>
      </c>
      <c r="E74" s="74">
        <f>+IFERROR(VLOOKUP(A74,'Est Madre CH 10-25'!$A:$E,3,0),0)/C74</f>
        <v>160</v>
      </c>
      <c r="F74" s="163"/>
    </row>
    <row r="75" spans="1:6" ht="15.75" hidden="1" x14ac:dyDescent="0.25">
      <c r="A75" s="75">
        <v>825</v>
      </c>
      <c r="B75" s="52" t="s">
        <v>633</v>
      </c>
      <c r="C75" s="59">
        <v>24</v>
      </c>
      <c r="D75" s="95">
        <v>2</v>
      </c>
      <c r="E75" s="74">
        <f>+IFERROR(VLOOKUP(A75,'Est Madre CH 10-25'!$A:$E,3,0),0)/C75</f>
        <v>97</v>
      </c>
      <c r="F75" s="163"/>
    </row>
    <row r="76" spans="1:6" ht="15.75" hidden="1" x14ac:dyDescent="0.25">
      <c r="A76" s="75">
        <v>828</v>
      </c>
      <c r="B76" s="52" t="s">
        <v>872</v>
      </c>
      <c r="C76" s="59">
        <v>24</v>
      </c>
      <c r="D76" s="95">
        <v>6</v>
      </c>
      <c r="E76" s="74">
        <f>+IFERROR(VLOOKUP(A76,'Est Madre CH 10-25'!$A:$E,3,0),0)/C76</f>
        <v>0</v>
      </c>
      <c r="F76" s="163"/>
    </row>
    <row r="77" spans="1:6" ht="15.75" hidden="1" x14ac:dyDescent="0.25">
      <c r="A77" s="75">
        <v>830</v>
      </c>
      <c r="B77" s="52" t="s">
        <v>873</v>
      </c>
      <c r="C77" s="59">
        <v>24</v>
      </c>
      <c r="D77" s="95">
        <v>10</v>
      </c>
      <c r="E77" s="74">
        <f>+IFERROR(VLOOKUP(A77,'Est Madre CH 10-25'!$A:$E,3,0),0)/C77</f>
        <v>0</v>
      </c>
      <c r="F77" s="163"/>
    </row>
    <row r="78" spans="1:6" ht="15.75" hidden="1" x14ac:dyDescent="0.25">
      <c r="A78" s="75">
        <v>834</v>
      </c>
      <c r="B78" s="52"/>
      <c r="C78" s="59"/>
      <c r="D78" s="95">
        <v>6</v>
      </c>
      <c r="E78" s="74"/>
      <c r="F78" s="164"/>
    </row>
    <row r="79" spans="1:6" ht="15.75" hidden="1" x14ac:dyDescent="0.25">
      <c r="A79" s="75">
        <v>835</v>
      </c>
      <c r="B79" s="52"/>
      <c r="C79" s="59"/>
      <c r="D79" s="95">
        <v>10</v>
      </c>
      <c r="E79" s="74"/>
      <c r="F79" s="164"/>
    </row>
    <row r="80" spans="1:6" ht="15.75" hidden="1" x14ac:dyDescent="0.25">
      <c r="A80" s="75">
        <v>836</v>
      </c>
      <c r="B80" s="52" t="s">
        <v>634</v>
      </c>
      <c r="C80" s="59">
        <v>24</v>
      </c>
      <c r="D80" s="95">
        <v>22</v>
      </c>
      <c r="E80" s="74">
        <f>+IFERROR(VLOOKUP(A80,'Est Madre CH 10-25'!$A:$E,3,0),0)/C80</f>
        <v>100</v>
      </c>
      <c r="F80" s="163"/>
    </row>
    <row r="81" spans="1:6" ht="15.75" hidden="1" x14ac:dyDescent="0.25">
      <c r="A81" s="75">
        <v>839</v>
      </c>
      <c r="B81" s="52" t="s">
        <v>635</v>
      </c>
      <c r="C81" s="59">
        <v>12</v>
      </c>
      <c r="D81" s="95">
        <v>13</v>
      </c>
      <c r="E81" s="74">
        <f>+IFERROR(VLOOKUP(A81,'Est Madre CH 10-25'!$A:$E,3,0),0)/C81</f>
        <v>15</v>
      </c>
      <c r="F81" s="163"/>
    </row>
    <row r="82" spans="1:6" ht="15.75" hidden="1" x14ac:dyDescent="0.25">
      <c r="A82" s="75">
        <v>840</v>
      </c>
      <c r="B82" s="52" t="s">
        <v>636</v>
      </c>
      <c r="C82" s="59">
        <v>12</v>
      </c>
      <c r="D82" s="95">
        <v>10</v>
      </c>
      <c r="E82" s="74">
        <f>+IFERROR(VLOOKUP(A82,'Est Madre CH 10-25'!$A:$E,3,0),0)/C82</f>
        <v>200</v>
      </c>
      <c r="F82" s="163"/>
    </row>
    <row r="83" spans="1:6" ht="15.75" hidden="1" x14ac:dyDescent="0.25">
      <c r="A83" s="75">
        <v>842</v>
      </c>
      <c r="B83" s="52" t="s">
        <v>637</v>
      </c>
      <c r="C83" s="59">
        <v>24</v>
      </c>
      <c r="D83" s="95">
        <v>12</v>
      </c>
      <c r="E83" s="74">
        <f>+IFERROR(VLOOKUP(A83,'Est Madre CH 10-25'!$A:$E,3,0),0)/C83</f>
        <v>5</v>
      </c>
      <c r="F83" s="163"/>
    </row>
    <row r="84" spans="1:6" ht="15.75" hidden="1" x14ac:dyDescent="0.25">
      <c r="A84" s="75">
        <v>843</v>
      </c>
      <c r="B84" s="52" t="s">
        <v>638</v>
      </c>
      <c r="C84" s="59">
        <v>24</v>
      </c>
      <c r="D84" s="95">
        <v>12</v>
      </c>
      <c r="E84" s="74">
        <f>+IFERROR(VLOOKUP(A84,'Est Madre CH 10-25'!$A:$E,3,0),0)/C84</f>
        <v>2</v>
      </c>
      <c r="F84" s="163"/>
    </row>
    <row r="85" spans="1:6" ht="15.75" x14ac:dyDescent="0.25">
      <c r="A85" s="75">
        <v>844</v>
      </c>
      <c r="B85" s="52" t="s">
        <v>639</v>
      </c>
      <c r="C85" s="59">
        <v>24</v>
      </c>
      <c r="D85" s="95">
        <v>8</v>
      </c>
      <c r="E85" s="74">
        <f>+IFERROR(VLOOKUP(A85,'Est Madre CH 10-25'!$A:$E,3,0),0)/C85</f>
        <v>2</v>
      </c>
      <c r="F85" s="163"/>
    </row>
    <row r="86" spans="1:6" ht="15.75" x14ac:dyDescent="0.25">
      <c r="A86" s="75">
        <v>845</v>
      </c>
      <c r="B86" s="52" t="s">
        <v>640</v>
      </c>
      <c r="C86" s="59">
        <v>24</v>
      </c>
      <c r="D86" s="95">
        <v>8</v>
      </c>
      <c r="E86" s="74">
        <f>+IFERROR(VLOOKUP(A86,'Est Madre CH 10-25'!$A:$E,3,0),0)/C86</f>
        <v>7</v>
      </c>
      <c r="F86" s="163"/>
    </row>
    <row r="87" spans="1:6" ht="15.75" hidden="1" x14ac:dyDescent="0.25">
      <c r="A87" s="75">
        <v>846</v>
      </c>
      <c r="B87" s="52" t="s">
        <v>641</v>
      </c>
      <c r="C87" s="59">
        <v>24</v>
      </c>
      <c r="D87" s="95">
        <v>12</v>
      </c>
      <c r="E87" s="74">
        <f>+IFERROR(VLOOKUP(A87,'Est Madre CH 10-25'!$A:$E,3,0),0)/C87</f>
        <v>8</v>
      </c>
      <c r="F87" s="163"/>
    </row>
    <row r="88" spans="1:6" ht="15.75" hidden="1" x14ac:dyDescent="0.25">
      <c r="A88" s="75">
        <v>847</v>
      </c>
      <c r="B88" s="52" t="s">
        <v>642</v>
      </c>
      <c r="C88" s="59">
        <v>24</v>
      </c>
      <c r="D88" s="95">
        <v>2</v>
      </c>
      <c r="E88" s="74">
        <f>+IFERROR(VLOOKUP(A88,'Est Madre CH 10-25'!$A:$E,3,0),0)/C88</f>
        <v>60</v>
      </c>
      <c r="F88" s="163"/>
    </row>
    <row r="89" spans="1:6" ht="15.75" hidden="1" x14ac:dyDescent="0.25">
      <c r="A89" s="75">
        <v>848</v>
      </c>
      <c r="B89" s="52" t="s">
        <v>643</v>
      </c>
      <c r="C89" s="59">
        <v>24</v>
      </c>
      <c r="D89" s="95">
        <v>2</v>
      </c>
      <c r="E89" s="74">
        <f>+IFERROR(VLOOKUP(A89,'Est Madre CH 10-25'!$A:$E,3,0),0)/C89</f>
        <v>1</v>
      </c>
      <c r="F89" s="163"/>
    </row>
    <row r="90" spans="1:6" ht="15.75" hidden="1" x14ac:dyDescent="0.25">
      <c r="A90" s="75">
        <v>852</v>
      </c>
      <c r="B90" s="52" t="s">
        <v>644</v>
      </c>
      <c r="C90" s="59">
        <v>12</v>
      </c>
      <c r="D90" s="95">
        <v>1</v>
      </c>
      <c r="E90" s="74">
        <f>+IFERROR(VLOOKUP(A90,'Est Madre CH 10-25'!$A:$E,3,0),0)/C90</f>
        <v>5</v>
      </c>
      <c r="F90" s="163"/>
    </row>
    <row r="91" spans="1:6" ht="15.75" hidden="1" x14ac:dyDescent="0.25">
      <c r="A91" s="75">
        <v>856</v>
      </c>
      <c r="B91" s="52" t="s">
        <v>645</v>
      </c>
      <c r="C91" s="59">
        <v>24</v>
      </c>
      <c r="D91" s="95">
        <v>6</v>
      </c>
      <c r="E91" s="74">
        <f>+IFERROR(VLOOKUP(A91,'Est Madre CH 10-25'!$A:$E,3,0),0)/C91</f>
        <v>4</v>
      </c>
      <c r="F91" s="163"/>
    </row>
    <row r="92" spans="1:6" ht="15.75" hidden="1" x14ac:dyDescent="0.25">
      <c r="A92" s="75">
        <v>857</v>
      </c>
      <c r="B92" s="52" t="s">
        <v>646</v>
      </c>
      <c r="C92" s="59">
        <v>24</v>
      </c>
      <c r="D92" s="95">
        <v>6</v>
      </c>
      <c r="E92" s="74">
        <f>+IFERROR(VLOOKUP(A92,'Est Madre CH 10-25'!$A:$E,3,0),0)/C92</f>
        <v>1</v>
      </c>
      <c r="F92" s="163"/>
    </row>
    <row r="93" spans="1:6" ht="15.75" hidden="1" x14ac:dyDescent="0.25">
      <c r="A93" s="75">
        <v>858</v>
      </c>
      <c r="B93" s="52" t="s">
        <v>647</v>
      </c>
      <c r="C93" s="59">
        <v>24</v>
      </c>
      <c r="D93" s="95">
        <v>12</v>
      </c>
      <c r="E93" s="74">
        <f>+IFERROR(VLOOKUP(A93,'Est Madre CH 10-25'!$A:$E,3,0),0)/C93</f>
        <v>4</v>
      </c>
      <c r="F93" s="163"/>
    </row>
    <row r="94" spans="1:6" ht="15.75" hidden="1" x14ac:dyDescent="0.25">
      <c r="A94" s="75">
        <v>859</v>
      </c>
      <c r="B94" s="52" t="s">
        <v>648</v>
      </c>
      <c r="C94" s="59">
        <v>12</v>
      </c>
      <c r="D94" s="95">
        <v>1</v>
      </c>
      <c r="E94" s="74">
        <f>+IFERROR(VLOOKUP(A94,'Est Madre CH 10-25'!$A:$E,3,0),0)/C94</f>
        <v>6</v>
      </c>
      <c r="F94" s="163"/>
    </row>
    <row r="95" spans="1:6" ht="15.75" hidden="1" x14ac:dyDescent="0.25">
      <c r="A95" s="75">
        <v>862</v>
      </c>
      <c r="B95" s="52" t="s">
        <v>664</v>
      </c>
      <c r="C95" s="59">
        <v>12</v>
      </c>
      <c r="D95" s="95">
        <v>2</v>
      </c>
      <c r="E95" s="74">
        <f>+IFERROR(VLOOKUP(A95,'Est Madre CH 10-25'!$A:$E,3,0),0)/C95</f>
        <v>15</v>
      </c>
      <c r="F95" s="163"/>
    </row>
    <row r="96" spans="1:6" ht="15.75" hidden="1" x14ac:dyDescent="0.25">
      <c r="A96" s="75">
        <v>863</v>
      </c>
      <c r="B96" s="52" t="s">
        <v>649</v>
      </c>
      <c r="C96" s="59">
        <v>12</v>
      </c>
      <c r="D96" s="95">
        <v>13</v>
      </c>
      <c r="E96" s="74">
        <f>+IFERROR(VLOOKUP(A96,'Est Madre CH 10-25'!$A:$E,3,0),0)/C96</f>
        <v>4</v>
      </c>
      <c r="F96" s="163"/>
    </row>
    <row r="97" spans="1:6" ht="15.75" hidden="1" x14ac:dyDescent="0.25">
      <c r="A97" s="75">
        <v>864</v>
      </c>
      <c r="B97" s="52" t="s">
        <v>650</v>
      </c>
      <c r="C97" s="59">
        <v>12</v>
      </c>
      <c r="D97" s="95">
        <v>1</v>
      </c>
      <c r="E97" s="74">
        <f>+IFERROR(VLOOKUP(A97,'Est Madre CH 10-25'!$A:$E,3,0),0)/C97</f>
        <v>4</v>
      </c>
      <c r="F97" s="163"/>
    </row>
    <row r="98" spans="1:6" ht="15.75" hidden="1" x14ac:dyDescent="0.25">
      <c r="A98" s="75">
        <v>867</v>
      </c>
      <c r="B98" s="52" t="s">
        <v>665</v>
      </c>
      <c r="C98" s="59">
        <v>24</v>
      </c>
      <c r="D98" s="95">
        <v>2</v>
      </c>
      <c r="E98" s="74">
        <f>+IFERROR(VLOOKUP(A98,'Est Madre CH 10-25'!$A:$E,3,0),0)/C98</f>
        <v>13</v>
      </c>
      <c r="F98" s="163"/>
    </row>
    <row r="99" spans="1:6" ht="15.75" x14ac:dyDescent="0.25">
      <c r="A99" s="75">
        <v>872</v>
      </c>
      <c r="B99" s="52" t="s">
        <v>651</v>
      </c>
      <c r="C99" s="59">
        <v>12</v>
      </c>
      <c r="D99" s="95">
        <v>8</v>
      </c>
      <c r="E99" s="74">
        <f>+IFERROR(VLOOKUP(A99,'Est Madre CH 10-25'!$A:$E,3,0),0)/C99</f>
        <v>0</v>
      </c>
      <c r="F99" s="164"/>
    </row>
    <row r="100" spans="1:6" ht="15.75" x14ac:dyDescent="0.25">
      <c r="A100" s="75">
        <v>873</v>
      </c>
      <c r="B100" s="52" t="s">
        <v>652</v>
      </c>
      <c r="C100" s="59">
        <v>12</v>
      </c>
      <c r="D100" s="95">
        <v>8</v>
      </c>
      <c r="E100" s="74">
        <f>+IFERROR(VLOOKUP(A100,'Est Madre CH 10-25'!$A:$E,3,0),0)/C100</f>
        <v>0</v>
      </c>
      <c r="F100" s="164"/>
    </row>
    <row r="101" spans="1:6" ht="15.75" hidden="1" x14ac:dyDescent="0.25">
      <c r="A101" s="75">
        <v>878</v>
      </c>
      <c r="B101" s="52" t="s">
        <v>653</v>
      </c>
      <c r="C101" s="59">
        <v>24</v>
      </c>
      <c r="D101" s="95">
        <v>22</v>
      </c>
      <c r="E101" s="74">
        <f>+IFERROR(VLOOKUP(A101,'Est Madre CH 10-25'!$A:$E,3,0),0)/C101</f>
        <v>10</v>
      </c>
      <c r="F101" s="163"/>
    </row>
    <row r="102" spans="1:6" ht="15.75" hidden="1" x14ac:dyDescent="0.25">
      <c r="A102" s="75">
        <v>900</v>
      </c>
      <c r="B102" s="52" t="s">
        <v>655</v>
      </c>
      <c r="C102" s="59">
        <v>6</v>
      </c>
      <c r="D102" s="95">
        <v>10</v>
      </c>
      <c r="E102" s="74">
        <f>+IFERROR(VLOOKUP(A102,'Est Madre CH 10-25'!$A:$E,3,0),0)/C102</f>
        <v>4</v>
      </c>
      <c r="F102" s="163"/>
    </row>
    <row r="103" spans="1:6" ht="15.75" hidden="1" x14ac:dyDescent="0.25">
      <c r="A103" s="75">
        <v>901</v>
      </c>
      <c r="B103" s="52" t="s">
        <v>656</v>
      </c>
      <c r="C103" s="59">
        <v>12</v>
      </c>
      <c r="D103" s="95">
        <v>12</v>
      </c>
      <c r="E103" s="74">
        <f>+IFERROR(VLOOKUP(A103,'Est Madre CH 10-25'!$A:$E,3,0),0)/C103</f>
        <v>120</v>
      </c>
      <c r="F103" s="163"/>
    </row>
    <row r="104" spans="1:6" ht="15.75" hidden="1" x14ac:dyDescent="0.25">
      <c r="A104" s="75">
        <v>902</v>
      </c>
      <c r="B104" s="52" t="s">
        <v>657</v>
      </c>
      <c r="C104" s="59">
        <v>12</v>
      </c>
      <c r="D104" s="95">
        <v>27</v>
      </c>
      <c r="E104" s="74">
        <f>+IFERROR(VLOOKUP(A104,'Est Madre CH 10-25'!$A:$E,3,0),0)/C104</f>
        <v>19</v>
      </c>
      <c r="F104" s="163"/>
    </row>
    <row r="105" spans="1:6" ht="15.75" hidden="1" x14ac:dyDescent="0.25">
      <c r="A105" s="75">
        <v>908</v>
      </c>
      <c r="B105" s="52" t="s">
        <v>361</v>
      </c>
      <c r="C105" s="59">
        <v>12</v>
      </c>
      <c r="D105" s="52">
        <v>12</v>
      </c>
      <c r="E105" s="74">
        <f>+IFERROR(VLOOKUP(A105,'Est Madre CH 10-25'!$A:$E,3,0),0)/C105</f>
        <v>5</v>
      </c>
      <c r="F105" s="163"/>
    </row>
    <row r="106" spans="1:6" ht="15.75" hidden="1" x14ac:dyDescent="0.25">
      <c r="A106" s="75">
        <v>909</v>
      </c>
      <c r="B106" s="52" t="s">
        <v>658</v>
      </c>
      <c r="C106" s="59">
        <v>12</v>
      </c>
      <c r="D106" s="52">
        <v>1</v>
      </c>
      <c r="E106" s="74">
        <f>+IFERROR(VLOOKUP(A106,'Est Madre CH 10-25'!$A:$E,3,0),0)/C106</f>
        <v>23</v>
      </c>
      <c r="F106" s="163"/>
    </row>
    <row r="107" spans="1:6" ht="15.75" hidden="1" x14ac:dyDescent="0.25">
      <c r="A107" s="75">
        <v>910</v>
      </c>
      <c r="B107" s="52" t="s">
        <v>659</v>
      </c>
      <c r="C107" s="59">
        <v>12</v>
      </c>
      <c r="D107" s="52">
        <v>12</v>
      </c>
      <c r="E107" s="74">
        <f>+IFERROR(VLOOKUP(A107,'Est Madre CH 10-25'!$A:$E,3,0),0)/C107</f>
        <v>72</v>
      </c>
      <c r="F107" s="163"/>
    </row>
    <row r="108" spans="1:6" ht="15.75" hidden="1" x14ac:dyDescent="0.25">
      <c r="A108" s="75">
        <v>911</v>
      </c>
      <c r="B108" s="52" t="s">
        <v>660</v>
      </c>
      <c r="C108" s="59">
        <v>12</v>
      </c>
      <c r="D108" s="52">
        <v>2</v>
      </c>
      <c r="E108" s="74">
        <f>+IFERROR(VLOOKUP(A108,'Est Madre CH 10-25'!$A:$E,3,0),0)/C108</f>
        <v>28</v>
      </c>
      <c r="F108" s="163"/>
    </row>
    <row r="109" spans="1:6" ht="15.75" hidden="1" x14ac:dyDescent="0.25">
      <c r="A109" s="75">
        <v>920</v>
      </c>
      <c r="B109" s="52" t="s">
        <v>661</v>
      </c>
      <c r="C109" s="59">
        <v>12</v>
      </c>
      <c r="D109" s="52">
        <v>27</v>
      </c>
      <c r="E109" s="74">
        <f>+IFERROR(VLOOKUP(A109,'Est Madre CH 10-25'!$A:$E,3,0),0)/C109</f>
        <v>12</v>
      </c>
      <c r="F109" s="163"/>
    </row>
    <row r="110" spans="1:6" ht="15.75" hidden="1" x14ac:dyDescent="0.25">
      <c r="A110" s="75">
        <v>922</v>
      </c>
      <c r="B110" s="52" t="s">
        <v>662</v>
      </c>
      <c r="C110" s="59">
        <v>12</v>
      </c>
      <c r="D110" s="52">
        <v>2</v>
      </c>
      <c r="E110" s="74">
        <f>+IFERROR(VLOOKUP(A110,'Est Madre CH 10-25'!$A:$E,3,0),0)/C110</f>
        <v>58</v>
      </c>
      <c r="F110" s="163"/>
    </row>
    <row r="112" spans="1:6" x14ac:dyDescent="0.25">
      <c r="A112" s="76"/>
      <c r="B112" s="66" t="s">
        <v>444</v>
      </c>
      <c r="C112" s="66"/>
      <c r="D112" s="66"/>
      <c r="E112" s="66"/>
    </row>
    <row r="113" spans="1:5" ht="15.75" x14ac:dyDescent="0.25">
      <c r="A113" s="42">
        <v>9</v>
      </c>
      <c r="B113" t="s">
        <v>668</v>
      </c>
      <c r="C113">
        <v>24</v>
      </c>
      <c r="D113">
        <v>13</v>
      </c>
      <c r="E113" s="77"/>
    </row>
    <row r="114" spans="1:5" ht="15.75" x14ac:dyDescent="0.25">
      <c r="A114" s="42">
        <v>26</v>
      </c>
      <c r="B114" t="s">
        <v>669</v>
      </c>
      <c r="C114">
        <v>12</v>
      </c>
      <c r="D114">
        <v>8</v>
      </c>
      <c r="E114" s="77"/>
    </row>
    <row r="115" spans="1:5" ht="15.75" x14ac:dyDescent="0.25">
      <c r="A115" s="42">
        <v>28</v>
      </c>
      <c r="B115" t="s">
        <v>670</v>
      </c>
      <c r="C115">
        <v>12</v>
      </c>
      <c r="D115">
        <v>12</v>
      </c>
      <c r="E115" s="77"/>
    </row>
    <row r="116" spans="1:5" ht="15.75" x14ac:dyDescent="0.25">
      <c r="A116" s="42">
        <v>29</v>
      </c>
      <c r="B116" t="s">
        <v>596</v>
      </c>
      <c r="C116">
        <v>24</v>
      </c>
      <c r="D116">
        <v>6</v>
      </c>
      <c r="E116" s="77"/>
    </row>
    <row r="117" spans="1:5" ht="15.75" x14ac:dyDescent="0.25">
      <c r="A117" s="42">
        <v>33</v>
      </c>
      <c r="B117" t="s">
        <v>671</v>
      </c>
      <c r="C117">
        <v>12</v>
      </c>
      <c r="D117">
        <v>12</v>
      </c>
      <c r="E117" s="77"/>
    </row>
    <row r="118" spans="1:5" ht="15.75" x14ac:dyDescent="0.25">
      <c r="A118" s="42">
        <v>34</v>
      </c>
      <c r="B118" t="s">
        <v>672</v>
      </c>
      <c r="C118">
        <v>12</v>
      </c>
      <c r="D118">
        <v>12</v>
      </c>
      <c r="E118" s="77"/>
    </row>
    <row r="119" spans="1:5" ht="15.75" x14ac:dyDescent="0.25">
      <c r="A119" s="42">
        <v>36</v>
      </c>
      <c r="B119" t="s">
        <v>673</v>
      </c>
      <c r="C119">
        <v>12</v>
      </c>
      <c r="D119">
        <v>12</v>
      </c>
      <c r="E119" s="77"/>
    </row>
    <row r="120" spans="1:5" ht="15.75" x14ac:dyDescent="0.25">
      <c r="A120" s="42">
        <v>37</v>
      </c>
      <c r="B120" t="s">
        <v>674</v>
      </c>
      <c r="C120">
        <v>12</v>
      </c>
      <c r="D120">
        <v>12</v>
      </c>
      <c r="E120" s="77"/>
    </row>
    <row r="121" spans="1:5" ht="15.75" x14ac:dyDescent="0.25">
      <c r="A121" s="42">
        <v>42</v>
      </c>
      <c r="B121" t="s">
        <v>675</v>
      </c>
      <c r="C121">
        <v>12</v>
      </c>
      <c r="D121">
        <v>13</v>
      </c>
      <c r="E121" s="77"/>
    </row>
    <row r="122" spans="1:5" ht="15.75" x14ac:dyDescent="0.25">
      <c r="A122" s="42">
        <v>51</v>
      </c>
      <c r="B122" t="s">
        <v>676</v>
      </c>
      <c r="C122">
        <v>12</v>
      </c>
      <c r="D122">
        <v>8</v>
      </c>
      <c r="E122" s="77"/>
    </row>
    <row r="123" spans="1:5" ht="15.75" x14ac:dyDescent="0.25">
      <c r="A123" s="42">
        <v>62</v>
      </c>
      <c r="B123" t="s">
        <v>677</v>
      </c>
      <c r="C123">
        <v>12</v>
      </c>
      <c r="D123">
        <v>12</v>
      </c>
      <c r="E123" s="77"/>
    </row>
    <row r="124" spans="1:5" ht="15.75" x14ac:dyDescent="0.25">
      <c r="A124" s="42">
        <v>63</v>
      </c>
      <c r="B124" t="s">
        <v>678</v>
      </c>
      <c r="C124">
        <v>12</v>
      </c>
      <c r="D124">
        <v>29</v>
      </c>
      <c r="E124" s="77"/>
    </row>
    <row r="125" spans="1:5" ht="15.75" x14ac:dyDescent="0.25">
      <c r="A125" s="42">
        <v>75</v>
      </c>
      <c r="B125" t="s">
        <v>679</v>
      </c>
      <c r="C125">
        <v>12</v>
      </c>
      <c r="D125">
        <v>12</v>
      </c>
      <c r="E125" s="77"/>
    </row>
    <row r="126" spans="1:5" ht="15.75" x14ac:dyDescent="0.25">
      <c r="A126" s="42">
        <v>95</v>
      </c>
      <c r="B126" t="s">
        <v>680</v>
      </c>
      <c r="C126">
        <v>12</v>
      </c>
      <c r="D126">
        <v>13</v>
      </c>
      <c r="E126" s="77"/>
    </row>
    <row r="127" spans="1:5" ht="15.75" x14ac:dyDescent="0.25">
      <c r="A127" s="42">
        <v>96</v>
      </c>
      <c r="B127" t="s">
        <v>681</v>
      </c>
      <c r="C127">
        <v>12</v>
      </c>
      <c r="D127">
        <v>2</v>
      </c>
      <c r="E127" s="77"/>
    </row>
    <row r="128" spans="1:5" ht="15.75" x14ac:dyDescent="0.25">
      <c r="A128" s="42">
        <v>98</v>
      </c>
      <c r="B128" t="s">
        <v>682</v>
      </c>
      <c r="C128">
        <v>12</v>
      </c>
      <c r="D128">
        <v>29</v>
      </c>
      <c r="E128" s="77"/>
    </row>
    <row r="129" spans="1:5" ht="15.75" x14ac:dyDescent="0.25">
      <c r="A129" s="42">
        <v>105</v>
      </c>
      <c r="B129" t="s">
        <v>683</v>
      </c>
      <c r="C129">
        <v>12</v>
      </c>
      <c r="D129">
        <v>22</v>
      </c>
      <c r="E129" s="77"/>
    </row>
    <row r="130" spans="1:5" ht="15.75" x14ac:dyDescent="0.25">
      <c r="A130" s="42">
        <v>164</v>
      </c>
      <c r="B130" t="s">
        <v>684</v>
      </c>
      <c r="C130">
        <v>12</v>
      </c>
      <c r="D130">
        <v>13</v>
      </c>
      <c r="E130" s="77"/>
    </row>
    <row r="131" spans="1:5" ht="15.75" x14ac:dyDescent="0.25">
      <c r="A131" s="42">
        <v>209</v>
      </c>
      <c r="B131" t="s">
        <v>685</v>
      </c>
      <c r="C131">
        <v>12</v>
      </c>
      <c r="D131">
        <v>1</v>
      </c>
      <c r="E131" s="77"/>
    </row>
    <row r="132" spans="1:5" ht="15.75" x14ac:dyDescent="0.25">
      <c r="A132" s="42">
        <v>640</v>
      </c>
      <c r="B132" t="s">
        <v>686</v>
      </c>
      <c r="C132">
        <v>12</v>
      </c>
      <c r="D132">
        <v>6</v>
      </c>
      <c r="E132" s="77"/>
    </row>
    <row r="133" spans="1:5" ht="15.75" x14ac:dyDescent="0.25">
      <c r="A133" s="42">
        <v>641</v>
      </c>
      <c r="B133" t="s">
        <v>687</v>
      </c>
      <c r="C133">
        <v>12</v>
      </c>
      <c r="D133">
        <v>12</v>
      </c>
      <c r="E133" s="77"/>
    </row>
    <row r="134" spans="1:5" ht="15.75" x14ac:dyDescent="0.25">
      <c r="A134" s="42">
        <v>642</v>
      </c>
      <c r="B134" t="s">
        <v>688</v>
      </c>
      <c r="C134">
        <v>12</v>
      </c>
      <c r="D134">
        <v>6</v>
      </c>
      <c r="E134" s="77"/>
    </row>
    <row r="135" spans="1:5" ht="15.75" x14ac:dyDescent="0.25">
      <c r="A135" s="42">
        <v>643</v>
      </c>
      <c r="B135" t="s">
        <v>689</v>
      </c>
      <c r="C135">
        <v>12</v>
      </c>
      <c r="D135">
        <v>12</v>
      </c>
      <c r="E135" s="77"/>
    </row>
    <row r="136" spans="1:5" ht="15.75" x14ac:dyDescent="0.25">
      <c r="A136" s="42">
        <v>644</v>
      </c>
      <c r="B136" t="s">
        <v>690</v>
      </c>
      <c r="C136">
        <v>12</v>
      </c>
      <c r="D136">
        <v>12</v>
      </c>
      <c r="E136" s="77"/>
    </row>
    <row r="137" spans="1:5" ht="15.75" x14ac:dyDescent="0.25">
      <c r="A137" s="42">
        <v>645</v>
      </c>
      <c r="B137" t="s">
        <v>691</v>
      </c>
      <c r="C137">
        <v>12</v>
      </c>
      <c r="D137">
        <v>12</v>
      </c>
      <c r="E137" s="77"/>
    </row>
    <row r="138" spans="1:5" ht="15.75" x14ac:dyDescent="0.25">
      <c r="A138" s="42">
        <v>646</v>
      </c>
      <c r="B138" t="s">
        <v>692</v>
      </c>
      <c r="C138">
        <v>12</v>
      </c>
      <c r="D138">
        <v>6</v>
      </c>
      <c r="E138" s="77"/>
    </row>
    <row r="139" spans="1:5" ht="15.75" x14ac:dyDescent="0.25">
      <c r="A139" s="42">
        <v>648</v>
      </c>
      <c r="B139" t="s">
        <v>693</v>
      </c>
      <c r="C139">
        <v>24</v>
      </c>
      <c r="D139">
        <v>2</v>
      </c>
      <c r="E139" s="77"/>
    </row>
    <row r="140" spans="1:5" ht="15.75" x14ac:dyDescent="0.25">
      <c r="A140" s="42">
        <v>649</v>
      </c>
      <c r="B140" t="s">
        <v>694</v>
      </c>
      <c r="C140">
        <v>12</v>
      </c>
      <c r="D140">
        <v>8</v>
      </c>
      <c r="E140" s="77"/>
    </row>
    <row r="141" spans="1:5" ht="15.75" x14ac:dyDescent="0.25">
      <c r="A141" s="42">
        <v>651</v>
      </c>
      <c r="B141" t="s">
        <v>695</v>
      </c>
      <c r="C141">
        <v>24</v>
      </c>
      <c r="D141">
        <v>13</v>
      </c>
      <c r="E141" s="77"/>
    </row>
    <row r="142" spans="1:5" ht="15.75" x14ac:dyDescent="0.25">
      <c r="A142" s="42">
        <v>652</v>
      </c>
      <c r="B142" t="s">
        <v>696</v>
      </c>
      <c r="C142">
        <v>24</v>
      </c>
      <c r="D142">
        <v>22</v>
      </c>
      <c r="E142" s="77"/>
    </row>
    <row r="143" spans="1:5" ht="15.75" x14ac:dyDescent="0.25">
      <c r="A143" s="42">
        <v>655</v>
      </c>
      <c r="B143" t="s">
        <v>697</v>
      </c>
      <c r="C143">
        <v>12</v>
      </c>
      <c r="D143">
        <v>12</v>
      </c>
      <c r="E143" s="77"/>
    </row>
    <row r="144" spans="1:5" ht="15.75" x14ac:dyDescent="0.25">
      <c r="A144" s="42">
        <v>656</v>
      </c>
      <c r="B144" t="s">
        <v>698</v>
      </c>
      <c r="C144">
        <v>12</v>
      </c>
      <c r="D144">
        <v>12</v>
      </c>
      <c r="E144" s="77"/>
    </row>
    <row r="145" spans="1:5" ht="15.75" x14ac:dyDescent="0.25">
      <c r="A145" s="42">
        <v>657</v>
      </c>
      <c r="B145" t="s">
        <v>699</v>
      </c>
      <c r="C145">
        <v>12</v>
      </c>
      <c r="D145">
        <v>12</v>
      </c>
      <c r="E145" s="77"/>
    </row>
    <row r="146" spans="1:5" ht="15.75" x14ac:dyDescent="0.25">
      <c r="A146" s="42">
        <v>658</v>
      </c>
      <c r="B146" t="s">
        <v>700</v>
      </c>
      <c r="C146">
        <v>12</v>
      </c>
      <c r="D146">
        <v>12</v>
      </c>
      <c r="E146" s="77"/>
    </row>
    <row r="147" spans="1:5" ht="15.75" x14ac:dyDescent="0.25">
      <c r="A147" s="42">
        <v>659</v>
      </c>
      <c r="B147" t="s">
        <v>701</v>
      </c>
      <c r="C147">
        <v>24</v>
      </c>
      <c r="D147">
        <v>6</v>
      </c>
      <c r="E147" s="77"/>
    </row>
    <row r="148" spans="1:5" ht="15.75" x14ac:dyDescent="0.25">
      <c r="A148" s="42">
        <v>660</v>
      </c>
      <c r="B148" t="s">
        <v>702</v>
      </c>
      <c r="C148">
        <v>4</v>
      </c>
      <c r="D148">
        <v>12</v>
      </c>
      <c r="E148" s="77"/>
    </row>
    <row r="149" spans="1:5" ht="15.75" x14ac:dyDescent="0.25">
      <c r="A149" s="42">
        <v>661</v>
      </c>
      <c r="B149" t="s">
        <v>703</v>
      </c>
      <c r="C149">
        <v>12</v>
      </c>
      <c r="D149">
        <v>22</v>
      </c>
      <c r="E149" s="77"/>
    </row>
    <row r="150" spans="1:5" ht="15.75" x14ac:dyDescent="0.25">
      <c r="A150" s="42">
        <v>662</v>
      </c>
      <c r="B150" t="s">
        <v>704</v>
      </c>
      <c r="C150">
        <v>24</v>
      </c>
      <c r="D150">
        <v>6</v>
      </c>
      <c r="E150" s="77"/>
    </row>
    <row r="151" spans="1:5" ht="15.75" x14ac:dyDescent="0.25">
      <c r="A151" s="42">
        <v>663</v>
      </c>
      <c r="B151" t="s">
        <v>705</v>
      </c>
      <c r="C151">
        <v>12</v>
      </c>
      <c r="D151">
        <v>12</v>
      </c>
      <c r="E151" s="77"/>
    </row>
    <row r="152" spans="1:5" ht="15.75" x14ac:dyDescent="0.25">
      <c r="A152" s="42">
        <v>704</v>
      </c>
      <c r="B152" t="s">
        <v>706</v>
      </c>
      <c r="C152">
        <v>24</v>
      </c>
      <c r="D152">
        <v>13</v>
      </c>
      <c r="E152" s="77"/>
    </row>
    <row r="153" spans="1:5" ht="15.75" x14ac:dyDescent="0.25">
      <c r="A153" s="42">
        <v>744</v>
      </c>
      <c r="B153" t="s">
        <v>707</v>
      </c>
      <c r="C153">
        <v>36</v>
      </c>
      <c r="D153">
        <v>8</v>
      </c>
      <c r="E153" s="77"/>
    </row>
    <row r="154" spans="1:5" ht="15.75" x14ac:dyDescent="0.25">
      <c r="A154" s="42">
        <v>749</v>
      </c>
      <c r="B154" t="s">
        <v>708</v>
      </c>
      <c r="C154">
        <v>24</v>
      </c>
      <c r="D154">
        <v>1</v>
      </c>
      <c r="E154" s="77"/>
    </row>
    <row r="155" spans="1:5" ht="15.75" x14ac:dyDescent="0.25">
      <c r="A155" s="42">
        <v>768</v>
      </c>
      <c r="B155" t="s">
        <v>709</v>
      </c>
      <c r="C155">
        <v>24</v>
      </c>
      <c r="D155">
        <v>1</v>
      </c>
      <c r="E155" s="77"/>
    </row>
    <row r="156" spans="1:5" ht="15.75" x14ac:dyDescent="0.25">
      <c r="A156" s="42">
        <v>771</v>
      </c>
      <c r="B156" t="s">
        <v>710</v>
      </c>
      <c r="C156">
        <v>24</v>
      </c>
      <c r="D156">
        <v>8</v>
      </c>
      <c r="E156" s="77"/>
    </row>
    <row r="157" spans="1:5" ht="15.75" x14ac:dyDescent="0.25">
      <c r="A157" s="42">
        <v>778</v>
      </c>
      <c r="B157" t="s">
        <v>711</v>
      </c>
      <c r="C157">
        <v>12</v>
      </c>
      <c r="D157">
        <v>1</v>
      </c>
      <c r="E157" s="77"/>
    </row>
    <row r="158" spans="1:5" ht="15.75" x14ac:dyDescent="0.25">
      <c r="A158" s="42">
        <v>785</v>
      </c>
      <c r="B158" t="s">
        <v>712</v>
      </c>
      <c r="C158">
        <v>36</v>
      </c>
      <c r="D158">
        <v>6</v>
      </c>
      <c r="E158" s="77"/>
    </row>
    <row r="159" spans="1:5" ht="15.75" x14ac:dyDescent="0.25">
      <c r="A159" s="42">
        <v>802</v>
      </c>
      <c r="B159" t="s">
        <v>713</v>
      </c>
      <c r="C159">
        <v>24</v>
      </c>
      <c r="D159">
        <v>10</v>
      </c>
      <c r="E159" s="77"/>
    </row>
    <row r="160" spans="1:5" ht="15.75" x14ac:dyDescent="0.25">
      <c r="A160" s="42">
        <v>803</v>
      </c>
      <c r="B160" t="s">
        <v>714</v>
      </c>
      <c r="C160">
        <v>24</v>
      </c>
      <c r="D160">
        <v>1</v>
      </c>
      <c r="E160" s="77"/>
    </row>
    <row r="161" spans="1:5" ht="15.75" x14ac:dyDescent="0.25">
      <c r="A161" s="42">
        <v>815</v>
      </c>
      <c r="B161" t="s">
        <v>715</v>
      </c>
      <c r="C161">
        <v>36</v>
      </c>
      <c r="D161">
        <v>6</v>
      </c>
      <c r="E161" s="77"/>
    </row>
    <row r="162" spans="1:5" ht="15.75" x14ac:dyDescent="0.25">
      <c r="A162" s="42">
        <v>831</v>
      </c>
      <c r="B162" t="s">
        <v>716</v>
      </c>
      <c r="C162">
        <v>36</v>
      </c>
      <c r="D162">
        <v>1</v>
      </c>
      <c r="E162" s="77"/>
    </row>
    <row r="163" spans="1:5" ht="15.75" x14ac:dyDescent="0.25">
      <c r="A163" s="42">
        <v>832</v>
      </c>
      <c r="B163" t="s">
        <v>717</v>
      </c>
      <c r="C163">
        <v>36</v>
      </c>
      <c r="D163">
        <v>13</v>
      </c>
      <c r="E163" s="77"/>
    </row>
    <row r="164" spans="1:5" ht="15.75" x14ac:dyDescent="0.25">
      <c r="A164" s="42">
        <v>833</v>
      </c>
      <c r="B164" t="s">
        <v>718</v>
      </c>
      <c r="C164">
        <v>36</v>
      </c>
      <c r="D164">
        <v>8</v>
      </c>
      <c r="E164" s="77"/>
    </row>
    <row r="165" spans="1:5" ht="15.75" x14ac:dyDescent="0.25">
      <c r="A165" s="42">
        <v>838</v>
      </c>
      <c r="B165" t="s">
        <v>719</v>
      </c>
      <c r="C165">
        <v>36</v>
      </c>
      <c r="D165">
        <v>8</v>
      </c>
      <c r="E165" s="77"/>
    </row>
    <row r="166" spans="1:5" ht="15.75" x14ac:dyDescent="0.25">
      <c r="A166" s="42">
        <v>841</v>
      </c>
      <c r="B166" t="s">
        <v>720</v>
      </c>
      <c r="C166">
        <v>24</v>
      </c>
      <c r="D166">
        <v>14</v>
      </c>
      <c r="E166" s="77"/>
    </row>
    <row r="167" spans="1:5" ht="15.75" x14ac:dyDescent="0.25">
      <c r="A167" s="42">
        <v>871</v>
      </c>
      <c r="B167" t="s">
        <v>721</v>
      </c>
      <c r="C167">
        <v>24</v>
      </c>
      <c r="D167">
        <v>1</v>
      </c>
      <c r="E167" s="77"/>
    </row>
    <row r="168" spans="1:5" ht="15.75" x14ac:dyDescent="0.25">
      <c r="A168" s="42">
        <v>901</v>
      </c>
      <c r="B168" t="s">
        <v>722</v>
      </c>
      <c r="C168">
        <v>36</v>
      </c>
      <c r="D168">
        <v>6</v>
      </c>
      <c r="E168" s="77"/>
    </row>
    <row r="169" spans="1:5" ht="15.75" x14ac:dyDescent="0.25">
      <c r="A169" s="42">
        <v>909</v>
      </c>
      <c r="B169" t="s">
        <v>723</v>
      </c>
      <c r="C169">
        <v>60</v>
      </c>
      <c r="D169">
        <v>6</v>
      </c>
      <c r="E169" s="77"/>
    </row>
    <row r="170" spans="1:5" ht="15.75" x14ac:dyDescent="0.25">
      <c r="A170" s="42">
        <v>910</v>
      </c>
      <c r="B170" t="s">
        <v>724</v>
      </c>
      <c r="C170">
        <v>36</v>
      </c>
      <c r="D170">
        <v>10</v>
      </c>
      <c r="E170" s="77"/>
    </row>
    <row r="171" spans="1:5" ht="15.75" x14ac:dyDescent="0.25">
      <c r="A171" s="42">
        <v>911</v>
      </c>
      <c r="B171" t="s">
        <v>725</v>
      </c>
      <c r="C171">
        <v>36</v>
      </c>
      <c r="D171">
        <v>12</v>
      </c>
      <c r="E171" s="77"/>
    </row>
    <row r="172" spans="1:5" ht="15.75" x14ac:dyDescent="0.25">
      <c r="A172" s="42">
        <v>915</v>
      </c>
      <c r="B172" t="s">
        <v>726</v>
      </c>
      <c r="C172">
        <v>60</v>
      </c>
      <c r="D172">
        <v>13</v>
      </c>
      <c r="E172" s="77"/>
    </row>
    <row r="173" spans="1:5" ht="15.75" x14ac:dyDescent="0.25">
      <c r="A173" s="42">
        <v>916</v>
      </c>
      <c r="B173" t="s">
        <v>727</v>
      </c>
      <c r="C173">
        <v>60</v>
      </c>
      <c r="D173">
        <v>13</v>
      </c>
      <c r="E173" s="77"/>
    </row>
    <row r="174" spans="1:5" ht="15.75" x14ac:dyDescent="0.25">
      <c r="A174" s="42">
        <v>920</v>
      </c>
      <c r="B174" t="s">
        <v>728</v>
      </c>
      <c r="C174">
        <v>36</v>
      </c>
      <c r="D174">
        <v>6</v>
      </c>
      <c r="E174" s="77"/>
    </row>
    <row r="175" spans="1:5" ht="15.75" x14ac:dyDescent="0.25">
      <c r="A175" s="42">
        <v>922</v>
      </c>
      <c r="B175" t="s">
        <v>729</v>
      </c>
      <c r="C175">
        <v>36</v>
      </c>
      <c r="D175">
        <v>12</v>
      </c>
      <c r="E175" s="77"/>
    </row>
    <row r="176" spans="1:5" ht="15.75" x14ac:dyDescent="0.25">
      <c r="A176" s="42">
        <v>953</v>
      </c>
      <c r="B176" t="s">
        <v>730</v>
      </c>
      <c r="C176">
        <v>12</v>
      </c>
      <c r="D176">
        <v>14</v>
      </c>
      <c r="E176" s="77"/>
    </row>
    <row r="177" spans="1:8" ht="15.75" x14ac:dyDescent="0.25">
      <c r="A177" s="42">
        <v>977</v>
      </c>
      <c r="B177" t="s">
        <v>731</v>
      </c>
      <c r="C177">
        <v>4</v>
      </c>
      <c r="D177">
        <v>12</v>
      </c>
      <c r="E177" s="77"/>
    </row>
    <row r="178" spans="1:8" ht="15.75" x14ac:dyDescent="0.25">
      <c r="A178" s="42">
        <v>1063</v>
      </c>
      <c r="B178" t="s">
        <v>732</v>
      </c>
      <c r="C178">
        <v>24</v>
      </c>
      <c r="D178">
        <v>1</v>
      </c>
      <c r="E178" s="77"/>
    </row>
    <row r="179" spans="1:8" ht="15.75" x14ac:dyDescent="0.25">
      <c r="A179" s="42">
        <v>1064</v>
      </c>
      <c r="B179" t="s">
        <v>733</v>
      </c>
      <c r="C179">
        <v>12</v>
      </c>
      <c r="D179">
        <v>2</v>
      </c>
      <c r="E179" s="77"/>
    </row>
    <row r="180" spans="1:8" ht="15.75" x14ac:dyDescent="0.25">
      <c r="A180" s="42">
        <v>1065</v>
      </c>
      <c r="B180" t="s">
        <v>734</v>
      </c>
      <c r="C180">
        <v>36</v>
      </c>
      <c r="D180">
        <v>1</v>
      </c>
      <c r="E180" s="77"/>
    </row>
    <row r="181" spans="1:8" ht="15.75" x14ac:dyDescent="0.25">
      <c r="A181" s="42">
        <v>1067</v>
      </c>
      <c r="B181" t="s">
        <v>735</v>
      </c>
      <c r="C181">
        <v>24</v>
      </c>
      <c r="D181">
        <v>2</v>
      </c>
      <c r="E181" s="77"/>
    </row>
    <row r="182" spans="1:8" ht="15.75" x14ac:dyDescent="0.25">
      <c r="A182" s="42">
        <v>1076</v>
      </c>
      <c r="B182" t="s">
        <v>736</v>
      </c>
      <c r="C182">
        <v>24</v>
      </c>
      <c r="D182">
        <v>8</v>
      </c>
      <c r="E182" s="77"/>
    </row>
    <row r="183" spans="1:8" ht="15.75" x14ac:dyDescent="0.25">
      <c r="A183" s="42">
        <v>1077</v>
      </c>
      <c r="B183" t="s">
        <v>737</v>
      </c>
      <c r="C183">
        <v>24</v>
      </c>
      <c r="D183">
        <v>13</v>
      </c>
      <c r="E183" s="77"/>
    </row>
    <row r="184" spans="1:8" ht="15.75" x14ac:dyDescent="0.25">
      <c r="A184" s="42">
        <v>1079</v>
      </c>
      <c r="B184" t="s">
        <v>738</v>
      </c>
      <c r="C184">
        <v>24</v>
      </c>
      <c r="D184">
        <v>13</v>
      </c>
      <c r="E184" s="77"/>
    </row>
    <row r="185" spans="1:8" ht="15.75" x14ac:dyDescent="0.25">
      <c r="A185" s="42">
        <v>1080</v>
      </c>
      <c r="B185" t="s">
        <v>739</v>
      </c>
      <c r="C185">
        <v>12</v>
      </c>
      <c r="D185">
        <v>8</v>
      </c>
      <c r="E185" s="77"/>
      <c r="H185" t="s">
        <v>740</v>
      </c>
    </row>
    <row r="186" spans="1:8" ht="15.75" x14ac:dyDescent="0.25">
      <c r="A186" s="42">
        <v>1081</v>
      </c>
      <c r="B186" t="s">
        <v>741</v>
      </c>
      <c r="C186">
        <v>24</v>
      </c>
      <c r="D186">
        <v>10</v>
      </c>
      <c r="E186" s="77"/>
    </row>
    <row r="187" spans="1:8" ht="15.75" x14ac:dyDescent="0.25">
      <c r="A187" s="42">
        <v>1090</v>
      </c>
      <c r="B187" t="s">
        <v>742</v>
      </c>
      <c r="C187">
        <v>24</v>
      </c>
      <c r="D187">
        <v>12</v>
      </c>
      <c r="E187" s="77"/>
    </row>
    <row r="188" spans="1:8" ht="15.75" x14ac:dyDescent="0.25">
      <c r="A188" s="42">
        <v>1091</v>
      </c>
      <c r="B188" t="s">
        <v>743</v>
      </c>
      <c r="C188">
        <v>24</v>
      </c>
      <c r="D188">
        <v>12</v>
      </c>
      <c r="E188" s="77"/>
    </row>
    <row r="189" spans="1:8" ht="15.75" x14ac:dyDescent="0.25">
      <c r="A189" s="42">
        <v>1092</v>
      </c>
      <c r="B189" t="s">
        <v>744</v>
      </c>
      <c r="C189">
        <v>24</v>
      </c>
      <c r="D189">
        <v>8</v>
      </c>
      <c r="E189" s="77"/>
    </row>
    <row r="190" spans="1:8" ht="15.75" x14ac:dyDescent="0.25">
      <c r="A190" s="42">
        <v>1093</v>
      </c>
      <c r="B190" t="s">
        <v>745</v>
      </c>
      <c r="C190">
        <v>24</v>
      </c>
      <c r="D190">
        <v>8</v>
      </c>
      <c r="E190" s="77"/>
    </row>
    <row r="191" spans="1:8" ht="15.75" x14ac:dyDescent="0.25">
      <c r="A191" s="42">
        <v>1094</v>
      </c>
      <c r="B191" t="s">
        <v>746</v>
      </c>
      <c r="C191">
        <v>24</v>
      </c>
      <c r="D191">
        <v>12</v>
      </c>
      <c r="E191" s="77"/>
    </row>
    <row r="192" spans="1:8" ht="15.75" x14ac:dyDescent="0.25">
      <c r="A192" s="42" t="s">
        <v>747</v>
      </c>
      <c r="B192" t="s">
        <v>738</v>
      </c>
      <c r="C192">
        <v>60</v>
      </c>
      <c r="D192">
        <v>13</v>
      </c>
      <c r="E192" s="77"/>
    </row>
    <row r="193" spans="1:5" ht="15.75" x14ac:dyDescent="0.25">
      <c r="A193" s="42" t="s">
        <v>748</v>
      </c>
      <c r="B193" t="s">
        <v>749</v>
      </c>
      <c r="C193">
        <v>12</v>
      </c>
      <c r="D193">
        <v>13</v>
      </c>
      <c r="E193" s="77"/>
    </row>
    <row r="194" spans="1:5" ht="15.75" x14ac:dyDescent="0.25">
      <c r="A194" s="42" t="s">
        <v>750</v>
      </c>
      <c r="B194" t="s">
        <v>615</v>
      </c>
      <c r="C194">
        <v>12</v>
      </c>
      <c r="D194">
        <v>2</v>
      </c>
      <c r="E194" s="77"/>
    </row>
    <row r="195" spans="1:5" ht="15.75" x14ac:dyDescent="0.25">
      <c r="A195" s="42" t="s">
        <v>751</v>
      </c>
      <c r="B195" t="s">
        <v>613</v>
      </c>
      <c r="C195">
        <v>12</v>
      </c>
      <c r="D195">
        <v>2</v>
      </c>
      <c r="E195" s="77"/>
    </row>
    <row r="196" spans="1:5" ht="15.75" x14ac:dyDescent="0.25">
      <c r="A196" s="42" t="s">
        <v>752</v>
      </c>
      <c r="B196" t="s">
        <v>753</v>
      </c>
      <c r="C196">
        <v>12</v>
      </c>
      <c r="D196">
        <v>22</v>
      </c>
      <c r="E196" s="77"/>
    </row>
    <row r="197" spans="1:5" ht="15.75" x14ac:dyDescent="0.25">
      <c r="A197" s="42" t="s">
        <v>754</v>
      </c>
      <c r="B197" t="s">
        <v>755</v>
      </c>
      <c r="C197">
        <v>12</v>
      </c>
      <c r="D197">
        <v>2</v>
      </c>
      <c r="E197" s="77"/>
    </row>
    <row r="198" spans="1:5" ht="15.75" x14ac:dyDescent="0.25">
      <c r="A198" s="42" t="s">
        <v>756</v>
      </c>
      <c r="B198" t="s">
        <v>757</v>
      </c>
      <c r="C198">
        <v>24</v>
      </c>
      <c r="D198">
        <v>1</v>
      </c>
      <c r="E198" s="77"/>
    </row>
    <row r="199" spans="1:5" ht="15.75" x14ac:dyDescent="0.25">
      <c r="A199" s="42" t="s">
        <v>758</v>
      </c>
      <c r="B199" t="s">
        <v>647</v>
      </c>
      <c r="C199">
        <v>24</v>
      </c>
      <c r="D199">
        <v>8</v>
      </c>
      <c r="E199" s="77"/>
    </row>
    <row r="200" spans="1:5" ht="15.75" x14ac:dyDescent="0.25">
      <c r="A200" s="42" t="s">
        <v>759</v>
      </c>
      <c r="B200" t="s">
        <v>760</v>
      </c>
      <c r="C200">
        <v>12</v>
      </c>
      <c r="D200">
        <v>13</v>
      </c>
      <c r="E200" s="77"/>
    </row>
    <row r="201" spans="1:5" ht="15.75" x14ac:dyDescent="0.25">
      <c r="A201" s="42" t="s">
        <v>761</v>
      </c>
      <c r="B201" t="s">
        <v>636</v>
      </c>
      <c r="C201">
        <v>12</v>
      </c>
      <c r="D201">
        <v>10</v>
      </c>
      <c r="E201" s="77"/>
    </row>
    <row r="202" spans="1:5" ht="15.75" x14ac:dyDescent="0.25">
      <c r="A202" s="42" t="s">
        <v>762</v>
      </c>
      <c r="B202" t="s">
        <v>763</v>
      </c>
      <c r="C202">
        <v>12</v>
      </c>
      <c r="D202">
        <v>12</v>
      </c>
      <c r="E202" s="77"/>
    </row>
    <row r="203" spans="1:5" ht="15.75" x14ac:dyDescent="0.25">
      <c r="A203" s="42" t="s">
        <v>764</v>
      </c>
      <c r="B203" t="s">
        <v>765</v>
      </c>
      <c r="C203">
        <v>12</v>
      </c>
      <c r="D203">
        <v>12</v>
      </c>
      <c r="E203" s="77"/>
    </row>
    <row r="204" spans="1:5" ht="15.75" x14ac:dyDescent="0.25">
      <c r="A204" s="42" t="s">
        <v>766</v>
      </c>
      <c r="B204" t="s">
        <v>767</v>
      </c>
      <c r="C204">
        <v>12</v>
      </c>
      <c r="D204">
        <v>12</v>
      </c>
      <c r="E204" s="77"/>
    </row>
    <row r="205" spans="1:5" ht="15.75" x14ac:dyDescent="0.25">
      <c r="A205" s="42" t="s">
        <v>768</v>
      </c>
      <c r="B205" t="s">
        <v>737</v>
      </c>
      <c r="C205">
        <v>12</v>
      </c>
      <c r="D205">
        <v>1</v>
      </c>
      <c r="E205" s="77"/>
    </row>
    <row r="206" spans="1:5" ht="15.75" x14ac:dyDescent="0.25">
      <c r="A206" s="42" t="s">
        <v>769</v>
      </c>
      <c r="B206" t="s">
        <v>770</v>
      </c>
      <c r="C206">
        <v>12</v>
      </c>
      <c r="D206">
        <v>22</v>
      </c>
      <c r="E206" s="77"/>
    </row>
    <row r="207" spans="1:5" ht="15.75" x14ac:dyDescent="0.25">
      <c r="A207" s="42" t="s">
        <v>771</v>
      </c>
      <c r="B207" t="s">
        <v>724</v>
      </c>
      <c r="C207">
        <v>12</v>
      </c>
      <c r="D207">
        <v>12</v>
      </c>
      <c r="E207" s="77"/>
    </row>
    <row r="208" spans="1:5" ht="15.75" x14ac:dyDescent="0.25">
      <c r="A208" s="42" t="s">
        <v>772</v>
      </c>
      <c r="B208" t="s">
        <v>773</v>
      </c>
      <c r="C208">
        <v>6</v>
      </c>
      <c r="D208">
        <v>10</v>
      </c>
      <c r="E208" s="77"/>
    </row>
    <row r="209" spans="1:5" ht="15.75" x14ac:dyDescent="0.25">
      <c r="A209" s="42" t="s">
        <v>774</v>
      </c>
      <c r="B209" t="s">
        <v>775</v>
      </c>
      <c r="C209">
        <v>36</v>
      </c>
      <c r="D209">
        <v>27</v>
      </c>
      <c r="E209" s="77"/>
    </row>
    <row r="210" spans="1:5" ht="15.75" x14ac:dyDescent="0.25">
      <c r="A210" s="42" t="s">
        <v>776</v>
      </c>
      <c r="B210" t="s">
        <v>777</v>
      </c>
      <c r="C210">
        <v>12</v>
      </c>
      <c r="D210">
        <v>8</v>
      </c>
      <c r="E210" s="77"/>
    </row>
    <row r="211" spans="1:5" ht="15.75" x14ac:dyDescent="0.25">
      <c r="A211" s="42" t="s">
        <v>778</v>
      </c>
      <c r="B211" t="s">
        <v>779</v>
      </c>
      <c r="C211">
        <v>12</v>
      </c>
      <c r="D211">
        <v>22</v>
      </c>
      <c r="E211" s="77"/>
    </row>
    <row r="212" spans="1:5" ht="15.75" x14ac:dyDescent="0.25">
      <c r="A212" s="42" t="s">
        <v>780</v>
      </c>
      <c r="B212" t="s">
        <v>781</v>
      </c>
      <c r="C212">
        <v>12</v>
      </c>
      <c r="D212">
        <v>2</v>
      </c>
      <c r="E212" s="77"/>
    </row>
    <row r="213" spans="1:5" ht="15.75" x14ac:dyDescent="0.25">
      <c r="A213" s="42" t="s">
        <v>782</v>
      </c>
      <c r="B213" t="s">
        <v>783</v>
      </c>
      <c r="C213">
        <v>12</v>
      </c>
      <c r="D213">
        <v>6</v>
      </c>
      <c r="E213" s="77"/>
    </row>
    <row r="214" spans="1:5" ht="15.75" x14ac:dyDescent="0.25">
      <c r="A214" s="42" t="s">
        <v>784</v>
      </c>
      <c r="B214" t="s">
        <v>785</v>
      </c>
      <c r="C214">
        <v>12</v>
      </c>
      <c r="D214">
        <v>1</v>
      </c>
      <c r="E214" s="77"/>
    </row>
    <row r="215" spans="1:5" ht="15.75" x14ac:dyDescent="0.25">
      <c r="A215" s="42" t="s">
        <v>786</v>
      </c>
      <c r="B215" t="s">
        <v>787</v>
      </c>
      <c r="C215">
        <v>24</v>
      </c>
      <c r="D215">
        <v>1</v>
      </c>
      <c r="E215" s="77"/>
    </row>
    <row r="216" spans="1:5" ht="15.75" x14ac:dyDescent="0.25">
      <c r="A216" s="42" t="s">
        <v>788</v>
      </c>
      <c r="B216" t="s">
        <v>607</v>
      </c>
      <c r="C216">
        <v>12</v>
      </c>
      <c r="D216">
        <v>1</v>
      </c>
      <c r="E216" s="77"/>
    </row>
    <row r="217" spans="1:5" ht="15.75" x14ac:dyDescent="0.25">
      <c r="A217" s="42" t="s">
        <v>789</v>
      </c>
      <c r="B217" t="s">
        <v>790</v>
      </c>
      <c r="C217">
        <v>12</v>
      </c>
      <c r="D217">
        <v>12</v>
      </c>
      <c r="E217" s="77"/>
    </row>
    <row r="218" spans="1:5" ht="15.75" x14ac:dyDescent="0.25">
      <c r="A218" s="42" t="s">
        <v>791</v>
      </c>
      <c r="B218" t="s">
        <v>792</v>
      </c>
      <c r="C218">
        <v>12</v>
      </c>
      <c r="D218">
        <v>8</v>
      </c>
      <c r="E218" s="77"/>
    </row>
    <row r="219" spans="1:5" ht="15.75" x14ac:dyDescent="0.25">
      <c r="A219" s="42" t="s">
        <v>793</v>
      </c>
      <c r="B219" t="s">
        <v>794</v>
      </c>
      <c r="C219">
        <v>24</v>
      </c>
      <c r="D219">
        <v>22</v>
      </c>
      <c r="E219" s="77"/>
    </row>
    <row r="220" spans="1:5" ht="15.75" x14ac:dyDescent="0.25">
      <c r="A220" s="42" t="s">
        <v>795</v>
      </c>
      <c r="B220" t="s">
        <v>796</v>
      </c>
      <c r="C220">
        <v>24</v>
      </c>
      <c r="D220">
        <v>12</v>
      </c>
      <c r="E220" s="77"/>
    </row>
    <row r="221" spans="1:5" ht="15.75" x14ac:dyDescent="0.25">
      <c r="A221" s="42" t="s">
        <v>797</v>
      </c>
      <c r="B221" t="s">
        <v>798</v>
      </c>
      <c r="C221">
        <v>24</v>
      </c>
      <c r="D221">
        <v>8</v>
      </c>
      <c r="E221" s="77"/>
    </row>
    <row r="222" spans="1:5" ht="15.75" x14ac:dyDescent="0.25">
      <c r="A222" s="42" t="s">
        <v>799</v>
      </c>
      <c r="B222" t="s">
        <v>800</v>
      </c>
      <c r="C222">
        <v>24</v>
      </c>
      <c r="D222">
        <v>8</v>
      </c>
      <c r="E222" s="77"/>
    </row>
    <row r="223" spans="1:5" ht="15.75" x14ac:dyDescent="0.25">
      <c r="A223" s="42" t="s">
        <v>801</v>
      </c>
      <c r="B223" t="s">
        <v>802</v>
      </c>
      <c r="C223">
        <v>24</v>
      </c>
      <c r="D223">
        <v>12</v>
      </c>
      <c r="E223" s="77"/>
    </row>
    <row r="224" spans="1:5" ht="15.75" x14ac:dyDescent="0.25">
      <c r="A224" s="42" t="s">
        <v>803</v>
      </c>
      <c r="B224" t="s">
        <v>804</v>
      </c>
      <c r="C224">
        <v>12</v>
      </c>
      <c r="D224">
        <v>22</v>
      </c>
      <c r="E224" s="77"/>
    </row>
    <row r="225" spans="1:5" ht="15.75" x14ac:dyDescent="0.25">
      <c r="A225" s="42" t="s">
        <v>805</v>
      </c>
      <c r="B225" t="s">
        <v>806</v>
      </c>
      <c r="C225">
        <v>12</v>
      </c>
      <c r="D225">
        <v>22</v>
      </c>
      <c r="E225" s="77"/>
    </row>
    <row r="226" spans="1:5" ht="15.75" x14ac:dyDescent="0.25">
      <c r="A226" s="42" t="s">
        <v>807</v>
      </c>
      <c r="B226" t="s">
        <v>808</v>
      </c>
      <c r="C226">
        <v>12</v>
      </c>
      <c r="D226">
        <v>10</v>
      </c>
      <c r="E226" s="77"/>
    </row>
    <row r="227" spans="1:5" ht="15.75" x14ac:dyDescent="0.25">
      <c r="A227" s="42" t="s">
        <v>809</v>
      </c>
      <c r="B227" t="s">
        <v>810</v>
      </c>
      <c r="C227">
        <v>120</v>
      </c>
      <c r="D227">
        <v>8</v>
      </c>
      <c r="E227" s="77"/>
    </row>
    <row r="228" spans="1:5" ht="15.75" x14ac:dyDescent="0.25">
      <c r="A228" s="42" t="s">
        <v>811</v>
      </c>
      <c r="B228" t="s">
        <v>713</v>
      </c>
      <c r="C228">
        <v>24</v>
      </c>
      <c r="D228">
        <v>10</v>
      </c>
      <c r="E228" s="77"/>
    </row>
    <row r="229" spans="1:5" ht="15.75" x14ac:dyDescent="0.25">
      <c r="A229" s="42" t="s">
        <v>812</v>
      </c>
      <c r="B229" t="s">
        <v>813</v>
      </c>
      <c r="C229">
        <v>60</v>
      </c>
      <c r="D229">
        <v>8</v>
      </c>
      <c r="E229" s="77"/>
    </row>
    <row r="230" spans="1:5" ht="15.75" x14ac:dyDescent="0.25">
      <c r="A230" s="42" t="s">
        <v>814</v>
      </c>
      <c r="B230" t="s">
        <v>815</v>
      </c>
      <c r="C230">
        <v>60</v>
      </c>
      <c r="D230">
        <v>13</v>
      </c>
      <c r="E230" s="77"/>
    </row>
    <row r="231" spans="1:5" ht="15.75" x14ac:dyDescent="0.25">
      <c r="A231" s="42" t="s">
        <v>816</v>
      </c>
      <c r="B231" t="s">
        <v>817</v>
      </c>
      <c r="C231">
        <v>60</v>
      </c>
      <c r="D231">
        <v>13</v>
      </c>
      <c r="E231" s="77"/>
    </row>
    <row r="232" spans="1:5" ht="15.75" x14ac:dyDescent="0.25">
      <c r="A232" s="42">
        <v>56</v>
      </c>
      <c r="B232" t="s">
        <v>818</v>
      </c>
      <c r="C232">
        <v>24</v>
      </c>
      <c r="D232">
        <v>13</v>
      </c>
      <c r="E232" s="77"/>
    </row>
    <row r="233" spans="1:5" ht="15.75" x14ac:dyDescent="0.25">
      <c r="A233" s="42">
        <v>61</v>
      </c>
      <c r="B233" t="s">
        <v>819</v>
      </c>
      <c r="C233">
        <v>12</v>
      </c>
      <c r="D233">
        <v>12</v>
      </c>
      <c r="E233" s="77"/>
    </row>
    <row r="234" spans="1:5" ht="15.75" x14ac:dyDescent="0.25">
      <c r="A234" s="42">
        <v>64</v>
      </c>
      <c r="B234" t="s">
        <v>820</v>
      </c>
      <c r="C234">
        <v>12</v>
      </c>
      <c r="D234">
        <v>12</v>
      </c>
      <c r="E234" s="77"/>
    </row>
    <row r="235" spans="1:5" ht="15.75" x14ac:dyDescent="0.25">
      <c r="A235" s="42">
        <v>711</v>
      </c>
      <c r="B235" t="s">
        <v>821</v>
      </c>
      <c r="C235">
        <v>24</v>
      </c>
      <c r="D235">
        <v>2</v>
      </c>
      <c r="E235" s="77"/>
    </row>
    <row r="236" spans="1:5" ht="15.75" x14ac:dyDescent="0.25">
      <c r="A236" s="42">
        <v>724</v>
      </c>
      <c r="B236" t="s">
        <v>822</v>
      </c>
      <c r="C236">
        <v>24</v>
      </c>
      <c r="D236">
        <v>8</v>
      </c>
      <c r="E236" s="77"/>
    </row>
    <row r="237" spans="1:5" ht="15.75" x14ac:dyDescent="0.25">
      <c r="A237" s="42">
        <v>726</v>
      </c>
      <c r="B237" t="s">
        <v>823</v>
      </c>
      <c r="C237">
        <v>12</v>
      </c>
      <c r="D237">
        <v>8</v>
      </c>
      <c r="E237" s="77"/>
    </row>
    <row r="238" spans="1:5" ht="15.75" x14ac:dyDescent="0.25">
      <c r="A238" s="42">
        <v>750</v>
      </c>
      <c r="B238" t="s">
        <v>824</v>
      </c>
      <c r="C238">
        <v>24</v>
      </c>
      <c r="D238">
        <v>1</v>
      </c>
      <c r="E238" s="77"/>
    </row>
    <row r="239" spans="1:5" ht="15.75" x14ac:dyDescent="0.25">
      <c r="A239" s="42">
        <v>751</v>
      </c>
      <c r="B239" t="s">
        <v>825</v>
      </c>
      <c r="C239">
        <v>24</v>
      </c>
      <c r="D239">
        <v>1</v>
      </c>
      <c r="E239" s="77"/>
    </row>
    <row r="240" spans="1:5" ht="15.75" x14ac:dyDescent="0.25">
      <c r="A240" s="42">
        <v>756</v>
      </c>
      <c r="B240" t="s">
        <v>826</v>
      </c>
      <c r="C240">
        <v>24</v>
      </c>
      <c r="D240">
        <v>1</v>
      </c>
      <c r="E240" s="77"/>
    </row>
    <row r="241" spans="1:5" ht="15.75" x14ac:dyDescent="0.25">
      <c r="A241" s="42">
        <v>765</v>
      </c>
      <c r="B241" t="s">
        <v>827</v>
      </c>
      <c r="C241">
        <v>36</v>
      </c>
      <c r="D241">
        <v>2</v>
      </c>
      <c r="E241" s="77"/>
    </row>
    <row r="242" spans="1:5" ht="15.75" x14ac:dyDescent="0.25">
      <c r="A242" s="42">
        <v>766</v>
      </c>
      <c r="B242" t="s">
        <v>828</v>
      </c>
      <c r="C242">
        <v>24</v>
      </c>
      <c r="D242">
        <v>1</v>
      </c>
      <c r="E242" s="77"/>
    </row>
    <row r="243" spans="1:5" ht="15.75" x14ac:dyDescent="0.25">
      <c r="A243" s="42">
        <v>767</v>
      </c>
      <c r="B243" t="s">
        <v>829</v>
      </c>
      <c r="C243">
        <v>24</v>
      </c>
      <c r="D243">
        <v>1</v>
      </c>
      <c r="E243" s="77"/>
    </row>
    <row r="244" spans="1:5" ht="15.75" x14ac:dyDescent="0.25">
      <c r="A244" s="42">
        <v>770</v>
      </c>
      <c r="B244" t="s">
        <v>830</v>
      </c>
      <c r="C244">
        <v>36</v>
      </c>
      <c r="D244">
        <v>14</v>
      </c>
      <c r="E244" s="77"/>
    </row>
    <row r="245" spans="1:5" ht="15.75" x14ac:dyDescent="0.25">
      <c r="A245" s="42">
        <v>781</v>
      </c>
      <c r="B245" t="s">
        <v>831</v>
      </c>
      <c r="C245">
        <v>12</v>
      </c>
      <c r="D245">
        <v>8</v>
      </c>
      <c r="E245" s="77"/>
    </row>
    <row r="246" spans="1:5" ht="15.75" x14ac:dyDescent="0.25">
      <c r="A246" s="42">
        <v>790</v>
      </c>
      <c r="B246" t="s">
        <v>832</v>
      </c>
      <c r="C246">
        <v>36</v>
      </c>
      <c r="D246">
        <v>10</v>
      </c>
      <c r="E246" s="77"/>
    </row>
    <row r="247" spans="1:5" ht="15.75" x14ac:dyDescent="0.25">
      <c r="A247" s="42">
        <v>792</v>
      </c>
      <c r="B247" t="s">
        <v>833</v>
      </c>
      <c r="C247">
        <v>36</v>
      </c>
      <c r="D247">
        <v>10</v>
      </c>
      <c r="E247" s="77"/>
    </row>
    <row r="248" spans="1:5" ht="15.75" x14ac:dyDescent="0.25">
      <c r="A248" s="42">
        <v>801</v>
      </c>
      <c r="B248" t="s">
        <v>834</v>
      </c>
      <c r="C248">
        <v>36</v>
      </c>
      <c r="D248">
        <v>6</v>
      </c>
      <c r="E248" s="77"/>
    </row>
    <row r="249" spans="1:5" ht="15.75" x14ac:dyDescent="0.25">
      <c r="A249" s="42">
        <v>826</v>
      </c>
      <c r="B249" t="s">
        <v>835</v>
      </c>
      <c r="C249">
        <v>36</v>
      </c>
      <c r="D249">
        <v>8</v>
      </c>
      <c r="E249" s="77"/>
    </row>
    <row r="250" spans="1:5" ht="15.75" x14ac:dyDescent="0.25">
      <c r="A250" s="42">
        <v>828</v>
      </c>
      <c r="B250" t="s">
        <v>836</v>
      </c>
      <c r="C250">
        <v>36</v>
      </c>
      <c r="D250">
        <v>10</v>
      </c>
      <c r="E250" s="77"/>
    </row>
    <row r="251" spans="1:5" ht="15.75" x14ac:dyDescent="0.25">
      <c r="A251" s="42">
        <v>830</v>
      </c>
      <c r="B251" t="s">
        <v>837</v>
      </c>
      <c r="C251">
        <v>36</v>
      </c>
      <c r="D251">
        <v>5</v>
      </c>
      <c r="E251" s="77"/>
    </row>
    <row r="252" spans="1:5" ht="15.75" x14ac:dyDescent="0.25">
      <c r="A252" s="42">
        <v>860</v>
      </c>
      <c r="B252" t="s">
        <v>838</v>
      </c>
      <c r="C252">
        <v>24</v>
      </c>
      <c r="D252">
        <v>2</v>
      </c>
      <c r="E252" s="77"/>
    </row>
    <row r="253" spans="1:5" ht="15.75" x14ac:dyDescent="0.25">
      <c r="A253" s="42">
        <v>861</v>
      </c>
      <c r="B253" t="s">
        <v>839</v>
      </c>
      <c r="C253">
        <v>24</v>
      </c>
      <c r="D253">
        <v>2</v>
      </c>
      <c r="E253" s="77"/>
    </row>
    <row r="254" spans="1:5" ht="15.75" x14ac:dyDescent="0.25">
      <c r="A254" s="42">
        <v>879</v>
      </c>
      <c r="B254" t="s">
        <v>840</v>
      </c>
      <c r="C254">
        <v>24</v>
      </c>
      <c r="D254">
        <v>8</v>
      </c>
      <c r="E254" s="77"/>
    </row>
    <row r="255" spans="1:5" ht="15.75" x14ac:dyDescent="0.25">
      <c r="A255" s="42">
        <v>912</v>
      </c>
      <c r="B255" t="s">
        <v>841</v>
      </c>
      <c r="C255" t="e">
        <v>#N/A</v>
      </c>
      <c r="D255" t="e">
        <v>#N/A</v>
      </c>
      <c r="E255" s="77"/>
    </row>
    <row r="256" spans="1:5" ht="15.75" x14ac:dyDescent="0.25">
      <c r="A256" s="42" t="s">
        <v>842</v>
      </c>
      <c r="B256" t="s">
        <v>843</v>
      </c>
      <c r="C256">
        <v>24</v>
      </c>
      <c r="D256">
        <v>7</v>
      </c>
      <c r="E256" s="77"/>
    </row>
    <row r="257" spans="1:5" ht="15.75" x14ac:dyDescent="0.25">
      <c r="A257" s="42" t="s">
        <v>844</v>
      </c>
      <c r="B257" t="s">
        <v>845</v>
      </c>
      <c r="C257">
        <v>24</v>
      </c>
      <c r="D257">
        <v>13</v>
      </c>
      <c r="E257" s="77"/>
    </row>
    <row r="258" spans="1:5" ht="15.75" x14ac:dyDescent="0.25">
      <c r="A258" s="42" t="s">
        <v>846</v>
      </c>
      <c r="B258" t="s">
        <v>847</v>
      </c>
      <c r="C258">
        <v>24</v>
      </c>
      <c r="D258">
        <v>1</v>
      </c>
      <c r="E258" s="77"/>
    </row>
    <row r="259" spans="1:5" ht="15.75" x14ac:dyDescent="0.25">
      <c r="A259" s="42" t="s">
        <v>848</v>
      </c>
      <c r="B259" t="s">
        <v>849</v>
      </c>
      <c r="C259">
        <v>12</v>
      </c>
      <c r="D259">
        <v>1</v>
      </c>
      <c r="E259" s="77"/>
    </row>
    <row r="260" spans="1:5" ht="15.75" x14ac:dyDescent="0.25">
      <c r="A260" s="42" t="s">
        <v>850</v>
      </c>
      <c r="B260" t="s">
        <v>851</v>
      </c>
      <c r="C260">
        <v>12</v>
      </c>
      <c r="D260">
        <v>1</v>
      </c>
      <c r="E260" s="77"/>
    </row>
    <row r="261" spans="1:5" ht="15.75" x14ac:dyDescent="0.25">
      <c r="A261" s="42" t="s">
        <v>852</v>
      </c>
      <c r="B261" t="s">
        <v>706</v>
      </c>
      <c r="C261">
        <v>12</v>
      </c>
      <c r="D261">
        <v>12</v>
      </c>
      <c r="E261" s="77"/>
    </row>
    <row r="262" spans="1:5" ht="15.75" x14ac:dyDescent="0.25">
      <c r="A262" s="42" t="s">
        <v>853</v>
      </c>
      <c r="B262" t="s">
        <v>628</v>
      </c>
      <c r="C262">
        <v>12</v>
      </c>
      <c r="D262">
        <v>2</v>
      </c>
      <c r="E262" s="77"/>
    </row>
    <row r="263" spans="1:5" ht="15.75" x14ac:dyDescent="0.25">
      <c r="A263" s="42" t="s">
        <v>854</v>
      </c>
      <c r="B263" t="s">
        <v>855</v>
      </c>
      <c r="C263">
        <v>24</v>
      </c>
      <c r="D263">
        <v>1</v>
      </c>
      <c r="E263" s="77"/>
    </row>
    <row r="264" spans="1:5" ht="15.75" x14ac:dyDescent="0.25">
      <c r="A264" s="42" t="s">
        <v>856</v>
      </c>
      <c r="B264" t="s">
        <v>713</v>
      </c>
      <c r="C264">
        <v>12</v>
      </c>
      <c r="D264">
        <v>6</v>
      </c>
      <c r="E264" s="77"/>
    </row>
    <row r="265" spans="1:5" ht="15.75" x14ac:dyDescent="0.25">
      <c r="A265" s="42" t="s">
        <v>857</v>
      </c>
      <c r="B265" t="s">
        <v>858</v>
      </c>
      <c r="C265">
        <v>12</v>
      </c>
      <c r="D265">
        <v>1</v>
      </c>
      <c r="E265" s="77"/>
    </row>
    <row r="266" spans="1:5" ht="15.75" x14ac:dyDescent="0.25">
      <c r="A266" s="42" t="s">
        <v>859</v>
      </c>
      <c r="B266" t="s">
        <v>860</v>
      </c>
      <c r="C266">
        <v>12</v>
      </c>
      <c r="D266">
        <v>12</v>
      </c>
      <c r="E266" s="77"/>
    </row>
    <row r="267" spans="1:5" ht="15.75" x14ac:dyDescent="0.25">
      <c r="A267" s="42" t="s">
        <v>861</v>
      </c>
      <c r="B267" t="s">
        <v>862</v>
      </c>
      <c r="C267">
        <v>36</v>
      </c>
      <c r="D267">
        <v>12</v>
      </c>
      <c r="E267" s="77"/>
    </row>
    <row r="268" spans="1:5" ht="15.75" x14ac:dyDescent="0.25">
      <c r="A268" s="42">
        <v>617</v>
      </c>
      <c r="B268" t="s">
        <v>790</v>
      </c>
      <c r="C268">
        <v>12</v>
      </c>
      <c r="D268">
        <v>12</v>
      </c>
      <c r="E268" s="77"/>
    </row>
    <row r="269" spans="1:5" ht="15.75" x14ac:dyDescent="0.25">
      <c r="A269" s="42">
        <v>823</v>
      </c>
      <c r="B269" t="s">
        <v>863</v>
      </c>
      <c r="D269">
        <v>7</v>
      </c>
      <c r="E269" s="77"/>
    </row>
  </sheetData>
  <autoFilter ref="A18:E110">
    <filterColumn colId="3">
      <filters>
        <filter val="8"/>
      </filters>
    </filterColumn>
    <sortState ref="A17:E106">
      <sortCondition ref="A16:A106"/>
    </sortState>
  </autoFilter>
  <mergeCells count="1">
    <mergeCell ref="I1:I16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paperSize="9" scale="11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D14"/>
  <sheetViews>
    <sheetView workbookViewId="0">
      <selection activeCell="L33" sqref="L33"/>
    </sheetView>
  </sheetViews>
  <sheetFormatPr baseColWidth="10" defaultRowHeight="15" x14ac:dyDescent="0.25"/>
  <cols>
    <col min="1" max="1" width="7" customWidth="1"/>
    <col min="2" max="2" width="7.85546875" customWidth="1"/>
    <col min="3" max="3" width="7" customWidth="1"/>
    <col min="4" max="4" width="7.85546875" customWidth="1"/>
  </cols>
  <sheetData>
    <row r="1" spans="1:4" ht="57.95" customHeight="1" thickBot="1" x14ac:dyDescent="0.3">
      <c r="A1" s="78" t="s">
        <v>333</v>
      </c>
      <c r="B1" s="78" t="s">
        <v>864</v>
      </c>
      <c r="C1" s="78" t="s">
        <v>335</v>
      </c>
      <c r="D1" s="78" t="s">
        <v>586</v>
      </c>
    </row>
    <row r="2" spans="1:4" ht="18.75" x14ac:dyDescent="0.3">
      <c r="A2" s="79">
        <v>1</v>
      </c>
      <c r="B2" s="80">
        <v>0</v>
      </c>
      <c r="C2" s="81">
        <v>25</v>
      </c>
      <c r="D2" s="82">
        <f t="shared" ref="D2:D7" si="0">+B2*C2</f>
        <v>0</v>
      </c>
    </row>
    <row r="3" spans="1:4" ht="18.75" x14ac:dyDescent="0.3">
      <c r="A3" s="83">
        <v>2</v>
      </c>
      <c r="B3" s="84">
        <v>0</v>
      </c>
      <c r="C3" s="85">
        <v>25</v>
      </c>
      <c r="D3" s="86">
        <f t="shared" si="0"/>
        <v>0</v>
      </c>
    </row>
    <row r="4" spans="1:4" ht="18.75" x14ac:dyDescent="0.3">
      <c r="A4" s="83">
        <v>5</v>
      </c>
      <c r="B4" s="84">
        <v>0</v>
      </c>
      <c r="C4" s="85">
        <v>25</v>
      </c>
      <c r="D4" s="86">
        <f t="shared" si="0"/>
        <v>0</v>
      </c>
    </row>
    <row r="5" spans="1:4" ht="18.75" x14ac:dyDescent="0.3">
      <c r="A5" s="83">
        <v>6</v>
      </c>
      <c r="B5" s="84">
        <v>0</v>
      </c>
      <c r="C5" s="85">
        <v>25</v>
      </c>
      <c r="D5" s="86">
        <f t="shared" si="0"/>
        <v>0</v>
      </c>
    </row>
    <row r="6" spans="1:4" ht="18.75" x14ac:dyDescent="0.3">
      <c r="A6" s="83">
        <v>8</v>
      </c>
      <c r="B6" s="84">
        <v>0</v>
      </c>
      <c r="C6" s="85">
        <v>25</v>
      </c>
      <c r="D6" s="86">
        <f t="shared" si="0"/>
        <v>0</v>
      </c>
    </row>
    <row r="7" spans="1:4" ht="18.75" x14ac:dyDescent="0.3">
      <c r="A7" s="83">
        <v>9</v>
      </c>
      <c r="B7" s="84">
        <v>0</v>
      </c>
      <c r="C7" s="85">
        <v>25</v>
      </c>
      <c r="D7" s="86">
        <f t="shared" si="0"/>
        <v>0</v>
      </c>
    </row>
    <row r="8" spans="1:4" ht="18.75" x14ac:dyDescent="0.3">
      <c r="A8" s="87">
        <v>10</v>
      </c>
      <c r="B8" s="88">
        <v>3.16</v>
      </c>
      <c r="C8" s="88">
        <v>25</v>
      </c>
      <c r="D8" s="89">
        <f>+B8*C8</f>
        <v>79</v>
      </c>
    </row>
    <row r="9" spans="1:4" ht="18.75" x14ac:dyDescent="0.3">
      <c r="A9" s="87">
        <v>12</v>
      </c>
      <c r="B9" s="88">
        <v>6.56</v>
      </c>
      <c r="C9" s="88">
        <v>25</v>
      </c>
      <c r="D9" s="89">
        <f t="shared" ref="D9:D14" si="1">+B9*C9</f>
        <v>164</v>
      </c>
    </row>
    <row r="10" spans="1:4" ht="18.75" x14ac:dyDescent="0.3">
      <c r="A10" s="87">
        <v>13</v>
      </c>
      <c r="B10" s="88">
        <v>0.24</v>
      </c>
      <c r="C10" s="88">
        <v>25</v>
      </c>
      <c r="D10" s="89">
        <f t="shared" si="1"/>
        <v>6</v>
      </c>
    </row>
    <row r="11" spans="1:4" ht="18.75" x14ac:dyDescent="0.3">
      <c r="A11" s="87">
        <v>14</v>
      </c>
      <c r="B11" s="88">
        <v>0</v>
      </c>
      <c r="C11" s="88">
        <v>25</v>
      </c>
      <c r="D11" s="89">
        <f t="shared" si="1"/>
        <v>0</v>
      </c>
    </row>
    <row r="12" spans="1:4" ht="18.75" x14ac:dyDescent="0.3">
      <c r="A12" s="87">
        <v>22</v>
      </c>
      <c r="B12" s="88">
        <v>0.4</v>
      </c>
      <c r="C12" s="88">
        <v>25</v>
      </c>
      <c r="D12" s="89">
        <f t="shared" si="1"/>
        <v>10</v>
      </c>
    </row>
    <row r="13" spans="1:4" ht="18.75" x14ac:dyDescent="0.3">
      <c r="A13" s="87">
        <v>27</v>
      </c>
      <c r="B13" s="88">
        <v>0</v>
      </c>
      <c r="C13" s="88">
        <v>25</v>
      </c>
      <c r="D13" s="89">
        <f t="shared" si="1"/>
        <v>0</v>
      </c>
    </row>
    <row r="14" spans="1:4" ht="19.5" thickBot="1" x14ac:dyDescent="0.35">
      <c r="A14" s="90">
        <v>29</v>
      </c>
      <c r="B14" s="91">
        <v>0</v>
      </c>
      <c r="C14" s="91">
        <v>25</v>
      </c>
      <c r="D14" s="92">
        <f t="shared" si="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O.C. Corrugadora del Plata</vt:lpstr>
      <vt:lpstr>Envio de Virg a Cerv</vt:lpstr>
      <vt:lpstr>Relevamiento 11-03</vt:lpstr>
      <vt:lpstr>Est Madre LK 10-25</vt:lpstr>
      <vt:lpstr>Est Madre CH 10-25</vt:lpstr>
      <vt:lpstr>Datos x Cja LK</vt:lpstr>
      <vt:lpstr>Datos x Cja CH</vt:lpstr>
      <vt:lpstr>Datos x Cja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Pagos</cp:lastModifiedBy>
  <cp:lastPrinted>2026-03-12T18:33:18Z</cp:lastPrinted>
  <dcterms:created xsi:type="dcterms:W3CDTF">2024-05-28T14:44:41Z</dcterms:created>
  <dcterms:modified xsi:type="dcterms:W3CDTF">2026-03-18T19:08:23Z</dcterms:modified>
</cp:coreProperties>
</file>