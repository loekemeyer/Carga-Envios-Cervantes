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\\LOEKE-SVR\Documentos Compartidos\AA  LOGISTICA\A4 Relevamiento INSUMOS Stock y OP\A1 Conteo INSUMOS y OC (Compra)\A3 Cartones\A2 Conteo Cartones VIGENTE\"/>
    </mc:Choice>
  </mc:AlternateContent>
  <bookViews>
    <workbookView xWindow="-120" yWindow="-120" windowWidth="29040" windowHeight="15840" firstSheet="13" activeTab="19"/>
  </bookViews>
  <sheets>
    <sheet name="Planimetría &amp; Nota de Ped." sheetId="13" state="hidden" r:id="rId1"/>
    <sheet name="Planimetría &amp; Nota de Pedido" sheetId="19" state="hidden" r:id="rId2"/>
    <sheet name="O.C. Roster" sheetId="110" r:id="rId3"/>
    <sheet name="O.C. Cia Integral Etiquetas" sheetId="109" r:id="rId4"/>
    <sheet name="O.C. Sumatik" sheetId="111" r:id="rId5"/>
    <sheet name="O.C. Packaging y Servicio" sheetId="107" r:id="rId6"/>
    <sheet name="O.C. Precinter" sheetId="108" r:id="rId7"/>
    <sheet name="O.C. Envases Vihal" sheetId="114" r:id="rId8"/>
    <sheet name="O.C. Papelera 9 de Julio" sheetId="113" r:id="rId9"/>
    <sheet name="O.C. AJ Adhesivos" sheetId="112" r:id="rId10"/>
    <sheet name="O.C. Grafica Pol" sheetId="115" r:id="rId11"/>
    <sheet name="Pedido VACIO" sheetId="105" r:id="rId12"/>
    <sheet name="Copiar Pedido " sheetId="106" r:id="rId13"/>
    <sheet name="Conteo 24-02" sheetId="104" r:id="rId14"/>
    <sheet name="Carton x Categ." sheetId="83" r:id="rId15"/>
    <sheet name="Stock CD" sheetId="82" r:id="rId16"/>
    <sheet name="Stock ISIS LK" sheetId="80" r:id="rId17"/>
    <sheet name="Stock ISIS CH" sheetId="81" r:id="rId18"/>
    <sheet name="TN ETIQUETAS" sheetId="74" r:id="rId19"/>
    <sheet name="Est Madre LK 10-25" sheetId="24" r:id="rId20"/>
    <sheet name="Est Madre CH 10-25" sheetId="28" r:id="rId21"/>
    <sheet name="Relevamiento a cargar" sheetId="29" state="hidden" r:id="rId22"/>
    <sheet name="Listado Cartones Viejos 2010" sheetId="18" state="hidden" r:id="rId23"/>
    <sheet name="Estadistica Mayo 18" sheetId="22" state="hidden" r:id="rId24"/>
    <sheet name="Relev &amp; Ped. Discont" sheetId="6" state="hidden" r:id="rId25"/>
  </sheets>
  <externalReferences>
    <externalReference r:id="rId26"/>
  </externalReferences>
  <definedNames>
    <definedName name="_xlnm._FilterDatabase" localSheetId="13" hidden="1">'Conteo 24-02'!$A$7:$K$246</definedName>
    <definedName name="_xlnm._FilterDatabase" localSheetId="20" hidden="1">'Est Madre CH 10-25'!$A$1:$D$128</definedName>
    <definedName name="_xlnm._FilterDatabase" localSheetId="19" hidden="1">'Est Madre LK 10-25'!$A$1:$I$171</definedName>
    <definedName name="_xlnm._FilterDatabase" localSheetId="22" hidden="1">'Listado Cartones Viejos 2010'!$B$2:$H$2</definedName>
    <definedName name="_xlnm._FilterDatabase" localSheetId="11" hidden="1">'Pedido VACIO'!$A$9:$AM$366</definedName>
    <definedName name="_xlnm._FilterDatabase" localSheetId="0" hidden="1">'Planimetría &amp; Nota de Ped.'!$B$3:$L$194</definedName>
    <definedName name="_xlnm._FilterDatabase" localSheetId="1" hidden="1">'Planimetría &amp; Nota de Pedido'!$A$2:$N$194</definedName>
    <definedName name="_xlnm._FilterDatabase" localSheetId="21" hidden="1">'Relevamiento a cargar'!$A$3:$J$3</definedName>
    <definedName name="_xlnm.Print_Area" localSheetId="12">'Copiar Pedido '!$A$1:$AL$76</definedName>
    <definedName name="_xlnm.Print_Area" localSheetId="22">'Listado Cartones Viejos 2010'!$B$2:$H$120</definedName>
    <definedName name="_xlnm.Print_Area" localSheetId="0">'Planimetría &amp; Nota de Ped.'!$B$3:$M$190</definedName>
    <definedName name="_xlnm.Print_Area" localSheetId="1">'Planimetría &amp; Nota de Pedido'!$A$1:$N$194</definedName>
    <definedName name="_xlnm.Print_Area" localSheetId="24">'Relev &amp; Ped. Discont'!$A$1:$BA$48</definedName>
    <definedName name="_xlnm.Print_Titles" localSheetId="13">'Conteo 24-02'!$7:$7</definedName>
    <definedName name="_xlnm.Print_Titles" localSheetId="22">'Listado Cartones Viejos 2010'!$2:$2</definedName>
    <definedName name="_xlnm.Print_Titles" localSheetId="11">'Pedido VACIO'!$9:$9</definedName>
    <definedName name="_xlnm.Print_Titles" localSheetId="0">'Planimetría &amp; Nota de Ped.'!$3:$3</definedName>
    <definedName name="_xlnm.Print_Titles" localSheetId="1">'Planimetría &amp; Nota de Pedido'!$1:$2</definedName>
    <definedName name="_xlnm.Print_Titles" localSheetId="21">'Relevamiento a cargar'!$1:$3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4" i="115" l="1" a="1"/>
  <c r="A14" i="115" s="1"/>
  <c r="C19" i="115" a="1"/>
  <c r="C19" i="115" s="1"/>
  <c r="D14" i="115" a="1"/>
  <c r="D14" i="115" s="1"/>
  <c r="E14" i="115" s="1"/>
  <c r="F14" i="115" s="1"/>
  <c r="C14" i="115" a="1"/>
  <c r="C14" i="115" s="1"/>
  <c r="B16" i="115"/>
  <c r="B19" i="115" s="1"/>
  <c r="D19" i="115" s="1" a="1"/>
  <c r="D19" i="115" s="1"/>
  <c r="I6" i="115"/>
  <c r="D42" i="114" a="1"/>
  <c r="D42" i="114" s="1"/>
  <c r="C42" i="114" a="1"/>
  <c r="C42" i="114" s="1"/>
  <c r="A42" i="114" a="1"/>
  <c r="A42" i="114" s="1"/>
  <c r="D40" i="114" a="1"/>
  <c r="D40" i="114" s="1"/>
  <c r="C40" i="114" a="1"/>
  <c r="C40" i="114" s="1"/>
  <c r="A40" i="114" a="1"/>
  <c r="A40" i="114" s="1"/>
  <c r="D38" i="114" a="1"/>
  <c r="D38" i="114" s="1"/>
  <c r="C38" i="114" a="1"/>
  <c r="C38" i="114" s="1"/>
  <c r="A38" i="114" a="1"/>
  <c r="A38" i="114" s="1"/>
  <c r="D36" i="114" a="1"/>
  <c r="D36" i="114" s="1"/>
  <c r="C36" i="114" a="1"/>
  <c r="C36" i="114" s="1"/>
  <c r="A36" i="114" a="1"/>
  <c r="A36" i="114" s="1"/>
  <c r="D34" i="114" a="1"/>
  <c r="D34" i="114" s="1"/>
  <c r="C34" i="114" a="1"/>
  <c r="C34" i="114" s="1"/>
  <c r="A34" i="114" a="1"/>
  <c r="A34" i="114" s="1"/>
  <c r="D32" i="114" a="1"/>
  <c r="D32" i="114" s="1"/>
  <c r="C32" i="114" a="1"/>
  <c r="C32" i="114" s="1"/>
  <c r="A32" i="114" a="1"/>
  <c r="A32" i="114" s="1"/>
  <c r="D30" i="114" a="1"/>
  <c r="D30" i="114" s="1"/>
  <c r="C30" i="114" a="1"/>
  <c r="C30" i="114" s="1"/>
  <c r="A30" i="114" a="1"/>
  <c r="A30" i="114" s="1"/>
  <c r="D28" i="114" a="1"/>
  <c r="D28" i="114" s="1"/>
  <c r="C28" i="114" a="1"/>
  <c r="C28" i="114" s="1"/>
  <c r="A28" i="114" a="1"/>
  <c r="A28" i="114" s="1"/>
  <c r="D26" i="114" a="1"/>
  <c r="D26" i="114" s="1"/>
  <c r="C26" i="114" a="1"/>
  <c r="C26" i="114" s="1"/>
  <c r="A26" i="114" a="1"/>
  <c r="A26" i="114" s="1"/>
  <c r="D24" i="114" a="1"/>
  <c r="D24" i="114" s="1"/>
  <c r="C24" i="114" a="1"/>
  <c r="C24" i="114" s="1"/>
  <c r="A24" i="114" a="1"/>
  <c r="A24" i="114" s="1"/>
  <c r="D22" i="114" a="1"/>
  <c r="D22" i="114" s="1"/>
  <c r="C22" i="114" a="1"/>
  <c r="C22" i="114" s="1"/>
  <c r="A22" i="114" a="1"/>
  <c r="A22" i="114" s="1"/>
  <c r="D20" i="114" a="1"/>
  <c r="D20" i="114" s="1"/>
  <c r="C20" i="114" a="1"/>
  <c r="C20" i="114" s="1"/>
  <c r="A20" i="114" a="1"/>
  <c r="A20" i="114" s="1"/>
  <c r="D18" i="114" a="1"/>
  <c r="D18" i="114" s="1"/>
  <c r="C18" i="114" a="1"/>
  <c r="C18" i="114" s="1"/>
  <c r="A18" i="114" a="1"/>
  <c r="A18" i="114" s="1"/>
  <c r="D16" i="114" a="1"/>
  <c r="D16" i="114" s="1"/>
  <c r="C16" i="114" a="1"/>
  <c r="C16" i="114" s="1"/>
  <c r="A16" i="114" a="1"/>
  <c r="A16" i="114" s="1"/>
  <c r="D14" i="114" a="1"/>
  <c r="D14" i="114" s="1"/>
  <c r="E14" i="114" s="1"/>
  <c r="C14" i="114" a="1"/>
  <c r="C14" i="114" s="1"/>
  <c r="A14" i="114" a="1"/>
  <c r="A14" i="114" s="1"/>
  <c r="B16" i="114"/>
  <c r="B18" i="114" s="1"/>
  <c r="I6" i="114"/>
  <c r="D42" i="113" a="1"/>
  <c r="D42" i="113" s="1"/>
  <c r="C42" i="113" a="1"/>
  <c r="C42" i="113" s="1"/>
  <c r="A42" i="113" a="1"/>
  <c r="A42" i="113" s="1"/>
  <c r="D40" i="113" a="1"/>
  <c r="D40" i="113" s="1"/>
  <c r="C40" i="113" a="1"/>
  <c r="C40" i="113" s="1"/>
  <c r="A40" i="113" a="1"/>
  <c r="A40" i="113" s="1"/>
  <c r="D38" i="113" a="1"/>
  <c r="D38" i="113" s="1"/>
  <c r="C38" i="113" a="1"/>
  <c r="C38" i="113" s="1"/>
  <c r="A38" i="113" a="1"/>
  <c r="A38" i="113" s="1"/>
  <c r="D36" i="113" a="1"/>
  <c r="D36" i="113" s="1"/>
  <c r="C36" i="113" a="1"/>
  <c r="C36" i="113" s="1"/>
  <c r="A36" i="113" a="1"/>
  <c r="A36" i="113" s="1"/>
  <c r="D34" i="113" a="1"/>
  <c r="D34" i="113" s="1"/>
  <c r="C34" i="113" a="1"/>
  <c r="C34" i="113" s="1"/>
  <c r="A34" i="113" a="1"/>
  <c r="A34" i="113" s="1"/>
  <c r="D32" i="113" a="1"/>
  <c r="D32" i="113" s="1"/>
  <c r="C32" i="113" a="1"/>
  <c r="C32" i="113" s="1"/>
  <c r="A32" i="113" a="1"/>
  <c r="A32" i="113" s="1"/>
  <c r="D30" i="113" a="1"/>
  <c r="D30" i="113" s="1"/>
  <c r="C30" i="113" a="1"/>
  <c r="C30" i="113" s="1"/>
  <c r="A30" i="113" a="1"/>
  <c r="A30" i="113" s="1"/>
  <c r="D28" i="113" a="1"/>
  <c r="D28" i="113" s="1"/>
  <c r="C28" i="113" a="1"/>
  <c r="C28" i="113" s="1"/>
  <c r="A28" i="113" a="1"/>
  <c r="A28" i="113" s="1"/>
  <c r="D26" i="113" a="1"/>
  <c r="D26" i="113" s="1"/>
  <c r="C26" i="113" a="1"/>
  <c r="C26" i="113" s="1"/>
  <c r="A26" i="113" a="1"/>
  <c r="A26" i="113" s="1"/>
  <c r="D24" i="113" a="1"/>
  <c r="D24" i="113" s="1"/>
  <c r="C24" i="113" a="1"/>
  <c r="C24" i="113" s="1"/>
  <c r="A24" i="113" a="1"/>
  <c r="A24" i="113" s="1"/>
  <c r="D22" i="113" a="1"/>
  <c r="D22" i="113" s="1"/>
  <c r="C22" i="113" a="1"/>
  <c r="C22" i="113" s="1"/>
  <c r="A22" i="113" a="1"/>
  <c r="A22" i="113" s="1"/>
  <c r="D20" i="113" a="1"/>
  <c r="D20" i="113" s="1"/>
  <c r="C20" i="113" a="1"/>
  <c r="C20" i="113" s="1"/>
  <c r="A20" i="113" a="1"/>
  <c r="A20" i="113" s="1"/>
  <c r="D18" i="113" a="1"/>
  <c r="D18" i="113" s="1"/>
  <c r="C18" i="113" a="1"/>
  <c r="C18" i="113" s="1"/>
  <c r="A18" i="113" a="1"/>
  <c r="A18" i="113" s="1"/>
  <c r="D16" i="113" a="1"/>
  <c r="D16" i="113" s="1"/>
  <c r="C16" i="113" a="1"/>
  <c r="C16" i="113" s="1"/>
  <c r="A16" i="113" a="1"/>
  <c r="A16" i="113" s="1"/>
  <c r="D14" i="113" a="1"/>
  <c r="D14" i="113" s="1"/>
  <c r="E14" i="113" s="1"/>
  <c r="C14" i="113" a="1"/>
  <c r="C14" i="113" s="1"/>
  <c r="A14" i="113" a="1"/>
  <c r="A14" i="113" s="1"/>
  <c r="B18" i="113"/>
  <c r="B16" i="113"/>
  <c r="I6" i="113"/>
  <c r="D42" i="112" a="1"/>
  <c r="D42" i="112" s="1"/>
  <c r="C42" i="112" a="1"/>
  <c r="C42" i="112" s="1"/>
  <c r="A42" i="112" a="1"/>
  <c r="A42" i="112" s="1"/>
  <c r="D40" i="112" a="1"/>
  <c r="D40" i="112" s="1"/>
  <c r="C40" i="112" a="1"/>
  <c r="C40" i="112" s="1"/>
  <c r="A40" i="112" a="1"/>
  <c r="A40" i="112" s="1"/>
  <c r="D38" i="112" a="1"/>
  <c r="D38" i="112" s="1"/>
  <c r="C38" i="112" a="1"/>
  <c r="C38" i="112" s="1"/>
  <c r="A38" i="112" a="1"/>
  <c r="A38" i="112" s="1"/>
  <c r="D36" i="112" a="1"/>
  <c r="D36" i="112" s="1"/>
  <c r="C36" i="112" a="1"/>
  <c r="C36" i="112" s="1"/>
  <c r="A36" i="112" a="1"/>
  <c r="A36" i="112" s="1"/>
  <c r="D34" i="112" a="1"/>
  <c r="D34" i="112" s="1"/>
  <c r="C34" i="112" a="1"/>
  <c r="C34" i="112" s="1"/>
  <c r="A34" i="112" a="1"/>
  <c r="A34" i="112" s="1"/>
  <c r="D32" i="112" a="1"/>
  <c r="D32" i="112" s="1"/>
  <c r="C32" i="112" a="1"/>
  <c r="C32" i="112" s="1"/>
  <c r="A32" i="112" a="1"/>
  <c r="A32" i="112" s="1"/>
  <c r="D30" i="112" a="1"/>
  <c r="D30" i="112" s="1"/>
  <c r="C30" i="112" a="1"/>
  <c r="C30" i="112" s="1"/>
  <c r="A30" i="112" a="1"/>
  <c r="A30" i="112" s="1"/>
  <c r="D28" i="112" a="1"/>
  <c r="D28" i="112" s="1"/>
  <c r="C28" i="112" a="1"/>
  <c r="C28" i="112" s="1"/>
  <c r="A28" i="112" a="1"/>
  <c r="A28" i="112" s="1"/>
  <c r="D26" i="112" a="1"/>
  <c r="D26" i="112" s="1"/>
  <c r="C26" i="112" a="1"/>
  <c r="C26" i="112" s="1"/>
  <c r="A26" i="112" a="1"/>
  <c r="A26" i="112" s="1"/>
  <c r="D24" i="112" a="1"/>
  <c r="D24" i="112" s="1"/>
  <c r="C24" i="112" a="1"/>
  <c r="C24" i="112" s="1"/>
  <c r="A24" i="112" a="1"/>
  <c r="A24" i="112" s="1"/>
  <c r="D22" i="112" a="1"/>
  <c r="D22" i="112" s="1"/>
  <c r="C22" i="112" a="1"/>
  <c r="C22" i="112" s="1"/>
  <c r="A22" i="112" a="1"/>
  <c r="A22" i="112" s="1"/>
  <c r="D20" i="112" a="1"/>
  <c r="D20" i="112" s="1"/>
  <c r="C20" i="112" a="1"/>
  <c r="C20" i="112" s="1"/>
  <c r="A20" i="112" a="1"/>
  <c r="A20" i="112" s="1"/>
  <c r="D18" i="112" a="1"/>
  <c r="D18" i="112" s="1"/>
  <c r="C18" i="112" a="1"/>
  <c r="C18" i="112" s="1"/>
  <c r="A18" i="112" a="1"/>
  <c r="A18" i="112" s="1"/>
  <c r="D16" i="112" a="1"/>
  <c r="D16" i="112" s="1"/>
  <c r="C16" i="112" a="1"/>
  <c r="C16" i="112" s="1"/>
  <c r="A16" i="112" a="1"/>
  <c r="A16" i="112" s="1"/>
  <c r="D14" i="112" a="1"/>
  <c r="D14" i="112" s="1"/>
  <c r="E14" i="112" s="1"/>
  <c r="C14" i="112" a="1"/>
  <c r="C14" i="112" s="1"/>
  <c r="A14" i="112" a="1"/>
  <c r="A14" i="112" s="1"/>
  <c r="B16" i="112"/>
  <c r="B18" i="112" s="1"/>
  <c r="I6" i="112"/>
  <c r="D42" i="111" a="1"/>
  <c r="D42" i="111" s="1"/>
  <c r="C42" i="111" a="1"/>
  <c r="C42" i="111" s="1"/>
  <c r="A42" i="111" a="1"/>
  <c r="A42" i="111" s="1"/>
  <c r="D40" i="111" a="1"/>
  <c r="D40" i="111" s="1"/>
  <c r="C40" i="111" a="1"/>
  <c r="C40" i="111" s="1"/>
  <c r="A40" i="111" a="1"/>
  <c r="A40" i="111" s="1"/>
  <c r="D38" i="111" a="1"/>
  <c r="D38" i="111" s="1"/>
  <c r="C38" i="111" a="1"/>
  <c r="C38" i="111" s="1"/>
  <c r="A38" i="111" a="1"/>
  <c r="A38" i="111" s="1"/>
  <c r="D36" i="111" a="1"/>
  <c r="D36" i="111" s="1"/>
  <c r="C36" i="111" a="1"/>
  <c r="C36" i="111" s="1"/>
  <c r="A36" i="111" a="1"/>
  <c r="A36" i="111" s="1"/>
  <c r="D34" i="111" a="1"/>
  <c r="D34" i="111" s="1"/>
  <c r="C34" i="111" a="1"/>
  <c r="C34" i="111" s="1"/>
  <c r="A34" i="111" a="1"/>
  <c r="A34" i="111" s="1"/>
  <c r="D32" i="111" a="1"/>
  <c r="D32" i="111" s="1"/>
  <c r="C32" i="111" a="1"/>
  <c r="C32" i="111" s="1"/>
  <c r="A32" i="111" a="1"/>
  <c r="A32" i="111" s="1"/>
  <c r="D30" i="111" a="1"/>
  <c r="D30" i="111" s="1"/>
  <c r="C30" i="111" a="1"/>
  <c r="C30" i="111" s="1"/>
  <c r="A30" i="111" a="1"/>
  <c r="A30" i="111" s="1"/>
  <c r="D28" i="111" a="1"/>
  <c r="D28" i="111" s="1"/>
  <c r="C28" i="111" a="1"/>
  <c r="C28" i="111" s="1"/>
  <c r="A28" i="111" a="1"/>
  <c r="A28" i="111" s="1"/>
  <c r="D26" i="111" a="1"/>
  <c r="D26" i="111" s="1"/>
  <c r="C26" i="111" a="1"/>
  <c r="C26" i="111" s="1"/>
  <c r="A26" i="111" a="1"/>
  <c r="A26" i="111" s="1"/>
  <c r="D24" i="111" a="1"/>
  <c r="D24" i="111" s="1"/>
  <c r="C24" i="111" a="1"/>
  <c r="C24" i="111" s="1"/>
  <c r="A24" i="111" a="1"/>
  <c r="A24" i="111" s="1"/>
  <c r="D22" i="111" a="1"/>
  <c r="D22" i="111" s="1"/>
  <c r="C22" i="111" a="1"/>
  <c r="C22" i="111" s="1"/>
  <c r="A22" i="111" a="1"/>
  <c r="A22" i="111" s="1"/>
  <c r="D20" i="111" a="1"/>
  <c r="D20" i="111" s="1"/>
  <c r="C20" i="111" a="1"/>
  <c r="C20" i="111" s="1"/>
  <c r="A20" i="111" a="1"/>
  <c r="A20" i="111" s="1"/>
  <c r="D18" i="111" a="1"/>
  <c r="D18" i="111" s="1"/>
  <c r="C18" i="111" a="1"/>
  <c r="C18" i="111" s="1"/>
  <c r="A18" i="111" a="1"/>
  <c r="A18" i="111" s="1"/>
  <c r="D16" i="111" a="1"/>
  <c r="D16" i="111" s="1"/>
  <c r="C16" i="111" a="1"/>
  <c r="C16" i="111" s="1"/>
  <c r="A16" i="111" a="1"/>
  <c r="A16" i="111" s="1"/>
  <c r="D14" i="111" a="1"/>
  <c r="D14" i="111" s="1"/>
  <c r="E14" i="111" s="1"/>
  <c r="C14" i="111" a="1"/>
  <c r="C14" i="111" s="1"/>
  <c r="A14" i="111" a="1"/>
  <c r="A14" i="111" s="1"/>
  <c r="B16" i="111"/>
  <c r="B18" i="111" s="1"/>
  <c r="I6" i="111"/>
  <c r="D42" i="110" a="1"/>
  <c r="D42" i="110" s="1"/>
  <c r="C42" i="110" a="1"/>
  <c r="C42" i="110" s="1"/>
  <c r="A42" i="110" a="1"/>
  <c r="A42" i="110" s="1"/>
  <c r="D40" i="110" a="1"/>
  <c r="D40" i="110" s="1"/>
  <c r="C40" i="110" a="1"/>
  <c r="C40" i="110" s="1"/>
  <c r="A40" i="110" a="1"/>
  <c r="A40" i="110" s="1"/>
  <c r="D38" i="110" a="1"/>
  <c r="D38" i="110" s="1"/>
  <c r="C38" i="110" a="1"/>
  <c r="C38" i="110" s="1"/>
  <c r="A38" i="110" a="1"/>
  <c r="A38" i="110" s="1"/>
  <c r="D36" i="110" a="1"/>
  <c r="D36" i="110" s="1"/>
  <c r="C36" i="110" a="1"/>
  <c r="C36" i="110" s="1"/>
  <c r="A36" i="110" a="1"/>
  <c r="A36" i="110" s="1"/>
  <c r="D34" i="110" a="1"/>
  <c r="D34" i="110" s="1"/>
  <c r="C34" i="110" a="1"/>
  <c r="C34" i="110" s="1"/>
  <c r="A34" i="110" a="1"/>
  <c r="A34" i="110" s="1"/>
  <c r="D32" i="110" a="1"/>
  <c r="D32" i="110" s="1"/>
  <c r="C32" i="110" a="1"/>
  <c r="C32" i="110" s="1"/>
  <c r="A32" i="110" a="1"/>
  <c r="A32" i="110" s="1"/>
  <c r="D30" i="110" a="1"/>
  <c r="D30" i="110" s="1"/>
  <c r="C30" i="110" a="1"/>
  <c r="C30" i="110" s="1"/>
  <c r="A30" i="110" a="1"/>
  <c r="A30" i="110" s="1"/>
  <c r="D28" i="110" a="1"/>
  <c r="D28" i="110" s="1"/>
  <c r="C28" i="110" a="1"/>
  <c r="C28" i="110" s="1"/>
  <c r="A28" i="110" a="1"/>
  <c r="A28" i="110" s="1"/>
  <c r="D26" i="110" a="1"/>
  <c r="D26" i="110" s="1"/>
  <c r="C26" i="110" a="1"/>
  <c r="C26" i="110" s="1"/>
  <c r="A26" i="110" a="1"/>
  <c r="A26" i="110" s="1"/>
  <c r="D24" i="110" a="1"/>
  <c r="D24" i="110" s="1"/>
  <c r="C24" i="110" a="1"/>
  <c r="C24" i="110" s="1"/>
  <c r="A24" i="110" a="1"/>
  <c r="A24" i="110" s="1"/>
  <c r="D22" i="110" a="1"/>
  <c r="D22" i="110" s="1"/>
  <c r="C22" i="110" a="1"/>
  <c r="C22" i="110" s="1"/>
  <c r="A22" i="110" a="1"/>
  <c r="A22" i="110" s="1"/>
  <c r="D20" i="110" a="1"/>
  <c r="D20" i="110" s="1"/>
  <c r="C20" i="110" a="1"/>
  <c r="C20" i="110" s="1"/>
  <c r="A20" i="110" a="1"/>
  <c r="A20" i="110" s="1"/>
  <c r="D18" i="110" a="1"/>
  <c r="D18" i="110" s="1"/>
  <c r="C18" i="110" a="1"/>
  <c r="C18" i="110" s="1"/>
  <c r="A18" i="110" a="1"/>
  <c r="A18" i="110" s="1"/>
  <c r="D16" i="110" a="1"/>
  <c r="D16" i="110" s="1"/>
  <c r="C16" i="110" a="1"/>
  <c r="C16" i="110" s="1"/>
  <c r="A16" i="110" a="1"/>
  <c r="A16" i="110" s="1"/>
  <c r="D14" i="110" a="1"/>
  <c r="D14" i="110" s="1"/>
  <c r="E14" i="110" s="1"/>
  <c r="F14" i="110" s="1"/>
  <c r="C14" i="110" a="1"/>
  <c r="C14" i="110" s="1"/>
  <c r="A14" i="110" a="1"/>
  <c r="A14" i="110" s="1"/>
  <c r="B16" i="110"/>
  <c r="I6" i="110"/>
  <c r="D42" i="109" a="1"/>
  <c r="D42" i="109" s="1"/>
  <c r="C42" i="109" a="1"/>
  <c r="C42" i="109" s="1"/>
  <c r="A42" i="109" a="1"/>
  <c r="A42" i="109" s="1"/>
  <c r="D40" i="109" a="1"/>
  <c r="D40" i="109" s="1"/>
  <c r="C40" i="109" a="1"/>
  <c r="C40" i="109" s="1"/>
  <c r="A40" i="109" a="1"/>
  <c r="A40" i="109" s="1"/>
  <c r="D38" i="109" a="1"/>
  <c r="D38" i="109" s="1"/>
  <c r="C38" i="109" a="1"/>
  <c r="C38" i="109" s="1"/>
  <c r="A38" i="109" a="1"/>
  <c r="A38" i="109" s="1"/>
  <c r="D36" i="109" a="1"/>
  <c r="D36" i="109" s="1"/>
  <c r="C36" i="109" a="1"/>
  <c r="C36" i="109" s="1"/>
  <c r="A36" i="109" a="1"/>
  <c r="A36" i="109" s="1"/>
  <c r="D34" i="109" a="1"/>
  <c r="D34" i="109" s="1"/>
  <c r="C34" i="109" a="1"/>
  <c r="C34" i="109" s="1"/>
  <c r="A34" i="109" a="1"/>
  <c r="A34" i="109" s="1"/>
  <c r="D32" i="109" a="1"/>
  <c r="D32" i="109" s="1"/>
  <c r="C32" i="109" a="1"/>
  <c r="C32" i="109" s="1"/>
  <c r="A32" i="109" a="1"/>
  <c r="A32" i="109" s="1"/>
  <c r="D30" i="109" a="1"/>
  <c r="D30" i="109" s="1"/>
  <c r="C30" i="109" a="1"/>
  <c r="C30" i="109" s="1"/>
  <c r="A30" i="109" a="1"/>
  <c r="A30" i="109" s="1"/>
  <c r="D28" i="109" a="1"/>
  <c r="D28" i="109" s="1"/>
  <c r="C28" i="109" a="1"/>
  <c r="C28" i="109" s="1"/>
  <c r="A28" i="109" a="1"/>
  <c r="A28" i="109" s="1"/>
  <c r="D26" i="109" a="1"/>
  <c r="D26" i="109" s="1"/>
  <c r="C26" i="109" a="1"/>
  <c r="C26" i="109" s="1"/>
  <c r="A26" i="109" a="1"/>
  <c r="A26" i="109" s="1"/>
  <c r="D24" i="109" a="1"/>
  <c r="D24" i="109" s="1"/>
  <c r="C24" i="109" a="1"/>
  <c r="C24" i="109" s="1"/>
  <c r="A24" i="109" a="1"/>
  <c r="A24" i="109" s="1"/>
  <c r="D22" i="109" a="1"/>
  <c r="D22" i="109" s="1"/>
  <c r="C22" i="109" a="1"/>
  <c r="C22" i="109" s="1"/>
  <c r="A22" i="109" a="1"/>
  <c r="A22" i="109" s="1"/>
  <c r="D20" i="109" a="1"/>
  <c r="D20" i="109" s="1"/>
  <c r="C20" i="109" a="1"/>
  <c r="C20" i="109" s="1"/>
  <c r="A20" i="109" a="1"/>
  <c r="A20" i="109" s="1"/>
  <c r="D18" i="109" a="1"/>
  <c r="D18" i="109" s="1"/>
  <c r="C18" i="109" a="1"/>
  <c r="C18" i="109" s="1"/>
  <c r="A18" i="109" a="1"/>
  <c r="A18" i="109" s="1"/>
  <c r="D16" i="109" a="1"/>
  <c r="D16" i="109" s="1"/>
  <c r="C16" i="109" a="1"/>
  <c r="C16" i="109" s="1"/>
  <c r="A16" i="109" a="1"/>
  <c r="A16" i="109" s="1"/>
  <c r="D14" i="109" a="1"/>
  <c r="D14" i="109" s="1"/>
  <c r="E14" i="109" s="1"/>
  <c r="F14" i="109" s="1"/>
  <c r="C14" i="109" a="1"/>
  <c r="C14" i="109" s="1"/>
  <c r="A14" i="109" a="1"/>
  <c r="A14" i="109" s="1"/>
  <c r="B16" i="109"/>
  <c r="I6" i="109"/>
  <c r="D42" i="108" a="1"/>
  <c r="D42" i="108" s="1"/>
  <c r="C42" i="108" a="1"/>
  <c r="C42" i="108" s="1"/>
  <c r="A42" i="108" a="1"/>
  <c r="A42" i="108" s="1"/>
  <c r="D40" i="108" a="1"/>
  <c r="D40" i="108" s="1"/>
  <c r="C40" i="108" a="1"/>
  <c r="C40" i="108" s="1"/>
  <c r="A40" i="108" a="1"/>
  <c r="A40" i="108" s="1"/>
  <c r="D38" i="108" a="1"/>
  <c r="D38" i="108" s="1"/>
  <c r="C38" i="108" a="1"/>
  <c r="C38" i="108" s="1"/>
  <c r="A38" i="108" a="1"/>
  <c r="A38" i="108" s="1"/>
  <c r="D36" i="108" a="1"/>
  <c r="D36" i="108" s="1"/>
  <c r="C36" i="108" a="1"/>
  <c r="C36" i="108" s="1"/>
  <c r="A36" i="108" a="1"/>
  <c r="A36" i="108" s="1"/>
  <c r="D34" i="108" a="1"/>
  <c r="D34" i="108" s="1"/>
  <c r="C34" i="108" a="1"/>
  <c r="C34" i="108" s="1"/>
  <c r="A34" i="108" a="1"/>
  <c r="A34" i="108" s="1"/>
  <c r="D32" i="108" a="1"/>
  <c r="D32" i="108" s="1"/>
  <c r="C32" i="108" a="1"/>
  <c r="C32" i="108" s="1"/>
  <c r="A32" i="108" a="1"/>
  <c r="A32" i="108" s="1"/>
  <c r="D30" i="108" a="1"/>
  <c r="D30" i="108" s="1"/>
  <c r="C30" i="108" a="1"/>
  <c r="C30" i="108" s="1"/>
  <c r="A30" i="108" a="1"/>
  <c r="A30" i="108" s="1"/>
  <c r="D28" i="108" a="1"/>
  <c r="D28" i="108" s="1"/>
  <c r="C28" i="108" a="1"/>
  <c r="C28" i="108" s="1"/>
  <c r="A28" i="108" a="1"/>
  <c r="A28" i="108" s="1"/>
  <c r="D26" i="108" a="1"/>
  <c r="D26" i="108" s="1"/>
  <c r="C26" i="108" a="1"/>
  <c r="C26" i="108" s="1"/>
  <c r="A26" i="108" a="1"/>
  <c r="A26" i="108" s="1"/>
  <c r="D24" i="108" a="1"/>
  <c r="D24" i="108" s="1"/>
  <c r="C24" i="108" a="1"/>
  <c r="C24" i="108" s="1"/>
  <c r="A24" i="108" a="1"/>
  <c r="A24" i="108" s="1"/>
  <c r="D22" i="108" a="1"/>
  <c r="D22" i="108" s="1"/>
  <c r="C22" i="108" a="1"/>
  <c r="C22" i="108" s="1"/>
  <c r="A22" i="108" a="1"/>
  <c r="A22" i="108" s="1"/>
  <c r="D20" i="108" a="1"/>
  <c r="D20" i="108" s="1"/>
  <c r="C20" i="108" a="1"/>
  <c r="C20" i="108" s="1"/>
  <c r="A20" i="108" a="1"/>
  <c r="A20" i="108" s="1"/>
  <c r="D18" i="108" a="1"/>
  <c r="D18" i="108" s="1"/>
  <c r="C18" i="108" a="1"/>
  <c r="C18" i="108" s="1"/>
  <c r="A18" i="108" a="1"/>
  <c r="A18" i="108" s="1"/>
  <c r="D16" i="108" a="1"/>
  <c r="D16" i="108" s="1"/>
  <c r="C16" i="108" a="1"/>
  <c r="C16" i="108" s="1"/>
  <c r="A16" i="108" a="1"/>
  <c r="A16" i="108" s="1"/>
  <c r="D14" i="108" a="1"/>
  <c r="D14" i="108" s="1"/>
  <c r="E14" i="108" s="1"/>
  <c r="C14" i="108" a="1"/>
  <c r="C14" i="108" s="1"/>
  <c r="A14" i="108" a="1"/>
  <c r="A14" i="108" s="1"/>
  <c r="B16" i="108"/>
  <c r="B18" i="108" s="1"/>
  <c r="I6" i="108"/>
  <c r="D42" i="107" a="1"/>
  <c r="D42" i="107" s="1"/>
  <c r="C42" i="107" a="1"/>
  <c r="C42" i="107" s="1"/>
  <c r="D40" i="107" a="1"/>
  <c r="D40" i="107" s="1"/>
  <c r="C40" i="107" a="1"/>
  <c r="C40" i="107" s="1"/>
  <c r="D38" i="107" a="1"/>
  <c r="D38" i="107" s="1"/>
  <c r="C38" i="107" a="1"/>
  <c r="C38" i="107" s="1"/>
  <c r="D36" i="107" a="1"/>
  <c r="D36" i="107" s="1"/>
  <c r="C36" i="107" a="1"/>
  <c r="C36" i="107" s="1"/>
  <c r="D34" i="107" a="1"/>
  <c r="D34" i="107" s="1"/>
  <c r="C34" i="107" a="1"/>
  <c r="C34" i="107" s="1"/>
  <c r="D32" i="107" a="1"/>
  <c r="D32" i="107" s="1"/>
  <c r="C32" i="107" a="1"/>
  <c r="C32" i="107" s="1"/>
  <c r="D30" i="107" a="1"/>
  <c r="D30" i="107" s="1"/>
  <c r="C30" i="107" a="1"/>
  <c r="C30" i="107" s="1"/>
  <c r="D28" i="107" a="1"/>
  <c r="D28" i="107" s="1"/>
  <c r="C28" i="107" a="1"/>
  <c r="C28" i="107" s="1"/>
  <c r="D26" i="107" a="1"/>
  <c r="D26" i="107" s="1"/>
  <c r="C26" i="107" a="1"/>
  <c r="C26" i="107" s="1"/>
  <c r="D24" i="107" a="1"/>
  <c r="D24" i="107" s="1"/>
  <c r="C24" i="107" a="1"/>
  <c r="C24" i="107" s="1"/>
  <c r="D22" i="107" a="1"/>
  <c r="D22" i="107" s="1"/>
  <c r="C22" i="107" a="1"/>
  <c r="C22" i="107" s="1"/>
  <c r="D20" i="107" a="1"/>
  <c r="D20" i="107" s="1"/>
  <c r="C20" i="107" a="1"/>
  <c r="C20" i="107" s="1"/>
  <c r="D18" i="107" a="1"/>
  <c r="D18" i="107" s="1"/>
  <c r="C18" i="107" a="1"/>
  <c r="C18" i="107" s="1"/>
  <c r="D16" i="107" a="1"/>
  <c r="D16" i="107" s="1"/>
  <c r="C16" i="107" a="1"/>
  <c r="C16" i="107" s="1"/>
  <c r="A42" i="107" a="1"/>
  <c r="A42" i="107" s="1"/>
  <c r="A40" i="107" a="1"/>
  <c r="A40" i="107" s="1"/>
  <c r="A38" i="107" a="1"/>
  <c r="A38" i="107" s="1"/>
  <c r="A36" i="107" a="1"/>
  <c r="A36" i="107" s="1"/>
  <c r="A34" i="107" a="1"/>
  <c r="A34" i="107" s="1"/>
  <c r="A32" i="107" a="1"/>
  <c r="A32" i="107" s="1"/>
  <c r="A30" i="107" a="1"/>
  <c r="A30" i="107" s="1"/>
  <c r="A28" i="107" a="1"/>
  <c r="A28" i="107" s="1"/>
  <c r="A26" i="107" a="1"/>
  <c r="A26" i="107" s="1"/>
  <c r="A24" i="107" a="1"/>
  <c r="A24" i="107" s="1"/>
  <c r="A22" i="107" a="1"/>
  <c r="A22" i="107" s="1"/>
  <c r="A20" i="107" a="1"/>
  <c r="A20" i="107" s="1"/>
  <c r="A18" i="107" a="1"/>
  <c r="A18" i="107" s="1"/>
  <c r="A16" i="107" a="1"/>
  <c r="A16" i="107" s="1"/>
  <c r="D14" i="107" a="1"/>
  <c r="D14" i="107" s="1"/>
  <c r="E14" i="107" s="1"/>
  <c r="C14" i="107" a="1"/>
  <c r="C14" i="107" s="1"/>
  <c r="A14" i="107" a="1"/>
  <c r="A14" i="107" s="1"/>
  <c r="B16" i="107"/>
  <c r="I6" i="107"/>
  <c r="R108" i="105"/>
  <c r="R78" i="105"/>
  <c r="Y299" i="105"/>
  <c r="X299" i="105"/>
  <c r="Y300" i="105"/>
  <c r="X300" i="105"/>
  <c r="Y298" i="105"/>
  <c r="X298" i="105"/>
  <c r="Y297" i="105"/>
  <c r="X297" i="105"/>
  <c r="Y341" i="105"/>
  <c r="X341" i="105"/>
  <c r="Y340" i="105"/>
  <c r="X340" i="105"/>
  <c r="Y339" i="105"/>
  <c r="X339" i="105"/>
  <c r="Y338" i="105"/>
  <c r="X338" i="105"/>
  <c r="Y337" i="105"/>
  <c r="X337" i="105"/>
  <c r="Y336" i="105"/>
  <c r="X336" i="105"/>
  <c r="Y331" i="105"/>
  <c r="X331" i="105"/>
  <c r="Y330" i="105"/>
  <c r="X330" i="105"/>
  <c r="Y329" i="105"/>
  <c r="X329" i="105"/>
  <c r="Y324" i="105"/>
  <c r="X324" i="105"/>
  <c r="Y323" i="105"/>
  <c r="X323" i="105"/>
  <c r="Y322" i="105"/>
  <c r="X322" i="105"/>
  <c r="Y321" i="105"/>
  <c r="X321" i="105"/>
  <c r="Y320" i="105"/>
  <c r="X320" i="105"/>
  <c r="Y315" i="105"/>
  <c r="X315" i="105"/>
  <c r="Y314" i="105"/>
  <c r="X314" i="105"/>
  <c r="Y309" i="105"/>
  <c r="X309" i="105"/>
  <c r="Y308" i="105"/>
  <c r="X308" i="105"/>
  <c r="Y307" i="105"/>
  <c r="X307" i="105"/>
  <c r="Y306" i="105"/>
  <c r="X306" i="105"/>
  <c r="Y305" i="105"/>
  <c r="X305" i="105"/>
  <c r="J10" i="104"/>
  <c r="J232" i="104"/>
  <c r="U224" i="105"/>
  <c r="X224" i="105"/>
  <c r="Y224" i="105"/>
  <c r="AC224" i="105"/>
  <c r="N224" i="105" s="1"/>
  <c r="AG224" i="105"/>
  <c r="X225" i="105"/>
  <c r="Y225" i="105"/>
  <c r="AC225" i="105"/>
  <c r="N225" i="105" s="1"/>
  <c r="AG225" i="105"/>
  <c r="J246" i="104"/>
  <c r="J245" i="104"/>
  <c r="J244" i="104"/>
  <c r="J243" i="104"/>
  <c r="J242" i="104"/>
  <c r="J241" i="104"/>
  <c r="J240" i="104"/>
  <c r="J239" i="104"/>
  <c r="J238" i="104"/>
  <c r="J237" i="104"/>
  <c r="J236" i="104"/>
  <c r="J235" i="104"/>
  <c r="J234" i="104"/>
  <c r="J233" i="104"/>
  <c r="J231" i="104"/>
  <c r="J230" i="104"/>
  <c r="J229" i="104"/>
  <c r="J228" i="104"/>
  <c r="J227" i="104"/>
  <c r="J226" i="104"/>
  <c r="J225" i="104"/>
  <c r="J224" i="104"/>
  <c r="J223" i="104"/>
  <c r="J222" i="104"/>
  <c r="J221" i="104"/>
  <c r="J220" i="104"/>
  <c r="J219" i="104"/>
  <c r="J218" i="104"/>
  <c r="J217" i="104"/>
  <c r="J216" i="104"/>
  <c r="J215" i="104"/>
  <c r="J214" i="104"/>
  <c r="J213" i="104"/>
  <c r="J212" i="104"/>
  <c r="J211" i="104"/>
  <c r="J209" i="104"/>
  <c r="J208" i="104"/>
  <c r="J207" i="104"/>
  <c r="J206" i="104"/>
  <c r="J205" i="104"/>
  <c r="J204" i="104"/>
  <c r="J203" i="104"/>
  <c r="J202" i="104"/>
  <c r="J201" i="104"/>
  <c r="J199" i="104"/>
  <c r="J198" i="104"/>
  <c r="J197" i="104"/>
  <c r="J196" i="104"/>
  <c r="J195" i="104"/>
  <c r="J194" i="104"/>
  <c r="J193" i="104"/>
  <c r="J192" i="104"/>
  <c r="J191" i="104"/>
  <c r="J190" i="104"/>
  <c r="J189" i="104"/>
  <c r="J188" i="104"/>
  <c r="J187" i="104"/>
  <c r="J186" i="104"/>
  <c r="J185" i="104"/>
  <c r="J184" i="104"/>
  <c r="J183" i="104"/>
  <c r="J182" i="104"/>
  <c r="J181" i="104"/>
  <c r="J180" i="104"/>
  <c r="J179" i="104"/>
  <c r="J178" i="104"/>
  <c r="J177" i="104"/>
  <c r="J176" i="104"/>
  <c r="J175" i="104"/>
  <c r="J174" i="104"/>
  <c r="J173" i="104"/>
  <c r="J172" i="104"/>
  <c r="J171" i="104"/>
  <c r="J170" i="104"/>
  <c r="J169" i="104"/>
  <c r="J168" i="104"/>
  <c r="J167" i="104"/>
  <c r="J166" i="104"/>
  <c r="J165" i="104"/>
  <c r="J164" i="104"/>
  <c r="J163" i="104"/>
  <c r="J162" i="104"/>
  <c r="J161" i="104"/>
  <c r="J160" i="104"/>
  <c r="J159" i="104"/>
  <c r="J158" i="104"/>
  <c r="J157" i="104"/>
  <c r="J156" i="104"/>
  <c r="J155" i="104"/>
  <c r="J154" i="104"/>
  <c r="J153" i="104"/>
  <c r="J152" i="104"/>
  <c r="J151" i="104"/>
  <c r="J150" i="104"/>
  <c r="J149" i="104"/>
  <c r="J148" i="104"/>
  <c r="J147" i="104"/>
  <c r="J146" i="104"/>
  <c r="J145" i="104"/>
  <c r="J144" i="104"/>
  <c r="J143" i="104"/>
  <c r="J142" i="104"/>
  <c r="J141" i="104"/>
  <c r="J140" i="104"/>
  <c r="J139" i="104"/>
  <c r="J138" i="104"/>
  <c r="J137" i="104"/>
  <c r="J136" i="104"/>
  <c r="J135" i="104"/>
  <c r="J134" i="104"/>
  <c r="J133" i="104"/>
  <c r="J132" i="104"/>
  <c r="J131" i="104"/>
  <c r="J130" i="104"/>
  <c r="J129" i="104"/>
  <c r="J128" i="104"/>
  <c r="J127" i="104"/>
  <c r="J126" i="104"/>
  <c r="J125" i="104"/>
  <c r="J124" i="104"/>
  <c r="J123" i="104"/>
  <c r="J122" i="104"/>
  <c r="J121" i="104"/>
  <c r="J120" i="104"/>
  <c r="J119" i="104"/>
  <c r="J118" i="104"/>
  <c r="J117" i="104"/>
  <c r="J116" i="104"/>
  <c r="J115" i="104"/>
  <c r="J114" i="104"/>
  <c r="J113" i="104"/>
  <c r="J112" i="104"/>
  <c r="J111" i="104"/>
  <c r="J110" i="104"/>
  <c r="J109" i="104"/>
  <c r="J108" i="104"/>
  <c r="J107" i="104"/>
  <c r="J106" i="104"/>
  <c r="J105" i="104"/>
  <c r="J104" i="104"/>
  <c r="J103" i="104"/>
  <c r="J102" i="104"/>
  <c r="J101" i="104"/>
  <c r="J100" i="104"/>
  <c r="J99" i="104"/>
  <c r="J98" i="104"/>
  <c r="J97" i="104"/>
  <c r="J96" i="104"/>
  <c r="J95" i="104"/>
  <c r="J94" i="104"/>
  <c r="J93" i="104"/>
  <c r="J92" i="104"/>
  <c r="J91" i="104"/>
  <c r="J90" i="104"/>
  <c r="J89" i="104"/>
  <c r="J88" i="104"/>
  <c r="J87" i="104"/>
  <c r="J86" i="104"/>
  <c r="J85" i="104"/>
  <c r="J84" i="104"/>
  <c r="J83" i="104"/>
  <c r="J82" i="104"/>
  <c r="J81" i="104"/>
  <c r="J80" i="104"/>
  <c r="J79" i="104"/>
  <c r="J78" i="104"/>
  <c r="J77" i="104"/>
  <c r="J76" i="104"/>
  <c r="J75" i="104"/>
  <c r="J74" i="104"/>
  <c r="J73" i="104"/>
  <c r="J72" i="104"/>
  <c r="J71" i="104"/>
  <c r="J70" i="104"/>
  <c r="J69" i="104"/>
  <c r="J68" i="104"/>
  <c r="J67" i="104"/>
  <c r="J66" i="104"/>
  <c r="J65" i="104"/>
  <c r="J64" i="104"/>
  <c r="J63" i="104"/>
  <c r="J62" i="104"/>
  <c r="J61" i="104"/>
  <c r="J60" i="104"/>
  <c r="J59" i="104"/>
  <c r="J58" i="104"/>
  <c r="J57" i="104"/>
  <c r="J56" i="104"/>
  <c r="J55" i="104"/>
  <c r="J54" i="104"/>
  <c r="J53" i="104"/>
  <c r="J52" i="104"/>
  <c r="J51" i="104"/>
  <c r="J50" i="104"/>
  <c r="J49" i="104"/>
  <c r="J48" i="104"/>
  <c r="J47" i="104"/>
  <c r="J46" i="104"/>
  <c r="J45" i="104"/>
  <c r="J44" i="104"/>
  <c r="J43" i="104"/>
  <c r="J42" i="104"/>
  <c r="J41" i="104"/>
  <c r="J40" i="104"/>
  <c r="J39" i="104"/>
  <c r="J38" i="104"/>
  <c r="J37" i="104"/>
  <c r="J36" i="104"/>
  <c r="J35" i="104"/>
  <c r="J34" i="104"/>
  <c r="J33" i="104"/>
  <c r="J32" i="104"/>
  <c r="J31" i="104"/>
  <c r="J30" i="104"/>
  <c r="J29" i="104"/>
  <c r="J28" i="104"/>
  <c r="J27" i="104"/>
  <c r="J26" i="104"/>
  <c r="J25" i="104"/>
  <c r="J24" i="104"/>
  <c r="J23" i="104"/>
  <c r="J22" i="104"/>
  <c r="J21" i="104"/>
  <c r="J20" i="104"/>
  <c r="J19" i="104"/>
  <c r="J18" i="104"/>
  <c r="J17" i="104"/>
  <c r="J16" i="104"/>
  <c r="J15" i="104"/>
  <c r="J14" i="104"/>
  <c r="J13" i="104"/>
  <c r="J12" i="104"/>
  <c r="J11" i="104"/>
  <c r="J9" i="104"/>
  <c r="J8" i="104"/>
  <c r="AG223" i="105"/>
  <c r="AG222" i="105"/>
  <c r="AC222" i="105"/>
  <c r="N222" i="105" s="1"/>
  <c r="AC223" i="105"/>
  <c r="N223" i="105" s="1"/>
  <c r="X222" i="105"/>
  <c r="Y222" i="105"/>
  <c r="X223" i="105"/>
  <c r="Y223" i="105"/>
  <c r="E8" i="104"/>
  <c r="E187" i="104"/>
  <c r="E186" i="104"/>
  <c r="E185" i="104"/>
  <c r="AG227" i="105"/>
  <c r="AG230" i="105"/>
  <c r="AC230" i="105"/>
  <c r="N230" i="105" s="1"/>
  <c r="Y230" i="105"/>
  <c r="X230" i="105"/>
  <c r="AG229" i="105"/>
  <c r="AC229" i="105"/>
  <c r="N229" i="105" s="1"/>
  <c r="Y229" i="105"/>
  <c r="X229" i="105"/>
  <c r="AG228" i="105"/>
  <c r="AC228" i="105"/>
  <c r="N228" i="105" s="1"/>
  <c r="Y228" i="105"/>
  <c r="X228" i="105"/>
  <c r="AC227" i="105"/>
  <c r="N227" i="105" s="1"/>
  <c r="Y227" i="105"/>
  <c r="X227" i="105"/>
  <c r="AG226" i="105"/>
  <c r="AC226" i="105"/>
  <c r="N226" i="105" s="1"/>
  <c r="Y226" i="105"/>
  <c r="X226" i="105"/>
  <c r="C16" i="115" l="1" a="1"/>
  <c r="C16" i="115" s="1"/>
  <c r="D16" i="115" a="1"/>
  <c r="D16" i="115" s="1"/>
  <c r="A19" i="115" a="1"/>
  <c r="A19" i="115" s="1"/>
  <c r="A16" i="115" a="1"/>
  <c r="A16" i="115" s="1"/>
  <c r="E15" i="115"/>
  <c r="F15" i="115" s="1"/>
  <c r="B22" i="115"/>
  <c r="F14" i="114"/>
  <c r="E15" i="114"/>
  <c r="B20" i="114"/>
  <c r="F14" i="113"/>
  <c r="E15" i="113"/>
  <c r="B20" i="113"/>
  <c r="F14" i="112"/>
  <c r="E15" i="112"/>
  <c r="B20" i="112"/>
  <c r="F14" i="111"/>
  <c r="E15" i="111"/>
  <c r="B20" i="111"/>
  <c r="E15" i="110"/>
  <c r="F15" i="110" s="1"/>
  <c r="B18" i="110"/>
  <c r="E15" i="109"/>
  <c r="F15" i="109" s="1"/>
  <c r="B18" i="109"/>
  <c r="F14" i="108"/>
  <c r="E15" i="108"/>
  <c r="B20" i="108"/>
  <c r="F14" i="107"/>
  <c r="E15" i="107"/>
  <c r="B18" i="107"/>
  <c r="O329" i="105"/>
  <c r="O330" i="105"/>
  <c r="O331" i="105"/>
  <c r="O224" i="105"/>
  <c r="J224" i="105" s="1"/>
  <c r="O225" i="105"/>
  <c r="V224" i="105"/>
  <c r="O222" i="105"/>
  <c r="O223" i="105"/>
  <c r="J223" i="105" s="1"/>
  <c r="O228" i="105"/>
  <c r="O226" i="105"/>
  <c r="J226" i="105" s="1"/>
  <c r="O227" i="105"/>
  <c r="J227" i="105" s="1"/>
  <c r="O229" i="105"/>
  <c r="J229" i="105" s="1"/>
  <c r="O230" i="105"/>
  <c r="D22" i="115" l="1" a="1"/>
  <c r="D22" i="115" s="1"/>
  <c r="C22" i="115" a="1"/>
  <c r="C22" i="115" s="1"/>
  <c r="A22" i="115" a="1"/>
  <c r="A22" i="115" s="1"/>
  <c r="B24" i="115"/>
  <c r="E16" i="115"/>
  <c r="F16" i="115" s="1"/>
  <c r="F15" i="114"/>
  <c r="E16" i="114"/>
  <c r="B22" i="114"/>
  <c r="B22" i="113"/>
  <c r="E16" i="113"/>
  <c r="F15" i="113"/>
  <c r="B22" i="112"/>
  <c r="E16" i="112"/>
  <c r="F15" i="112"/>
  <c r="B22" i="111"/>
  <c r="E16" i="111"/>
  <c r="F15" i="111"/>
  <c r="E16" i="110"/>
  <c r="F16" i="110" s="1"/>
  <c r="B20" i="110"/>
  <c r="B20" i="109"/>
  <c r="E16" i="109"/>
  <c r="F16" i="109" s="1"/>
  <c r="B22" i="108"/>
  <c r="E16" i="108"/>
  <c r="F15" i="108"/>
  <c r="B20" i="107"/>
  <c r="E16" i="107"/>
  <c r="F15" i="107"/>
  <c r="M224" i="105"/>
  <c r="M225" i="105"/>
  <c r="J225" i="105"/>
  <c r="M222" i="105"/>
  <c r="M223" i="105"/>
  <c r="J222" i="105"/>
  <c r="J228" i="105"/>
  <c r="M228" i="105"/>
  <c r="J230" i="105"/>
  <c r="M227" i="105"/>
  <c r="M226" i="105"/>
  <c r="M230" i="105"/>
  <c r="M229" i="105"/>
  <c r="AC299" i="105"/>
  <c r="N299" i="105" s="1"/>
  <c r="U299" i="105"/>
  <c r="AC120" i="105"/>
  <c r="N120" i="105" s="1"/>
  <c r="Y120" i="105"/>
  <c r="X120" i="105"/>
  <c r="D120" i="105"/>
  <c r="G24" i="106"/>
  <c r="F24" i="106" s="1"/>
  <c r="E24" i="106" s="1"/>
  <c r="G54" i="106"/>
  <c r="F54" i="106" s="1"/>
  <c r="E54" i="106" s="1"/>
  <c r="G55" i="106"/>
  <c r="F55" i="106" s="1"/>
  <c r="E55" i="106" s="1"/>
  <c r="G56" i="106"/>
  <c r="F56" i="106" s="1"/>
  <c r="E56" i="106" s="1"/>
  <c r="D56" i="106" s="1"/>
  <c r="C56" i="106" s="1"/>
  <c r="B56" i="106" s="1"/>
  <c r="G57" i="106"/>
  <c r="F57" i="106" s="1"/>
  <c r="E57" i="106" s="1"/>
  <c r="D57" i="106" s="1"/>
  <c r="C57" i="106" s="1"/>
  <c r="B57" i="106" s="1"/>
  <c r="G45" i="106"/>
  <c r="F45" i="106" s="1"/>
  <c r="E45" i="106" s="1"/>
  <c r="G46" i="106"/>
  <c r="F46" i="106" s="1"/>
  <c r="E46" i="106" s="1"/>
  <c r="G47" i="106"/>
  <c r="F47" i="106" s="1"/>
  <c r="E47" i="106" s="1"/>
  <c r="G48" i="106"/>
  <c r="F48" i="106" s="1"/>
  <c r="E48" i="106" s="1"/>
  <c r="G49" i="106"/>
  <c r="F49" i="106" s="1"/>
  <c r="E49" i="106" s="1"/>
  <c r="G50" i="106"/>
  <c r="F50" i="106" s="1"/>
  <c r="E50" i="106" s="1"/>
  <c r="G51" i="106"/>
  <c r="F51" i="106" s="1"/>
  <c r="E51" i="106" s="1"/>
  <c r="G52" i="106"/>
  <c r="F52" i="106" s="1"/>
  <c r="E52" i="106" s="1"/>
  <c r="G53" i="106"/>
  <c r="F53" i="106" s="1"/>
  <c r="E53" i="106" s="1"/>
  <c r="G35" i="106"/>
  <c r="F35" i="106" s="1"/>
  <c r="E35" i="106" s="1"/>
  <c r="G36" i="106"/>
  <c r="F36" i="106" s="1"/>
  <c r="E36" i="106" s="1"/>
  <c r="G37" i="106"/>
  <c r="F37" i="106" s="1"/>
  <c r="E37" i="106" s="1"/>
  <c r="G38" i="106"/>
  <c r="F38" i="106" s="1"/>
  <c r="E38" i="106" s="1"/>
  <c r="G39" i="106"/>
  <c r="F39" i="106" s="1"/>
  <c r="E39" i="106" s="1"/>
  <c r="G40" i="106"/>
  <c r="F40" i="106" s="1"/>
  <c r="E40" i="106" s="1"/>
  <c r="G41" i="106"/>
  <c r="F41" i="106" s="1"/>
  <c r="E41" i="106" s="1"/>
  <c r="G42" i="106"/>
  <c r="F42" i="106" s="1"/>
  <c r="E42" i="106" s="1"/>
  <c r="G43" i="106"/>
  <c r="F43" i="106" s="1"/>
  <c r="E43" i="106" s="1"/>
  <c r="G44" i="106"/>
  <c r="F44" i="106" s="1"/>
  <c r="E44" i="106" s="1"/>
  <c r="G29" i="106"/>
  <c r="F29" i="106" s="1"/>
  <c r="E29" i="106" s="1"/>
  <c r="G30" i="106"/>
  <c r="F30" i="106" s="1"/>
  <c r="E30" i="106" s="1"/>
  <c r="G31" i="106"/>
  <c r="F31" i="106" s="1"/>
  <c r="E31" i="106" s="1"/>
  <c r="G32" i="106"/>
  <c r="F32" i="106" s="1"/>
  <c r="E32" i="106" s="1"/>
  <c r="G33" i="106"/>
  <c r="F33" i="106" s="1"/>
  <c r="E33" i="106" s="1"/>
  <c r="G34" i="106"/>
  <c r="F34" i="106" s="1"/>
  <c r="E34" i="106" s="1"/>
  <c r="G19" i="106"/>
  <c r="F19" i="106" s="1"/>
  <c r="E19" i="106" s="1"/>
  <c r="G20" i="106"/>
  <c r="F20" i="106" s="1"/>
  <c r="E20" i="106" s="1"/>
  <c r="G21" i="106"/>
  <c r="F21" i="106" s="1"/>
  <c r="E21" i="106" s="1"/>
  <c r="G22" i="106"/>
  <c r="F22" i="106" s="1"/>
  <c r="E22" i="106" s="1"/>
  <c r="G23" i="106"/>
  <c r="F23" i="106" s="1"/>
  <c r="E23" i="106" s="1"/>
  <c r="G25" i="106"/>
  <c r="F25" i="106" s="1"/>
  <c r="E25" i="106" s="1"/>
  <c r="G28" i="106"/>
  <c r="F28" i="106" s="1"/>
  <c r="E28" i="106" s="1"/>
  <c r="G8" i="106"/>
  <c r="F8" i="106" s="1"/>
  <c r="E8" i="106" s="1"/>
  <c r="G9" i="106"/>
  <c r="F9" i="106" s="1"/>
  <c r="E9" i="106" s="1"/>
  <c r="G10" i="106"/>
  <c r="F10" i="106" s="1"/>
  <c r="E10" i="106" s="1"/>
  <c r="G13" i="106"/>
  <c r="F13" i="106" s="1"/>
  <c r="E13" i="106" s="1"/>
  <c r="G14" i="106"/>
  <c r="F14" i="106" s="1"/>
  <c r="E14" i="106" s="1"/>
  <c r="G15" i="106"/>
  <c r="F15" i="106" s="1"/>
  <c r="E15" i="106" s="1"/>
  <c r="G16" i="106"/>
  <c r="F16" i="106" s="1"/>
  <c r="E16" i="106" s="1"/>
  <c r="G7" i="106"/>
  <c r="F7" i="106" s="1"/>
  <c r="E7" i="106" s="1"/>
  <c r="A24" i="115" l="1" a="1"/>
  <c r="A24" i="115" s="1"/>
  <c r="D24" i="115" a="1"/>
  <c r="D24" i="115" s="1"/>
  <c r="C24" i="115" a="1"/>
  <c r="C24" i="115" s="1"/>
  <c r="E17" i="115"/>
  <c r="F17" i="115" s="1"/>
  <c r="B27" i="115"/>
  <c r="B24" i="114"/>
  <c r="E17" i="114"/>
  <c r="F16" i="114"/>
  <c r="B24" i="113"/>
  <c r="E17" i="113"/>
  <c r="F16" i="113"/>
  <c r="E17" i="112"/>
  <c r="F16" i="112"/>
  <c r="B24" i="112"/>
  <c r="E17" i="111"/>
  <c r="F16" i="111"/>
  <c r="B24" i="111"/>
  <c r="B22" i="110"/>
  <c r="E17" i="110"/>
  <c r="F17" i="110" s="1"/>
  <c r="E17" i="109"/>
  <c r="F17" i="109" s="1"/>
  <c r="B22" i="109"/>
  <c r="B24" i="108"/>
  <c r="E17" i="108"/>
  <c r="F16" i="108"/>
  <c r="E17" i="107"/>
  <c r="F16" i="107"/>
  <c r="B22" i="107"/>
  <c r="O299" i="105"/>
  <c r="J299" i="105" s="1"/>
  <c r="V299" i="105"/>
  <c r="O120" i="105"/>
  <c r="M120" i="105" s="1"/>
  <c r="E73" i="104"/>
  <c r="E72" i="104"/>
  <c r="E71" i="104"/>
  <c r="E70" i="104"/>
  <c r="E69" i="104"/>
  <c r="E126" i="104"/>
  <c r="A27" i="115" l="1" a="1"/>
  <c r="A27" i="115" s="1"/>
  <c r="D27" i="115" a="1"/>
  <c r="D27" i="115" s="1"/>
  <c r="C27" i="115" a="1"/>
  <c r="C27" i="115" s="1"/>
  <c r="B29" i="115"/>
  <c r="E19" i="115"/>
  <c r="F19" i="115" s="1"/>
  <c r="E18" i="114"/>
  <c r="F17" i="114"/>
  <c r="B26" i="114"/>
  <c r="E18" i="113"/>
  <c r="F17" i="113"/>
  <c r="B26" i="113"/>
  <c r="B26" i="112"/>
  <c r="E18" i="112"/>
  <c r="F17" i="112"/>
  <c r="E18" i="111"/>
  <c r="F17" i="111"/>
  <c r="B26" i="111"/>
  <c r="B24" i="110"/>
  <c r="E18" i="110"/>
  <c r="F18" i="110" s="1"/>
  <c r="B24" i="109"/>
  <c r="E18" i="109"/>
  <c r="F18" i="109" s="1"/>
  <c r="E18" i="108"/>
  <c r="F17" i="108"/>
  <c r="B26" i="108"/>
  <c r="B24" i="107"/>
  <c r="E18" i="107"/>
  <c r="F17" i="107"/>
  <c r="M299" i="105"/>
  <c r="J120" i="105"/>
  <c r="D29" i="115" l="1" a="1"/>
  <c r="D29" i="115" s="1"/>
  <c r="C29" i="115" a="1"/>
  <c r="C29" i="115" s="1"/>
  <c r="A29" i="115" a="1"/>
  <c r="A29" i="115" s="1"/>
  <c r="B31" i="115"/>
  <c r="E20" i="115"/>
  <c r="F20" i="115" s="1"/>
  <c r="B28" i="114"/>
  <c r="E19" i="114"/>
  <c r="F18" i="114"/>
  <c r="B28" i="113"/>
  <c r="E19" i="113"/>
  <c r="F18" i="113"/>
  <c r="E19" i="112"/>
  <c r="F18" i="112"/>
  <c r="B28" i="112"/>
  <c r="B28" i="111"/>
  <c r="E19" i="111"/>
  <c r="F18" i="111"/>
  <c r="B26" i="110"/>
  <c r="E19" i="110"/>
  <c r="F19" i="110" s="1"/>
  <c r="E19" i="109"/>
  <c r="F19" i="109" s="1"/>
  <c r="B26" i="109"/>
  <c r="B28" i="108"/>
  <c r="E19" i="108"/>
  <c r="F18" i="108"/>
  <c r="E19" i="107"/>
  <c r="F18" i="107"/>
  <c r="B26" i="107"/>
  <c r="X18" i="105"/>
  <c r="AC64" i="105"/>
  <c r="N64" i="105" s="1"/>
  <c r="Y64" i="105"/>
  <c r="X64" i="105"/>
  <c r="U64" i="105"/>
  <c r="D64" i="105"/>
  <c r="D55" i="106" s="1"/>
  <c r="C55" i="106" s="1"/>
  <c r="B55" i="106" s="1"/>
  <c r="A31" i="115" l="1" a="1"/>
  <c r="A31" i="115" s="1"/>
  <c r="D31" i="115" a="1"/>
  <c r="D31" i="115" s="1"/>
  <c r="C31" i="115" a="1"/>
  <c r="C31" i="115" s="1"/>
  <c r="E22" i="115"/>
  <c r="F22" i="115" s="1"/>
  <c r="B33" i="115"/>
  <c r="F19" i="114"/>
  <c r="E20" i="114"/>
  <c r="B30" i="114"/>
  <c r="F19" i="113"/>
  <c r="E20" i="113"/>
  <c r="B30" i="113"/>
  <c r="B30" i="112"/>
  <c r="F19" i="112"/>
  <c r="E20" i="112"/>
  <c r="B30" i="111"/>
  <c r="F19" i="111"/>
  <c r="E20" i="111"/>
  <c r="B28" i="110"/>
  <c r="E20" i="110"/>
  <c r="F20" i="110" s="1"/>
  <c r="E20" i="109"/>
  <c r="F20" i="109" s="1"/>
  <c r="B28" i="109"/>
  <c r="B30" i="108"/>
  <c r="F19" i="108"/>
  <c r="E20" i="108"/>
  <c r="B28" i="107"/>
  <c r="F19" i="107"/>
  <c r="E20" i="107"/>
  <c r="O64" i="105"/>
  <c r="J64" i="105" s="1"/>
  <c r="V64" i="105"/>
  <c r="X184" i="105"/>
  <c r="Y184" i="105"/>
  <c r="U184" i="105"/>
  <c r="V184" i="105" s="1"/>
  <c r="J184" i="105"/>
  <c r="D33" i="115" l="1" a="1"/>
  <c r="D33" i="115" s="1"/>
  <c r="C33" i="115" a="1"/>
  <c r="C33" i="115" s="1"/>
  <c r="A33" i="115" a="1"/>
  <c r="A33" i="115" s="1"/>
  <c r="B36" i="115"/>
  <c r="E23" i="115"/>
  <c r="F23" i="115" s="1"/>
  <c r="B32" i="114"/>
  <c r="E21" i="114"/>
  <c r="F20" i="114"/>
  <c r="B32" i="113"/>
  <c r="E21" i="113"/>
  <c r="F20" i="113"/>
  <c r="E21" i="112"/>
  <c r="F20" i="112"/>
  <c r="B32" i="112"/>
  <c r="B32" i="111"/>
  <c r="E21" i="111"/>
  <c r="F20" i="111"/>
  <c r="B30" i="110"/>
  <c r="E21" i="110"/>
  <c r="F21" i="110" s="1"/>
  <c r="B30" i="109"/>
  <c r="E21" i="109"/>
  <c r="F21" i="109" s="1"/>
  <c r="E21" i="108"/>
  <c r="F20" i="108"/>
  <c r="B32" i="108"/>
  <c r="E21" i="107"/>
  <c r="F20" i="107"/>
  <c r="B30" i="107"/>
  <c r="M64" i="105"/>
  <c r="AG183" i="105"/>
  <c r="AG185" i="105"/>
  <c r="AG186" i="105"/>
  <c r="AG187" i="105"/>
  <c r="AG188" i="105"/>
  <c r="AG189" i="105"/>
  <c r="AG190" i="105"/>
  <c r="AG191" i="105"/>
  <c r="AG192" i="105"/>
  <c r="AG193" i="105"/>
  <c r="AG194" i="105"/>
  <c r="AG195" i="105"/>
  <c r="AG196" i="105"/>
  <c r="AG197" i="105"/>
  <c r="AG198" i="105"/>
  <c r="AG199" i="105"/>
  <c r="AG200" i="105"/>
  <c r="AG201" i="105"/>
  <c r="AG206" i="105"/>
  <c r="AG207" i="105"/>
  <c r="AG202" i="105"/>
  <c r="AG203" i="105"/>
  <c r="AG204" i="105"/>
  <c r="AG205" i="105"/>
  <c r="AG208" i="105"/>
  <c r="AG209" i="105"/>
  <c r="AG210" i="105"/>
  <c r="AG211" i="105"/>
  <c r="AG212" i="105"/>
  <c r="N183" i="105"/>
  <c r="N185" i="105"/>
  <c r="N186" i="105"/>
  <c r="N187" i="105"/>
  <c r="N188" i="105"/>
  <c r="N189" i="105"/>
  <c r="N190" i="105"/>
  <c r="N191" i="105"/>
  <c r="N192" i="105"/>
  <c r="N193" i="105"/>
  <c r="N194" i="105"/>
  <c r="N195" i="105"/>
  <c r="N196" i="105"/>
  <c r="N197" i="105"/>
  <c r="N198" i="105"/>
  <c r="N199" i="105"/>
  <c r="N200" i="105"/>
  <c r="N201" i="105"/>
  <c r="N206" i="105"/>
  <c r="N207" i="105"/>
  <c r="N202" i="105"/>
  <c r="N203" i="105"/>
  <c r="N204" i="105"/>
  <c r="N205" i="105"/>
  <c r="N208" i="105"/>
  <c r="N209" i="105"/>
  <c r="N210" i="105"/>
  <c r="N211" i="105"/>
  <c r="N212" i="105"/>
  <c r="U185" i="105"/>
  <c r="U186" i="105"/>
  <c r="X183" i="105"/>
  <c r="X185" i="105"/>
  <c r="X186" i="105"/>
  <c r="X187" i="105"/>
  <c r="X188" i="105"/>
  <c r="X189" i="105"/>
  <c r="X190" i="105"/>
  <c r="X191" i="105"/>
  <c r="X192" i="105"/>
  <c r="X193" i="105"/>
  <c r="X194" i="105"/>
  <c r="X195" i="105"/>
  <c r="X196" i="105"/>
  <c r="X197" i="105"/>
  <c r="X198" i="105"/>
  <c r="X199" i="105"/>
  <c r="X200" i="105"/>
  <c r="X201" i="105"/>
  <c r="X206" i="105"/>
  <c r="X207" i="105"/>
  <c r="X202" i="105"/>
  <c r="X203" i="105"/>
  <c r="X204" i="105"/>
  <c r="X205" i="105"/>
  <c r="X208" i="105"/>
  <c r="X209" i="105"/>
  <c r="X210" i="105"/>
  <c r="X211" i="105"/>
  <c r="X212" i="105"/>
  <c r="Y183" i="105"/>
  <c r="Y185" i="105"/>
  <c r="Y186" i="105"/>
  <c r="Y187" i="105"/>
  <c r="Y188" i="105"/>
  <c r="Y189" i="105"/>
  <c r="Y190" i="105"/>
  <c r="Y191" i="105"/>
  <c r="Y192" i="105"/>
  <c r="Y193" i="105"/>
  <c r="Y194" i="105"/>
  <c r="Y195" i="105"/>
  <c r="Y196" i="105"/>
  <c r="Y197" i="105"/>
  <c r="Y198" i="105"/>
  <c r="Y199" i="105"/>
  <c r="Y200" i="105"/>
  <c r="Y201" i="105"/>
  <c r="Y206" i="105"/>
  <c r="Y207" i="105"/>
  <c r="Y202" i="105"/>
  <c r="Y203" i="105"/>
  <c r="Y204" i="105"/>
  <c r="Y205" i="105"/>
  <c r="Y208" i="105"/>
  <c r="Y209" i="105"/>
  <c r="Y210" i="105"/>
  <c r="Y211" i="105"/>
  <c r="Y212" i="105"/>
  <c r="D183" i="105"/>
  <c r="D185" i="105"/>
  <c r="D186" i="105"/>
  <c r="D187" i="105"/>
  <c r="D188" i="105"/>
  <c r="D189" i="105"/>
  <c r="D190" i="105"/>
  <c r="D191" i="105"/>
  <c r="D192" i="105"/>
  <c r="D193" i="105"/>
  <c r="D194" i="105"/>
  <c r="D195" i="105"/>
  <c r="D196" i="105"/>
  <c r="D197" i="105"/>
  <c r="D198" i="105"/>
  <c r="D199" i="105"/>
  <c r="D200" i="105"/>
  <c r="D201" i="105"/>
  <c r="D206" i="105"/>
  <c r="D207" i="105"/>
  <c r="D202" i="105"/>
  <c r="D203" i="105"/>
  <c r="D204" i="105"/>
  <c r="D205" i="105"/>
  <c r="D208" i="105"/>
  <c r="D209" i="105"/>
  <c r="D210" i="105"/>
  <c r="D211" i="105"/>
  <c r="D212" i="105"/>
  <c r="D36" i="115" l="1" a="1"/>
  <c r="D36" i="115" s="1"/>
  <c r="C36" i="115" a="1"/>
  <c r="C36" i="115" s="1"/>
  <c r="A36" i="115" a="1"/>
  <c r="A36" i="115" s="1"/>
  <c r="B38" i="115"/>
  <c r="E24" i="115"/>
  <c r="F24" i="115" s="1"/>
  <c r="B34" i="114"/>
  <c r="F21" i="114"/>
  <c r="E22" i="114"/>
  <c r="F21" i="113"/>
  <c r="E22" i="113"/>
  <c r="B34" i="113"/>
  <c r="B34" i="112"/>
  <c r="F21" i="112"/>
  <c r="E22" i="112"/>
  <c r="B34" i="111"/>
  <c r="F21" i="111"/>
  <c r="E22" i="111"/>
  <c r="E22" i="110"/>
  <c r="B32" i="110"/>
  <c r="E22" i="109"/>
  <c r="F22" i="109" s="1"/>
  <c r="B32" i="109"/>
  <c r="B34" i="108"/>
  <c r="F21" i="108"/>
  <c r="E22" i="108"/>
  <c r="B32" i="107"/>
  <c r="F21" i="107"/>
  <c r="E22" i="107"/>
  <c r="O211" i="105"/>
  <c r="J211" i="105" s="1"/>
  <c r="O205" i="105"/>
  <c r="O207" i="105"/>
  <c r="J207" i="105" s="1"/>
  <c r="O199" i="105"/>
  <c r="O195" i="105"/>
  <c r="O191" i="105"/>
  <c r="M191" i="105" s="1"/>
  <c r="O187" i="105"/>
  <c r="O209" i="105"/>
  <c r="O203" i="105"/>
  <c r="O201" i="105"/>
  <c r="M201" i="105" s="1"/>
  <c r="O197" i="105"/>
  <c r="O193" i="105"/>
  <c r="O189" i="105"/>
  <c r="O185" i="105"/>
  <c r="O210" i="105"/>
  <c r="O204" i="105"/>
  <c r="O206" i="105"/>
  <c r="J206" i="105" s="1"/>
  <c r="O198" i="105"/>
  <c r="M198" i="105" s="1"/>
  <c r="O194" i="105"/>
  <c r="M194" i="105" s="1"/>
  <c r="O190" i="105"/>
  <c r="O186" i="105"/>
  <c r="M186" i="105" s="1"/>
  <c r="O212" i="105"/>
  <c r="O208" i="105"/>
  <c r="O202" i="105"/>
  <c r="O200" i="105"/>
  <c r="J200" i="105" s="1"/>
  <c r="O196" i="105"/>
  <c r="O192" i="105"/>
  <c r="O188" i="105"/>
  <c r="O183" i="105"/>
  <c r="J183" i="105" s="1"/>
  <c r="V185" i="105"/>
  <c r="V186" i="105"/>
  <c r="N89" i="105"/>
  <c r="N101" i="105"/>
  <c r="N314" i="105"/>
  <c r="N315" i="105"/>
  <c r="N330" i="105"/>
  <c r="N351" i="105"/>
  <c r="N352" i="105"/>
  <c r="N353" i="105"/>
  <c r="N354" i="105"/>
  <c r="N357" i="105"/>
  <c r="N358" i="105"/>
  <c r="N359" i="105"/>
  <c r="N360" i="105"/>
  <c r="N361" i="105"/>
  <c r="N362" i="105"/>
  <c r="A38" i="115" l="1" a="1"/>
  <c r="A38" i="115" s="1"/>
  <c r="D38" i="115" a="1"/>
  <c r="D38" i="115" s="1"/>
  <c r="C38" i="115" a="1"/>
  <c r="C38" i="115" s="1"/>
  <c r="E25" i="115"/>
  <c r="F25" i="115" s="1"/>
  <c r="B40" i="115"/>
  <c r="E23" i="114"/>
  <c r="F22" i="114"/>
  <c r="B36" i="114"/>
  <c r="B36" i="113"/>
  <c r="E23" i="113"/>
  <c r="F22" i="113"/>
  <c r="E23" i="112"/>
  <c r="F22" i="112"/>
  <c r="B36" i="112"/>
  <c r="E23" i="111"/>
  <c r="F22" i="111"/>
  <c r="B36" i="111"/>
  <c r="B34" i="110"/>
  <c r="E23" i="110"/>
  <c r="F22" i="110"/>
  <c r="B34" i="109"/>
  <c r="E23" i="109"/>
  <c r="F23" i="109" s="1"/>
  <c r="E23" i="108"/>
  <c r="F22" i="108"/>
  <c r="B36" i="108"/>
  <c r="E23" i="107"/>
  <c r="F22" i="107"/>
  <c r="B34" i="107"/>
  <c r="M205" i="105"/>
  <c r="J205" i="105"/>
  <c r="M204" i="105"/>
  <c r="J191" i="105"/>
  <c r="M202" i="105"/>
  <c r="J187" i="105"/>
  <c r="M187" i="105"/>
  <c r="J199" i="105"/>
  <c r="M193" i="105"/>
  <c r="M207" i="105"/>
  <c r="M211" i="105"/>
  <c r="J188" i="105"/>
  <c r="M190" i="105"/>
  <c r="M195" i="105"/>
  <c r="J195" i="105"/>
  <c r="J186" i="105"/>
  <c r="M206" i="105"/>
  <c r="J202" i="105"/>
  <c r="M199" i="105"/>
  <c r="J193" i="105"/>
  <c r="J209" i="105"/>
  <c r="J204" i="105"/>
  <c r="M209" i="105"/>
  <c r="M188" i="105"/>
  <c r="J190" i="105"/>
  <c r="M200" i="105"/>
  <c r="J203" i="105"/>
  <c r="J210" i="105"/>
  <c r="M203" i="105"/>
  <c r="M183" i="105"/>
  <c r="J185" i="105"/>
  <c r="M197" i="105"/>
  <c r="M212" i="105"/>
  <c r="J189" i="105"/>
  <c r="J197" i="105"/>
  <c r="M189" i="105"/>
  <c r="J198" i="105"/>
  <c r="J208" i="105"/>
  <c r="M192" i="105"/>
  <c r="J192" i="105"/>
  <c r="J212" i="105"/>
  <c r="M210" i="105"/>
  <c r="M185" i="105"/>
  <c r="J194" i="105"/>
  <c r="J196" i="105"/>
  <c r="J201" i="105"/>
  <c r="M196" i="105"/>
  <c r="M208" i="105"/>
  <c r="A40" i="115" l="1" a="1"/>
  <c r="A40" i="115" s="1"/>
  <c r="D40" i="115" a="1"/>
  <c r="D40" i="115" s="1"/>
  <c r="C40" i="115" a="1"/>
  <c r="C40" i="115" s="1"/>
  <c r="B42" i="115"/>
  <c r="E27" i="115"/>
  <c r="F27" i="115" s="1"/>
  <c r="B38" i="114"/>
  <c r="E24" i="114"/>
  <c r="F23" i="114"/>
  <c r="E24" i="113"/>
  <c r="F23" i="113"/>
  <c r="B38" i="113"/>
  <c r="B38" i="112"/>
  <c r="E24" i="112"/>
  <c r="F23" i="112"/>
  <c r="B38" i="111"/>
  <c r="E24" i="111"/>
  <c r="F23" i="111"/>
  <c r="B36" i="110"/>
  <c r="E24" i="110"/>
  <c r="F23" i="110"/>
  <c r="E24" i="109"/>
  <c r="F24" i="109" s="1"/>
  <c r="B36" i="109"/>
  <c r="E24" i="108"/>
  <c r="F23" i="108"/>
  <c r="B38" i="108"/>
  <c r="B36" i="107"/>
  <c r="E24" i="107"/>
  <c r="F23" i="107"/>
  <c r="AG148" i="105"/>
  <c r="AG151" i="105"/>
  <c r="AG221" i="105"/>
  <c r="AG173" i="105"/>
  <c r="AG169" i="105"/>
  <c r="AG167" i="105"/>
  <c r="AG165" i="105"/>
  <c r="AG164" i="105"/>
  <c r="AG163" i="105"/>
  <c r="AG161" i="105"/>
  <c r="AG182" i="105"/>
  <c r="AG160" i="105"/>
  <c r="AG181" i="105"/>
  <c r="AG180" i="105"/>
  <c r="AG179" i="105"/>
  <c r="AG157" i="105"/>
  <c r="AG149" i="105"/>
  <c r="AG145" i="105"/>
  <c r="AG178" i="105"/>
  <c r="AG146" i="105"/>
  <c r="AG144" i="105"/>
  <c r="AG139" i="105"/>
  <c r="AG140" i="105"/>
  <c r="AG141" i="105"/>
  <c r="AG142" i="105"/>
  <c r="AG138" i="105"/>
  <c r="D42" i="115" l="1" a="1"/>
  <c r="D42" i="115" s="1"/>
  <c r="C42" i="115" a="1"/>
  <c r="C42" i="115" s="1"/>
  <c r="A42" i="115" a="1"/>
  <c r="A42" i="115" s="1"/>
  <c r="E28" i="115"/>
  <c r="F28" i="115" s="1"/>
  <c r="B44" i="115"/>
  <c r="E25" i="114"/>
  <c r="F24" i="114"/>
  <c r="B40" i="114"/>
  <c r="E25" i="113"/>
  <c r="F24" i="113"/>
  <c r="B40" i="113"/>
  <c r="E25" i="112"/>
  <c r="F24" i="112"/>
  <c r="B40" i="112"/>
  <c r="E25" i="111"/>
  <c r="F24" i="111"/>
  <c r="B40" i="111"/>
  <c r="E25" i="110"/>
  <c r="F24" i="110"/>
  <c r="B38" i="110"/>
  <c r="B38" i="109"/>
  <c r="E25" i="109"/>
  <c r="F25" i="109" s="1"/>
  <c r="B40" i="108"/>
  <c r="E25" i="108"/>
  <c r="F24" i="108"/>
  <c r="E25" i="107"/>
  <c r="F24" i="107"/>
  <c r="B38" i="107"/>
  <c r="D331" i="105"/>
  <c r="D330" i="105"/>
  <c r="D329" i="105"/>
  <c r="D324" i="105"/>
  <c r="D323" i="105"/>
  <c r="D322" i="105"/>
  <c r="D321" i="105"/>
  <c r="D320" i="105"/>
  <c r="D315" i="105"/>
  <c r="D314" i="105"/>
  <c r="D309" i="105"/>
  <c r="D308" i="105"/>
  <c r="D307" i="105"/>
  <c r="D306" i="105"/>
  <c r="D305" i="105"/>
  <c r="D300" i="105"/>
  <c r="D298" i="105"/>
  <c r="D297" i="105"/>
  <c r="D292" i="105"/>
  <c r="D291" i="105"/>
  <c r="D286" i="105"/>
  <c r="D285" i="105"/>
  <c r="D284" i="105"/>
  <c r="D283" i="105"/>
  <c r="D282" i="105"/>
  <c r="D281" i="105"/>
  <c r="D280" i="105"/>
  <c r="D279" i="105"/>
  <c r="D278" i="105"/>
  <c r="D273" i="105"/>
  <c r="D272" i="105"/>
  <c r="D271" i="105"/>
  <c r="D270" i="105"/>
  <c r="D269" i="105"/>
  <c r="D268" i="105"/>
  <c r="D267" i="105"/>
  <c r="D266" i="105"/>
  <c r="D265" i="105"/>
  <c r="A44" i="115" l="1" a="1"/>
  <c r="A44" i="115" s="1"/>
  <c r="D44" i="115" a="1"/>
  <c r="D44" i="115" s="1"/>
  <c r="C44" i="115" a="1"/>
  <c r="C44" i="115" s="1"/>
  <c r="B46" i="115"/>
  <c r="E29" i="115"/>
  <c r="F29" i="115" s="1"/>
  <c r="B42" i="114"/>
  <c r="E26" i="114"/>
  <c r="F25" i="114"/>
  <c r="B42" i="113"/>
  <c r="E26" i="113"/>
  <c r="F25" i="113"/>
  <c r="B42" i="112"/>
  <c r="E26" i="112"/>
  <c r="F25" i="112"/>
  <c r="B42" i="111"/>
  <c r="E26" i="111"/>
  <c r="F25" i="111"/>
  <c r="B40" i="110"/>
  <c r="E26" i="110"/>
  <c r="F25" i="110"/>
  <c r="E26" i="109"/>
  <c r="F26" i="109" s="1"/>
  <c r="B40" i="109"/>
  <c r="B42" i="108"/>
  <c r="E26" i="108"/>
  <c r="F25" i="108"/>
  <c r="B40" i="107"/>
  <c r="E26" i="107"/>
  <c r="F25" i="107"/>
  <c r="X365" i="105"/>
  <c r="X363" i="105"/>
  <c r="X265" i="105"/>
  <c r="X279" i="105"/>
  <c r="X280" i="105"/>
  <c r="X281" i="105"/>
  <c r="X270" i="105"/>
  <c r="X284" i="105"/>
  <c r="X272" i="105"/>
  <c r="X286" i="105"/>
  <c r="AC365" i="105"/>
  <c r="N365" i="105" s="1"/>
  <c r="Y365" i="105"/>
  <c r="R365" i="105"/>
  <c r="AC364" i="105"/>
  <c r="N364" i="105" s="1"/>
  <c r="Y364" i="105"/>
  <c r="U364" i="105"/>
  <c r="R364" i="105"/>
  <c r="AC363" i="105"/>
  <c r="N363" i="105" s="1"/>
  <c r="Y363" i="105"/>
  <c r="U363" i="105"/>
  <c r="R363" i="105"/>
  <c r="R362" i="105"/>
  <c r="O362" i="105"/>
  <c r="R361" i="105"/>
  <c r="O361" i="105"/>
  <c r="V361" i="105"/>
  <c r="R360" i="105"/>
  <c r="O360" i="105"/>
  <c r="R359" i="105"/>
  <c r="O359" i="105"/>
  <c r="R358" i="105"/>
  <c r="O358" i="105"/>
  <c r="R357" i="105"/>
  <c r="O357" i="105"/>
  <c r="O354" i="105"/>
  <c r="U353" i="105"/>
  <c r="R353" i="105"/>
  <c r="O353" i="105"/>
  <c r="U352" i="105"/>
  <c r="R352" i="105"/>
  <c r="O352" i="105"/>
  <c r="U351" i="105"/>
  <c r="R351" i="105"/>
  <c r="O351" i="105"/>
  <c r="AC341" i="105"/>
  <c r="N341" i="105" s="1"/>
  <c r="R341" i="105"/>
  <c r="AC340" i="105"/>
  <c r="N340" i="105" s="1"/>
  <c r="R340" i="105"/>
  <c r="AC339" i="105"/>
  <c r="N339" i="105" s="1"/>
  <c r="R339" i="105"/>
  <c r="AC338" i="105"/>
  <c r="N338" i="105" s="1"/>
  <c r="R338" i="105"/>
  <c r="AC337" i="105"/>
  <c r="N337" i="105" s="1"/>
  <c r="R337" i="105"/>
  <c r="AC336" i="105"/>
  <c r="N336" i="105" s="1"/>
  <c r="R336" i="105"/>
  <c r="AC331" i="105"/>
  <c r="R331" i="105"/>
  <c r="S331" i="105" s="1"/>
  <c r="R330" i="105"/>
  <c r="S330" i="105" s="1"/>
  <c r="AC329" i="105"/>
  <c r="N329" i="105" s="1"/>
  <c r="R329" i="105"/>
  <c r="S329" i="105" s="1"/>
  <c r="AE324" i="105"/>
  <c r="U324" i="105"/>
  <c r="R324" i="105"/>
  <c r="AE323" i="105"/>
  <c r="U323" i="105"/>
  <c r="R323" i="105"/>
  <c r="AE322" i="105"/>
  <c r="O322" i="105" s="1"/>
  <c r="AD322" i="105"/>
  <c r="U322" i="105"/>
  <c r="R322" i="105"/>
  <c r="AE321" i="105"/>
  <c r="O321" i="105" s="1"/>
  <c r="AD321" i="105"/>
  <c r="U321" i="105"/>
  <c r="R321" i="105"/>
  <c r="AE320" i="105"/>
  <c r="O320" i="105" s="1"/>
  <c r="AD320" i="105"/>
  <c r="U320" i="105"/>
  <c r="R320" i="105"/>
  <c r="U315" i="105"/>
  <c r="R315" i="105"/>
  <c r="U314" i="105"/>
  <c r="R314" i="105"/>
  <c r="AC309" i="105"/>
  <c r="N309" i="105" s="1"/>
  <c r="U309" i="105"/>
  <c r="R309" i="105"/>
  <c r="AC308" i="105"/>
  <c r="N308" i="105" s="1"/>
  <c r="U308" i="105"/>
  <c r="R308" i="105"/>
  <c r="AC307" i="105"/>
  <c r="N307" i="105" s="1"/>
  <c r="U307" i="105"/>
  <c r="AC306" i="105"/>
  <c r="N306" i="105" s="1"/>
  <c r="U306" i="105"/>
  <c r="AC305" i="105"/>
  <c r="N305" i="105" s="1"/>
  <c r="U305" i="105"/>
  <c r="AC300" i="105"/>
  <c r="N300" i="105" s="1"/>
  <c r="U300" i="105"/>
  <c r="AC298" i="105"/>
  <c r="N298" i="105" s="1"/>
  <c r="U298" i="105"/>
  <c r="AC297" i="105"/>
  <c r="AC292" i="105"/>
  <c r="N292" i="105" s="1"/>
  <c r="Y292" i="105"/>
  <c r="X292" i="105"/>
  <c r="U292" i="105"/>
  <c r="AC291" i="105"/>
  <c r="N291" i="105" s="1"/>
  <c r="Y291" i="105"/>
  <c r="X291" i="105"/>
  <c r="Z286" i="105"/>
  <c r="AC286" i="105" s="1"/>
  <c r="N286" i="105" s="1"/>
  <c r="Y286" i="105"/>
  <c r="Z285" i="105"/>
  <c r="AC285" i="105" s="1"/>
  <c r="N285" i="105" s="1"/>
  <c r="Y285" i="105"/>
  <c r="Z284" i="105"/>
  <c r="AC284" i="105" s="1"/>
  <c r="N284" i="105" s="1"/>
  <c r="Y284" i="105"/>
  <c r="Z283" i="105"/>
  <c r="Y283" i="105"/>
  <c r="Z282" i="105"/>
  <c r="AC282" i="105" s="1"/>
  <c r="N282" i="105" s="1"/>
  <c r="Y282" i="105"/>
  <c r="Z281" i="105"/>
  <c r="AC281" i="105" s="1"/>
  <c r="N281" i="105" s="1"/>
  <c r="Y281" i="105"/>
  <c r="AC280" i="105"/>
  <c r="N280" i="105" s="1"/>
  <c r="Y280" i="105"/>
  <c r="Z279" i="105"/>
  <c r="AC279" i="105" s="1"/>
  <c r="N279" i="105" s="1"/>
  <c r="Y279" i="105"/>
  <c r="Z278" i="105"/>
  <c r="AC278" i="105" s="1"/>
  <c r="N278" i="105" s="1"/>
  <c r="Y278" i="105"/>
  <c r="Z273" i="105"/>
  <c r="Y273" i="105"/>
  <c r="Z272" i="105"/>
  <c r="AC272" i="105" s="1"/>
  <c r="N272" i="105" s="1"/>
  <c r="Y272" i="105"/>
  <c r="Z271" i="105"/>
  <c r="AC271" i="105" s="1"/>
  <c r="N271" i="105" s="1"/>
  <c r="Y271" i="105"/>
  <c r="Z270" i="105"/>
  <c r="AC270" i="105" s="1"/>
  <c r="N270" i="105" s="1"/>
  <c r="Y270" i="105"/>
  <c r="AC269" i="105"/>
  <c r="N269" i="105" s="1"/>
  <c r="Y269" i="105"/>
  <c r="AC268" i="105"/>
  <c r="N268" i="105" s="1"/>
  <c r="Y268" i="105"/>
  <c r="AC267" i="105"/>
  <c r="N267" i="105" s="1"/>
  <c r="Y267" i="105"/>
  <c r="Z266" i="105"/>
  <c r="Y266" i="105"/>
  <c r="Z265" i="105"/>
  <c r="Y265" i="105"/>
  <c r="D217" i="105"/>
  <c r="AC217" i="105"/>
  <c r="N217" i="105" s="1"/>
  <c r="Y217" i="105"/>
  <c r="X216" i="105"/>
  <c r="AC216" i="105"/>
  <c r="N216" i="105" s="1"/>
  <c r="Y216" i="105"/>
  <c r="U216" i="105"/>
  <c r="D221" i="105"/>
  <c r="X221" i="105" s="1"/>
  <c r="AC221" i="105"/>
  <c r="N221" i="105" s="1"/>
  <c r="Y221" i="105"/>
  <c r="D177" i="105"/>
  <c r="X177" i="105" s="1"/>
  <c r="AC177" i="105"/>
  <c r="N177" i="105" s="1"/>
  <c r="Y177" i="105"/>
  <c r="D173" i="105"/>
  <c r="X173" i="105" s="1"/>
  <c r="AC173" i="105"/>
  <c r="N173" i="105" s="1"/>
  <c r="Y173" i="105"/>
  <c r="D169" i="105"/>
  <c r="X169" i="105" s="1"/>
  <c r="AC169" i="105"/>
  <c r="N169" i="105" s="1"/>
  <c r="Y169" i="105"/>
  <c r="D168" i="105"/>
  <c r="X168" i="105" s="1"/>
  <c r="AC168" i="105"/>
  <c r="N168" i="105" s="1"/>
  <c r="Y168" i="105"/>
  <c r="D167" i="105"/>
  <c r="X167" i="105" s="1"/>
  <c r="AC167" i="105"/>
  <c r="N167" i="105" s="1"/>
  <c r="Y167" i="105"/>
  <c r="D166" i="105"/>
  <c r="AC166" i="105"/>
  <c r="N166" i="105" s="1"/>
  <c r="Y166" i="105"/>
  <c r="D165" i="105"/>
  <c r="X165" i="105" s="1"/>
  <c r="AC165" i="105"/>
  <c r="N165" i="105" s="1"/>
  <c r="Y165" i="105"/>
  <c r="D164" i="105"/>
  <c r="X164" i="105" s="1"/>
  <c r="AC164" i="105"/>
  <c r="N164" i="105" s="1"/>
  <c r="Y164" i="105"/>
  <c r="D163" i="105"/>
  <c r="X163" i="105" s="1"/>
  <c r="AC163" i="105"/>
  <c r="N163" i="105" s="1"/>
  <c r="Y163" i="105"/>
  <c r="D162" i="105"/>
  <c r="X162" i="105" s="1"/>
  <c r="AC162" i="105"/>
  <c r="N162" i="105" s="1"/>
  <c r="Y162" i="105"/>
  <c r="D161" i="105"/>
  <c r="X161" i="105" s="1"/>
  <c r="AC161" i="105"/>
  <c r="N161" i="105" s="1"/>
  <c r="Y161" i="105"/>
  <c r="D182" i="105"/>
  <c r="X182" i="105" s="1"/>
  <c r="AC182" i="105"/>
  <c r="N182" i="105" s="1"/>
  <c r="Y182" i="105"/>
  <c r="D160" i="105"/>
  <c r="X160" i="105" s="1"/>
  <c r="AC160" i="105"/>
  <c r="N160" i="105" s="1"/>
  <c r="Y160" i="105"/>
  <c r="D181" i="105"/>
  <c r="X181" i="105" s="1"/>
  <c r="AC181" i="105"/>
  <c r="N181" i="105" s="1"/>
  <c r="Y181" i="105"/>
  <c r="D180" i="105"/>
  <c r="X180" i="105" s="1"/>
  <c r="AC180" i="105"/>
  <c r="N180" i="105" s="1"/>
  <c r="Y180" i="105"/>
  <c r="D179" i="105"/>
  <c r="X179" i="105" s="1"/>
  <c r="AC179" i="105"/>
  <c r="N179" i="105" s="1"/>
  <c r="Y179" i="105"/>
  <c r="D158" i="105"/>
  <c r="X158" i="105" s="1"/>
  <c r="AC158" i="105"/>
  <c r="N158" i="105" s="1"/>
  <c r="Y158" i="105"/>
  <c r="D157" i="105"/>
  <c r="X157" i="105" s="1"/>
  <c r="AC157" i="105"/>
  <c r="N157" i="105" s="1"/>
  <c r="Y157" i="105"/>
  <c r="D156" i="105"/>
  <c r="X156" i="105" s="1"/>
  <c r="AC156" i="105"/>
  <c r="N156" i="105" s="1"/>
  <c r="Y156" i="105"/>
  <c r="D155" i="105"/>
  <c r="X155" i="105" s="1"/>
  <c r="AC155" i="105"/>
  <c r="N155" i="105" s="1"/>
  <c r="Y155" i="105"/>
  <c r="D153" i="105"/>
  <c r="X153" i="105" s="1"/>
  <c r="AC153" i="105"/>
  <c r="N153" i="105" s="1"/>
  <c r="Y153" i="105"/>
  <c r="D152" i="105"/>
  <c r="X152" i="105" s="1"/>
  <c r="AC152" i="105"/>
  <c r="N152" i="105" s="1"/>
  <c r="Y152" i="105"/>
  <c r="D151" i="105"/>
  <c r="X151" i="105" s="1"/>
  <c r="AC151" i="105"/>
  <c r="N151" i="105" s="1"/>
  <c r="Y151" i="105"/>
  <c r="D149" i="105"/>
  <c r="X149" i="105" s="1"/>
  <c r="AC149" i="105"/>
  <c r="N149" i="105" s="1"/>
  <c r="Y149" i="105"/>
  <c r="D148" i="105"/>
  <c r="X148" i="105" s="1"/>
  <c r="AC148" i="105"/>
  <c r="N148" i="105" s="1"/>
  <c r="Y148" i="105"/>
  <c r="D146" i="105"/>
  <c r="X146" i="105" s="1"/>
  <c r="AC146" i="105"/>
  <c r="N146" i="105" s="1"/>
  <c r="Y146" i="105"/>
  <c r="D178" i="105"/>
  <c r="X178" i="105" s="1"/>
  <c r="AC178" i="105"/>
  <c r="N178" i="105" s="1"/>
  <c r="Y178" i="105"/>
  <c r="D145" i="105"/>
  <c r="X145" i="105" s="1"/>
  <c r="AC145" i="105"/>
  <c r="N145" i="105" s="1"/>
  <c r="Y145" i="105"/>
  <c r="D144" i="105"/>
  <c r="X144" i="105" s="1"/>
  <c r="AC144" i="105"/>
  <c r="N144" i="105" s="1"/>
  <c r="Y144" i="105"/>
  <c r="D142" i="105"/>
  <c r="X142" i="105" s="1"/>
  <c r="AC142" i="105"/>
  <c r="N142" i="105" s="1"/>
  <c r="Y142" i="105"/>
  <c r="D141" i="105"/>
  <c r="X141" i="105" s="1"/>
  <c r="AC141" i="105"/>
  <c r="N141" i="105" s="1"/>
  <c r="Y141" i="105"/>
  <c r="D140" i="105"/>
  <c r="X140" i="105" s="1"/>
  <c r="AC140" i="105"/>
  <c r="N140" i="105" s="1"/>
  <c r="Y140" i="105"/>
  <c r="D139" i="105"/>
  <c r="X139" i="105" s="1"/>
  <c r="AC139" i="105"/>
  <c r="N139" i="105" s="1"/>
  <c r="Y139" i="105"/>
  <c r="D138" i="105"/>
  <c r="X138" i="105" s="1"/>
  <c r="AC138" i="105"/>
  <c r="N138" i="105" s="1"/>
  <c r="Y138" i="105"/>
  <c r="D134" i="105"/>
  <c r="X134" i="105" s="1"/>
  <c r="AC134" i="105"/>
  <c r="N134" i="105" s="1"/>
  <c r="Y134" i="105"/>
  <c r="D133" i="105"/>
  <c r="AC133" i="105"/>
  <c r="N133" i="105" s="1"/>
  <c r="Y133" i="105"/>
  <c r="D258" i="105"/>
  <c r="X258" i="105" s="1"/>
  <c r="AC258" i="105"/>
  <c r="N258" i="105" s="1"/>
  <c r="Y258" i="105"/>
  <c r="U258" i="105"/>
  <c r="D257" i="105"/>
  <c r="X257" i="105" s="1"/>
  <c r="AC257" i="105"/>
  <c r="N257" i="105" s="1"/>
  <c r="Y257" i="105"/>
  <c r="U257" i="105"/>
  <c r="D256" i="105"/>
  <c r="X256" i="105" s="1"/>
  <c r="AC256" i="105"/>
  <c r="N256" i="105" s="1"/>
  <c r="Y256" i="105"/>
  <c r="U256" i="105"/>
  <c r="D255" i="105"/>
  <c r="X255" i="105" s="1"/>
  <c r="AC255" i="105"/>
  <c r="N255" i="105" s="1"/>
  <c r="Y255" i="105"/>
  <c r="U255" i="105"/>
  <c r="D254" i="105"/>
  <c r="X254" i="105" s="1"/>
  <c r="AC254" i="105"/>
  <c r="N254" i="105" s="1"/>
  <c r="Y254" i="105"/>
  <c r="U254" i="105"/>
  <c r="D253" i="105"/>
  <c r="X253" i="105" s="1"/>
  <c r="AC253" i="105"/>
  <c r="N253" i="105" s="1"/>
  <c r="Y253" i="105"/>
  <c r="U253" i="105"/>
  <c r="D252" i="105"/>
  <c r="X252" i="105" s="1"/>
  <c r="AC252" i="105"/>
  <c r="N252" i="105" s="1"/>
  <c r="Y252" i="105"/>
  <c r="U252" i="105"/>
  <c r="D251" i="105"/>
  <c r="X251" i="105" s="1"/>
  <c r="AC251" i="105"/>
  <c r="N251" i="105" s="1"/>
  <c r="Y251" i="105"/>
  <c r="U251" i="105"/>
  <c r="D250" i="105"/>
  <c r="X250" i="105" s="1"/>
  <c r="AC250" i="105"/>
  <c r="N250" i="105" s="1"/>
  <c r="Y250" i="105"/>
  <c r="U250" i="105"/>
  <c r="D249" i="105"/>
  <c r="X249" i="105" s="1"/>
  <c r="AC249" i="105"/>
  <c r="N249" i="105" s="1"/>
  <c r="Y249" i="105"/>
  <c r="U249" i="105"/>
  <c r="D248" i="105"/>
  <c r="X248" i="105" s="1"/>
  <c r="AC248" i="105"/>
  <c r="N248" i="105" s="1"/>
  <c r="Y248" i="105"/>
  <c r="U248" i="105"/>
  <c r="D247" i="105"/>
  <c r="X247" i="105" s="1"/>
  <c r="AC247" i="105"/>
  <c r="N247" i="105" s="1"/>
  <c r="Y247" i="105"/>
  <c r="U247" i="105"/>
  <c r="D243" i="105"/>
  <c r="AC243" i="105"/>
  <c r="N243" i="105" s="1"/>
  <c r="Y243" i="105"/>
  <c r="X243" i="105"/>
  <c r="U243" i="105"/>
  <c r="D242" i="105"/>
  <c r="AC242" i="105"/>
  <c r="N242" i="105" s="1"/>
  <c r="Y242" i="105"/>
  <c r="X242" i="105"/>
  <c r="U242" i="105"/>
  <c r="D241" i="105"/>
  <c r="X241" i="105" s="1"/>
  <c r="AC241" i="105"/>
  <c r="N241" i="105" s="1"/>
  <c r="Y241" i="105"/>
  <c r="U241" i="105"/>
  <c r="D240" i="105"/>
  <c r="X240" i="105" s="1"/>
  <c r="AC240" i="105"/>
  <c r="N240" i="105" s="1"/>
  <c r="Y240" i="105"/>
  <c r="U240" i="105"/>
  <c r="D239" i="105"/>
  <c r="X239" i="105" s="1"/>
  <c r="AC239" i="105"/>
  <c r="N239" i="105" s="1"/>
  <c r="Y239" i="105"/>
  <c r="U239" i="105"/>
  <c r="D238" i="105"/>
  <c r="X238" i="105" s="1"/>
  <c r="AC238" i="105"/>
  <c r="N238" i="105" s="1"/>
  <c r="Y238" i="105"/>
  <c r="U238" i="105"/>
  <c r="D237" i="105"/>
  <c r="X237" i="105" s="1"/>
  <c r="AC237" i="105"/>
  <c r="N237" i="105" s="1"/>
  <c r="Y237" i="105"/>
  <c r="U237" i="105"/>
  <c r="D236" i="105"/>
  <c r="X236" i="105" s="1"/>
  <c r="AC236" i="105"/>
  <c r="N236" i="105" s="1"/>
  <c r="Y236" i="105"/>
  <c r="U236" i="105"/>
  <c r="D235" i="105"/>
  <c r="AC235" i="105"/>
  <c r="N235" i="105" s="1"/>
  <c r="Y235" i="105"/>
  <c r="D234" i="105"/>
  <c r="X234" i="105" s="1"/>
  <c r="AC234" i="105"/>
  <c r="N234" i="105" s="1"/>
  <c r="Y234" i="105"/>
  <c r="U234" i="105"/>
  <c r="D128" i="105"/>
  <c r="X128" i="105" s="1"/>
  <c r="AC128" i="105"/>
  <c r="N128" i="105" s="1"/>
  <c r="Y128" i="105"/>
  <c r="D124" i="105"/>
  <c r="X124" i="105" s="1"/>
  <c r="AC124" i="105"/>
  <c r="N124" i="105" s="1"/>
  <c r="Y124" i="105"/>
  <c r="D111" i="105"/>
  <c r="X111" i="105" s="1"/>
  <c r="AC111" i="105"/>
  <c r="N111" i="105" s="1"/>
  <c r="Y111" i="105"/>
  <c r="D110" i="105"/>
  <c r="X110" i="105" s="1"/>
  <c r="AC110" i="105"/>
  <c r="N110" i="105" s="1"/>
  <c r="Y110" i="105"/>
  <c r="D109" i="105"/>
  <c r="X109" i="105" s="1"/>
  <c r="AC109" i="105"/>
  <c r="N109" i="105" s="1"/>
  <c r="Y109" i="105"/>
  <c r="D108" i="105"/>
  <c r="X108" i="105" s="1"/>
  <c r="AC108" i="105"/>
  <c r="N108" i="105" s="1"/>
  <c r="Y108" i="105"/>
  <c r="D107" i="105"/>
  <c r="X107" i="105" s="1"/>
  <c r="AC107" i="105"/>
  <c r="N107" i="105" s="1"/>
  <c r="Y107" i="105"/>
  <c r="D106" i="105"/>
  <c r="X106" i="105" s="1"/>
  <c r="AC106" i="105"/>
  <c r="N106" i="105" s="1"/>
  <c r="Y106" i="105"/>
  <c r="D104" i="105"/>
  <c r="X104" i="105" s="1"/>
  <c r="AC104" i="105"/>
  <c r="N104" i="105" s="1"/>
  <c r="Y104" i="105"/>
  <c r="D103" i="105"/>
  <c r="X103" i="105" s="1"/>
  <c r="AC103" i="105"/>
  <c r="N103" i="105" s="1"/>
  <c r="Y103" i="105"/>
  <c r="D366" i="105"/>
  <c r="X366" i="105" s="1"/>
  <c r="AC366" i="105"/>
  <c r="N366" i="105" s="1"/>
  <c r="Y366" i="105"/>
  <c r="U366" i="105"/>
  <c r="R366" i="105"/>
  <c r="D101" i="105"/>
  <c r="X101" i="105" s="1"/>
  <c r="Y101" i="105"/>
  <c r="U101" i="105"/>
  <c r="D100" i="105"/>
  <c r="X100" i="105" s="1"/>
  <c r="AC100" i="105"/>
  <c r="N100" i="105" s="1"/>
  <c r="Y100" i="105"/>
  <c r="D90" i="105"/>
  <c r="X90" i="105" s="1"/>
  <c r="AC90" i="105"/>
  <c r="N90" i="105" s="1"/>
  <c r="Y90" i="105"/>
  <c r="D94" i="105"/>
  <c r="X94" i="105" s="1"/>
  <c r="AC94" i="105"/>
  <c r="N94" i="105" s="1"/>
  <c r="Y94" i="105"/>
  <c r="D89" i="105"/>
  <c r="X89" i="105" s="1"/>
  <c r="Y89" i="105"/>
  <c r="D96" i="105"/>
  <c r="X96" i="105" s="1"/>
  <c r="AC96" i="105"/>
  <c r="N96" i="105" s="1"/>
  <c r="Y96" i="105"/>
  <c r="D95" i="105"/>
  <c r="X95" i="105" s="1"/>
  <c r="AC95" i="105"/>
  <c r="N95" i="105" s="1"/>
  <c r="Y95" i="105"/>
  <c r="D88" i="105"/>
  <c r="X88" i="105" s="1"/>
  <c r="AC88" i="105"/>
  <c r="N88" i="105" s="1"/>
  <c r="Y88" i="105"/>
  <c r="D87" i="105"/>
  <c r="X87" i="105" s="1"/>
  <c r="AC87" i="105"/>
  <c r="N87" i="105" s="1"/>
  <c r="Y87" i="105"/>
  <c r="D86" i="105"/>
  <c r="X86" i="105" s="1"/>
  <c r="AC86" i="105"/>
  <c r="N86" i="105" s="1"/>
  <c r="Y86" i="105"/>
  <c r="D85" i="105"/>
  <c r="X85" i="105" s="1"/>
  <c r="AC85" i="105"/>
  <c r="N85" i="105" s="1"/>
  <c r="Y85" i="105"/>
  <c r="D84" i="105"/>
  <c r="X84" i="105" s="1"/>
  <c r="AC84" i="105"/>
  <c r="N84" i="105" s="1"/>
  <c r="Y84" i="105"/>
  <c r="D83" i="105"/>
  <c r="X83" i="105" s="1"/>
  <c r="AC83" i="105"/>
  <c r="N83" i="105" s="1"/>
  <c r="Y83" i="105"/>
  <c r="D82" i="105"/>
  <c r="X82" i="105" s="1"/>
  <c r="AC82" i="105"/>
  <c r="N82" i="105" s="1"/>
  <c r="Y82" i="105"/>
  <c r="D81" i="105"/>
  <c r="X81" i="105" s="1"/>
  <c r="AC81" i="105"/>
  <c r="N81" i="105" s="1"/>
  <c r="Y81" i="105"/>
  <c r="D117" i="105"/>
  <c r="X117" i="105" s="1"/>
  <c r="AC117" i="105"/>
  <c r="N117" i="105" s="1"/>
  <c r="Y117" i="105"/>
  <c r="D80" i="105"/>
  <c r="X80" i="105" s="1"/>
  <c r="AC80" i="105"/>
  <c r="N80" i="105" s="1"/>
  <c r="Y80" i="105"/>
  <c r="D116" i="105"/>
  <c r="X116" i="105" s="1"/>
  <c r="AC116" i="105"/>
  <c r="N116" i="105" s="1"/>
  <c r="Y116" i="105"/>
  <c r="D79" i="105"/>
  <c r="X79" i="105" s="1"/>
  <c r="AC79" i="105"/>
  <c r="N79" i="105" s="1"/>
  <c r="Y79" i="105"/>
  <c r="D115" i="105"/>
  <c r="X115" i="105" s="1"/>
  <c r="AC115" i="105"/>
  <c r="N115" i="105" s="1"/>
  <c r="Y115" i="105"/>
  <c r="D78" i="105"/>
  <c r="X78" i="105" s="1"/>
  <c r="AC78" i="105"/>
  <c r="N78" i="105" s="1"/>
  <c r="Y78" i="105"/>
  <c r="D77" i="105"/>
  <c r="X77" i="105" s="1"/>
  <c r="AC77" i="105"/>
  <c r="N77" i="105" s="1"/>
  <c r="Y77" i="105"/>
  <c r="D114" i="105"/>
  <c r="X114" i="105" s="1"/>
  <c r="AC114" i="105"/>
  <c r="N114" i="105" s="1"/>
  <c r="Y114" i="105"/>
  <c r="D113" i="105"/>
  <c r="X113" i="105" s="1"/>
  <c r="AC113" i="105"/>
  <c r="N113" i="105" s="1"/>
  <c r="Y113" i="105"/>
  <c r="D76" i="105"/>
  <c r="X76" i="105" s="1"/>
  <c r="AC76" i="105"/>
  <c r="N76" i="105" s="1"/>
  <c r="Y76" i="105"/>
  <c r="D57" i="105"/>
  <c r="X57" i="105" s="1"/>
  <c r="AC57" i="105"/>
  <c r="N57" i="105" s="1"/>
  <c r="Y57" i="105"/>
  <c r="D75" i="105"/>
  <c r="X75" i="105" s="1"/>
  <c r="AC75" i="105"/>
  <c r="N75" i="105" s="1"/>
  <c r="Y75" i="105"/>
  <c r="D74" i="105"/>
  <c r="X74" i="105" s="1"/>
  <c r="AC74" i="105"/>
  <c r="N74" i="105" s="1"/>
  <c r="Y74" i="105"/>
  <c r="D73" i="105"/>
  <c r="X73" i="105" s="1"/>
  <c r="AC73" i="105"/>
  <c r="N73" i="105" s="1"/>
  <c r="Y73" i="105"/>
  <c r="D72" i="105"/>
  <c r="AC72" i="105"/>
  <c r="N72" i="105" s="1"/>
  <c r="Y72" i="105"/>
  <c r="X72" i="105"/>
  <c r="D71" i="105"/>
  <c r="AC71" i="105"/>
  <c r="N71" i="105" s="1"/>
  <c r="Y71" i="105"/>
  <c r="D70" i="105"/>
  <c r="AC70" i="105"/>
  <c r="N70" i="105" s="1"/>
  <c r="Y70" i="105"/>
  <c r="X70" i="105"/>
  <c r="D118" i="105"/>
  <c r="X118" i="105" s="1"/>
  <c r="AC118" i="105"/>
  <c r="N118" i="105" s="1"/>
  <c r="Y118" i="105"/>
  <c r="D69" i="105"/>
  <c r="X69" i="105" s="1"/>
  <c r="AC69" i="105"/>
  <c r="N69" i="105" s="1"/>
  <c r="Y69" i="105"/>
  <c r="D68" i="105"/>
  <c r="X68" i="105" s="1"/>
  <c r="AC68" i="105"/>
  <c r="N68" i="105" s="1"/>
  <c r="Y68" i="105"/>
  <c r="D63" i="105"/>
  <c r="AC63" i="105"/>
  <c r="N63" i="105" s="1"/>
  <c r="Y63" i="105"/>
  <c r="D62" i="105"/>
  <c r="AC62" i="105"/>
  <c r="N62" i="105" s="1"/>
  <c r="Y62" i="105"/>
  <c r="U62" i="105"/>
  <c r="D61" i="105"/>
  <c r="AC61" i="105"/>
  <c r="N61" i="105" s="1"/>
  <c r="Y61" i="105"/>
  <c r="D60" i="105"/>
  <c r="AC60" i="105"/>
  <c r="N60" i="105" s="1"/>
  <c r="Y60" i="105"/>
  <c r="U60" i="105"/>
  <c r="D59" i="105"/>
  <c r="AC59" i="105"/>
  <c r="N59" i="105" s="1"/>
  <c r="Y59" i="105"/>
  <c r="D58" i="105"/>
  <c r="AC58" i="105"/>
  <c r="N58" i="105" s="1"/>
  <c r="Y58" i="105"/>
  <c r="U58" i="105"/>
  <c r="D56" i="105"/>
  <c r="AC56" i="105"/>
  <c r="N56" i="105" s="1"/>
  <c r="Y56" i="105"/>
  <c r="U56" i="105"/>
  <c r="D55" i="105"/>
  <c r="AC55" i="105"/>
  <c r="N55" i="105" s="1"/>
  <c r="Y55" i="105"/>
  <c r="D54" i="105"/>
  <c r="AC54" i="105"/>
  <c r="N54" i="105" s="1"/>
  <c r="Y54" i="105"/>
  <c r="D53" i="105"/>
  <c r="AC53" i="105"/>
  <c r="N53" i="105" s="1"/>
  <c r="Y53" i="105"/>
  <c r="D52" i="105"/>
  <c r="AC52" i="105"/>
  <c r="N52" i="105" s="1"/>
  <c r="Y52" i="105"/>
  <c r="D51" i="105"/>
  <c r="AC51" i="105"/>
  <c r="N51" i="105" s="1"/>
  <c r="Y51" i="105"/>
  <c r="D50" i="105"/>
  <c r="AC50" i="105"/>
  <c r="N50" i="105" s="1"/>
  <c r="Y50" i="105"/>
  <c r="D49" i="105"/>
  <c r="AC49" i="105"/>
  <c r="N49" i="105" s="1"/>
  <c r="Y49" i="105"/>
  <c r="D48" i="105"/>
  <c r="AC48" i="105"/>
  <c r="N48" i="105" s="1"/>
  <c r="Y48" i="105"/>
  <c r="D47" i="105"/>
  <c r="AC47" i="105"/>
  <c r="N47" i="105" s="1"/>
  <c r="Y47" i="105"/>
  <c r="D46" i="105"/>
  <c r="AC46" i="105"/>
  <c r="N46" i="105" s="1"/>
  <c r="Y46" i="105"/>
  <c r="D45" i="105"/>
  <c r="AC45" i="105"/>
  <c r="N45" i="105" s="1"/>
  <c r="Y45" i="105"/>
  <c r="D44" i="105"/>
  <c r="AC44" i="105"/>
  <c r="N44" i="105" s="1"/>
  <c r="Y44" i="105"/>
  <c r="D43" i="105"/>
  <c r="AC43" i="105"/>
  <c r="N43" i="105" s="1"/>
  <c r="Y43" i="105"/>
  <c r="D42" i="105"/>
  <c r="AC42" i="105"/>
  <c r="N42" i="105" s="1"/>
  <c r="Y42" i="105"/>
  <c r="D41" i="105"/>
  <c r="AC41" i="105"/>
  <c r="N41" i="105" s="1"/>
  <c r="Y41" i="105"/>
  <c r="D40" i="105"/>
  <c r="AC40" i="105"/>
  <c r="N40" i="105" s="1"/>
  <c r="Y40" i="105"/>
  <c r="D39" i="105"/>
  <c r="AC39" i="105"/>
  <c r="N39" i="105" s="1"/>
  <c r="Y39" i="105"/>
  <c r="D38" i="105"/>
  <c r="AC38" i="105"/>
  <c r="N38" i="105" s="1"/>
  <c r="Y38" i="105"/>
  <c r="D37" i="105"/>
  <c r="AC37" i="105"/>
  <c r="N37" i="105" s="1"/>
  <c r="Y37" i="105"/>
  <c r="D36" i="105"/>
  <c r="D28" i="106" s="1"/>
  <c r="C28" i="106" s="1"/>
  <c r="B28" i="106" s="1"/>
  <c r="AC36" i="105"/>
  <c r="N36" i="105" s="1"/>
  <c r="Y36" i="105"/>
  <c r="D32" i="105"/>
  <c r="AC32" i="105"/>
  <c r="N32" i="105" s="1"/>
  <c r="Y32" i="105"/>
  <c r="D31" i="105"/>
  <c r="AC31" i="105"/>
  <c r="N31" i="105" s="1"/>
  <c r="Y31" i="105"/>
  <c r="D30" i="105"/>
  <c r="AC30" i="105"/>
  <c r="N30" i="105" s="1"/>
  <c r="Y30" i="105"/>
  <c r="D29" i="105"/>
  <c r="AC29" i="105"/>
  <c r="N29" i="105" s="1"/>
  <c r="Y29" i="105"/>
  <c r="D28" i="105"/>
  <c r="AC28" i="105"/>
  <c r="N28" i="105" s="1"/>
  <c r="Y28" i="105"/>
  <c r="D27" i="105"/>
  <c r="AC27" i="105"/>
  <c r="N27" i="105" s="1"/>
  <c r="Y27" i="105"/>
  <c r="D26" i="105"/>
  <c r="AC26" i="105"/>
  <c r="N26" i="105" s="1"/>
  <c r="Y26" i="105"/>
  <c r="D22" i="105"/>
  <c r="AC22" i="105"/>
  <c r="N22" i="105" s="1"/>
  <c r="Y22" i="105"/>
  <c r="D19" i="105"/>
  <c r="AC19" i="105"/>
  <c r="N19" i="105" s="1"/>
  <c r="Y19" i="105"/>
  <c r="D18" i="105"/>
  <c r="D14" i="106" s="1"/>
  <c r="C14" i="106" s="1"/>
  <c r="B14" i="106" s="1"/>
  <c r="AC18" i="105"/>
  <c r="N18" i="105" s="1"/>
  <c r="Y18" i="105"/>
  <c r="O18" i="105" s="1"/>
  <c r="D17" i="105"/>
  <c r="AC17" i="105"/>
  <c r="N17" i="105" s="1"/>
  <c r="Y17" i="105"/>
  <c r="D12" i="105"/>
  <c r="AC12" i="105"/>
  <c r="N12" i="105" s="1"/>
  <c r="Y12" i="105"/>
  <c r="D11" i="105"/>
  <c r="AC11" i="105"/>
  <c r="N11" i="105" s="1"/>
  <c r="Y11" i="105"/>
  <c r="D13" i="105"/>
  <c r="AC13" i="105"/>
  <c r="N13" i="105" s="1"/>
  <c r="Y13" i="105"/>
  <c r="D10" i="105"/>
  <c r="AC10" i="105"/>
  <c r="N10" i="105" s="1"/>
  <c r="Y10" i="105"/>
  <c r="AD323" i="105" l="1"/>
  <c r="O323" i="105"/>
  <c r="AD324" i="105"/>
  <c r="O324" i="105"/>
  <c r="B48" i="115"/>
  <c r="D46" i="115" a="1"/>
  <c r="D46" i="115" s="1"/>
  <c r="C46" i="115" a="1"/>
  <c r="C46" i="115" s="1"/>
  <c r="A46" i="115" a="1"/>
  <c r="A46" i="115" s="1"/>
  <c r="E30" i="115"/>
  <c r="F30" i="115" s="1"/>
  <c r="F26" i="114"/>
  <c r="E27" i="114"/>
  <c r="F26" i="113"/>
  <c r="E27" i="113"/>
  <c r="F26" i="112"/>
  <c r="E27" i="112"/>
  <c r="F26" i="111"/>
  <c r="E27" i="111"/>
  <c r="F26" i="110"/>
  <c r="E27" i="110"/>
  <c r="B42" i="110"/>
  <c r="B42" i="109"/>
  <c r="E27" i="109"/>
  <c r="F27" i="109" s="1"/>
  <c r="F26" i="108"/>
  <c r="E27" i="108"/>
  <c r="F26" i="107"/>
  <c r="E27" i="107"/>
  <c r="B42" i="107"/>
  <c r="X52" i="105"/>
  <c r="D44" i="106"/>
  <c r="C44" i="106" s="1"/>
  <c r="B44" i="106" s="1"/>
  <c r="X61" i="105"/>
  <c r="D52" i="106"/>
  <c r="C52" i="106" s="1"/>
  <c r="B52" i="106" s="1"/>
  <c r="X30" i="105"/>
  <c r="O30" i="105" s="1"/>
  <c r="D23" i="106"/>
  <c r="C23" i="106" s="1"/>
  <c r="B23" i="106" s="1"/>
  <c r="X41" i="105"/>
  <c r="O41" i="105" s="1"/>
  <c r="D33" i="106"/>
  <c r="C33" i="106" s="1"/>
  <c r="B33" i="106" s="1"/>
  <c r="X49" i="105"/>
  <c r="O49" i="105" s="1"/>
  <c r="D41" i="106"/>
  <c r="C41" i="106" s="1"/>
  <c r="B41" i="106" s="1"/>
  <c r="X13" i="105"/>
  <c r="O13" i="105" s="1"/>
  <c r="J13" i="105" s="1"/>
  <c r="D10" i="106"/>
  <c r="C10" i="106" s="1"/>
  <c r="B10" i="106" s="1"/>
  <c r="X27" i="105"/>
  <c r="O27" i="105" s="1"/>
  <c r="M27" i="105" s="1"/>
  <c r="D20" i="106"/>
  <c r="C20" i="106" s="1"/>
  <c r="B20" i="106" s="1"/>
  <c r="X38" i="105"/>
  <c r="O38" i="105" s="1"/>
  <c r="M38" i="105" s="1"/>
  <c r="D30" i="106"/>
  <c r="C30" i="106" s="1"/>
  <c r="B30" i="106" s="1"/>
  <c r="X46" i="105"/>
  <c r="O46" i="105" s="1"/>
  <c r="M46" i="105" s="1"/>
  <c r="D38" i="106"/>
  <c r="C38" i="106" s="1"/>
  <c r="B38" i="106" s="1"/>
  <c r="X54" i="105"/>
  <c r="O54" i="105" s="1"/>
  <c r="M54" i="105" s="1"/>
  <c r="D46" i="106"/>
  <c r="C46" i="106" s="1"/>
  <c r="B46" i="106" s="1"/>
  <c r="X63" i="105"/>
  <c r="O63" i="105" s="1"/>
  <c r="D54" i="106"/>
  <c r="C54" i="106" s="1"/>
  <c r="B54" i="106" s="1"/>
  <c r="X44" i="105"/>
  <c r="O44" i="105" s="1"/>
  <c r="D36" i="106"/>
  <c r="C36" i="106" s="1"/>
  <c r="B36" i="106" s="1"/>
  <c r="X58" i="105"/>
  <c r="O58" i="105" s="1"/>
  <c r="M58" i="105" s="1"/>
  <c r="D49" i="106"/>
  <c r="C49" i="106" s="1"/>
  <c r="B49" i="106" s="1"/>
  <c r="X19" i="105"/>
  <c r="O19" i="105" s="1"/>
  <c r="J19" i="105" s="1"/>
  <c r="D15" i="106"/>
  <c r="C15" i="106" s="1"/>
  <c r="B15" i="106" s="1"/>
  <c r="X32" i="105"/>
  <c r="O32" i="105" s="1"/>
  <c r="M32" i="105" s="1"/>
  <c r="D25" i="106"/>
  <c r="C25" i="106" s="1"/>
  <c r="B25" i="106" s="1"/>
  <c r="X43" i="105"/>
  <c r="O43" i="105" s="1"/>
  <c r="M43" i="105" s="1"/>
  <c r="D35" i="106"/>
  <c r="C35" i="106" s="1"/>
  <c r="B35" i="106" s="1"/>
  <c r="X51" i="105"/>
  <c r="O51" i="105" s="1"/>
  <c r="D43" i="106"/>
  <c r="C43" i="106" s="1"/>
  <c r="B43" i="106" s="1"/>
  <c r="X60" i="105"/>
  <c r="O60" i="105" s="1"/>
  <c r="M60" i="105" s="1"/>
  <c r="D51" i="106"/>
  <c r="C51" i="106" s="1"/>
  <c r="B51" i="106" s="1"/>
  <c r="X56" i="105"/>
  <c r="O56" i="105" s="1"/>
  <c r="J56" i="105" s="1"/>
  <c r="D48" i="106"/>
  <c r="C48" i="106" s="1"/>
  <c r="B48" i="106" s="1"/>
  <c r="X22" i="105"/>
  <c r="O22" i="105" s="1"/>
  <c r="M22" i="105" s="1"/>
  <c r="M23" i="105" s="1"/>
  <c r="D16" i="106"/>
  <c r="C16" i="106" s="1"/>
  <c r="B16" i="106" s="1"/>
  <c r="X12" i="105"/>
  <c r="O12" i="105" s="1"/>
  <c r="D9" i="106"/>
  <c r="C9" i="106" s="1"/>
  <c r="B9" i="106" s="1"/>
  <c r="X40" i="105"/>
  <c r="O40" i="105" s="1"/>
  <c r="J40" i="105" s="1"/>
  <c r="D32" i="106"/>
  <c r="C32" i="106" s="1"/>
  <c r="B32" i="106" s="1"/>
  <c r="X48" i="105"/>
  <c r="O48" i="105" s="1"/>
  <c r="D40" i="106"/>
  <c r="C40" i="106" s="1"/>
  <c r="B40" i="106" s="1"/>
  <c r="X10" i="105"/>
  <c r="O10" i="105" s="1"/>
  <c r="M10" i="105" s="1"/>
  <c r="D7" i="106"/>
  <c r="C7" i="106" s="1"/>
  <c r="B7" i="106" s="1"/>
  <c r="X26" i="105"/>
  <c r="O26" i="105" s="1"/>
  <c r="D19" i="106"/>
  <c r="C19" i="106" s="1"/>
  <c r="B19" i="106" s="1"/>
  <c r="X37" i="105"/>
  <c r="O37" i="105" s="1"/>
  <c r="D29" i="106"/>
  <c r="C29" i="106" s="1"/>
  <c r="B29" i="106" s="1"/>
  <c r="X45" i="105"/>
  <c r="O45" i="105" s="1"/>
  <c r="J45" i="105" s="1"/>
  <c r="D37" i="106"/>
  <c r="C37" i="106" s="1"/>
  <c r="B37" i="106" s="1"/>
  <c r="X53" i="105"/>
  <c r="O53" i="105" s="1"/>
  <c r="D45" i="106"/>
  <c r="C45" i="106" s="1"/>
  <c r="B45" i="106" s="1"/>
  <c r="X62" i="105"/>
  <c r="O62" i="105" s="1"/>
  <c r="M62" i="105" s="1"/>
  <c r="D53" i="106"/>
  <c r="C53" i="106" s="1"/>
  <c r="B53" i="106" s="1"/>
  <c r="X29" i="105"/>
  <c r="O29" i="105" s="1"/>
  <c r="J29" i="105" s="1"/>
  <c r="D22" i="106"/>
  <c r="C22" i="106" s="1"/>
  <c r="B22" i="106" s="1"/>
  <c r="X31" i="105"/>
  <c r="O31" i="105" s="1"/>
  <c r="M31" i="105" s="1"/>
  <c r="D24" i="106"/>
  <c r="C24" i="106" s="1"/>
  <c r="B24" i="106" s="1"/>
  <c r="X42" i="105"/>
  <c r="O42" i="105" s="1"/>
  <c r="M42" i="105" s="1"/>
  <c r="D34" i="106"/>
  <c r="C34" i="106" s="1"/>
  <c r="B34" i="106" s="1"/>
  <c r="X50" i="105"/>
  <c r="O50" i="105" s="1"/>
  <c r="J50" i="105" s="1"/>
  <c r="D42" i="106"/>
  <c r="C42" i="106" s="1"/>
  <c r="B42" i="106" s="1"/>
  <c r="X59" i="105"/>
  <c r="O59" i="105" s="1"/>
  <c r="J59" i="105" s="1"/>
  <c r="D50" i="106"/>
  <c r="C50" i="106" s="1"/>
  <c r="B50" i="106" s="1"/>
  <c r="X17" i="105"/>
  <c r="O17" i="105" s="1"/>
  <c r="D13" i="106"/>
  <c r="C13" i="106" s="1"/>
  <c r="B13" i="106" s="1"/>
  <c r="X11" i="105"/>
  <c r="O11" i="105" s="1"/>
  <c r="J11" i="105" s="1"/>
  <c r="D8" i="106"/>
  <c r="C8" i="106" s="1"/>
  <c r="B8" i="106" s="1"/>
  <c r="X28" i="105"/>
  <c r="O28" i="105" s="1"/>
  <c r="J28" i="105" s="1"/>
  <c r="D21" i="106"/>
  <c r="C21" i="106" s="1"/>
  <c r="B21" i="106" s="1"/>
  <c r="X39" i="105"/>
  <c r="O39" i="105" s="1"/>
  <c r="D31" i="106"/>
  <c r="C31" i="106" s="1"/>
  <c r="B31" i="106" s="1"/>
  <c r="X47" i="105"/>
  <c r="O47" i="105" s="1"/>
  <c r="D39" i="106"/>
  <c r="C39" i="106" s="1"/>
  <c r="B39" i="106" s="1"/>
  <c r="X55" i="105"/>
  <c r="O55" i="105" s="1"/>
  <c r="D47" i="106"/>
  <c r="C47" i="106" s="1"/>
  <c r="B47" i="106" s="1"/>
  <c r="O152" i="105"/>
  <c r="M152" i="105" s="1"/>
  <c r="O146" i="105"/>
  <c r="O101" i="105"/>
  <c r="M101" i="105" s="1"/>
  <c r="AC283" i="105"/>
  <c r="N283" i="105" s="1"/>
  <c r="M362" i="105"/>
  <c r="M358" i="105"/>
  <c r="V364" i="105"/>
  <c r="O87" i="105"/>
  <c r="O96" i="105"/>
  <c r="V239" i="105"/>
  <c r="V242" i="105"/>
  <c r="V254" i="105"/>
  <c r="O100" i="105"/>
  <c r="J100" i="105" s="1"/>
  <c r="O111" i="105"/>
  <c r="M111" i="105" s="1"/>
  <c r="V258" i="105"/>
  <c r="O157" i="105"/>
  <c r="S352" i="105"/>
  <c r="S353" i="105"/>
  <c r="X278" i="105"/>
  <c r="O278" i="105" s="1"/>
  <c r="M278" i="105" s="1"/>
  <c r="M361" i="105"/>
  <c r="V58" i="105"/>
  <c r="V250" i="105"/>
  <c r="O142" i="105"/>
  <c r="J142" i="105" s="1"/>
  <c r="O178" i="105"/>
  <c r="O182" i="105"/>
  <c r="O221" i="105"/>
  <c r="J221" i="105" s="1"/>
  <c r="AC265" i="105"/>
  <c r="V351" i="105"/>
  <c r="V353" i="105"/>
  <c r="J358" i="105"/>
  <c r="J362" i="105"/>
  <c r="O254" i="105"/>
  <c r="J254" i="105" s="1"/>
  <c r="O144" i="105"/>
  <c r="M144" i="105" s="1"/>
  <c r="O164" i="105"/>
  <c r="J164" i="105" s="1"/>
  <c r="X283" i="105"/>
  <c r="O283" i="105" s="1"/>
  <c r="J353" i="105"/>
  <c r="V292" i="105"/>
  <c r="V62" i="105"/>
  <c r="V241" i="105"/>
  <c r="V251" i="105"/>
  <c r="V252" i="105"/>
  <c r="V253" i="105"/>
  <c r="V305" i="105"/>
  <c r="V309" i="105"/>
  <c r="M357" i="105"/>
  <c r="S360" i="105"/>
  <c r="V249" i="105"/>
  <c r="V255" i="105"/>
  <c r="X266" i="105"/>
  <c r="O266" i="105" s="1"/>
  <c r="M353" i="105"/>
  <c r="S362" i="105"/>
  <c r="M359" i="105"/>
  <c r="O79" i="105"/>
  <c r="J79" i="105" s="1"/>
  <c r="O104" i="105"/>
  <c r="M104" i="105" s="1"/>
  <c r="O238" i="105"/>
  <c r="O250" i="105"/>
  <c r="M250" i="105" s="1"/>
  <c r="O255" i="105"/>
  <c r="J255" i="105" s="1"/>
  <c r="O141" i="105"/>
  <c r="J141" i="105" s="1"/>
  <c r="O156" i="105"/>
  <c r="J156" i="105" s="1"/>
  <c r="O161" i="105"/>
  <c r="M161" i="105" s="1"/>
  <c r="X268" i="105"/>
  <c r="O268" i="105" s="1"/>
  <c r="M268" i="105" s="1"/>
  <c r="X285" i="105"/>
  <c r="O285" i="105" s="1"/>
  <c r="M285" i="105" s="1"/>
  <c r="O300" i="105"/>
  <c r="J300" i="105" s="1"/>
  <c r="O365" i="105"/>
  <c r="M365" i="105" s="1"/>
  <c r="O113" i="105"/>
  <c r="J113" i="105" s="1"/>
  <c r="O78" i="105"/>
  <c r="O106" i="105"/>
  <c r="O239" i="105"/>
  <c r="O256" i="105"/>
  <c r="J256" i="105" s="1"/>
  <c r="O148" i="105"/>
  <c r="J148" i="105" s="1"/>
  <c r="O179" i="105"/>
  <c r="J179" i="105" s="1"/>
  <c r="O162" i="105"/>
  <c r="O168" i="105"/>
  <c r="X273" i="105"/>
  <c r="O273" i="105" s="1"/>
  <c r="X269" i="105"/>
  <c r="O269" i="105" s="1"/>
  <c r="M269" i="105" s="1"/>
  <c r="X282" i="105"/>
  <c r="O282" i="105" s="1"/>
  <c r="J282" i="105" s="1"/>
  <c r="X71" i="105"/>
  <c r="O71" i="105" s="1"/>
  <c r="J71" i="105" s="1"/>
  <c r="M331" i="105"/>
  <c r="X166" i="105"/>
  <c r="O166" i="105" s="1"/>
  <c r="M166" i="105" s="1"/>
  <c r="M329" i="105"/>
  <c r="X36" i="105"/>
  <c r="O36" i="105" s="1"/>
  <c r="M36" i="105" s="1"/>
  <c r="O77" i="105"/>
  <c r="J77" i="105" s="1"/>
  <c r="O52" i="105"/>
  <c r="M52" i="105" s="1"/>
  <c r="O83" i="105"/>
  <c r="M330" i="105"/>
  <c r="X235" i="105"/>
  <c r="O235" i="105" s="1"/>
  <c r="J235" i="105" s="1"/>
  <c r="O110" i="105"/>
  <c r="J110" i="105" s="1"/>
  <c r="X133" i="105"/>
  <c r="O133" i="105" s="1"/>
  <c r="J133" i="105" s="1"/>
  <c r="S324" i="105"/>
  <c r="O242" i="105"/>
  <c r="M242" i="105" s="1"/>
  <c r="O297" i="105"/>
  <c r="M297" i="105" s="1"/>
  <c r="O270" i="105"/>
  <c r="X271" i="105"/>
  <c r="O271" i="105" s="1"/>
  <c r="M271" i="105" s="1"/>
  <c r="O363" i="105"/>
  <c r="S363" i="105" s="1"/>
  <c r="X267" i="105"/>
  <c r="O267" i="105" s="1"/>
  <c r="M267" i="105" s="1"/>
  <c r="O306" i="105"/>
  <c r="J306" i="105" s="1"/>
  <c r="O57" i="105"/>
  <c r="J57" i="105" s="1"/>
  <c r="O155" i="105"/>
  <c r="M155" i="105" s="1"/>
  <c r="O258" i="105"/>
  <c r="J258" i="105" s="1"/>
  <c r="V238" i="105"/>
  <c r="V243" i="105"/>
  <c r="O72" i="105"/>
  <c r="J72" i="105" s="1"/>
  <c r="O82" i="105"/>
  <c r="O86" i="105"/>
  <c r="J86" i="105" s="1"/>
  <c r="O128" i="105"/>
  <c r="V56" i="105"/>
  <c r="O118" i="105"/>
  <c r="M118" i="105" s="1"/>
  <c r="O116" i="105"/>
  <c r="O89" i="105"/>
  <c r="O248" i="105"/>
  <c r="O139" i="105"/>
  <c r="J139" i="105" s="1"/>
  <c r="J357" i="105"/>
  <c r="J361" i="105"/>
  <c r="O70" i="105"/>
  <c r="J70" i="105" s="1"/>
  <c r="O76" i="105"/>
  <c r="O115" i="105"/>
  <c r="O88" i="105"/>
  <c r="J88" i="105" s="1"/>
  <c r="O94" i="105"/>
  <c r="J94" i="105" s="1"/>
  <c r="O90" i="105"/>
  <c r="J90" i="105" s="1"/>
  <c r="O109" i="105"/>
  <c r="M109" i="105" s="1"/>
  <c r="O234" i="105"/>
  <c r="J234" i="105" s="1"/>
  <c r="O243" i="105"/>
  <c r="J243" i="105" s="1"/>
  <c r="V248" i="105"/>
  <c r="O249" i="105"/>
  <c r="J249" i="105" s="1"/>
  <c r="O134" i="105"/>
  <c r="J134" i="105" s="1"/>
  <c r="O153" i="105"/>
  <c r="J153" i="105" s="1"/>
  <c r="O158" i="105"/>
  <c r="J158" i="105" s="1"/>
  <c r="U286" i="105"/>
  <c r="V286" i="105" s="1"/>
  <c r="V298" i="105"/>
  <c r="V307" i="105"/>
  <c r="S357" i="105"/>
  <c r="S361" i="105"/>
  <c r="K361" i="105" s="1"/>
  <c r="O173" i="105"/>
  <c r="J173" i="105" s="1"/>
  <c r="O280" i="105"/>
  <c r="O284" i="105"/>
  <c r="J284" i="105" s="1"/>
  <c r="O286" i="105"/>
  <c r="J286" i="105" s="1"/>
  <c r="O298" i="105"/>
  <c r="J298" i="105" s="1"/>
  <c r="V314" i="105"/>
  <c r="M354" i="105"/>
  <c r="S358" i="105"/>
  <c r="O180" i="105"/>
  <c r="O177" i="105"/>
  <c r="O80" i="105"/>
  <c r="O167" i="105"/>
  <c r="O272" i="105"/>
  <c r="O149" i="105"/>
  <c r="M149" i="105" s="1"/>
  <c r="O366" i="105"/>
  <c r="S366" i="105" s="1"/>
  <c r="O107" i="105"/>
  <c r="O247" i="105"/>
  <c r="O140" i="105"/>
  <c r="J140" i="105" s="1"/>
  <c r="O181" i="105"/>
  <c r="M181" i="105" s="1"/>
  <c r="O163" i="105"/>
  <c r="O74" i="105"/>
  <c r="J74" i="105" s="1"/>
  <c r="O84" i="105"/>
  <c r="O236" i="105"/>
  <c r="J236" i="105" s="1"/>
  <c r="O251" i="105"/>
  <c r="M251" i="105" s="1"/>
  <c r="O145" i="105"/>
  <c r="J145" i="105" s="1"/>
  <c r="O151" i="105"/>
  <c r="O291" i="105"/>
  <c r="M291" i="105" s="1"/>
  <c r="O240" i="105"/>
  <c r="J240" i="105" s="1"/>
  <c r="O252" i="105"/>
  <c r="O68" i="105"/>
  <c r="J68" i="105" s="1"/>
  <c r="O73" i="105"/>
  <c r="M73" i="105" s="1"/>
  <c r="O117" i="105"/>
  <c r="J117" i="105" s="1"/>
  <c r="O265" i="105"/>
  <c r="O279" i="105"/>
  <c r="J279" i="105" s="1"/>
  <c r="O292" i="105"/>
  <c r="M292" i="105" s="1"/>
  <c r="J18" i="105"/>
  <c r="V60" i="105"/>
  <c r="V237" i="105"/>
  <c r="V101" i="105"/>
  <c r="V366" i="105"/>
  <c r="O61" i="105"/>
  <c r="M61" i="105" s="1"/>
  <c r="O75" i="105"/>
  <c r="M75" i="105" s="1"/>
  <c r="O114" i="105"/>
  <c r="M114" i="105" s="1"/>
  <c r="O241" i="105"/>
  <c r="M241" i="105" s="1"/>
  <c r="O69" i="105"/>
  <c r="M69" i="105" s="1"/>
  <c r="O95" i="105"/>
  <c r="M95" i="105" s="1"/>
  <c r="O124" i="105"/>
  <c r="M124" i="105" s="1"/>
  <c r="M125" i="105" s="1"/>
  <c r="V234" i="105"/>
  <c r="O138" i="105"/>
  <c r="M138" i="105" s="1"/>
  <c r="AC273" i="105"/>
  <c r="N273" i="105" s="1"/>
  <c r="U273" i="105"/>
  <c r="O81" i="105"/>
  <c r="M81" i="105" s="1"/>
  <c r="O103" i="105"/>
  <c r="M103" i="105" s="1"/>
  <c r="V236" i="105"/>
  <c r="V247" i="105"/>
  <c r="O85" i="105"/>
  <c r="M85" i="105" s="1"/>
  <c r="O108" i="105"/>
  <c r="M108" i="105" s="1"/>
  <c r="O237" i="105"/>
  <c r="M237" i="105" s="1"/>
  <c r="V240" i="105"/>
  <c r="V257" i="105"/>
  <c r="O257" i="105"/>
  <c r="M257" i="105" s="1"/>
  <c r="O253" i="105"/>
  <c r="M253" i="105" s="1"/>
  <c r="V256" i="105"/>
  <c r="AC266" i="105"/>
  <c r="N266" i="105" s="1"/>
  <c r="O160" i="105"/>
  <c r="M160" i="105" s="1"/>
  <c r="O165" i="105"/>
  <c r="M165" i="105" s="1"/>
  <c r="O169" i="105"/>
  <c r="M169" i="105" s="1"/>
  <c r="V216" i="105"/>
  <c r="O216" i="105"/>
  <c r="M216" i="105" s="1"/>
  <c r="V363" i="105"/>
  <c r="M360" i="105"/>
  <c r="J360" i="105"/>
  <c r="O281" i="105"/>
  <c r="M281" i="105" s="1"/>
  <c r="V300" i="105"/>
  <c r="V308" i="105"/>
  <c r="S359" i="105"/>
  <c r="J359" i="105"/>
  <c r="M351" i="105"/>
  <c r="V352" i="105"/>
  <c r="M352" i="105"/>
  <c r="J352" i="105"/>
  <c r="V306" i="105"/>
  <c r="V315" i="105"/>
  <c r="S351" i="105"/>
  <c r="J351" i="105"/>
  <c r="A48" i="115" l="1" a="1"/>
  <c r="A48" i="115" s="1"/>
  <c r="B50" i="115"/>
  <c r="C48" i="115" a="1"/>
  <c r="C48" i="115" s="1"/>
  <c r="D48" i="115" a="1"/>
  <c r="D48" i="115" s="1"/>
  <c r="E31" i="115"/>
  <c r="F31" i="115" s="1"/>
  <c r="E28" i="114"/>
  <c r="F27" i="114"/>
  <c r="E28" i="113"/>
  <c r="F27" i="113"/>
  <c r="E28" i="112"/>
  <c r="F27" i="112"/>
  <c r="E28" i="111"/>
  <c r="F27" i="111"/>
  <c r="E28" i="110"/>
  <c r="F27" i="110"/>
  <c r="E28" i="109"/>
  <c r="F28" i="109" s="1"/>
  <c r="E28" i="108"/>
  <c r="F27" i="108"/>
  <c r="E28" i="107"/>
  <c r="F27" i="107"/>
  <c r="M146" i="105"/>
  <c r="J106" i="105"/>
  <c r="J101" i="105"/>
  <c r="M182" i="105"/>
  <c r="J182" i="105"/>
  <c r="M162" i="105"/>
  <c r="M157" i="105"/>
  <c r="M239" i="105"/>
  <c r="M254" i="105"/>
  <c r="M273" i="105"/>
  <c r="M266" i="105"/>
  <c r="M283" i="105"/>
  <c r="M272" i="105"/>
  <c r="M248" i="105"/>
  <c r="M177" i="105"/>
  <c r="M298" i="105"/>
  <c r="M252" i="105"/>
  <c r="M279" i="105"/>
  <c r="M173" i="105"/>
  <c r="M174" i="105" s="1"/>
  <c r="M163" i="105"/>
  <c r="M282" i="105"/>
  <c r="M235" i="105"/>
  <c r="M140" i="105"/>
  <c r="M167" i="105"/>
  <c r="M133" i="105"/>
  <c r="M158" i="105"/>
  <c r="M142" i="105"/>
  <c r="M255" i="105"/>
  <c r="M148" i="105"/>
  <c r="M247" i="105"/>
  <c r="M153" i="105"/>
  <c r="M180" i="105"/>
  <c r="M234" i="105"/>
  <c r="M139" i="105"/>
  <c r="M249" i="105"/>
  <c r="M270" i="105"/>
  <c r="M238" i="105"/>
  <c r="M258" i="105"/>
  <c r="M306" i="105"/>
  <c r="M151" i="105"/>
  <c r="M240" i="105"/>
  <c r="M156" i="105"/>
  <c r="M221" i="105"/>
  <c r="M231" i="105" s="1"/>
  <c r="M300" i="105"/>
  <c r="M236" i="105"/>
  <c r="M141" i="105"/>
  <c r="M280" i="105"/>
  <c r="M243" i="105"/>
  <c r="M178" i="105"/>
  <c r="M164" i="105"/>
  <c r="M286" i="105"/>
  <c r="M256" i="105"/>
  <c r="M168" i="105"/>
  <c r="M134" i="105"/>
  <c r="M179" i="105"/>
  <c r="M284" i="105"/>
  <c r="M128" i="105"/>
  <c r="M129" i="105" s="1"/>
  <c r="M145" i="105"/>
  <c r="M70" i="105"/>
  <c r="M18" i="105"/>
  <c r="M86" i="105"/>
  <c r="M48" i="105"/>
  <c r="M41" i="105"/>
  <c r="M79" i="105"/>
  <c r="M68" i="105"/>
  <c r="M37" i="105"/>
  <c r="M116" i="105"/>
  <c r="M51" i="105"/>
  <c r="M107" i="105"/>
  <c r="M55" i="105"/>
  <c r="M56" i="105"/>
  <c r="M59" i="105"/>
  <c r="M63" i="105"/>
  <c r="M94" i="105"/>
  <c r="M96" i="105"/>
  <c r="M44" i="105"/>
  <c r="M47" i="105"/>
  <c r="M29" i="105"/>
  <c r="M50" i="105"/>
  <c r="M87" i="105"/>
  <c r="M82" i="105"/>
  <c r="M39" i="105"/>
  <c r="M53" i="105"/>
  <c r="M84" i="105"/>
  <c r="M80" i="105"/>
  <c r="M77" i="105"/>
  <c r="M90" i="105"/>
  <c r="M83" i="105"/>
  <c r="M28" i="105"/>
  <c r="M49" i="105"/>
  <c r="M30" i="105"/>
  <c r="M26" i="105"/>
  <c r="M115" i="105"/>
  <c r="M76" i="105"/>
  <c r="M72" i="105"/>
  <c r="M88" i="105"/>
  <c r="M12" i="105"/>
  <c r="M78" i="105"/>
  <c r="M11" i="105"/>
  <c r="M17" i="105"/>
  <c r="M45" i="105"/>
  <c r="M106" i="105"/>
  <c r="M74" i="105"/>
  <c r="M110" i="105"/>
  <c r="M117" i="105"/>
  <c r="M19" i="105"/>
  <c r="J89" i="105"/>
  <c r="M89" i="105"/>
  <c r="M57" i="105"/>
  <c r="M40" i="105"/>
  <c r="M100" i="105"/>
  <c r="M71" i="105"/>
  <c r="M13" i="105"/>
  <c r="M113" i="105"/>
  <c r="N265" i="105"/>
  <c r="J265" i="105" s="1"/>
  <c r="K353" i="105"/>
  <c r="J44" i="105"/>
  <c r="J178" i="105"/>
  <c r="J63" i="105"/>
  <c r="J49" i="105"/>
  <c r="J250" i="105"/>
  <c r="J96" i="105"/>
  <c r="J157" i="105"/>
  <c r="K351" i="105"/>
  <c r="J104" i="105"/>
  <c r="J161" i="105"/>
  <c r="J52" i="105"/>
  <c r="J32" i="105"/>
  <c r="S365" i="105"/>
  <c r="J78" i="105"/>
  <c r="J144" i="105"/>
  <c r="J22" i="105"/>
  <c r="J111" i="105"/>
  <c r="J271" i="105"/>
  <c r="J47" i="105"/>
  <c r="J365" i="105"/>
  <c r="J162" i="105"/>
  <c r="J280" i="105"/>
  <c r="J239" i="105"/>
  <c r="J58" i="105"/>
  <c r="J331" i="105"/>
  <c r="J36" i="105"/>
  <c r="K352" i="105"/>
  <c r="J278" i="105"/>
  <c r="J238" i="105"/>
  <c r="J12" i="105"/>
  <c r="J363" i="105"/>
  <c r="J297" i="105"/>
  <c r="J87" i="105"/>
  <c r="M363" i="105"/>
  <c r="J55" i="105"/>
  <c r="J62" i="105"/>
  <c r="J51" i="105"/>
  <c r="J270" i="105"/>
  <c r="J266" i="105"/>
  <c r="K363" i="105"/>
  <c r="J17" i="105"/>
  <c r="J272" i="105"/>
  <c r="J80" i="105"/>
  <c r="J329" i="105"/>
  <c r="J30" i="105"/>
  <c r="J10" i="105"/>
  <c r="O314" i="105"/>
  <c r="M314" i="105" s="1"/>
  <c r="J39" i="105"/>
  <c r="J43" i="105"/>
  <c r="J268" i="105"/>
  <c r="J242" i="105"/>
  <c r="J168" i="105"/>
  <c r="J330" i="105"/>
  <c r="J166" i="105"/>
  <c r="J248" i="105"/>
  <c r="J37" i="105"/>
  <c r="J128" i="105"/>
  <c r="J109" i="105"/>
  <c r="J116" i="105"/>
  <c r="J83" i="105"/>
  <c r="X364" i="105"/>
  <c r="O364" i="105" s="1"/>
  <c r="O305" i="105"/>
  <c r="M305" i="105" s="1"/>
  <c r="O308" i="105"/>
  <c r="M308" i="105" s="1"/>
  <c r="J366" i="105"/>
  <c r="O307" i="105"/>
  <c r="O315" i="105"/>
  <c r="M315" i="105" s="1"/>
  <c r="X217" i="105"/>
  <c r="O217" i="105" s="1"/>
  <c r="M217" i="105" s="1"/>
  <c r="M218" i="105" s="1"/>
  <c r="O309" i="105"/>
  <c r="M309" i="105" s="1"/>
  <c r="J151" i="105"/>
  <c r="J118" i="105"/>
  <c r="M366" i="105"/>
  <c r="J181" i="105"/>
  <c r="K366" i="105"/>
  <c r="J48" i="105"/>
  <c r="J115" i="105"/>
  <c r="J41" i="105"/>
  <c r="J167" i="105"/>
  <c r="J26" i="105"/>
  <c r="J82" i="105"/>
  <c r="J180" i="105"/>
  <c r="J107" i="105"/>
  <c r="J155" i="105"/>
  <c r="J54" i="105"/>
  <c r="J177" i="105"/>
  <c r="J76" i="105"/>
  <c r="J53" i="105"/>
  <c r="J146" i="105"/>
  <c r="J163" i="105"/>
  <c r="J60" i="105"/>
  <c r="J283" i="105"/>
  <c r="J247" i="105"/>
  <c r="J149" i="105"/>
  <c r="J84" i="105"/>
  <c r="J291" i="105"/>
  <c r="J73" i="105"/>
  <c r="J292" i="105"/>
  <c r="J251" i="105"/>
  <c r="J252" i="105"/>
  <c r="J273" i="105"/>
  <c r="J216" i="105"/>
  <c r="J281" i="105"/>
  <c r="J267" i="105"/>
  <c r="J165" i="105"/>
  <c r="J160" i="105"/>
  <c r="J257" i="105"/>
  <c r="J237" i="105"/>
  <c r="J108" i="105"/>
  <c r="J85" i="105"/>
  <c r="J103" i="105"/>
  <c r="J124" i="105"/>
  <c r="J95" i="105"/>
  <c r="J75" i="105"/>
  <c r="J27" i="105"/>
  <c r="J269" i="105"/>
  <c r="J253" i="105"/>
  <c r="J285" i="105"/>
  <c r="J169" i="105"/>
  <c r="V273" i="105"/>
  <c r="J69" i="105"/>
  <c r="J114" i="105"/>
  <c r="J61" i="105"/>
  <c r="J241" i="105"/>
  <c r="J42" i="105"/>
  <c r="J46" i="105"/>
  <c r="J152" i="105"/>
  <c r="J81" i="105"/>
  <c r="J138" i="105"/>
  <c r="J31" i="105"/>
  <c r="J38" i="105"/>
  <c r="J248" i="104"/>
  <c r="J250" i="104"/>
  <c r="J249" i="104"/>
  <c r="J251" i="104"/>
  <c r="J252" i="104"/>
  <c r="D3" i="104"/>
  <c r="A50" i="115" l="1" a="1"/>
  <c r="A50" i="115" s="1"/>
  <c r="C50" i="115" a="1"/>
  <c r="C50" i="115" s="1"/>
  <c r="D50" i="115" a="1"/>
  <c r="D50" i="115" s="1"/>
  <c r="B52" i="115"/>
  <c r="E32" i="115"/>
  <c r="F32" i="115" s="1"/>
  <c r="E29" i="114"/>
  <c r="F28" i="114"/>
  <c r="E29" i="113"/>
  <c r="F28" i="113"/>
  <c r="E29" i="112"/>
  <c r="F28" i="112"/>
  <c r="E29" i="111"/>
  <c r="F28" i="111"/>
  <c r="E29" i="110"/>
  <c r="F28" i="110"/>
  <c r="E29" i="109"/>
  <c r="F29" i="109" s="1"/>
  <c r="E29" i="108"/>
  <c r="F28" i="108"/>
  <c r="E29" i="107"/>
  <c r="F28" i="107"/>
  <c r="O336" i="105"/>
  <c r="S336" i="105" s="1"/>
  <c r="O341" i="105"/>
  <c r="O339" i="105"/>
  <c r="O337" i="105"/>
  <c r="O338" i="105"/>
  <c r="M121" i="105"/>
  <c r="M259" i="105"/>
  <c r="M244" i="105"/>
  <c r="M213" i="105"/>
  <c r="M170" i="105"/>
  <c r="M135" i="105"/>
  <c r="M97" i="105"/>
  <c r="M91" i="105"/>
  <c r="M65" i="105"/>
  <c r="M20" i="105"/>
  <c r="M33" i="105"/>
  <c r="M14" i="105"/>
  <c r="J307" i="105"/>
  <c r="M307" i="105"/>
  <c r="M265" i="105"/>
  <c r="S323" i="105"/>
  <c r="J315" i="105"/>
  <c r="S315" i="105"/>
  <c r="K315" i="105" s="1"/>
  <c r="S321" i="105"/>
  <c r="S322" i="105"/>
  <c r="J314" i="105"/>
  <c r="S314" i="105"/>
  <c r="K314" i="105" s="1"/>
  <c r="J305" i="105"/>
  <c r="J217" i="105"/>
  <c r="J309" i="105"/>
  <c r="S309" i="105"/>
  <c r="K309" i="105" s="1"/>
  <c r="J364" i="105"/>
  <c r="M364" i="105"/>
  <c r="S364" i="105"/>
  <c r="K364" i="105" s="1"/>
  <c r="S320" i="105"/>
  <c r="J308" i="105"/>
  <c r="S308" i="105"/>
  <c r="K308" i="105" s="1"/>
  <c r="E76" i="104"/>
  <c r="C52" i="115" l="1" a="1"/>
  <c r="C52" i="115" s="1"/>
  <c r="B55" i="115"/>
  <c r="D52" i="115" a="1"/>
  <c r="D52" i="115" s="1"/>
  <c r="A52" i="115" a="1"/>
  <c r="A52" i="115" s="1"/>
  <c r="E33" i="115"/>
  <c r="F33" i="115" s="1"/>
  <c r="E30" i="114"/>
  <c r="F29" i="114"/>
  <c r="E30" i="113"/>
  <c r="F29" i="113"/>
  <c r="E30" i="112"/>
  <c r="F29" i="112"/>
  <c r="E30" i="111"/>
  <c r="F29" i="111"/>
  <c r="E30" i="110"/>
  <c r="F29" i="110"/>
  <c r="E30" i="109"/>
  <c r="F30" i="109" s="1"/>
  <c r="E30" i="108"/>
  <c r="F29" i="108"/>
  <c r="E30" i="107"/>
  <c r="F29" i="107"/>
  <c r="M336" i="105"/>
  <c r="J338" i="105"/>
  <c r="M338" i="105"/>
  <c r="S338" i="105"/>
  <c r="J336" i="105"/>
  <c r="J337" i="105"/>
  <c r="S337" i="105"/>
  <c r="M337" i="105"/>
  <c r="J339" i="105"/>
  <c r="M339" i="105"/>
  <c r="S339" i="105"/>
  <c r="M341" i="105"/>
  <c r="S341" i="105"/>
  <c r="J341" i="105"/>
  <c r="E79" i="104"/>
  <c r="E77" i="104"/>
  <c r="E80" i="104"/>
  <c r="D55" i="115" l="1" a="1"/>
  <c r="D55" i="115" s="1"/>
  <c r="A55" i="115" a="1"/>
  <c r="A55" i="115" s="1"/>
  <c r="B57" i="115"/>
  <c r="C55" i="115" a="1"/>
  <c r="C55" i="115" s="1"/>
  <c r="E34" i="115"/>
  <c r="F34" i="115" s="1"/>
  <c r="E31" i="114"/>
  <c r="F30" i="114"/>
  <c r="E31" i="113"/>
  <c r="F30" i="113"/>
  <c r="E31" i="112"/>
  <c r="F30" i="112"/>
  <c r="E31" i="111"/>
  <c r="F30" i="111"/>
  <c r="E31" i="110"/>
  <c r="F30" i="110"/>
  <c r="E31" i="109"/>
  <c r="F31" i="109" s="1"/>
  <c r="E31" i="108"/>
  <c r="F30" i="108"/>
  <c r="E31" i="107"/>
  <c r="F30" i="107"/>
  <c r="E84" i="104"/>
  <c r="E91" i="104"/>
  <c r="E92" i="104"/>
  <c r="E75" i="104"/>
  <c r="E90" i="104"/>
  <c r="E85" i="104"/>
  <c r="E82" i="104"/>
  <c r="E78" i="104"/>
  <c r="E89" i="104"/>
  <c r="E81" i="104"/>
  <c r="E93" i="104"/>
  <c r="E88" i="104"/>
  <c r="A57" i="115" l="1" a="1"/>
  <c r="A57" i="115" s="1"/>
  <c r="B59" i="115"/>
  <c r="C57" i="115" a="1"/>
  <c r="C57" i="115" s="1"/>
  <c r="D57" i="115" a="1"/>
  <c r="D57" i="115" s="1"/>
  <c r="E36" i="115"/>
  <c r="F36" i="115" s="1"/>
  <c r="F31" i="114"/>
  <c r="E32" i="114"/>
  <c r="F31" i="113"/>
  <c r="E32" i="113"/>
  <c r="F31" i="112"/>
  <c r="E32" i="112"/>
  <c r="F31" i="111"/>
  <c r="E32" i="111"/>
  <c r="F31" i="110"/>
  <c r="E32" i="110"/>
  <c r="E32" i="109"/>
  <c r="F32" i="109" s="1"/>
  <c r="F31" i="108"/>
  <c r="E32" i="108"/>
  <c r="F31" i="107"/>
  <c r="E32" i="107"/>
  <c r="E74" i="104"/>
  <c r="AT48" i="6"/>
  <c r="AR48" i="6"/>
  <c r="AJ48" i="6"/>
  <c r="AH48" i="6"/>
  <c r="AF48" i="6"/>
  <c r="AD48" i="6"/>
  <c r="AB48" i="6"/>
  <c r="X48" i="6"/>
  <c r="V48" i="6"/>
  <c r="T48" i="6"/>
  <c r="R48" i="6"/>
  <c r="P48" i="6"/>
  <c r="N48" i="6"/>
  <c r="L48" i="6"/>
  <c r="J48" i="6"/>
  <c r="F48" i="6"/>
  <c r="D48" i="6"/>
  <c r="B48" i="6"/>
  <c r="AT44" i="6"/>
  <c r="AR44" i="6"/>
  <c r="AJ44" i="6"/>
  <c r="AD44" i="6"/>
  <c r="AB44" i="6"/>
  <c r="X44" i="6"/>
  <c r="V44" i="6"/>
  <c r="T44" i="6"/>
  <c r="R44" i="6"/>
  <c r="P44" i="6"/>
  <c r="N44" i="6"/>
  <c r="L44" i="6"/>
  <c r="J44" i="6"/>
  <c r="H44" i="6"/>
  <c r="F44" i="6"/>
  <c r="D44" i="6"/>
  <c r="B44" i="6"/>
  <c r="AZ37" i="6"/>
  <c r="AX37" i="6"/>
  <c r="AV37" i="6"/>
  <c r="AT37" i="6"/>
  <c r="AR37" i="6"/>
  <c r="AN37" i="6"/>
  <c r="AL37" i="6"/>
  <c r="AJ37" i="6"/>
  <c r="AF37" i="6"/>
  <c r="AD37" i="6"/>
  <c r="AB37" i="6"/>
  <c r="Z37" i="6"/>
  <c r="X37" i="6"/>
  <c r="V37" i="6"/>
  <c r="T37" i="6"/>
  <c r="R37" i="6"/>
  <c r="P37" i="6"/>
  <c r="N37" i="6"/>
  <c r="L37" i="6"/>
  <c r="D37" i="6"/>
  <c r="B37" i="6"/>
  <c r="AZ33" i="6"/>
  <c r="AX33" i="6"/>
  <c r="AV33" i="6"/>
  <c r="AT33" i="6"/>
  <c r="AR33" i="6"/>
  <c r="AN33" i="6"/>
  <c r="AL33" i="6"/>
  <c r="AJ33" i="6"/>
  <c r="AF33" i="6"/>
  <c r="AD33" i="6"/>
  <c r="AB33" i="6"/>
  <c r="Z33" i="6"/>
  <c r="X33" i="6"/>
  <c r="V33" i="6"/>
  <c r="T33" i="6"/>
  <c r="R33" i="6"/>
  <c r="P33" i="6"/>
  <c r="N33" i="6"/>
  <c r="L33" i="6"/>
  <c r="D33" i="6"/>
  <c r="B33" i="6"/>
  <c r="AX26" i="6"/>
  <c r="AV26" i="6"/>
  <c r="AT26" i="6"/>
  <c r="AR26" i="6"/>
  <c r="AP26" i="6"/>
  <c r="AL26" i="6"/>
  <c r="AJ26" i="6"/>
  <c r="AF26" i="6"/>
  <c r="AD26" i="6"/>
  <c r="Z26" i="6"/>
  <c r="X26" i="6"/>
  <c r="V26" i="6"/>
  <c r="T26" i="6"/>
  <c r="P26" i="6"/>
  <c r="N26" i="6"/>
  <c r="L26" i="6"/>
  <c r="J26" i="6"/>
  <c r="F26" i="6"/>
  <c r="D26" i="6"/>
  <c r="B26" i="6"/>
  <c r="AX22" i="6"/>
  <c r="AV22" i="6"/>
  <c r="AT22" i="6"/>
  <c r="AR22" i="6"/>
  <c r="AP22" i="6"/>
  <c r="AL22" i="6"/>
  <c r="AJ22" i="6"/>
  <c r="AF22" i="6"/>
  <c r="AD22" i="6"/>
  <c r="Z22" i="6"/>
  <c r="X22" i="6"/>
  <c r="V22" i="6"/>
  <c r="T22" i="6"/>
  <c r="P22" i="6"/>
  <c r="N22" i="6"/>
  <c r="L22" i="6"/>
  <c r="F22" i="6"/>
  <c r="D22" i="6"/>
  <c r="B22" i="6"/>
  <c r="AB15" i="6"/>
  <c r="T15" i="6"/>
  <c r="N15" i="6"/>
  <c r="L15" i="6"/>
  <c r="J15" i="6"/>
  <c r="AJ13" i="6"/>
  <c r="AJ15" i="6" s="1"/>
  <c r="AR11" i="6"/>
  <c r="AJ11" i="6"/>
  <c r="AB11" i="6"/>
  <c r="T11" i="6"/>
  <c r="N11" i="6"/>
  <c r="L11" i="6"/>
  <c r="AZ9" i="6"/>
  <c r="AZ15" i="6" s="1"/>
  <c r="F9" i="6"/>
  <c r="F15" i="6" s="1"/>
  <c r="D9" i="6"/>
  <c r="D15" i="6" s="1"/>
  <c r="B9" i="6"/>
  <c r="B15" i="6" s="1"/>
  <c r="AN3" i="6"/>
  <c r="X3" i="6"/>
  <c r="F3" i="6"/>
  <c r="H159" i="18"/>
  <c r="H158" i="18"/>
  <c r="H150" i="18"/>
  <c r="H136" i="18"/>
  <c r="H125" i="18"/>
  <c r="H123" i="18"/>
  <c r="H120" i="18"/>
  <c r="I184" i="29"/>
  <c r="E184" i="29"/>
  <c r="B184" i="29"/>
  <c r="I183" i="29"/>
  <c r="E183" i="29"/>
  <c r="B183" i="29"/>
  <c r="I182" i="29"/>
  <c r="E182" i="29"/>
  <c r="B182" i="29"/>
  <c r="I181" i="29"/>
  <c r="E181" i="29"/>
  <c r="B181" i="29"/>
  <c r="I180" i="29"/>
  <c r="E180" i="29"/>
  <c r="I179" i="29"/>
  <c r="E179" i="29"/>
  <c r="I150" i="29"/>
  <c r="E150" i="29"/>
  <c r="B150" i="29"/>
  <c r="I149" i="29"/>
  <c r="E149" i="29"/>
  <c r="B149" i="29"/>
  <c r="I148" i="29"/>
  <c r="E148" i="29"/>
  <c r="I147" i="29"/>
  <c r="E147" i="29"/>
  <c r="B147" i="29"/>
  <c r="I146" i="29"/>
  <c r="E146" i="29"/>
  <c r="B146" i="29"/>
  <c r="I145" i="29"/>
  <c r="E145" i="29"/>
  <c r="B145" i="29"/>
  <c r="I144" i="29"/>
  <c r="E144" i="29"/>
  <c r="B144" i="29"/>
  <c r="I143" i="29"/>
  <c r="E143" i="29"/>
  <c r="B143" i="29"/>
  <c r="I142" i="29"/>
  <c r="E142" i="29"/>
  <c r="B142" i="29"/>
  <c r="E141" i="29"/>
  <c r="I140" i="29"/>
  <c r="E140" i="29"/>
  <c r="B140" i="29"/>
  <c r="I139" i="29"/>
  <c r="E139" i="29"/>
  <c r="B139" i="29"/>
  <c r="I138" i="29"/>
  <c r="E138" i="29"/>
  <c r="I137" i="29"/>
  <c r="E137" i="29"/>
  <c r="B137" i="29"/>
  <c r="I136" i="29"/>
  <c r="E136" i="29"/>
  <c r="B136" i="29"/>
  <c r="I135" i="29"/>
  <c r="E135" i="29"/>
  <c r="B135" i="29"/>
  <c r="I134" i="29"/>
  <c r="E134" i="29"/>
  <c r="B134" i="29"/>
  <c r="I133" i="29"/>
  <c r="E133" i="29"/>
  <c r="B133" i="29"/>
  <c r="I131" i="29"/>
  <c r="E131" i="29"/>
  <c r="B131" i="29"/>
  <c r="I130" i="29"/>
  <c r="E130" i="29"/>
  <c r="B130" i="29"/>
  <c r="I129" i="29"/>
  <c r="E129" i="29"/>
  <c r="B129" i="29"/>
  <c r="I128" i="29"/>
  <c r="E128" i="29"/>
  <c r="B128" i="29"/>
  <c r="I127" i="29"/>
  <c r="E127" i="29"/>
  <c r="B127" i="29"/>
  <c r="I126" i="29"/>
  <c r="E126" i="29"/>
  <c r="B126" i="29"/>
  <c r="I125" i="29"/>
  <c r="E125" i="29"/>
  <c r="B125" i="29"/>
  <c r="I124" i="29"/>
  <c r="E124" i="29"/>
  <c r="B124" i="29"/>
  <c r="I123" i="29"/>
  <c r="E123" i="29"/>
  <c r="B123" i="29"/>
  <c r="I122" i="29"/>
  <c r="E122" i="29"/>
  <c r="B122" i="29"/>
  <c r="I121" i="29"/>
  <c r="E121" i="29"/>
  <c r="B121" i="29"/>
  <c r="I120" i="29"/>
  <c r="E120" i="29"/>
  <c r="B120" i="29"/>
  <c r="I119" i="29"/>
  <c r="E119" i="29"/>
  <c r="B119" i="29"/>
  <c r="I118" i="29"/>
  <c r="E118" i="29"/>
  <c r="B118" i="29"/>
  <c r="I116" i="29"/>
  <c r="E116" i="29"/>
  <c r="B116" i="29"/>
  <c r="I115" i="29"/>
  <c r="E115" i="29"/>
  <c r="B115" i="29"/>
  <c r="I114" i="29"/>
  <c r="E114" i="29"/>
  <c r="B114" i="29"/>
  <c r="I113" i="29"/>
  <c r="E113" i="29"/>
  <c r="B113" i="29"/>
  <c r="I112" i="29"/>
  <c r="E112" i="29"/>
  <c r="B112" i="29"/>
  <c r="I111" i="29"/>
  <c r="E111" i="29"/>
  <c r="B111" i="29"/>
  <c r="I109" i="29"/>
  <c r="E109" i="29"/>
  <c r="B109" i="29"/>
  <c r="I108" i="29"/>
  <c r="E108" i="29"/>
  <c r="B108" i="29"/>
  <c r="I107" i="29"/>
  <c r="E107" i="29"/>
  <c r="B107" i="29"/>
  <c r="I106" i="29"/>
  <c r="E106" i="29"/>
  <c r="B106" i="29"/>
  <c r="I105" i="29"/>
  <c r="E105" i="29"/>
  <c r="B105" i="29"/>
  <c r="I104" i="29"/>
  <c r="E104" i="29"/>
  <c r="B104" i="29"/>
  <c r="I103" i="29"/>
  <c r="E103" i="29"/>
  <c r="B103" i="29"/>
  <c r="I102" i="29"/>
  <c r="E102" i="29"/>
  <c r="B102" i="29"/>
  <c r="I101" i="29"/>
  <c r="E101" i="29"/>
  <c r="B101" i="29"/>
  <c r="I100" i="29"/>
  <c r="E100" i="29"/>
  <c r="B100" i="29"/>
  <c r="I99" i="29"/>
  <c r="E99" i="29"/>
  <c r="B99" i="29"/>
  <c r="I98" i="29"/>
  <c r="E98" i="29"/>
  <c r="B98" i="29"/>
  <c r="I97" i="29"/>
  <c r="E97" i="29"/>
  <c r="B97" i="29"/>
  <c r="I96" i="29"/>
  <c r="E96" i="29"/>
  <c r="B96" i="29"/>
  <c r="I94" i="29"/>
  <c r="E94" i="29"/>
  <c r="B94" i="29"/>
  <c r="I93" i="29"/>
  <c r="E93" i="29"/>
  <c r="B93" i="29"/>
  <c r="I92" i="29"/>
  <c r="E92" i="29"/>
  <c r="B92" i="29"/>
  <c r="I91" i="29"/>
  <c r="E91" i="29"/>
  <c r="B91" i="29"/>
  <c r="I90" i="29"/>
  <c r="E90" i="29"/>
  <c r="B90" i="29"/>
  <c r="I89" i="29"/>
  <c r="E89" i="29"/>
  <c r="B89" i="29"/>
  <c r="I87" i="29"/>
  <c r="E87" i="29"/>
  <c r="B87" i="29"/>
  <c r="I86" i="29"/>
  <c r="E86" i="29"/>
  <c r="B86" i="29"/>
  <c r="I85" i="29"/>
  <c r="E85" i="29"/>
  <c r="B85" i="29"/>
  <c r="I84" i="29"/>
  <c r="E84" i="29"/>
  <c r="B84" i="29"/>
  <c r="I83" i="29"/>
  <c r="E83" i="29"/>
  <c r="B83" i="29"/>
  <c r="I82" i="29"/>
  <c r="E82" i="29"/>
  <c r="B82" i="29"/>
  <c r="I80" i="29"/>
  <c r="E80" i="29"/>
  <c r="B80" i="29"/>
  <c r="I79" i="29"/>
  <c r="E79" i="29"/>
  <c r="B79" i="29"/>
  <c r="I77" i="29"/>
  <c r="E77" i="29"/>
  <c r="B77" i="29"/>
  <c r="I76" i="29"/>
  <c r="E76" i="29"/>
  <c r="B76" i="29"/>
  <c r="I75" i="29"/>
  <c r="E75" i="29"/>
  <c r="B75" i="29"/>
  <c r="I74" i="29"/>
  <c r="E74" i="29"/>
  <c r="B74" i="29"/>
  <c r="I73" i="29"/>
  <c r="E73" i="29"/>
  <c r="B73" i="29"/>
  <c r="I72" i="29"/>
  <c r="E72" i="29"/>
  <c r="B72" i="29"/>
  <c r="I71" i="29"/>
  <c r="E71" i="29"/>
  <c r="B71" i="29"/>
  <c r="I70" i="29"/>
  <c r="E70" i="29"/>
  <c r="B70" i="29"/>
  <c r="I69" i="29"/>
  <c r="E69" i="29"/>
  <c r="B69" i="29"/>
  <c r="I68" i="29"/>
  <c r="E68" i="29"/>
  <c r="B68" i="29"/>
  <c r="I67" i="29"/>
  <c r="E67" i="29"/>
  <c r="B67" i="29"/>
  <c r="I65" i="29"/>
  <c r="E65" i="29"/>
  <c r="B65" i="29"/>
  <c r="I64" i="29"/>
  <c r="E64" i="29"/>
  <c r="B64" i="29"/>
  <c r="I63" i="29"/>
  <c r="E63" i="29"/>
  <c r="B63" i="29"/>
  <c r="I62" i="29"/>
  <c r="E62" i="29"/>
  <c r="B62" i="29"/>
  <c r="I61" i="29"/>
  <c r="E61" i="29"/>
  <c r="B61" i="29"/>
  <c r="I60" i="29"/>
  <c r="E60" i="29"/>
  <c r="B60" i="29"/>
  <c r="I59" i="29"/>
  <c r="E59" i="29"/>
  <c r="B59" i="29"/>
  <c r="I58" i="29"/>
  <c r="E58" i="29"/>
  <c r="B58" i="29"/>
  <c r="I57" i="29"/>
  <c r="E57" i="29"/>
  <c r="B57" i="29"/>
  <c r="I56" i="29"/>
  <c r="E56" i="29"/>
  <c r="B56" i="29"/>
  <c r="I55" i="29"/>
  <c r="E55" i="29"/>
  <c r="B55" i="29"/>
  <c r="I53" i="29"/>
  <c r="E53" i="29"/>
  <c r="B53" i="29"/>
  <c r="I52" i="29"/>
  <c r="E52" i="29"/>
  <c r="B52" i="29"/>
  <c r="I51" i="29"/>
  <c r="E51" i="29"/>
  <c r="B51" i="29"/>
  <c r="I50" i="29"/>
  <c r="E50" i="29"/>
  <c r="B50" i="29"/>
  <c r="I49" i="29"/>
  <c r="E49" i="29"/>
  <c r="B49" i="29"/>
  <c r="I48" i="29"/>
  <c r="E48" i="29"/>
  <c r="B48" i="29"/>
  <c r="I47" i="29"/>
  <c r="E47" i="29"/>
  <c r="B47" i="29"/>
  <c r="I46" i="29"/>
  <c r="E46" i="29"/>
  <c r="B46" i="29"/>
  <c r="I45" i="29"/>
  <c r="E45" i="29"/>
  <c r="B45" i="29"/>
  <c r="I44" i="29"/>
  <c r="E44" i="29"/>
  <c r="B44" i="29"/>
  <c r="I43" i="29"/>
  <c r="E43" i="29"/>
  <c r="B43" i="29"/>
  <c r="I42" i="29"/>
  <c r="E42" i="29"/>
  <c r="B42" i="29"/>
  <c r="I41" i="29"/>
  <c r="E41" i="29"/>
  <c r="B41" i="29"/>
  <c r="I39" i="29"/>
  <c r="E39" i="29"/>
  <c r="B39" i="29"/>
  <c r="I38" i="29"/>
  <c r="E38" i="29"/>
  <c r="B38" i="29"/>
  <c r="I37" i="29"/>
  <c r="E37" i="29"/>
  <c r="B37" i="29"/>
  <c r="I36" i="29"/>
  <c r="E36" i="29"/>
  <c r="B36" i="29"/>
  <c r="I35" i="29"/>
  <c r="E35" i="29"/>
  <c r="B35" i="29"/>
  <c r="I34" i="29"/>
  <c r="E34" i="29"/>
  <c r="B34" i="29"/>
  <c r="I33" i="29"/>
  <c r="E33" i="29"/>
  <c r="B33" i="29"/>
  <c r="I32" i="29"/>
  <c r="E32" i="29"/>
  <c r="B32" i="29"/>
  <c r="I31" i="29"/>
  <c r="E31" i="29"/>
  <c r="B31" i="29"/>
  <c r="I30" i="29"/>
  <c r="E30" i="29"/>
  <c r="B30" i="29"/>
  <c r="I29" i="29"/>
  <c r="E29" i="29"/>
  <c r="B29" i="29"/>
  <c r="I27" i="29"/>
  <c r="E27" i="29"/>
  <c r="B27" i="29"/>
  <c r="I26" i="29"/>
  <c r="E26" i="29"/>
  <c r="B26" i="29"/>
  <c r="I25" i="29"/>
  <c r="E25" i="29"/>
  <c r="B25" i="29"/>
  <c r="I24" i="29"/>
  <c r="E24" i="29"/>
  <c r="B24" i="29"/>
  <c r="I23" i="29"/>
  <c r="E23" i="29"/>
  <c r="B23" i="29"/>
  <c r="I22" i="29"/>
  <c r="E22" i="29"/>
  <c r="B22" i="29"/>
  <c r="I20" i="29"/>
  <c r="E20" i="29"/>
  <c r="I19" i="29"/>
  <c r="E19" i="29"/>
  <c r="B19" i="29"/>
  <c r="I18" i="29"/>
  <c r="E18" i="29"/>
  <c r="B18" i="29"/>
  <c r="I17" i="29"/>
  <c r="E17" i="29"/>
  <c r="B17" i="29"/>
  <c r="I16" i="29"/>
  <c r="E16" i="29"/>
  <c r="B16" i="29"/>
  <c r="I15" i="29"/>
  <c r="E15" i="29"/>
  <c r="B15" i="29"/>
  <c r="I13" i="29"/>
  <c r="E13" i="29"/>
  <c r="B13" i="29"/>
  <c r="I12" i="29"/>
  <c r="E12" i="29"/>
  <c r="B12" i="29"/>
  <c r="I11" i="29"/>
  <c r="E11" i="29"/>
  <c r="B11" i="29"/>
  <c r="I10" i="29"/>
  <c r="E10" i="29"/>
  <c r="B10" i="29"/>
  <c r="I9" i="29"/>
  <c r="E9" i="29"/>
  <c r="B9" i="29"/>
  <c r="I8" i="29"/>
  <c r="E8" i="29"/>
  <c r="B8" i="29"/>
  <c r="I7" i="29"/>
  <c r="E7" i="29"/>
  <c r="B7" i="29"/>
  <c r="I5" i="29"/>
  <c r="E5" i="29"/>
  <c r="B5" i="29"/>
  <c r="I4" i="29"/>
  <c r="E4" i="29"/>
  <c r="B4" i="29"/>
  <c r="D6" i="74"/>
  <c r="AC324" i="105" s="1"/>
  <c r="N324" i="105" s="1"/>
  <c r="D5" i="74"/>
  <c r="AC323" i="105" s="1"/>
  <c r="N323" i="105" s="1"/>
  <c r="D4" i="74"/>
  <c r="AC322" i="105" s="1"/>
  <c r="N322" i="105" s="1"/>
  <c r="D3" i="74"/>
  <c r="AC321" i="105" s="1"/>
  <c r="N321" i="105" s="1"/>
  <c r="D2" i="74"/>
  <c r="AC320" i="105" s="1"/>
  <c r="N320" i="105" s="1"/>
  <c r="J307" i="82"/>
  <c r="G307" i="82" s="1"/>
  <c r="I307" i="82" s="1"/>
  <c r="U341" i="105" s="1"/>
  <c r="V341" i="105" s="1"/>
  <c r="K341" i="105" s="1"/>
  <c r="C307" i="82"/>
  <c r="J306" i="82"/>
  <c r="G306" i="82" s="1"/>
  <c r="I306" i="82" s="1"/>
  <c r="C306" i="82"/>
  <c r="J305" i="82"/>
  <c r="G305" i="82" s="1"/>
  <c r="I305" i="82" s="1"/>
  <c r="C305" i="82"/>
  <c r="J304" i="82"/>
  <c r="G304" i="82" s="1"/>
  <c r="I304" i="82" s="1"/>
  <c r="C304" i="82"/>
  <c r="D304" i="82" s="1"/>
  <c r="J303" i="82"/>
  <c r="G303" i="82" s="1"/>
  <c r="I303" i="82" s="1"/>
  <c r="C303" i="82"/>
  <c r="D303" i="82" s="1"/>
  <c r="J302" i="82"/>
  <c r="G302" i="82" s="1"/>
  <c r="I302" i="82" s="1"/>
  <c r="C302" i="82"/>
  <c r="D302" i="82" s="1"/>
  <c r="J301" i="82"/>
  <c r="G301" i="82" s="1"/>
  <c r="I301" i="82" s="1"/>
  <c r="C301" i="82"/>
  <c r="D301" i="82" s="1"/>
  <c r="J300" i="82"/>
  <c r="G300" i="82" s="1"/>
  <c r="I300" i="82" s="1"/>
  <c r="C300" i="82"/>
  <c r="J299" i="82"/>
  <c r="G299" i="82" s="1"/>
  <c r="I299" i="82" s="1"/>
  <c r="C299" i="82"/>
  <c r="J298" i="82"/>
  <c r="G298" i="82" s="1"/>
  <c r="I298" i="82" s="1"/>
  <c r="C298" i="82"/>
  <c r="J297" i="82"/>
  <c r="G297" i="82" s="1"/>
  <c r="I297" i="82" s="1"/>
  <c r="C297" i="82"/>
  <c r="J296" i="82"/>
  <c r="G296" i="82" s="1"/>
  <c r="I296" i="82" s="1"/>
  <c r="C296" i="82"/>
  <c r="D296" i="82" s="1"/>
  <c r="J295" i="82"/>
  <c r="G295" i="82" s="1"/>
  <c r="I295" i="82" s="1"/>
  <c r="C295" i="82"/>
  <c r="D295" i="82" s="1"/>
  <c r="J294" i="82"/>
  <c r="G294" i="82" s="1"/>
  <c r="I294" i="82" s="1"/>
  <c r="C294" i="82"/>
  <c r="D294" i="82" s="1"/>
  <c r="J293" i="82"/>
  <c r="G293" i="82" s="1"/>
  <c r="I293" i="82" s="1"/>
  <c r="C293" i="82"/>
  <c r="D293" i="82" s="1"/>
  <c r="J292" i="82"/>
  <c r="G292" i="82" s="1"/>
  <c r="I292" i="82" s="1"/>
  <c r="C292" i="82"/>
  <c r="J291" i="82"/>
  <c r="G291" i="82" s="1"/>
  <c r="I291" i="82" s="1"/>
  <c r="C291" i="82"/>
  <c r="J290" i="82"/>
  <c r="G290" i="82" s="1"/>
  <c r="I290" i="82" s="1"/>
  <c r="C290" i="82"/>
  <c r="D290" i="82" s="1"/>
  <c r="J289" i="82"/>
  <c r="G289" i="82" s="1"/>
  <c r="I289" i="82" s="1"/>
  <c r="C289" i="82"/>
  <c r="D289" i="82" s="1"/>
  <c r="J288" i="82"/>
  <c r="G288" i="82" s="1"/>
  <c r="I288" i="82" s="1"/>
  <c r="C288" i="82"/>
  <c r="D288" i="82" s="1"/>
  <c r="J287" i="82"/>
  <c r="G287" i="82" s="1"/>
  <c r="I287" i="82" s="1"/>
  <c r="C287" i="82"/>
  <c r="D287" i="82" s="1"/>
  <c r="J286" i="82"/>
  <c r="G286" i="82" s="1"/>
  <c r="I286" i="82" s="1"/>
  <c r="C286" i="82"/>
  <c r="J285" i="82"/>
  <c r="G285" i="82" s="1"/>
  <c r="I285" i="82" s="1"/>
  <c r="C285" i="82"/>
  <c r="J284" i="82"/>
  <c r="G284" i="82" s="1"/>
  <c r="I284" i="82" s="1"/>
  <c r="C284" i="82"/>
  <c r="J283" i="82"/>
  <c r="G283" i="82" s="1"/>
  <c r="I283" i="82" s="1"/>
  <c r="C283" i="82"/>
  <c r="J282" i="82"/>
  <c r="G282" i="82" s="1"/>
  <c r="I282" i="82" s="1"/>
  <c r="C282" i="82"/>
  <c r="J281" i="82"/>
  <c r="G281" i="82" s="1"/>
  <c r="I281" i="82" s="1"/>
  <c r="C281" i="82"/>
  <c r="J280" i="82"/>
  <c r="G280" i="82" s="1"/>
  <c r="I280" i="82" s="1"/>
  <c r="C280" i="82"/>
  <c r="J279" i="82"/>
  <c r="G279" i="82" s="1"/>
  <c r="I279" i="82" s="1"/>
  <c r="C279" i="82"/>
  <c r="J278" i="82"/>
  <c r="G278" i="82" s="1"/>
  <c r="I278" i="82" s="1"/>
  <c r="C278" i="82"/>
  <c r="J277" i="82"/>
  <c r="G277" i="82" s="1"/>
  <c r="I277" i="82" s="1"/>
  <c r="C277" i="82"/>
  <c r="D277" i="82" s="1"/>
  <c r="J276" i="82"/>
  <c r="G276" i="82" s="1"/>
  <c r="I276" i="82" s="1"/>
  <c r="C276" i="82"/>
  <c r="D276" i="82" s="1"/>
  <c r="J275" i="82"/>
  <c r="G275" i="82" s="1"/>
  <c r="I275" i="82" s="1"/>
  <c r="C275" i="82"/>
  <c r="D275" i="82" s="1"/>
  <c r="J274" i="82"/>
  <c r="G274" i="82" s="1"/>
  <c r="I274" i="82" s="1"/>
  <c r="C274" i="82"/>
  <c r="D274" i="82" s="1"/>
  <c r="J273" i="82"/>
  <c r="G273" i="82" s="1"/>
  <c r="I273" i="82" s="1"/>
  <c r="C273" i="82"/>
  <c r="J272" i="82"/>
  <c r="G272" i="82" s="1"/>
  <c r="I272" i="82" s="1"/>
  <c r="C272" i="82"/>
  <c r="J271" i="82"/>
  <c r="G271" i="82" s="1"/>
  <c r="I271" i="82" s="1"/>
  <c r="C271" i="82"/>
  <c r="J270" i="82"/>
  <c r="G270" i="82" s="1"/>
  <c r="I270" i="82" s="1"/>
  <c r="C270" i="82"/>
  <c r="J269" i="82"/>
  <c r="G269" i="82" s="1"/>
  <c r="I269" i="82" s="1"/>
  <c r="C269" i="82"/>
  <c r="J268" i="82"/>
  <c r="G268" i="82" s="1"/>
  <c r="I268" i="82" s="1"/>
  <c r="C268" i="82"/>
  <c r="J267" i="82"/>
  <c r="G267" i="82" s="1"/>
  <c r="I267" i="82" s="1"/>
  <c r="C267" i="82"/>
  <c r="J266" i="82"/>
  <c r="G266" i="82" s="1"/>
  <c r="I266" i="82" s="1"/>
  <c r="C266" i="82"/>
  <c r="J265" i="82"/>
  <c r="G265" i="82" s="1"/>
  <c r="I265" i="82" s="1"/>
  <c r="C265" i="82"/>
  <c r="J264" i="82"/>
  <c r="G264" i="82" s="1"/>
  <c r="I264" i="82" s="1"/>
  <c r="C264" i="82"/>
  <c r="D264" i="82" s="1"/>
  <c r="J263" i="82"/>
  <c r="G263" i="82" s="1"/>
  <c r="I263" i="82" s="1"/>
  <c r="C263" i="82"/>
  <c r="D263" i="82" s="1"/>
  <c r="J262" i="82"/>
  <c r="G262" i="82" s="1"/>
  <c r="I262" i="82" s="1"/>
  <c r="C262" i="82"/>
  <c r="D262" i="82" s="1"/>
  <c r="J261" i="82"/>
  <c r="G261" i="82" s="1"/>
  <c r="I261" i="82" s="1"/>
  <c r="C261" i="82"/>
  <c r="D261" i="82" s="1"/>
  <c r="J260" i="82"/>
  <c r="G260" i="82" s="1"/>
  <c r="I260" i="82" s="1"/>
  <c r="C260" i="82"/>
  <c r="D260" i="82" s="1"/>
  <c r="J259" i="82"/>
  <c r="G259" i="82" s="1"/>
  <c r="I259" i="82" s="1"/>
  <c r="C259" i="82"/>
  <c r="D259" i="82" s="1"/>
  <c r="J258" i="82"/>
  <c r="G258" i="82" s="1"/>
  <c r="I258" i="82" s="1"/>
  <c r="C258" i="82"/>
  <c r="J257" i="82"/>
  <c r="G257" i="82" s="1"/>
  <c r="I257" i="82" s="1"/>
  <c r="C257" i="82"/>
  <c r="J256" i="82"/>
  <c r="G256" i="82" s="1"/>
  <c r="I256" i="82" s="1"/>
  <c r="C256" i="82"/>
  <c r="J255" i="82"/>
  <c r="G255" i="82" s="1"/>
  <c r="I255" i="82" s="1"/>
  <c r="C255" i="82"/>
  <c r="J254" i="82"/>
  <c r="G254" i="82" s="1"/>
  <c r="I254" i="82" s="1"/>
  <c r="C254" i="82"/>
  <c r="J253" i="82"/>
  <c r="G253" i="82" s="1"/>
  <c r="I253" i="82" s="1"/>
  <c r="C253" i="82"/>
  <c r="J252" i="82"/>
  <c r="G252" i="82" s="1"/>
  <c r="I252" i="82" s="1"/>
  <c r="C252" i="82"/>
  <c r="J251" i="82"/>
  <c r="G251" i="82" s="1"/>
  <c r="I251" i="82" s="1"/>
  <c r="C251" i="82"/>
  <c r="J250" i="82"/>
  <c r="G250" i="82" s="1"/>
  <c r="I250" i="82" s="1"/>
  <c r="C250" i="82"/>
  <c r="J249" i="82"/>
  <c r="G249" i="82" s="1"/>
  <c r="I249" i="82" s="1"/>
  <c r="C249" i="82"/>
  <c r="J248" i="82"/>
  <c r="G248" i="82" s="1"/>
  <c r="I248" i="82" s="1"/>
  <c r="C248" i="82"/>
  <c r="J247" i="82"/>
  <c r="G247" i="82" s="1"/>
  <c r="I247" i="82" s="1"/>
  <c r="C247" i="82"/>
  <c r="J246" i="82"/>
  <c r="G246" i="82" s="1"/>
  <c r="I246" i="82" s="1"/>
  <c r="C246" i="82"/>
  <c r="D246" i="82" s="1"/>
  <c r="J245" i="82"/>
  <c r="G245" i="82" s="1"/>
  <c r="I245" i="82" s="1"/>
  <c r="C245" i="82"/>
  <c r="D245" i="82" s="1"/>
  <c r="J244" i="82"/>
  <c r="G244" i="82" s="1"/>
  <c r="I244" i="82" s="1"/>
  <c r="C244" i="82"/>
  <c r="D244" i="82" s="1"/>
  <c r="J243" i="82"/>
  <c r="G243" i="82" s="1"/>
  <c r="I243" i="82" s="1"/>
  <c r="C243" i="82"/>
  <c r="J242" i="82"/>
  <c r="G242" i="82" s="1"/>
  <c r="I242" i="82" s="1"/>
  <c r="C242" i="82"/>
  <c r="J241" i="82"/>
  <c r="G241" i="82" s="1"/>
  <c r="I241" i="82" s="1"/>
  <c r="C241" i="82"/>
  <c r="J240" i="82"/>
  <c r="G240" i="82" s="1"/>
  <c r="I240" i="82" s="1"/>
  <c r="C240" i="82"/>
  <c r="J239" i="82"/>
  <c r="G239" i="82" s="1"/>
  <c r="I239" i="82" s="1"/>
  <c r="C239" i="82"/>
  <c r="J238" i="82"/>
  <c r="G238" i="82" s="1"/>
  <c r="I238" i="82" s="1"/>
  <c r="C238" i="82"/>
  <c r="J237" i="82"/>
  <c r="G237" i="82" s="1"/>
  <c r="I237" i="82" s="1"/>
  <c r="C237" i="82"/>
  <c r="J236" i="82"/>
  <c r="G236" i="82" s="1"/>
  <c r="I236" i="82" s="1"/>
  <c r="C236" i="82"/>
  <c r="J235" i="82"/>
  <c r="G235" i="82" s="1"/>
  <c r="I235" i="82" s="1"/>
  <c r="C235" i="82"/>
  <c r="J234" i="82"/>
  <c r="G234" i="82" s="1"/>
  <c r="I234" i="82" s="1"/>
  <c r="C234" i="82"/>
  <c r="J233" i="82"/>
  <c r="G233" i="82" s="1"/>
  <c r="I233" i="82" s="1"/>
  <c r="C233" i="82"/>
  <c r="D233" i="82" s="1"/>
  <c r="J232" i="82"/>
  <c r="G232" i="82" s="1"/>
  <c r="I232" i="82" s="1"/>
  <c r="C232" i="82"/>
  <c r="D232" i="82" s="1"/>
  <c r="J231" i="82"/>
  <c r="G231" i="82" s="1"/>
  <c r="I231" i="82" s="1"/>
  <c r="C231" i="82"/>
  <c r="D231" i="82" s="1"/>
  <c r="J230" i="82"/>
  <c r="G230" i="82" s="1"/>
  <c r="I230" i="82" s="1"/>
  <c r="C230" i="82"/>
  <c r="J229" i="82"/>
  <c r="G229" i="82" s="1"/>
  <c r="I229" i="82" s="1"/>
  <c r="C229" i="82"/>
  <c r="J228" i="82"/>
  <c r="G228" i="82" s="1"/>
  <c r="I228" i="82" s="1"/>
  <c r="C228" i="82"/>
  <c r="R228" i="105" s="1"/>
  <c r="S228" i="105" s="1"/>
  <c r="J227" i="82"/>
  <c r="G227" i="82" s="1"/>
  <c r="I227" i="82" s="1"/>
  <c r="C227" i="82"/>
  <c r="J226" i="82"/>
  <c r="G226" i="82" s="1"/>
  <c r="I226" i="82" s="1"/>
  <c r="C226" i="82"/>
  <c r="J225" i="82"/>
  <c r="G225" i="82" s="1"/>
  <c r="I225" i="82" s="1"/>
  <c r="C225" i="82"/>
  <c r="J224" i="82"/>
  <c r="G224" i="82" s="1"/>
  <c r="I224" i="82" s="1"/>
  <c r="C224" i="82"/>
  <c r="J223" i="82"/>
  <c r="G223" i="82" s="1"/>
  <c r="I223" i="82" s="1"/>
  <c r="C223" i="82"/>
  <c r="J222" i="82"/>
  <c r="G222" i="82" s="1"/>
  <c r="I222" i="82" s="1"/>
  <c r="C222" i="82"/>
  <c r="J221" i="82"/>
  <c r="G221" i="82" s="1"/>
  <c r="I221" i="82" s="1"/>
  <c r="C221" i="82"/>
  <c r="R221" i="105" s="1"/>
  <c r="S221" i="105" s="1"/>
  <c r="J220" i="82"/>
  <c r="G220" i="82" s="1"/>
  <c r="I220" i="82" s="1"/>
  <c r="C220" i="82"/>
  <c r="D220" i="82" s="1"/>
  <c r="J219" i="82"/>
  <c r="G219" i="82" s="1"/>
  <c r="I219" i="82" s="1"/>
  <c r="C219" i="82"/>
  <c r="D219" i="82" s="1"/>
  <c r="J218" i="82"/>
  <c r="G218" i="82" s="1"/>
  <c r="I218" i="82" s="1"/>
  <c r="C218" i="82"/>
  <c r="D218" i="82" s="1"/>
  <c r="J217" i="82"/>
  <c r="G217" i="82" s="1"/>
  <c r="I217" i="82" s="1"/>
  <c r="U89" i="105" s="1"/>
  <c r="V89" i="105" s="1"/>
  <c r="C217" i="82"/>
  <c r="J216" i="82"/>
  <c r="G216" i="82" s="1"/>
  <c r="C216" i="82"/>
  <c r="J215" i="82"/>
  <c r="G215" i="82" s="1"/>
  <c r="I215" i="82" s="1"/>
  <c r="C215" i="82"/>
  <c r="D215" i="82" s="1"/>
  <c r="J214" i="82"/>
  <c r="G214" i="82" s="1"/>
  <c r="I214" i="82" s="1"/>
  <c r="U297" i="105" s="1"/>
  <c r="V297" i="105" s="1"/>
  <c r="C214" i="82"/>
  <c r="D214" i="82" s="1"/>
  <c r="J213" i="82"/>
  <c r="G213" i="82" s="1"/>
  <c r="I213" i="82" s="1"/>
  <c r="C213" i="82"/>
  <c r="D213" i="82" s="1"/>
  <c r="J212" i="82"/>
  <c r="G212" i="82" s="1"/>
  <c r="I212" i="82" s="1"/>
  <c r="C212" i="82"/>
  <c r="J211" i="82"/>
  <c r="G211" i="82" s="1"/>
  <c r="I211" i="82" s="1"/>
  <c r="C211" i="82"/>
  <c r="J210" i="82"/>
  <c r="G210" i="82" s="1"/>
  <c r="I210" i="82" s="1"/>
  <c r="C210" i="82"/>
  <c r="J209" i="82"/>
  <c r="G209" i="82" s="1"/>
  <c r="I209" i="82" s="1"/>
  <c r="C209" i="82"/>
  <c r="J208" i="82"/>
  <c r="G208" i="82" s="1"/>
  <c r="I208" i="82" s="1"/>
  <c r="C208" i="82"/>
  <c r="J207" i="82"/>
  <c r="G207" i="82" s="1"/>
  <c r="I207" i="82" s="1"/>
  <c r="C207" i="82"/>
  <c r="J206" i="82"/>
  <c r="G206" i="82" s="1"/>
  <c r="I206" i="82" s="1"/>
  <c r="C206" i="82"/>
  <c r="J205" i="82"/>
  <c r="G205" i="82" s="1"/>
  <c r="I205" i="82" s="1"/>
  <c r="C205" i="82"/>
  <c r="J204" i="82"/>
  <c r="G204" i="82" s="1"/>
  <c r="I204" i="82" s="1"/>
  <c r="C204" i="82"/>
  <c r="J203" i="82"/>
  <c r="G203" i="82" s="1"/>
  <c r="I203" i="82" s="1"/>
  <c r="C203" i="82"/>
  <c r="J202" i="82"/>
  <c r="G202" i="82" s="1"/>
  <c r="I202" i="82" s="1"/>
  <c r="C202" i="82"/>
  <c r="J201" i="82"/>
  <c r="G201" i="82" s="1"/>
  <c r="I201" i="82" s="1"/>
  <c r="C201" i="82"/>
  <c r="J200" i="82"/>
  <c r="G200" i="82" s="1"/>
  <c r="I200" i="82" s="1"/>
  <c r="U141" i="105" s="1"/>
  <c r="V141" i="105" s="1"/>
  <c r="C200" i="82"/>
  <c r="J199" i="82"/>
  <c r="G199" i="82" s="1"/>
  <c r="I199" i="82" s="1"/>
  <c r="U139" i="105" s="1"/>
  <c r="V139" i="105" s="1"/>
  <c r="C199" i="82"/>
  <c r="J198" i="82"/>
  <c r="G198" i="82" s="1"/>
  <c r="I198" i="82" s="1"/>
  <c r="U161" i="105" s="1"/>
  <c r="V161" i="105" s="1"/>
  <c r="C198" i="82"/>
  <c r="J197" i="82"/>
  <c r="G197" i="82" s="1"/>
  <c r="I197" i="82" s="1"/>
  <c r="U145" i="105" s="1"/>
  <c r="V145" i="105" s="1"/>
  <c r="C197" i="82"/>
  <c r="J196" i="82"/>
  <c r="G196" i="82" s="1"/>
  <c r="I196" i="82" s="1"/>
  <c r="C196" i="82"/>
  <c r="J195" i="82"/>
  <c r="G195" i="82" s="1"/>
  <c r="I195" i="82" s="1"/>
  <c r="U164" i="105" s="1"/>
  <c r="V164" i="105" s="1"/>
  <c r="C195" i="82"/>
  <c r="J194" i="82"/>
  <c r="G194" i="82" s="1"/>
  <c r="I194" i="82" s="1"/>
  <c r="U146" i="105" s="1"/>
  <c r="V146" i="105" s="1"/>
  <c r="C194" i="82"/>
  <c r="J193" i="82"/>
  <c r="G193" i="82" s="1"/>
  <c r="I193" i="82" s="1"/>
  <c r="U151" i="105" s="1"/>
  <c r="V151" i="105" s="1"/>
  <c r="C193" i="82"/>
  <c r="J192" i="82"/>
  <c r="G192" i="82" s="1"/>
  <c r="I192" i="82" s="1"/>
  <c r="U158" i="105" s="1"/>
  <c r="V158" i="105" s="1"/>
  <c r="C192" i="82"/>
  <c r="J191" i="82"/>
  <c r="G191" i="82" s="1"/>
  <c r="I191" i="82" s="1"/>
  <c r="U134" i="105" s="1"/>
  <c r="V134" i="105" s="1"/>
  <c r="C191" i="82"/>
  <c r="J190" i="82"/>
  <c r="G190" i="82" s="1"/>
  <c r="I190" i="82" s="1"/>
  <c r="U142" i="105" s="1"/>
  <c r="V142" i="105" s="1"/>
  <c r="C190" i="82"/>
  <c r="J189" i="82"/>
  <c r="G189" i="82" s="1"/>
  <c r="I189" i="82" s="1"/>
  <c r="U362" i="105" s="1"/>
  <c r="V362" i="105" s="1"/>
  <c r="K362" i="105" s="1"/>
  <c r="C189" i="82"/>
  <c r="J188" i="82"/>
  <c r="G188" i="82" s="1"/>
  <c r="I188" i="82" s="1"/>
  <c r="U160" i="105" s="1"/>
  <c r="V160" i="105" s="1"/>
  <c r="C188" i="82"/>
  <c r="J187" i="82"/>
  <c r="G187" i="82" s="1"/>
  <c r="I187" i="82" s="1"/>
  <c r="C187" i="82"/>
  <c r="J186" i="82"/>
  <c r="G186" i="82" s="1"/>
  <c r="I186" i="82" s="1"/>
  <c r="D186" i="82"/>
  <c r="C186" i="82"/>
  <c r="R186" i="105" s="1"/>
  <c r="S186" i="105" s="1"/>
  <c r="K186" i="105" s="1"/>
  <c r="J185" i="82"/>
  <c r="G185" i="82" s="1"/>
  <c r="I185" i="82" s="1"/>
  <c r="U169" i="105" s="1"/>
  <c r="V169" i="105" s="1"/>
  <c r="C185" i="82"/>
  <c r="J184" i="82"/>
  <c r="G184" i="82" s="1"/>
  <c r="I184" i="82" s="1"/>
  <c r="U360" i="105" s="1"/>
  <c r="V360" i="105" s="1"/>
  <c r="K360" i="105" s="1"/>
  <c r="C184" i="82"/>
  <c r="R184" i="105" s="1"/>
  <c r="S184" i="105" s="1"/>
  <c r="K184" i="105" s="1"/>
  <c r="J183" i="82"/>
  <c r="G183" i="82" s="1"/>
  <c r="I183" i="82" s="1"/>
  <c r="U157" i="105" s="1"/>
  <c r="V157" i="105" s="1"/>
  <c r="C183" i="82"/>
  <c r="J182" i="82"/>
  <c r="G182" i="82" s="1"/>
  <c r="I182" i="82" s="1"/>
  <c r="U138" i="105" s="1"/>
  <c r="V138" i="105" s="1"/>
  <c r="C182" i="82"/>
  <c r="J181" i="82"/>
  <c r="G181" i="82" s="1"/>
  <c r="I181" i="82" s="1"/>
  <c r="C181" i="82"/>
  <c r="J180" i="82"/>
  <c r="G180" i="82" s="1"/>
  <c r="I180" i="82" s="1"/>
  <c r="U156" i="105" s="1"/>
  <c r="V156" i="105" s="1"/>
  <c r="C180" i="82"/>
  <c r="R180" i="105" s="1"/>
  <c r="S180" i="105" s="1"/>
  <c r="J179" i="82"/>
  <c r="G179" i="82" s="1"/>
  <c r="I179" i="82" s="1"/>
  <c r="C179" i="82"/>
  <c r="J178" i="82"/>
  <c r="G178" i="82" s="1"/>
  <c r="I178" i="82" s="1"/>
  <c r="U165" i="105" s="1"/>
  <c r="V165" i="105" s="1"/>
  <c r="C178" i="82"/>
  <c r="J177" i="82"/>
  <c r="G177" i="82" s="1"/>
  <c r="I177" i="82" s="1"/>
  <c r="C177" i="82"/>
  <c r="J176" i="82"/>
  <c r="G176" i="82" s="1"/>
  <c r="I176" i="82" s="1"/>
  <c r="U168" i="105" s="1"/>
  <c r="V168" i="105" s="1"/>
  <c r="C176" i="82"/>
  <c r="D176" i="82" s="1"/>
  <c r="J175" i="82"/>
  <c r="G175" i="82" s="1"/>
  <c r="I175" i="82" s="1"/>
  <c r="U163" i="105" s="1"/>
  <c r="V163" i="105" s="1"/>
  <c r="C175" i="82"/>
  <c r="D175" i="82" s="1"/>
  <c r="J174" i="82"/>
  <c r="G174" i="82" s="1"/>
  <c r="I174" i="82" s="1"/>
  <c r="U133" i="105" s="1"/>
  <c r="V133" i="105" s="1"/>
  <c r="C174" i="82"/>
  <c r="D174" i="82" s="1"/>
  <c r="J173" i="82"/>
  <c r="G173" i="82" s="1"/>
  <c r="I173" i="82" s="1"/>
  <c r="U162" i="105" s="1"/>
  <c r="V162" i="105" s="1"/>
  <c r="C173" i="82"/>
  <c r="J172" i="82"/>
  <c r="G172" i="82" s="1"/>
  <c r="I172" i="82" s="1"/>
  <c r="U221" i="105" s="1"/>
  <c r="V221" i="105" s="1"/>
  <c r="C172" i="82"/>
  <c r="J171" i="82"/>
  <c r="G171" i="82" s="1"/>
  <c r="I171" i="82" s="1"/>
  <c r="U359" i="105" s="1"/>
  <c r="V359" i="105" s="1"/>
  <c r="K359" i="105" s="1"/>
  <c r="C171" i="82"/>
  <c r="D171" i="82" s="1"/>
  <c r="J170" i="82"/>
  <c r="G170" i="82" s="1"/>
  <c r="I170" i="82" s="1"/>
  <c r="U177" i="105" s="1"/>
  <c r="V177" i="105" s="1"/>
  <c r="C170" i="82"/>
  <c r="D170" i="82" s="1"/>
  <c r="J169" i="82"/>
  <c r="G169" i="82" s="1"/>
  <c r="I169" i="82" s="1"/>
  <c r="U140" i="105" s="1"/>
  <c r="V140" i="105" s="1"/>
  <c r="C169" i="82"/>
  <c r="J168" i="82"/>
  <c r="G168" i="82" s="1"/>
  <c r="I168" i="82" s="1"/>
  <c r="U358" i="105" s="1"/>
  <c r="V358" i="105" s="1"/>
  <c r="K358" i="105" s="1"/>
  <c r="C168" i="82"/>
  <c r="R168" i="105" s="1"/>
  <c r="S168" i="105" s="1"/>
  <c r="J167" i="82"/>
  <c r="G167" i="82" s="1"/>
  <c r="I167" i="82" s="1"/>
  <c r="U153" i="105" s="1"/>
  <c r="V153" i="105" s="1"/>
  <c r="C167" i="82"/>
  <c r="J166" i="82"/>
  <c r="G166" i="82" s="1"/>
  <c r="I166" i="82" s="1"/>
  <c r="U167" i="105" s="1"/>
  <c r="V167" i="105" s="1"/>
  <c r="C166" i="82"/>
  <c r="J165" i="82"/>
  <c r="G165" i="82" s="1"/>
  <c r="I165" i="82" s="1"/>
  <c r="U152" i="105" s="1"/>
  <c r="V152" i="105" s="1"/>
  <c r="C165" i="82"/>
  <c r="R165" i="105" s="1"/>
  <c r="S165" i="105" s="1"/>
  <c r="J164" i="82"/>
  <c r="G164" i="82" s="1"/>
  <c r="I164" i="82" s="1"/>
  <c r="U155" i="105" s="1"/>
  <c r="V155" i="105" s="1"/>
  <c r="C164" i="82"/>
  <c r="J163" i="82"/>
  <c r="G163" i="82" s="1"/>
  <c r="I163" i="82" s="1"/>
  <c r="U149" i="105" s="1"/>
  <c r="V149" i="105" s="1"/>
  <c r="C163" i="82"/>
  <c r="J162" i="82"/>
  <c r="G162" i="82" s="1"/>
  <c r="I162" i="82" s="1"/>
  <c r="U148" i="105" s="1"/>
  <c r="V148" i="105" s="1"/>
  <c r="C162" i="82"/>
  <c r="J161" i="82"/>
  <c r="G161" i="82" s="1"/>
  <c r="I161" i="82" s="1"/>
  <c r="C161" i="82"/>
  <c r="J160" i="82"/>
  <c r="G160" i="82" s="1"/>
  <c r="I160" i="82" s="1"/>
  <c r="U144" i="105" s="1"/>
  <c r="V144" i="105" s="1"/>
  <c r="C160" i="82"/>
  <c r="J159" i="82"/>
  <c r="G159" i="82" s="1"/>
  <c r="I159" i="82" s="1"/>
  <c r="C159" i="82"/>
  <c r="J158" i="82"/>
  <c r="G158" i="82" s="1"/>
  <c r="I158" i="82" s="1"/>
  <c r="C158" i="82"/>
  <c r="R158" i="105" s="1"/>
  <c r="S158" i="105" s="1"/>
  <c r="J157" i="82"/>
  <c r="G157" i="82" s="1"/>
  <c r="I157" i="82" s="1"/>
  <c r="C157" i="82"/>
  <c r="R157" i="105" s="1"/>
  <c r="S157" i="105" s="1"/>
  <c r="J156" i="82"/>
  <c r="G156" i="82" s="1"/>
  <c r="I156" i="82" s="1"/>
  <c r="C156" i="82"/>
  <c r="R156" i="105" s="1"/>
  <c r="S156" i="105" s="1"/>
  <c r="J155" i="82"/>
  <c r="G155" i="82" s="1"/>
  <c r="I155" i="82" s="1"/>
  <c r="C155" i="82"/>
  <c r="R155" i="105" s="1"/>
  <c r="S155" i="105" s="1"/>
  <c r="J154" i="82"/>
  <c r="G154" i="82" s="1"/>
  <c r="I154" i="82" s="1"/>
  <c r="C154" i="82"/>
  <c r="J153" i="82"/>
  <c r="G153" i="82" s="1"/>
  <c r="I153" i="82" s="1"/>
  <c r="C153" i="82"/>
  <c r="R153" i="105" s="1"/>
  <c r="S153" i="105" s="1"/>
  <c r="J152" i="82"/>
  <c r="G152" i="82" s="1"/>
  <c r="I152" i="82" s="1"/>
  <c r="C152" i="82"/>
  <c r="R152" i="105" s="1"/>
  <c r="S152" i="105" s="1"/>
  <c r="J151" i="82"/>
  <c r="G151" i="82" s="1"/>
  <c r="I151" i="82" s="1"/>
  <c r="C151" i="82"/>
  <c r="R151" i="105" s="1"/>
  <c r="S151" i="105" s="1"/>
  <c r="K151" i="105" s="1"/>
  <c r="J150" i="82"/>
  <c r="G150" i="82" s="1"/>
  <c r="I150" i="82" s="1"/>
  <c r="C150" i="82"/>
  <c r="J149" i="82"/>
  <c r="G149" i="82" s="1"/>
  <c r="I149" i="82" s="1"/>
  <c r="C149" i="82"/>
  <c r="R149" i="105" s="1"/>
  <c r="S149" i="105" s="1"/>
  <c r="J148" i="82"/>
  <c r="G148" i="82" s="1"/>
  <c r="I148" i="82" s="1"/>
  <c r="C148" i="82"/>
  <c r="R148" i="105" s="1"/>
  <c r="S148" i="105" s="1"/>
  <c r="J147" i="82"/>
  <c r="G147" i="82" s="1"/>
  <c r="I147" i="82" s="1"/>
  <c r="C147" i="82"/>
  <c r="J146" i="82"/>
  <c r="G146" i="82" s="1"/>
  <c r="I146" i="82" s="1"/>
  <c r="U83" i="105" s="1"/>
  <c r="V83" i="105" s="1"/>
  <c r="C146" i="82"/>
  <c r="R146" i="105" s="1"/>
  <c r="S146" i="105" s="1"/>
  <c r="J145" i="82"/>
  <c r="G145" i="82" s="1"/>
  <c r="I145" i="82" s="1"/>
  <c r="C145" i="82"/>
  <c r="R145" i="105" s="1"/>
  <c r="S145" i="105" s="1"/>
  <c r="J144" i="82"/>
  <c r="G144" i="82" s="1"/>
  <c r="I144" i="82" s="1"/>
  <c r="C144" i="82"/>
  <c r="R144" i="105" s="1"/>
  <c r="S144" i="105" s="1"/>
  <c r="J143" i="82"/>
  <c r="G143" i="82" s="1"/>
  <c r="I143" i="82" s="1"/>
  <c r="C143" i="82"/>
  <c r="J142" i="82"/>
  <c r="G142" i="82" s="1"/>
  <c r="I142" i="82" s="1"/>
  <c r="C142" i="82"/>
  <c r="R142" i="105" s="1"/>
  <c r="S142" i="105" s="1"/>
  <c r="K142" i="105" s="1"/>
  <c r="J141" i="82"/>
  <c r="G141" i="82" s="1"/>
  <c r="I141" i="82" s="1"/>
  <c r="C141" i="82"/>
  <c r="R141" i="105" s="1"/>
  <c r="S141" i="105" s="1"/>
  <c r="K141" i="105" s="1"/>
  <c r="J140" i="82"/>
  <c r="G140" i="82" s="1"/>
  <c r="I140" i="82" s="1"/>
  <c r="C140" i="82"/>
  <c r="R140" i="105" s="1"/>
  <c r="S140" i="105" s="1"/>
  <c r="J139" i="82"/>
  <c r="G139" i="82" s="1"/>
  <c r="I139" i="82" s="1"/>
  <c r="U42" i="105" s="1"/>
  <c r="V42" i="105" s="1"/>
  <c r="C139" i="82"/>
  <c r="R139" i="105" s="1"/>
  <c r="S139" i="105" s="1"/>
  <c r="J138" i="82"/>
  <c r="G138" i="82" s="1"/>
  <c r="I138" i="82" s="1"/>
  <c r="U84" i="105" s="1"/>
  <c r="V84" i="105" s="1"/>
  <c r="C138" i="82"/>
  <c r="J137" i="82"/>
  <c r="G137" i="82" s="1"/>
  <c r="I137" i="82" s="1"/>
  <c r="U61" i="105" s="1"/>
  <c r="V61" i="105" s="1"/>
  <c r="C137" i="82"/>
  <c r="J136" i="82"/>
  <c r="G136" i="82" s="1"/>
  <c r="I136" i="82" s="1"/>
  <c r="U38" i="105" s="1"/>
  <c r="V38" i="105" s="1"/>
  <c r="C136" i="82"/>
  <c r="D136" i="82" s="1"/>
  <c r="J135" i="82"/>
  <c r="G135" i="82" s="1"/>
  <c r="I135" i="82" s="1"/>
  <c r="U59" i="105" s="1"/>
  <c r="V59" i="105" s="1"/>
  <c r="C135" i="82"/>
  <c r="J134" i="82"/>
  <c r="G134" i="82" s="1"/>
  <c r="I134" i="82" s="1"/>
  <c r="U27" i="105" s="1"/>
  <c r="V27" i="105" s="1"/>
  <c r="C134" i="82"/>
  <c r="J133" i="82"/>
  <c r="G133" i="82" s="1"/>
  <c r="I133" i="82" s="1"/>
  <c r="U31" i="105" s="1"/>
  <c r="V31" i="105" s="1"/>
  <c r="C133" i="82"/>
  <c r="R133" i="105" s="1"/>
  <c r="S133" i="105" s="1"/>
  <c r="J132" i="82"/>
  <c r="G132" i="82" s="1"/>
  <c r="I132" i="82" s="1"/>
  <c r="U41" i="105" s="1"/>
  <c r="V41" i="105" s="1"/>
  <c r="C132" i="82"/>
  <c r="D132" i="82" s="1"/>
  <c r="J131" i="82"/>
  <c r="G131" i="82" s="1"/>
  <c r="I131" i="82" s="1"/>
  <c r="U55" i="105" s="1"/>
  <c r="V55" i="105" s="1"/>
  <c r="C131" i="82"/>
  <c r="J130" i="82"/>
  <c r="G130" i="82" s="1"/>
  <c r="I130" i="82" s="1"/>
  <c r="U85" i="105" s="1"/>
  <c r="V85" i="105" s="1"/>
  <c r="C130" i="82"/>
  <c r="J129" i="82"/>
  <c r="G129" i="82" s="1"/>
  <c r="I129" i="82" s="1"/>
  <c r="C129" i="82"/>
  <c r="D129" i="82" s="1"/>
  <c r="J128" i="82"/>
  <c r="G128" i="82" s="1"/>
  <c r="I128" i="82" s="1"/>
  <c r="U57" i="105" s="1"/>
  <c r="V57" i="105" s="1"/>
  <c r="C128" i="82"/>
  <c r="J127" i="82"/>
  <c r="G127" i="82" s="1"/>
  <c r="I127" i="82" s="1"/>
  <c r="U100" i="105" s="1"/>
  <c r="V100" i="105" s="1"/>
  <c r="C127" i="82"/>
  <c r="D127" i="82" s="1"/>
  <c r="J126" i="82"/>
  <c r="G126" i="82" s="1"/>
  <c r="I126" i="82" s="1"/>
  <c r="U357" i="105" s="1"/>
  <c r="V357" i="105" s="1"/>
  <c r="K357" i="105" s="1"/>
  <c r="C126" i="82"/>
  <c r="J125" i="82"/>
  <c r="G125" i="82" s="1"/>
  <c r="I125" i="82" s="1"/>
  <c r="U90" i="105" s="1"/>
  <c r="V90" i="105" s="1"/>
  <c r="C125" i="82"/>
  <c r="D125" i="82" s="1"/>
  <c r="J124" i="82"/>
  <c r="G124" i="82" s="1"/>
  <c r="I124" i="82" s="1"/>
  <c r="U46" i="105" s="1"/>
  <c r="V46" i="105" s="1"/>
  <c r="C124" i="82"/>
  <c r="R124" i="105" s="1"/>
  <c r="S124" i="105" s="1"/>
  <c r="J123" i="82"/>
  <c r="G123" i="82" s="1"/>
  <c r="I123" i="82" s="1"/>
  <c r="U47" i="105" s="1"/>
  <c r="V47" i="105" s="1"/>
  <c r="C123" i="82"/>
  <c r="D123" i="82" s="1"/>
  <c r="J122" i="82"/>
  <c r="G122" i="82" s="1"/>
  <c r="I122" i="82" s="1"/>
  <c r="U44" i="105" s="1"/>
  <c r="V44" i="105" s="1"/>
  <c r="C122" i="82"/>
  <c r="D122" i="82" s="1"/>
  <c r="J121" i="82"/>
  <c r="G121" i="82" s="1"/>
  <c r="I121" i="82" s="1"/>
  <c r="U37" i="105" s="1"/>
  <c r="V37" i="105" s="1"/>
  <c r="C121" i="82"/>
  <c r="D121" i="82" s="1"/>
  <c r="J120" i="82"/>
  <c r="G120" i="82" s="1"/>
  <c r="I120" i="82" s="1"/>
  <c r="U54" i="105" s="1"/>
  <c r="V54" i="105" s="1"/>
  <c r="C120" i="82"/>
  <c r="J119" i="82"/>
  <c r="G119" i="82" s="1"/>
  <c r="I119" i="82" s="1"/>
  <c r="U63" i="105" s="1"/>
  <c r="V63" i="105" s="1"/>
  <c r="C119" i="82"/>
  <c r="D119" i="82" s="1"/>
  <c r="J118" i="82"/>
  <c r="G118" i="82" s="1"/>
  <c r="I118" i="82" s="1"/>
  <c r="U11" i="105" s="1"/>
  <c r="V11" i="105" s="1"/>
  <c r="C118" i="82"/>
  <c r="R118" i="105" s="1"/>
  <c r="S118" i="105" s="1"/>
  <c r="J117" i="82"/>
  <c r="G117" i="82" s="1"/>
  <c r="I117" i="82" s="1"/>
  <c r="U13" i="105" s="1"/>
  <c r="V13" i="105" s="1"/>
  <c r="C117" i="82"/>
  <c r="J116" i="82"/>
  <c r="G116" i="82" s="1"/>
  <c r="I116" i="82" s="1"/>
  <c r="U10" i="105" s="1"/>
  <c r="V10" i="105" s="1"/>
  <c r="C116" i="82"/>
  <c r="R116" i="105" s="1"/>
  <c r="S116" i="105" s="1"/>
  <c r="J115" i="82"/>
  <c r="G115" i="82" s="1"/>
  <c r="I115" i="82" s="1"/>
  <c r="U43" i="105" s="1"/>
  <c r="V43" i="105" s="1"/>
  <c r="C115" i="82"/>
  <c r="J114" i="82"/>
  <c r="G114" i="82" s="1"/>
  <c r="I114" i="82" s="1"/>
  <c r="C114" i="82"/>
  <c r="R114" i="105" s="1"/>
  <c r="S114" i="105" s="1"/>
  <c r="J113" i="82"/>
  <c r="G113" i="82" s="1"/>
  <c r="I113" i="82" s="1"/>
  <c r="U39" i="105" s="1"/>
  <c r="V39" i="105" s="1"/>
  <c r="C113" i="82"/>
  <c r="J112" i="82"/>
  <c r="G112" i="82" s="1"/>
  <c r="I112" i="82" s="1"/>
  <c r="U49" i="105" s="1"/>
  <c r="V49" i="105" s="1"/>
  <c r="C112" i="82"/>
  <c r="J111" i="82"/>
  <c r="G111" i="82" s="1"/>
  <c r="I111" i="82" s="1"/>
  <c r="U76" i="105" s="1"/>
  <c r="V76" i="105" s="1"/>
  <c r="C111" i="82"/>
  <c r="J110" i="82"/>
  <c r="G110" i="82" s="1"/>
  <c r="I110" i="82" s="1"/>
  <c r="U48" i="105" s="1"/>
  <c r="V48" i="105" s="1"/>
  <c r="C110" i="82"/>
  <c r="J109" i="82"/>
  <c r="G109" i="82" s="1"/>
  <c r="I109" i="82" s="1"/>
  <c r="U86" i="105" s="1"/>
  <c r="V86" i="105" s="1"/>
  <c r="C109" i="82"/>
  <c r="J108" i="82"/>
  <c r="G108" i="82" s="1"/>
  <c r="I108" i="82" s="1"/>
  <c r="U19" i="105" s="1"/>
  <c r="V19" i="105" s="1"/>
  <c r="C108" i="82"/>
  <c r="S108" i="105" s="1"/>
  <c r="J107" i="82"/>
  <c r="G107" i="82" s="1"/>
  <c r="I107" i="82" s="1"/>
  <c r="U124" i="105" s="1"/>
  <c r="V124" i="105" s="1"/>
  <c r="C107" i="82"/>
  <c r="R107" i="105" s="1"/>
  <c r="S107" i="105" s="1"/>
  <c r="J106" i="82"/>
  <c r="G106" i="82" s="1"/>
  <c r="I106" i="82" s="1"/>
  <c r="C106" i="82"/>
  <c r="J105" i="82"/>
  <c r="G105" i="82" s="1"/>
  <c r="I105" i="82" s="1"/>
  <c r="U95" i="105" s="1"/>
  <c r="V95" i="105" s="1"/>
  <c r="C105" i="82"/>
  <c r="D105" i="82" s="1"/>
  <c r="J104" i="82"/>
  <c r="G104" i="82" s="1"/>
  <c r="I104" i="82" s="1"/>
  <c r="U94" i="105" s="1"/>
  <c r="V94" i="105" s="1"/>
  <c r="C104" i="82"/>
  <c r="J103" i="82"/>
  <c r="G103" i="82" s="1"/>
  <c r="I103" i="82" s="1"/>
  <c r="U96" i="105" s="1"/>
  <c r="V96" i="105" s="1"/>
  <c r="C103" i="82"/>
  <c r="J102" i="82"/>
  <c r="G102" i="82" s="1"/>
  <c r="I102" i="82" s="1"/>
  <c r="U53" i="105" s="1"/>
  <c r="V53" i="105" s="1"/>
  <c r="C102" i="82"/>
  <c r="J101" i="82"/>
  <c r="G101" i="82" s="1"/>
  <c r="I101" i="82" s="1"/>
  <c r="U75" i="105" s="1"/>
  <c r="V75" i="105" s="1"/>
  <c r="C101" i="82"/>
  <c r="J100" i="82"/>
  <c r="G100" i="82" s="1"/>
  <c r="I100" i="82" s="1"/>
  <c r="U32" i="105" s="1"/>
  <c r="V32" i="105" s="1"/>
  <c r="C100" i="82"/>
  <c r="J99" i="82"/>
  <c r="G99" i="82" s="1"/>
  <c r="I99" i="82" s="1"/>
  <c r="U18" i="105" s="1"/>
  <c r="V18" i="105" s="1"/>
  <c r="C99" i="82"/>
  <c r="D99" i="82" s="1"/>
  <c r="J98" i="82"/>
  <c r="G98" i="82" s="1"/>
  <c r="I98" i="82" s="1"/>
  <c r="U12" i="105" s="1"/>
  <c r="V12" i="105" s="1"/>
  <c r="C98" i="82"/>
  <c r="D98" i="82" s="1"/>
  <c r="J97" i="82"/>
  <c r="G97" i="82" s="1"/>
  <c r="I97" i="82" s="1"/>
  <c r="U212" i="105" s="1"/>
  <c r="V212" i="105" s="1"/>
  <c r="C97" i="82"/>
  <c r="D97" i="82" s="1"/>
  <c r="J96" i="82"/>
  <c r="G96" i="82" s="1"/>
  <c r="I96" i="82" s="1"/>
  <c r="U211" i="105" s="1"/>
  <c r="V211" i="105" s="1"/>
  <c r="C96" i="82"/>
  <c r="J95" i="82"/>
  <c r="G95" i="82" s="1"/>
  <c r="I95" i="82" s="1"/>
  <c r="U230" i="105" s="1"/>
  <c r="V230" i="105" s="1"/>
  <c r="C95" i="82"/>
  <c r="J94" i="82"/>
  <c r="G94" i="82" s="1"/>
  <c r="I94" i="82" s="1"/>
  <c r="U229" i="105" s="1"/>
  <c r="V229" i="105" s="1"/>
  <c r="C94" i="82"/>
  <c r="J93" i="82"/>
  <c r="G93" i="82" s="1"/>
  <c r="I93" i="82" s="1"/>
  <c r="U228" i="105" s="1"/>
  <c r="V228" i="105" s="1"/>
  <c r="C93" i="82"/>
  <c r="D93" i="82" s="1"/>
  <c r="J92" i="82"/>
  <c r="G92" i="82" s="1"/>
  <c r="I92" i="82" s="1"/>
  <c r="U227" i="105" s="1"/>
  <c r="V227" i="105" s="1"/>
  <c r="C92" i="82"/>
  <c r="J91" i="82"/>
  <c r="G91" i="82" s="1"/>
  <c r="I91" i="82" s="1"/>
  <c r="U226" i="105" s="1"/>
  <c r="V226" i="105" s="1"/>
  <c r="C91" i="82"/>
  <c r="D91" i="82" s="1"/>
  <c r="J90" i="82"/>
  <c r="G90" i="82" s="1"/>
  <c r="I90" i="82" s="1"/>
  <c r="U225" i="105" s="1"/>
  <c r="V225" i="105" s="1"/>
  <c r="C90" i="82"/>
  <c r="J89" i="82"/>
  <c r="G89" i="82" s="1"/>
  <c r="I89" i="82" s="1"/>
  <c r="C89" i="82"/>
  <c r="R89" i="105" s="1"/>
  <c r="S89" i="105" s="1"/>
  <c r="K89" i="105" s="1"/>
  <c r="J88" i="82"/>
  <c r="G88" i="82" s="1"/>
  <c r="I88" i="82" s="1"/>
  <c r="C88" i="82"/>
  <c r="J87" i="82"/>
  <c r="G87" i="82" s="1"/>
  <c r="I87" i="82" s="1"/>
  <c r="C87" i="82"/>
  <c r="J86" i="82"/>
  <c r="G86" i="82" s="1"/>
  <c r="I86" i="82" s="1"/>
  <c r="U183" i="105" s="1"/>
  <c r="V183" i="105" s="1"/>
  <c r="C86" i="82"/>
  <c r="J85" i="82"/>
  <c r="G85" i="82" s="1"/>
  <c r="I85" i="82" s="1"/>
  <c r="U207" i="105" s="1"/>
  <c r="V207" i="105" s="1"/>
  <c r="C85" i="82"/>
  <c r="R85" i="105" s="1"/>
  <c r="S85" i="105" s="1"/>
  <c r="J84" i="82"/>
  <c r="G84" i="82" s="1"/>
  <c r="I84" i="82" s="1"/>
  <c r="U206" i="105" s="1"/>
  <c r="V206" i="105" s="1"/>
  <c r="C84" i="82"/>
  <c r="J83" i="82"/>
  <c r="G83" i="82" s="1"/>
  <c r="I83" i="82" s="1"/>
  <c r="U201" i="105" s="1"/>
  <c r="V201" i="105" s="1"/>
  <c r="C83" i="82"/>
  <c r="J82" i="82"/>
  <c r="G82" i="82" s="1"/>
  <c r="I82" i="82" s="1"/>
  <c r="U200" i="105" s="1"/>
  <c r="V200" i="105" s="1"/>
  <c r="C82" i="82"/>
  <c r="R82" i="105" s="1"/>
  <c r="S82" i="105" s="1"/>
  <c r="J81" i="82"/>
  <c r="G81" i="82" s="1"/>
  <c r="I81" i="82" s="1"/>
  <c r="U199" i="105" s="1"/>
  <c r="V199" i="105" s="1"/>
  <c r="C81" i="82"/>
  <c r="J80" i="82"/>
  <c r="G80" i="82" s="1"/>
  <c r="I80" i="82" s="1"/>
  <c r="U198" i="105" s="1"/>
  <c r="V198" i="105" s="1"/>
  <c r="C80" i="82"/>
  <c r="J79" i="82"/>
  <c r="G79" i="82" s="1"/>
  <c r="I79" i="82" s="1"/>
  <c r="U173" i="105" s="1"/>
  <c r="V173" i="105" s="1"/>
  <c r="C79" i="82"/>
  <c r="J78" i="82"/>
  <c r="G78" i="82" s="1"/>
  <c r="I78" i="82" s="1"/>
  <c r="U223" i="105" s="1"/>
  <c r="V223" i="105" s="1"/>
  <c r="C78" i="82"/>
  <c r="J77" i="82"/>
  <c r="G77" i="82" s="1"/>
  <c r="I77" i="82" s="1"/>
  <c r="U222" i="105" s="1"/>
  <c r="V222" i="105" s="1"/>
  <c r="C77" i="82"/>
  <c r="J76" i="82"/>
  <c r="G76" i="82" s="1"/>
  <c r="I76" i="82" s="1"/>
  <c r="U209" i="105" s="1"/>
  <c r="V209" i="105" s="1"/>
  <c r="C76" i="82"/>
  <c r="J75" i="82"/>
  <c r="G75" i="82" s="1"/>
  <c r="I75" i="82" s="1"/>
  <c r="U197" i="105" s="1"/>
  <c r="V197" i="105" s="1"/>
  <c r="C75" i="82"/>
  <c r="J74" i="82"/>
  <c r="G74" i="82" s="1"/>
  <c r="I74" i="82" s="1"/>
  <c r="U196" i="105" s="1"/>
  <c r="V196" i="105" s="1"/>
  <c r="C74" i="82"/>
  <c r="J73" i="82"/>
  <c r="G73" i="82" s="1"/>
  <c r="I73" i="82" s="1"/>
  <c r="U195" i="105" s="1"/>
  <c r="V195" i="105" s="1"/>
  <c r="C73" i="82"/>
  <c r="J72" i="82"/>
  <c r="G72" i="82" s="1"/>
  <c r="I72" i="82" s="1"/>
  <c r="U194" i="105" s="1"/>
  <c r="V194" i="105" s="1"/>
  <c r="C72" i="82"/>
  <c r="J71" i="82"/>
  <c r="G71" i="82" s="1"/>
  <c r="I71" i="82" s="1"/>
  <c r="U193" i="105" s="1"/>
  <c r="V193" i="105" s="1"/>
  <c r="C71" i="82"/>
  <c r="J70" i="82"/>
  <c r="G70" i="82" s="1"/>
  <c r="I70" i="82" s="1"/>
  <c r="U192" i="105" s="1"/>
  <c r="V192" i="105" s="1"/>
  <c r="C70" i="82"/>
  <c r="R71" i="105" s="1"/>
  <c r="S71" i="105" s="1"/>
  <c r="J69" i="82"/>
  <c r="G69" i="82" s="1"/>
  <c r="I69" i="82" s="1"/>
  <c r="U191" i="105" s="1"/>
  <c r="V191" i="105" s="1"/>
  <c r="C69" i="82"/>
  <c r="J68" i="82"/>
  <c r="G68" i="82" s="1"/>
  <c r="I68" i="82" s="1"/>
  <c r="U190" i="105" s="1"/>
  <c r="V190" i="105" s="1"/>
  <c r="C68" i="82"/>
  <c r="J67" i="82"/>
  <c r="G67" i="82" s="1"/>
  <c r="I67" i="82" s="1"/>
  <c r="C67" i="82"/>
  <c r="J66" i="82"/>
  <c r="G66" i="82" s="1"/>
  <c r="I66" i="82" s="1"/>
  <c r="C66" i="82"/>
  <c r="D66" i="82" s="1"/>
  <c r="J65" i="82"/>
  <c r="G65" i="82" s="1"/>
  <c r="I65" i="82" s="1"/>
  <c r="U208" i="105" s="1"/>
  <c r="V208" i="105" s="1"/>
  <c r="C65" i="82"/>
  <c r="D65" i="82" s="1"/>
  <c r="J64" i="82"/>
  <c r="G64" i="82" s="1"/>
  <c r="I64" i="82" s="1"/>
  <c r="U189" i="105" s="1"/>
  <c r="V189" i="105" s="1"/>
  <c r="C64" i="82"/>
  <c r="D64" i="82" s="1"/>
  <c r="J63" i="82"/>
  <c r="G63" i="82" s="1"/>
  <c r="I63" i="82" s="1"/>
  <c r="C63" i="82"/>
  <c r="R64" i="105" s="1"/>
  <c r="S64" i="105" s="1"/>
  <c r="K64" i="105" s="1"/>
  <c r="J62" i="82"/>
  <c r="G62" i="82" s="1"/>
  <c r="I62" i="82" s="1"/>
  <c r="C62" i="82"/>
  <c r="J61" i="82"/>
  <c r="G61" i="82" s="1"/>
  <c r="I61" i="82" s="1"/>
  <c r="U188" i="105" s="1"/>
  <c r="V188" i="105" s="1"/>
  <c r="C61" i="82"/>
  <c r="R62" i="105" s="1"/>
  <c r="S62" i="105" s="1"/>
  <c r="K62" i="105" s="1"/>
  <c r="J60" i="82"/>
  <c r="G60" i="82" s="1"/>
  <c r="I60" i="82" s="1"/>
  <c r="C60" i="82"/>
  <c r="J59" i="82"/>
  <c r="G59" i="82" s="1"/>
  <c r="I59" i="82" s="1"/>
  <c r="U339" i="105" s="1"/>
  <c r="V339" i="105" s="1"/>
  <c r="K339" i="105" s="1"/>
  <c r="C59" i="82"/>
  <c r="J58" i="82"/>
  <c r="G58" i="82" s="1"/>
  <c r="I58" i="82" s="1"/>
  <c r="C58" i="82"/>
  <c r="J57" i="82"/>
  <c r="G57" i="82" s="1"/>
  <c r="I57" i="82" s="1"/>
  <c r="C57" i="82"/>
  <c r="R58" i="105" s="1"/>
  <c r="S58" i="105" s="1"/>
  <c r="K58" i="105" s="1"/>
  <c r="J56" i="82"/>
  <c r="G56" i="82" s="1"/>
  <c r="I56" i="82" s="1"/>
  <c r="C56" i="82"/>
  <c r="J55" i="82"/>
  <c r="G55" i="82" s="1"/>
  <c r="I55" i="82" s="1"/>
  <c r="U87" i="105" s="1"/>
  <c r="V87" i="105" s="1"/>
  <c r="C55" i="82"/>
  <c r="R55" i="105" s="1"/>
  <c r="S55" i="105" s="1"/>
  <c r="J54" i="82"/>
  <c r="G54" i="82" s="1"/>
  <c r="I54" i="82" s="1"/>
  <c r="C54" i="82"/>
  <c r="J53" i="82"/>
  <c r="G53" i="82" s="1"/>
  <c r="I53" i="82" s="1"/>
  <c r="C53" i="82"/>
  <c r="R53" i="105" s="1"/>
  <c r="S53" i="105" s="1"/>
  <c r="J52" i="82"/>
  <c r="G52" i="82" s="1"/>
  <c r="I52" i="82" s="1"/>
  <c r="C52" i="82"/>
  <c r="J51" i="82"/>
  <c r="G51" i="82" s="1"/>
  <c r="I51" i="82" s="1"/>
  <c r="U80" i="105" s="1"/>
  <c r="V80" i="105" s="1"/>
  <c r="C51" i="82"/>
  <c r="R51" i="105" s="1"/>
  <c r="S51" i="105" s="1"/>
  <c r="J50" i="82"/>
  <c r="G50" i="82" s="1"/>
  <c r="I50" i="82" s="1"/>
  <c r="U77" i="105" s="1"/>
  <c r="V77" i="105" s="1"/>
  <c r="C50" i="82"/>
  <c r="J49" i="82"/>
  <c r="G49" i="82" s="1"/>
  <c r="I49" i="82" s="1"/>
  <c r="U114" i="105" s="1"/>
  <c r="V114" i="105" s="1"/>
  <c r="C49" i="82"/>
  <c r="J48" i="82"/>
  <c r="G48" i="82" s="1"/>
  <c r="I48" i="82" s="1"/>
  <c r="C48" i="82"/>
  <c r="J47" i="82"/>
  <c r="G47" i="82" s="1"/>
  <c r="I47" i="82" s="1"/>
  <c r="U78" i="105" s="1"/>
  <c r="V78" i="105" s="1"/>
  <c r="C47" i="82"/>
  <c r="J46" i="82"/>
  <c r="G46" i="82" s="1"/>
  <c r="I46" i="82" s="1"/>
  <c r="U113" i="105" s="1"/>
  <c r="V113" i="105" s="1"/>
  <c r="C46" i="82"/>
  <c r="J45" i="82"/>
  <c r="G45" i="82" s="1"/>
  <c r="I45" i="82" s="1"/>
  <c r="U79" i="105" s="1"/>
  <c r="V79" i="105" s="1"/>
  <c r="C45" i="82"/>
  <c r="J44" i="82"/>
  <c r="G44" i="82" s="1"/>
  <c r="I44" i="82" s="1"/>
  <c r="U106" i="105" s="1"/>
  <c r="V106" i="105" s="1"/>
  <c r="C44" i="82"/>
  <c r="J43" i="82"/>
  <c r="G43" i="82" s="1"/>
  <c r="I43" i="82" s="1"/>
  <c r="C43" i="82"/>
  <c r="J42" i="82"/>
  <c r="G42" i="82" s="1"/>
  <c r="I42" i="82" s="1"/>
  <c r="C42" i="82"/>
  <c r="J41" i="82"/>
  <c r="G41" i="82" s="1"/>
  <c r="I41" i="82" s="1"/>
  <c r="C41" i="82"/>
  <c r="J40" i="82"/>
  <c r="G40" i="82" s="1"/>
  <c r="I40" i="82" s="1"/>
  <c r="U109" i="105" s="1"/>
  <c r="V109" i="105" s="1"/>
  <c r="C40" i="82"/>
  <c r="J39" i="82"/>
  <c r="G39" i="82" s="1"/>
  <c r="I39" i="82" s="1"/>
  <c r="U117" i="105" s="1"/>
  <c r="V117" i="105" s="1"/>
  <c r="C39" i="82"/>
  <c r="J38" i="82"/>
  <c r="G38" i="82" s="1"/>
  <c r="I38" i="82" s="1"/>
  <c r="U107" i="105" s="1"/>
  <c r="V107" i="105" s="1"/>
  <c r="C38" i="82"/>
  <c r="J37" i="82"/>
  <c r="G37" i="82" s="1"/>
  <c r="I37" i="82" s="1"/>
  <c r="U115" i="105" s="1"/>
  <c r="V115" i="105" s="1"/>
  <c r="C37" i="82"/>
  <c r="J36" i="82"/>
  <c r="G36" i="82" s="1"/>
  <c r="I36" i="82" s="1"/>
  <c r="C36" i="82"/>
  <c r="J35" i="82"/>
  <c r="G35" i="82" s="1"/>
  <c r="I35" i="82" s="1"/>
  <c r="U118" i="105" s="1"/>
  <c r="V118" i="105" s="1"/>
  <c r="C35" i="82"/>
  <c r="D35" i="82" s="1"/>
  <c r="J34" i="82"/>
  <c r="G34" i="82" s="1"/>
  <c r="I34" i="82" s="1"/>
  <c r="U116" i="105" s="1"/>
  <c r="V116" i="105" s="1"/>
  <c r="C34" i="82"/>
  <c r="D34" i="82" s="1"/>
  <c r="J33" i="82"/>
  <c r="G33" i="82" s="1"/>
  <c r="I33" i="82" s="1"/>
  <c r="U110" i="105" s="1"/>
  <c r="V110" i="105" s="1"/>
  <c r="C33" i="82"/>
  <c r="D33" i="82" s="1"/>
  <c r="J32" i="82"/>
  <c r="G32" i="82" s="1"/>
  <c r="I32" i="82" s="1"/>
  <c r="C32" i="82"/>
  <c r="J31" i="82"/>
  <c r="G31" i="82" s="1"/>
  <c r="I31" i="82" s="1"/>
  <c r="U108" i="105" s="1"/>
  <c r="V108" i="105" s="1"/>
  <c r="C31" i="82"/>
  <c r="J30" i="82"/>
  <c r="G30" i="82" s="1"/>
  <c r="I30" i="82" s="1"/>
  <c r="U88" i="105" s="1"/>
  <c r="V88" i="105" s="1"/>
  <c r="C30" i="82"/>
  <c r="J29" i="82"/>
  <c r="G29" i="82" s="1"/>
  <c r="I29" i="82" s="1"/>
  <c r="C29" i="82"/>
  <c r="J28" i="82"/>
  <c r="G28" i="82" s="1"/>
  <c r="I28" i="82" s="1"/>
  <c r="U81" i="105" s="1"/>
  <c r="V81" i="105" s="1"/>
  <c r="C28" i="82"/>
  <c r="J27" i="82"/>
  <c r="G27" i="82" s="1"/>
  <c r="I27" i="82" s="1"/>
  <c r="C27" i="82"/>
  <c r="J26" i="82"/>
  <c r="G26" i="82" s="1"/>
  <c r="I26" i="82" s="1"/>
  <c r="U29" i="105" s="1"/>
  <c r="V29" i="105" s="1"/>
  <c r="C26" i="82"/>
  <c r="J25" i="82"/>
  <c r="G25" i="82" s="1"/>
  <c r="I25" i="82" s="1"/>
  <c r="U50" i="105" s="1"/>
  <c r="V50" i="105" s="1"/>
  <c r="C25" i="82"/>
  <c r="D25" i="82" s="1"/>
  <c r="J24" i="82"/>
  <c r="G24" i="82" s="1"/>
  <c r="I24" i="82" s="1"/>
  <c r="U51" i="105" s="1"/>
  <c r="V51" i="105" s="1"/>
  <c r="C24" i="82"/>
  <c r="D24" i="82" s="1"/>
  <c r="J23" i="82"/>
  <c r="G23" i="82" s="1"/>
  <c r="I23" i="82" s="1"/>
  <c r="U52" i="105" s="1"/>
  <c r="V52" i="105" s="1"/>
  <c r="C23" i="82"/>
  <c r="D23" i="82" s="1"/>
  <c r="J22" i="82"/>
  <c r="G22" i="82" s="1"/>
  <c r="I22" i="82" s="1"/>
  <c r="U28" i="105" s="1"/>
  <c r="V28" i="105" s="1"/>
  <c r="C22" i="82"/>
  <c r="J21" i="82"/>
  <c r="G21" i="82" s="1"/>
  <c r="I21" i="82" s="1"/>
  <c r="U103" i="105" s="1"/>
  <c r="V103" i="105" s="1"/>
  <c r="C21" i="82"/>
  <c r="D21" i="82" s="1"/>
  <c r="J20" i="82"/>
  <c r="G20" i="82" s="1"/>
  <c r="I20" i="82" s="1"/>
  <c r="U40" i="105" s="1"/>
  <c r="V40" i="105" s="1"/>
  <c r="C20" i="82"/>
  <c r="D20" i="82" s="1"/>
  <c r="J19" i="82"/>
  <c r="G19" i="82" s="1"/>
  <c r="I19" i="82" s="1"/>
  <c r="U26" i="105" s="1"/>
  <c r="V26" i="105" s="1"/>
  <c r="C19" i="82"/>
  <c r="R19" i="105" s="1"/>
  <c r="S19" i="105" s="1"/>
  <c r="J18" i="82"/>
  <c r="G18" i="82" s="1"/>
  <c r="I18" i="82" s="1"/>
  <c r="U17" i="105" s="1"/>
  <c r="V17" i="105" s="1"/>
  <c r="C18" i="82"/>
  <c r="J17" i="82"/>
  <c r="G17" i="82" s="1"/>
  <c r="I17" i="82" s="1"/>
  <c r="C17" i="82"/>
  <c r="R17" i="105" s="1"/>
  <c r="S17" i="105" s="1"/>
  <c r="J16" i="82"/>
  <c r="G16" i="82" s="1"/>
  <c r="I16" i="82" s="1"/>
  <c r="C16" i="82"/>
  <c r="D16" i="82" s="1"/>
  <c r="J15" i="82"/>
  <c r="G15" i="82" s="1"/>
  <c r="I15" i="82" s="1"/>
  <c r="C15" i="82"/>
  <c r="J14" i="82"/>
  <c r="G14" i="82" s="1"/>
  <c r="I14" i="82" s="1"/>
  <c r="C14" i="82"/>
  <c r="D14" i="82" s="1"/>
  <c r="J13" i="82"/>
  <c r="G13" i="82" s="1"/>
  <c r="I13" i="82" s="1"/>
  <c r="U104" i="105" s="1"/>
  <c r="V104" i="105" s="1"/>
  <c r="C13" i="82"/>
  <c r="R13" i="105" s="1"/>
  <c r="S13" i="105" s="1"/>
  <c r="J12" i="82"/>
  <c r="G12" i="82" s="1"/>
  <c r="I12" i="82" s="1"/>
  <c r="U74" i="105" s="1"/>
  <c r="V74" i="105" s="1"/>
  <c r="D12" i="82"/>
  <c r="C12" i="82"/>
  <c r="R12" i="105" s="1"/>
  <c r="S12" i="105" s="1"/>
  <c r="K12" i="105" s="1"/>
  <c r="J11" i="82"/>
  <c r="G11" i="82" s="1"/>
  <c r="I11" i="82" s="1"/>
  <c r="U82" i="105" s="1"/>
  <c r="V82" i="105" s="1"/>
  <c r="C11" i="82"/>
  <c r="J10" i="82"/>
  <c r="G10" i="82" s="1"/>
  <c r="I10" i="82" s="1"/>
  <c r="U73" i="105" s="1"/>
  <c r="V73" i="105" s="1"/>
  <c r="C10" i="82"/>
  <c r="R10" i="105" s="1"/>
  <c r="S10" i="105" s="1"/>
  <c r="K10" i="105" s="1"/>
  <c r="J9" i="82"/>
  <c r="G9" i="82" s="1"/>
  <c r="I9" i="82" s="1"/>
  <c r="U68" i="105" s="1"/>
  <c r="V68" i="105" s="1"/>
  <c r="C9" i="82"/>
  <c r="D9" i="82" s="1"/>
  <c r="J8" i="82"/>
  <c r="G8" i="82" s="1"/>
  <c r="I8" i="82" s="1"/>
  <c r="U69" i="105" s="1"/>
  <c r="V69" i="105" s="1"/>
  <c r="C8" i="82"/>
  <c r="D8" i="82" s="1"/>
  <c r="J7" i="82"/>
  <c r="G7" i="82" s="1"/>
  <c r="I7" i="82" s="1"/>
  <c r="U22" i="105" s="1"/>
  <c r="V22" i="105" s="1"/>
  <c r="C7" i="82"/>
  <c r="D7" i="82" s="1"/>
  <c r="J6" i="82"/>
  <c r="G6" i="82" s="1"/>
  <c r="I6" i="82" s="1"/>
  <c r="U30" i="105" s="1"/>
  <c r="V30" i="105" s="1"/>
  <c r="C6" i="82"/>
  <c r="D6" i="82" s="1"/>
  <c r="J5" i="82"/>
  <c r="G5" i="82" s="1"/>
  <c r="I5" i="82" s="1"/>
  <c r="U45" i="105" s="1"/>
  <c r="V45" i="105" s="1"/>
  <c r="C5" i="82"/>
  <c r="D5" i="82" s="1"/>
  <c r="J4" i="82"/>
  <c r="G4" i="82" s="1"/>
  <c r="I4" i="82" s="1"/>
  <c r="U111" i="105" s="1"/>
  <c r="V111" i="105" s="1"/>
  <c r="C4" i="82"/>
  <c r="D4" i="82" s="1"/>
  <c r="L190" i="19"/>
  <c r="K190" i="19" s="1"/>
  <c r="L189" i="19"/>
  <c r="K189" i="19" s="1"/>
  <c r="L188" i="19"/>
  <c r="K188" i="19" s="1"/>
  <c r="L187" i="19"/>
  <c r="K187" i="19" s="1"/>
  <c r="L186" i="19"/>
  <c r="K186" i="19" s="1"/>
  <c r="L185" i="19"/>
  <c r="K185" i="19" s="1"/>
  <c r="L184" i="19"/>
  <c r="K184" i="19" s="1"/>
  <c r="L183" i="19"/>
  <c r="K183" i="19" s="1"/>
  <c r="L182" i="19"/>
  <c r="K182" i="19" s="1"/>
  <c r="N182" i="19" s="1"/>
  <c r="L181" i="19"/>
  <c r="K181" i="19" s="1"/>
  <c r="N181" i="19" s="1"/>
  <c r="L180" i="19"/>
  <c r="K180" i="19" s="1"/>
  <c r="N180" i="19" s="1"/>
  <c r="L179" i="19"/>
  <c r="K179" i="19" s="1"/>
  <c r="N179" i="19" s="1"/>
  <c r="L178" i="19"/>
  <c r="K178" i="19" s="1"/>
  <c r="N178" i="19" s="1"/>
  <c r="L177" i="19"/>
  <c r="K177" i="19" s="1"/>
  <c r="N177" i="19" s="1"/>
  <c r="L176" i="19"/>
  <c r="K176" i="19" s="1"/>
  <c r="N176" i="19" s="1"/>
  <c r="L175" i="19"/>
  <c r="K175" i="19" s="1"/>
  <c r="N175" i="19" s="1"/>
  <c r="L174" i="19"/>
  <c r="K174" i="19" s="1"/>
  <c r="N174" i="19" s="1"/>
  <c r="L173" i="19"/>
  <c r="K173" i="19" s="1"/>
  <c r="N173" i="19" s="1"/>
  <c r="N172" i="19"/>
  <c r="L172" i="19"/>
  <c r="K172" i="19" s="1"/>
  <c r="L171" i="19"/>
  <c r="K171" i="19" s="1"/>
  <c r="N171" i="19" s="1"/>
  <c r="L170" i="19"/>
  <c r="K170" i="19"/>
  <c r="N170" i="19" s="1"/>
  <c r="L169" i="19"/>
  <c r="K169" i="19" s="1"/>
  <c r="N169" i="19" s="1"/>
  <c r="L168" i="19"/>
  <c r="K168" i="19" s="1"/>
  <c r="N168" i="19" s="1"/>
  <c r="L167" i="19"/>
  <c r="K167" i="19" s="1"/>
  <c r="N167" i="19" s="1"/>
  <c r="L166" i="19"/>
  <c r="K166" i="19" s="1"/>
  <c r="N166" i="19" s="1"/>
  <c r="L165" i="19"/>
  <c r="K165" i="19" s="1"/>
  <c r="N165" i="19" s="1"/>
  <c r="L164" i="19"/>
  <c r="K164" i="19" s="1"/>
  <c r="N164" i="19" s="1"/>
  <c r="I163" i="19"/>
  <c r="L163" i="19" s="1"/>
  <c r="K163" i="19" s="1"/>
  <c r="N163" i="19" s="1"/>
  <c r="I162" i="19"/>
  <c r="L162" i="19" s="1"/>
  <c r="K162" i="19" s="1"/>
  <c r="N162" i="19" s="1"/>
  <c r="L161" i="19"/>
  <c r="K161" i="19" s="1"/>
  <c r="N161" i="19" s="1"/>
  <c r="L160" i="19"/>
  <c r="K160" i="19" s="1"/>
  <c r="N160" i="19" s="1"/>
  <c r="L159" i="19"/>
  <c r="K159" i="19" s="1"/>
  <c r="N159" i="19" s="1"/>
  <c r="L158" i="19"/>
  <c r="K158" i="19" s="1"/>
  <c r="N158" i="19" s="1"/>
  <c r="L157" i="19"/>
  <c r="K157" i="19" s="1"/>
  <c r="N157" i="19" s="1"/>
  <c r="L156" i="19"/>
  <c r="K156" i="19"/>
  <c r="N156" i="19" s="1"/>
  <c r="L155" i="19"/>
  <c r="K155" i="19" s="1"/>
  <c r="N155" i="19" s="1"/>
  <c r="L154" i="19"/>
  <c r="K154" i="19" s="1"/>
  <c r="N154" i="19" s="1"/>
  <c r="I154" i="19"/>
  <c r="L153" i="19"/>
  <c r="K153" i="19" s="1"/>
  <c r="N153" i="19" s="1"/>
  <c r="L152" i="19"/>
  <c r="K152" i="19" s="1"/>
  <c r="N152" i="19" s="1"/>
  <c r="L151" i="19"/>
  <c r="K151" i="19" s="1"/>
  <c r="N151" i="19" s="1"/>
  <c r="L150" i="19"/>
  <c r="K150" i="19" s="1"/>
  <c r="N150" i="19" s="1"/>
  <c r="L149" i="19"/>
  <c r="K149" i="19" s="1"/>
  <c r="N149" i="19" s="1"/>
  <c r="L148" i="19"/>
  <c r="K148" i="19" s="1"/>
  <c r="N148" i="19" s="1"/>
  <c r="L147" i="19"/>
  <c r="K147" i="19" s="1"/>
  <c r="N147" i="19" s="1"/>
  <c r="L146" i="19"/>
  <c r="K146" i="19" s="1"/>
  <c r="N146" i="19" s="1"/>
  <c r="L145" i="19"/>
  <c r="K145" i="19" s="1"/>
  <c r="N145" i="19" s="1"/>
  <c r="L144" i="19"/>
  <c r="K144" i="19" s="1"/>
  <c r="N144" i="19" s="1"/>
  <c r="L143" i="19"/>
  <c r="K143" i="19" s="1"/>
  <c r="N143" i="19" s="1"/>
  <c r="L142" i="19"/>
  <c r="K142" i="19" s="1"/>
  <c r="N142" i="19" s="1"/>
  <c r="L141" i="19"/>
  <c r="K141" i="19" s="1"/>
  <c r="N141" i="19" s="1"/>
  <c r="I140" i="19"/>
  <c r="L140" i="19" s="1"/>
  <c r="K140" i="19" s="1"/>
  <c r="N140" i="19" s="1"/>
  <c r="L139" i="19"/>
  <c r="K139" i="19" s="1"/>
  <c r="N139" i="19" s="1"/>
  <c r="L138" i="19"/>
  <c r="K138" i="19" s="1"/>
  <c r="N138" i="19" s="1"/>
  <c r="L137" i="19"/>
  <c r="K137" i="19" s="1"/>
  <c r="N137" i="19" s="1"/>
  <c r="L136" i="19"/>
  <c r="K136" i="19" s="1"/>
  <c r="N136" i="19" s="1"/>
  <c r="L135" i="19"/>
  <c r="K135" i="19" s="1"/>
  <c r="N135" i="19" s="1"/>
  <c r="L134" i="19"/>
  <c r="K134" i="19" s="1"/>
  <c r="N134" i="19" s="1"/>
  <c r="L133" i="19"/>
  <c r="K133" i="19" s="1"/>
  <c r="N133" i="19" s="1"/>
  <c r="L132" i="19"/>
  <c r="K132" i="19" s="1"/>
  <c r="N132" i="19" s="1"/>
  <c r="L131" i="19"/>
  <c r="K131" i="19" s="1"/>
  <c r="N131" i="19" s="1"/>
  <c r="L130" i="19"/>
  <c r="K130" i="19" s="1"/>
  <c r="N130" i="19" s="1"/>
  <c r="I129" i="19"/>
  <c r="L129" i="19" s="1"/>
  <c r="K129" i="19" s="1"/>
  <c r="N129" i="19" s="1"/>
  <c r="L128" i="19"/>
  <c r="K128" i="19" s="1"/>
  <c r="N128" i="19" s="1"/>
  <c r="I127" i="19"/>
  <c r="L127" i="19" s="1"/>
  <c r="K127" i="19" s="1"/>
  <c r="N127" i="19" s="1"/>
  <c r="L126" i="19"/>
  <c r="K126" i="19" s="1"/>
  <c r="N126" i="19" s="1"/>
  <c r="L125" i="19"/>
  <c r="K125" i="19" s="1"/>
  <c r="N125" i="19" s="1"/>
  <c r="I124" i="19"/>
  <c r="L124" i="19" s="1"/>
  <c r="K124" i="19" s="1"/>
  <c r="L123" i="19"/>
  <c r="K123" i="19" s="1"/>
  <c r="L122" i="19"/>
  <c r="K122" i="19" s="1"/>
  <c r="N122" i="19" s="1"/>
  <c r="I121" i="19"/>
  <c r="L121" i="19" s="1"/>
  <c r="K121" i="19" s="1"/>
  <c r="N121" i="19" s="1"/>
  <c r="N120" i="19"/>
  <c r="N119" i="19"/>
  <c r="N118" i="19"/>
  <c r="N117" i="19"/>
  <c r="N116" i="19"/>
  <c r="N115" i="19"/>
  <c r="N114" i="19"/>
  <c r="N113" i="19"/>
  <c r="N112" i="19"/>
  <c r="N111" i="19"/>
  <c r="N110" i="19"/>
  <c r="N109" i="19"/>
  <c r="N108" i="19"/>
  <c r="N107" i="19"/>
  <c r="N106" i="19"/>
  <c r="N105" i="19"/>
  <c r="N104" i="19"/>
  <c r="N103" i="19"/>
  <c r="N102" i="19"/>
  <c r="N101" i="19"/>
  <c r="N100" i="19"/>
  <c r="N99" i="19"/>
  <c r="N98" i="19"/>
  <c r="N97" i="19"/>
  <c r="N96" i="19"/>
  <c r="N95" i="19"/>
  <c r="N94" i="19"/>
  <c r="N93" i="19"/>
  <c r="N92" i="19"/>
  <c r="N91" i="19"/>
  <c r="N90" i="19"/>
  <c r="N89" i="19"/>
  <c r="N88" i="19"/>
  <c r="N87" i="19"/>
  <c r="N86" i="19"/>
  <c r="N85" i="19"/>
  <c r="N84" i="19"/>
  <c r="N83" i="19"/>
  <c r="N82" i="19"/>
  <c r="N81" i="19"/>
  <c r="N80" i="19"/>
  <c r="N79" i="19"/>
  <c r="N78" i="19"/>
  <c r="N77" i="19"/>
  <c r="N76" i="19"/>
  <c r="N75" i="19"/>
  <c r="N74" i="19"/>
  <c r="L73" i="19"/>
  <c r="K73" i="19" s="1"/>
  <c r="N73" i="19" s="1"/>
  <c r="L72" i="19"/>
  <c r="K72" i="19" s="1"/>
  <c r="N72" i="19" s="1"/>
  <c r="L71" i="19"/>
  <c r="K71" i="19" s="1"/>
  <c r="N71" i="19" s="1"/>
  <c r="L70" i="19"/>
  <c r="K70" i="19" s="1"/>
  <c r="N70" i="19" s="1"/>
  <c r="L69" i="19"/>
  <c r="K69" i="19" s="1"/>
  <c r="N69" i="19" s="1"/>
  <c r="L68" i="19"/>
  <c r="K68" i="19" s="1"/>
  <c r="N68" i="19" s="1"/>
  <c r="L67" i="19"/>
  <c r="K67" i="19" s="1"/>
  <c r="N67" i="19" s="1"/>
  <c r="L66" i="19"/>
  <c r="K66" i="19" s="1"/>
  <c r="N66" i="19" s="1"/>
  <c r="L65" i="19"/>
  <c r="K65" i="19" s="1"/>
  <c r="N65" i="19" s="1"/>
  <c r="L64" i="19"/>
  <c r="K64" i="19" s="1"/>
  <c r="N64" i="19" s="1"/>
  <c r="L63" i="19"/>
  <c r="K63" i="19" s="1"/>
  <c r="N63" i="19" s="1"/>
  <c r="L62" i="19"/>
  <c r="K62" i="19" s="1"/>
  <c r="L61" i="19"/>
  <c r="K61" i="19" s="1"/>
  <c r="L60" i="19"/>
  <c r="K60" i="19" s="1"/>
  <c r="L59" i="19"/>
  <c r="K59" i="19" s="1"/>
  <c r="L58" i="19"/>
  <c r="K58" i="19" s="1"/>
  <c r="L57" i="19"/>
  <c r="K57" i="19" s="1"/>
  <c r="N57" i="19" s="1"/>
  <c r="L56" i="19"/>
  <c r="K56" i="19" s="1"/>
  <c r="L55" i="19"/>
  <c r="K55" i="19" s="1"/>
  <c r="N55" i="19" s="1"/>
  <c r="L54" i="19"/>
  <c r="K54" i="19" s="1"/>
  <c r="N54" i="19" s="1"/>
  <c r="L53" i="19"/>
  <c r="K53" i="19" s="1"/>
  <c r="N53" i="19" s="1"/>
  <c r="L52" i="19"/>
  <c r="K52" i="19" s="1"/>
  <c r="N52" i="19" s="1"/>
  <c r="L51" i="19"/>
  <c r="K51" i="19" s="1"/>
  <c r="N51" i="19" s="1"/>
  <c r="L50" i="19"/>
  <c r="K50" i="19" s="1"/>
  <c r="N50" i="19" s="1"/>
  <c r="L49" i="19"/>
  <c r="K48" i="19"/>
  <c r="L48" i="19" s="1"/>
  <c r="L47" i="19"/>
  <c r="K47" i="19" s="1"/>
  <c r="L46" i="19"/>
  <c r="K46" i="19" s="1"/>
  <c r="L45" i="19"/>
  <c r="K45" i="19" s="1"/>
  <c r="L44" i="19"/>
  <c r="K44" i="19" s="1"/>
  <c r="L43" i="19"/>
  <c r="K43" i="19" s="1"/>
  <c r="L42" i="19"/>
  <c r="K42" i="19" s="1"/>
  <c r="N42" i="19" s="1"/>
  <c r="L41" i="19"/>
  <c r="K41" i="19"/>
  <c r="N41" i="19" s="1"/>
  <c r="I40" i="19"/>
  <c r="L40" i="19" s="1"/>
  <c r="K40" i="19" s="1"/>
  <c r="N40" i="19" s="1"/>
  <c r="L29" i="19"/>
  <c r="K29" i="19" s="1"/>
  <c r="N29" i="19" s="1"/>
  <c r="L28" i="19"/>
  <c r="K28" i="19" s="1"/>
  <c r="N28" i="19" s="1"/>
  <c r="L27" i="19"/>
  <c r="K27" i="19" s="1"/>
  <c r="N27" i="19" s="1"/>
  <c r="L26" i="19"/>
  <c r="K26" i="19" s="1"/>
  <c r="N26" i="19" s="1"/>
  <c r="L25" i="19"/>
  <c r="K25" i="19" s="1"/>
  <c r="N25" i="19" s="1"/>
  <c r="L24" i="19"/>
  <c r="K24" i="19"/>
  <c r="N24" i="19" s="1"/>
  <c r="L23" i="19"/>
  <c r="K23" i="19" s="1"/>
  <c r="N23" i="19" s="1"/>
  <c r="L22" i="19"/>
  <c r="K22" i="19" s="1"/>
  <c r="N22" i="19" s="1"/>
  <c r="I21" i="19"/>
  <c r="L21" i="19" s="1"/>
  <c r="K21" i="19" s="1"/>
  <c r="N21" i="19" s="1"/>
  <c r="I9" i="19"/>
  <c r="L9" i="19" s="1"/>
  <c r="K9" i="19" s="1"/>
  <c r="N9" i="19" s="1"/>
  <c r="L6" i="19"/>
  <c r="K6" i="19" s="1"/>
  <c r="L5" i="19"/>
  <c r="K5" i="19" s="1"/>
  <c r="L4" i="19"/>
  <c r="K4" i="19"/>
  <c r="L3" i="19"/>
  <c r="K3" i="19" s="1"/>
  <c r="J190" i="13"/>
  <c r="I190" i="13" s="1"/>
  <c r="J189" i="13"/>
  <c r="I189" i="13" s="1"/>
  <c r="J188" i="13"/>
  <c r="I188" i="13" s="1"/>
  <c r="J187" i="13"/>
  <c r="I187" i="13" s="1"/>
  <c r="J186" i="13"/>
  <c r="I186" i="13" s="1"/>
  <c r="J185" i="13"/>
  <c r="I185" i="13" s="1"/>
  <c r="J184" i="13"/>
  <c r="I184" i="13" s="1"/>
  <c r="J183" i="13"/>
  <c r="I183" i="13" s="1"/>
  <c r="J182" i="13"/>
  <c r="I182" i="13" s="1"/>
  <c r="J181" i="13"/>
  <c r="I181" i="13" s="1"/>
  <c r="J180" i="13"/>
  <c r="I180" i="13" s="1"/>
  <c r="J179" i="13"/>
  <c r="I179" i="13" s="1"/>
  <c r="J178" i="13"/>
  <c r="I178" i="13" s="1"/>
  <c r="J177" i="13"/>
  <c r="I177" i="13" s="1"/>
  <c r="J176" i="13"/>
  <c r="I176" i="13" s="1"/>
  <c r="J175" i="13"/>
  <c r="I175" i="13" s="1"/>
  <c r="J174" i="13"/>
  <c r="I174" i="13" s="1"/>
  <c r="J173" i="13"/>
  <c r="I173" i="13" s="1"/>
  <c r="J172" i="13"/>
  <c r="I172" i="13" s="1"/>
  <c r="J171" i="13"/>
  <c r="I171" i="13" s="1"/>
  <c r="J170" i="13"/>
  <c r="I170" i="13" s="1"/>
  <c r="J169" i="13"/>
  <c r="I169" i="13" s="1"/>
  <c r="J168" i="13"/>
  <c r="I168" i="13" s="1"/>
  <c r="J167" i="13"/>
  <c r="I167" i="13" s="1"/>
  <c r="J166" i="13"/>
  <c r="I166" i="13" s="1"/>
  <c r="J165" i="13"/>
  <c r="I165" i="13" s="1"/>
  <c r="J164" i="13"/>
  <c r="I164" i="13" s="1"/>
  <c r="H163" i="13"/>
  <c r="J163" i="13" s="1"/>
  <c r="I163" i="13" s="1"/>
  <c r="H162" i="13"/>
  <c r="J162" i="13" s="1"/>
  <c r="I162" i="13" s="1"/>
  <c r="J161" i="13"/>
  <c r="I161" i="13" s="1"/>
  <c r="J160" i="13"/>
  <c r="I160" i="13" s="1"/>
  <c r="J159" i="13"/>
  <c r="I159" i="13" s="1"/>
  <c r="J158" i="13"/>
  <c r="I158" i="13" s="1"/>
  <c r="J157" i="13"/>
  <c r="I157" i="13" s="1"/>
  <c r="J156" i="13"/>
  <c r="I156" i="13" s="1"/>
  <c r="J155" i="13"/>
  <c r="I155" i="13" s="1"/>
  <c r="H154" i="13"/>
  <c r="J154" i="13" s="1"/>
  <c r="I154" i="13" s="1"/>
  <c r="J153" i="13"/>
  <c r="I153" i="13" s="1"/>
  <c r="J152" i="13"/>
  <c r="I152" i="13" s="1"/>
  <c r="J150" i="13"/>
  <c r="I150" i="13" s="1"/>
  <c r="J149" i="13"/>
  <c r="I149" i="13" s="1"/>
  <c r="J148" i="13"/>
  <c r="I148" i="13" s="1"/>
  <c r="J147" i="13"/>
  <c r="I147" i="13" s="1"/>
  <c r="J146" i="13"/>
  <c r="I146" i="13" s="1"/>
  <c r="J145" i="13"/>
  <c r="I145" i="13" s="1"/>
  <c r="J144" i="13"/>
  <c r="I144" i="13" s="1"/>
  <c r="J143" i="13"/>
  <c r="I143" i="13" s="1"/>
  <c r="J142" i="13"/>
  <c r="I142" i="13" s="1"/>
  <c r="J141" i="13"/>
  <c r="I141" i="13" s="1"/>
  <c r="J140" i="13"/>
  <c r="I140" i="13" s="1"/>
  <c r="H139" i="13"/>
  <c r="J139" i="13" s="1"/>
  <c r="I139" i="13" s="1"/>
  <c r="J138" i="13"/>
  <c r="I138" i="13" s="1"/>
  <c r="J137" i="13"/>
  <c r="I137" i="13" s="1"/>
  <c r="J136" i="13"/>
  <c r="I136" i="13" s="1"/>
  <c r="J135" i="13"/>
  <c r="I135" i="13" s="1"/>
  <c r="J134" i="13"/>
  <c r="I134" i="13" s="1"/>
  <c r="J133" i="13"/>
  <c r="I133" i="13" s="1"/>
  <c r="J132" i="13"/>
  <c r="I132" i="13" s="1"/>
  <c r="J131" i="13"/>
  <c r="I131" i="13"/>
  <c r="J130" i="13"/>
  <c r="I130" i="13" s="1"/>
  <c r="J129" i="13"/>
  <c r="I129" i="13" s="1"/>
  <c r="H128" i="13"/>
  <c r="J128" i="13" s="1"/>
  <c r="I128" i="13" s="1"/>
  <c r="J127" i="13"/>
  <c r="I127" i="13" s="1"/>
  <c r="H126" i="13"/>
  <c r="J126" i="13" s="1"/>
  <c r="I126" i="13" s="1"/>
  <c r="J125" i="13"/>
  <c r="I125" i="13" s="1"/>
  <c r="J124" i="13"/>
  <c r="I124" i="13" s="1"/>
  <c r="J123" i="13"/>
  <c r="I123" i="13" s="1"/>
  <c r="J122" i="13"/>
  <c r="I122" i="13" s="1"/>
  <c r="H121" i="13"/>
  <c r="J121" i="13" s="1"/>
  <c r="I121" i="13" s="1"/>
  <c r="H120" i="13"/>
  <c r="J120" i="13" s="1"/>
  <c r="I120" i="13" s="1"/>
  <c r="J72" i="13"/>
  <c r="I72" i="13" s="1"/>
  <c r="J71" i="13"/>
  <c r="I71" i="13" s="1"/>
  <c r="J70" i="13"/>
  <c r="I70" i="13" s="1"/>
  <c r="J69" i="13"/>
  <c r="I69" i="13" s="1"/>
  <c r="J68" i="13"/>
  <c r="I68" i="13" s="1"/>
  <c r="J67" i="13"/>
  <c r="I67" i="13" s="1"/>
  <c r="J66" i="13"/>
  <c r="I66" i="13" s="1"/>
  <c r="J65" i="13"/>
  <c r="I65" i="13" s="1"/>
  <c r="J64" i="13"/>
  <c r="I64" i="13" s="1"/>
  <c r="J63" i="13"/>
  <c r="I63" i="13" s="1"/>
  <c r="J62" i="13"/>
  <c r="I62" i="13" s="1"/>
  <c r="J61" i="13"/>
  <c r="I61" i="13" s="1"/>
  <c r="J60" i="13"/>
  <c r="I60" i="13" s="1"/>
  <c r="J59" i="13"/>
  <c r="I59" i="13" s="1"/>
  <c r="J58" i="13"/>
  <c r="I58" i="13" s="1"/>
  <c r="J57" i="13"/>
  <c r="I57" i="13" s="1"/>
  <c r="J56" i="13"/>
  <c r="I56" i="13"/>
  <c r="J55" i="13"/>
  <c r="I55" i="13" s="1"/>
  <c r="J54" i="13"/>
  <c r="I54" i="13" s="1"/>
  <c r="J53" i="13"/>
  <c r="I53" i="13" s="1"/>
  <c r="J52" i="13"/>
  <c r="I52" i="13" s="1"/>
  <c r="J51" i="13"/>
  <c r="I51" i="13" s="1"/>
  <c r="J50" i="13"/>
  <c r="I50" i="13" s="1"/>
  <c r="J49" i="13"/>
  <c r="I49" i="13" s="1"/>
  <c r="I48" i="13"/>
  <c r="J48" i="13" s="1"/>
  <c r="J47" i="13"/>
  <c r="I47" i="13" s="1"/>
  <c r="J46" i="13"/>
  <c r="I46" i="13" s="1"/>
  <c r="J45" i="13"/>
  <c r="I45" i="13" s="1"/>
  <c r="J44" i="13"/>
  <c r="I44" i="13" s="1"/>
  <c r="J43" i="13"/>
  <c r="I43" i="13" s="1"/>
  <c r="J42" i="13"/>
  <c r="I42" i="13" s="1"/>
  <c r="H41" i="13"/>
  <c r="J41" i="13" s="1"/>
  <c r="I41" i="13" s="1"/>
  <c r="J30" i="13"/>
  <c r="I30" i="13" s="1"/>
  <c r="J29" i="13"/>
  <c r="I29" i="13" s="1"/>
  <c r="J28" i="13"/>
  <c r="I28" i="13" s="1"/>
  <c r="J27" i="13"/>
  <c r="I27" i="13" s="1"/>
  <c r="J26" i="13"/>
  <c r="I26" i="13" s="1"/>
  <c r="J25" i="13"/>
  <c r="I25" i="13" s="1"/>
  <c r="J24" i="13"/>
  <c r="I24" i="13" s="1"/>
  <c r="I23" i="13"/>
  <c r="J23" i="13" s="1"/>
  <c r="H22" i="13"/>
  <c r="J22" i="13" s="1"/>
  <c r="I22" i="13" s="1"/>
  <c r="H10" i="13"/>
  <c r="J10" i="13" s="1"/>
  <c r="I10" i="13" s="1"/>
  <c r="J7" i="13"/>
  <c r="I7" i="13" s="1"/>
  <c r="J6" i="13"/>
  <c r="I6" i="13" s="1"/>
  <c r="J5" i="13"/>
  <c r="I5" i="13" s="1"/>
  <c r="J4" i="13"/>
  <c r="I4" i="13" s="1"/>
  <c r="K82" i="105" l="1"/>
  <c r="K85" i="105"/>
  <c r="K108" i="105"/>
  <c r="K124" i="105"/>
  <c r="K13" i="105"/>
  <c r="K19" i="105"/>
  <c r="K145" i="105"/>
  <c r="K17" i="105"/>
  <c r="K53" i="105"/>
  <c r="K116" i="105"/>
  <c r="K146" i="105"/>
  <c r="K158" i="105"/>
  <c r="A59" i="115" a="1"/>
  <c r="A59" i="115" s="1"/>
  <c r="D59" i="115" a="1"/>
  <c r="D59" i="115" s="1"/>
  <c r="B61" i="115"/>
  <c r="C59" i="115" a="1"/>
  <c r="C59" i="115" s="1"/>
  <c r="E37" i="115"/>
  <c r="F37" i="115" s="1"/>
  <c r="E33" i="114"/>
  <c r="F32" i="114"/>
  <c r="E33" i="113"/>
  <c r="F32" i="113"/>
  <c r="E33" i="112"/>
  <c r="F32" i="112"/>
  <c r="E33" i="111"/>
  <c r="F32" i="111"/>
  <c r="E33" i="110"/>
  <c r="F32" i="110"/>
  <c r="E33" i="109"/>
  <c r="F33" i="109" s="1"/>
  <c r="E33" i="108"/>
  <c r="F32" i="108"/>
  <c r="E33" i="107"/>
  <c r="F32" i="107"/>
  <c r="D88" i="82"/>
  <c r="R88" i="105"/>
  <c r="S88" i="105" s="1"/>
  <c r="K88" i="105" s="1"/>
  <c r="D247" i="82"/>
  <c r="R247" i="105"/>
  <c r="S247" i="105" s="1"/>
  <c r="K247" i="105" s="1"/>
  <c r="D251" i="82"/>
  <c r="R251" i="105"/>
  <c r="S251" i="105" s="1"/>
  <c r="K251" i="105" s="1"/>
  <c r="D255" i="82"/>
  <c r="R255" i="105"/>
  <c r="S255" i="105" s="1"/>
  <c r="K255" i="105" s="1"/>
  <c r="D267" i="82"/>
  <c r="R267" i="105"/>
  <c r="S267" i="105" s="1"/>
  <c r="D271" i="82"/>
  <c r="R271" i="105"/>
  <c r="S271" i="105" s="1"/>
  <c r="D279" i="82"/>
  <c r="R279" i="105"/>
  <c r="S279" i="105" s="1"/>
  <c r="D283" i="82"/>
  <c r="R283" i="105"/>
  <c r="S283" i="105" s="1"/>
  <c r="D291" i="82"/>
  <c r="R291" i="105"/>
  <c r="S291" i="105" s="1"/>
  <c r="D299" i="82"/>
  <c r="R299" i="105"/>
  <c r="S299" i="105" s="1"/>
  <c r="K299" i="105" s="1"/>
  <c r="D307" i="82"/>
  <c r="R307" i="105"/>
  <c r="S307" i="105" s="1"/>
  <c r="K307" i="105" s="1"/>
  <c r="D124" i="82"/>
  <c r="D128" i="82"/>
  <c r="R128" i="105"/>
  <c r="S128" i="105" s="1"/>
  <c r="K140" i="105"/>
  <c r="K144" i="105"/>
  <c r="K148" i="105"/>
  <c r="K152" i="105"/>
  <c r="K156" i="105"/>
  <c r="D160" i="82"/>
  <c r="R160" i="105"/>
  <c r="S160" i="105" s="1"/>
  <c r="K160" i="105" s="1"/>
  <c r="D164" i="82"/>
  <c r="R164" i="105"/>
  <c r="S164" i="105" s="1"/>
  <c r="K164" i="105" s="1"/>
  <c r="K168" i="105"/>
  <c r="U267" i="105"/>
  <c r="V267" i="105" s="1"/>
  <c r="U280" i="105"/>
  <c r="V280" i="105" s="1"/>
  <c r="U283" i="105"/>
  <c r="V283" i="105" s="1"/>
  <c r="U270" i="105"/>
  <c r="V270" i="105" s="1"/>
  <c r="U120" i="105"/>
  <c r="V120" i="105" s="1"/>
  <c r="U291" i="105"/>
  <c r="V291" i="105" s="1"/>
  <c r="D248" i="82"/>
  <c r="R248" i="105"/>
  <c r="S248" i="105" s="1"/>
  <c r="K248" i="105" s="1"/>
  <c r="D252" i="82"/>
  <c r="R252" i="105"/>
  <c r="S252" i="105" s="1"/>
  <c r="K252" i="105" s="1"/>
  <c r="D256" i="82"/>
  <c r="R256" i="105"/>
  <c r="S256" i="105" s="1"/>
  <c r="K256" i="105" s="1"/>
  <c r="D268" i="82"/>
  <c r="R268" i="105"/>
  <c r="S268" i="105" s="1"/>
  <c r="D272" i="82"/>
  <c r="R272" i="105"/>
  <c r="S272" i="105" s="1"/>
  <c r="D280" i="82"/>
  <c r="R280" i="105"/>
  <c r="S280" i="105" s="1"/>
  <c r="K280" i="105" s="1"/>
  <c r="D284" i="82"/>
  <c r="R284" i="105"/>
  <c r="S284" i="105" s="1"/>
  <c r="D292" i="82"/>
  <c r="R292" i="105"/>
  <c r="S292" i="105" s="1"/>
  <c r="K292" i="105" s="1"/>
  <c r="D300" i="82"/>
  <c r="R300" i="105"/>
  <c r="S300" i="105" s="1"/>
  <c r="K300" i="105" s="1"/>
  <c r="V320" i="105"/>
  <c r="K320" i="105" s="1"/>
  <c r="M320" i="105"/>
  <c r="J320" i="105"/>
  <c r="D96" i="82"/>
  <c r="R96" i="105"/>
  <c r="S96" i="105" s="1"/>
  <c r="K96" i="105" s="1"/>
  <c r="D77" i="82"/>
  <c r="R77" i="105"/>
  <c r="S77" i="105" s="1"/>
  <c r="K77" i="105" s="1"/>
  <c r="D199" i="82"/>
  <c r="R199" i="105"/>
  <c r="S199" i="105" s="1"/>
  <c r="K199" i="105" s="1"/>
  <c r="D239" i="82"/>
  <c r="R239" i="105"/>
  <c r="S239" i="105" s="1"/>
  <c r="K239" i="105" s="1"/>
  <c r="D18" i="82"/>
  <c r="R18" i="105"/>
  <c r="S18" i="105" s="1"/>
  <c r="K18" i="105" s="1"/>
  <c r="D26" i="82"/>
  <c r="R26" i="105"/>
  <c r="S26" i="105" s="1"/>
  <c r="K26" i="105" s="1"/>
  <c r="D42" i="82"/>
  <c r="R42" i="105"/>
  <c r="S42" i="105" s="1"/>
  <c r="K42" i="105" s="1"/>
  <c r="D50" i="82"/>
  <c r="R50" i="105"/>
  <c r="S50" i="105" s="1"/>
  <c r="K50" i="105" s="1"/>
  <c r="D58" i="82"/>
  <c r="R59" i="105"/>
  <c r="S59" i="105" s="1"/>
  <c r="K59" i="105" s="1"/>
  <c r="D62" i="82"/>
  <c r="R63" i="105"/>
  <c r="S63" i="105" s="1"/>
  <c r="K63" i="105" s="1"/>
  <c r="D101" i="82"/>
  <c r="R101" i="105"/>
  <c r="S101" i="105" s="1"/>
  <c r="K101" i="105" s="1"/>
  <c r="D11" i="82"/>
  <c r="R11" i="105"/>
  <c r="S11" i="105" s="1"/>
  <c r="K11" i="105" s="1"/>
  <c r="U336" i="105"/>
  <c r="V336" i="105" s="1"/>
  <c r="K336" i="105" s="1"/>
  <c r="U72" i="105"/>
  <c r="V72" i="105" s="1"/>
  <c r="D74" i="82"/>
  <c r="R75" i="105"/>
  <c r="S75" i="105" s="1"/>
  <c r="K75" i="105" s="1"/>
  <c r="D78" i="82"/>
  <c r="S78" i="105"/>
  <c r="K78" i="105" s="1"/>
  <c r="D109" i="82"/>
  <c r="R109" i="105"/>
  <c r="S109" i="105" s="1"/>
  <c r="K109" i="105" s="1"/>
  <c r="D113" i="82"/>
  <c r="R113" i="105"/>
  <c r="S113" i="105" s="1"/>
  <c r="K113" i="105" s="1"/>
  <c r="D117" i="82"/>
  <c r="R117" i="105"/>
  <c r="S117" i="105" s="1"/>
  <c r="K117" i="105" s="1"/>
  <c r="D188" i="82"/>
  <c r="R188" i="105"/>
  <c r="S188" i="105" s="1"/>
  <c r="K188" i="105" s="1"/>
  <c r="D192" i="82"/>
  <c r="R192" i="105"/>
  <c r="S192" i="105" s="1"/>
  <c r="K192" i="105" s="1"/>
  <c r="D196" i="82"/>
  <c r="R196" i="105"/>
  <c r="S196" i="105" s="1"/>
  <c r="K196" i="105" s="1"/>
  <c r="D200" i="82"/>
  <c r="R200" i="105"/>
  <c r="S200" i="105" s="1"/>
  <c r="K200" i="105" s="1"/>
  <c r="D204" i="82"/>
  <c r="R204" i="105"/>
  <c r="S204" i="105" s="1"/>
  <c r="D208" i="82"/>
  <c r="R208" i="105"/>
  <c r="S208" i="105" s="1"/>
  <c r="K208" i="105" s="1"/>
  <c r="D212" i="82"/>
  <c r="R212" i="105"/>
  <c r="S212" i="105" s="1"/>
  <c r="K212" i="105" s="1"/>
  <c r="D216" i="82"/>
  <c r="R216" i="105"/>
  <c r="S216" i="105" s="1"/>
  <c r="K216" i="105" s="1"/>
  <c r="D224" i="82"/>
  <c r="R224" i="105"/>
  <c r="S224" i="105" s="1"/>
  <c r="K228" i="105"/>
  <c r="D236" i="82"/>
  <c r="R236" i="105"/>
  <c r="S236" i="105" s="1"/>
  <c r="K236" i="105" s="1"/>
  <c r="D240" i="82"/>
  <c r="R240" i="105"/>
  <c r="S240" i="105" s="1"/>
  <c r="K240" i="105" s="1"/>
  <c r="D27" i="82"/>
  <c r="R27" i="105"/>
  <c r="S27" i="105" s="1"/>
  <c r="K27" i="105" s="1"/>
  <c r="D31" i="82"/>
  <c r="R31" i="105"/>
  <c r="S31" i="105" s="1"/>
  <c r="K31" i="105" s="1"/>
  <c r="D39" i="82"/>
  <c r="R39" i="105"/>
  <c r="S39" i="105" s="1"/>
  <c r="K39" i="105" s="1"/>
  <c r="D43" i="82"/>
  <c r="R43" i="105"/>
  <c r="S43" i="105" s="1"/>
  <c r="K43" i="105" s="1"/>
  <c r="D47" i="82"/>
  <c r="R47" i="105"/>
  <c r="S47" i="105" s="1"/>
  <c r="K47" i="105" s="1"/>
  <c r="K51" i="105"/>
  <c r="K55" i="105"/>
  <c r="D59" i="82"/>
  <c r="R60" i="105"/>
  <c r="S60" i="105" s="1"/>
  <c r="K60" i="105" s="1"/>
  <c r="D82" i="82"/>
  <c r="D86" i="82"/>
  <c r="R86" i="105"/>
  <c r="S86" i="105" s="1"/>
  <c r="K86" i="105" s="1"/>
  <c r="D90" i="82"/>
  <c r="R90" i="105"/>
  <c r="S90" i="105" s="1"/>
  <c r="K90" i="105" s="1"/>
  <c r="D94" i="82"/>
  <c r="R94" i="105"/>
  <c r="S94" i="105" s="1"/>
  <c r="K94" i="105" s="1"/>
  <c r="K133" i="105"/>
  <c r="K149" i="105"/>
  <c r="K153" i="105"/>
  <c r="K157" i="105"/>
  <c r="D161" i="82"/>
  <c r="R161" i="105"/>
  <c r="S161" i="105" s="1"/>
  <c r="K161" i="105" s="1"/>
  <c r="K165" i="105"/>
  <c r="D169" i="82"/>
  <c r="R169" i="105"/>
  <c r="S169" i="105" s="1"/>
  <c r="K169" i="105" s="1"/>
  <c r="D173" i="82"/>
  <c r="R173" i="105"/>
  <c r="S173" i="105" s="1"/>
  <c r="K173" i="105" s="1"/>
  <c r="D177" i="82"/>
  <c r="R177" i="105"/>
  <c r="S177" i="105" s="1"/>
  <c r="K177" i="105" s="1"/>
  <c r="D181" i="82"/>
  <c r="R181" i="105"/>
  <c r="S181" i="105" s="1"/>
  <c r="D185" i="82"/>
  <c r="R185" i="105"/>
  <c r="S185" i="105" s="1"/>
  <c r="K185" i="105" s="1"/>
  <c r="U204" i="105"/>
  <c r="V204" i="105" s="1"/>
  <c r="U180" i="105"/>
  <c r="V180" i="105" s="1"/>
  <c r="K180" i="105" s="1"/>
  <c r="U265" i="105"/>
  <c r="V265" i="105" s="1"/>
  <c r="U278" i="105"/>
  <c r="V278" i="105" s="1"/>
  <c r="U268" i="105"/>
  <c r="V268" i="105" s="1"/>
  <c r="U281" i="105"/>
  <c r="V281" i="105" s="1"/>
  <c r="U271" i="105"/>
  <c r="V271" i="105" s="1"/>
  <c r="U284" i="105"/>
  <c r="V284" i="105" s="1"/>
  <c r="U330" i="105"/>
  <c r="V330" i="105" s="1"/>
  <c r="K330" i="105" s="1"/>
  <c r="U235" i="105"/>
  <c r="V235" i="105" s="1"/>
  <c r="V321" i="105"/>
  <c r="K321" i="105" s="1"/>
  <c r="J321" i="105"/>
  <c r="M321" i="105"/>
  <c r="D37" i="82"/>
  <c r="R37" i="105"/>
  <c r="S37" i="105" s="1"/>
  <c r="K37" i="105" s="1"/>
  <c r="D100" i="82"/>
  <c r="R100" i="105"/>
  <c r="S100" i="105" s="1"/>
  <c r="K100" i="105" s="1"/>
  <c r="D69" i="82"/>
  <c r="R70" i="105"/>
  <c r="S70" i="105" s="1"/>
  <c r="D81" i="82"/>
  <c r="R81" i="105"/>
  <c r="S81" i="105" s="1"/>
  <c r="K81" i="105" s="1"/>
  <c r="U203" i="105"/>
  <c r="V203" i="105" s="1"/>
  <c r="U182" i="105"/>
  <c r="V182" i="105" s="1"/>
  <c r="D203" i="82"/>
  <c r="R203" i="105"/>
  <c r="S203" i="105" s="1"/>
  <c r="K203" i="105" s="1"/>
  <c r="D243" i="82"/>
  <c r="R243" i="105"/>
  <c r="S243" i="105" s="1"/>
  <c r="K243" i="105" s="1"/>
  <c r="D22" i="82"/>
  <c r="R22" i="105"/>
  <c r="S22" i="105" s="1"/>
  <c r="K22" i="105" s="1"/>
  <c r="D30" i="82"/>
  <c r="R30" i="105"/>
  <c r="S30" i="105" s="1"/>
  <c r="K30" i="105" s="1"/>
  <c r="D38" i="82"/>
  <c r="R38" i="105"/>
  <c r="S38" i="105" s="1"/>
  <c r="K38" i="105" s="1"/>
  <c r="D46" i="82"/>
  <c r="R46" i="105"/>
  <c r="S46" i="105" s="1"/>
  <c r="K46" i="105" s="1"/>
  <c r="D54" i="82"/>
  <c r="R54" i="105"/>
  <c r="S54" i="105" s="1"/>
  <c r="K54" i="105" s="1"/>
  <c r="U365" i="105"/>
  <c r="V365" i="105" s="1"/>
  <c r="K365" i="105" s="1"/>
  <c r="U128" i="105"/>
  <c r="V128" i="105" s="1"/>
  <c r="D67" i="82"/>
  <c r="R68" i="105"/>
  <c r="S68" i="105" s="1"/>
  <c r="K68" i="105" s="1"/>
  <c r="D71" i="82"/>
  <c r="R72" i="105"/>
  <c r="S72" i="105" s="1"/>
  <c r="K72" i="105" s="1"/>
  <c r="D75" i="82"/>
  <c r="R57" i="105"/>
  <c r="S57" i="105" s="1"/>
  <c r="K57" i="105" s="1"/>
  <c r="D79" i="82"/>
  <c r="R79" i="105"/>
  <c r="S79" i="105" s="1"/>
  <c r="K79" i="105" s="1"/>
  <c r="D106" i="82"/>
  <c r="R106" i="105"/>
  <c r="S106" i="105" s="1"/>
  <c r="K106" i="105" s="1"/>
  <c r="D110" i="82"/>
  <c r="R110" i="105"/>
  <c r="S110" i="105" s="1"/>
  <c r="K110" i="105" s="1"/>
  <c r="K114" i="105"/>
  <c r="K118" i="105"/>
  <c r="U36" i="105"/>
  <c r="V36" i="105" s="1"/>
  <c r="U329" i="105"/>
  <c r="V329" i="105" s="1"/>
  <c r="K329" i="105" s="1"/>
  <c r="U205" i="105"/>
  <c r="V205" i="105" s="1"/>
  <c r="U178" i="105"/>
  <c r="V178" i="105" s="1"/>
  <c r="U210" i="105"/>
  <c r="V210" i="105" s="1"/>
  <c r="U179" i="105"/>
  <c r="V179" i="105" s="1"/>
  <c r="U202" i="105"/>
  <c r="V202" i="105" s="1"/>
  <c r="U181" i="105"/>
  <c r="V181" i="105" s="1"/>
  <c r="D189" i="82"/>
  <c r="R189" i="105"/>
  <c r="S189" i="105" s="1"/>
  <c r="K189" i="105" s="1"/>
  <c r="D193" i="82"/>
  <c r="R193" i="105"/>
  <c r="S193" i="105" s="1"/>
  <c r="K193" i="105" s="1"/>
  <c r="D197" i="82"/>
  <c r="R197" i="105"/>
  <c r="S197" i="105" s="1"/>
  <c r="K197" i="105" s="1"/>
  <c r="D201" i="82"/>
  <c r="R201" i="105"/>
  <c r="S201" i="105" s="1"/>
  <c r="K201" i="105" s="1"/>
  <c r="D205" i="82"/>
  <c r="R205" i="105"/>
  <c r="S205" i="105" s="1"/>
  <c r="K205" i="105" s="1"/>
  <c r="D209" i="82"/>
  <c r="R209" i="105"/>
  <c r="S209" i="105" s="1"/>
  <c r="K209" i="105" s="1"/>
  <c r="D217" i="82"/>
  <c r="R217" i="105"/>
  <c r="S217" i="105" s="1"/>
  <c r="K221" i="105"/>
  <c r="D225" i="82"/>
  <c r="R225" i="105"/>
  <c r="S225" i="105" s="1"/>
  <c r="K225" i="105" s="1"/>
  <c r="D229" i="82"/>
  <c r="R229" i="105"/>
  <c r="S229" i="105" s="1"/>
  <c r="K229" i="105" s="1"/>
  <c r="D237" i="82"/>
  <c r="R237" i="105"/>
  <c r="S237" i="105" s="1"/>
  <c r="K237" i="105" s="1"/>
  <c r="D241" i="82"/>
  <c r="R241" i="105"/>
  <c r="S241" i="105" s="1"/>
  <c r="K241" i="105" s="1"/>
  <c r="D249" i="82"/>
  <c r="R249" i="105"/>
  <c r="S249" i="105" s="1"/>
  <c r="K249" i="105" s="1"/>
  <c r="D253" i="82"/>
  <c r="R253" i="105"/>
  <c r="S253" i="105" s="1"/>
  <c r="K253" i="105" s="1"/>
  <c r="D257" i="82"/>
  <c r="R257" i="105"/>
  <c r="S257" i="105" s="1"/>
  <c r="K257" i="105" s="1"/>
  <c r="D265" i="82"/>
  <c r="R265" i="105"/>
  <c r="S265" i="105" s="1"/>
  <c r="D269" i="82"/>
  <c r="R269" i="105"/>
  <c r="S269" i="105" s="1"/>
  <c r="D273" i="82"/>
  <c r="R273" i="105"/>
  <c r="S273" i="105" s="1"/>
  <c r="K273" i="105" s="1"/>
  <c r="D281" i="82"/>
  <c r="R281" i="105"/>
  <c r="S281" i="105" s="1"/>
  <c r="K281" i="105" s="1"/>
  <c r="D285" i="82"/>
  <c r="R285" i="105"/>
  <c r="S285" i="105" s="1"/>
  <c r="D297" i="82"/>
  <c r="R297" i="105"/>
  <c r="S297" i="105" s="1"/>
  <c r="K297" i="105" s="1"/>
  <c r="D305" i="82"/>
  <c r="R305" i="105"/>
  <c r="S305" i="105" s="1"/>
  <c r="K305" i="105" s="1"/>
  <c r="V322" i="105"/>
  <c r="K322" i="105" s="1"/>
  <c r="J322" i="105"/>
  <c r="M322" i="105"/>
  <c r="D45" i="82"/>
  <c r="R45" i="105"/>
  <c r="S45" i="105" s="1"/>
  <c r="K45" i="105" s="1"/>
  <c r="D84" i="82"/>
  <c r="R84" i="105"/>
  <c r="S84" i="105" s="1"/>
  <c r="K84" i="105" s="1"/>
  <c r="D120" i="82"/>
  <c r="R120" i="105"/>
  <c r="S120" i="105" s="1"/>
  <c r="K120" i="105" s="1"/>
  <c r="D187" i="82"/>
  <c r="R187" i="105"/>
  <c r="S187" i="105" s="1"/>
  <c r="D195" i="82"/>
  <c r="R195" i="105"/>
  <c r="S195" i="105" s="1"/>
  <c r="K195" i="105" s="1"/>
  <c r="D211" i="82"/>
  <c r="R211" i="105"/>
  <c r="S211" i="105" s="1"/>
  <c r="K211" i="105" s="1"/>
  <c r="D223" i="82"/>
  <c r="R223" i="105"/>
  <c r="S223" i="105" s="1"/>
  <c r="K223" i="105" s="1"/>
  <c r="D235" i="82"/>
  <c r="R235" i="105"/>
  <c r="S235" i="105" s="1"/>
  <c r="D28" i="82"/>
  <c r="R28" i="105"/>
  <c r="S28" i="105" s="1"/>
  <c r="K28" i="105" s="1"/>
  <c r="D32" i="82"/>
  <c r="R32" i="105"/>
  <c r="S32" i="105" s="1"/>
  <c r="K32" i="105" s="1"/>
  <c r="D36" i="82"/>
  <c r="R36" i="105"/>
  <c r="S36" i="105" s="1"/>
  <c r="D40" i="82"/>
  <c r="R40" i="105"/>
  <c r="S40" i="105" s="1"/>
  <c r="K40" i="105" s="1"/>
  <c r="D44" i="82"/>
  <c r="R44" i="105"/>
  <c r="S44" i="105" s="1"/>
  <c r="K44" i="105" s="1"/>
  <c r="D48" i="82"/>
  <c r="R48" i="105"/>
  <c r="S48" i="105" s="1"/>
  <c r="K48" i="105" s="1"/>
  <c r="D52" i="82"/>
  <c r="R52" i="105"/>
  <c r="S52" i="105" s="1"/>
  <c r="K52" i="105" s="1"/>
  <c r="D56" i="82"/>
  <c r="R56" i="105"/>
  <c r="S56" i="105" s="1"/>
  <c r="K56" i="105" s="1"/>
  <c r="D60" i="82"/>
  <c r="R61" i="105"/>
  <c r="S61" i="105" s="1"/>
  <c r="K61" i="105" s="1"/>
  <c r="D83" i="82"/>
  <c r="R83" i="105"/>
  <c r="S83" i="105" s="1"/>
  <c r="K83" i="105" s="1"/>
  <c r="D87" i="82"/>
  <c r="R87" i="105"/>
  <c r="S87" i="105" s="1"/>
  <c r="K87" i="105" s="1"/>
  <c r="D95" i="82"/>
  <c r="R95" i="105"/>
  <c r="S95" i="105" s="1"/>
  <c r="K95" i="105" s="1"/>
  <c r="D103" i="82"/>
  <c r="R103" i="105"/>
  <c r="S103" i="105" s="1"/>
  <c r="K103" i="105" s="1"/>
  <c r="D134" i="82"/>
  <c r="R134" i="105"/>
  <c r="S134" i="105" s="1"/>
  <c r="K134" i="105" s="1"/>
  <c r="D138" i="82"/>
  <c r="R138" i="105"/>
  <c r="S138" i="105" s="1"/>
  <c r="K138" i="105" s="1"/>
  <c r="D162" i="82"/>
  <c r="R162" i="105"/>
  <c r="S162" i="105" s="1"/>
  <c r="K162" i="105" s="1"/>
  <c r="D166" i="82"/>
  <c r="R166" i="105"/>
  <c r="S166" i="105" s="1"/>
  <c r="D178" i="82"/>
  <c r="R178" i="105"/>
  <c r="S178" i="105" s="1"/>
  <c r="D182" i="82"/>
  <c r="R182" i="105"/>
  <c r="S182" i="105" s="1"/>
  <c r="K182" i="105" s="1"/>
  <c r="U166" i="105"/>
  <c r="V166" i="105" s="1"/>
  <c r="U331" i="105"/>
  <c r="V331" i="105" s="1"/>
  <c r="K331" i="105" s="1"/>
  <c r="U266" i="105"/>
  <c r="V266" i="105" s="1"/>
  <c r="U279" i="105"/>
  <c r="V279" i="105" s="1"/>
  <c r="U285" i="105"/>
  <c r="V285" i="105" s="1"/>
  <c r="U272" i="105"/>
  <c r="V272" i="105" s="1"/>
  <c r="V323" i="105"/>
  <c r="K323" i="105" s="1"/>
  <c r="J323" i="105"/>
  <c r="M323" i="105"/>
  <c r="D29" i="82"/>
  <c r="R29" i="105"/>
  <c r="S29" i="105" s="1"/>
  <c r="K29" i="105" s="1"/>
  <c r="D41" i="82"/>
  <c r="R41" i="105"/>
  <c r="S41" i="105" s="1"/>
  <c r="K41" i="105" s="1"/>
  <c r="D49" i="82"/>
  <c r="R49" i="105"/>
  <c r="S49" i="105" s="1"/>
  <c r="K49" i="105" s="1"/>
  <c r="D73" i="82"/>
  <c r="R74" i="105"/>
  <c r="S74" i="105" s="1"/>
  <c r="K74" i="105" s="1"/>
  <c r="D191" i="82"/>
  <c r="R191" i="105"/>
  <c r="S191" i="105" s="1"/>
  <c r="K191" i="105" s="1"/>
  <c r="D207" i="82"/>
  <c r="R207" i="105"/>
  <c r="S207" i="105" s="1"/>
  <c r="K207" i="105" s="1"/>
  <c r="D227" i="82"/>
  <c r="R227" i="105"/>
  <c r="S227" i="105" s="1"/>
  <c r="K227" i="105" s="1"/>
  <c r="U217" i="105"/>
  <c r="V217" i="105" s="1"/>
  <c r="U70" i="105"/>
  <c r="V70" i="105" s="1"/>
  <c r="U338" i="105"/>
  <c r="V338" i="105" s="1"/>
  <c r="K338" i="105" s="1"/>
  <c r="U187" i="105"/>
  <c r="V187" i="105" s="1"/>
  <c r="U337" i="105"/>
  <c r="V337" i="105" s="1"/>
  <c r="K337" i="105" s="1"/>
  <c r="D68" i="82"/>
  <c r="R69" i="105"/>
  <c r="S69" i="105" s="1"/>
  <c r="K69" i="105" s="1"/>
  <c r="D72" i="82"/>
  <c r="R73" i="105"/>
  <c r="S73" i="105" s="1"/>
  <c r="K73" i="105" s="1"/>
  <c r="D76" i="82"/>
  <c r="R76" i="105"/>
  <c r="S76" i="105" s="1"/>
  <c r="K76" i="105" s="1"/>
  <c r="D80" i="82"/>
  <c r="R80" i="105"/>
  <c r="S80" i="105" s="1"/>
  <c r="K80" i="105" s="1"/>
  <c r="K107" i="105"/>
  <c r="D111" i="82"/>
  <c r="R111" i="105"/>
  <c r="S111" i="105" s="1"/>
  <c r="K111" i="105" s="1"/>
  <c r="D115" i="82"/>
  <c r="R115" i="105"/>
  <c r="S115" i="105" s="1"/>
  <c r="K115" i="105" s="1"/>
  <c r="D190" i="82"/>
  <c r="R190" i="105"/>
  <c r="S190" i="105" s="1"/>
  <c r="K190" i="105" s="1"/>
  <c r="D194" i="82"/>
  <c r="R194" i="105"/>
  <c r="S194" i="105" s="1"/>
  <c r="K194" i="105" s="1"/>
  <c r="D198" i="82"/>
  <c r="R198" i="105"/>
  <c r="S198" i="105" s="1"/>
  <c r="K198" i="105" s="1"/>
  <c r="D202" i="82"/>
  <c r="R202" i="105"/>
  <c r="S202" i="105" s="1"/>
  <c r="K202" i="105" s="1"/>
  <c r="D206" i="82"/>
  <c r="R206" i="105"/>
  <c r="S206" i="105" s="1"/>
  <c r="K206" i="105" s="1"/>
  <c r="D210" i="82"/>
  <c r="R210" i="105"/>
  <c r="S210" i="105" s="1"/>
  <c r="D222" i="82"/>
  <c r="R222" i="105"/>
  <c r="S222" i="105" s="1"/>
  <c r="K222" i="105" s="1"/>
  <c r="D226" i="82"/>
  <c r="R226" i="105"/>
  <c r="S226" i="105" s="1"/>
  <c r="K226" i="105" s="1"/>
  <c r="D230" i="82"/>
  <c r="R230" i="105"/>
  <c r="S230" i="105" s="1"/>
  <c r="K230" i="105" s="1"/>
  <c r="D234" i="82"/>
  <c r="R234" i="105"/>
  <c r="S234" i="105" s="1"/>
  <c r="K234" i="105" s="1"/>
  <c r="D238" i="82"/>
  <c r="R238" i="105"/>
  <c r="S238" i="105" s="1"/>
  <c r="K238" i="105" s="1"/>
  <c r="D242" i="82"/>
  <c r="R242" i="105"/>
  <c r="S242" i="105" s="1"/>
  <c r="K242" i="105" s="1"/>
  <c r="D250" i="82"/>
  <c r="R250" i="105"/>
  <c r="S250" i="105" s="1"/>
  <c r="K250" i="105" s="1"/>
  <c r="D254" i="82"/>
  <c r="R254" i="105"/>
  <c r="S254" i="105" s="1"/>
  <c r="K254" i="105" s="1"/>
  <c r="D258" i="82"/>
  <c r="R258" i="105"/>
  <c r="S258" i="105" s="1"/>
  <c r="K258" i="105" s="1"/>
  <c r="D266" i="82"/>
  <c r="R266" i="105"/>
  <c r="S266" i="105" s="1"/>
  <c r="D270" i="82"/>
  <c r="R270" i="105"/>
  <c r="S270" i="105" s="1"/>
  <c r="K270" i="105" s="1"/>
  <c r="D278" i="82"/>
  <c r="R278" i="105"/>
  <c r="S278" i="105" s="1"/>
  <c r="K278" i="105" s="1"/>
  <c r="D282" i="82"/>
  <c r="R282" i="105"/>
  <c r="S282" i="105" s="1"/>
  <c r="D286" i="82"/>
  <c r="R286" i="105"/>
  <c r="S286" i="105" s="1"/>
  <c r="K286" i="105" s="1"/>
  <c r="D298" i="82"/>
  <c r="R298" i="105"/>
  <c r="S298" i="105" s="1"/>
  <c r="K298" i="105" s="1"/>
  <c r="D306" i="82"/>
  <c r="R306" i="105"/>
  <c r="S306" i="105" s="1"/>
  <c r="K306" i="105" s="1"/>
  <c r="V324" i="105"/>
  <c r="K324" i="105" s="1"/>
  <c r="M324" i="105"/>
  <c r="J324" i="105"/>
  <c r="D104" i="82"/>
  <c r="R104" i="105"/>
  <c r="S104" i="105" s="1"/>
  <c r="K104" i="105" s="1"/>
  <c r="K139" i="105"/>
  <c r="K155" i="105"/>
  <c r="D163" i="82"/>
  <c r="R163" i="105"/>
  <c r="S163" i="105" s="1"/>
  <c r="K163" i="105" s="1"/>
  <c r="D167" i="82"/>
  <c r="R167" i="105"/>
  <c r="S167" i="105" s="1"/>
  <c r="K167" i="105" s="1"/>
  <c r="D179" i="82"/>
  <c r="R179" i="105"/>
  <c r="S179" i="105" s="1"/>
  <c r="D183" i="82"/>
  <c r="R183" i="105"/>
  <c r="S183" i="105" s="1"/>
  <c r="K183" i="105" s="1"/>
  <c r="U269" i="105"/>
  <c r="V269" i="105" s="1"/>
  <c r="U71" i="105"/>
  <c r="V71" i="105" s="1"/>
  <c r="K71" i="105" s="1"/>
  <c r="U340" i="105"/>
  <c r="V340" i="105" s="1"/>
  <c r="U282" i="105"/>
  <c r="V282" i="105" s="1"/>
  <c r="E107" i="104"/>
  <c r="E58" i="104"/>
  <c r="E12" i="104"/>
  <c r="E23" i="104"/>
  <c r="E34" i="104"/>
  <c r="E60" i="104"/>
  <c r="E41" i="104"/>
  <c r="E38" i="104"/>
  <c r="E43" i="104"/>
  <c r="E68" i="104"/>
  <c r="E239" i="104"/>
  <c r="E203" i="104"/>
  <c r="E140" i="104"/>
  <c r="E139" i="104"/>
  <c r="E146" i="104"/>
  <c r="E130" i="104"/>
  <c r="E144" i="104"/>
  <c r="E151" i="104"/>
  <c r="E197" i="104"/>
  <c r="E18" i="104"/>
  <c r="E120" i="104"/>
  <c r="E103" i="104"/>
  <c r="E109" i="104"/>
  <c r="E111" i="104"/>
  <c r="E114" i="104"/>
  <c r="E117" i="104"/>
  <c r="E154" i="104"/>
  <c r="E195" i="104"/>
  <c r="E137" i="104"/>
  <c r="E148" i="104"/>
  <c r="E14" i="104"/>
  <c r="E15" i="104"/>
  <c r="E119" i="104"/>
  <c r="E102" i="104"/>
  <c r="E10" i="104"/>
  <c r="E40" i="104"/>
  <c r="E52" i="104"/>
  <c r="E37" i="104"/>
  <c r="E56" i="104"/>
  <c r="E49" i="104"/>
  <c r="E97" i="104"/>
  <c r="E121" i="104"/>
  <c r="E123" i="104"/>
  <c r="E133" i="104"/>
  <c r="E150" i="104"/>
  <c r="E192" i="104"/>
  <c r="E134" i="104"/>
  <c r="E198" i="104"/>
  <c r="E27" i="104"/>
  <c r="E21" i="104"/>
  <c r="E25" i="104"/>
  <c r="E24" i="104"/>
  <c r="E54" i="104"/>
  <c r="E50" i="104"/>
  <c r="E48" i="104"/>
  <c r="E47" i="104"/>
  <c r="E46" i="104"/>
  <c r="E30" i="104"/>
  <c r="E65" i="104"/>
  <c r="E44" i="104"/>
  <c r="E86" i="104"/>
  <c r="E115" i="104"/>
  <c r="E118" i="104"/>
  <c r="E33" i="104"/>
  <c r="E31" i="104"/>
  <c r="E32" i="104"/>
  <c r="E53" i="104"/>
  <c r="E57" i="104"/>
  <c r="E59" i="104"/>
  <c r="E39" i="104"/>
  <c r="E35" i="104"/>
  <c r="E208" i="104"/>
  <c r="E241" i="104"/>
  <c r="E129" i="104"/>
  <c r="E17" i="104"/>
  <c r="E116" i="104"/>
  <c r="E96" i="104"/>
  <c r="E99" i="104"/>
  <c r="E66" i="104"/>
  <c r="E122" i="104"/>
  <c r="E124" i="104"/>
  <c r="E143" i="104"/>
  <c r="E136" i="104"/>
  <c r="E152" i="104"/>
  <c r="E132" i="104"/>
  <c r="E125" i="104"/>
  <c r="E142" i="104"/>
  <c r="E145" i="104"/>
  <c r="E11" i="104"/>
  <c r="E55" i="104"/>
  <c r="E51" i="104"/>
  <c r="E64" i="104"/>
  <c r="E45" i="104"/>
  <c r="E248" i="104"/>
  <c r="E153" i="104"/>
  <c r="E19" i="104"/>
  <c r="E106" i="104"/>
  <c r="E104" i="104"/>
  <c r="E108" i="104"/>
  <c r="E110" i="104"/>
  <c r="E112" i="104"/>
  <c r="E138" i="104"/>
  <c r="E191" i="104"/>
  <c r="E252" i="104"/>
  <c r="E251" i="104"/>
  <c r="E250" i="104"/>
  <c r="E249" i="104"/>
  <c r="E147" i="104"/>
  <c r="E113" i="104"/>
  <c r="E149" i="104"/>
  <c r="E193" i="104"/>
  <c r="E135" i="104"/>
  <c r="E196" i="104"/>
  <c r="E131" i="104"/>
  <c r="E16" i="104"/>
  <c r="E28" i="104"/>
  <c r="E105" i="104"/>
  <c r="E95" i="104"/>
  <c r="E98" i="104"/>
  <c r="E101" i="104"/>
  <c r="E13" i="104"/>
  <c r="E20" i="104"/>
  <c r="E22" i="104"/>
  <c r="E26" i="104"/>
  <c r="E29" i="104"/>
  <c r="E42" i="104"/>
  <c r="E61" i="104"/>
  <c r="E63" i="104"/>
  <c r="E36" i="104"/>
  <c r="E67" i="104"/>
  <c r="E62" i="104"/>
  <c r="E87" i="104"/>
  <c r="E209" i="104"/>
  <c r="O340" i="105" s="1"/>
  <c r="E243" i="104"/>
  <c r="D108" i="82"/>
  <c r="N3" i="19"/>
  <c r="D126" i="82"/>
  <c r="D168" i="82"/>
  <c r="D159" i="82"/>
  <c r="D102" i="82"/>
  <c r="D184" i="82"/>
  <c r="D51" i="82"/>
  <c r="D57" i="82"/>
  <c r="D61" i="82"/>
  <c r="D89" i="82"/>
  <c r="D133" i="82"/>
  <c r="D137" i="82"/>
  <c r="D70" i="82"/>
  <c r="D92" i="82"/>
  <c r="D53" i="82"/>
  <c r="D55" i="82"/>
  <c r="D63" i="82"/>
  <c r="D131" i="82"/>
  <c r="D135" i="82"/>
  <c r="D139" i="82"/>
  <c r="D165" i="82"/>
  <c r="D180" i="82"/>
  <c r="D221" i="82"/>
  <c r="D107" i="82"/>
  <c r="D112" i="82"/>
  <c r="D114" i="82"/>
  <c r="D116" i="82"/>
  <c r="D118" i="82"/>
  <c r="D85" i="82"/>
  <c r="D130" i="82"/>
  <c r="D172" i="82"/>
  <c r="D228" i="82"/>
  <c r="D13" i="82"/>
  <c r="D15" i="82"/>
  <c r="D17" i="82"/>
  <c r="D19" i="82"/>
  <c r="D140" i="82"/>
  <c r="D142" i="82"/>
  <c r="D144" i="82"/>
  <c r="D146" i="82"/>
  <c r="D148" i="82"/>
  <c r="D150" i="82"/>
  <c r="D152" i="82"/>
  <c r="D154" i="82"/>
  <c r="D156" i="82"/>
  <c r="D158" i="82"/>
  <c r="D10" i="82"/>
  <c r="D141" i="82"/>
  <c r="D143" i="82"/>
  <c r="D145" i="82"/>
  <c r="D147" i="82"/>
  <c r="D149" i="82"/>
  <c r="D151" i="82"/>
  <c r="D153" i="82"/>
  <c r="D155" i="82"/>
  <c r="D157" i="82"/>
  <c r="E202" i="104"/>
  <c r="K36" i="105" l="1"/>
  <c r="K271" i="105"/>
  <c r="K285" i="105"/>
  <c r="K181" i="105"/>
  <c r="K268" i="105"/>
  <c r="K128" i="105"/>
  <c r="K179" i="105"/>
  <c r="K70" i="105"/>
  <c r="K267" i="105"/>
  <c r="K266" i="105"/>
  <c r="K272" i="105"/>
  <c r="A61" i="115" a="1"/>
  <c r="A61" i="115" s="1"/>
  <c r="B63" i="115"/>
  <c r="D61" i="115" a="1"/>
  <c r="D61" i="115" s="1"/>
  <c r="C61" i="115" a="1"/>
  <c r="C61" i="115" s="1"/>
  <c r="E38" i="115"/>
  <c r="F38" i="115" s="1"/>
  <c r="F33" i="114"/>
  <c r="E34" i="114"/>
  <c r="F33" i="113"/>
  <c r="E34" i="113"/>
  <c r="F33" i="112"/>
  <c r="E34" i="112"/>
  <c r="F33" i="111"/>
  <c r="E34" i="111"/>
  <c r="F33" i="110"/>
  <c r="E34" i="110"/>
  <c r="E34" i="109"/>
  <c r="F34" i="109" s="1"/>
  <c r="F33" i="108"/>
  <c r="E34" i="108"/>
  <c r="F33" i="107"/>
  <c r="E34" i="107"/>
  <c r="K282" i="105"/>
  <c r="K284" i="105"/>
  <c r="K283" i="105"/>
  <c r="K178" i="105"/>
  <c r="K279" i="105"/>
  <c r="K210" i="105"/>
  <c r="K269" i="105"/>
  <c r="K166" i="105"/>
  <c r="K204" i="105"/>
  <c r="K235" i="105"/>
  <c r="K187" i="105"/>
  <c r="K217" i="105"/>
  <c r="K265" i="105"/>
  <c r="K291" i="105"/>
  <c r="M340" i="105"/>
  <c r="J340" i="105"/>
  <c r="S340" i="105"/>
  <c r="K340" i="105" s="1"/>
  <c r="E214" i="104"/>
  <c r="E240" i="104"/>
  <c r="E207" i="104"/>
  <c r="E244" i="104"/>
  <c r="E206" i="104"/>
  <c r="E9" i="104"/>
  <c r="E201" i="104"/>
  <c r="E238" i="104"/>
  <c r="E205" i="104"/>
  <c r="E237" i="104"/>
  <c r="E204" i="104"/>
  <c r="D63" i="115" l="1" a="1"/>
  <c r="D63" i="115" s="1"/>
  <c r="A63" i="115" a="1"/>
  <c r="A63" i="115" s="1"/>
  <c r="B65" i="115"/>
  <c r="C63" i="115" a="1"/>
  <c r="C63" i="115" s="1"/>
  <c r="E39" i="115"/>
  <c r="F39" i="115" s="1"/>
  <c r="E35" i="114"/>
  <c r="F34" i="114"/>
  <c r="E35" i="113"/>
  <c r="F34" i="113"/>
  <c r="E35" i="112"/>
  <c r="F34" i="112"/>
  <c r="E35" i="111"/>
  <c r="F34" i="111"/>
  <c r="E35" i="110"/>
  <c r="F34" i="110"/>
  <c r="E35" i="109"/>
  <c r="F35" i="109" s="1"/>
  <c r="E35" i="108"/>
  <c r="F34" i="108"/>
  <c r="E35" i="107"/>
  <c r="F34" i="107"/>
  <c r="AG155" i="105"/>
  <c r="AG156" i="105"/>
  <c r="AG166" i="105"/>
  <c r="AG158" i="105"/>
  <c r="AG168" i="105"/>
  <c r="AG153" i="105"/>
  <c r="AG162" i="105"/>
  <c r="B67" i="115" l="1"/>
  <c r="B70" i="115" s="1"/>
  <c r="C65" i="115" a="1"/>
  <c r="C65" i="115" s="1"/>
  <c r="A65" i="115" a="1"/>
  <c r="A65" i="115" s="1"/>
  <c r="D65" i="115" a="1"/>
  <c r="D65" i="115" s="1"/>
  <c r="E40" i="115"/>
  <c r="F40" i="115" s="1"/>
  <c r="E36" i="114"/>
  <c r="F35" i="114"/>
  <c r="E36" i="113"/>
  <c r="F35" i="113"/>
  <c r="E36" i="112"/>
  <c r="F35" i="112"/>
  <c r="E36" i="111"/>
  <c r="F35" i="111"/>
  <c r="E36" i="110"/>
  <c r="F35" i="110"/>
  <c r="E36" i="109"/>
  <c r="F36" i="109" s="1"/>
  <c r="E36" i="108"/>
  <c r="F35" i="108"/>
  <c r="E36" i="107"/>
  <c r="F35" i="107"/>
  <c r="A70" i="115" l="1" a="1"/>
  <c r="A70" i="115" s="1"/>
  <c r="B72" i="115"/>
  <c r="C70" i="115" a="1"/>
  <c r="C70" i="115" s="1"/>
  <c r="D70" i="115" a="1"/>
  <c r="D70" i="115" s="1"/>
  <c r="A67" i="115" a="1"/>
  <c r="A67" i="115" s="1"/>
  <c r="C67" i="115" a="1"/>
  <c r="C67" i="115" s="1"/>
  <c r="D67" i="115" a="1"/>
  <c r="D67" i="115" s="1"/>
  <c r="E41" i="115"/>
  <c r="F41" i="115" s="1"/>
  <c r="E37" i="114"/>
  <c r="F36" i="114"/>
  <c r="E37" i="113"/>
  <c r="F36" i="113"/>
  <c r="E37" i="112"/>
  <c r="F36" i="112"/>
  <c r="E37" i="111"/>
  <c r="F36" i="111"/>
  <c r="E37" i="110"/>
  <c r="F36" i="110"/>
  <c r="E37" i="109"/>
  <c r="F37" i="109" s="1"/>
  <c r="E37" i="108"/>
  <c r="F36" i="108"/>
  <c r="E37" i="107"/>
  <c r="F36" i="107"/>
  <c r="C72" i="115" l="1" a="1"/>
  <c r="C72" i="115" s="1"/>
  <c r="D72" i="115" a="1"/>
  <c r="D72" i="115" s="1"/>
  <c r="A72" i="115" a="1"/>
  <c r="A72" i="115" s="1"/>
  <c r="E42" i="115"/>
  <c r="F42" i="115" s="1"/>
  <c r="E38" i="114"/>
  <c r="F37" i="114"/>
  <c r="E38" i="113"/>
  <c r="F37" i="113"/>
  <c r="E38" i="112"/>
  <c r="F37" i="112"/>
  <c r="E38" i="111"/>
  <c r="F37" i="111"/>
  <c r="E38" i="110"/>
  <c r="F37" i="110"/>
  <c r="E38" i="109"/>
  <c r="F38" i="109" s="1"/>
  <c r="E38" i="108"/>
  <c r="F37" i="108"/>
  <c r="E38" i="107"/>
  <c r="F37" i="107"/>
  <c r="B74" i="115" l="1"/>
  <c r="E43" i="115"/>
  <c r="F43" i="115" s="1"/>
  <c r="F38" i="114"/>
  <c r="E39" i="114"/>
  <c r="F38" i="113"/>
  <c r="E39" i="113"/>
  <c r="F38" i="112"/>
  <c r="E39" i="112"/>
  <c r="F38" i="111"/>
  <c r="E39" i="111"/>
  <c r="F38" i="110"/>
  <c r="E39" i="110"/>
  <c r="E39" i="109"/>
  <c r="F39" i="109" s="1"/>
  <c r="F38" i="108"/>
  <c r="E39" i="108"/>
  <c r="F38" i="107"/>
  <c r="E39" i="107"/>
  <c r="B76" i="115" l="1"/>
  <c r="A74" i="115" a="1"/>
  <c r="A74" i="115" s="1"/>
  <c r="D74" i="115" a="1"/>
  <c r="D74" i="115" s="1"/>
  <c r="C74" i="115" a="1"/>
  <c r="C74" i="115" s="1"/>
  <c r="E44" i="115"/>
  <c r="F44" i="115" s="1"/>
  <c r="E40" i="114"/>
  <c r="F39" i="114"/>
  <c r="E40" i="113"/>
  <c r="F39" i="113"/>
  <c r="E40" i="112"/>
  <c r="F39" i="112"/>
  <c r="E40" i="111"/>
  <c r="F39" i="111"/>
  <c r="E40" i="110"/>
  <c r="F39" i="110"/>
  <c r="E40" i="109"/>
  <c r="F40" i="109" s="1"/>
  <c r="E40" i="108"/>
  <c r="F39" i="108"/>
  <c r="E40" i="107"/>
  <c r="F39" i="107"/>
  <c r="B78" i="115" l="1"/>
  <c r="C76" i="115" a="1"/>
  <c r="C76" i="115" s="1"/>
  <c r="A76" i="115" a="1"/>
  <c r="A76" i="115" s="1"/>
  <c r="D76" i="115" a="1"/>
  <c r="D76" i="115" s="1"/>
  <c r="E45" i="115"/>
  <c r="F45" i="115" s="1"/>
  <c r="E41" i="114"/>
  <c r="F40" i="114"/>
  <c r="E41" i="113"/>
  <c r="F40" i="113"/>
  <c r="E41" i="112"/>
  <c r="F40" i="112"/>
  <c r="E41" i="111"/>
  <c r="F40" i="111"/>
  <c r="E41" i="110"/>
  <c r="F40" i="110"/>
  <c r="E41" i="109"/>
  <c r="F41" i="109" s="1"/>
  <c r="E41" i="108"/>
  <c r="F40" i="108"/>
  <c r="E41" i="107"/>
  <c r="F40" i="107"/>
  <c r="C78" i="115" l="1" a="1"/>
  <c r="C78" i="115" s="1"/>
  <c r="B80" i="115"/>
  <c r="A78" i="115" a="1"/>
  <c r="A78" i="115" s="1"/>
  <c r="D78" i="115" a="1"/>
  <c r="D78" i="115" s="1"/>
  <c r="E46" i="115"/>
  <c r="F46" i="115" s="1"/>
  <c r="E42" i="114"/>
  <c r="F41" i="114"/>
  <c r="E42" i="113"/>
  <c r="F41" i="113"/>
  <c r="E42" i="112"/>
  <c r="F41" i="112"/>
  <c r="E42" i="111"/>
  <c r="F41" i="111"/>
  <c r="E42" i="110"/>
  <c r="F41" i="110"/>
  <c r="E42" i="109"/>
  <c r="F42" i="109" s="1"/>
  <c r="E42" i="108"/>
  <c r="F41" i="108"/>
  <c r="E42" i="107"/>
  <c r="F41" i="107"/>
  <c r="C80" i="115" l="1" a="1"/>
  <c r="C80" i="115" s="1"/>
  <c r="D80" i="115" a="1"/>
  <c r="D80" i="115" s="1"/>
  <c r="B82" i="115"/>
  <c r="A80" i="115" a="1"/>
  <c r="A80" i="115" s="1"/>
  <c r="E47" i="115"/>
  <c r="E48" i="115" s="1"/>
  <c r="E43" i="114"/>
  <c r="F43" i="114" s="1"/>
  <c r="F42" i="114"/>
  <c r="E43" i="113"/>
  <c r="F43" i="113" s="1"/>
  <c r="F42" i="113"/>
  <c r="E43" i="112"/>
  <c r="F43" i="112" s="1"/>
  <c r="F42" i="112"/>
  <c r="E43" i="111"/>
  <c r="F43" i="111" s="1"/>
  <c r="F42" i="111"/>
  <c r="E43" i="110"/>
  <c r="F43" i="110" s="1"/>
  <c r="F42" i="110"/>
  <c r="E43" i="109"/>
  <c r="F43" i="109" s="1"/>
  <c r="E43" i="108"/>
  <c r="F43" i="108" s="1"/>
  <c r="F42" i="108"/>
  <c r="E43" i="107"/>
  <c r="F43" i="107" s="1"/>
  <c r="F42" i="107"/>
  <c r="F47" i="115" l="1"/>
  <c r="F48" i="115"/>
  <c r="E49" i="115"/>
  <c r="A82" i="115" a="1"/>
  <c r="A82" i="115" s="1"/>
  <c r="B84" i="115"/>
  <c r="D82" i="115" a="1"/>
  <c r="D82" i="115" s="1"/>
  <c r="C82" i="115" a="1"/>
  <c r="C82" i="115" s="1"/>
  <c r="D84" i="115" l="1" a="1"/>
  <c r="D84" i="115" s="1"/>
  <c r="A84" i="115" a="1"/>
  <c r="A84" i="115" s="1"/>
  <c r="C84" i="115" a="1"/>
  <c r="C84" i="115" s="1"/>
  <c r="F49" i="115"/>
  <c r="E50" i="115"/>
  <c r="F50" i="115" l="1"/>
  <c r="E51" i="115"/>
  <c r="E52" i="115" l="1"/>
  <c r="F51" i="115"/>
  <c r="F52" i="115" l="1"/>
  <c r="E53" i="115"/>
  <c r="F53" i="115" l="1"/>
  <c r="E55" i="115"/>
  <c r="F55" i="115" l="1"/>
  <c r="E56" i="115"/>
  <c r="F56" i="115" l="1"/>
  <c r="E57" i="115"/>
  <c r="E58" i="115" l="1"/>
  <c r="F57" i="115"/>
  <c r="E59" i="115" l="1"/>
  <c r="F58" i="115"/>
  <c r="F59" i="115" l="1"/>
  <c r="E60" i="115"/>
  <c r="E61" i="115" l="1"/>
  <c r="F60" i="115"/>
  <c r="E62" i="115" l="1"/>
  <c r="F61" i="115"/>
  <c r="E63" i="115" l="1"/>
  <c r="F62" i="115"/>
  <c r="F63" i="115" l="1"/>
  <c r="E64" i="115"/>
  <c r="F64" i="115" l="1"/>
  <c r="E65" i="115"/>
  <c r="E66" i="115" l="1"/>
  <c r="F65" i="115"/>
  <c r="F66" i="115" l="1"/>
  <c r="E67" i="115"/>
  <c r="E68" i="115" l="1"/>
  <c r="E70" i="115" s="1"/>
  <c r="F67" i="115"/>
  <c r="F70" i="115" l="1"/>
  <c r="E71" i="115"/>
  <c r="F68" i="115"/>
  <c r="E72" i="115" l="1"/>
  <c r="F71" i="115"/>
  <c r="F72" i="115" l="1"/>
  <c r="E73" i="115"/>
  <c r="F73" i="115" l="1"/>
  <c r="E74" i="115"/>
  <c r="F74" i="115" l="1"/>
  <c r="E75" i="115"/>
  <c r="F75" i="115" l="1"/>
  <c r="E76" i="115"/>
  <c r="E77" i="115" l="1"/>
  <c r="F76" i="115"/>
  <c r="F77" i="115" l="1"/>
  <c r="E78" i="115"/>
  <c r="F78" i="115" l="1"/>
  <c r="E79" i="115"/>
  <c r="F79" i="115" l="1"/>
  <c r="E80" i="115"/>
  <c r="F80" i="115" l="1"/>
  <c r="E81" i="115"/>
  <c r="E82" i="115" l="1"/>
  <c r="F81" i="115"/>
  <c r="E83" i="115" l="1"/>
  <c r="F82" i="115"/>
  <c r="F83" i="115" l="1"/>
  <c r="E84" i="115"/>
  <c r="E85" i="115" l="1"/>
  <c r="F85" i="115" s="1"/>
  <c r="F84" i="115"/>
</calcChain>
</file>

<file path=xl/comments1.xml><?xml version="1.0" encoding="utf-8"?>
<comments xmlns="http://schemas.openxmlformats.org/spreadsheetml/2006/main">
  <authors>
    <author>Damian</author>
    <author>Compras</author>
    <author>Recepcion</author>
    <author>Logistica2</author>
    <author>Logistica1</author>
  </authors>
  <commentList>
    <comment ref="K9" authorId="0" shapeId="0">
      <text>
        <r>
          <rPr>
            <b/>
            <sz val="9"/>
            <color indexed="81"/>
            <rFont val="Tahoma"/>
            <family val="2"/>
          </rPr>
          <t xml:space="preserve">Damian:
</t>
        </r>
        <r>
          <rPr>
            <sz val="9"/>
            <color indexed="81"/>
            <rFont val="Tahoma"/>
            <family val="2"/>
          </rPr>
          <t xml:space="preserve">Este porcentaje de ocupación sale de 
sacar porcentaje de 
ocupacion de ese art en virgilio
</t>
        </r>
      </text>
    </comment>
    <comment ref="F13" authorId="0" shapeId="0">
      <text>
        <r>
          <rPr>
            <b/>
            <sz val="9"/>
            <color indexed="81"/>
            <rFont val="Tahoma"/>
            <family val="2"/>
          </rPr>
          <t>Damian:</t>
        </r>
        <r>
          <rPr>
            <sz val="9"/>
            <color indexed="81"/>
            <rFont val="Tahoma"/>
            <family val="2"/>
          </rPr>
          <t xml:space="preserve">
Troquel 6 manijas 6 mariposas</t>
        </r>
      </text>
    </comment>
    <comment ref="F39" authorId="1" shapeId="0">
      <text>
        <r>
          <rPr>
            <b/>
            <sz val="9"/>
            <color indexed="81"/>
            <rFont val="Tahoma"/>
            <family val="2"/>
          </rPr>
          <t>Compras:</t>
        </r>
        <r>
          <rPr>
            <sz val="9"/>
            <color indexed="81"/>
            <rFont val="Tahoma"/>
            <family val="2"/>
          </rPr>
          <t xml:space="preserve">
Deberia ser utensilios, no corta torta</t>
        </r>
      </text>
    </comment>
    <comment ref="AC183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264</t>
        </r>
      </text>
    </comment>
    <comment ref="AC186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48</t>
        </r>
      </text>
    </comment>
    <comment ref="F188" authorId="3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AC188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
 24
</t>
        </r>
      </text>
    </comment>
    <comment ref="F189" authorId="3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AC189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120
</t>
        </r>
      </text>
    </comment>
    <comment ref="AC190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144</t>
        </r>
      </text>
    </comment>
    <comment ref="AC191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168</t>
        </r>
      </text>
    </comment>
    <comment ref="AC192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72</t>
        </r>
      </text>
    </comment>
    <comment ref="AC193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120
</t>
        </r>
      </text>
    </comment>
    <comment ref="AC194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</t>
        </r>
      </text>
    </comment>
    <comment ref="AC195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AC196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</t>
        </r>
      </text>
    </comment>
    <comment ref="F197" authorId="3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AC197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AC198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216</t>
        </r>
      </text>
    </comment>
    <comment ref="AC199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</t>
        </r>
      </text>
    </comment>
    <comment ref="AC200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AC202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</t>
        </r>
      </text>
    </comment>
    <comment ref="AC203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AC205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348</t>
        </r>
      </text>
    </comment>
    <comment ref="AC206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144</t>
        </r>
      </text>
    </comment>
    <comment ref="AC207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480</t>
        </r>
      </text>
    </comment>
    <comment ref="AC209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432</t>
        </r>
      </text>
    </comment>
    <comment ref="AC210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228</t>
        </r>
      </text>
    </comment>
    <comment ref="F267" authorId="3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No pedir, pegar codigo al 506</t>
        </r>
      </text>
    </comment>
    <comment ref="F280" authorId="3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No pedir, pegar codigo al 506</t>
        </r>
      </text>
    </comment>
    <comment ref="F292" authorId="3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Papelera 9 de Julio. El resto, Vihal</t>
        </r>
      </text>
    </comment>
    <comment ref="N297" authorId="3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Maximo para 4 meses</t>
        </r>
      </text>
    </comment>
    <comment ref="AD298" authorId="4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55000 lk y ch
</t>
        </r>
      </text>
    </comment>
    <comment ref="AE320" authorId="1" shapeId="0">
      <text>
        <r>
          <rPr>
            <b/>
            <sz val="9"/>
            <color indexed="81"/>
            <rFont val="Tahoma"/>
            <family val="2"/>
          </rPr>
          <t>Compras:
10 Rollos x 8.000 C/U</t>
        </r>
      </text>
    </comment>
    <comment ref="AE321" authorId="1" shapeId="0">
      <text>
        <r>
          <rPr>
            <b/>
            <sz val="9"/>
            <color indexed="81"/>
            <rFont val="Tahoma"/>
            <family val="2"/>
          </rPr>
          <t>Compras:
10 Rollos x 8.000 C/U</t>
        </r>
      </text>
    </comment>
    <comment ref="AE322" authorId="1" shapeId="0">
      <text>
        <r>
          <rPr>
            <b/>
            <sz val="9"/>
            <color indexed="81"/>
            <rFont val="Tahoma"/>
            <family val="2"/>
          </rPr>
          <t>Compras:
10 Rollos x 8.000 C/U</t>
        </r>
      </text>
    </comment>
    <comment ref="AE323" authorId="1" shapeId="0">
      <text>
        <r>
          <rPr>
            <b/>
            <sz val="9"/>
            <color indexed="81"/>
            <rFont val="Tahoma"/>
            <family val="2"/>
          </rPr>
          <t>Compras:
10 Rollos x 8.000 C/U</t>
        </r>
      </text>
    </comment>
    <comment ref="AE324" authorId="1" shapeId="0">
      <text>
        <r>
          <rPr>
            <b/>
            <sz val="9"/>
            <color indexed="81"/>
            <rFont val="Tahoma"/>
            <family val="2"/>
          </rPr>
          <t>Compras:
10 Rollos x 8.000 C/U</t>
        </r>
      </text>
    </comment>
  </commentList>
</comments>
</file>

<file path=xl/comments2.xml><?xml version="1.0" encoding="utf-8"?>
<comments xmlns="http://schemas.openxmlformats.org/spreadsheetml/2006/main">
  <authors>
    <author>Damian</author>
  </authors>
  <commentList>
    <comment ref="J8" authorId="0" shapeId="0">
      <text>
        <r>
          <rPr>
            <b/>
            <sz val="9"/>
            <color indexed="81"/>
            <rFont val="Tahoma"/>
            <family val="2"/>
          </rPr>
          <t xml:space="preserve">Damian:
</t>
        </r>
        <r>
          <rPr>
            <sz val="9"/>
            <color indexed="81"/>
            <rFont val="Tahoma"/>
            <family val="2"/>
          </rPr>
          <t xml:space="preserve">Este porcentaje de ocupación sale de 
sacar porcentaje de 
ocupacion de ese art en virgilio
</t>
        </r>
      </text>
    </comment>
    <comment ref="K19" authorId="0" shapeId="0">
      <text>
        <r>
          <rPr>
            <b/>
            <sz val="9"/>
            <color indexed="81"/>
            <rFont val="Tahoma"/>
            <family val="2"/>
          </rPr>
          <t xml:space="preserve">Damian:
</t>
        </r>
        <r>
          <rPr>
            <sz val="9"/>
            <color indexed="81"/>
            <rFont val="Tahoma"/>
            <family val="2"/>
          </rPr>
          <t xml:space="preserve">Este porcentaje de ocupación sale de 
sacar porcentaje de 
ocupacion de ese art en virgilio
</t>
        </r>
      </text>
    </comment>
  </commentList>
</comments>
</file>

<file path=xl/comments3.xml><?xml version="1.0" encoding="utf-8"?>
<comments xmlns="http://schemas.openxmlformats.org/spreadsheetml/2006/main">
  <authors>
    <author>Logistica2</author>
  </authors>
  <commentList>
    <comment ref="C160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61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69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203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No pedir, pegar codigo al 506</t>
        </r>
      </text>
    </comment>
    <comment ref="D215" authorId="0" shapeId="0">
      <text>
        <r>
          <rPr>
            <b/>
            <sz val="14"/>
            <color indexed="81"/>
            <rFont val="Tahoma"/>
            <family val="2"/>
          </rPr>
          <t>Logistica2:</t>
        </r>
        <r>
          <rPr>
            <sz val="14"/>
            <color indexed="81"/>
            <rFont val="Tahoma"/>
            <family val="2"/>
          </rPr>
          <t xml:space="preserve">
Sector Virgilio</t>
        </r>
      </text>
    </comment>
    <comment ref="C217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Papelera 9 de Julio. El resto, Vihal</t>
        </r>
      </text>
    </comment>
    <comment ref="C239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No pedir, pegar codigo al 506</t>
        </r>
      </text>
    </comment>
  </commentList>
</comments>
</file>

<file path=xl/comments4.xml><?xml version="1.0" encoding="utf-8"?>
<comments xmlns="http://schemas.openxmlformats.org/spreadsheetml/2006/main">
  <authors>
    <author>Logistica2</author>
  </authors>
  <commentList>
    <comment ref="C9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van con corbata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<sst xmlns="http://schemas.openxmlformats.org/spreadsheetml/2006/main" count="7945" uniqueCount="1837">
  <si>
    <t>G</t>
  </si>
  <si>
    <t>MAX</t>
  </si>
  <si>
    <t>F</t>
  </si>
  <si>
    <t>E</t>
  </si>
  <si>
    <t>D</t>
  </si>
  <si>
    <t>C</t>
  </si>
  <si>
    <t>B</t>
  </si>
  <si>
    <t>025</t>
  </si>
  <si>
    <t>026</t>
  </si>
  <si>
    <t>027</t>
  </si>
  <si>
    <t>029</t>
  </si>
  <si>
    <t>030</t>
  </si>
  <si>
    <t>057</t>
  </si>
  <si>
    <t xml:space="preserve">MAX </t>
  </si>
  <si>
    <t>BANDI.</t>
  </si>
  <si>
    <t>CORBA.</t>
  </si>
  <si>
    <t>UTENS.</t>
  </si>
  <si>
    <t>STOCK</t>
  </si>
  <si>
    <t>FECHA</t>
  </si>
  <si>
    <t>COD.</t>
  </si>
  <si>
    <t>ART.</t>
  </si>
  <si>
    <t>025D</t>
  </si>
  <si>
    <t xml:space="preserve">COLADOR N°7                        </t>
  </si>
  <si>
    <t>026D</t>
  </si>
  <si>
    <t xml:space="preserve">COLADOR N°8                        </t>
  </si>
  <si>
    <t>027D</t>
  </si>
  <si>
    <t xml:space="preserve">COLADOR N°10                       </t>
  </si>
  <si>
    <t>029D</t>
  </si>
  <si>
    <t xml:space="preserve">COLADOR N°16                       </t>
  </si>
  <si>
    <t>030D</t>
  </si>
  <si>
    <t xml:space="preserve">COLADOR N°20                       </t>
  </si>
  <si>
    <t>057D</t>
  </si>
  <si>
    <t>DESTAPA CORONA X1 CROMADO</t>
  </si>
  <si>
    <t>229D</t>
  </si>
  <si>
    <t xml:space="preserve">ÑOQUERA MADERA                     </t>
  </si>
  <si>
    <t>315D</t>
  </si>
  <si>
    <t xml:space="preserve">PISA PAPAS ACERO INOX              </t>
  </si>
  <si>
    <t>320D</t>
  </si>
  <si>
    <t xml:space="preserve">RALLADOR 1/2 CAÑA                  </t>
  </si>
  <si>
    <t>321D</t>
  </si>
  <si>
    <t xml:space="preserve">RALLADOR CILINDRICO                </t>
  </si>
  <si>
    <t>325D</t>
  </si>
  <si>
    <t xml:space="preserve">ESPATULA REPOSTERA PLAST 1 PZA     </t>
  </si>
  <si>
    <t>333D</t>
  </si>
  <si>
    <t xml:space="preserve">espumadera ac.inox.                </t>
  </si>
  <si>
    <t>395D</t>
  </si>
  <si>
    <t xml:space="preserve">DESCORAZONADOR DE MANZANA          </t>
  </si>
  <si>
    <t>396D</t>
  </si>
  <si>
    <t xml:space="preserve">ENRULADOR DE MANTECA               </t>
  </si>
  <si>
    <t>477D</t>
  </si>
  <si>
    <t xml:space="preserve">AFLOJA TAPITA            </t>
  </si>
  <si>
    <t>499D</t>
  </si>
  <si>
    <t xml:space="preserve">DESTAPADOR PIE COLOR     </t>
  </si>
  <si>
    <t>500D</t>
  </si>
  <si>
    <t xml:space="preserve">ABRELATA UÑA PIE COLOR   </t>
  </si>
  <si>
    <t>501D</t>
  </si>
  <si>
    <t xml:space="preserve">ABRELATAS A MANIJA                 </t>
  </si>
  <si>
    <t>502D</t>
  </si>
  <si>
    <t xml:space="preserve">ABRELATAS A MARIPOSA               </t>
  </si>
  <si>
    <t>504D</t>
  </si>
  <si>
    <t xml:space="preserve">AFILA CUCHILLOS                    </t>
  </si>
  <si>
    <t>505D</t>
  </si>
  <si>
    <t xml:space="preserve">PELADOR MGO PLASTICO               </t>
  </si>
  <si>
    <t>506D</t>
  </si>
  <si>
    <t xml:space="preserve">ABRELATAS UÑA                      </t>
  </si>
  <si>
    <t>507D</t>
  </si>
  <si>
    <t xml:space="preserve">ROMPENUECES                        </t>
  </si>
  <si>
    <t>508D</t>
  </si>
  <si>
    <t xml:space="preserve">SACAFUENTES ARTICULADO             </t>
  </si>
  <si>
    <t>511D</t>
  </si>
  <si>
    <t xml:space="preserve">3 EN 1                             </t>
  </si>
  <si>
    <t>512D</t>
  </si>
  <si>
    <t xml:space="preserve">ABRELATAS A MARIPOSA PLASTICA      </t>
  </si>
  <si>
    <t>513D</t>
  </si>
  <si>
    <t xml:space="preserve">PELADOR MGO METALICO               </t>
  </si>
  <si>
    <t>517D</t>
  </si>
  <si>
    <t xml:space="preserve">PINZA GASTRONOMICA                 </t>
  </si>
  <si>
    <t>519D</t>
  </si>
  <si>
    <t xml:space="preserve">CUCHILLO DE UNTAR x 2              </t>
  </si>
  <si>
    <t>520D</t>
  </si>
  <si>
    <t xml:space="preserve">SACACORCHO TIPO MOZO CROMADO       </t>
  </si>
  <si>
    <t>521D</t>
  </si>
  <si>
    <t xml:space="preserve">SACACORCHO COMBINADO CROMADO       </t>
  </si>
  <si>
    <t>522D</t>
  </si>
  <si>
    <t xml:space="preserve">SACACORCHO CUSTOM                  </t>
  </si>
  <si>
    <t>523D</t>
  </si>
  <si>
    <t xml:space="preserve">SACACORCHO DOBLE ALETA             </t>
  </si>
  <si>
    <t>524D</t>
  </si>
  <si>
    <t xml:space="preserve">SACACORCHO DE ESPUMANTES           </t>
  </si>
  <si>
    <t>525D</t>
  </si>
  <si>
    <t xml:space="preserve">SACACORCHO CABO MADERA             </t>
  </si>
  <si>
    <t>526D</t>
  </si>
  <si>
    <t xml:space="preserve">SACACORCHO DOBLE ALETA LUXE        </t>
  </si>
  <si>
    <t>530D</t>
  </si>
  <si>
    <t xml:space="preserve">SACACORCHO TIPO MOZO COLOR         </t>
  </si>
  <si>
    <t>531D</t>
  </si>
  <si>
    <t xml:space="preserve">SACACORCHO COMBINADO COLOR         </t>
  </si>
  <si>
    <t>532D</t>
  </si>
  <si>
    <t xml:space="preserve">CUCHARA DE HELADO                  </t>
  </si>
  <si>
    <t>537D</t>
  </si>
  <si>
    <t xml:space="preserve">PELA Y PICA AJO DE ACERO           </t>
  </si>
  <si>
    <t>542D</t>
  </si>
  <si>
    <t xml:space="preserve">AHUECA PAPAS                       </t>
  </si>
  <si>
    <t>543D</t>
  </si>
  <si>
    <t xml:space="preserve">AHUECA FRUTAS                      </t>
  </si>
  <si>
    <t>544D</t>
  </si>
  <si>
    <t xml:space="preserve">BATIDOR PERA ALAMBRE               </t>
  </si>
  <si>
    <t>546D</t>
  </si>
  <si>
    <t xml:space="preserve">CORTA QUESO                        </t>
  </si>
  <si>
    <t>547D</t>
  </si>
  <si>
    <t xml:space="preserve">CORTA TORTA                        </t>
  </si>
  <si>
    <t>548D</t>
  </si>
  <si>
    <t xml:space="preserve">PINCEL PASTELERO                   </t>
  </si>
  <si>
    <t>559D</t>
  </si>
  <si>
    <t xml:space="preserve">CORTA RAVIOLES                     </t>
  </si>
  <si>
    <t>560D</t>
  </si>
  <si>
    <t xml:space="preserve">PINZA CHICA                        </t>
  </si>
  <si>
    <t>561D</t>
  </si>
  <si>
    <t xml:space="preserve">PINZA GRANDE                       </t>
  </si>
  <si>
    <t>562D</t>
  </si>
  <si>
    <t xml:space="preserve">CORTA PIZZA                        </t>
  </si>
  <si>
    <t>563D</t>
  </si>
  <si>
    <t xml:space="preserve">PINZA DE HAMBURGUESAS              </t>
  </si>
  <si>
    <t>565D</t>
  </si>
  <si>
    <t xml:space="preserve">PINZA DE HIELO                     </t>
  </si>
  <si>
    <t>570D</t>
  </si>
  <si>
    <t xml:space="preserve">PALA DE CANELONES                  </t>
  </si>
  <si>
    <t>575D</t>
  </si>
  <si>
    <t>TAPON DE VINO/CERV X1  NE</t>
  </si>
  <si>
    <t>577D</t>
  </si>
  <si>
    <t>TAPON DE VINO/CERVEZA X 1</t>
  </si>
  <si>
    <t>578D</t>
  </si>
  <si>
    <t xml:space="preserve">DESCAROZADOR DE ACEITUNAS          </t>
  </si>
  <si>
    <t>579D</t>
  </si>
  <si>
    <t>TAPON DE VINO/CERV X 1 CO</t>
  </si>
  <si>
    <t>586D</t>
  </si>
  <si>
    <t xml:space="preserve">PELAPAPAS MGO ERGONOMICO </t>
  </si>
  <si>
    <t>594D</t>
  </si>
  <si>
    <t xml:space="preserve">PINZA DE FIDEOS MGO PLASTICO       </t>
  </si>
  <si>
    <t>595D</t>
  </si>
  <si>
    <t xml:space="preserve">PINZA DE FIAMBRE MGO PLASTICO      </t>
  </si>
  <si>
    <t>596D</t>
  </si>
  <si>
    <t xml:space="preserve">PINZA DE ENSALADA MGO PLASTICO     </t>
  </si>
  <si>
    <t xml:space="preserve">ESPATULA LISA NYLON                </t>
  </si>
  <si>
    <t xml:space="preserve">CUCHARON NYLON                     </t>
  </si>
  <si>
    <t xml:space="preserve">TOSTADOR                           </t>
  </si>
  <si>
    <t xml:space="preserve">CUCHARA MADERA X 30 CM             </t>
  </si>
  <si>
    <t xml:space="preserve">CUCHARA CALADA NYLON               </t>
  </si>
  <si>
    <t xml:space="preserve">COLADOR 10 CM                      </t>
  </si>
  <si>
    <t xml:space="preserve">BOMBILLA AUTOLIMPIANTE INOX.       </t>
  </si>
  <si>
    <t xml:space="preserve">LIMPIA BOMBILLA                    </t>
  </si>
  <si>
    <t>027M</t>
  </si>
  <si>
    <t xml:space="preserve">820612-COLADOR N°10 ALAMBRE        </t>
  </si>
  <si>
    <t>028D</t>
  </si>
  <si>
    <t xml:space="preserve">COLADOR N°13                       </t>
  </si>
  <si>
    <t>030M</t>
  </si>
  <si>
    <t xml:space="preserve">820729-COLADOR N°20 ALAMBRE        </t>
  </si>
  <si>
    <t>190D</t>
  </si>
  <si>
    <t xml:space="preserve">COLADOR N°7 PINTADO                </t>
  </si>
  <si>
    <t>191D</t>
  </si>
  <si>
    <t xml:space="preserve">COLADOR N°8 PINTADO                </t>
  </si>
  <si>
    <t>192D</t>
  </si>
  <si>
    <t xml:space="preserve">COLADOR N°10 PINTADO               </t>
  </si>
  <si>
    <t>193D</t>
  </si>
  <si>
    <t xml:space="preserve">COLADOR N°13 PINTADO               </t>
  </si>
  <si>
    <t>194D</t>
  </si>
  <si>
    <t xml:space="preserve">COLADOR N°16 PINTADO               </t>
  </si>
  <si>
    <t>195D</t>
  </si>
  <si>
    <t xml:space="preserve">COLADOR N°20 PINTADO               </t>
  </si>
  <si>
    <t>220D</t>
  </si>
  <si>
    <t xml:space="preserve">CUCHARA MADERA 40 CM               </t>
  </si>
  <si>
    <t>221D</t>
  </si>
  <si>
    <t xml:space="preserve">CUCHARA MADERA 45 CM               </t>
  </si>
  <si>
    <t>222D</t>
  </si>
  <si>
    <t xml:space="preserve">BATE BIFE MADERA                   </t>
  </si>
  <si>
    <t>223D</t>
  </si>
  <si>
    <t xml:space="preserve">CUCHARA MADERA 25 CM               </t>
  </si>
  <si>
    <t>224D</t>
  </si>
  <si>
    <t xml:space="preserve">CUCHARA MADERA 30 CM               </t>
  </si>
  <si>
    <t>224M</t>
  </si>
  <si>
    <t xml:space="preserve">821197-CUCHARA MADERA 30 cm        </t>
  </si>
  <si>
    <t>225D</t>
  </si>
  <si>
    <t xml:space="preserve">CUCHARA MADERA 35 CM               </t>
  </si>
  <si>
    <t>226D</t>
  </si>
  <si>
    <t xml:space="preserve">ESPATULA MADERA                    </t>
  </si>
  <si>
    <t>227D</t>
  </si>
  <si>
    <t xml:space="preserve">ESPATULA REPOSTERA MADERA          </t>
  </si>
  <si>
    <t>326D</t>
  </si>
  <si>
    <t xml:space="preserve">ESPATULA PLASTICA 3 USOS           </t>
  </si>
  <si>
    <t>327D</t>
  </si>
  <si>
    <t xml:space="preserve">ESPATULA REPOSTERA DE GOMA         </t>
  </si>
  <si>
    <t>331D</t>
  </si>
  <si>
    <t xml:space="preserve">ESP. REPOST.DE GOMA COMUN          </t>
  </si>
  <si>
    <t>332D</t>
  </si>
  <si>
    <t xml:space="preserve">espatula acero inox.               </t>
  </si>
  <si>
    <t>334D</t>
  </si>
  <si>
    <t xml:space="preserve">cuchara salsera inox               </t>
  </si>
  <si>
    <t>335D</t>
  </si>
  <si>
    <t xml:space="preserve">cuchara calada ac.inox.            </t>
  </si>
  <si>
    <t>336D</t>
  </si>
  <si>
    <t xml:space="preserve">cucharon ac.inox.                  </t>
  </si>
  <si>
    <t>337D</t>
  </si>
  <si>
    <t xml:space="preserve">pinche ac.inox.                    </t>
  </si>
  <si>
    <t>338D</t>
  </si>
  <si>
    <t xml:space="preserve">espatula lisa ac.inox.             </t>
  </si>
  <si>
    <t>390D</t>
  </si>
  <si>
    <t xml:space="preserve">CUCHARA CALADA NYLON 1 PZA         </t>
  </si>
  <si>
    <t>391D</t>
  </si>
  <si>
    <t xml:space="preserve">CUCHARA PULPO NYLON 1 PZA          </t>
  </si>
  <si>
    <t>392D</t>
  </si>
  <si>
    <t xml:space="preserve">CUCHARON NYLON 1 PZA               </t>
  </si>
  <si>
    <t>393D</t>
  </si>
  <si>
    <t xml:space="preserve">ESPATULA CALADA NYLON 1 PZA        </t>
  </si>
  <si>
    <t>393S</t>
  </si>
  <si>
    <t>394D</t>
  </si>
  <si>
    <t xml:space="preserve">ESPATULA LISA NYLON 1 PZA          </t>
  </si>
  <si>
    <t>509D</t>
  </si>
  <si>
    <t xml:space="preserve">PALETA BATIDORA                    </t>
  </si>
  <si>
    <t>515D</t>
  </si>
  <si>
    <t xml:space="preserve">BATIDOR RESORTE                    </t>
  </si>
  <si>
    <t>534D</t>
  </si>
  <si>
    <t xml:space="preserve">CEPILLO LAVAVAJILLA                </t>
  </si>
  <si>
    <t>535D</t>
  </si>
  <si>
    <t xml:space="preserve">CEPILLO LIMPIA VASO MAMADERA       </t>
  </si>
  <si>
    <t>592D</t>
  </si>
  <si>
    <t>593D</t>
  </si>
  <si>
    <t xml:space="preserve">TOSTADOR ENLOZADO                  </t>
  </si>
  <si>
    <t xml:space="preserve">FILTRO DE CAFE                     </t>
  </si>
  <si>
    <t>246D</t>
  </si>
  <si>
    <t xml:space="preserve">PRENSA MATAMBRE                    </t>
  </si>
  <si>
    <t>323D</t>
  </si>
  <si>
    <t xml:space="preserve">RALLADOR CILINDRICO CHICO          </t>
  </si>
  <si>
    <t>328D</t>
  </si>
  <si>
    <t xml:space="preserve">RALLADOR 3 USOS MARCO PLAST        </t>
  </si>
  <si>
    <t>329D</t>
  </si>
  <si>
    <t xml:space="preserve">RALLADOR QUESO MARCO PLAST         </t>
  </si>
  <si>
    <t>695D</t>
  </si>
  <si>
    <t xml:space="preserve">POSA PAVA ALAMBRE                  </t>
  </si>
  <si>
    <t>Abrelata
Uñas</t>
  </si>
  <si>
    <t>Pelador
Met.</t>
  </si>
  <si>
    <t>Pelador
Plast.</t>
  </si>
  <si>
    <t>Afila cuchillos</t>
  </si>
  <si>
    <t>Pelapapas mango
ergonomico</t>
  </si>
  <si>
    <t>Rompenueces</t>
  </si>
  <si>
    <t>Sacafuentes</t>
  </si>
  <si>
    <t>3 en 1</t>
  </si>
  <si>
    <t>Pela naranjas</t>
  </si>
  <si>
    <t>Cuchillo de 
untar x2</t>
  </si>
  <si>
    <t>Sacacorcho 
tipo mozo</t>
  </si>
  <si>
    <t>Sacacorcho 
cromado comb</t>
  </si>
  <si>
    <t>Sacacorcho tipo
mozo color</t>
  </si>
  <si>
    <t>Sacacorcho comb.
Color</t>
  </si>
  <si>
    <t>Sacacorcho
custom</t>
  </si>
  <si>
    <t>Sacacorcho
doble aleta</t>
  </si>
  <si>
    <t>Sacacorcho
espumante</t>
  </si>
  <si>
    <t>Sacacorcho
cabo madera</t>
  </si>
  <si>
    <t>Sacacorcho
doble aleta luxe</t>
  </si>
  <si>
    <t>Cuchara de
helado</t>
  </si>
  <si>
    <t>Pela y pica ajo
de acero</t>
  </si>
  <si>
    <t>Ahueca papas</t>
  </si>
  <si>
    <t>Ahueca frutas</t>
  </si>
  <si>
    <t>Batidor
cocktail X2</t>
  </si>
  <si>
    <t>Batidor pera
alambre</t>
  </si>
  <si>
    <t>Corta queso</t>
  </si>
  <si>
    <t>Corta torta</t>
  </si>
  <si>
    <t>Pincel pastelero</t>
  </si>
  <si>
    <t>Corta ravioles</t>
  </si>
  <si>
    <t>Pinza chica</t>
  </si>
  <si>
    <t>Pinza grande</t>
  </si>
  <si>
    <t>Corta pizza</t>
  </si>
  <si>
    <t>Pinza de 
hamburguesas</t>
  </si>
  <si>
    <t>Pinza de hielo</t>
  </si>
  <si>
    <t>Pinza de fideos 
mgo plastico</t>
  </si>
  <si>
    <t>Pinza de fiambre
mgo plastico</t>
  </si>
  <si>
    <t>Pinza de ensal.
Mgo plastico</t>
  </si>
  <si>
    <t>Colador N°7</t>
  </si>
  <si>
    <t>Colador N°8</t>
  </si>
  <si>
    <t>Colador N°10</t>
  </si>
  <si>
    <t>Colador N°16</t>
  </si>
  <si>
    <t>Colador N°20</t>
  </si>
  <si>
    <t>Pisapapas acero
inox</t>
  </si>
  <si>
    <t>Espatula repost
plastica</t>
  </si>
  <si>
    <t>Espumadera
acero inox</t>
  </si>
  <si>
    <t>Destapa coronas
x1 cromado</t>
  </si>
  <si>
    <t>Ñoquera de
madera</t>
  </si>
  <si>
    <t>Afloja tapa</t>
  </si>
  <si>
    <t>Destapa pie 
color</t>
  </si>
  <si>
    <t>Rallador 
1/2 caña</t>
  </si>
  <si>
    <t>Rallador 
cilindrico</t>
  </si>
  <si>
    <t>Descorazonador
de manzana</t>
  </si>
  <si>
    <t>Enrulador
de manteca</t>
  </si>
  <si>
    <t>Tapon de vino
cerveza x1 negro</t>
  </si>
  <si>
    <t>Tapon de vino y
cerveza x1 color</t>
  </si>
  <si>
    <t>Tapon de vino y
cerveza x1 premium</t>
  </si>
  <si>
    <t>Pala de 
canelones</t>
  </si>
  <si>
    <t>Descorazonador
de aceiunas</t>
  </si>
  <si>
    <t>Abrelata 
uña pie</t>
  </si>
  <si>
    <t>322D</t>
  </si>
  <si>
    <t>Pliegos x 10</t>
  </si>
  <si>
    <t>Sacacorcho
doble impulso</t>
  </si>
  <si>
    <t>Ab. Mariposa</t>
  </si>
  <si>
    <t>Ab. Manija</t>
  </si>
  <si>
    <t>Ab. Marip.
Plastica</t>
  </si>
  <si>
    <t>PEDIDO</t>
  </si>
  <si>
    <t>IMPORTADO</t>
  </si>
  <si>
    <t>MIN</t>
  </si>
  <si>
    <t>PROCESO</t>
  </si>
  <si>
    <t>Pinza
 gastronomica</t>
  </si>
  <si>
    <t>PLANILLA DE CONTEO &amp; PEDIDOS DE CARTONES LOEKEMEYER</t>
  </si>
  <si>
    <t>514 (569)</t>
  </si>
  <si>
    <t>545 (580)</t>
  </si>
  <si>
    <t>TENEDOR DE COPETIN x6 UNID</t>
  </si>
  <si>
    <t>058</t>
  </si>
  <si>
    <t>299</t>
  </si>
  <si>
    <t>Muñeco silic.
Antiderrame</t>
  </si>
  <si>
    <t>Cierra 
bolsa x2</t>
  </si>
  <si>
    <t>HOJA 1</t>
  </si>
  <si>
    <t>HOJA 2</t>
  </si>
  <si>
    <t>HOJA 3</t>
  </si>
  <si>
    <t>552D</t>
  </si>
  <si>
    <t>553D</t>
  </si>
  <si>
    <t>554D</t>
  </si>
  <si>
    <t>555D</t>
  </si>
  <si>
    <t xml:space="preserve">BOMBILLA SUP NIQ LARGA RECTA       </t>
  </si>
  <si>
    <t xml:space="preserve">BOMBILLA SUPER NIQ LARGA CURVA     </t>
  </si>
  <si>
    <t xml:space="preserve">CUCHARITA MATERA                   </t>
  </si>
  <si>
    <t xml:space="preserve">CEPILLO LIMPIA BOMBILLA            </t>
  </si>
  <si>
    <t>654D</t>
  </si>
  <si>
    <t>657D</t>
  </si>
  <si>
    <t>658D</t>
  </si>
  <si>
    <t>659D</t>
  </si>
  <si>
    <t xml:space="preserve">BOMBILLA AUTOLIMPIANTE INOX        </t>
  </si>
  <si>
    <t xml:space="preserve">BOMBILLA AUTOLIMPIANTE NIQ         </t>
  </si>
  <si>
    <t xml:space="preserve">BOMBILLA BASICA LARGA RECTA        </t>
  </si>
  <si>
    <t xml:space="preserve">BOMBILLA BASICA LARGA CURVA        </t>
  </si>
  <si>
    <t>Pliegos x 16</t>
  </si>
  <si>
    <t>L. MATE</t>
  </si>
  <si>
    <t>Cuchara
Madera 35cm</t>
  </si>
  <si>
    <t>318D</t>
  </si>
  <si>
    <t>533D</t>
  </si>
  <si>
    <t>Bandita</t>
  </si>
  <si>
    <t>Pliego Uña x 12</t>
  </si>
  <si>
    <t xml:space="preserve">PELAPAPAS ZINCADO                  </t>
  </si>
  <si>
    <t xml:space="preserve">ABRELATAS MARIP ZINC               </t>
  </si>
  <si>
    <t xml:space="preserve">SACAC. TIPO MOZO ZINCADO           </t>
  </si>
  <si>
    <t xml:space="preserve">TAPON DE GASEOSA X 1               </t>
  </si>
  <si>
    <t xml:space="preserve">ABRELATAS MANIJA ZINCADO           </t>
  </si>
  <si>
    <t xml:space="preserve">AHUECA PAPAS MGO MAD      </t>
  </si>
  <si>
    <t xml:space="preserve">AHUECA FRUTAS MGO MAD      </t>
  </si>
  <si>
    <t xml:space="preserve">SACAC COMB ZINCADO                 </t>
  </si>
  <si>
    <t xml:space="preserve">ABRELATAS UÑA ZINCADO              </t>
  </si>
  <si>
    <t xml:space="preserve">ROMPENUECES ZINCADO                </t>
  </si>
  <si>
    <t xml:space="preserve">SACAFUENTES ART ZINCADO            </t>
  </si>
  <si>
    <t xml:space="preserve">DESTAPA CORONA ZINCADO             </t>
  </si>
  <si>
    <t xml:space="preserve">CUCHILLO UNTAR AC INOX             </t>
  </si>
  <si>
    <t xml:space="preserve">CORTA QUESO ZINC                   </t>
  </si>
  <si>
    <t>031D</t>
  </si>
  <si>
    <t>034D</t>
  </si>
  <si>
    <t>055D</t>
  </si>
  <si>
    <t xml:space="preserve">FILTRO DE CAFE GASTRONOMICO        </t>
  </si>
  <si>
    <t xml:space="preserve">SACAFUENTE ALAMBRE                 </t>
  </si>
  <si>
    <t>058D</t>
  </si>
  <si>
    <t>059D</t>
  </si>
  <si>
    <t>101M</t>
  </si>
  <si>
    <t>102M</t>
  </si>
  <si>
    <t>104M</t>
  </si>
  <si>
    <t>107M</t>
  </si>
  <si>
    <t xml:space="preserve">CIERRA BOLSA X2          </t>
  </si>
  <si>
    <t>CUCHILLITO DE UNTAR PLAST</t>
  </si>
  <si>
    <t xml:space="preserve">74230-PELAPAPA METALICO ARO        </t>
  </si>
  <si>
    <t xml:space="preserve">74243-DESTAPACORONA x 2 ARO        </t>
  </si>
  <si>
    <t xml:space="preserve">74282-ABRELATAS MANIJA ARO         </t>
  </si>
  <si>
    <t xml:space="preserve">74334-ABRELATAS UÑA ARO            </t>
  </si>
  <si>
    <t>230D</t>
  </si>
  <si>
    <t>231D</t>
  </si>
  <si>
    <t>233D</t>
  </si>
  <si>
    <t>234D</t>
  </si>
  <si>
    <t>241D</t>
  </si>
  <si>
    <t xml:space="preserve">PALO DE AMASAR 30 CM               </t>
  </si>
  <si>
    <t xml:space="preserve">PALO DE AMASAR 40 CM               </t>
  </si>
  <si>
    <t xml:space="preserve">PALO DE AMASAR 50 CM               </t>
  </si>
  <si>
    <t>PIZZERA 35 CM ALGA.</t>
  </si>
  <si>
    <t>PIZZERA 35 CM EUCA.</t>
  </si>
  <si>
    <t>247D</t>
  </si>
  <si>
    <t>250D</t>
  </si>
  <si>
    <t>253D</t>
  </si>
  <si>
    <t>254D</t>
  </si>
  <si>
    <t>259D</t>
  </si>
  <si>
    <t>280D</t>
  </si>
  <si>
    <t>299D</t>
  </si>
  <si>
    <t>312D</t>
  </si>
  <si>
    <t>PLATO DE PICADA P.P 21 CM</t>
  </si>
  <si>
    <t xml:space="preserve">MATE FORRADO                       </t>
  </si>
  <si>
    <t xml:space="preserve">MATE CALABAZA C/VIROLA             </t>
  </si>
  <si>
    <t xml:space="preserve">MATE CALABAZA S/VIROLA             </t>
  </si>
  <si>
    <t>MATE ALUMINIO COLOR DOBLE</t>
  </si>
  <si>
    <t>MANGA REPOSTERA + 4 BOQUI</t>
  </si>
  <si>
    <t>MUÑECO SILICONA ANTIDERRA</t>
  </si>
  <si>
    <t xml:space="preserve">PALA DE TORTA ACERO INOX           </t>
  </si>
  <si>
    <t>319D</t>
  </si>
  <si>
    <t xml:space="preserve">PISAPAPAS FUNDICION MGO MAD        </t>
  </si>
  <si>
    <t xml:space="preserve">BATE BIFE FUNDICION                </t>
  </si>
  <si>
    <t>324D</t>
  </si>
  <si>
    <t xml:space="preserve">PINCHE DE CHOCLO X4 </t>
  </si>
  <si>
    <t>346D</t>
  </si>
  <si>
    <t>355D</t>
  </si>
  <si>
    <t xml:space="preserve">TENEDOR DE ACHURA                  </t>
  </si>
  <si>
    <t xml:space="preserve">PISA PAPAS NYLON MGO PLAST         </t>
  </si>
  <si>
    <t>516S</t>
  </si>
  <si>
    <t xml:space="preserve">DESTAPACORONA SUELTO               </t>
  </si>
  <si>
    <t>518D</t>
  </si>
  <si>
    <t xml:space="preserve">SACAFUENTE GASTRONOMICO            </t>
  </si>
  <si>
    <t>519S</t>
  </si>
  <si>
    <t xml:space="preserve">CUCHILLO DE UNTAR SUELTO           </t>
  </si>
  <si>
    <t>527D</t>
  </si>
  <si>
    <t>528D</t>
  </si>
  <si>
    <t xml:space="preserve">SACACORCHO C/CORTA PLOMO CROM      </t>
  </si>
  <si>
    <t xml:space="preserve">SACACORCHO C/CORTA PLOMO PINT      </t>
  </si>
  <si>
    <t xml:space="preserve">PELADOR MGO NUEVO                  </t>
  </si>
  <si>
    <t>550D</t>
  </si>
  <si>
    <t>551D</t>
  </si>
  <si>
    <t xml:space="preserve">FILTRO PARA BOMBILLAS    </t>
  </si>
  <si>
    <t xml:space="preserve">CUCH/ UNTAR MGO PLAST.       </t>
  </si>
  <si>
    <t>557D</t>
  </si>
  <si>
    <t>558D</t>
  </si>
  <si>
    <t xml:space="preserve">BOMBILLA RESORTE CHATA   </t>
  </si>
  <si>
    <t>BOMBILLA RESORTE tradicio</t>
  </si>
  <si>
    <t>564D</t>
  </si>
  <si>
    <t xml:space="preserve">CORTA PIZZA GASTRONOMICO           </t>
  </si>
  <si>
    <t>569D</t>
  </si>
  <si>
    <t xml:space="preserve">PELANARANJAS X 1 DISPLAY </t>
  </si>
  <si>
    <t>573D</t>
  </si>
  <si>
    <t>574D</t>
  </si>
  <si>
    <t>BOMBILLA COLORES METALIZA</t>
  </si>
  <si>
    <t xml:space="preserve">CORTA QUESO DE ALAMBRE   </t>
  </si>
  <si>
    <t>580D</t>
  </si>
  <si>
    <t xml:space="preserve">MINI BATIDOR X 1         </t>
  </si>
  <si>
    <t>597D</t>
  </si>
  <si>
    <t xml:space="preserve">CUCHILLO UNTAR BCO x 2             </t>
  </si>
  <si>
    <t>820S</t>
  </si>
  <si>
    <t>821S</t>
  </si>
  <si>
    <t>822S</t>
  </si>
  <si>
    <t>823D</t>
  </si>
  <si>
    <t>870D</t>
  </si>
  <si>
    <t xml:space="preserve">Tapon 1 (cebador p/termo 1Lt)      </t>
  </si>
  <si>
    <t xml:space="preserve">Tapon 2 (cebador p/ termo gde)     </t>
  </si>
  <si>
    <t xml:space="preserve">Tapon 3 (cebador p/termo A/I)      </t>
  </si>
  <si>
    <t xml:space="preserve">EXPRIMIDOR DE CITRICOS   </t>
  </si>
  <si>
    <t xml:space="preserve">COLADOR N°20 MGO MADERA  </t>
  </si>
  <si>
    <t>Bolsa</t>
  </si>
  <si>
    <t>Codigo</t>
  </si>
  <si>
    <t>Cia</t>
  </si>
  <si>
    <t>Aro</t>
  </si>
  <si>
    <t>Tipo Carton</t>
  </si>
  <si>
    <t>H5</t>
  </si>
  <si>
    <t>H4</t>
  </si>
  <si>
    <t>H3</t>
  </si>
  <si>
    <t>H2</t>
  </si>
  <si>
    <t>H1</t>
  </si>
  <si>
    <t>C1</t>
  </si>
  <si>
    <t>B1</t>
  </si>
  <si>
    <t>F3</t>
  </si>
  <si>
    <t>A2</t>
  </si>
  <si>
    <t>G4</t>
  </si>
  <si>
    <t>B4</t>
  </si>
  <si>
    <t>D1</t>
  </si>
  <si>
    <t>C3</t>
  </si>
  <si>
    <t>E3</t>
  </si>
  <si>
    <t>E2</t>
  </si>
  <si>
    <t>D3</t>
  </si>
  <si>
    <t>D2</t>
  </si>
  <si>
    <t>E4</t>
  </si>
  <si>
    <t>F4</t>
  </si>
  <si>
    <t>G2</t>
  </si>
  <si>
    <t>D4</t>
  </si>
  <si>
    <t>G3</t>
  </si>
  <si>
    <t>C4</t>
  </si>
  <si>
    <t>Granel en caja</t>
  </si>
  <si>
    <t>Carton Aro</t>
  </si>
  <si>
    <t>G5</t>
  </si>
  <si>
    <t>D5</t>
  </si>
  <si>
    <t>F5</t>
  </si>
  <si>
    <t>F2</t>
  </si>
  <si>
    <t>B5</t>
  </si>
  <si>
    <t>B3</t>
  </si>
  <si>
    <t>T2</t>
  </si>
  <si>
    <t>T3</t>
  </si>
  <si>
    <t>U1</t>
  </si>
  <si>
    <t>C5</t>
  </si>
  <si>
    <t>E5</t>
  </si>
  <si>
    <t>U3</t>
  </si>
  <si>
    <t>B2</t>
  </si>
  <si>
    <t>Código</t>
  </si>
  <si>
    <t>E1</t>
  </si>
  <si>
    <t xml:space="preserve">C2 </t>
  </si>
  <si>
    <t>Carton Propio</t>
  </si>
  <si>
    <t>Carton Cod. 570D</t>
  </si>
  <si>
    <t>Carton Cod. 519D</t>
  </si>
  <si>
    <t>Carton Cod. 526D</t>
  </si>
  <si>
    <t>Carton Cod. 562D</t>
  </si>
  <si>
    <t>Carton Cod. 546D</t>
  </si>
  <si>
    <t>Corbata Propia</t>
  </si>
  <si>
    <t>Corbata Generica</t>
  </si>
  <si>
    <t>Ubic</t>
  </si>
  <si>
    <t xml:space="preserve">Listado Cartones Loekemeyer </t>
  </si>
  <si>
    <t>Pliegos Utensilios</t>
  </si>
  <si>
    <t>Suelto</t>
  </si>
  <si>
    <t xml:space="preserve">Bolsa </t>
  </si>
  <si>
    <t>Tipo</t>
  </si>
  <si>
    <t>Lk</t>
  </si>
  <si>
    <t>Linea Lkmeyer / Aro</t>
  </si>
  <si>
    <t>P.P</t>
  </si>
  <si>
    <t>Lin.</t>
  </si>
  <si>
    <t xml:space="preserve">Stocks </t>
  </si>
  <si>
    <t xml:space="preserve">Stock
Max </t>
  </si>
  <si>
    <t xml:space="preserve">Stock
Min  </t>
  </si>
  <si>
    <t>Stock 
Actual</t>
  </si>
  <si>
    <t>Vta.
2017</t>
  </si>
  <si>
    <t>Pedido</t>
  </si>
  <si>
    <t xml:space="preserve">Stock 
Real </t>
  </si>
  <si>
    <t>Fecha:</t>
  </si>
  <si>
    <t>Cotado Por:</t>
  </si>
  <si>
    <t xml:space="preserve">Filtro De Cafe                     </t>
  </si>
  <si>
    <t xml:space="preserve">Filtro De Cafe Gastronomico        </t>
  </si>
  <si>
    <t xml:space="preserve">Destapacorona Suelto               </t>
  </si>
  <si>
    <t xml:space="preserve">Pinche De Choclo X4 </t>
  </si>
  <si>
    <t>Tenedor De Copetin X6 Unid</t>
  </si>
  <si>
    <t/>
  </si>
  <si>
    <t xml:space="preserve">Bombilla Sup Niq Larga Recta       </t>
  </si>
  <si>
    <t xml:space="preserve">Bombilla Super Niq Larga Curva     </t>
  </si>
  <si>
    <t xml:space="preserve">Cucharita Matera                   </t>
  </si>
  <si>
    <t xml:space="preserve">Cepillo Limpia Bombilla            </t>
  </si>
  <si>
    <t xml:space="preserve">Bombilla Resorte Chata   </t>
  </si>
  <si>
    <t>Bombilla Resorte Tradicio</t>
  </si>
  <si>
    <t xml:space="preserve">Bombilla Autolimpiante Inox        </t>
  </si>
  <si>
    <t xml:space="preserve">Bombilla Autolimpiante Niq         </t>
  </si>
  <si>
    <t xml:space="preserve">Bombilla Basica Larga Recta        </t>
  </si>
  <si>
    <t xml:space="preserve">Bombilla Basica Larga Curva        </t>
  </si>
  <si>
    <t>Bombilla Colores Metaliza</t>
  </si>
  <si>
    <t xml:space="preserve">Abrelatas Uña                      </t>
  </si>
  <si>
    <t xml:space="preserve">Pela Y Pica Ajo De Acero           </t>
  </si>
  <si>
    <t xml:space="preserve">Ahueca Papas                       </t>
  </si>
  <si>
    <t xml:space="preserve">Ahueca Frutas                      </t>
  </si>
  <si>
    <t xml:space="preserve">Colador N°16                       </t>
  </si>
  <si>
    <t xml:space="preserve">Espumadera Ac.Inox.                </t>
  </si>
  <si>
    <t xml:space="preserve">Palo De Amasar 30 Cm               </t>
  </si>
  <si>
    <t xml:space="preserve">Palo De Amasar 40 Cm               </t>
  </si>
  <si>
    <t xml:space="preserve">Palo De Amasar 50 Cm               </t>
  </si>
  <si>
    <t xml:space="preserve">Prensa Matambre                    </t>
  </si>
  <si>
    <t>Plato De Picada P.P 21 Cm</t>
  </si>
  <si>
    <t xml:space="preserve">Rallador Cilindrico Chico          </t>
  </si>
  <si>
    <t xml:space="preserve">Rallador 3 Usos Marco Plast        </t>
  </si>
  <si>
    <t xml:space="preserve">Rallador Queso Marco Plast         </t>
  </si>
  <si>
    <t xml:space="preserve">Posa Pava Alambre                  </t>
  </si>
  <si>
    <t xml:space="preserve">Rallador Cilindrico                </t>
  </si>
  <si>
    <t xml:space="preserve">Colador N°20                       </t>
  </si>
  <si>
    <t>Cuchillito De Untar Plast</t>
  </si>
  <si>
    <t xml:space="preserve">Sacafuente Alambre                 </t>
  </si>
  <si>
    <t xml:space="preserve">Pala De Torta Acero Inox           </t>
  </si>
  <si>
    <t xml:space="preserve">Pisapapas Fundicion Mgo Mad        </t>
  </si>
  <si>
    <t xml:space="preserve">Sacafuente Gastronomico            </t>
  </si>
  <si>
    <t xml:space="preserve">Sacacorcho Doble Aleta Luxe        </t>
  </si>
  <si>
    <t xml:space="preserve">Sacacorcho Cabo Madera             </t>
  </si>
  <si>
    <t xml:space="preserve">Cuchara De Helado                  </t>
  </si>
  <si>
    <t xml:space="preserve">Colador N°7                        </t>
  </si>
  <si>
    <t xml:space="preserve">Colador N°8                        </t>
  </si>
  <si>
    <t xml:space="preserve">Colador N°10                       </t>
  </si>
  <si>
    <t xml:space="preserve">820612-Colador N°10 Alambre        </t>
  </si>
  <si>
    <t xml:space="preserve">Abrelata Uña Pie Color   </t>
  </si>
  <si>
    <t xml:space="preserve">Cuch/ Untar Mgo Plast.       </t>
  </si>
  <si>
    <t xml:space="preserve">Sacacorcho C/Corta Plomo Crom      </t>
  </si>
  <si>
    <t xml:space="preserve">Sacacorcho C/Corta Plomo Pint      </t>
  </si>
  <si>
    <t xml:space="preserve">Corta Pizza Gastronomico           </t>
  </si>
  <si>
    <t xml:space="preserve">Pelador Mgo Nuevo                  </t>
  </si>
  <si>
    <t xml:space="preserve">Sacacorcho Custom                  </t>
  </si>
  <si>
    <t xml:space="preserve">Sacacorcho Doble Aleta             </t>
  </si>
  <si>
    <t xml:space="preserve">Sacacorcho De Espumantes           </t>
  </si>
  <si>
    <t xml:space="preserve">Pala De Canelones                  </t>
  </si>
  <si>
    <t xml:space="preserve">Descarozador De Aceitunas          </t>
  </si>
  <si>
    <t xml:space="preserve">Cierra Bolsa X2          </t>
  </si>
  <si>
    <t>Muñeco Silicona Antiderra</t>
  </si>
  <si>
    <t xml:space="preserve">Espatula Lisa Nylon                </t>
  </si>
  <si>
    <t xml:space="preserve">Cucharon Nylon                     </t>
  </si>
  <si>
    <t xml:space="preserve">Tostador                           </t>
  </si>
  <si>
    <t xml:space="preserve">Cuchara Madera X 30 Cm             </t>
  </si>
  <si>
    <t xml:space="preserve">Cuchara Calada Nylon               </t>
  </si>
  <si>
    <t xml:space="preserve">Colador 10 Cm                      </t>
  </si>
  <si>
    <t xml:space="preserve">Bombilla Autolimpiante Inox.       </t>
  </si>
  <si>
    <t xml:space="preserve">Limpia Bombilla                    </t>
  </si>
  <si>
    <t xml:space="preserve">Colador N°7 Pintado                </t>
  </si>
  <si>
    <t xml:space="preserve">Colador N°8 Pintado                </t>
  </si>
  <si>
    <t xml:space="preserve">Colador N°10 Pintado               </t>
  </si>
  <si>
    <t xml:space="preserve">Colador N°13 Pintado               </t>
  </si>
  <si>
    <t xml:space="preserve">Colador N°16 Pintado               </t>
  </si>
  <si>
    <t xml:space="preserve">Colador N°20 Pintado               </t>
  </si>
  <si>
    <t xml:space="preserve">Cuchara Madera 40 Cm               </t>
  </si>
  <si>
    <t xml:space="preserve">Cuchara Madera 45 Cm               </t>
  </si>
  <si>
    <t xml:space="preserve">Bate Bife Madera                   </t>
  </si>
  <si>
    <t xml:space="preserve">Cuchara Madera 25 Cm               </t>
  </si>
  <si>
    <t xml:space="preserve">Cuchara Madera 30 Cm               </t>
  </si>
  <si>
    <t xml:space="preserve">821197-Cuchara Madera 30 Cm        </t>
  </si>
  <si>
    <t xml:space="preserve">Espatula Madera                    </t>
  </si>
  <si>
    <t xml:space="preserve">Espatula Repostera Madera          </t>
  </si>
  <si>
    <t xml:space="preserve">Espatula Plastica 3 Usos           </t>
  </si>
  <si>
    <t xml:space="preserve">Espatula Repostera De Goma         </t>
  </si>
  <si>
    <t xml:space="preserve">Esp. Repost.De Goma Comun          </t>
  </si>
  <si>
    <t xml:space="preserve">Espatula Acero Inox.               </t>
  </si>
  <si>
    <t xml:space="preserve">Cuchara Salsera Inox               </t>
  </si>
  <si>
    <t xml:space="preserve">Cuchara Calada Ac.Inox.            </t>
  </si>
  <si>
    <t xml:space="preserve">Cucharon Ac.Inox.                  </t>
  </si>
  <si>
    <t xml:space="preserve">Pinche Ac.Inox.                    </t>
  </si>
  <si>
    <t xml:space="preserve">Espatula Lisa Ac.Inox.             </t>
  </si>
  <si>
    <t xml:space="preserve">Tenedor De Achura                  </t>
  </si>
  <si>
    <t xml:space="preserve">Pisa Papas Nylon Mgo Plast         </t>
  </si>
  <si>
    <t xml:space="preserve">Cuchara Calada Nylon 1 Pza         </t>
  </si>
  <si>
    <t xml:space="preserve">Cuchara Pulpo Nylon 1 Pza          </t>
  </si>
  <si>
    <t xml:space="preserve">Cucharon Nylon 1 Pza               </t>
  </si>
  <si>
    <t xml:space="preserve">Espatula Calada Nylon 1 Pza        </t>
  </si>
  <si>
    <t xml:space="preserve">Espatula Lisa Nylon 1 Pza          </t>
  </si>
  <si>
    <t xml:space="preserve">Paleta Batidora                    </t>
  </si>
  <si>
    <t xml:space="preserve">Batidor Resorte                    </t>
  </si>
  <si>
    <t xml:space="preserve">Cepillo Lavavajilla                </t>
  </si>
  <si>
    <t xml:space="preserve">Cepillo Limpia Vaso Mamadera       </t>
  </si>
  <si>
    <t xml:space="preserve">Filtro Para Bombillas    </t>
  </si>
  <si>
    <t xml:space="preserve">Tostador Enlozado                  </t>
  </si>
  <si>
    <t xml:space="preserve">Colador N°20 Mgo Madera  </t>
  </si>
  <si>
    <t xml:space="preserve">Cuchillo Untar Bco X 2             </t>
  </si>
  <si>
    <t xml:space="preserve">Corta Queso De Alambre   </t>
  </si>
  <si>
    <t>Manga Repostera + 4 Boqui</t>
  </si>
  <si>
    <t xml:space="preserve">Colador N°13                       </t>
  </si>
  <si>
    <t xml:space="preserve">Cuchara Madera 35 Cm               </t>
  </si>
  <si>
    <t xml:space="preserve">Sacacorcho Combinado Color         </t>
  </si>
  <si>
    <t xml:space="preserve">Corta Pizza                        </t>
  </si>
  <si>
    <t xml:space="preserve">Pinza Grande                       </t>
  </si>
  <si>
    <t xml:space="preserve">Pinza De Hamburguesas              </t>
  </si>
  <si>
    <t xml:space="preserve">Pinza De Hielo                     </t>
  </si>
  <si>
    <t xml:space="preserve">Afila Cuchillos                    </t>
  </si>
  <si>
    <t xml:space="preserve">Pelapapas Mgo Ergonomico </t>
  </si>
  <si>
    <t xml:space="preserve">Pinza Gastronomica                 </t>
  </si>
  <si>
    <t xml:space="preserve">Cuchillo De Untar X 2              </t>
  </si>
  <si>
    <t xml:space="preserve">Pelanaranjas X 1 Display </t>
  </si>
  <si>
    <t xml:space="preserve">Pincel Pastelero                   </t>
  </si>
  <si>
    <t xml:space="preserve">Corta Ravioles                     </t>
  </si>
  <si>
    <t xml:space="preserve">Pinza Chica                        </t>
  </si>
  <si>
    <t xml:space="preserve">Corta Torta                        </t>
  </si>
  <si>
    <t xml:space="preserve">Enrulador De Manteca               </t>
  </si>
  <si>
    <t xml:space="preserve">Descorazonador De Manzana          </t>
  </si>
  <si>
    <t xml:space="preserve">Rallador 1/2 Caña                  </t>
  </si>
  <si>
    <t xml:space="preserve">Abrelatas A Manija                 </t>
  </si>
  <si>
    <t xml:space="preserve">Abrelatas A Mariposa Plastica      </t>
  </si>
  <si>
    <t xml:space="preserve">Abrelatas A Mariposa               </t>
  </si>
  <si>
    <t xml:space="preserve">Sacafuentes Articulado             </t>
  </si>
  <si>
    <t xml:space="preserve">Rompenueces                        </t>
  </si>
  <si>
    <t xml:space="preserve">3 En 1                             </t>
  </si>
  <si>
    <t xml:space="preserve">Ñoquera Madera                     </t>
  </si>
  <si>
    <t xml:space="preserve">Afloja Tapita            </t>
  </si>
  <si>
    <t xml:space="preserve">Destapador Pie Color     </t>
  </si>
  <si>
    <t xml:space="preserve">Batidor Pera Alambre               </t>
  </si>
  <si>
    <t xml:space="preserve">Corta Queso                        </t>
  </si>
  <si>
    <t xml:space="preserve">Corta Queso Zinc                   </t>
  </si>
  <si>
    <t xml:space="preserve">Destapa Corona Zincado             </t>
  </si>
  <si>
    <t xml:space="preserve">Cuchillo Untar Ac Inox             </t>
  </si>
  <si>
    <t xml:space="preserve">Rompenueces Zincado                </t>
  </si>
  <si>
    <t xml:space="preserve">Sacafuentes Art Zincado            </t>
  </si>
  <si>
    <t xml:space="preserve">Ahueca Papas Mgo Mad      </t>
  </si>
  <si>
    <t xml:space="preserve">Ahueca Frutas Mgo Mad      </t>
  </si>
  <si>
    <t xml:space="preserve">Sacac Comb Zincado                 </t>
  </si>
  <si>
    <t xml:space="preserve">Abrelatas Marip Zinc               </t>
  </si>
  <si>
    <t xml:space="preserve">Sacac. Tipo Mozo Zincado           </t>
  </si>
  <si>
    <t xml:space="preserve">Tapon De Gaseosa X 1               </t>
  </si>
  <si>
    <t xml:space="preserve">Abrelatas Manija Zincado           </t>
  </si>
  <si>
    <t xml:space="preserve">74230-Pelapapa Metalico Aro        </t>
  </si>
  <si>
    <t xml:space="preserve">74243-Destapacorona X 2 Aro        </t>
  </si>
  <si>
    <t xml:space="preserve">74282-Abrelatas Manija Aro         </t>
  </si>
  <si>
    <t xml:space="preserve">74334-Abrelatas Uña Aro            </t>
  </si>
  <si>
    <t xml:space="preserve">Bate Bife Fundicion                </t>
  </si>
  <si>
    <t>Pizzera 35 Cm Alga.</t>
  </si>
  <si>
    <t>Pizzera 35 Cm Euca.</t>
  </si>
  <si>
    <t xml:space="preserve">Mate Forrado                       </t>
  </si>
  <si>
    <t xml:space="preserve">Mate Calabaza C/Virola             </t>
  </si>
  <si>
    <t xml:space="preserve">Mate Calabaza S/Virola             </t>
  </si>
  <si>
    <t>Mate Aluminio Color Doble</t>
  </si>
  <si>
    <t xml:space="preserve">Cuchillo De Untar Suelto           </t>
  </si>
  <si>
    <t xml:space="preserve">Tapon 1 (Cebador P/Termo 1Lt)      </t>
  </si>
  <si>
    <t xml:space="preserve">Tapon 2 (Cebador P/ Termo Gde)     </t>
  </si>
  <si>
    <t xml:space="preserve">Tapon 3 (Cebador P/Termo A/I)      </t>
  </si>
  <si>
    <t xml:space="preserve">Exprimidor De Citricos   </t>
  </si>
  <si>
    <t>Ped.</t>
  </si>
  <si>
    <t xml:space="preserve">Espat. Repost Plast 1 Pza.     </t>
  </si>
  <si>
    <t xml:space="preserve">Pisa Papas Inox              </t>
  </si>
  <si>
    <t xml:space="preserve">Abrelat. Uña                      </t>
  </si>
  <si>
    <t xml:space="preserve">Pelador Mgo Met.               </t>
  </si>
  <si>
    <t xml:space="preserve">Pin. Fiambre Mgo Plas.      </t>
  </si>
  <si>
    <t xml:space="preserve">Pin.  Ensalada Mgo Plas.    </t>
  </si>
  <si>
    <t xml:space="preserve">Pin. Fideos Mgo Plas.       </t>
  </si>
  <si>
    <t xml:space="preserve">Pelador Mgo Plast.              </t>
  </si>
  <si>
    <t xml:space="preserve">Sacac. Tipo Mozo Crom.       </t>
  </si>
  <si>
    <t xml:space="preserve">Sacac. Comb. Crom.       </t>
  </si>
  <si>
    <t xml:space="preserve">Sacac Tipo Mozo Color         </t>
  </si>
  <si>
    <t>Tapon De Vino X 1 Col</t>
  </si>
  <si>
    <t>Tapon De Vino X 1 Prem.</t>
  </si>
  <si>
    <t>Tapon De Vino/ X1  Neg.</t>
  </si>
  <si>
    <t>Destapa Corona X1 Crom.</t>
  </si>
  <si>
    <t xml:space="preserve">Pelapapas Zinc.                  </t>
  </si>
  <si>
    <t xml:space="preserve">Abrelatas Uña Zinc.           </t>
  </si>
  <si>
    <t>Cart Prop.</t>
  </si>
  <si>
    <t>Corb. Prop</t>
  </si>
  <si>
    <t xml:space="preserve"> Cartón</t>
  </si>
  <si>
    <t>Ped
Correg</t>
  </si>
  <si>
    <t>LOEKE</t>
  </si>
  <si>
    <t>Cod.Art.</t>
  </si>
  <si>
    <t>MARZO</t>
  </si>
  <si>
    <t>ABRIL</t>
  </si>
  <si>
    <t>248D</t>
  </si>
  <si>
    <t>030ENS</t>
  </si>
  <si>
    <t>328ENS</t>
  </si>
  <si>
    <t>360ENS</t>
  </si>
  <si>
    <t>361ENS</t>
  </si>
  <si>
    <t>362ENS</t>
  </si>
  <si>
    <t>363ENS</t>
  </si>
  <si>
    <t>364ENS</t>
  </si>
  <si>
    <t>365ENS</t>
  </si>
  <si>
    <t>388ENS</t>
  </si>
  <si>
    <t>311D</t>
  </si>
  <si>
    <t>435ENS</t>
  </si>
  <si>
    <t>436ENS</t>
  </si>
  <si>
    <t>437ENS</t>
  </si>
  <si>
    <t>438ENS</t>
  </si>
  <si>
    <t>439ENS</t>
  </si>
  <si>
    <t>440ENS</t>
  </si>
  <si>
    <t>478ENS</t>
  </si>
  <si>
    <t>503ENS</t>
  </si>
  <si>
    <t>512ENS</t>
  </si>
  <si>
    <t>525ENS</t>
  </si>
  <si>
    <t>529ENS</t>
  </si>
  <si>
    <t>544ENS</t>
  </si>
  <si>
    <t>585ENS</t>
  </si>
  <si>
    <t>810ENS</t>
  </si>
  <si>
    <t>811ENS</t>
  </si>
  <si>
    <t>812ENS</t>
  </si>
  <si>
    <t>814ENS</t>
  </si>
  <si>
    <t>816ENS</t>
  </si>
  <si>
    <t>817ENS</t>
  </si>
  <si>
    <t>818ENS</t>
  </si>
  <si>
    <t>819ENS</t>
  </si>
  <si>
    <t>813ENS</t>
  </si>
  <si>
    <t>LK</t>
  </si>
  <si>
    <t>Destapa Corona X1 Cromado</t>
  </si>
  <si>
    <t>Cod</t>
  </si>
  <si>
    <t>Descripcion</t>
  </si>
  <si>
    <t xml:space="preserve">Colador N°8              </t>
  </si>
  <si>
    <t xml:space="preserve">Colador N°10             </t>
  </si>
  <si>
    <t>P</t>
  </si>
  <si>
    <t xml:space="preserve">Filtro De Cafe           </t>
  </si>
  <si>
    <t>Filtro De Cafe Gastronomi</t>
  </si>
  <si>
    <t>O</t>
  </si>
  <si>
    <t>Cuchara Madera 40 Cm X 12</t>
  </si>
  <si>
    <t>Cuchara Madera 45 Cm X 12</t>
  </si>
  <si>
    <t xml:space="preserve">Bate Bife Madera         </t>
  </si>
  <si>
    <t>Cuchara Madera 25 Cm X 12</t>
  </si>
  <si>
    <t>Cuchara Madera 30 Cm X 12</t>
  </si>
  <si>
    <t>Cuchara Madera 35 Cm X 12</t>
  </si>
  <si>
    <t xml:space="preserve">Ñoquera Madera           </t>
  </si>
  <si>
    <t xml:space="preserve">Prensa Matambre          </t>
  </si>
  <si>
    <t>Cuchara De Cocina 33 Cm X 12</t>
  </si>
  <si>
    <t xml:space="preserve">Pala De Torta Acero Inox </t>
  </si>
  <si>
    <t xml:space="preserve">Pisa Papas Acero Inox    </t>
  </si>
  <si>
    <t xml:space="preserve">Rallador Cilindrico      </t>
  </si>
  <si>
    <t>Tenedor De Copetin X 6 Un</t>
  </si>
  <si>
    <t>Rallador Cilindrico Chico</t>
  </si>
  <si>
    <t>Pinche De Choclo X 4 Unid</t>
  </si>
  <si>
    <t xml:space="preserve">Espatula Repostera Plast </t>
  </si>
  <si>
    <t xml:space="preserve">Espatula Plastica 3 Usos </t>
  </si>
  <si>
    <t xml:space="preserve">Espatula Acero Inox.     </t>
  </si>
  <si>
    <t xml:space="preserve">Espumadera Ac.Inox.      </t>
  </si>
  <si>
    <t xml:space="preserve">Cuchara Salsera Inox     </t>
  </si>
  <si>
    <t xml:space="preserve">Cuchara Calada Ac.Inox.  </t>
  </si>
  <si>
    <t xml:space="preserve">Cucharon Ac.Inox.        </t>
  </si>
  <si>
    <t>Tenedor Ac Inox</t>
  </si>
  <si>
    <t xml:space="preserve">Espatula Lisa Ac.Inox.   </t>
  </si>
  <si>
    <t>Pisa Papas Nylon Mgo Plas</t>
  </si>
  <si>
    <t>Cuchara Calada Nylon 1 Pz</t>
  </si>
  <si>
    <t>Cuchara Pulpo Nylon 1 Pza</t>
  </si>
  <si>
    <t xml:space="preserve">Cucharon Nylon 1 Pza     </t>
  </si>
  <si>
    <t>Espatula Calada Nylon 1 P</t>
  </si>
  <si>
    <t>Espatula Lisa Nylon 1 Pza</t>
  </si>
  <si>
    <t>Descorazonador De Manzana</t>
  </si>
  <si>
    <t xml:space="preserve">Enrulador De Manteca     </t>
  </si>
  <si>
    <t xml:space="preserve">Abrelatas A Manija       </t>
  </si>
  <si>
    <t xml:space="preserve">Abrelatas A Mariposa     </t>
  </si>
  <si>
    <t xml:space="preserve">Afila Cuchillos          </t>
  </si>
  <si>
    <t xml:space="preserve">Pelador Mgo Plastico     </t>
  </si>
  <si>
    <t xml:space="preserve">Abrelatas Uña            </t>
  </si>
  <si>
    <t xml:space="preserve">Rompenueces              </t>
  </si>
  <si>
    <t xml:space="preserve">Sacafuentes Articulado   </t>
  </si>
  <si>
    <t xml:space="preserve">Paleta Batidora          </t>
  </si>
  <si>
    <t xml:space="preserve">3 En 1                   </t>
  </si>
  <si>
    <t>Abrelata Mariposa Plastic</t>
  </si>
  <si>
    <t xml:space="preserve">Pelador Mgo Metalico     </t>
  </si>
  <si>
    <t xml:space="preserve">Batidor Resorte          </t>
  </si>
  <si>
    <t xml:space="preserve">Destapacorona Suelto     </t>
  </si>
  <si>
    <t xml:space="preserve">Sacafuente Gastronomico  </t>
  </si>
  <si>
    <t>Sacacorcho Tipo Mozo Crom</t>
  </si>
  <si>
    <t>Sacacorcho Combinado Crom</t>
  </si>
  <si>
    <t xml:space="preserve">Sacacorcho Doble Aleta   </t>
  </si>
  <si>
    <t>Sacacorcho Cabo De Madera</t>
  </si>
  <si>
    <t>Sacacorcho Tipo Mozo Colo</t>
  </si>
  <si>
    <t xml:space="preserve">Cuchara De Helado        </t>
  </si>
  <si>
    <t>Cepillo Lava Vajilla</t>
  </si>
  <si>
    <t>Cepillo Limpia Vaso Mamad</t>
  </si>
  <si>
    <t xml:space="preserve">Ahueca Papas             </t>
  </si>
  <si>
    <t xml:space="preserve">Ahueca Frutas            </t>
  </si>
  <si>
    <t xml:space="preserve">Batidor Pera Alambre     </t>
  </si>
  <si>
    <t xml:space="preserve">Corta Queso              </t>
  </si>
  <si>
    <t xml:space="preserve">Corta Torta              </t>
  </si>
  <si>
    <t xml:space="preserve">Pincel Pastelero         </t>
  </si>
  <si>
    <t xml:space="preserve">Cucharita Matera         </t>
  </si>
  <si>
    <t xml:space="preserve">Cepillo Limpia Bombilla  </t>
  </si>
  <si>
    <t>Sacayerba</t>
  </si>
  <si>
    <t xml:space="preserve">Corta Ravioles           </t>
  </si>
  <si>
    <t xml:space="preserve">Pinza Chica              </t>
  </si>
  <si>
    <t xml:space="preserve">Corta Pizza Gastronomico </t>
  </si>
  <si>
    <t xml:space="preserve">Pinza De Hielo           </t>
  </si>
  <si>
    <t xml:space="preserve">Pala De Canelones        </t>
  </si>
  <si>
    <t>Tapon De Vino/Cerv X1  Negro</t>
  </si>
  <si>
    <t>Tapon De Vino/Cerveza Premium</t>
  </si>
  <si>
    <t>Tapon De Vino/Cerv X 1 Color</t>
  </si>
  <si>
    <t xml:space="preserve">Tostador                 </t>
  </si>
  <si>
    <t xml:space="preserve">Tostador Enlozado        </t>
  </si>
  <si>
    <t>Pinza De Fideos Mgo Plast X 12</t>
  </si>
  <si>
    <t>Pinza De Fiambre Mgo Plas X 12</t>
  </si>
  <si>
    <t>Pinza De Ensalada Mgo Pla X 12</t>
  </si>
  <si>
    <t>Bombilla Autolimpiante In</t>
  </si>
  <si>
    <t>Bombilla Eco Plastica</t>
  </si>
  <si>
    <t>587D</t>
  </si>
  <si>
    <t>Sacacorcho Cabo Plastico</t>
  </si>
  <si>
    <t>581D</t>
  </si>
  <si>
    <t>510D</t>
  </si>
  <si>
    <t>Abrelata Uña Cromado</t>
  </si>
  <si>
    <t>A2A</t>
  </si>
  <si>
    <t>B5B</t>
  </si>
  <si>
    <t>E4B</t>
  </si>
  <si>
    <t>F3A</t>
  </si>
  <si>
    <t>F3B</t>
  </si>
  <si>
    <t>F4A</t>
  </si>
  <si>
    <t>F4B</t>
  </si>
  <si>
    <t>G5B</t>
  </si>
  <si>
    <t>F5A</t>
  </si>
  <si>
    <t>F5B</t>
  </si>
  <si>
    <t>G2A</t>
  </si>
  <si>
    <t>G2B</t>
  </si>
  <si>
    <t>G3A</t>
  </si>
  <si>
    <t>G3B</t>
  </si>
  <si>
    <t>G3C</t>
  </si>
  <si>
    <t>G4B</t>
  </si>
  <si>
    <t>G4A</t>
  </si>
  <si>
    <t>G5A</t>
  </si>
  <si>
    <t>Uni x Paq</t>
  </si>
  <si>
    <t>Ubicación</t>
  </si>
  <si>
    <t>Pliegos</t>
  </si>
  <si>
    <t>Corbata Gen</t>
  </si>
  <si>
    <t>CAPL1F</t>
  </si>
  <si>
    <t>CAPL1B</t>
  </si>
  <si>
    <t>CAPL2E</t>
  </si>
  <si>
    <t>CAPL2A</t>
  </si>
  <si>
    <t>CAPL2D</t>
  </si>
  <si>
    <t>CAPL2G</t>
  </si>
  <si>
    <t>Corbata Cuchara Plast</t>
  </si>
  <si>
    <t>706D</t>
  </si>
  <si>
    <t>Varios</t>
  </si>
  <si>
    <t>O1B</t>
  </si>
  <si>
    <t>N1</t>
  </si>
  <si>
    <t>N2B</t>
  </si>
  <si>
    <t>N2C</t>
  </si>
  <si>
    <t>N2A</t>
  </si>
  <si>
    <t>N3B</t>
  </si>
  <si>
    <t>N3C</t>
  </si>
  <si>
    <t>N5</t>
  </si>
  <si>
    <t>N7B</t>
  </si>
  <si>
    <t>Ñ1B</t>
  </si>
  <si>
    <t>Ñ2B</t>
  </si>
  <si>
    <t>802D</t>
  </si>
  <si>
    <t>O2A</t>
  </si>
  <si>
    <t>O2B</t>
  </si>
  <si>
    <t>O2C</t>
  </si>
  <si>
    <t>O2D</t>
  </si>
  <si>
    <t>O3C</t>
  </si>
  <si>
    <t>P3A</t>
  </si>
  <si>
    <t>P4B</t>
  </si>
  <si>
    <t>Q1B</t>
  </si>
  <si>
    <t>909D</t>
  </si>
  <si>
    <t>Q4A</t>
  </si>
  <si>
    <t>Q7B</t>
  </si>
  <si>
    <t>N3A</t>
  </si>
  <si>
    <t>N6C</t>
  </si>
  <si>
    <t>N6B</t>
  </si>
  <si>
    <t>O3A</t>
  </si>
  <si>
    <t>O3B</t>
  </si>
  <si>
    <t>O5A</t>
  </si>
  <si>
    <t>O5B</t>
  </si>
  <si>
    <t>N6A</t>
  </si>
  <si>
    <t>N7A</t>
  </si>
  <si>
    <t>Ñ1A</t>
  </si>
  <si>
    <t>Ñ2A</t>
  </si>
  <si>
    <t>O1A</t>
  </si>
  <si>
    <t>O7</t>
  </si>
  <si>
    <t>P1B</t>
  </si>
  <si>
    <t>P3B</t>
  </si>
  <si>
    <t>Q7A</t>
  </si>
  <si>
    <t>P4A</t>
  </si>
  <si>
    <t>P2A</t>
  </si>
  <si>
    <t>P1A</t>
  </si>
  <si>
    <t>Q1A</t>
  </si>
  <si>
    <t>K1B</t>
  </si>
  <si>
    <t>112K</t>
  </si>
  <si>
    <t>118K</t>
  </si>
  <si>
    <t>K3A</t>
  </si>
  <si>
    <t>128K</t>
  </si>
  <si>
    <t>L2A</t>
  </si>
  <si>
    <t>113K</t>
  </si>
  <si>
    <t>L2B</t>
  </si>
  <si>
    <t>114K</t>
  </si>
  <si>
    <t>L2C</t>
  </si>
  <si>
    <t>115K</t>
  </si>
  <si>
    <t>126K</t>
  </si>
  <si>
    <t>184K</t>
  </si>
  <si>
    <t>K1A</t>
  </si>
  <si>
    <t>111K</t>
  </si>
  <si>
    <t>K3B</t>
  </si>
  <si>
    <t>129K</t>
  </si>
  <si>
    <t>110K</t>
  </si>
  <si>
    <t>CK</t>
  </si>
  <si>
    <t>121K</t>
  </si>
  <si>
    <t>139K</t>
  </si>
  <si>
    <t>150K</t>
  </si>
  <si>
    <t>163K</t>
  </si>
  <si>
    <t>Paquetes</t>
  </si>
  <si>
    <t>Uni Sueltas</t>
  </si>
  <si>
    <t>Estanteria</t>
  </si>
  <si>
    <t>A1A</t>
  </si>
  <si>
    <t>A</t>
  </si>
  <si>
    <t>H</t>
  </si>
  <si>
    <r>
      <rPr>
        <b/>
        <sz val="14"/>
        <color theme="1"/>
        <rFont val="Calibri"/>
        <family val="2"/>
        <scheme val="minor"/>
      </rPr>
      <t>A1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</si>
  <si>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A2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</si>
  <si>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B1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</si>
  <si>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B1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</si>
  <si>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B2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</si>
  <si>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B2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</si>
  <si>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B3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</si>
  <si>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B3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</si>
  <si>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B3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</si>
  <si>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B4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</si>
  <si>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B4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</si>
  <si>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B4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</si>
  <si>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B4</t>
    </r>
    <r>
      <rPr>
        <b/>
        <sz val="10"/>
        <color theme="1"/>
        <rFont val="Calibri"/>
        <family val="2"/>
        <scheme val="minor"/>
      </rPr>
      <t>D</t>
    </r>
  </si>
  <si>
    <r>
      <rPr>
        <b/>
        <sz val="14"/>
        <color theme="1"/>
        <rFont val="Calibri"/>
        <family val="2"/>
        <scheme val="minor"/>
      </rPr>
      <t>B5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</si>
  <si>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B5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</si>
  <si>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C3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</si>
  <si>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C3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</si>
  <si>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C3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</si>
  <si>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C4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</si>
  <si>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C4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</si>
  <si>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C4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</si>
  <si>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D3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</si>
  <si>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D3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</si>
  <si>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D4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</si>
  <si>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D4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</si>
  <si>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D4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</si>
  <si>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D5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</si>
  <si>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D5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</si>
  <si>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D5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</si>
  <si>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D5</t>
    </r>
    <r>
      <rPr>
        <b/>
        <sz val="10"/>
        <color theme="1"/>
        <rFont val="Calibri"/>
        <family val="2"/>
        <scheme val="minor"/>
      </rPr>
      <t>D</t>
    </r>
  </si>
  <si>
    <r>
      <rPr>
        <b/>
        <sz val="14"/>
        <color theme="1"/>
        <rFont val="Calibri"/>
        <family val="2"/>
        <scheme val="minor"/>
      </rPr>
      <t>D5</t>
    </r>
    <r>
      <rPr>
        <b/>
        <sz val="10"/>
        <color theme="1"/>
        <rFont val="Calibri"/>
        <family val="2"/>
        <scheme val="minor"/>
      </rPr>
      <t>E</t>
    </r>
  </si>
  <si>
    <r>
      <rPr>
        <b/>
        <sz val="14"/>
        <color theme="1"/>
        <rFont val="Calibri"/>
        <family val="2"/>
        <scheme val="minor"/>
      </rPr>
      <t>E1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</si>
  <si>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E1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</si>
  <si>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E3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</si>
  <si>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E3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</si>
  <si>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E3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</si>
  <si>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E3</t>
    </r>
    <r>
      <rPr>
        <b/>
        <sz val="10"/>
        <color theme="1"/>
        <rFont val="Calibri"/>
        <family val="2"/>
        <scheme val="minor"/>
      </rPr>
      <t>D</t>
    </r>
  </si>
  <si>
    <r>
      <rPr>
        <b/>
        <sz val="14"/>
        <color theme="1"/>
        <rFont val="Calibri"/>
        <family val="2"/>
        <scheme val="minor"/>
      </rPr>
      <t>E4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</si>
  <si>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E4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</si>
  <si>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E4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</si>
  <si>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E5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</si>
  <si>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E5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</si>
  <si>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E5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</si>
  <si>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F3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</si>
  <si>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F3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</si>
  <si>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F3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</si>
  <si>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F4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</si>
  <si>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F4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</si>
  <si>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F4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</si>
  <si>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F4</t>
    </r>
    <r>
      <rPr>
        <b/>
        <sz val="10"/>
        <color theme="1"/>
        <rFont val="Calibri"/>
        <family val="2"/>
        <scheme val="minor"/>
      </rPr>
      <t>D</t>
    </r>
  </si>
  <si>
    <r>
      <rPr>
        <b/>
        <sz val="14"/>
        <color theme="1"/>
        <rFont val="Calibri"/>
        <family val="2"/>
        <scheme val="minor"/>
      </rPr>
      <t>F5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</si>
  <si>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F5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</si>
  <si>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G2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</si>
  <si>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G2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</si>
  <si>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G2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</si>
  <si>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G3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</si>
  <si>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G3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</si>
  <si>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G3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</si>
  <si>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G4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</si>
  <si>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G4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</si>
  <si>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G4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</si>
  <si>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G5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</si>
  <si>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G5</t>
    </r>
    <r>
      <rPr>
        <b/>
        <sz val="10"/>
        <color theme="1"/>
        <rFont val="Calibri"/>
        <family val="2"/>
        <scheme val="minor"/>
      </rPr>
      <t>B</t>
    </r>
  </si>
  <si>
    <t>RELEVAMIENTO CARTONES</t>
  </si>
  <si>
    <t>B3D</t>
  </si>
  <si>
    <r>
      <t>D2</t>
    </r>
    <r>
      <rPr>
        <b/>
        <sz val="10"/>
        <color theme="1"/>
        <rFont val="Calibri"/>
        <family val="2"/>
        <scheme val="minor"/>
      </rPr>
      <t>A</t>
    </r>
  </si>
  <si>
    <r>
      <t>F1</t>
    </r>
    <r>
      <rPr>
        <b/>
        <sz val="10"/>
        <color theme="1"/>
        <rFont val="Calibri"/>
        <family val="2"/>
        <scheme val="minor"/>
      </rPr>
      <t>A</t>
    </r>
  </si>
  <si>
    <r>
      <t>E2</t>
    </r>
    <r>
      <rPr>
        <b/>
        <sz val="10"/>
        <color theme="1"/>
        <rFont val="Calibri"/>
        <family val="2"/>
        <scheme val="minor"/>
      </rPr>
      <t>A</t>
    </r>
  </si>
  <si>
    <r>
      <t>H3</t>
    </r>
    <r>
      <rPr>
        <b/>
        <sz val="10"/>
        <color theme="1"/>
        <rFont val="Calibri"/>
        <family val="2"/>
        <scheme val="minor"/>
      </rPr>
      <t>A</t>
    </r>
  </si>
  <si>
    <r>
      <t>F2</t>
    </r>
    <r>
      <rPr>
        <b/>
        <sz val="10"/>
        <color theme="1"/>
        <rFont val="Calibri"/>
        <family val="2"/>
        <scheme val="minor"/>
      </rPr>
      <t>B</t>
    </r>
  </si>
  <si>
    <r>
      <t>H1</t>
    </r>
    <r>
      <rPr>
        <b/>
        <sz val="10"/>
        <color theme="1"/>
        <rFont val="Calibri"/>
        <family val="2"/>
        <scheme val="minor"/>
      </rPr>
      <t>A</t>
    </r>
    <r>
      <rPr>
        <b/>
        <sz val="14"/>
        <color theme="1"/>
        <rFont val="Calibri"/>
        <family val="2"/>
        <scheme val="minor"/>
      </rPr>
      <t>/H2</t>
    </r>
    <r>
      <rPr>
        <b/>
        <sz val="10"/>
        <color theme="1"/>
        <rFont val="Calibri"/>
        <family val="2"/>
        <scheme val="minor"/>
      </rPr>
      <t>A</t>
    </r>
  </si>
  <si>
    <t>Stock REAL</t>
  </si>
  <si>
    <t>A1B</t>
  </si>
  <si>
    <t>K</t>
  </si>
  <si>
    <t>K2</t>
  </si>
  <si>
    <t>K5</t>
  </si>
  <si>
    <t>L</t>
  </si>
  <si>
    <t>L1</t>
  </si>
  <si>
    <t>L3</t>
  </si>
  <si>
    <t>L7</t>
  </si>
  <si>
    <t>N</t>
  </si>
  <si>
    <t>N4</t>
  </si>
  <si>
    <t>O4</t>
  </si>
  <si>
    <t>O6</t>
  </si>
  <si>
    <t>P2</t>
  </si>
  <si>
    <t>P6</t>
  </si>
  <si>
    <t>Q</t>
  </si>
  <si>
    <t>Q5</t>
  </si>
  <si>
    <t>Q3</t>
  </si>
  <si>
    <t>Q2</t>
  </si>
  <si>
    <t>Q1C</t>
  </si>
  <si>
    <t>Ñ5</t>
  </si>
  <si>
    <t>Ñ</t>
  </si>
  <si>
    <t>Ñ4</t>
  </si>
  <si>
    <r>
      <rPr>
        <sz val="11"/>
        <color theme="1"/>
        <rFont val="Calibri"/>
        <family val="2"/>
        <scheme val="minor"/>
      </rPr>
      <t>Responsable:</t>
    </r>
    <r>
      <rPr>
        <b/>
        <sz val="11"/>
        <color theme="1"/>
        <rFont val="Calibri"/>
        <family val="2"/>
        <scheme val="minor"/>
      </rPr>
      <t xml:space="preserve"> Facundo Sanacore</t>
    </r>
  </si>
  <si>
    <t>Fecha: 31/08/2022</t>
  </si>
  <si>
    <t>A1C</t>
  </si>
  <si>
    <t>Ñ3</t>
  </si>
  <si>
    <t>Q4B</t>
  </si>
  <si>
    <t>CH</t>
  </si>
  <si>
    <t>Pedido Uni</t>
  </si>
  <si>
    <t>435E</t>
  </si>
  <si>
    <t xml:space="preserve">Colador Acero Inox 10 Cm </t>
  </si>
  <si>
    <t>Ñoquera Mad. Mgo Redondo</t>
  </si>
  <si>
    <t xml:space="preserve">Cucharita 13cm Azucarera </t>
  </si>
  <si>
    <t xml:space="preserve">Cuchara Spaghetti Ac Inox. </t>
  </si>
  <si>
    <t>Espumadera Nylon c/ Mgo</t>
  </si>
  <si>
    <t>Destapador Pie Cromado</t>
  </si>
  <si>
    <t xml:space="preserve">Cuchillo De Untar Suelto </t>
  </si>
  <si>
    <t>Cuchillo Untar Mgo Plast</t>
  </si>
  <si>
    <t>Corta Pizza Mgo 6cm</t>
  </si>
  <si>
    <t>Pelapapas Cuchilla Corte Laser</t>
  </si>
  <si>
    <t>328E</t>
  </si>
  <si>
    <t xml:space="preserve">Rallador Plano 3 Usos Ac </t>
  </si>
  <si>
    <t>361E</t>
  </si>
  <si>
    <t>Rallador 4 Lados Ac Inox(</t>
  </si>
  <si>
    <t>363E</t>
  </si>
  <si>
    <t>Rallador Gurmet Grano Fin</t>
  </si>
  <si>
    <t>364E</t>
  </si>
  <si>
    <t>Rallador Gourmet Grano Me</t>
  </si>
  <si>
    <t>366E</t>
  </si>
  <si>
    <t>Rallador Conico A/I X 12</t>
  </si>
  <si>
    <t>478E</t>
  </si>
  <si>
    <t xml:space="preserve">Sacacorcho Doble Impulso </t>
  </si>
  <si>
    <t>502E</t>
  </si>
  <si>
    <t xml:space="preserve">Abrelata Mariposa        </t>
  </si>
  <si>
    <t>503E</t>
  </si>
  <si>
    <t>Abrelatas Doble Engranaje</t>
  </si>
  <si>
    <t>809E</t>
  </si>
  <si>
    <t xml:space="preserve">Rallador 4 Lados A/I Mgo </t>
  </si>
  <si>
    <t>702E</t>
  </si>
  <si>
    <t>712E</t>
  </si>
  <si>
    <t>692E</t>
  </si>
  <si>
    <t>727E</t>
  </si>
  <si>
    <t>729E</t>
  </si>
  <si>
    <t>733E</t>
  </si>
  <si>
    <t>865E</t>
  </si>
  <si>
    <t>868E</t>
  </si>
  <si>
    <t>877E</t>
  </si>
  <si>
    <t xml:space="preserve">Tres En Uno              </t>
  </si>
  <si>
    <t xml:space="preserve">Lavavajilla C/Mgo.Arte   </t>
  </si>
  <si>
    <t>Pinza De Fiambre*Arte* X 12</t>
  </si>
  <si>
    <t>Pinza De Ensaladas*Arte* X 12</t>
  </si>
  <si>
    <t xml:space="preserve">Pinza De Fideos*Arte*  </t>
  </si>
  <si>
    <t>Pinza Chica Detalles Bco Azul</t>
  </si>
  <si>
    <t>Afila Cuchillo Con Base V</t>
  </si>
  <si>
    <t>Pelapapas Mgo Plast Verde</t>
  </si>
  <si>
    <t xml:space="preserve">Limpia Mamadera A/I      </t>
  </si>
  <si>
    <t>Cuchara Fideos Nylon C/Mgo</t>
  </si>
  <si>
    <t xml:space="preserve">Cucharon Nylon C/Mgo   </t>
  </si>
  <si>
    <t>Espatula Calada Nylon C/Mgo</t>
  </si>
  <si>
    <t>Espatula Lisa Nylon C/Mgo</t>
  </si>
  <si>
    <t xml:space="preserve">Pisa Papas               </t>
  </si>
  <si>
    <t>Cuchara Calada 1 Pieza Ac. Inox</t>
  </si>
  <si>
    <t>Pinza Del Chef</t>
  </si>
  <si>
    <t>Espat. Repost. Goma Gastr</t>
  </si>
  <si>
    <t>Espatula Repost. Goma Com</t>
  </si>
  <si>
    <t>Cucharon Ac Inox C/Mgo Ch</t>
  </si>
  <si>
    <t xml:space="preserve">Espumadera Ac Inox C/Mgo </t>
  </si>
  <si>
    <t>Pinche Ac Inox C/Mgo Chef</t>
  </si>
  <si>
    <t>Cuchara Salsera Ac Inox</t>
  </si>
  <si>
    <t>Cuchara Calada Ac Inox</t>
  </si>
  <si>
    <t>Espatula Lisa Ac Inox</t>
  </si>
  <si>
    <t>Espatula Calada Ac Inox</t>
  </si>
  <si>
    <t>Cuchara Spaghetti Ac. Inox</t>
  </si>
  <si>
    <t xml:space="preserve">Destapaca Corona Pint. X </t>
  </si>
  <si>
    <t xml:space="preserve">Abrelatas Mariposa       </t>
  </si>
  <si>
    <t xml:space="preserve">Abrelatas Uñas           </t>
  </si>
  <si>
    <t>Enrulador Manteca</t>
  </si>
  <si>
    <t>Pelador Mgo Plastico Econ</t>
  </si>
  <si>
    <t xml:space="preserve">Pelapapas Metalico       </t>
  </si>
  <si>
    <t xml:space="preserve">Cierra Bolsa X 4         </t>
  </si>
  <si>
    <t>Cuchillo de Untar Acrilico Transp.</t>
  </si>
  <si>
    <t xml:space="preserve">Cuch. Untar Blanco X 4   </t>
  </si>
  <si>
    <t>Cuch Untar Mgo Madera X2</t>
  </si>
  <si>
    <t xml:space="preserve">Ahueca Papa              </t>
  </si>
  <si>
    <t>Espumante</t>
  </si>
  <si>
    <t>Sacacocrcho Combinado Col</t>
  </si>
  <si>
    <t xml:space="preserve">Cuchara Helado           </t>
  </si>
  <si>
    <t>Bombilla Coco Hexagonal</t>
  </si>
  <si>
    <t xml:space="preserve">Bombilla Coco Bolita </t>
  </si>
  <si>
    <t>Bomb. Resorte Color Metal</t>
  </si>
  <si>
    <t xml:space="preserve">Filtro Para Bombilla     </t>
  </si>
  <si>
    <t xml:space="preserve">Limpia Bombilla          </t>
  </si>
  <si>
    <t>Bomb. Autolimpiante Ac. I</t>
  </si>
  <si>
    <t xml:space="preserve">Pisa Papa Nylon          </t>
  </si>
  <si>
    <t xml:space="preserve">Pinza Chica Display      </t>
  </si>
  <si>
    <t>Corta Queso Blandos Mango Alambre</t>
  </si>
  <si>
    <t xml:space="preserve">Tapon Gaseosa            </t>
  </si>
  <si>
    <t>Tapon De Gaseosa X 2 Negr</t>
  </si>
  <si>
    <t>Corta Torta Plast</t>
  </si>
  <si>
    <t xml:space="preserve">Colador 8 Cm             </t>
  </si>
  <si>
    <t xml:space="preserve">Colador 10 Cm            </t>
  </si>
  <si>
    <t xml:space="preserve">Filtro Para Cafe         </t>
  </si>
  <si>
    <t xml:space="preserve">Rallador Chico Chocolate </t>
  </si>
  <si>
    <t xml:space="preserve">Espatula Lisa Plastica   </t>
  </si>
  <si>
    <t xml:space="preserve">Cuchara Calada Plastica  </t>
  </si>
  <si>
    <t xml:space="preserve">Cuchara Pulpo Plastica   </t>
  </si>
  <si>
    <t xml:space="preserve">Cucharon Plastico        </t>
  </si>
  <si>
    <t xml:space="preserve">Espatula Calada Plastica </t>
  </si>
  <si>
    <t>Espatula Repostera Plasti</t>
  </si>
  <si>
    <t xml:space="preserve">Pinza Hielo Display      </t>
  </si>
  <si>
    <t xml:space="preserve">Pala Torta               </t>
  </si>
  <si>
    <t>Cuchillo De Torta</t>
  </si>
  <si>
    <t xml:space="preserve">Tenedor Copetin X 6      </t>
  </si>
  <si>
    <t xml:space="preserve">Corta Pizza Mgo Chef 6cm              </t>
  </si>
  <si>
    <t xml:space="preserve">Corta Pizza Grande       </t>
  </si>
  <si>
    <t xml:space="preserve">Cuchillitos De Untar Mgo </t>
  </si>
  <si>
    <t>Set X 3 Espatulas Plastic</t>
  </si>
  <si>
    <t>Cuchara De Cocina 33Cm X 12</t>
  </si>
  <si>
    <t>Tenedor Madera 35cm</t>
  </si>
  <si>
    <t xml:space="preserve">Abrelatas Manija Krea    </t>
  </si>
  <si>
    <t xml:space="preserve">Abrelatas Mariposa Krea  </t>
  </si>
  <si>
    <t xml:space="preserve">Abrelata Uña             </t>
  </si>
  <si>
    <t>Sacacorcho Combinado Pint</t>
  </si>
  <si>
    <t>Sacacorcho Tipo Mozo Pint</t>
  </si>
  <si>
    <t xml:space="preserve">Afila Cuchillo           </t>
  </si>
  <si>
    <t xml:space="preserve">Batidor Pera             </t>
  </si>
  <si>
    <t xml:space="preserve">Cuchillo De Untae X2     </t>
  </si>
  <si>
    <t>Pisa Papa</t>
  </si>
  <si>
    <t xml:space="preserve">Cuchara De Madera 35Cm   </t>
  </si>
  <si>
    <t>Cuchara De Madera De 30 C</t>
  </si>
  <si>
    <t xml:space="preserve">Pelador "V" Horizontal   </t>
  </si>
  <si>
    <t>Sac Doble Aleta Fund Eco</t>
  </si>
  <si>
    <t xml:space="preserve">Batidor Pera Display     </t>
  </si>
  <si>
    <t>Rallador Plano A/I 3 Usos</t>
  </si>
  <si>
    <t>Filtro De Tela Gastronomi</t>
  </si>
  <si>
    <t>Corta Pizza Con Mgo Chino</t>
  </si>
  <si>
    <t xml:space="preserve">Prensa Matambre Display  </t>
  </si>
  <si>
    <t>Cuchara Madera 35 Display X 12</t>
  </si>
  <si>
    <t>Cuchara Madera 45 Display X 12</t>
  </si>
  <si>
    <t xml:space="preserve">Ñoquera Display          </t>
  </si>
  <si>
    <t>Bate Bife Display</t>
  </si>
  <si>
    <t>Cuchara Madera 30 Display X 12</t>
  </si>
  <si>
    <t>Cuchara Madera 40 Display X 12</t>
  </si>
  <si>
    <t>Cuchara Madera 25 Display X 12</t>
  </si>
  <si>
    <t xml:space="preserve">Stock Uni </t>
  </si>
  <si>
    <t>Ahueca Papas</t>
  </si>
  <si>
    <t>Ahueca Frutas</t>
  </si>
  <si>
    <t>Espumadera Ac.Inox.</t>
  </si>
  <si>
    <t>Cuchara De Helado</t>
  </si>
  <si>
    <t>Pelador Mgo Metalico</t>
  </si>
  <si>
    <t>Sacacorcho Doble Aleta</t>
  </si>
  <si>
    <t>Pala De Canelones</t>
  </si>
  <si>
    <t>Pelador Mgo Plastico</t>
  </si>
  <si>
    <t>Pincel Pastelero</t>
  </si>
  <si>
    <t>Corta Torta</t>
  </si>
  <si>
    <t>Abrelatas A Manija</t>
  </si>
  <si>
    <t>Sacafuentes Articulado</t>
  </si>
  <si>
    <t>Ñoquera Madera</t>
  </si>
  <si>
    <t>Enrulador De Manteca</t>
  </si>
  <si>
    <t>Batidor Pera Alambre</t>
  </si>
  <si>
    <t>Afila Cuchillos</t>
  </si>
  <si>
    <t>Batidor Resorte</t>
  </si>
  <si>
    <t>Unid Sueltas</t>
  </si>
  <si>
    <t>Conteo Paquete</t>
  </si>
  <si>
    <t>Sector</t>
  </si>
  <si>
    <t>Sacacorcho Combinado Color</t>
  </si>
  <si>
    <t>V2A</t>
  </si>
  <si>
    <t>A2C</t>
  </si>
  <si>
    <t>V2D</t>
  </si>
  <si>
    <t>A1D</t>
  </si>
  <si>
    <t>V2C</t>
  </si>
  <si>
    <t>V2B</t>
  </si>
  <si>
    <t>V3A</t>
  </si>
  <si>
    <t>Bolsas</t>
  </si>
  <si>
    <t>Bolsa Filtro Café LK</t>
  </si>
  <si>
    <t>Bolsa Filtro Café Gast LK</t>
  </si>
  <si>
    <t>Bolsa Filtro Café CH</t>
  </si>
  <si>
    <t>Bolsa Filtro Café Gast CH</t>
  </si>
  <si>
    <t>Cant x Pliego</t>
  </si>
  <si>
    <t>UT</t>
  </si>
  <si>
    <t>CO</t>
  </si>
  <si>
    <t>CGENE</t>
  </si>
  <si>
    <t>RC</t>
  </si>
  <si>
    <t>AM</t>
  </si>
  <si>
    <t>BQ</t>
  </si>
  <si>
    <t>AC</t>
  </si>
  <si>
    <t>AA</t>
  </si>
  <si>
    <t>CC</t>
  </si>
  <si>
    <t>BB</t>
  </si>
  <si>
    <t>Sacacorcho Tipo Mozo Color</t>
  </si>
  <si>
    <t>Cuchillo De Untar X 2 mad</t>
  </si>
  <si>
    <t xml:space="preserve">Colador N°16             </t>
  </si>
  <si>
    <t xml:space="preserve">Colador N°20             </t>
  </si>
  <si>
    <t xml:space="preserve">Cuchillo Torta Acero Inox </t>
  </si>
  <si>
    <t>Abrelata Mariposa Tira Imp.</t>
  </si>
  <si>
    <t>Afila Cuchillos Azul</t>
  </si>
  <si>
    <t>Abrelata Uña Crom Tira Imp</t>
  </si>
  <si>
    <t>Sac. Tipo Mozo Cromado Tira Imp.</t>
  </si>
  <si>
    <t>502T</t>
  </si>
  <si>
    <t>504A</t>
  </si>
  <si>
    <t>510T</t>
  </si>
  <si>
    <t>512E</t>
  </si>
  <si>
    <t>520T</t>
  </si>
  <si>
    <t>581T</t>
  </si>
  <si>
    <t>587T</t>
  </si>
  <si>
    <t>Cepillo Limpia Bombilla</t>
  </si>
  <si>
    <t>L3A</t>
  </si>
  <si>
    <t>L3B</t>
  </si>
  <si>
    <t>L3C</t>
  </si>
  <si>
    <t>Sac. Cabo Nylon</t>
  </si>
  <si>
    <t>Sac. Cabo Plast Tira Imp.</t>
  </si>
  <si>
    <t>Pelapapa Corte Laser Tira Imp.</t>
  </si>
  <si>
    <t>V1A</t>
  </si>
  <si>
    <t>V1B</t>
  </si>
  <si>
    <t>V2E</t>
  </si>
  <si>
    <t>M3A</t>
  </si>
  <si>
    <t>M3B</t>
  </si>
  <si>
    <t>M3C</t>
  </si>
  <si>
    <t>M5A</t>
  </si>
  <si>
    <t>M5B</t>
  </si>
  <si>
    <t>L5A</t>
  </si>
  <si>
    <t>L5B</t>
  </si>
  <si>
    <t>Q3A</t>
  </si>
  <si>
    <t>S4A</t>
  </si>
  <si>
    <t>O4A</t>
  </si>
  <si>
    <t>S3C</t>
  </si>
  <si>
    <t>R3A</t>
  </si>
  <si>
    <t>R3C</t>
  </si>
  <si>
    <t>S3A</t>
  </si>
  <si>
    <t>S3B</t>
  </si>
  <si>
    <t>Pinza Articulada Madera Ensalada y Sushi</t>
  </si>
  <si>
    <t>Abrelatas Super Mariposa</t>
  </si>
  <si>
    <t>Abrelata Mariposa Tira Impulsiva</t>
  </si>
  <si>
    <t>Abrelata Uña Cromado Tira Impulsiva</t>
  </si>
  <si>
    <t>Sac. Tipo Mozo Cromado Tira Impulsiva</t>
  </si>
  <si>
    <t>Sac. Cabo Nylon Tira Impulsiva</t>
  </si>
  <si>
    <t>Pelador Cuchilla Corte Laser Tira Impulsiva</t>
  </si>
  <si>
    <t>Sacacorcho Cabo Madera</t>
  </si>
  <si>
    <t>Corta Queso Semiduros A/I</t>
  </si>
  <si>
    <t>Batidor Mini</t>
  </si>
  <si>
    <t>Corta Pizza C/Mgo Ergonom</t>
  </si>
  <si>
    <t xml:space="preserve">Corta Huevo              </t>
  </si>
  <si>
    <t>Corta Pizza Familiar</t>
  </si>
  <si>
    <t xml:space="preserve">Sacacorcho "Fish" Grande </t>
  </si>
  <si>
    <t>Rallador C/Mgo Ergonomico</t>
  </si>
  <si>
    <t>574E</t>
  </si>
  <si>
    <t>810E</t>
  </si>
  <si>
    <t>580E</t>
  </si>
  <si>
    <t>811E</t>
  </si>
  <si>
    <t>812E</t>
  </si>
  <si>
    <t>819E</t>
  </si>
  <si>
    <t>817E</t>
  </si>
  <si>
    <t>529E</t>
  </si>
  <si>
    <t xml:space="preserve">Sacafuente               </t>
  </si>
  <si>
    <t>R1A</t>
  </si>
  <si>
    <t>R2A</t>
  </si>
  <si>
    <t>S1A</t>
  </si>
  <si>
    <t>S2A</t>
  </si>
  <si>
    <t>R5/6/7A</t>
  </si>
  <si>
    <t>Cód ISIS</t>
  </si>
  <si>
    <t>Prescintos N° 8</t>
  </si>
  <si>
    <t>Prescintos N° 10</t>
  </si>
  <si>
    <t>Prescintos N° 12</t>
  </si>
  <si>
    <t>Prescintos N° 14</t>
  </si>
  <si>
    <t>Prescintos N° 16</t>
  </si>
  <si>
    <t>Corbata</t>
  </si>
  <si>
    <t>SI</t>
  </si>
  <si>
    <t>Cant x Uni</t>
  </si>
  <si>
    <t>Prescintos</t>
  </si>
  <si>
    <t>Etiquetas</t>
  </si>
  <si>
    <t>MA1A</t>
  </si>
  <si>
    <t>Etiqueta 49 x 25</t>
  </si>
  <si>
    <t>Etiqueta 38 x 20</t>
  </si>
  <si>
    <t>Etiqueta 100 x 35</t>
  </si>
  <si>
    <t>38x20</t>
  </si>
  <si>
    <t>49x25</t>
  </si>
  <si>
    <t>Fleje Prolipropileno 11.5 mm</t>
  </si>
  <si>
    <t>AC9</t>
  </si>
  <si>
    <t>Cepillos</t>
  </si>
  <si>
    <t>Cepillo Limpia Mamadera</t>
  </si>
  <si>
    <t>Etiqueta 100 x 65</t>
  </si>
  <si>
    <t>Ribbon Cera 102 x 450 Negro</t>
  </si>
  <si>
    <t>Abrelatas Mariposa Cromado</t>
  </si>
  <si>
    <t>Filtro Para Bombillas</t>
  </si>
  <si>
    <t xml:space="preserve">Cuchara Nylon Reforzada  </t>
  </si>
  <si>
    <t>Sacacorcho Mango Ergonomico</t>
  </si>
  <si>
    <t>Pelador Metalico Corte Laser</t>
  </si>
  <si>
    <t xml:space="preserve">Colador Ø 16cm  </t>
  </si>
  <si>
    <t>Muñeco Silicona Antiderrame</t>
  </si>
  <si>
    <t xml:space="preserve">Sacacorcho Doble Aleta  </t>
  </si>
  <si>
    <t>Cuchara Madera 35 Cm</t>
  </si>
  <si>
    <t>Pinza De Hielo 14cm</t>
  </si>
  <si>
    <t>Tapon De Vino/Cerveza x1 Negro</t>
  </si>
  <si>
    <t>Tapon De Vino/Cerveza x1 Prem</t>
  </si>
  <si>
    <t>Tapon De Vino/Cerveza x1 Color</t>
  </si>
  <si>
    <t>Manga Repostera + 4 Boquillas</t>
  </si>
  <si>
    <t>Cuchillo Untar Mgo Madera x2</t>
  </si>
  <si>
    <t>Pelanaranjas x 1 Display</t>
  </si>
  <si>
    <t xml:space="preserve">Corta Ravioles c/Mango Loeke </t>
  </si>
  <si>
    <t xml:space="preserve">Pinza Corta Alambre 21cm </t>
  </si>
  <si>
    <t>Rallador Cilindrico 21cm</t>
  </si>
  <si>
    <t>Abrelatas Mariposa Capuchon Rojo</t>
  </si>
  <si>
    <t>Abrelatas Uña 3 En 1</t>
  </si>
  <si>
    <t>Llavero Destapador Pie Color</t>
  </si>
  <si>
    <t>Corta Queso Blandos Mango Loeke</t>
  </si>
  <si>
    <t xml:space="preserve">Corta Pizza 8cm Mgo Madera </t>
  </si>
  <si>
    <t>Pala De Torta Acero Inox</t>
  </si>
  <si>
    <t>Sacafuente Pizzero</t>
  </si>
  <si>
    <t>Cuchillo De Untar Mgo Plast x2</t>
  </si>
  <si>
    <t>Cuchara Madera 40 Cm</t>
  </si>
  <si>
    <t>Cuchara Madera 25 Cm</t>
  </si>
  <si>
    <t>Bate Bife Madera</t>
  </si>
  <si>
    <t>Cuchara Madera 45 Cm</t>
  </si>
  <si>
    <t>Cuchara Madera 30 Cm</t>
  </si>
  <si>
    <t>Cucharon Nylon 1 Pza</t>
  </si>
  <si>
    <t>Cuchara Fideos Nylon 1 Pza</t>
  </si>
  <si>
    <t>Espatula Calada Nylon 1 Pza</t>
  </si>
  <si>
    <t>Espatula Calada Ac. Inox.</t>
  </si>
  <si>
    <t>Cuchara Salsera Inox</t>
  </si>
  <si>
    <t>Cucharon Ac.Inox.</t>
  </si>
  <si>
    <t>Pinche Ac.Inox.</t>
  </si>
  <si>
    <t>Espatula Lisa Ac.Inox.</t>
  </si>
  <si>
    <t>Cuchara Calada Nylon 1 Pza</t>
  </si>
  <si>
    <t xml:space="preserve">Colador Ø 20cm  </t>
  </si>
  <si>
    <t>Colador Ø 8cm</t>
  </si>
  <si>
    <t xml:space="preserve">Colador Ø 10cm </t>
  </si>
  <si>
    <t>Cierra Bolsa x2</t>
  </si>
  <si>
    <t>Destapa Corona x1 Cromado</t>
  </si>
  <si>
    <t xml:space="preserve">Abrelatas Super Mariposa                         </t>
  </si>
  <si>
    <t>Pinza Gastronomica 25cm</t>
  </si>
  <si>
    <t>Espumadera Nylon con Mgo</t>
  </si>
  <si>
    <t>Corta Ravioles c/Mango Loeke</t>
  </si>
  <si>
    <t>Abrelata Mariposa Niquelado</t>
  </si>
  <si>
    <t xml:space="preserve">Cuchillo Untar Mgo Madera x2 </t>
  </si>
  <si>
    <t xml:space="preserve">Cuchara De Helado </t>
  </si>
  <si>
    <t>Destapa Corona x1 Blanco</t>
  </si>
  <si>
    <t>Cuchillo De Torta Ac. Inox</t>
  </si>
  <si>
    <t>Pinza Corta Alambre 21cm</t>
  </si>
  <si>
    <t>Filtro de Bombilla</t>
  </si>
  <si>
    <t>Pala De Canelones Ac. Inox</t>
  </si>
  <si>
    <t>Corta Pizza Gastro. Mgo Chef Ø 8cm</t>
  </si>
  <si>
    <t>Sacacorcho Cabo Ergonomico</t>
  </si>
  <si>
    <t xml:space="preserve">Set x3 Espatulas Plasticas </t>
  </si>
  <si>
    <t xml:space="preserve">Pinza De Ensalada Inox </t>
  </si>
  <si>
    <t>Pelapapas Mgo Plastico Ergonomico Verde</t>
  </si>
  <si>
    <t>Pinza De Fiambre Inox</t>
  </si>
  <si>
    <t xml:space="preserve">Pinza De Fideos Inox  </t>
  </si>
  <si>
    <t xml:space="preserve">Afila Cuchillos </t>
  </si>
  <si>
    <t>Extractor de Espumante</t>
  </si>
  <si>
    <t>Precio Uni</t>
  </si>
  <si>
    <t>% Ocup</t>
  </si>
  <si>
    <t>FECHA:</t>
  </si>
  <si>
    <t>Pedi Min</t>
  </si>
  <si>
    <t>Descripción</t>
  </si>
  <si>
    <t>Cons x Mes Rollo</t>
  </si>
  <si>
    <t>Uni x Rollo</t>
  </si>
  <si>
    <t>Cons Uni x Mes</t>
  </si>
  <si>
    <t>Abrelata Uña Pie</t>
  </si>
  <si>
    <t>Abrelatas Uña</t>
  </si>
  <si>
    <t>Abrelata Uña Crom</t>
  </si>
  <si>
    <t>Corta Pizza 6cm Mgo LK</t>
  </si>
  <si>
    <t>Max Cons 3 Mes</t>
  </si>
  <si>
    <t>Pliegos Adhesivado</t>
  </si>
  <si>
    <t>Pliegos SIN Adhesivar</t>
  </si>
  <si>
    <t>Max Cons 3 Mes Uni</t>
  </si>
  <si>
    <t>Prov</t>
  </si>
  <si>
    <t>Pliego x Paq</t>
  </si>
  <si>
    <t>Pedido KG</t>
  </si>
  <si>
    <t xml:space="preserve">Abrelatas Uña 706 CH </t>
  </si>
  <si>
    <t xml:space="preserve">Cepillo Limpia Bombilla </t>
  </si>
  <si>
    <t xml:space="preserve">Bombilla Resorte Chata </t>
  </si>
  <si>
    <t xml:space="preserve">Bombilla Resorte Tradici </t>
  </si>
  <si>
    <t xml:space="preserve">Bombilla AutoLimp </t>
  </si>
  <si>
    <t xml:space="preserve">Bombilla Chef </t>
  </si>
  <si>
    <t xml:space="preserve">Abrelata Uña Pie </t>
  </si>
  <si>
    <t xml:space="preserve">Abrelatas Uña </t>
  </si>
  <si>
    <t xml:space="preserve">Abrelata Uña Cromado </t>
  </si>
  <si>
    <t xml:space="preserve">Cons x Mes </t>
  </si>
  <si>
    <t>Agrup</t>
  </si>
  <si>
    <t>Sunchos</t>
  </si>
  <si>
    <t>Stock KG</t>
  </si>
  <si>
    <t>KG x Caja</t>
  </si>
  <si>
    <t>Prec x KG</t>
  </si>
  <si>
    <t>Cant x Rollo</t>
  </si>
  <si>
    <t>Carton</t>
  </si>
  <si>
    <t>DISCONTINUO</t>
  </si>
  <si>
    <t>E2A</t>
  </si>
  <si>
    <t>G1A</t>
  </si>
  <si>
    <t>M4A</t>
  </si>
  <si>
    <t>M3D</t>
  </si>
  <si>
    <t>M6A</t>
  </si>
  <si>
    <t>M6B</t>
  </si>
  <si>
    <t>L4B</t>
  </si>
  <si>
    <t>L4A</t>
  </si>
  <si>
    <t>Afila Loekemeyer</t>
  </si>
  <si>
    <t>Afila Chef</t>
  </si>
  <si>
    <t>INFORMACION</t>
  </si>
  <si>
    <t>Max Cons 3 Mes KG</t>
  </si>
  <si>
    <t>Cant x Bolsa</t>
  </si>
  <si>
    <t>Conteo Rollo</t>
  </si>
  <si>
    <t>Pedi Min Uni</t>
  </si>
  <si>
    <t>% Ocup Total</t>
  </si>
  <si>
    <t>Stock CD Uni</t>
  </si>
  <si>
    <t>Stock Total Uni</t>
  </si>
  <si>
    <t>Max CD Uni</t>
  </si>
  <si>
    <t>Max Total Uni</t>
  </si>
  <si>
    <t>Cod Art</t>
  </si>
  <si>
    <t>Stock Caja CD</t>
  </si>
  <si>
    <t>Parte x Uni</t>
  </si>
  <si>
    <t>Uni x Caja</t>
  </si>
  <si>
    <t>Stock Uni CD</t>
  </si>
  <si>
    <t>Max Cajas CD</t>
  </si>
  <si>
    <t>STOCK VIRGILIO CARTONES</t>
  </si>
  <si>
    <t>Descripción Parte</t>
  </si>
  <si>
    <t>Max Uni CD</t>
  </si>
  <si>
    <t>Estad Madre Uni</t>
  </si>
  <si>
    <t>Bandita LK</t>
  </si>
  <si>
    <t>Bandita CH</t>
  </si>
  <si>
    <t>Cepillo Limpia Mamadera LK</t>
  </si>
  <si>
    <t>Cepillo Limpia Mamadera CH</t>
  </si>
  <si>
    <t>Cepillo Limpia Bombilla LK</t>
  </si>
  <si>
    <t>Cepillo Limpia Bombilla CH</t>
  </si>
  <si>
    <t>Uni Suelta</t>
  </si>
  <si>
    <t>Stock CD KG</t>
  </si>
  <si>
    <t>Stock Total KG</t>
  </si>
  <si>
    <t>Stock CD Pliego</t>
  </si>
  <si>
    <t>Stock Total Pliego</t>
  </si>
  <si>
    <t>Max CD KG</t>
  </si>
  <si>
    <t>Max Total KG</t>
  </si>
  <si>
    <t>Max CD Pliego</t>
  </si>
  <si>
    <t>Max Total Pliego</t>
  </si>
  <si>
    <t>ENCARGADO:</t>
  </si>
  <si>
    <t>Grafica Pol</t>
  </si>
  <si>
    <t>Envases Vihal</t>
  </si>
  <si>
    <t>Packaging y Servicios</t>
  </si>
  <si>
    <t>Roster</t>
  </si>
  <si>
    <t>Sumatik</t>
  </si>
  <si>
    <t>Cia Integral Etiquetas</t>
  </si>
  <si>
    <t>Film Strecht Virgen</t>
  </si>
  <si>
    <t>LA1</t>
  </si>
  <si>
    <t>Stock Paquete</t>
  </si>
  <si>
    <t>Pedido Paquete</t>
  </si>
  <si>
    <t>Pedi Min Paquete</t>
  </si>
  <si>
    <t>Pliego Suelto</t>
  </si>
  <si>
    <t>Cons x Mes Paquete</t>
  </si>
  <si>
    <t>Uni x Pliego</t>
  </si>
  <si>
    <t>Pliego Bombilla</t>
  </si>
  <si>
    <t>Papelera 9 de Julio</t>
  </si>
  <si>
    <t>B5C</t>
  </si>
  <si>
    <t>Cepillo Limpia Vajilla LK</t>
  </si>
  <si>
    <t>Cepillo Limpia Vajilla CH</t>
  </si>
  <si>
    <t>Cepillo Limpia Vajilla</t>
  </si>
  <si>
    <t>Cant x Caja</t>
  </si>
  <si>
    <t>Pedi Min KG</t>
  </si>
  <si>
    <t>Cant Rollo x Caja</t>
  </si>
  <si>
    <t>AB</t>
  </si>
  <si>
    <t>N° Prec</t>
  </si>
  <si>
    <t>Bolsa Cierra Bolsa</t>
  </si>
  <si>
    <t>Este pedido anula cualquier pedido anterior</t>
  </si>
  <si>
    <t xml:space="preserve">Fecha: </t>
  </si>
  <si>
    <t>AJ Adhesivos</t>
  </si>
  <si>
    <t>Precinter</t>
  </si>
  <si>
    <t>Pedido Damian</t>
  </si>
  <si>
    <t>Corbata Generica CH</t>
  </si>
  <si>
    <t>Corbata Generica LK</t>
  </si>
  <si>
    <t>Carton 66</t>
  </si>
  <si>
    <t>Pelapapas Mgo Plast Ergo Vde</t>
  </si>
  <si>
    <t>Corta Queso Blandos Mgo Alambre</t>
  </si>
  <si>
    <t>Pinza De Ensalada Mgo Plast 23cm</t>
  </si>
  <si>
    <t>Pinza De Fiambre Mgo Plast 23cm</t>
  </si>
  <si>
    <t>Pinza De Fideos Mgo Plast 25cm</t>
  </si>
  <si>
    <t>Pelapapas Mgo Plast Ergo</t>
  </si>
  <si>
    <t>Corta Pizza Gastro. Mgo Ch Ø 8cm</t>
  </si>
  <si>
    <t>CONTEO CARTONES Y PLIEGOS</t>
  </si>
  <si>
    <t>Max Cons 3 Mes Paquete</t>
  </si>
  <si>
    <t>Max x Mes</t>
  </si>
  <si>
    <t>1314700</t>
  </si>
  <si>
    <t>Orden Prioridad</t>
  </si>
  <si>
    <t>Conteo Cajas</t>
  </si>
  <si>
    <t>Cant Uni x Caja</t>
  </si>
  <si>
    <t>Cuchara de Fideos Nylon Mango Goma</t>
  </si>
  <si>
    <t>Llavero Destapador Pie Cromado</t>
  </si>
  <si>
    <t>Ñoquera Madera mango redondo</t>
  </si>
  <si>
    <t>Cucharita 13cm Azucarera Madera</t>
  </si>
  <si>
    <t>Met-V</t>
  </si>
  <si>
    <t>Met-Cua</t>
  </si>
  <si>
    <t>% Ocup Conteo</t>
  </si>
  <si>
    <t>Orden Priori</t>
  </si>
  <si>
    <t>Pedido Damian Uni</t>
  </si>
  <si>
    <t>Pinza Grande</t>
  </si>
  <si>
    <t xml:space="preserve">Espatula Calada Nylon Mgo Goma </t>
  </si>
  <si>
    <t>Cucharon Nylon Mgo Goma</t>
  </si>
  <si>
    <t xml:space="preserve">Bombilla Coco Hexagonal </t>
  </si>
  <si>
    <t>Bombilla Colores Metalizados</t>
  </si>
  <si>
    <t xml:space="preserve">Pinza articulada de Madera Ensalada/Sushi </t>
  </si>
  <si>
    <t>G1B</t>
  </si>
  <si>
    <t>G1C</t>
  </si>
  <si>
    <t>G1E</t>
  </si>
  <si>
    <t>G2C</t>
  </si>
  <si>
    <t>G2D</t>
  </si>
  <si>
    <t>G2E</t>
  </si>
  <si>
    <t>G3D</t>
  </si>
  <si>
    <t>G3E</t>
  </si>
  <si>
    <t>G4C</t>
  </si>
  <si>
    <t>G4D</t>
  </si>
  <si>
    <t>G4E</t>
  </si>
  <si>
    <t>G5C</t>
  </si>
  <si>
    <t>G5D</t>
  </si>
  <si>
    <t>G5E</t>
  </si>
  <si>
    <t>G6A</t>
  </si>
  <si>
    <t>G6B</t>
  </si>
  <si>
    <t>G7A</t>
  </si>
  <si>
    <t>G7B</t>
  </si>
  <si>
    <t>G7C</t>
  </si>
  <si>
    <t>G7D</t>
  </si>
  <si>
    <t>D1B</t>
  </si>
  <si>
    <t>D1A</t>
  </si>
  <si>
    <t>E1A</t>
  </si>
  <si>
    <t>E1B</t>
  </si>
  <si>
    <t>E2B</t>
  </si>
  <si>
    <t>E4A</t>
  </si>
  <si>
    <t>F1</t>
  </si>
  <si>
    <t>F5C</t>
  </si>
  <si>
    <t>M7A</t>
  </si>
  <si>
    <t>M4B</t>
  </si>
  <si>
    <t>M7B</t>
  </si>
  <si>
    <t>M5D</t>
  </si>
  <si>
    <t>G8A</t>
  </si>
  <si>
    <t>G7E</t>
  </si>
  <si>
    <t>G8B</t>
  </si>
  <si>
    <t>L4C</t>
  </si>
  <si>
    <t>M2</t>
  </si>
  <si>
    <t>M5C</t>
  </si>
  <si>
    <t>K4A</t>
  </si>
  <si>
    <t>K4B</t>
  </si>
  <si>
    <t>K4C</t>
  </si>
  <si>
    <t>K5A</t>
  </si>
  <si>
    <t>K5B</t>
  </si>
  <si>
    <t>K5C</t>
  </si>
  <si>
    <t>K6A</t>
  </si>
  <si>
    <t>K6C</t>
  </si>
  <si>
    <t>K7A</t>
  </si>
  <si>
    <t>G8C</t>
  </si>
  <si>
    <t xml:space="preserve">Afila Cuchillos Loke </t>
  </si>
  <si>
    <t>Abrelata A Mariposa</t>
  </si>
  <si>
    <t>Sac Cabo Ergono nylon</t>
  </si>
  <si>
    <t>Sac Zincado</t>
  </si>
  <si>
    <t>Fecha Entrega</t>
  </si>
  <si>
    <t>Conteo Caja</t>
  </si>
  <si>
    <t xml:space="preserve">Descripcion </t>
  </si>
  <si>
    <t xml:space="preserve">Abrelatas A Manija </t>
  </si>
  <si>
    <t>Abrelatas A Mariposa</t>
  </si>
  <si>
    <t>Abrelatas Uña Cromado</t>
  </si>
  <si>
    <t>Sac.Doble Aleta Fundi</t>
  </si>
  <si>
    <t>Sacac Doble Imp Inox</t>
  </si>
  <si>
    <t>Pelador Cuchilla Laser</t>
  </si>
  <si>
    <t xml:space="preserve">Pelador Mgo Metalico </t>
  </si>
  <si>
    <t>Sac. Zincado</t>
  </si>
  <si>
    <t xml:space="preserve">Colador N°8     </t>
  </si>
  <si>
    <t xml:space="preserve">Colador N°10              </t>
  </si>
  <si>
    <t xml:space="preserve">Colador N°16                  </t>
  </si>
  <si>
    <t xml:space="preserve">Colador N°20                  </t>
  </si>
  <si>
    <t xml:space="preserve">Afila Cuchillos               </t>
  </si>
  <si>
    <t xml:space="preserve">Batidor Pera Alambre          </t>
  </si>
  <si>
    <t>Corta Pizza familiar</t>
  </si>
  <si>
    <t xml:space="preserve">ECOCorta Pizza C/Mgo Ergonomico  </t>
  </si>
  <si>
    <t>Corta Queso mgo Lk</t>
  </si>
  <si>
    <t>Corta Queso (entero)</t>
  </si>
  <si>
    <t xml:space="preserve">Filtro De Cafe                </t>
  </si>
  <si>
    <t xml:space="preserve">Pisa Papas A. Inox         </t>
  </si>
  <si>
    <t xml:space="preserve">Rallador Cilindrico           </t>
  </si>
  <si>
    <t>Pelador Ergonomico</t>
  </si>
  <si>
    <t>Tostador Enlosado</t>
  </si>
  <si>
    <t>Etiqueta</t>
  </si>
  <si>
    <t>Afila Loke</t>
  </si>
  <si>
    <t>K1C</t>
  </si>
  <si>
    <t>Cant Presc</t>
  </si>
  <si>
    <t>Pelador Ergonomuco Loke</t>
  </si>
  <si>
    <t>Pelador Mgo Metalico Loke</t>
  </si>
  <si>
    <t>Pelador cuchilla laser Loke</t>
  </si>
  <si>
    <t>Sac Cabo Ergono Nylon</t>
  </si>
  <si>
    <t>Corta Queso Mgo LK</t>
  </si>
  <si>
    <t>Rallador Cilindrico</t>
  </si>
  <si>
    <t>Tostador Enlozado</t>
  </si>
  <si>
    <t>Stock Uni/Paq/KG</t>
  </si>
  <si>
    <t>Sacacorcho Ergonomico Plast</t>
  </si>
  <si>
    <t>Colador N° 8 Loke</t>
  </si>
  <si>
    <t>Colador  N°10  Loke</t>
  </si>
  <si>
    <t>Afila  Cuch  Loke</t>
  </si>
  <si>
    <t xml:space="preserve"> Ø 16 Env. Loke</t>
  </si>
  <si>
    <t>Colador  N°20  Loke</t>
  </si>
  <si>
    <t>Q24C</t>
  </si>
  <si>
    <t>Q24L</t>
  </si>
  <si>
    <t>Q28L</t>
  </si>
  <si>
    <t>Q28C</t>
  </si>
  <si>
    <t>Q35/ BOM5C</t>
  </si>
  <si>
    <t>Q35/ BOM5L</t>
  </si>
  <si>
    <t>Colador Ø 14cm</t>
  </si>
  <si>
    <t>Colador Ø 7cm</t>
  </si>
  <si>
    <t>K3C</t>
  </si>
  <si>
    <t>K3D</t>
  </si>
  <si>
    <t>K2A</t>
  </si>
  <si>
    <t>C-LOK</t>
  </si>
  <si>
    <t>Max Paq 3 Mes</t>
  </si>
  <si>
    <t>Madre Est Uni</t>
  </si>
  <si>
    <t xml:space="preserve">Madre Est Uni </t>
  </si>
  <si>
    <t>TOTAL</t>
  </si>
  <si>
    <t>MINIMO</t>
  </si>
  <si>
    <t>H1-LOK</t>
  </si>
  <si>
    <t>H2-LOK</t>
  </si>
  <si>
    <t>H3-LOK</t>
  </si>
  <si>
    <t>H4-LOK</t>
  </si>
  <si>
    <t>Corb-CH</t>
  </si>
  <si>
    <t>Corb-LK</t>
  </si>
  <si>
    <t>Bomb-CH</t>
  </si>
  <si>
    <t>Corta Pizza Gastronomico</t>
  </si>
  <si>
    <t>K4D</t>
  </si>
  <si>
    <t>LOK</t>
  </si>
  <si>
    <t>Colador 7cm</t>
  </si>
  <si>
    <t>Colador 8cm</t>
  </si>
  <si>
    <t>CBG</t>
  </si>
  <si>
    <t>HUEVO</t>
  </si>
  <si>
    <t>PEL</t>
  </si>
  <si>
    <t>RALL</t>
  </si>
  <si>
    <t>MRP</t>
  </si>
  <si>
    <t>Prescintos Negro N° 8</t>
  </si>
  <si>
    <t>Prescintos Negro N° 10</t>
  </si>
  <si>
    <t>Prescintos Negro N° 12</t>
  </si>
  <si>
    <t>Prescintos Negro N° 14</t>
  </si>
  <si>
    <t>Prescintos Negro N° 16</t>
  </si>
  <si>
    <t>N° Ord</t>
  </si>
  <si>
    <t>Entrega Uni</t>
  </si>
  <si>
    <t>CORB8</t>
  </si>
  <si>
    <t>Loekemeyer Hnos. S.R.L</t>
  </si>
  <si>
    <t>ORDEN DE COMPRA</t>
  </si>
  <si>
    <t>CUIT:</t>
  </si>
  <si>
    <t>30-51584245-0</t>
  </si>
  <si>
    <t>DIRECCION:</t>
  </si>
  <si>
    <t>Cervantes 2868</t>
  </si>
  <si>
    <t>LOCALIDAD:</t>
  </si>
  <si>
    <t>Villa Devoto, CABA</t>
  </si>
  <si>
    <t>FECHA PEDIDO:</t>
  </si>
  <si>
    <t>RAZON SOCIAL:</t>
  </si>
  <si>
    <t>COD PROV:</t>
  </si>
  <si>
    <t>ENTREGA EN:</t>
  </si>
  <si>
    <t>ESTE PEDIDO ANULA CUALQUIER PEDIDO ANTERIOR</t>
  </si>
  <si>
    <t>Chef S.R.L</t>
  </si>
  <si>
    <t>30-68575625-7</t>
  </si>
  <si>
    <t>Virgilio 2788</t>
  </si>
  <si>
    <t>PRECINTER</t>
  </si>
  <si>
    <t>SUMATIK</t>
  </si>
  <si>
    <t>ROSTER</t>
  </si>
  <si>
    <t>Llavero Destapador Pie Crom</t>
  </si>
  <si>
    <t>Loekemeyer SRL - LOKE</t>
  </si>
  <si>
    <t>% Ocup Virgilio</t>
  </si>
  <si>
    <t>Tipo de Cartón</t>
  </si>
  <si>
    <t>Huevo</t>
  </si>
  <si>
    <t>Corb8</t>
  </si>
  <si>
    <t>Fecha Pedido:</t>
  </si>
  <si>
    <t>Abrelata Mariposa Cromado</t>
  </si>
  <si>
    <t>Abrelata A Manija</t>
  </si>
  <si>
    <t>Abrelata Mariposa Pintado</t>
  </si>
  <si>
    <t>Abrelata Super Mariposa</t>
  </si>
  <si>
    <t>Sacacorcho Mgo Ergonomico</t>
  </si>
  <si>
    <t>Corta Ravioles c/Mgo LK</t>
  </si>
  <si>
    <t>Corta Queso Blandos Mgo LK</t>
  </si>
  <si>
    <t>Tapon De Vino x 1 Negro</t>
  </si>
  <si>
    <t>Tapon De Vino x 1 Color</t>
  </si>
  <si>
    <t>Tapon De Vino x 1 Prem</t>
  </si>
  <si>
    <t>Cuchillo Untar Mgo Madera x 2</t>
  </si>
  <si>
    <t>Cuchillo Untar Mgo Plast x 2</t>
  </si>
  <si>
    <t>Destapa Corona x 1 Cromado</t>
  </si>
  <si>
    <t>Pinza Ensalada Mgo Plast 23cm</t>
  </si>
  <si>
    <t>Pinza Fiambre Mgo Plast 23cm</t>
  </si>
  <si>
    <t>Pinza Fideos Mgo Plast 25cm</t>
  </si>
  <si>
    <t>Pinza Hielo 14cm</t>
  </si>
  <si>
    <t>Cucharita 13cm Azucar Madera</t>
  </si>
  <si>
    <t>Ñoquera Madera Mgo redondo</t>
  </si>
  <si>
    <t xml:space="preserve">Cuchillo Untar Mgo Madera x 2 </t>
  </si>
  <si>
    <t>Corta Ravioles c/Mgo CH</t>
  </si>
  <si>
    <t>C/Pizza Gastro. Mgo Ch Ø 8cm</t>
  </si>
  <si>
    <t>Corta Queso Mgo Alambre</t>
  </si>
  <si>
    <t>Tipo C</t>
  </si>
  <si>
    <t>Manga</t>
  </si>
  <si>
    <t>Abrelata Uña 3 En 1</t>
  </si>
  <si>
    <t>Colador N°20  Loke</t>
  </si>
  <si>
    <t>Colador N°10  Loke</t>
  </si>
  <si>
    <t>Colador N°8 Loke</t>
  </si>
  <si>
    <t>Pelador</t>
  </si>
  <si>
    <t xml:space="preserve">Tipo C - Pliego 5 Sacacorchos - Troquel Utensilios </t>
  </si>
  <si>
    <t>Tipo C - Pliego 2 Pelador - Troquel Pelador</t>
  </si>
  <si>
    <t>Tipo C - Pliego 1 Abrelatas - Troquel Abrelatas (Mariposa 12)</t>
  </si>
  <si>
    <t>Tipo C - Pliegos a definir - Troquel Utensilios</t>
  </si>
  <si>
    <t>Tipo Rallador - Pliego 16 - Troquel Rallador</t>
  </si>
  <si>
    <t>Tipo Manga Repostera - Pliego x - Troquel Manga</t>
  </si>
  <si>
    <t>Tipo Loke (LOKE) - Pliego x - Troquel x</t>
  </si>
  <si>
    <t>Tipo Pelador (Chef) - Pliego 9 - Troquel Pelador</t>
  </si>
  <si>
    <t>Tipo Huevo - Pliego 13 - Troquel Tapon</t>
  </si>
  <si>
    <t>IMP</t>
  </si>
  <si>
    <t>Rallador</t>
  </si>
  <si>
    <t>Tipo Corbata 8 (Chef) - Pliego x - Troqueles Varios</t>
  </si>
  <si>
    <t>Utensilios</t>
  </si>
  <si>
    <t>Tipo Huevo (25) - Pliegos 9 y 10 - Troquel Huevo</t>
  </si>
  <si>
    <t>Tipo Corbata 8 (30) - Pliegos 17 y 18 - Troqueles Varios</t>
  </si>
  <si>
    <t>Pedido Pend Uni</t>
  </si>
  <si>
    <t>Pedido Pend Paquete</t>
  </si>
  <si>
    <t>Tipo Huevo (Chef) - Pliego x - Troquel Huevo</t>
  </si>
  <si>
    <t>890E</t>
  </si>
  <si>
    <t>Pincel Silicona 11 Gms</t>
  </si>
  <si>
    <t>052</t>
  </si>
  <si>
    <t>Cuchara Fideos Nylon Mgo</t>
  </si>
  <si>
    <t>Espatula Lisa Nylon Mgo</t>
  </si>
  <si>
    <t>Cucharon Inox Mgo</t>
  </si>
  <si>
    <t xml:space="preserve">Espumadera Inox Mgo </t>
  </si>
  <si>
    <t>Pinche Inox Mgo Chef</t>
  </si>
  <si>
    <t>Cuchara Calada Inox</t>
  </si>
  <si>
    <t>Espatula Lisa Inox</t>
  </si>
  <si>
    <t>Espatula Calada Inox</t>
  </si>
  <si>
    <t>Cuchara Spaghetti  Inox</t>
  </si>
  <si>
    <t>COLADOR 16 CM</t>
  </si>
  <si>
    <t>COLADOR 20 CM</t>
  </si>
  <si>
    <t>-</t>
  </si>
  <si>
    <t xml:space="preserve">(16) Tipo Loke (Chef) - Pliego x - Troquel utensilios </t>
  </si>
  <si>
    <t>(24) Tipo Bandita (Chef) - Pliego x - Troquel Bandita</t>
  </si>
  <si>
    <t>Rallador Cilindrico GDE 21cm</t>
  </si>
  <si>
    <t>Tipo Bandita (Chef) - Genérico</t>
  </si>
  <si>
    <t>Utensilios (Genérico)</t>
  </si>
  <si>
    <t>K2B</t>
  </si>
  <si>
    <t>K2C</t>
  </si>
  <si>
    <t>K2D</t>
  </si>
  <si>
    <t>K5D</t>
  </si>
  <si>
    <t>K6B</t>
  </si>
  <si>
    <t>L3D</t>
  </si>
  <si>
    <t>X2C</t>
  </si>
  <si>
    <t>O6A</t>
  </si>
  <si>
    <t>L1A</t>
  </si>
  <si>
    <t>I1B</t>
  </si>
  <si>
    <t>I1A</t>
  </si>
  <si>
    <t>Cepillo Limp. Mamadera</t>
  </si>
  <si>
    <t>N4A</t>
  </si>
  <si>
    <t>N4B</t>
  </si>
  <si>
    <t>N5A</t>
  </si>
  <si>
    <t>Sacafuente</t>
  </si>
  <si>
    <t>Pelador Plástico</t>
  </si>
  <si>
    <t>Batidor Cocktail</t>
  </si>
  <si>
    <t>Abrelatas Uña Pie</t>
  </si>
  <si>
    <t>Q6B</t>
  </si>
  <si>
    <t>Q6C</t>
  </si>
  <si>
    <t>COLADOR 8 CM</t>
  </si>
  <si>
    <t>R5A</t>
  </si>
  <si>
    <t>Sacacorcho Mgo Negro</t>
  </si>
  <si>
    <t>Cuchara Inox Mgo Mad</t>
  </si>
  <si>
    <t>Cucharon Inox Mgo Mad</t>
  </si>
  <si>
    <t>Cuchara Fideos Inox Mgo Mad</t>
  </si>
  <si>
    <t>Esp Calada Inox Mgo Mad</t>
  </si>
  <si>
    <t>Espumadera Inox Mgo Mad</t>
  </si>
  <si>
    <t>J3A</t>
  </si>
  <si>
    <t>J3B</t>
  </si>
  <si>
    <t>J4A</t>
  </si>
  <si>
    <t>J4B</t>
  </si>
  <si>
    <t>J5A</t>
  </si>
  <si>
    <t>Tipo C (12) - Pliego 1 Ab. - Troquel Ab. (Mariposa 12)</t>
  </si>
  <si>
    <t>Tipo C (12) - Pliego 2 Pelador - Troquel Pelador</t>
  </si>
  <si>
    <t xml:space="preserve">Tipo C (12) - Pliego 5 Sacacorchos - Troquel Utensilios </t>
  </si>
  <si>
    <t>Tipo C (12) - Pliegos a definir - Troquel Utensilios</t>
  </si>
  <si>
    <t>Tipo C (mínimo 12) - Pliego 2 Pelador - Troquel Laser</t>
  </si>
  <si>
    <t>Filtro De Cafe Gastronomico</t>
  </si>
  <si>
    <t>Bolsa Filtro Café LOKE</t>
  </si>
  <si>
    <t>COLADOR 10 CM</t>
  </si>
  <si>
    <t>Q5E</t>
  </si>
  <si>
    <t>Q7C</t>
  </si>
  <si>
    <t>Q7D</t>
  </si>
  <si>
    <t>Q5D</t>
  </si>
  <si>
    <t>Q7E</t>
  </si>
  <si>
    <t>Cuchara de Cocina 33cm</t>
  </si>
  <si>
    <t>Colador 8 Cm</t>
  </si>
  <si>
    <t>Colador 10 Cm</t>
  </si>
  <si>
    <t>Cuchara de 33cm</t>
  </si>
  <si>
    <t>CORB9</t>
  </si>
  <si>
    <t>CORB10</t>
  </si>
  <si>
    <t>Fecha Entrega Aprox</t>
  </si>
  <si>
    <t>Chef SRL</t>
  </si>
  <si>
    <t>Villa Real, CABA</t>
  </si>
  <si>
    <t>PACKAGING Y SERVICIO</t>
  </si>
  <si>
    <t>FACTURAR   Loekemeyer 70% Chef 30%</t>
  </si>
  <si>
    <t>Descripcion Material</t>
  </si>
  <si>
    <t>Emp</t>
  </si>
  <si>
    <t>Uni a FC</t>
  </si>
  <si>
    <t>Fecha Pos Ent</t>
  </si>
  <si>
    <t>Fecha Ent</t>
  </si>
  <si>
    <t>Uni Ent</t>
  </si>
  <si>
    <t>Packaging y Serv</t>
  </si>
  <si>
    <t>KG a FC</t>
  </si>
  <si>
    <t>KG Ent</t>
  </si>
  <si>
    <t>CIA INTEGRAL ETIQUETAS</t>
  </si>
  <si>
    <t>RAZON SORosterL:</t>
  </si>
  <si>
    <t>Vihal</t>
  </si>
  <si>
    <t>9 de Julio</t>
  </si>
  <si>
    <t>ARTAZA</t>
  </si>
  <si>
    <t>PAPELERA 9 DE JULIO</t>
  </si>
  <si>
    <t>ENVASES VIHAL</t>
  </si>
  <si>
    <t>TALLERES GRAFICOS POL</t>
  </si>
  <si>
    <t>525E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</si>
</sst>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4" formatCode="_-&quot;$&quot;\ * #,##0.00_-;\-&quot;$&quot;\ * #,##0.00_-;_-&quot;$&quot;\ * &quot;-&quot;??_-;_-@_-"/>
    <numFmt numFmtId="164" formatCode="_ * #,##0.00_ ;_ * \-#,##0.00_ ;_ * &quot;-&quot;??_ ;_ @_ "/>
    <numFmt numFmtId="165" formatCode="_ * #,##0_ ;_ * \-#,##0_ ;_ * &quot;-&quot;??_ ;_ @_ "/>
    <numFmt numFmtId="166" formatCode="_-* #,##0_-;\-* #,##0_-;_-* &quot;-&quot;??_-;_-@_-"/>
    <numFmt numFmtId="167" formatCode="_ * #,##0.0_ ;_ * \-#,##0.0_ ;_ * &quot;-&quot;??_ ;_ @_ "/>
    <numFmt numFmtId="168" formatCode="0.000"/>
    <numFmt numFmtId="169" formatCode="&quot;Carton&quot;\ 0"/>
    <numFmt numFmtId="170" formatCode="_-&quot;$&quot;\ * #,##0.0_-;\-&quot;$&quot;\ * #,##0.0_-;_-&quot;$&quot;\ * &quot;-&quot;??_-;_-@_-"/>
    <numFmt numFmtId="171" formatCode="0.0"/>
    <numFmt numFmtId="172" formatCode="dd/mm/yy;@"/>
  </numFmts>
  <fonts count="6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i/>
      <sz val="14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i/>
      <u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name val="Arial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Arial"/>
      <family val="2"/>
    </font>
    <font>
      <b/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6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2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color rgb="FF0070C0"/>
      <name val="Calibri"/>
      <family val="2"/>
      <scheme val="minor"/>
    </font>
    <font>
      <b/>
      <sz val="2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20"/>
      <color theme="3" tint="0.3999755851924192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lightGray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21" fillId="0" borderId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1" fillId="0" borderId="0"/>
    <xf numFmtId="0" fontId="21" fillId="0" borderId="0"/>
  </cellStyleXfs>
  <cellXfs count="1184">
    <xf numFmtId="0" fontId="0" fillId="0" borderId="0" xfId="0"/>
    <xf numFmtId="0" fontId="0" fillId="0" borderId="0" xfId="0" applyAlignment="1">
      <alignment horizontal="center" vertical="center"/>
    </xf>
    <xf numFmtId="0" fontId="11" fillId="0" borderId="0" xfId="0" applyFont="1"/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57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3" fillId="0" borderId="0" xfId="0" applyFont="1"/>
    <xf numFmtId="0" fontId="5" fillId="0" borderId="7" xfId="0" applyFont="1" applyBorder="1"/>
    <xf numFmtId="0" fontId="18" fillId="0" borderId="0" xfId="0" applyFont="1"/>
    <xf numFmtId="0" fontId="11" fillId="0" borderId="42" xfId="0" applyFont="1" applyBorder="1"/>
    <xf numFmtId="0" fontId="17" fillId="2" borderId="51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14" fontId="17" fillId="2" borderId="25" xfId="0" applyNumberFormat="1" applyFont="1" applyFill="1" applyBorder="1" applyAlignment="1">
      <alignment horizontal="center" vertical="center"/>
    </xf>
    <xf numFmtId="0" fontId="17" fillId="2" borderId="25" xfId="0" applyFont="1" applyFill="1" applyBorder="1" applyAlignment="1">
      <alignment horizontal="center" vertical="center"/>
    </xf>
    <xf numFmtId="0" fontId="17" fillId="2" borderId="2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44" xfId="0" applyFont="1" applyFill="1" applyBorder="1" applyAlignment="1">
      <alignment horizontal="center" vertical="center"/>
    </xf>
    <xf numFmtId="0" fontId="20" fillId="0" borderId="0" xfId="0" applyFont="1"/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2" xfId="0" applyBorder="1"/>
    <xf numFmtId="0" fontId="0" fillId="0" borderId="3" xfId="0" applyBorder="1" applyAlignment="1">
      <alignment horizontal="left" vertical="top"/>
    </xf>
    <xf numFmtId="0" fontId="0" fillId="0" borderId="12" xfId="0" applyBorder="1"/>
    <xf numFmtId="0" fontId="0" fillId="0" borderId="1" xfId="0" applyBorder="1"/>
    <xf numFmtId="0" fontId="0" fillId="0" borderId="18" xfId="0" applyBorder="1"/>
    <xf numFmtId="0" fontId="0" fillId="0" borderId="18" xfId="0" applyBorder="1" applyAlignment="1">
      <alignment horizontal="left"/>
    </xf>
    <xf numFmtId="0" fontId="0" fillId="0" borderId="0" xfId="0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165" fontId="0" fillId="0" borderId="14" xfId="2" applyNumberFormat="1" applyFont="1" applyBorder="1" applyAlignment="1">
      <alignment horizontal="left" vertical="center"/>
    </xf>
    <xf numFmtId="165" fontId="0" fillId="0" borderId="22" xfId="2" applyNumberFormat="1" applyFont="1" applyBorder="1" applyAlignment="1">
      <alignment horizontal="left" vertical="center"/>
    </xf>
    <xf numFmtId="165" fontId="0" fillId="0" borderId="38" xfId="2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vertical="center"/>
    </xf>
    <xf numFmtId="165" fontId="0" fillId="0" borderId="16" xfId="2" applyNumberFormat="1" applyFont="1" applyBorder="1" applyAlignment="1">
      <alignment horizontal="left" vertical="center"/>
    </xf>
    <xf numFmtId="165" fontId="0" fillId="0" borderId="22" xfId="2" applyNumberFormat="1" applyFont="1" applyFill="1" applyBorder="1" applyAlignment="1">
      <alignment horizontal="left" vertical="center"/>
    </xf>
    <xf numFmtId="0" fontId="0" fillId="0" borderId="12" xfId="0" applyBorder="1" applyAlignment="1">
      <alignment vertical="center"/>
    </xf>
    <xf numFmtId="165" fontId="0" fillId="0" borderId="14" xfId="2" applyNumberFormat="1" applyFont="1" applyFill="1" applyBorder="1" applyAlignment="1">
      <alignment horizontal="left" vertical="center"/>
    </xf>
    <xf numFmtId="165" fontId="0" fillId="0" borderId="22" xfId="2" applyNumberFormat="1" applyFont="1" applyBorder="1" applyAlignment="1">
      <alignment horizontal="center" vertical="center"/>
    </xf>
    <xf numFmtId="165" fontId="0" fillId="0" borderId="29" xfId="2" applyNumberFormat="1" applyFont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49" fontId="21" fillId="0" borderId="17" xfId="1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21" fillId="0" borderId="15" xfId="1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0" fillId="0" borderId="29" xfId="2" applyNumberFormat="1" applyFont="1" applyFill="1" applyBorder="1" applyAlignment="1">
      <alignment horizontal="left" vertical="center"/>
    </xf>
    <xf numFmtId="0" fontId="11" fillId="0" borderId="61" xfId="0" applyFont="1" applyBorder="1" applyAlignment="1">
      <alignment horizontal="center" vertical="center"/>
    </xf>
    <xf numFmtId="0" fontId="11" fillId="0" borderId="62" xfId="0" applyFont="1" applyBorder="1" applyAlignment="1">
      <alignment horizontal="center" vertical="center" wrapText="1"/>
    </xf>
    <xf numFmtId="0" fontId="11" fillId="0" borderId="62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textRotation="90"/>
    </xf>
    <xf numFmtId="165" fontId="0" fillId="0" borderId="0" xfId="0" applyNumberFormat="1"/>
    <xf numFmtId="1" fontId="0" fillId="0" borderId="0" xfId="0" applyNumberFormat="1"/>
    <xf numFmtId="0" fontId="0" fillId="0" borderId="11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11" fillId="0" borderId="61" xfId="0" applyFont="1" applyBorder="1" applyAlignment="1">
      <alignment horizontal="center" vertical="center" wrapText="1"/>
    </xf>
    <xf numFmtId="165" fontId="0" fillId="0" borderId="3" xfId="0" applyNumberFormat="1" applyBorder="1"/>
    <xf numFmtId="165" fontId="0" fillId="0" borderId="12" xfId="0" applyNumberFormat="1" applyBorder="1"/>
    <xf numFmtId="165" fontId="0" fillId="0" borderId="18" xfId="0" applyNumberFormat="1" applyBorder="1"/>
    <xf numFmtId="0" fontId="0" fillId="0" borderId="28" xfId="0" applyBorder="1" applyAlignment="1">
      <alignment horizontal="left" vertical="center"/>
    </xf>
    <xf numFmtId="49" fontId="0" fillId="0" borderId="11" xfId="0" applyNumberFormat="1" applyBorder="1" applyAlignment="1">
      <alignment horizontal="left" vertical="center"/>
    </xf>
    <xf numFmtId="49" fontId="21" fillId="0" borderId="3" xfId="1" applyNumberForma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0" fontId="11" fillId="0" borderId="61" xfId="0" applyFont="1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7" xfId="0" applyBorder="1" applyAlignment="1">
      <alignment vertical="center"/>
    </xf>
    <xf numFmtId="49" fontId="21" fillId="0" borderId="18" xfId="1" applyNumberForma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11" fillId="0" borderId="64" xfId="0" applyFont="1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1" fillId="0" borderId="40" xfId="0" applyFont="1" applyBorder="1" applyAlignment="1">
      <alignment horizontal="center" vertical="center" wrapText="1"/>
    </xf>
    <xf numFmtId="165" fontId="0" fillId="0" borderId="54" xfId="2" applyNumberFormat="1" applyFont="1" applyFill="1" applyBorder="1" applyAlignment="1">
      <alignment horizontal="left" vertical="center"/>
    </xf>
    <xf numFmtId="165" fontId="0" fillId="0" borderId="45" xfId="2" applyNumberFormat="1" applyFont="1" applyFill="1" applyBorder="1" applyAlignment="1">
      <alignment horizontal="left" vertical="center"/>
    </xf>
    <xf numFmtId="165" fontId="0" fillId="0" borderId="59" xfId="2" applyNumberFormat="1" applyFont="1" applyFill="1" applyBorder="1" applyAlignment="1">
      <alignment horizontal="left" vertical="center"/>
    </xf>
    <xf numFmtId="165" fontId="0" fillId="0" borderId="54" xfId="2" applyNumberFormat="1" applyFont="1" applyBorder="1" applyAlignment="1">
      <alignment horizontal="left" vertical="center"/>
    </xf>
    <xf numFmtId="165" fontId="0" fillId="0" borderId="59" xfId="2" applyNumberFormat="1" applyFont="1" applyBorder="1" applyAlignment="1">
      <alignment horizontal="left" vertical="center"/>
    </xf>
    <xf numFmtId="165" fontId="22" fillId="0" borderId="54" xfId="2" applyNumberFormat="1" applyFont="1" applyBorder="1" applyAlignment="1">
      <alignment horizontal="left" vertical="center"/>
    </xf>
    <xf numFmtId="165" fontId="0" fillId="0" borderId="45" xfId="2" applyNumberFormat="1" applyFont="1" applyBorder="1" applyAlignment="1">
      <alignment horizontal="left" vertical="center"/>
    </xf>
    <xf numFmtId="165" fontId="22" fillId="0" borderId="45" xfId="2" applyNumberFormat="1" applyFont="1" applyBorder="1" applyAlignment="1">
      <alignment horizontal="center" vertical="center"/>
    </xf>
    <xf numFmtId="165" fontId="0" fillId="0" borderId="45" xfId="2" applyNumberFormat="1" applyFont="1" applyBorder="1" applyAlignment="1">
      <alignment horizontal="center" vertical="center"/>
    </xf>
    <xf numFmtId="165" fontId="22" fillId="0" borderId="45" xfId="2" applyNumberFormat="1" applyFont="1" applyFill="1" applyBorder="1" applyAlignment="1">
      <alignment horizontal="left" vertical="center"/>
    </xf>
    <xf numFmtId="165" fontId="0" fillId="0" borderId="46" xfId="2" applyNumberFormat="1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 wrapText="1"/>
    </xf>
    <xf numFmtId="165" fontId="0" fillId="0" borderId="13" xfId="0" applyNumberFormat="1" applyBorder="1"/>
    <xf numFmtId="165" fontId="0" fillId="0" borderId="4" xfId="0" applyNumberFormat="1" applyBorder="1"/>
    <xf numFmtId="165" fontId="0" fillId="0" borderId="19" xfId="0" applyNumberFormat="1" applyBorder="1"/>
    <xf numFmtId="0" fontId="11" fillId="0" borderId="9" xfId="0" applyFont="1" applyBorder="1" applyAlignment="1">
      <alignment horizontal="center" vertical="center" wrapText="1"/>
    </xf>
    <xf numFmtId="1" fontId="0" fillId="0" borderId="15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3" fillId="0" borderId="65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49" fontId="1" fillId="0" borderId="65" xfId="0" applyNumberFormat="1" applyFont="1" applyBorder="1" applyAlignment="1">
      <alignment horizontal="center" vertical="center"/>
    </xf>
    <xf numFmtId="49" fontId="24" fillId="0" borderId="66" xfId="1" applyNumberFormat="1" applyFont="1" applyBorder="1" applyAlignment="1">
      <alignment horizontal="center" vertical="center"/>
    </xf>
    <xf numFmtId="49" fontId="1" fillId="0" borderId="66" xfId="0" applyNumberFormat="1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49" fontId="24" fillId="0" borderId="68" xfId="1" applyNumberFormat="1" applyFon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0" fillId="5" borderId="4" xfId="0" applyFill="1" applyBorder="1" applyAlignment="1">
      <alignment horizontal="left" vertical="center"/>
    </xf>
    <xf numFmtId="0" fontId="8" fillId="0" borderId="9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66" xfId="0" applyFont="1" applyBorder="1" applyAlignment="1">
      <alignment horizontal="center" vertical="center"/>
    </xf>
    <xf numFmtId="1" fontId="25" fillId="0" borderId="66" xfId="0" applyNumberFormat="1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26" fillId="0" borderId="0" xfId="0" applyFont="1"/>
    <xf numFmtId="0" fontId="0" fillId="4" borderId="7" xfId="0" applyFill="1" applyBorder="1" applyAlignment="1">
      <alignment vertical="center" textRotation="90"/>
    </xf>
    <xf numFmtId="0" fontId="0" fillId="4" borderId="25" xfId="0" applyFill="1" applyBorder="1" applyAlignment="1">
      <alignment vertical="center" textRotation="90"/>
    </xf>
    <xf numFmtId="0" fontId="0" fillId="4" borderId="44" xfId="0" applyFill="1" applyBorder="1" applyAlignment="1">
      <alignment vertical="center" textRotation="90"/>
    </xf>
    <xf numFmtId="0" fontId="28" fillId="0" borderId="57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0" fillId="0" borderId="3" xfId="2" applyNumberFormat="1" applyFont="1" applyFill="1" applyBorder="1" applyAlignment="1">
      <alignment horizontal="left" vertical="center"/>
    </xf>
    <xf numFmtId="165" fontId="0" fillId="0" borderId="3" xfId="2" applyNumberFormat="1" applyFont="1" applyBorder="1" applyAlignment="1">
      <alignment horizontal="left" vertical="center"/>
    </xf>
    <xf numFmtId="49" fontId="0" fillId="0" borderId="12" xfId="0" applyNumberFormat="1" applyBorder="1" applyAlignment="1">
      <alignment horizontal="left" vertical="center"/>
    </xf>
    <xf numFmtId="0" fontId="29" fillId="0" borderId="3" xfId="0" applyFont="1" applyBorder="1" applyAlignment="1">
      <alignment horizontal="center" vertical="center"/>
    </xf>
    <xf numFmtId="1" fontId="0" fillId="0" borderId="3" xfId="0" applyNumberFormat="1" applyBorder="1"/>
    <xf numFmtId="165" fontId="22" fillId="0" borderId="3" xfId="2" applyNumberFormat="1" applyFont="1" applyBorder="1" applyAlignment="1">
      <alignment horizontal="left" vertical="center"/>
    </xf>
    <xf numFmtId="165" fontId="22" fillId="0" borderId="3" xfId="2" applyNumberFormat="1" applyFont="1" applyBorder="1" applyAlignment="1">
      <alignment horizontal="center" vertical="center"/>
    </xf>
    <xf numFmtId="165" fontId="0" fillId="0" borderId="3" xfId="2" applyNumberFormat="1" applyFont="1" applyBorder="1" applyAlignment="1">
      <alignment horizontal="center" vertical="center"/>
    </xf>
    <xf numFmtId="165" fontId="22" fillId="0" borderId="3" xfId="2" applyNumberFormat="1" applyFont="1" applyFill="1" applyBorder="1" applyAlignment="1">
      <alignment horizontal="left" vertical="center"/>
    </xf>
    <xf numFmtId="165" fontId="0" fillId="0" borderId="12" xfId="2" applyNumberFormat="1" applyFont="1" applyBorder="1" applyAlignment="1">
      <alignment horizontal="left" vertical="center"/>
    </xf>
    <xf numFmtId="1" fontId="0" fillId="0" borderId="14" xfId="0" applyNumberFormat="1" applyBorder="1"/>
    <xf numFmtId="1" fontId="0" fillId="0" borderId="22" xfId="0" applyNumberFormat="1" applyBorder="1"/>
    <xf numFmtId="165" fontId="0" fillId="0" borderId="18" xfId="2" applyNumberFormat="1" applyFont="1" applyBorder="1" applyAlignment="1">
      <alignment horizontal="left" vertical="center"/>
    </xf>
    <xf numFmtId="1" fontId="0" fillId="0" borderId="18" xfId="0" applyNumberFormat="1" applyBorder="1"/>
    <xf numFmtId="1" fontId="0" fillId="0" borderId="38" xfId="0" applyNumberFormat="1" applyBorder="1"/>
    <xf numFmtId="0" fontId="29" fillId="0" borderId="12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165" fontId="0" fillId="0" borderId="12" xfId="2" applyNumberFormat="1" applyFont="1" applyFill="1" applyBorder="1" applyAlignment="1">
      <alignment horizontal="left" vertical="center"/>
    </xf>
    <xf numFmtId="165" fontId="0" fillId="0" borderId="18" xfId="2" applyNumberFormat="1" applyFont="1" applyFill="1" applyBorder="1" applyAlignment="1">
      <alignment horizontal="left" vertical="center"/>
    </xf>
    <xf numFmtId="1" fontId="30" fillId="0" borderId="22" xfId="0" applyNumberFormat="1" applyFont="1" applyBorder="1"/>
    <xf numFmtId="0" fontId="8" fillId="0" borderId="57" xfId="0" applyFont="1" applyBorder="1" applyAlignment="1">
      <alignment horizontal="center" vertical="center" textRotation="90"/>
    </xf>
    <xf numFmtId="0" fontId="8" fillId="0" borderId="62" xfId="0" applyFont="1" applyBorder="1" applyAlignment="1">
      <alignment horizontal="center" vertical="center"/>
    </xf>
    <xf numFmtId="0" fontId="8" fillId="0" borderId="61" xfId="0" applyFont="1" applyBorder="1" applyAlignment="1">
      <alignment horizontal="left" vertical="center"/>
    </xf>
    <xf numFmtId="0" fontId="8" fillId="0" borderId="62" xfId="0" applyFont="1" applyBorder="1" applyAlignment="1">
      <alignment horizontal="center" vertical="center" wrapText="1"/>
    </xf>
    <xf numFmtId="0" fontId="8" fillId="0" borderId="61" xfId="0" applyFont="1" applyBorder="1" applyAlignment="1">
      <alignment horizontal="center" vertical="center" wrapText="1"/>
    </xf>
    <xf numFmtId="0" fontId="8" fillId="0" borderId="63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/>
    <xf numFmtId="165" fontId="3" fillId="0" borderId="3" xfId="0" applyNumberFormat="1" applyFont="1" applyBorder="1"/>
    <xf numFmtId="0" fontId="15" fillId="0" borderId="3" xfId="0" applyFont="1" applyBorder="1" applyAlignment="1">
      <alignment horizontal="center" vertical="center"/>
    </xf>
    <xf numFmtId="1" fontId="3" fillId="0" borderId="3" xfId="0" applyNumberFormat="1" applyFont="1" applyBorder="1"/>
    <xf numFmtId="0" fontId="3" fillId="0" borderId="3" xfId="0" applyFont="1" applyBorder="1" applyAlignment="1">
      <alignment horizontal="left"/>
    </xf>
    <xf numFmtId="49" fontId="31" fillId="0" borderId="3" xfId="1" applyNumberFormat="1" applyFont="1" applyBorder="1" applyAlignment="1">
      <alignment horizontal="left" vertical="center"/>
    </xf>
    <xf numFmtId="165" fontId="3" fillId="0" borderId="3" xfId="0" applyNumberFormat="1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 wrapText="1"/>
    </xf>
    <xf numFmtId="1" fontId="30" fillId="0" borderId="4" xfId="0" applyNumberFormat="1" applyFont="1" applyBorder="1"/>
    <xf numFmtId="1" fontId="0" fillId="0" borderId="4" xfId="0" applyNumberFormat="1" applyBorder="1"/>
    <xf numFmtId="0" fontId="32" fillId="0" borderId="3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165" fontId="29" fillId="0" borderId="3" xfId="0" applyNumberFormat="1" applyFont="1" applyBorder="1" applyAlignment="1">
      <alignment vertical="center"/>
    </xf>
    <xf numFmtId="0" fontId="29" fillId="0" borderId="3" xfId="0" applyFont="1" applyBorder="1" applyAlignment="1">
      <alignment vertical="center"/>
    </xf>
    <xf numFmtId="1" fontId="26" fillId="0" borderId="15" xfId="0" applyNumberFormat="1" applyFont="1" applyBorder="1" applyAlignment="1">
      <alignment horizontal="center" vertical="center"/>
    </xf>
    <xf numFmtId="0" fontId="26" fillId="0" borderId="3" xfId="0" applyFont="1" applyBorder="1" applyAlignment="1">
      <alignment horizontal="left" vertical="center"/>
    </xf>
    <xf numFmtId="0" fontId="0" fillId="0" borderId="66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18" fillId="0" borderId="69" xfId="0" applyFont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0" fillId="0" borderId="69" xfId="0" applyBorder="1" applyAlignment="1">
      <alignment vertical="center"/>
    </xf>
    <xf numFmtId="0" fontId="0" fillId="0" borderId="66" xfId="0" applyBorder="1" applyAlignment="1">
      <alignment vertical="center"/>
    </xf>
    <xf numFmtId="165" fontId="0" fillId="0" borderId="31" xfId="0" applyNumberFormat="1" applyBorder="1"/>
    <xf numFmtId="1" fontId="25" fillId="0" borderId="67" xfId="0" applyNumberFormat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3" fillId="0" borderId="69" xfId="0" applyFont="1" applyBorder="1" applyAlignment="1">
      <alignment horizontal="center" vertical="center"/>
    </xf>
    <xf numFmtId="165" fontId="0" fillId="0" borderId="48" xfId="2" applyNumberFormat="1" applyFont="1" applyBorder="1" applyAlignment="1">
      <alignment horizontal="left" vertical="center"/>
    </xf>
    <xf numFmtId="165" fontId="0" fillId="0" borderId="8" xfId="0" applyNumberFormat="1" applyBorder="1"/>
    <xf numFmtId="0" fontId="0" fillId="0" borderId="11" xfId="0" applyBorder="1"/>
    <xf numFmtId="0" fontId="0" fillId="0" borderId="27" xfId="0" applyBorder="1"/>
    <xf numFmtId="0" fontId="0" fillId="0" borderId="65" xfId="0" applyBorder="1" applyAlignment="1">
      <alignment horizontal="center" vertical="center"/>
    </xf>
    <xf numFmtId="1" fontId="25" fillId="0" borderId="65" xfId="0" applyNumberFormat="1" applyFont="1" applyBorder="1" applyAlignment="1">
      <alignment horizontal="center" vertical="center"/>
    </xf>
    <xf numFmtId="0" fontId="0" fillId="0" borderId="15" xfId="0" applyBorder="1"/>
    <xf numFmtId="0" fontId="0" fillId="0" borderId="17" xfId="0" applyBorder="1"/>
    <xf numFmtId="0" fontId="0" fillId="0" borderId="42" xfId="0" applyBorder="1"/>
    <xf numFmtId="1" fontId="0" fillId="0" borderId="17" xfId="0" applyNumberFormat="1" applyBorder="1" applyAlignment="1">
      <alignment horizontal="center" vertical="center"/>
    </xf>
    <xf numFmtId="1" fontId="25" fillId="0" borderId="68" xfId="0" applyNumberFormat="1" applyFont="1" applyBorder="1" applyAlignment="1">
      <alignment horizontal="center" vertical="center"/>
    </xf>
    <xf numFmtId="0" fontId="34" fillId="2" borderId="0" xfId="0" applyFont="1" applyFill="1"/>
    <xf numFmtId="0" fontId="2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1" fillId="0" borderId="43" xfId="0" applyFont="1" applyBorder="1"/>
    <xf numFmtId="0" fontId="2" fillId="2" borderId="51" xfId="0" applyFont="1" applyFill="1" applyBorder="1" applyAlignment="1">
      <alignment horizontal="center" vertical="center"/>
    </xf>
    <xf numFmtId="0" fontId="11" fillId="0" borderId="49" xfId="0" applyFont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6" fillId="0" borderId="0" xfId="0" applyFont="1" applyAlignment="1">
      <alignment horizontal="left"/>
    </xf>
    <xf numFmtId="49" fontId="32" fillId="0" borderId="3" xfId="1" applyNumberFormat="1" applyFont="1" applyBorder="1" applyAlignment="1">
      <alignment horizontal="center" vertical="center"/>
    </xf>
    <xf numFmtId="0" fontId="0" fillId="0" borderId="71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1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0" borderId="2" xfId="0" applyBorder="1" applyAlignment="1">
      <alignment wrapText="1"/>
    </xf>
    <xf numFmtId="0" fontId="3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2" xfId="0" quotePrefix="1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0" fillId="0" borderId="12" xfId="0" applyBorder="1" applyAlignment="1">
      <alignment wrapText="1"/>
    </xf>
    <xf numFmtId="0" fontId="3" fillId="0" borderId="18" xfId="0" quotePrefix="1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0" borderId="18" xfId="0" applyBorder="1" applyAlignment="1">
      <alignment wrapText="1"/>
    </xf>
    <xf numFmtId="0" fontId="3" fillId="0" borderId="2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/>
    </xf>
    <xf numFmtId="49" fontId="32" fillId="0" borderId="12" xfId="1" applyNumberFormat="1" applyFont="1" applyBorder="1" applyAlignment="1">
      <alignment horizontal="center" vertical="center"/>
    </xf>
    <xf numFmtId="0" fontId="17" fillId="0" borderId="18" xfId="0" applyFont="1" applyBorder="1" applyAlignment="1">
      <alignment horizontal="left" vertical="center"/>
    </xf>
    <xf numFmtId="0" fontId="26" fillId="0" borderId="0" xfId="0" applyFont="1" applyAlignment="1">
      <alignment horizontal="center"/>
    </xf>
    <xf numFmtId="0" fontId="26" fillId="0" borderId="5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/>
    </xf>
    <xf numFmtId="0" fontId="0" fillId="0" borderId="57" xfId="0" applyBorder="1"/>
    <xf numFmtId="0" fontId="19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71" xfId="0" applyFont="1" applyBorder="1" applyAlignment="1">
      <alignment horizontal="left" vertical="center"/>
    </xf>
    <xf numFmtId="0" fontId="0" fillId="0" borderId="71" xfId="0" applyBorder="1" applyAlignment="1">
      <alignment horizontal="center" wrapText="1"/>
    </xf>
    <xf numFmtId="0" fontId="0" fillId="0" borderId="71" xfId="0" applyBorder="1" applyAlignment="1">
      <alignment wrapText="1"/>
    </xf>
    <xf numFmtId="0" fontId="1" fillId="0" borderId="71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0" fillId="0" borderId="73" xfId="0" applyBorder="1"/>
    <xf numFmtId="0" fontId="0" fillId="0" borderId="23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165" fontId="0" fillId="0" borderId="0" xfId="2" applyNumberFormat="1" applyFont="1"/>
    <xf numFmtId="0" fontId="17" fillId="0" borderId="5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5" fontId="17" fillId="0" borderId="57" xfId="2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3" xfId="0" applyFont="1" applyBorder="1"/>
    <xf numFmtId="0" fontId="17" fillId="0" borderId="7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165" fontId="18" fillId="0" borderId="3" xfId="2" applyNumberFormat="1" applyFont="1" applyBorder="1"/>
    <xf numFmtId="0" fontId="17" fillId="0" borderId="15" xfId="0" applyFont="1" applyBorder="1" applyAlignment="1">
      <alignment horizontal="center" vertical="center"/>
    </xf>
    <xf numFmtId="1" fontId="18" fillId="0" borderId="12" xfId="0" applyNumberFormat="1" applyFont="1" applyBorder="1" applyAlignment="1">
      <alignment horizontal="center" vertical="center"/>
    </xf>
    <xf numFmtId="1" fontId="18" fillId="0" borderId="3" xfId="0" applyNumberFormat="1" applyFont="1" applyBorder="1" applyAlignment="1">
      <alignment horizontal="center" vertical="center"/>
    </xf>
    <xf numFmtId="1" fontId="18" fillId="0" borderId="18" xfId="0" applyNumberFormat="1" applyFont="1" applyBorder="1" applyAlignment="1">
      <alignment horizontal="center" vertical="center"/>
    </xf>
    <xf numFmtId="165" fontId="18" fillId="0" borderId="3" xfId="2" applyNumberFormat="1" applyFont="1" applyBorder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165" fontId="17" fillId="0" borderId="10" xfId="2" applyNumberFormat="1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165" fontId="17" fillId="0" borderId="9" xfId="2" applyNumberFormat="1" applyFont="1" applyBorder="1" applyAlignment="1">
      <alignment horizontal="center" vertical="center" wrapText="1"/>
    </xf>
    <xf numFmtId="9" fontId="18" fillId="0" borderId="0" xfId="0" applyNumberFormat="1" applyFont="1" applyAlignment="1">
      <alignment horizontal="center"/>
    </xf>
    <xf numFmtId="165" fontId="18" fillId="0" borderId="0" xfId="2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/>
    </xf>
    <xf numFmtId="44" fontId="0" fillId="0" borderId="0" xfId="3" applyFont="1"/>
    <xf numFmtId="0" fontId="17" fillId="0" borderId="9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44" fontId="18" fillId="0" borderId="3" xfId="3" applyFont="1" applyBorder="1"/>
    <xf numFmtId="44" fontId="18" fillId="0" borderId="12" xfId="3" applyFont="1" applyBorder="1"/>
    <xf numFmtId="44" fontId="18" fillId="0" borderId="18" xfId="3" applyFont="1" applyBorder="1"/>
    <xf numFmtId="0" fontId="19" fillId="0" borderId="10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17" fillId="0" borderId="4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left"/>
    </xf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left"/>
    </xf>
    <xf numFmtId="0" fontId="18" fillId="0" borderId="22" xfId="0" applyFont="1" applyBorder="1" applyAlignment="1">
      <alignment horizontal="center"/>
    </xf>
    <xf numFmtId="0" fontId="18" fillId="0" borderId="17" xfId="0" applyFont="1" applyBorder="1" applyAlignment="1">
      <alignment horizontal="left"/>
    </xf>
    <xf numFmtId="0" fontId="18" fillId="0" borderId="38" xfId="0" applyFont="1" applyBorder="1" applyAlignment="1">
      <alignment horizontal="center"/>
    </xf>
    <xf numFmtId="165" fontId="18" fillId="0" borderId="0" xfId="2" applyNumberFormat="1" applyFont="1" applyFill="1" applyBorder="1"/>
    <xf numFmtId="0" fontId="19" fillId="0" borderId="0" xfId="0" applyFont="1" applyAlignment="1">
      <alignment horizontal="center" vertical="center"/>
    </xf>
    <xf numFmtId="0" fontId="43" fillId="0" borderId="0" xfId="0" applyFont="1" applyAlignment="1">
      <alignment vertical="center"/>
    </xf>
    <xf numFmtId="44" fontId="18" fillId="0" borderId="14" xfId="3" applyFont="1" applyBorder="1"/>
    <xf numFmtId="44" fontId="18" fillId="0" borderId="22" xfId="3" applyFont="1" applyBorder="1"/>
    <xf numFmtId="44" fontId="18" fillId="0" borderId="38" xfId="3" applyFont="1" applyBorder="1"/>
    <xf numFmtId="0" fontId="2" fillId="0" borderId="0" xfId="0" applyFont="1" applyAlignment="1">
      <alignment vertical="center"/>
    </xf>
    <xf numFmtId="165" fontId="18" fillId="0" borderId="3" xfId="2" applyNumberFormat="1" applyFont="1" applyFill="1" applyBorder="1"/>
    <xf numFmtId="165" fontId="18" fillId="0" borderId="12" xfId="2" applyNumberFormat="1" applyFont="1" applyFill="1" applyBorder="1"/>
    <xf numFmtId="165" fontId="18" fillId="0" borderId="18" xfId="2" applyNumberFormat="1" applyFont="1" applyFill="1" applyBorder="1"/>
    <xf numFmtId="1" fontId="17" fillId="0" borderId="0" xfId="0" applyNumberFormat="1" applyFont="1" applyAlignment="1">
      <alignment horizontal="center" vertical="center"/>
    </xf>
    <xf numFmtId="44" fontId="18" fillId="0" borderId="0" xfId="3" applyFont="1" applyFill="1" applyBorder="1" applyAlignment="1">
      <alignment horizontal="center"/>
    </xf>
    <xf numFmtId="44" fontId="18" fillId="0" borderId="0" xfId="3" applyFont="1" applyBorder="1"/>
    <xf numFmtId="44" fontId="17" fillId="0" borderId="0" xfId="0" applyNumberFormat="1" applyFont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7" borderId="22" xfId="0" applyFont="1" applyFill="1" applyBorder="1" applyAlignment="1">
      <alignment horizontal="center" vertical="center"/>
    </xf>
    <xf numFmtId="0" fontId="18" fillId="0" borderId="12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38" xfId="0" applyFont="1" applyBorder="1" applyAlignment="1">
      <alignment horizontal="center" vertical="center"/>
    </xf>
    <xf numFmtId="1" fontId="18" fillId="0" borderId="12" xfId="0" applyNumberFormat="1" applyFont="1" applyBorder="1" applyAlignment="1">
      <alignment horizontal="center"/>
    </xf>
    <xf numFmtId="165" fontId="18" fillId="0" borderId="12" xfId="2" applyNumberFormat="1" applyFont="1" applyBorder="1" applyAlignment="1">
      <alignment horizontal="center"/>
    </xf>
    <xf numFmtId="165" fontId="18" fillId="0" borderId="3" xfId="2" applyNumberFormat="1" applyFont="1" applyBorder="1" applyAlignment="1">
      <alignment horizontal="center"/>
    </xf>
    <xf numFmtId="0" fontId="47" fillId="0" borderId="25" xfId="0" applyFont="1" applyBorder="1" applyAlignment="1">
      <alignment horizontal="center"/>
    </xf>
    <xf numFmtId="165" fontId="18" fillId="0" borderId="18" xfId="2" applyNumberFormat="1" applyFont="1" applyBorder="1" applyAlignment="1">
      <alignment horizontal="center"/>
    </xf>
    <xf numFmtId="0" fontId="47" fillId="0" borderId="25" xfId="0" applyFont="1" applyBorder="1"/>
    <xf numFmtId="0" fontId="47" fillId="0" borderId="44" xfId="0" applyFont="1" applyBorder="1"/>
    <xf numFmtId="165" fontId="18" fillId="0" borderId="12" xfId="2" applyNumberFormat="1" applyFont="1" applyFill="1" applyBorder="1" applyAlignment="1">
      <alignment vertical="center"/>
    </xf>
    <xf numFmtId="165" fontId="18" fillId="0" borderId="3" xfId="2" applyNumberFormat="1" applyFont="1" applyFill="1" applyBorder="1" applyAlignment="1">
      <alignment vertical="center"/>
    </xf>
    <xf numFmtId="0" fontId="47" fillId="0" borderId="7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18" fillId="0" borderId="3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165" fontId="18" fillId="0" borderId="0" xfId="2" applyNumberFormat="1" applyFont="1" applyBorder="1" applyAlignment="1">
      <alignment vertical="center"/>
    </xf>
    <xf numFmtId="44" fontId="18" fillId="0" borderId="0" xfId="3" applyFont="1" applyBorder="1" applyAlignment="1"/>
    <xf numFmtId="165" fontId="18" fillId="0" borderId="3" xfId="2" applyNumberFormat="1" applyFont="1" applyBorder="1" applyAlignment="1">
      <alignment vertical="center"/>
    </xf>
    <xf numFmtId="165" fontId="0" fillId="0" borderId="0" xfId="2" applyNumberFormat="1" applyFont="1" applyAlignment="1">
      <alignment horizontal="center"/>
    </xf>
    <xf numFmtId="165" fontId="18" fillId="0" borderId="12" xfId="2" applyNumberFormat="1" applyFont="1" applyFill="1" applyBorder="1" applyAlignment="1">
      <alignment horizontal="center"/>
    </xf>
    <xf numFmtId="165" fontId="18" fillId="0" borderId="3" xfId="2" applyNumberFormat="1" applyFont="1" applyFill="1" applyBorder="1" applyAlignment="1">
      <alignment horizontal="center"/>
    </xf>
    <xf numFmtId="165" fontId="18" fillId="0" borderId="18" xfId="2" applyNumberFormat="1" applyFont="1" applyFill="1" applyBorder="1" applyAlignment="1">
      <alignment horizontal="center"/>
    </xf>
    <xf numFmtId="165" fontId="18" fillId="0" borderId="0" xfId="2" applyNumberFormat="1" applyFont="1" applyFill="1" applyBorder="1" applyAlignment="1">
      <alignment horizontal="center"/>
    </xf>
    <xf numFmtId="0" fontId="4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166" fontId="18" fillId="0" borderId="0" xfId="2" applyNumberFormat="1" applyFont="1" applyFill="1" applyBorder="1" applyAlignment="1">
      <alignment horizontal="center"/>
    </xf>
    <xf numFmtId="166" fontId="18" fillId="0" borderId="15" xfId="2" applyNumberFormat="1" applyFont="1" applyBorder="1" applyAlignment="1">
      <alignment horizontal="center"/>
    </xf>
    <xf numFmtId="165" fontId="18" fillId="0" borderId="0" xfId="2" applyNumberFormat="1" applyFont="1" applyBorder="1" applyAlignment="1">
      <alignment horizontal="center"/>
    </xf>
    <xf numFmtId="0" fontId="18" fillId="8" borderId="0" xfId="0" applyFont="1" applyFill="1"/>
    <xf numFmtId="167" fontId="17" fillId="0" borderId="9" xfId="2" applyNumberFormat="1" applyFont="1" applyFill="1" applyBorder="1" applyAlignment="1">
      <alignment horizontal="center" vertical="center" wrapText="1"/>
    </xf>
    <xf numFmtId="0" fontId="17" fillId="8" borderId="10" xfId="0" applyFont="1" applyFill="1" applyBorder="1" applyAlignment="1">
      <alignment horizontal="center" vertical="center" wrapText="1"/>
    </xf>
    <xf numFmtId="168" fontId="17" fillId="8" borderId="9" xfId="2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69" fontId="17" fillId="0" borderId="11" xfId="0" applyNumberFormat="1" applyFont="1" applyBorder="1" applyAlignment="1">
      <alignment horizontal="center" vertical="center"/>
    </xf>
    <xf numFmtId="169" fontId="17" fillId="0" borderId="15" xfId="0" applyNumberFormat="1" applyFont="1" applyBorder="1" applyAlignment="1">
      <alignment horizontal="center" vertical="center"/>
    </xf>
    <xf numFmtId="49" fontId="17" fillId="0" borderId="3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/>
    </xf>
    <xf numFmtId="1" fontId="18" fillId="0" borderId="15" xfId="0" applyNumberFormat="1" applyFont="1" applyBorder="1" applyAlignment="1">
      <alignment horizontal="center"/>
    </xf>
    <xf numFmtId="1" fontId="18" fillId="0" borderId="3" xfId="3" applyNumberFormat="1" applyFont="1" applyFill="1" applyBorder="1" applyAlignment="1">
      <alignment horizontal="center"/>
    </xf>
    <xf numFmtId="1" fontId="18" fillId="0" borderId="11" xfId="3" applyNumberFormat="1" applyFont="1" applyFill="1" applyBorder="1" applyAlignment="1">
      <alignment horizontal="center"/>
    </xf>
    <xf numFmtId="1" fontId="18" fillId="0" borderId="15" xfId="3" applyNumberFormat="1" applyFont="1" applyFill="1" applyBorder="1" applyAlignment="1">
      <alignment horizontal="center"/>
    </xf>
    <xf numFmtId="1" fontId="18" fillId="0" borderId="17" xfId="3" applyNumberFormat="1" applyFont="1" applyFill="1" applyBorder="1" applyAlignment="1">
      <alignment horizontal="center"/>
    </xf>
    <xf numFmtId="1" fontId="18" fillId="0" borderId="14" xfId="3" applyNumberFormat="1" applyFont="1" applyFill="1" applyBorder="1" applyAlignment="1">
      <alignment horizontal="center"/>
    </xf>
    <xf numFmtId="1" fontId="18" fillId="0" borderId="22" xfId="3" applyNumberFormat="1" applyFont="1" applyFill="1" applyBorder="1" applyAlignment="1">
      <alignment horizontal="center"/>
    </xf>
    <xf numFmtId="1" fontId="18" fillId="0" borderId="38" xfId="3" applyNumberFormat="1" applyFont="1" applyFill="1" applyBorder="1" applyAlignment="1">
      <alignment horizontal="center"/>
    </xf>
    <xf numFmtId="1" fontId="18" fillId="0" borderId="30" xfId="3" applyNumberFormat="1" applyFont="1" applyFill="1" applyBorder="1" applyAlignment="1">
      <alignment horizontal="center"/>
    </xf>
    <xf numFmtId="1" fontId="18" fillId="0" borderId="16" xfId="3" applyNumberFormat="1" applyFont="1" applyFill="1" applyBorder="1" applyAlignment="1">
      <alignment horizontal="center"/>
    </xf>
    <xf numFmtId="1" fontId="18" fillId="0" borderId="11" xfId="3" applyNumberFormat="1" applyFont="1" applyFill="1" applyBorder="1" applyAlignment="1">
      <alignment horizontal="center" vertical="center"/>
    </xf>
    <xf numFmtId="1" fontId="18" fillId="0" borderId="14" xfId="3" applyNumberFormat="1" applyFont="1" applyFill="1" applyBorder="1" applyAlignment="1">
      <alignment horizontal="center" vertical="center"/>
    </xf>
    <xf numFmtId="1" fontId="18" fillId="0" borderId="15" xfId="3" applyNumberFormat="1" applyFont="1" applyFill="1" applyBorder="1" applyAlignment="1">
      <alignment horizontal="center" vertical="center"/>
    </xf>
    <xf numFmtId="1" fontId="18" fillId="0" borderId="22" xfId="3" applyNumberFormat="1" applyFont="1" applyFill="1" applyBorder="1" applyAlignment="1">
      <alignment horizontal="center" vertical="center"/>
    </xf>
    <xf numFmtId="1" fontId="18" fillId="0" borderId="38" xfId="3" applyNumberFormat="1" applyFont="1" applyFill="1" applyBorder="1" applyAlignment="1">
      <alignment horizontal="center" vertical="center"/>
    </xf>
    <xf numFmtId="166" fontId="18" fillId="0" borderId="3" xfId="2" applyNumberFormat="1" applyFont="1" applyFill="1" applyBorder="1" applyAlignment="1">
      <alignment horizontal="center"/>
    </xf>
    <xf numFmtId="44" fontId="18" fillId="0" borderId="14" xfId="3" applyFont="1" applyBorder="1" applyAlignment="1">
      <alignment vertical="center"/>
    </xf>
    <xf numFmtId="44" fontId="18" fillId="0" borderId="22" xfId="3" applyFont="1" applyBorder="1" applyAlignment="1">
      <alignment vertical="center"/>
    </xf>
    <xf numFmtId="44" fontId="18" fillId="0" borderId="38" xfId="3" applyFont="1" applyBorder="1" applyAlignment="1">
      <alignment vertical="center"/>
    </xf>
    <xf numFmtId="1" fontId="17" fillId="0" borderId="11" xfId="0" applyNumberFormat="1" applyFont="1" applyBorder="1" applyAlignment="1">
      <alignment horizontal="center" vertical="center"/>
    </xf>
    <xf numFmtId="1" fontId="17" fillId="0" borderId="15" xfId="0" applyNumberFormat="1" applyFont="1" applyBorder="1" applyAlignment="1">
      <alignment horizontal="center" vertical="center"/>
    </xf>
    <xf numFmtId="0" fontId="19" fillId="0" borderId="9" xfId="0" applyFont="1" applyBorder="1" applyAlignment="1">
      <alignment vertical="center"/>
    </xf>
    <xf numFmtId="0" fontId="18" fillId="0" borderId="3" xfId="0" applyFont="1" applyBorder="1" applyAlignment="1">
      <alignment horizontal="left"/>
    </xf>
    <xf numFmtId="0" fontId="18" fillId="0" borderId="18" xfId="0" applyFont="1" applyBorder="1" applyAlignment="1">
      <alignment horizontal="left"/>
    </xf>
    <xf numFmtId="0" fontId="19" fillId="0" borderId="9" xfId="0" applyFont="1" applyBorder="1" applyAlignment="1">
      <alignment horizontal="center" vertical="center"/>
    </xf>
    <xf numFmtId="44" fontId="18" fillId="0" borderId="22" xfId="3" applyFont="1" applyBorder="1" applyAlignment="1"/>
    <xf numFmtId="165" fontId="0" fillId="0" borderId="0" xfId="2" applyNumberFormat="1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166" fontId="18" fillId="0" borderId="12" xfId="2" applyNumberFormat="1" applyFont="1" applyFill="1" applyBorder="1" applyAlignment="1">
      <alignment horizontal="center"/>
    </xf>
    <xf numFmtId="166" fontId="18" fillId="0" borderId="18" xfId="2" applyNumberFormat="1" applyFont="1" applyFill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44" fillId="0" borderId="2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1" fontId="18" fillId="0" borderId="12" xfId="2" applyNumberFormat="1" applyFont="1" applyFill="1" applyBorder="1" applyAlignment="1">
      <alignment horizontal="center"/>
    </xf>
    <xf numFmtId="1" fontId="18" fillId="0" borderId="18" xfId="2" applyNumberFormat="1" applyFont="1" applyFill="1" applyBorder="1" applyAlignment="1">
      <alignment horizontal="center"/>
    </xf>
    <xf numFmtId="0" fontId="17" fillId="0" borderId="1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166" fontId="12" fillId="0" borderId="3" xfId="0" applyNumberFormat="1" applyFont="1" applyBorder="1" applyAlignment="1">
      <alignment horizontal="center"/>
    </xf>
    <xf numFmtId="0" fontId="18" fillId="0" borderId="12" xfId="0" applyFont="1" applyBorder="1"/>
    <xf numFmtId="0" fontId="0" fillId="0" borderId="22" xfId="0" applyBorder="1"/>
    <xf numFmtId="0" fontId="18" fillId="0" borderId="18" xfId="0" applyFont="1" applyBorder="1"/>
    <xf numFmtId="0" fontId="0" fillId="0" borderId="38" xfId="0" applyBorder="1"/>
    <xf numFmtId="166" fontId="18" fillId="0" borderId="3" xfId="2" applyNumberFormat="1" applyFont="1" applyBorder="1" applyAlignment="1">
      <alignment horizontal="center"/>
    </xf>
    <xf numFmtId="166" fontId="18" fillId="0" borderId="12" xfId="2" applyNumberFormat="1" applyFont="1" applyBorder="1" applyAlignment="1">
      <alignment horizontal="center"/>
    </xf>
    <xf numFmtId="0" fontId="0" fillId="0" borderId="14" xfId="0" applyBorder="1"/>
    <xf numFmtId="0" fontId="17" fillId="0" borderId="22" xfId="0" applyFont="1" applyBorder="1" applyAlignment="1">
      <alignment horizontal="center"/>
    </xf>
    <xf numFmtId="0" fontId="17" fillId="0" borderId="18" xfId="0" applyFont="1" applyBorder="1" applyAlignment="1">
      <alignment horizontal="center" vertical="center"/>
    </xf>
    <xf numFmtId="1" fontId="18" fillId="0" borderId="15" xfId="0" applyNumberFormat="1" applyFont="1" applyBorder="1" applyAlignment="1">
      <alignment horizontal="center" vertical="center"/>
    </xf>
    <xf numFmtId="1" fontId="18" fillId="0" borderId="17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49" fillId="0" borderId="0" xfId="0" applyFont="1"/>
    <xf numFmtId="0" fontId="36" fillId="0" borderId="7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wrapText="1"/>
    </xf>
    <xf numFmtId="9" fontId="18" fillId="0" borderId="0" xfId="5" applyFont="1" applyFill="1" applyBorder="1" applyAlignment="1">
      <alignment horizontal="center"/>
    </xf>
    <xf numFmtId="1" fontId="18" fillId="0" borderId="0" xfId="3" applyNumberFormat="1" applyFont="1" applyFill="1" applyBorder="1" applyAlignment="1">
      <alignment horizontal="center"/>
    </xf>
    <xf numFmtId="0" fontId="2" fillId="0" borderId="57" xfId="0" applyFont="1" applyBorder="1" applyAlignment="1">
      <alignment horizontal="center" vertical="center"/>
    </xf>
    <xf numFmtId="0" fontId="45" fillId="0" borderId="57" xfId="0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/>
    </xf>
    <xf numFmtId="44" fontId="17" fillId="0" borderId="0" xfId="3" applyFont="1" applyBorder="1" applyAlignment="1">
      <alignment vertical="center"/>
    </xf>
    <xf numFmtId="0" fontId="12" fillId="0" borderId="57" xfId="0" applyFont="1" applyBorder="1" applyAlignment="1">
      <alignment horizontal="center" vertical="center"/>
    </xf>
    <xf numFmtId="49" fontId="17" fillId="0" borderId="11" xfId="0" applyNumberFormat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1" fontId="17" fillId="0" borderId="11" xfId="0" applyNumberFormat="1" applyFont="1" applyBorder="1" applyAlignment="1">
      <alignment horizontal="center" vertical="center" wrapText="1"/>
    </xf>
    <xf numFmtId="1" fontId="17" fillId="0" borderId="15" xfId="0" applyNumberFormat="1" applyFont="1" applyBorder="1" applyAlignment="1">
      <alignment horizontal="center" vertical="center" wrapText="1"/>
    </xf>
    <xf numFmtId="1" fontId="17" fillId="0" borderId="17" xfId="0" applyNumberFormat="1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/>
    </xf>
    <xf numFmtId="0" fontId="18" fillId="0" borderId="66" xfId="0" applyFont="1" applyBorder="1" applyAlignment="1">
      <alignment horizontal="center"/>
    </xf>
    <xf numFmtId="0" fontId="18" fillId="0" borderId="68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8" fillId="0" borderId="14" xfId="0" applyFont="1" applyBorder="1" applyAlignment="1">
      <alignment horizontal="left" vertical="center"/>
    </xf>
    <xf numFmtId="0" fontId="18" fillId="0" borderId="22" xfId="0" applyFont="1" applyBorder="1" applyAlignment="1">
      <alignment horizontal="left" vertical="center"/>
    </xf>
    <xf numFmtId="0" fontId="18" fillId="0" borderId="38" xfId="0" applyFont="1" applyBorder="1" applyAlignment="1">
      <alignment horizontal="left" vertical="center"/>
    </xf>
    <xf numFmtId="0" fontId="18" fillId="0" borderId="14" xfId="0" applyFont="1" applyBorder="1" applyAlignment="1">
      <alignment vertical="center"/>
    </xf>
    <xf numFmtId="0" fontId="18" fillId="0" borderId="22" xfId="0" applyFont="1" applyBorder="1" applyAlignment="1">
      <alignment vertical="center"/>
    </xf>
    <xf numFmtId="0" fontId="18" fillId="0" borderId="38" xfId="0" applyFont="1" applyBorder="1" applyAlignment="1">
      <alignment vertical="center"/>
    </xf>
    <xf numFmtId="165" fontId="18" fillId="0" borderId="11" xfId="2" applyNumberFormat="1" applyFont="1" applyFill="1" applyBorder="1" applyAlignment="1">
      <alignment horizontal="center" vertical="center"/>
    </xf>
    <xf numFmtId="165" fontId="18" fillId="0" borderId="15" xfId="2" applyNumberFormat="1" applyFont="1" applyFill="1" applyBorder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9" fontId="18" fillId="0" borderId="22" xfId="5" applyFont="1" applyFill="1" applyBorder="1" applyAlignment="1">
      <alignment horizontal="center"/>
    </xf>
    <xf numFmtId="165" fontId="18" fillId="0" borderId="11" xfId="2" applyNumberFormat="1" applyFont="1" applyFill="1" applyBorder="1" applyAlignment="1">
      <alignment horizontal="center"/>
    </xf>
    <xf numFmtId="165" fontId="18" fillId="0" borderId="15" xfId="2" applyNumberFormat="1" applyFont="1" applyFill="1" applyBorder="1" applyAlignment="1">
      <alignment horizontal="center"/>
    </xf>
    <xf numFmtId="165" fontId="18" fillId="0" borderId="17" xfId="2" applyNumberFormat="1" applyFont="1" applyFill="1" applyBorder="1" applyAlignment="1">
      <alignment horizontal="center"/>
    </xf>
    <xf numFmtId="0" fontId="18" fillId="0" borderId="65" xfId="0" applyFont="1" applyBorder="1" applyAlignment="1">
      <alignment horizontal="center" vertical="center"/>
    </xf>
    <xf numFmtId="0" fontId="18" fillId="0" borderId="22" xfId="0" applyFont="1" applyBorder="1" applyAlignment="1">
      <alignment horizontal="left"/>
    </xf>
    <xf numFmtId="0" fontId="18" fillId="0" borderId="38" xfId="0" applyFont="1" applyBorder="1" applyAlignment="1">
      <alignment horizontal="left"/>
    </xf>
    <xf numFmtId="9" fontId="18" fillId="0" borderId="14" xfId="5" applyFont="1" applyFill="1" applyBorder="1" applyAlignment="1">
      <alignment horizontal="center"/>
    </xf>
    <xf numFmtId="9" fontId="18" fillId="0" borderId="38" xfId="5" applyFont="1" applyFill="1" applyBorder="1" applyAlignment="1">
      <alignment horizontal="center"/>
    </xf>
    <xf numFmtId="170" fontId="18" fillId="0" borderId="38" xfId="3" applyNumberFormat="1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46" fillId="0" borderId="0" xfId="0" applyFont="1" applyAlignment="1">
      <alignment vertical="center"/>
    </xf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horizontal="center"/>
    </xf>
    <xf numFmtId="49" fontId="17" fillId="0" borderId="12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17" fillId="0" borderId="9" xfId="0" applyNumberFormat="1" applyFont="1" applyBorder="1" applyAlignment="1">
      <alignment horizontal="center" vertical="center" wrapText="1"/>
    </xf>
    <xf numFmtId="3" fontId="12" fillId="0" borderId="57" xfId="0" applyNumberFormat="1" applyFont="1" applyBorder="1" applyAlignment="1">
      <alignment horizontal="center" vertical="center"/>
    </xf>
    <xf numFmtId="0" fontId="46" fillId="0" borderId="7" xfId="0" applyFont="1" applyBorder="1" applyAlignment="1">
      <alignment vertical="center"/>
    </xf>
    <xf numFmtId="0" fontId="46" fillId="0" borderId="25" xfId="0" applyFont="1" applyBorder="1" applyAlignment="1">
      <alignment vertical="center"/>
    </xf>
    <xf numFmtId="3" fontId="18" fillId="0" borderId="3" xfId="0" applyNumberFormat="1" applyFont="1" applyBorder="1" applyAlignment="1">
      <alignment horizontal="center" vertical="center"/>
    </xf>
    <xf numFmtId="9" fontId="18" fillId="0" borderId="0" xfId="5" applyFont="1" applyBorder="1" applyAlignment="1">
      <alignment horizontal="center"/>
    </xf>
    <xf numFmtId="1" fontId="18" fillId="0" borderId="0" xfId="0" applyNumberFormat="1" applyFont="1" applyAlignment="1">
      <alignment horizontal="center"/>
    </xf>
    <xf numFmtId="1" fontId="18" fillId="0" borderId="3" xfId="0" applyNumberFormat="1" applyFont="1" applyBorder="1" applyAlignment="1">
      <alignment horizontal="center"/>
    </xf>
    <xf numFmtId="0" fontId="0" fillId="0" borderId="65" xfId="0" applyBorder="1"/>
    <xf numFmtId="0" fontId="0" fillId="0" borderId="66" xfId="0" applyBorder="1"/>
    <xf numFmtId="0" fontId="17" fillId="0" borderId="9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165" fontId="18" fillId="0" borderId="22" xfId="2" applyNumberFormat="1" applyFont="1" applyBorder="1" applyAlignment="1">
      <alignment horizontal="center"/>
    </xf>
    <xf numFmtId="165" fontId="18" fillId="0" borderId="38" xfId="2" applyNumberFormat="1" applyFont="1" applyBorder="1" applyAlignment="1">
      <alignment horizontal="center"/>
    </xf>
    <xf numFmtId="1" fontId="18" fillId="0" borderId="22" xfId="0" applyNumberFormat="1" applyFont="1" applyBorder="1" applyAlignment="1">
      <alignment horizontal="center"/>
    </xf>
    <xf numFmtId="0" fontId="17" fillId="6" borderId="9" xfId="0" applyFont="1" applyFill="1" applyBorder="1" applyAlignment="1">
      <alignment horizontal="center" vertical="center" wrapText="1"/>
    </xf>
    <xf numFmtId="0" fontId="19" fillId="6" borderId="9" xfId="0" applyFont="1" applyFill="1" applyBorder="1" applyAlignment="1">
      <alignment horizontal="center" vertical="center" wrapText="1"/>
    </xf>
    <xf numFmtId="0" fontId="17" fillId="6" borderId="9" xfId="0" applyFont="1" applyFill="1" applyBorder="1" applyAlignment="1">
      <alignment horizontal="center" vertical="center"/>
    </xf>
    <xf numFmtId="166" fontId="40" fillId="0" borderId="0" xfId="0" applyNumberFormat="1" applyFont="1" applyAlignment="1">
      <alignment horizontal="center"/>
    </xf>
    <xf numFmtId="166" fontId="12" fillId="0" borderId="12" xfId="0" applyNumberFormat="1" applyFont="1" applyBorder="1" applyAlignment="1">
      <alignment horizontal="center"/>
    </xf>
    <xf numFmtId="166" fontId="12" fillId="0" borderId="18" xfId="0" applyNumberFormat="1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2" fillId="0" borderId="12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/>
    </xf>
    <xf numFmtId="166" fontId="18" fillId="0" borderId="1" xfId="2" applyNumberFormat="1" applyFont="1" applyFill="1" applyBorder="1" applyAlignment="1">
      <alignment horizontal="center"/>
    </xf>
    <xf numFmtId="0" fontId="18" fillId="0" borderId="55" xfId="0" applyFont="1" applyBorder="1" applyAlignment="1">
      <alignment horizontal="center"/>
    </xf>
    <xf numFmtId="0" fontId="17" fillId="0" borderId="5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38" xfId="0" applyFont="1" applyBorder="1" applyAlignment="1">
      <alignment horizontal="center"/>
    </xf>
    <xf numFmtId="165" fontId="18" fillId="0" borderId="14" xfId="2" applyNumberFormat="1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44" fontId="18" fillId="0" borderId="1" xfId="3" applyFont="1" applyBorder="1"/>
    <xf numFmtId="0" fontId="30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49" fontId="17" fillId="0" borderId="15" xfId="0" applyNumberFormat="1" applyFont="1" applyBorder="1" applyAlignment="1">
      <alignment horizontal="center" vertical="center"/>
    </xf>
    <xf numFmtId="165" fontId="18" fillId="0" borderId="22" xfId="2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165" fontId="17" fillId="0" borderId="22" xfId="2" applyNumberFormat="1" applyFont="1" applyBorder="1" applyAlignment="1">
      <alignment horizontal="center" vertical="center" wrapText="1"/>
    </xf>
    <xf numFmtId="0" fontId="17" fillId="9" borderId="15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" fillId="0" borderId="3" xfId="0" applyFont="1" applyBorder="1"/>
    <xf numFmtId="0" fontId="26" fillId="0" borderId="0" xfId="0" applyFont="1" applyAlignment="1">
      <alignment horizontal="center" vertical="center" wrapText="1"/>
    </xf>
    <xf numFmtId="171" fontId="18" fillId="0" borderId="3" xfId="0" applyNumberFormat="1" applyFont="1" applyBorder="1" applyAlignment="1">
      <alignment horizontal="center" vertical="center"/>
    </xf>
    <xf numFmtId="171" fontId="18" fillId="0" borderId="12" xfId="0" applyNumberFormat="1" applyFont="1" applyBorder="1" applyAlignment="1">
      <alignment horizontal="center" vertical="center"/>
    </xf>
    <xf numFmtId="0" fontId="17" fillId="0" borderId="56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0" fillId="0" borderId="19" xfId="0" applyBorder="1"/>
    <xf numFmtId="0" fontId="18" fillId="0" borderId="11" xfId="0" applyFont="1" applyBorder="1" applyAlignment="1">
      <alignment horizontal="center" vertical="center"/>
    </xf>
    <xf numFmtId="0" fontId="51" fillId="0" borderId="0" xfId="0" applyFont="1" applyAlignment="1">
      <alignment horizontal="center"/>
    </xf>
    <xf numFmtId="0" fontId="17" fillId="0" borderId="4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44" fontId="17" fillId="0" borderId="0" xfId="3" applyFont="1" applyBorder="1" applyAlignment="1">
      <alignment horizontal="center" vertical="center"/>
    </xf>
    <xf numFmtId="170" fontId="18" fillId="0" borderId="0" xfId="3" applyNumberFormat="1" applyFont="1" applyBorder="1" applyAlignment="1">
      <alignment horizontal="center"/>
    </xf>
    <xf numFmtId="44" fontId="0" fillId="0" borderId="0" xfId="3" applyFont="1" applyAlignment="1">
      <alignment horizontal="center"/>
    </xf>
    <xf numFmtId="44" fontId="18" fillId="0" borderId="0" xfId="3" applyFont="1" applyBorder="1" applyAlignment="1">
      <alignment horizontal="center"/>
    </xf>
    <xf numFmtId="44" fontId="18" fillId="0" borderId="12" xfId="3" applyFont="1" applyBorder="1" applyAlignment="1">
      <alignment horizontal="center"/>
    </xf>
    <xf numFmtId="44" fontId="18" fillId="0" borderId="3" xfId="3" applyFont="1" applyBorder="1" applyAlignment="1">
      <alignment horizontal="center"/>
    </xf>
    <xf numFmtId="44" fontId="18" fillId="0" borderId="1" xfId="3" applyFont="1" applyBorder="1" applyAlignment="1">
      <alignment horizontal="center"/>
    </xf>
    <xf numFmtId="44" fontId="18" fillId="0" borderId="18" xfId="3" applyFont="1" applyBorder="1" applyAlignment="1">
      <alignment horizontal="center"/>
    </xf>
    <xf numFmtId="44" fontId="18" fillId="0" borderId="0" xfId="3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44" fontId="18" fillId="0" borderId="4" xfId="3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1" fontId="18" fillId="0" borderId="1" xfId="0" applyNumberFormat="1" applyFont="1" applyBorder="1" applyAlignment="1">
      <alignment horizontal="center" vertical="center"/>
    </xf>
    <xf numFmtId="165" fontId="18" fillId="0" borderId="29" xfId="2" applyNumberFormat="1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7" fillId="0" borderId="30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left" vertical="center"/>
    </xf>
    <xf numFmtId="3" fontId="18" fillId="0" borderId="2" xfId="0" applyNumberFormat="1" applyFont="1" applyBorder="1" applyAlignment="1">
      <alignment horizontal="center" vertical="center"/>
    </xf>
    <xf numFmtId="165" fontId="18" fillId="0" borderId="30" xfId="2" applyNumberFormat="1" applyFont="1" applyFill="1" applyBorder="1" applyAlignment="1">
      <alignment horizontal="center"/>
    </xf>
    <xf numFmtId="165" fontId="18" fillId="0" borderId="2" xfId="2" applyNumberFormat="1" applyFont="1" applyFill="1" applyBorder="1"/>
    <xf numFmtId="1" fontId="18" fillId="0" borderId="2" xfId="0" applyNumberFormat="1" applyFont="1" applyBorder="1" applyAlignment="1">
      <alignment horizontal="center" vertical="center"/>
    </xf>
    <xf numFmtId="165" fontId="18" fillId="0" borderId="16" xfId="2" applyNumberFormat="1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166" fontId="18" fillId="0" borderId="2" xfId="2" applyNumberFormat="1" applyFont="1" applyFill="1" applyBorder="1" applyAlignment="1">
      <alignment horizontal="center"/>
    </xf>
    <xf numFmtId="165" fontId="18" fillId="0" borderId="2" xfId="2" applyNumberFormat="1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44" fontId="18" fillId="0" borderId="2" xfId="3" applyFont="1" applyBorder="1"/>
    <xf numFmtId="44" fontId="18" fillId="0" borderId="2" xfId="3" applyFont="1" applyBorder="1" applyAlignment="1">
      <alignment horizontal="center"/>
    </xf>
    <xf numFmtId="3" fontId="18" fillId="0" borderId="0" xfId="0" applyNumberFormat="1" applyFont="1" applyAlignment="1">
      <alignment horizontal="center" vertical="center"/>
    </xf>
    <xf numFmtId="3" fontId="18" fillId="0" borderId="12" xfId="0" applyNumberFormat="1" applyFont="1" applyBorder="1" applyAlignment="1">
      <alignment horizontal="center" vertical="center"/>
    </xf>
    <xf numFmtId="3" fontId="18" fillId="0" borderId="18" xfId="0" applyNumberFormat="1" applyFont="1" applyBorder="1" applyAlignment="1">
      <alignment horizontal="center" vertical="center"/>
    </xf>
    <xf numFmtId="3" fontId="18" fillId="0" borderId="0" xfId="0" applyNumberFormat="1" applyFont="1" applyAlignment="1">
      <alignment horizontal="center"/>
    </xf>
    <xf numFmtId="0" fontId="17" fillId="0" borderId="5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/>
    </xf>
    <xf numFmtId="0" fontId="18" fillId="0" borderId="20" xfId="0" applyFont="1" applyBorder="1" applyAlignment="1">
      <alignment horizontal="left" vertical="center"/>
    </xf>
    <xf numFmtId="0" fontId="0" fillId="0" borderId="25" xfId="0" applyBorder="1"/>
    <xf numFmtId="165" fontId="18" fillId="0" borderId="50" xfId="2" applyNumberFormat="1" applyFont="1" applyFill="1" applyBorder="1" applyAlignment="1">
      <alignment horizontal="center"/>
    </xf>
    <xf numFmtId="165" fontId="18" fillId="0" borderId="20" xfId="2" applyNumberFormat="1" applyFont="1" applyFill="1" applyBorder="1"/>
    <xf numFmtId="1" fontId="18" fillId="0" borderId="50" xfId="3" applyNumberFormat="1" applyFont="1" applyFill="1" applyBorder="1" applyAlignment="1">
      <alignment horizontal="center"/>
    </xf>
    <xf numFmtId="1" fontId="18" fillId="0" borderId="21" xfId="3" applyNumberFormat="1" applyFont="1" applyFill="1" applyBorder="1" applyAlignment="1">
      <alignment horizontal="center"/>
    </xf>
    <xf numFmtId="1" fontId="18" fillId="0" borderId="20" xfId="0" applyNumberFormat="1" applyFont="1" applyBorder="1" applyAlignment="1">
      <alignment horizontal="center" vertical="center"/>
    </xf>
    <xf numFmtId="165" fontId="18" fillId="0" borderId="21" xfId="2" applyNumberFormat="1" applyFont="1" applyBorder="1" applyAlignment="1">
      <alignment horizontal="center"/>
    </xf>
    <xf numFmtId="0" fontId="18" fillId="0" borderId="50" xfId="0" applyFont="1" applyBorder="1" applyAlignment="1">
      <alignment horizontal="center"/>
    </xf>
    <xf numFmtId="166" fontId="18" fillId="0" borderId="20" xfId="2" applyNumberFormat="1" applyFont="1" applyFill="1" applyBorder="1" applyAlignment="1">
      <alignment horizontal="center"/>
    </xf>
    <xf numFmtId="165" fontId="18" fillId="0" borderId="20" xfId="2" applyNumberFormat="1" applyFont="1" applyBorder="1" applyAlignment="1">
      <alignment horizontal="center"/>
    </xf>
    <xf numFmtId="0" fontId="18" fillId="0" borderId="20" xfId="0" applyFont="1" applyBorder="1" applyAlignment="1">
      <alignment horizontal="center" vertical="center"/>
    </xf>
    <xf numFmtId="44" fontId="18" fillId="0" borderId="20" xfId="3" applyFont="1" applyBorder="1"/>
    <xf numFmtId="44" fontId="18" fillId="0" borderId="20" xfId="3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2" fillId="0" borderId="44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12" fillId="0" borderId="57" xfId="0" applyFont="1" applyBorder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" fontId="18" fillId="0" borderId="14" xfId="0" applyNumberFormat="1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18" fillId="0" borderId="57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166" fontId="17" fillId="0" borderId="0" xfId="0" applyNumberFormat="1" applyFont="1" applyAlignment="1">
      <alignment horizontal="center" vertical="center" wrapText="1"/>
    </xf>
    <xf numFmtId="166" fontId="17" fillId="0" borderId="14" xfId="0" applyNumberFormat="1" applyFont="1" applyBorder="1" applyAlignment="1">
      <alignment horizontal="center" vertical="center" wrapText="1"/>
    </xf>
    <xf numFmtId="166" fontId="17" fillId="0" borderId="22" xfId="0" applyNumberFormat="1" applyFont="1" applyBorder="1" applyAlignment="1">
      <alignment horizontal="center" vertical="center" wrapText="1"/>
    </xf>
    <xf numFmtId="166" fontId="17" fillId="0" borderId="38" xfId="0" applyNumberFormat="1" applyFont="1" applyBorder="1" applyAlignment="1">
      <alignment horizontal="center" vertical="center" wrapText="1"/>
    </xf>
    <xf numFmtId="166" fontId="17" fillId="0" borderId="3" xfId="0" applyNumberFormat="1" applyFont="1" applyBorder="1" applyAlignment="1">
      <alignment horizontal="center" vertical="center" wrapText="1"/>
    </xf>
    <xf numFmtId="166" fontId="17" fillId="0" borderId="18" xfId="0" applyNumberFormat="1" applyFont="1" applyBorder="1" applyAlignment="1">
      <alignment horizontal="center" vertical="center" wrapText="1"/>
    </xf>
    <xf numFmtId="165" fontId="17" fillId="0" borderId="42" xfId="2" applyNumberFormat="1" applyFont="1" applyBorder="1" applyAlignment="1">
      <alignment horizontal="center" vertical="top" wrapText="1"/>
    </xf>
    <xf numFmtId="0" fontId="17" fillId="0" borderId="42" xfId="0" applyFont="1" applyBorder="1" applyAlignment="1">
      <alignment horizontal="center" vertical="top" wrapText="1"/>
    </xf>
    <xf numFmtId="0" fontId="25" fillId="0" borderId="3" xfId="0" applyFont="1" applyBorder="1" applyAlignment="1">
      <alignment horizontal="center" vertical="center"/>
    </xf>
    <xf numFmtId="171" fontId="25" fillId="0" borderId="3" xfId="0" applyNumberFormat="1" applyFont="1" applyBorder="1" applyAlignment="1">
      <alignment horizontal="center" vertical="center"/>
    </xf>
    <xf numFmtId="165" fontId="25" fillId="0" borderId="22" xfId="2" applyNumberFormat="1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25" fillId="0" borderId="66" xfId="0" applyFont="1" applyBorder="1" applyAlignment="1">
      <alignment horizontal="center" vertical="center"/>
    </xf>
    <xf numFmtId="0" fontId="46" fillId="0" borderId="25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top" wrapText="1"/>
    </xf>
    <xf numFmtId="1" fontId="18" fillId="0" borderId="11" xfId="0" applyNumberFormat="1" applyFont="1" applyBorder="1" applyAlignment="1">
      <alignment horizontal="center" vertical="center"/>
    </xf>
    <xf numFmtId="0" fontId="0" fillId="0" borderId="33" xfId="0" applyBorder="1"/>
    <xf numFmtId="44" fontId="18" fillId="0" borderId="13" xfId="3" applyFont="1" applyBorder="1"/>
    <xf numFmtId="44" fontId="18" fillId="0" borderId="11" xfId="3" applyFont="1" applyBorder="1" applyAlignment="1">
      <alignment horizontal="center"/>
    </xf>
    <xf numFmtId="165" fontId="17" fillId="0" borderId="0" xfId="2" applyNumberFormat="1" applyFont="1" applyBorder="1" applyAlignment="1">
      <alignment horizontal="center" vertical="top" wrapText="1"/>
    </xf>
    <xf numFmtId="0" fontId="54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52" fillId="0" borderId="0" xfId="0" applyFont="1"/>
    <xf numFmtId="0" fontId="18" fillId="0" borderId="13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9" fontId="18" fillId="0" borderId="34" xfId="0" applyNumberFormat="1" applyFont="1" applyBorder="1" applyAlignment="1">
      <alignment horizontal="center" wrapText="1"/>
    </xf>
    <xf numFmtId="9" fontId="18" fillId="0" borderId="5" xfId="0" applyNumberFormat="1" applyFont="1" applyBorder="1" applyAlignment="1">
      <alignment horizontal="center" wrapText="1"/>
    </xf>
    <xf numFmtId="9" fontId="18" fillId="0" borderId="23" xfId="0" applyNumberFormat="1" applyFont="1" applyBorder="1" applyAlignment="1">
      <alignment horizontal="center" wrapText="1"/>
    </xf>
    <xf numFmtId="166" fontId="17" fillId="0" borderId="52" xfId="0" applyNumberFormat="1" applyFont="1" applyBorder="1" applyAlignment="1">
      <alignment horizontal="center" vertical="center" wrapText="1"/>
    </xf>
    <xf numFmtId="166" fontId="17" fillId="0" borderId="6" xfId="0" applyNumberFormat="1" applyFont="1" applyBorder="1" applyAlignment="1">
      <alignment horizontal="center" vertical="center" wrapText="1"/>
    </xf>
    <xf numFmtId="166" fontId="17" fillId="0" borderId="4" xfId="0" applyNumberFormat="1" applyFont="1" applyBorder="1" applyAlignment="1">
      <alignment horizontal="center" vertical="center" wrapText="1"/>
    </xf>
    <xf numFmtId="166" fontId="17" fillId="0" borderId="32" xfId="0" applyNumberFormat="1" applyFont="1" applyBorder="1" applyAlignment="1">
      <alignment horizontal="center" vertical="center" wrapText="1"/>
    </xf>
    <xf numFmtId="0" fontId="46" fillId="0" borderId="44" xfId="0" applyFont="1" applyBorder="1" applyAlignment="1">
      <alignment horizontal="center" vertical="center"/>
    </xf>
    <xf numFmtId="3" fontId="18" fillId="0" borderId="20" xfId="0" applyNumberFormat="1" applyFont="1" applyBorder="1" applyAlignment="1">
      <alignment horizontal="center" vertical="center"/>
    </xf>
    <xf numFmtId="3" fontId="43" fillId="0" borderId="0" xfId="0" applyNumberFormat="1" applyFont="1" applyAlignment="1">
      <alignment horizontal="center" vertical="center"/>
    </xf>
    <xf numFmtId="166" fontId="17" fillId="0" borderId="65" xfId="0" applyNumberFormat="1" applyFont="1" applyBorder="1" applyAlignment="1">
      <alignment horizontal="center" vertical="center" wrapText="1"/>
    </xf>
    <xf numFmtId="166" fontId="17" fillId="0" borderId="54" xfId="0" applyNumberFormat="1" applyFont="1" applyBorder="1" applyAlignment="1">
      <alignment horizontal="center" vertical="center" wrapText="1"/>
    </xf>
    <xf numFmtId="166" fontId="17" fillId="0" borderId="66" xfId="0" applyNumberFormat="1" applyFont="1" applyBorder="1" applyAlignment="1">
      <alignment horizontal="center" vertical="center" wrapText="1"/>
    </xf>
    <xf numFmtId="166" fontId="17" fillId="0" borderId="45" xfId="0" applyNumberFormat="1" applyFont="1" applyBorder="1" applyAlignment="1">
      <alignment horizontal="center" vertical="center" wrapText="1"/>
    </xf>
    <xf numFmtId="166" fontId="17" fillId="0" borderId="68" xfId="0" applyNumberFormat="1" applyFont="1" applyBorder="1" applyAlignment="1">
      <alignment horizontal="center" vertical="center" wrapText="1"/>
    </xf>
    <xf numFmtId="166" fontId="17" fillId="0" borderId="46" xfId="0" applyNumberFormat="1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/>
    </xf>
    <xf numFmtId="9" fontId="18" fillId="0" borderId="50" xfId="0" applyNumberFormat="1" applyFont="1" applyBorder="1" applyAlignment="1">
      <alignment horizontal="center" wrapText="1"/>
    </xf>
    <xf numFmtId="166" fontId="17" fillId="0" borderId="44" xfId="0" applyNumberFormat="1" applyFont="1" applyBorder="1" applyAlignment="1">
      <alignment horizontal="center" vertical="center" wrapText="1"/>
    </xf>
    <xf numFmtId="166" fontId="17" fillId="0" borderId="57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166" fontId="17" fillId="0" borderId="11" xfId="0" applyNumberFormat="1" applyFont="1" applyBorder="1" applyAlignment="1">
      <alignment horizontal="center" vertical="center" wrapText="1"/>
    </xf>
    <xf numFmtId="166" fontId="17" fillId="0" borderId="17" xfId="0" applyNumberFormat="1" applyFont="1" applyBorder="1" applyAlignment="1">
      <alignment horizontal="center" vertical="center" wrapText="1"/>
    </xf>
    <xf numFmtId="1" fontId="18" fillId="0" borderId="13" xfId="3" applyNumberFormat="1" applyFont="1" applyFill="1" applyBorder="1" applyAlignment="1">
      <alignment horizontal="center"/>
    </xf>
    <xf numFmtId="1" fontId="18" fillId="0" borderId="4" xfId="3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top" wrapText="1"/>
    </xf>
    <xf numFmtId="1" fontId="18" fillId="0" borderId="8" xfId="3" applyNumberFormat="1" applyFont="1" applyFill="1" applyBorder="1" applyAlignment="1">
      <alignment horizontal="center"/>
    </xf>
    <xf numFmtId="9" fontId="18" fillId="0" borderId="4" xfId="5" applyFont="1" applyFill="1" applyBorder="1" applyAlignment="1">
      <alignment horizontal="center"/>
    </xf>
    <xf numFmtId="9" fontId="18" fillId="0" borderId="4" xfId="5" applyFont="1" applyBorder="1" applyAlignment="1">
      <alignment horizontal="center"/>
    </xf>
    <xf numFmtId="9" fontId="18" fillId="0" borderId="13" xfId="5" applyFont="1" applyBorder="1" applyAlignment="1">
      <alignment horizontal="center"/>
    </xf>
    <xf numFmtId="9" fontId="18" fillId="0" borderId="8" xfId="5" applyFont="1" applyFill="1" applyBorder="1" applyAlignment="1">
      <alignment horizontal="center"/>
    </xf>
    <xf numFmtId="9" fontId="18" fillId="0" borderId="35" xfId="5" applyFont="1" applyFill="1" applyBorder="1" applyAlignment="1">
      <alignment horizontal="center"/>
    </xf>
    <xf numFmtId="1" fontId="18" fillId="0" borderId="5" xfId="3" applyNumberFormat="1" applyFont="1" applyFill="1" applyBorder="1" applyAlignment="1">
      <alignment horizontal="center"/>
    </xf>
    <xf numFmtId="1" fontId="18" fillId="0" borderId="5" xfId="0" applyNumberFormat="1" applyFont="1" applyBorder="1" applyAlignment="1">
      <alignment horizontal="center"/>
    </xf>
    <xf numFmtId="1" fontId="18" fillId="0" borderId="34" xfId="0" applyNumberFormat="1" applyFont="1" applyBorder="1" applyAlignment="1">
      <alignment horizontal="center"/>
    </xf>
    <xf numFmtId="1" fontId="18" fillId="0" borderId="23" xfId="3" applyNumberFormat="1" applyFont="1" applyFill="1" applyBorder="1" applyAlignment="1">
      <alignment horizontal="center"/>
    </xf>
    <xf numFmtId="166" fontId="17" fillId="0" borderId="5" xfId="0" applyNumberFormat="1" applyFont="1" applyBorder="1" applyAlignment="1">
      <alignment horizontal="center" vertical="center" wrapText="1"/>
    </xf>
    <xf numFmtId="166" fontId="17" fillId="0" borderId="48" xfId="0" applyNumberFormat="1" applyFont="1" applyBorder="1" applyAlignment="1">
      <alignment horizontal="center" vertical="center" wrapText="1"/>
    </xf>
    <xf numFmtId="0" fontId="18" fillId="0" borderId="5" xfId="0" applyFont="1" applyBorder="1" applyAlignment="1">
      <alignment horizontal="left" vertical="center"/>
    </xf>
    <xf numFmtId="0" fontId="18" fillId="0" borderId="5" xfId="0" applyFont="1" applyBorder="1" applyAlignment="1">
      <alignment vertical="center"/>
    </xf>
    <xf numFmtId="166" fontId="18" fillId="0" borderId="1" xfId="2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4" fontId="18" fillId="0" borderId="29" xfId="3" applyFont="1" applyBorder="1" applyAlignment="1"/>
    <xf numFmtId="0" fontId="18" fillId="0" borderId="28" xfId="0" applyFont="1" applyBorder="1" applyAlignment="1">
      <alignment horizontal="center" vertical="center"/>
    </xf>
    <xf numFmtId="166" fontId="18" fillId="0" borderId="1" xfId="2" applyNumberFormat="1" applyFont="1" applyFill="1" applyBorder="1" applyAlignment="1">
      <alignment horizontal="center" vertical="center"/>
    </xf>
    <xf numFmtId="165" fontId="18" fillId="0" borderId="1" xfId="2" applyNumberFormat="1" applyFont="1" applyBorder="1" applyAlignment="1">
      <alignment horizontal="center" vertical="center"/>
    </xf>
    <xf numFmtId="44" fontId="18" fillId="0" borderId="29" xfId="3" applyFont="1" applyBorder="1" applyAlignment="1">
      <alignment vertical="center"/>
    </xf>
    <xf numFmtId="0" fontId="17" fillId="0" borderId="41" xfId="0" applyFont="1" applyBorder="1" applyAlignment="1">
      <alignment horizontal="center" vertical="center" wrapText="1"/>
    </xf>
    <xf numFmtId="165" fontId="17" fillId="0" borderId="55" xfId="2" applyNumberFormat="1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0" fontId="17" fillId="0" borderId="55" xfId="0" applyFont="1" applyBorder="1" applyAlignment="1">
      <alignment horizontal="center" vertical="center" wrapText="1"/>
    </xf>
    <xf numFmtId="0" fontId="17" fillId="0" borderId="55" xfId="0" applyFont="1" applyBorder="1" applyAlignment="1">
      <alignment vertical="center" wrapText="1"/>
    </xf>
    <xf numFmtId="44" fontId="17" fillId="0" borderId="55" xfId="3" applyFont="1" applyBorder="1" applyAlignment="1">
      <alignment horizontal="center" vertical="center"/>
    </xf>
    <xf numFmtId="0" fontId="47" fillId="0" borderId="42" xfId="0" applyFont="1" applyBorder="1" applyAlignment="1">
      <alignment horizontal="center"/>
    </xf>
    <xf numFmtId="0" fontId="47" fillId="0" borderId="42" xfId="0" applyFont="1" applyBorder="1"/>
    <xf numFmtId="0" fontId="47" fillId="0" borderId="42" xfId="0" applyFont="1" applyBorder="1" applyAlignment="1">
      <alignment horizontal="center" vertical="center" wrapText="1"/>
    </xf>
    <xf numFmtId="0" fontId="12" fillId="0" borderId="0" xfId="6" applyFont="1" applyAlignment="1">
      <alignment horizontal="center" vertical="top" wrapText="1"/>
    </xf>
    <xf numFmtId="0" fontId="50" fillId="0" borderId="0" xfId="6" applyFont="1" applyAlignment="1">
      <alignment horizontal="center" vertical="top" wrapText="1"/>
    </xf>
    <xf numFmtId="44" fontId="0" fillId="0" borderId="0" xfId="3" applyFont="1" applyBorder="1"/>
    <xf numFmtId="44" fontId="0" fillId="0" borderId="0" xfId="3" applyFont="1" applyBorder="1" applyAlignment="1">
      <alignment horizontal="center"/>
    </xf>
    <xf numFmtId="0" fontId="18" fillId="0" borderId="33" xfId="0" applyFont="1" applyBorder="1" applyAlignment="1">
      <alignment horizontal="center"/>
    </xf>
    <xf numFmtId="166" fontId="18" fillId="0" borderId="33" xfId="2" applyNumberFormat="1" applyFont="1" applyFill="1" applyBorder="1" applyAlignment="1">
      <alignment horizontal="center"/>
    </xf>
    <xf numFmtId="0" fontId="18" fillId="0" borderId="33" xfId="0" applyFont="1" applyBorder="1" applyAlignment="1">
      <alignment horizontal="center" vertical="center"/>
    </xf>
    <xf numFmtId="44" fontId="18" fillId="0" borderId="33" xfId="3" applyFont="1" applyBorder="1"/>
    <xf numFmtId="44" fontId="18" fillId="0" borderId="33" xfId="3" applyFont="1" applyBorder="1" applyAlignment="1">
      <alignment horizontal="center"/>
    </xf>
    <xf numFmtId="0" fontId="0" fillId="0" borderId="33" xfId="0" applyBorder="1" applyAlignment="1">
      <alignment horizontal="center"/>
    </xf>
    <xf numFmtId="44" fontId="18" fillId="0" borderId="33" xfId="3" applyFont="1" applyBorder="1" applyAlignment="1"/>
    <xf numFmtId="0" fontId="26" fillId="0" borderId="33" xfId="0" applyFont="1" applyBorder="1" applyAlignment="1">
      <alignment horizontal="center" vertical="center"/>
    </xf>
    <xf numFmtId="0" fontId="0" fillId="0" borderId="32" xfId="0" applyBorder="1"/>
    <xf numFmtId="0" fontId="18" fillId="0" borderId="32" xfId="0" applyFont="1" applyBorder="1" applyAlignment="1">
      <alignment horizontal="center"/>
    </xf>
    <xf numFmtId="166" fontId="18" fillId="0" borderId="32" xfId="2" applyNumberFormat="1" applyFont="1" applyFill="1" applyBorder="1" applyAlignment="1">
      <alignment horizontal="center"/>
    </xf>
    <xf numFmtId="0" fontId="18" fillId="0" borderId="32" xfId="0" applyFont="1" applyBorder="1" applyAlignment="1">
      <alignment horizontal="center" vertical="center"/>
    </xf>
    <xf numFmtId="44" fontId="18" fillId="0" borderId="32" xfId="3" applyFont="1" applyBorder="1"/>
    <xf numFmtId="44" fontId="18" fillId="0" borderId="32" xfId="3" applyFont="1" applyBorder="1" applyAlignment="1">
      <alignment horizontal="center"/>
    </xf>
    <xf numFmtId="0" fontId="26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44" fontId="0" fillId="0" borderId="32" xfId="3" applyFont="1" applyBorder="1"/>
    <xf numFmtId="44" fontId="0" fillId="0" borderId="32" xfId="3" applyFont="1" applyBorder="1" applyAlignment="1">
      <alignment horizontal="center"/>
    </xf>
    <xf numFmtId="44" fontId="18" fillId="0" borderId="32" xfId="3" applyFont="1" applyBorder="1" applyAlignment="1"/>
    <xf numFmtId="0" fontId="26" fillId="0" borderId="32" xfId="0" applyFont="1" applyBorder="1" applyAlignment="1">
      <alignment horizontal="center" vertical="center" wrapText="1"/>
    </xf>
    <xf numFmtId="9" fontId="18" fillId="0" borderId="65" xfId="0" applyNumberFormat="1" applyFont="1" applyBorder="1" applyAlignment="1">
      <alignment horizontal="center" wrapText="1"/>
    </xf>
    <xf numFmtId="9" fontId="18" fillId="0" borderId="66" xfId="0" applyNumberFormat="1" applyFont="1" applyBorder="1" applyAlignment="1">
      <alignment horizontal="center" wrapText="1"/>
    </xf>
    <xf numFmtId="9" fontId="18" fillId="0" borderId="68" xfId="0" applyNumberFormat="1" applyFont="1" applyBorder="1" applyAlignment="1">
      <alignment horizontal="center" wrapText="1"/>
    </xf>
    <xf numFmtId="0" fontId="18" fillId="0" borderId="21" xfId="0" applyFont="1" applyBorder="1" applyAlignment="1">
      <alignment horizontal="left" vertical="center"/>
    </xf>
    <xf numFmtId="9" fontId="18" fillId="0" borderId="57" xfId="0" applyNumberFormat="1" applyFont="1" applyBorder="1" applyAlignment="1">
      <alignment horizontal="center" wrapText="1"/>
    </xf>
    <xf numFmtId="9" fontId="18" fillId="0" borderId="69" xfId="0" applyNumberFormat="1" applyFont="1" applyBorder="1" applyAlignment="1">
      <alignment horizontal="center" wrapText="1"/>
    </xf>
    <xf numFmtId="9" fontId="18" fillId="0" borderId="68" xfId="0" applyNumberFormat="1" applyFont="1" applyBorder="1" applyAlignment="1">
      <alignment horizontal="center" vertical="center" wrapText="1"/>
    </xf>
    <xf numFmtId="9" fontId="18" fillId="0" borderId="65" xfId="0" applyNumberFormat="1" applyFont="1" applyBorder="1" applyAlignment="1">
      <alignment horizontal="center" vertical="center" wrapText="1"/>
    </xf>
    <xf numFmtId="9" fontId="18" fillId="0" borderId="66" xfId="0" applyNumberFormat="1" applyFont="1" applyBorder="1" applyAlignment="1">
      <alignment horizontal="center" vertical="center" wrapText="1"/>
    </xf>
    <xf numFmtId="166" fontId="17" fillId="0" borderId="15" xfId="0" applyNumberFormat="1" applyFont="1" applyBorder="1" applyAlignment="1">
      <alignment horizontal="center" vertical="center" wrapText="1"/>
    </xf>
    <xf numFmtId="1" fontId="17" fillId="0" borderId="50" xfId="0" applyNumberFormat="1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166" fontId="17" fillId="0" borderId="50" xfId="0" applyNumberFormat="1" applyFont="1" applyBorder="1" applyAlignment="1">
      <alignment horizontal="center" vertical="center" wrapText="1"/>
    </xf>
    <xf numFmtId="165" fontId="18" fillId="0" borderId="20" xfId="2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/>
    </xf>
    <xf numFmtId="3" fontId="12" fillId="0" borderId="9" xfId="0" applyNumberFormat="1" applyFont="1" applyBorder="1" applyAlignment="1">
      <alignment horizontal="center" vertical="center"/>
    </xf>
    <xf numFmtId="0" fontId="47" fillId="0" borderId="25" xfId="0" applyFont="1" applyBorder="1" applyAlignment="1">
      <alignment horizontal="center" vertical="center"/>
    </xf>
    <xf numFmtId="9" fontId="18" fillId="0" borderId="54" xfId="5" applyFont="1" applyFill="1" applyBorder="1" applyAlignment="1">
      <alignment horizontal="center"/>
    </xf>
    <xf numFmtId="9" fontId="18" fillId="0" borderId="45" xfId="5" applyFont="1" applyFill="1" applyBorder="1" applyAlignment="1">
      <alignment horizontal="center"/>
    </xf>
    <xf numFmtId="9" fontId="18" fillId="0" borderId="46" xfId="5" applyFont="1" applyFill="1" applyBorder="1" applyAlignment="1">
      <alignment horizontal="center"/>
    </xf>
    <xf numFmtId="9" fontId="18" fillId="0" borderId="44" xfId="5" applyFont="1" applyFill="1" applyBorder="1" applyAlignment="1">
      <alignment horizontal="center"/>
    </xf>
    <xf numFmtId="9" fontId="18" fillId="0" borderId="21" xfId="5" applyFont="1" applyFill="1" applyBorder="1" applyAlignment="1">
      <alignment horizontal="center"/>
    </xf>
    <xf numFmtId="166" fontId="17" fillId="0" borderId="56" xfId="0" applyNumberFormat="1" applyFont="1" applyBorder="1" applyAlignment="1">
      <alignment horizontal="center" vertical="center" wrapText="1"/>
    </xf>
    <xf numFmtId="166" fontId="17" fillId="0" borderId="21" xfId="0" applyNumberFormat="1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9" fontId="18" fillId="0" borderId="46" xfId="5" applyFont="1" applyFill="1" applyBorder="1" applyAlignment="1">
      <alignment horizontal="center" vertical="center"/>
    </xf>
    <xf numFmtId="165" fontId="18" fillId="0" borderId="17" xfId="2" applyNumberFormat="1" applyFont="1" applyFill="1" applyBorder="1" applyAlignment="1">
      <alignment horizontal="center" vertical="center"/>
    </xf>
    <xf numFmtId="165" fontId="18" fillId="0" borderId="18" xfId="2" applyNumberFormat="1" applyFont="1" applyFill="1" applyBorder="1" applyAlignment="1">
      <alignment vertical="center"/>
    </xf>
    <xf numFmtId="9" fontId="18" fillId="0" borderId="48" xfId="5" applyFont="1" applyFill="1" applyBorder="1" applyAlignment="1">
      <alignment horizontal="center"/>
    </xf>
    <xf numFmtId="9" fontId="18" fillId="0" borderId="54" xfId="5" applyFont="1" applyFill="1" applyBorder="1" applyAlignment="1">
      <alignment horizontal="center" vertical="center"/>
    </xf>
    <xf numFmtId="9" fontId="18" fillId="0" borderId="45" xfId="5" applyFont="1" applyFill="1" applyBorder="1" applyAlignment="1">
      <alignment horizontal="center" vertical="center"/>
    </xf>
    <xf numFmtId="165" fontId="17" fillId="0" borderId="7" xfId="2" applyNumberFormat="1" applyFont="1" applyBorder="1" applyAlignment="1">
      <alignment horizontal="center" vertical="center" wrapText="1"/>
    </xf>
    <xf numFmtId="9" fontId="18" fillId="0" borderId="11" xfId="0" applyNumberFormat="1" applyFont="1" applyBorder="1" applyAlignment="1">
      <alignment horizontal="center" wrapText="1"/>
    </xf>
    <xf numFmtId="9" fontId="18" fillId="0" borderId="17" xfId="0" applyNumberFormat="1" applyFont="1" applyBorder="1" applyAlignment="1">
      <alignment horizontal="center" wrapText="1"/>
    </xf>
    <xf numFmtId="9" fontId="18" fillId="0" borderId="15" xfId="0" applyNumberFormat="1" applyFont="1" applyBorder="1" applyAlignment="1">
      <alignment horizontal="center" wrapText="1"/>
    </xf>
    <xf numFmtId="1" fontId="18" fillId="0" borderId="17" xfId="0" applyNumberFormat="1" applyFont="1" applyBorder="1" applyAlignment="1">
      <alignment horizontal="center"/>
    </xf>
    <xf numFmtId="1" fontId="18" fillId="0" borderId="38" xfId="0" applyNumberFormat="1" applyFont="1" applyBorder="1" applyAlignment="1">
      <alignment horizontal="center"/>
    </xf>
    <xf numFmtId="1" fontId="18" fillId="0" borderId="17" xfId="3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9" fillId="0" borderId="25" xfId="0" applyFon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/>
    </xf>
    <xf numFmtId="166" fontId="17" fillId="0" borderId="0" xfId="0" applyNumberFormat="1" applyFont="1" applyAlignment="1">
      <alignment horizontal="center" vertical="top" wrapText="1"/>
    </xf>
    <xf numFmtId="166" fontId="45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165" fontId="18" fillId="0" borderId="38" xfId="2" applyNumberFormat="1" applyFont="1" applyBorder="1" applyAlignment="1">
      <alignment horizontal="center" vertical="center"/>
    </xf>
    <xf numFmtId="0" fontId="56" fillId="0" borderId="3" xfId="0" applyFont="1" applyBorder="1" applyAlignment="1">
      <alignment horizontal="center" vertical="center"/>
    </xf>
    <xf numFmtId="0" fontId="19" fillId="0" borderId="7" xfId="0" applyFont="1" applyBorder="1" applyAlignment="1">
      <alignment vertical="center"/>
    </xf>
    <xf numFmtId="0" fontId="19" fillId="0" borderId="25" xfId="0" applyFont="1" applyBorder="1" applyAlignment="1">
      <alignment vertical="center"/>
    </xf>
    <xf numFmtId="0" fontId="19" fillId="0" borderId="44" xfId="0" applyFont="1" applyBorder="1" applyAlignment="1">
      <alignment vertical="center"/>
    </xf>
    <xf numFmtId="0" fontId="19" fillId="0" borderId="25" xfId="0" applyFont="1" applyBorder="1" applyAlignment="1">
      <alignment horizontal="left" vertical="center"/>
    </xf>
    <xf numFmtId="0" fontId="19" fillId="0" borderId="7" xfId="0" applyFont="1" applyBorder="1" applyAlignment="1">
      <alignment horizontal="left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19" fillId="0" borderId="44" xfId="0" applyFont="1" applyBorder="1" applyAlignment="1">
      <alignment horizontal="left" vertical="center"/>
    </xf>
    <xf numFmtId="0" fontId="17" fillId="0" borderId="16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1" fontId="18" fillId="0" borderId="50" xfId="0" applyNumberFormat="1" applyFont="1" applyBorder="1" applyAlignment="1">
      <alignment horizontal="center" vertical="center"/>
    </xf>
    <xf numFmtId="0" fontId="0" fillId="0" borderId="51" xfId="0" applyBorder="1"/>
    <xf numFmtId="9" fontId="18" fillId="0" borderId="3" xfId="5" applyFont="1" applyFill="1" applyBorder="1" applyAlignment="1">
      <alignment horizontal="center"/>
    </xf>
    <xf numFmtId="0" fontId="17" fillId="0" borderId="12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2" fillId="0" borderId="11" xfId="6" applyFont="1" applyBorder="1" applyAlignment="1">
      <alignment horizontal="center" vertical="top" wrapText="1"/>
    </xf>
    <xf numFmtId="0" fontId="50" fillId="0" borderId="14" xfId="6" applyFont="1" applyBorder="1" applyAlignment="1">
      <alignment horizontal="center" vertical="top" wrapText="1"/>
    </xf>
    <xf numFmtId="0" fontId="17" fillId="0" borderId="11" xfId="0" applyFont="1" applyBorder="1" applyAlignment="1">
      <alignment horizontal="center" vertical="top" wrapText="1"/>
    </xf>
    <xf numFmtId="0" fontId="17" fillId="0" borderId="14" xfId="0" applyFont="1" applyBorder="1" applyAlignment="1">
      <alignment horizontal="center" vertical="top" wrapText="1"/>
    </xf>
    <xf numFmtId="165" fontId="17" fillId="0" borderId="12" xfId="2" applyNumberFormat="1" applyFont="1" applyBorder="1" applyAlignment="1">
      <alignment horizontal="center" vertical="top" wrapText="1"/>
    </xf>
    <xf numFmtId="0" fontId="17" fillId="0" borderId="12" xfId="0" applyFont="1" applyBorder="1" applyAlignment="1">
      <alignment horizontal="center" vertical="top" wrapText="1"/>
    </xf>
    <xf numFmtId="165" fontId="17" fillId="0" borderId="14" xfId="2" applyNumberFormat="1" applyFont="1" applyBorder="1" applyAlignment="1">
      <alignment horizontal="center" vertical="top" wrapText="1"/>
    </xf>
    <xf numFmtId="0" fontId="0" fillId="0" borderId="75" xfId="0" applyBorder="1"/>
    <xf numFmtId="0" fontId="0" fillId="0" borderId="8" xfId="0" applyBorder="1"/>
    <xf numFmtId="0" fontId="0" fillId="0" borderId="4" xfId="0" applyBorder="1"/>
    <xf numFmtId="9" fontId="18" fillId="0" borderId="3" xfId="5" applyFont="1" applyBorder="1" applyAlignment="1">
      <alignment horizontal="center"/>
    </xf>
    <xf numFmtId="9" fontId="18" fillId="0" borderId="22" xfId="5" applyFont="1" applyBorder="1" applyAlignment="1">
      <alignment horizontal="center"/>
    </xf>
    <xf numFmtId="9" fontId="18" fillId="0" borderId="38" xfId="5" applyFont="1" applyBorder="1" applyAlignment="1">
      <alignment horizontal="center"/>
    </xf>
    <xf numFmtId="9" fontId="18" fillId="0" borderId="18" xfId="5" applyFont="1" applyFill="1" applyBorder="1" applyAlignment="1">
      <alignment horizontal="center"/>
    </xf>
    <xf numFmtId="9" fontId="18" fillId="0" borderId="12" xfId="5" applyFont="1" applyFill="1" applyBorder="1" applyAlignment="1">
      <alignment horizontal="center"/>
    </xf>
    <xf numFmtId="166" fontId="17" fillId="0" borderId="12" xfId="0" applyNumberFormat="1" applyFont="1" applyBorder="1" applyAlignment="1">
      <alignment horizontal="center" vertical="center" wrapText="1"/>
    </xf>
    <xf numFmtId="1" fontId="18" fillId="0" borderId="20" xfId="3" applyNumberFormat="1" applyFont="1" applyFill="1" applyBorder="1" applyAlignment="1">
      <alignment horizontal="center"/>
    </xf>
    <xf numFmtId="1" fontId="18" fillId="0" borderId="12" xfId="3" applyNumberFormat="1" applyFont="1" applyFill="1" applyBorder="1" applyAlignment="1">
      <alignment horizontal="center"/>
    </xf>
    <xf numFmtId="1" fontId="18" fillId="0" borderId="18" xfId="3" applyNumberFormat="1" applyFont="1" applyFill="1" applyBorder="1" applyAlignment="1">
      <alignment horizontal="center"/>
    </xf>
    <xf numFmtId="0" fontId="56" fillId="0" borderId="0" xfId="0" applyFont="1"/>
    <xf numFmtId="0" fontId="17" fillId="0" borderId="3" xfId="0" applyFont="1" applyBorder="1" applyAlignment="1">
      <alignment vertical="center"/>
    </xf>
    <xf numFmtId="0" fontId="56" fillId="0" borderId="3" xfId="0" applyFont="1" applyBorder="1"/>
    <xf numFmtId="0" fontId="17" fillId="0" borderId="12" xfId="0" applyFont="1" applyBorder="1" applyAlignment="1">
      <alignment vertical="center"/>
    </xf>
    <xf numFmtId="0" fontId="56" fillId="0" borderId="18" xfId="0" applyFont="1" applyBorder="1"/>
    <xf numFmtId="0" fontId="26" fillId="0" borderId="12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9" fontId="18" fillId="0" borderId="14" xfId="5" applyFont="1" applyBorder="1" applyAlignment="1">
      <alignment horizontal="center"/>
    </xf>
    <xf numFmtId="1" fontId="18" fillId="0" borderId="18" xfId="0" applyNumberFormat="1" applyFont="1" applyBorder="1" applyAlignment="1">
      <alignment horizontal="center"/>
    </xf>
    <xf numFmtId="0" fontId="0" fillId="0" borderId="21" xfId="0" applyBorder="1"/>
    <xf numFmtId="1" fontId="17" fillId="0" borderId="28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8" fillId="0" borderId="29" xfId="0" applyFont="1" applyBorder="1" applyAlignment="1">
      <alignment horizontal="left" vertical="center"/>
    </xf>
    <xf numFmtId="1" fontId="18" fillId="0" borderId="28" xfId="3" applyNumberFormat="1" applyFont="1" applyFill="1" applyBorder="1" applyAlignment="1">
      <alignment horizontal="center"/>
    </xf>
    <xf numFmtId="1" fontId="18" fillId="0" borderId="29" xfId="3" applyNumberFormat="1" applyFont="1" applyFill="1" applyBorder="1" applyAlignment="1">
      <alignment horizontal="center"/>
    </xf>
    <xf numFmtId="44" fontId="18" fillId="0" borderId="29" xfId="3" applyFont="1" applyBorder="1"/>
    <xf numFmtId="0" fontId="18" fillId="0" borderId="67" xfId="0" applyFont="1" applyBorder="1" applyAlignment="1">
      <alignment horizontal="center"/>
    </xf>
    <xf numFmtId="3" fontId="18" fillId="0" borderId="14" xfId="0" applyNumberFormat="1" applyFont="1" applyBorder="1" applyAlignment="1">
      <alignment horizontal="center" vertical="center"/>
    </xf>
    <xf numFmtId="165" fontId="17" fillId="0" borderId="40" xfId="2" applyNumberFormat="1" applyFont="1" applyBorder="1" applyAlignment="1">
      <alignment horizontal="center" vertical="center" wrapText="1"/>
    </xf>
    <xf numFmtId="1" fontId="18" fillId="0" borderId="14" xfId="0" applyNumberFormat="1" applyFont="1" applyBorder="1" applyAlignment="1">
      <alignment horizontal="center" vertical="center"/>
    </xf>
    <xf numFmtId="1" fontId="18" fillId="0" borderId="28" xfId="0" applyNumberFormat="1" applyFont="1" applyBorder="1" applyAlignment="1">
      <alignment horizontal="center" vertical="center"/>
    </xf>
    <xf numFmtId="1" fontId="17" fillId="0" borderId="30" xfId="0" applyNumberFormat="1" applyFont="1" applyBorder="1" applyAlignment="1">
      <alignment horizontal="center" vertical="center"/>
    </xf>
    <xf numFmtId="3" fontId="18" fillId="0" borderId="16" xfId="0" applyNumberFormat="1" applyFont="1" applyBorder="1" applyAlignment="1">
      <alignment horizontal="center" vertical="center"/>
    </xf>
    <xf numFmtId="166" fontId="17" fillId="0" borderId="16" xfId="0" applyNumberFormat="1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/>
    </xf>
    <xf numFmtId="0" fontId="19" fillId="0" borderId="41" xfId="0" applyFont="1" applyBorder="1" applyAlignment="1">
      <alignment horizontal="center" vertical="center"/>
    </xf>
    <xf numFmtId="3" fontId="18" fillId="0" borderId="22" xfId="0" applyNumberFormat="1" applyFont="1" applyBorder="1" applyAlignment="1">
      <alignment horizontal="center" vertical="center"/>
    </xf>
    <xf numFmtId="3" fontId="18" fillId="0" borderId="54" xfId="0" applyNumberFormat="1" applyFont="1" applyBorder="1" applyAlignment="1">
      <alignment horizontal="center" vertical="center"/>
    </xf>
    <xf numFmtId="3" fontId="18" fillId="0" borderId="48" xfId="0" applyNumberFormat="1" applyFont="1" applyBorder="1" applyAlignment="1">
      <alignment horizontal="center" vertical="center"/>
    </xf>
    <xf numFmtId="3" fontId="18" fillId="0" borderId="45" xfId="0" applyNumberFormat="1" applyFont="1" applyBorder="1" applyAlignment="1">
      <alignment horizontal="center" vertical="center"/>
    </xf>
    <xf numFmtId="0" fontId="18" fillId="0" borderId="45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66" xfId="0" applyFont="1" applyBorder="1" applyAlignment="1">
      <alignment vertical="center"/>
    </xf>
    <xf numFmtId="0" fontId="17" fillId="0" borderId="68" xfId="0" applyFont="1" applyBorder="1" applyAlignment="1">
      <alignment vertical="center"/>
    </xf>
    <xf numFmtId="0" fontId="17" fillId="0" borderId="70" xfId="0" applyFont="1" applyBorder="1" applyAlignment="1">
      <alignment horizontal="center" vertical="center"/>
    </xf>
    <xf numFmtId="0" fontId="17" fillId="0" borderId="75" xfId="0" applyFont="1" applyBorder="1" applyAlignment="1">
      <alignment horizontal="center" vertical="center"/>
    </xf>
    <xf numFmtId="0" fontId="17" fillId="0" borderId="55" xfId="0" applyFont="1" applyBorder="1" applyAlignment="1">
      <alignment horizontal="center" vertical="center"/>
    </xf>
    <xf numFmtId="3" fontId="13" fillId="0" borderId="3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21" fillId="0" borderId="0" xfId="6"/>
    <xf numFmtId="0" fontId="51" fillId="0" borderId="41" xfId="6" applyFont="1" applyBorder="1" applyAlignment="1">
      <alignment horizontal="center"/>
    </xf>
    <xf numFmtId="0" fontId="18" fillId="0" borderId="43" xfId="6" applyFont="1" applyBorder="1" applyAlignment="1">
      <alignment horizontal="center"/>
    </xf>
    <xf numFmtId="0" fontId="2" fillId="0" borderId="0" xfId="6" applyFont="1" applyAlignment="1">
      <alignment horizontal="center"/>
    </xf>
    <xf numFmtId="0" fontId="51" fillId="0" borderId="7" xfId="6" applyFont="1" applyBorder="1" applyAlignment="1">
      <alignment horizontal="center" vertical="center" wrapText="1"/>
    </xf>
    <xf numFmtId="0" fontId="2" fillId="0" borderId="7" xfId="6" applyFont="1" applyBorder="1" applyAlignment="1">
      <alignment horizontal="center" vertical="center" wrapText="1"/>
    </xf>
    <xf numFmtId="0" fontId="51" fillId="0" borderId="57" xfId="6" applyFont="1" applyBorder="1" applyAlignment="1">
      <alignment horizontal="center" vertical="center"/>
    </xf>
    <xf numFmtId="0" fontId="12" fillId="0" borderId="9" xfId="7" applyFont="1" applyBorder="1" applyAlignment="1">
      <alignment horizontal="center" vertical="center" wrapText="1"/>
    </xf>
    <xf numFmtId="0" fontId="12" fillId="0" borderId="9" xfId="6" applyFont="1" applyBorder="1" applyAlignment="1">
      <alignment horizontal="center" vertical="center" wrapText="1"/>
    </xf>
    <xf numFmtId="0" fontId="14" fillId="0" borderId="9" xfId="6" applyFont="1" applyBorder="1" applyAlignment="1">
      <alignment horizontal="center" vertical="center" wrapText="1"/>
    </xf>
    <xf numFmtId="0" fontId="12" fillId="0" borderId="33" xfId="6" applyFont="1" applyBorder="1" applyAlignment="1">
      <alignment horizontal="center" vertical="center" wrapText="1"/>
    </xf>
    <xf numFmtId="0" fontId="12" fillId="0" borderId="7" xfId="6" applyFont="1" applyBorder="1" applyAlignment="1">
      <alignment horizontal="center" vertical="center" wrapText="1"/>
    </xf>
    <xf numFmtId="0" fontId="12" fillId="0" borderId="57" xfId="6" applyFont="1" applyBorder="1" applyAlignment="1">
      <alignment horizontal="center" vertical="center" wrapText="1"/>
    </xf>
    <xf numFmtId="0" fontId="12" fillId="0" borderId="2" xfId="6" applyFont="1" applyBorder="1" applyAlignment="1">
      <alignment horizontal="center" vertical="center"/>
    </xf>
    <xf numFmtId="0" fontId="12" fillId="0" borderId="2" xfId="6" applyFont="1" applyBorder="1" applyAlignment="1">
      <alignment horizontal="center" vertical="center"/>
    </xf>
    <xf numFmtId="16" fontId="60" fillId="0" borderId="12" xfId="6" applyNumberFormat="1" applyFont="1" applyBorder="1"/>
    <xf numFmtId="0" fontId="60" fillId="0" borderId="12" xfId="6" applyFont="1" applyBorder="1"/>
    <xf numFmtId="0" fontId="60" fillId="0" borderId="14" xfId="6" applyFont="1" applyBorder="1"/>
    <xf numFmtId="168" fontId="21" fillId="0" borderId="0" xfId="6" applyNumberFormat="1"/>
    <xf numFmtId="0" fontId="12" fillId="0" borderId="3" xfId="6" applyFont="1" applyBorder="1" applyAlignment="1">
      <alignment horizontal="center" vertical="center"/>
    </xf>
    <xf numFmtId="16" fontId="60" fillId="0" borderId="3" xfId="6" applyNumberFormat="1" applyFont="1" applyBorder="1"/>
    <xf numFmtId="0" fontId="60" fillId="0" borderId="3" xfId="6" applyFont="1" applyBorder="1"/>
    <xf numFmtId="0" fontId="60" fillId="0" borderId="22" xfId="6" applyFont="1" applyBorder="1"/>
    <xf numFmtId="0" fontId="60" fillId="0" borderId="18" xfId="6" applyFont="1" applyBorder="1"/>
    <xf numFmtId="0" fontId="60" fillId="0" borderId="38" xfId="6" applyFont="1" applyBorder="1"/>
    <xf numFmtId="0" fontId="60" fillId="0" borderId="2" xfId="6" applyFont="1" applyBorder="1"/>
    <xf numFmtId="0" fontId="18" fillId="0" borderId="15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2" fillId="0" borderId="12" xfId="6" applyFont="1" applyBorder="1" applyAlignment="1">
      <alignment horizontal="center" vertical="center"/>
    </xf>
    <xf numFmtId="0" fontId="12" fillId="0" borderId="18" xfId="6" applyFont="1" applyBorder="1" applyAlignment="1">
      <alignment horizontal="center" vertical="center"/>
    </xf>
    <xf numFmtId="0" fontId="12" fillId="0" borderId="74" xfId="6" applyFont="1" applyBorder="1" applyAlignment="1">
      <alignment horizontal="center" vertical="center"/>
    </xf>
    <xf numFmtId="0" fontId="23" fillId="0" borderId="49" xfId="0" applyFon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27" fillId="0" borderId="7" xfId="0" applyFont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0" xfId="0" applyBorder="1" applyAlignment="1">
      <alignment horizontal="center" vertical="center" textRotation="90"/>
    </xf>
    <xf numFmtId="0" fontId="0" fillId="0" borderId="51" xfId="0" applyBorder="1" applyAlignment="1">
      <alignment horizontal="center" vertical="center" textRotation="90"/>
    </xf>
    <xf numFmtId="0" fontId="0" fillId="0" borderId="49" xfId="0" applyBorder="1" applyAlignment="1">
      <alignment horizontal="center" vertical="center" textRotation="90"/>
    </xf>
    <xf numFmtId="0" fontId="23" fillId="0" borderId="7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165" fontId="0" fillId="0" borderId="28" xfId="0" applyNumberFormat="1" applyBorder="1" applyAlignment="1">
      <alignment horizontal="center" vertical="center"/>
    </xf>
    <xf numFmtId="165" fontId="0" fillId="0" borderId="30" xfId="0" applyNumberFormat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" fontId="25" fillId="0" borderId="9" xfId="0" applyNumberFormat="1" applyFont="1" applyBorder="1" applyAlignment="1">
      <alignment horizontal="center" vertical="center"/>
    </xf>
    <xf numFmtId="0" fontId="25" fillId="0" borderId="55" xfId="0" applyFont="1" applyBorder="1" applyAlignment="1">
      <alignment horizontal="center" vertical="center"/>
    </xf>
    <xf numFmtId="0" fontId="25" fillId="0" borderId="69" xfId="0" applyFont="1" applyBorder="1" applyAlignment="1">
      <alignment horizontal="center" vertical="center"/>
    </xf>
    <xf numFmtId="0" fontId="25" fillId="0" borderId="67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textRotation="90"/>
    </xf>
    <xf numFmtId="0" fontId="0" fillId="0" borderId="55" xfId="0" applyBorder="1" applyAlignment="1">
      <alignment horizontal="center" vertical="center" textRotation="90"/>
    </xf>
    <xf numFmtId="0" fontId="0" fillId="0" borderId="56" xfId="0" applyBorder="1" applyAlignment="1">
      <alignment horizontal="center" vertical="center" textRotation="90"/>
    </xf>
    <xf numFmtId="0" fontId="2" fillId="0" borderId="51" xfId="6" applyFont="1" applyBorder="1" applyAlignment="1">
      <alignment horizontal="center"/>
    </xf>
    <xf numFmtId="0" fontId="2" fillId="0" borderId="0" xfId="6" applyFont="1" applyAlignment="1">
      <alignment horizontal="center"/>
    </xf>
    <xf numFmtId="0" fontId="51" fillId="0" borderId="0" xfId="6" applyFont="1" applyAlignment="1">
      <alignment horizontal="center"/>
    </xf>
    <xf numFmtId="0" fontId="51" fillId="0" borderId="41" xfId="6" applyFont="1" applyBorder="1" applyAlignment="1">
      <alignment horizontal="center"/>
    </xf>
    <xf numFmtId="0" fontId="52" fillId="0" borderId="10" xfId="6" applyFont="1" applyBorder="1" applyAlignment="1">
      <alignment horizontal="center"/>
    </xf>
    <xf numFmtId="0" fontId="52" fillId="0" borderId="27" xfId="6" applyFont="1" applyBorder="1" applyAlignment="1">
      <alignment horizontal="center"/>
    </xf>
    <xf numFmtId="0" fontId="52" fillId="0" borderId="40" xfId="6" applyFont="1" applyBorder="1" applyAlignment="1">
      <alignment horizontal="center"/>
    </xf>
    <xf numFmtId="0" fontId="57" fillId="0" borderId="10" xfId="6" applyFont="1" applyBorder="1" applyAlignment="1">
      <alignment horizontal="center"/>
    </xf>
    <xf numFmtId="0" fontId="57" fillId="0" borderId="27" xfId="6" applyFont="1" applyBorder="1" applyAlignment="1">
      <alignment horizontal="center"/>
    </xf>
    <xf numFmtId="0" fontId="57" fillId="0" borderId="40" xfId="6" applyFont="1" applyBorder="1" applyAlignment="1">
      <alignment horizontal="center"/>
    </xf>
    <xf numFmtId="0" fontId="2" fillId="0" borderId="49" xfId="6" applyFont="1" applyBorder="1" applyAlignment="1">
      <alignment horizontal="center"/>
    </xf>
    <xf numFmtId="0" fontId="2" fillId="0" borderId="42" xfId="6" applyFont="1" applyBorder="1" applyAlignment="1">
      <alignment horizontal="center"/>
    </xf>
    <xf numFmtId="0" fontId="51" fillId="0" borderId="42" xfId="6" applyFont="1" applyBorder="1" applyAlignment="1">
      <alignment horizontal="center"/>
    </xf>
    <xf numFmtId="0" fontId="51" fillId="0" borderId="43" xfId="6" applyFont="1" applyBorder="1" applyAlignment="1">
      <alignment horizontal="center"/>
    </xf>
    <xf numFmtId="0" fontId="46" fillId="0" borderId="7" xfId="6" applyFont="1" applyBorder="1" applyAlignment="1">
      <alignment horizontal="center" vertical="center"/>
    </xf>
    <xf numFmtId="0" fontId="46" fillId="0" borderId="25" xfId="6" applyFont="1" applyBorder="1" applyAlignment="1">
      <alignment horizontal="center" vertical="center"/>
    </xf>
    <xf numFmtId="0" fontId="46" fillId="0" borderId="44" xfId="6" applyFont="1" applyBorder="1" applyAlignment="1">
      <alignment horizontal="center" vertical="center"/>
    </xf>
    <xf numFmtId="0" fontId="2" fillId="0" borderId="7" xfId="6" applyFont="1" applyBorder="1" applyAlignment="1">
      <alignment horizontal="center" vertical="center"/>
    </xf>
    <xf numFmtId="0" fontId="2" fillId="0" borderId="25" xfId="6" applyFont="1" applyBorder="1" applyAlignment="1">
      <alignment horizontal="center" vertical="center"/>
    </xf>
    <xf numFmtId="0" fontId="2" fillId="0" borderId="44" xfId="6" applyFont="1" applyBorder="1" applyAlignment="1">
      <alignment horizontal="center" vertical="center"/>
    </xf>
    <xf numFmtId="14" fontId="51" fillId="0" borderId="7" xfId="6" applyNumberFormat="1" applyFont="1" applyBorder="1" applyAlignment="1">
      <alignment horizontal="center" vertical="center"/>
    </xf>
    <xf numFmtId="14" fontId="51" fillId="0" borderId="25" xfId="6" applyNumberFormat="1" applyFont="1" applyBorder="1" applyAlignment="1">
      <alignment horizontal="center" vertical="center"/>
    </xf>
    <xf numFmtId="14" fontId="51" fillId="0" borderId="44" xfId="6" applyNumberFormat="1" applyFont="1" applyBorder="1" applyAlignment="1">
      <alignment horizontal="center" vertical="center"/>
    </xf>
    <xf numFmtId="0" fontId="13" fillId="0" borderId="11" xfId="6" applyFont="1" applyBorder="1" applyAlignment="1">
      <alignment horizontal="center" vertical="center" wrapText="1"/>
    </xf>
    <xf numFmtId="0" fontId="13" fillId="0" borderId="15" xfId="6" applyFont="1" applyBorder="1" applyAlignment="1">
      <alignment horizontal="center" vertical="center" wrapText="1"/>
    </xf>
    <xf numFmtId="0" fontId="12" fillId="0" borderId="12" xfId="6" applyFont="1" applyBorder="1" applyAlignment="1">
      <alignment horizontal="center" vertical="center"/>
    </xf>
    <xf numFmtId="0" fontId="12" fillId="0" borderId="3" xfId="6" applyFont="1" applyBorder="1" applyAlignment="1">
      <alignment horizontal="center" vertical="center"/>
    </xf>
    <xf numFmtId="0" fontId="13" fillId="0" borderId="62" xfId="6" applyFont="1" applyBorder="1" applyAlignment="1">
      <alignment horizontal="center" vertical="center" wrapText="1"/>
    </xf>
    <xf numFmtId="0" fontId="13" fillId="0" borderId="2" xfId="6" applyFont="1" applyBorder="1" applyAlignment="1">
      <alignment horizontal="center" vertical="center" wrapText="1"/>
    </xf>
    <xf numFmtId="0" fontId="12" fillId="0" borderId="2" xfId="6" applyFont="1" applyBorder="1" applyAlignment="1">
      <alignment horizontal="center" vertical="center"/>
    </xf>
    <xf numFmtId="0" fontId="2" fillId="0" borderId="7" xfId="6" applyFont="1" applyBorder="1" applyAlignment="1">
      <alignment horizontal="center" vertical="center" wrapText="1"/>
    </xf>
    <xf numFmtId="0" fontId="2" fillId="0" borderId="44" xfId="6" applyFont="1" applyBorder="1" applyAlignment="1">
      <alignment horizontal="center" vertical="center" wrapText="1"/>
    </xf>
    <xf numFmtId="0" fontId="2" fillId="0" borderId="25" xfId="6" applyFont="1" applyBorder="1" applyAlignment="1">
      <alignment horizontal="center" vertical="center" wrapText="1"/>
    </xf>
    <xf numFmtId="0" fontId="58" fillId="0" borderId="7" xfId="6" applyFont="1" applyBorder="1" applyAlignment="1">
      <alignment horizontal="center" vertical="center"/>
    </xf>
    <xf numFmtId="0" fontId="58" fillId="0" borderId="25" xfId="6" applyFont="1" applyBorder="1" applyAlignment="1">
      <alignment horizontal="center" vertical="center"/>
    </xf>
    <xf numFmtId="0" fontId="58" fillId="0" borderId="44" xfId="6" applyFont="1" applyBorder="1" applyAlignment="1">
      <alignment horizontal="center" vertical="center"/>
    </xf>
    <xf numFmtId="172" fontId="59" fillId="0" borderId="7" xfId="6" applyNumberFormat="1" applyFont="1" applyBorder="1" applyAlignment="1">
      <alignment horizontal="center" vertical="center"/>
    </xf>
    <xf numFmtId="172" fontId="59" fillId="0" borderId="25" xfId="6" applyNumberFormat="1" applyFont="1" applyBorder="1" applyAlignment="1">
      <alignment horizontal="center" vertical="center"/>
    </xf>
    <xf numFmtId="172" fontId="59" fillId="0" borderId="44" xfId="6" applyNumberFormat="1" applyFont="1" applyBorder="1" applyAlignment="1">
      <alignment horizontal="center" vertical="center"/>
    </xf>
    <xf numFmtId="172" fontId="52" fillId="0" borderId="7" xfId="6" applyNumberFormat="1" applyFont="1" applyBorder="1" applyAlignment="1">
      <alignment horizontal="center" vertical="center"/>
    </xf>
    <xf numFmtId="172" fontId="52" fillId="0" borderId="25" xfId="6" applyNumberFormat="1" applyFont="1" applyBorder="1" applyAlignment="1">
      <alignment horizontal="center" vertical="center"/>
    </xf>
    <xf numFmtId="172" fontId="52" fillId="0" borderId="44" xfId="6" applyNumberFormat="1" applyFont="1" applyBorder="1" applyAlignment="1">
      <alignment horizontal="center" vertical="center"/>
    </xf>
    <xf numFmtId="0" fontId="13" fillId="0" borderId="15" xfId="6" applyFont="1" applyBorder="1" applyAlignment="1">
      <alignment horizontal="center" vertical="center"/>
    </xf>
    <xf numFmtId="0" fontId="13" fillId="0" borderId="3" xfId="6" applyFont="1" applyBorder="1" applyAlignment="1">
      <alignment horizontal="center" vertical="center" wrapText="1"/>
    </xf>
    <xf numFmtId="0" fontId="13" fillId="0" borderId="3" xfId="6" applyFont="1" applyBorder="1" applyAlignment="1">
      <alignment horizontal="center" vertical="center"/>
    </xf>
    <xf numFmtId="0" fontId="13" fillId="0" borderId="17" xfId="6" applyFont="1" applyBorder="1" applyAlignment="1">
      <alignment horizontal="center" vertical="center"/>
    </xf>
    <xf numFmtId="0" fontId="12" fillId="0" borderId="18" xfId="6" applyFont="1" applyBorder="1" applyAlignment="1">
      <alignment horizontal="center" vertical="center"/>
    </xf>
    <xf numFmtId="0" fontId="13" fillId="0" borderId="18" xfId="6" applyFont="1" applyBorder="1" applyAlignment="1">
      <alignment horizontal="center" vertical="center" wrapText="1"/>
    </xf>
    <xf numFmtId="0" fontId="13" fillId="0" borderId="2" xfId="6" applyFont="1" applyBorder="1" applyAlignment="1">
      <alignment horizontal="center" vertical="center"/>
    </xf>
    <xf numFmtId="0" fontId="13" fillId="0" borderId="18" xfId="6" applyFont="1" applyBorder="1" applyAlignment="1">
      <alignment horizontal="center" vertical="center"/>
    </xf>
    <xf numFmtId="0" fontId="1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horizontal="center" vertical="center" wrapText="1"/>
    </xf>
    <xf numFmtId="0" fontId="13" fillId="0" borderId="12" xfId="6" applyFont="1" applyBorder="1" applyAlignment="1">
      <alignment horizontal="center" vertical="center"/>
    </xf>
    <xf numFmtId="0" fontId="13" fillId="0" borderId="61" xfId="6" applyFont="1" applyBorder="1" applyAlignment="1">
      <alignment horizontal="center" vertical="center"/>
    </xf>
    <xf numFmtId="0" fontId="13" fillId="0" borderId="30" xfId="6" applyFont="1" applyBorder="1" applyAlignment="1">
      <alignment horizontal="center" vertical="center"/>
    </xf>
    <xf numFmtId="0" fontId="12" fillId="0" borderId="62" xfId="6" applyFont="1" applyBorder="1" applyAlignment="1">
      <alignment horizontal="center" vertical="center"/>
    </xf>
    <xf numFmtId="0" fontId="13" fillId="0" borderId="62" xfId="6" applyFont="1" applyBorder="1" applyAlignment="1">
      <alignment horizontal="center" vertical="center"/>
    </xf>
    <xf numFmtId="0" fontId="13" fillId="0" borderId="28" xfId="6" applyFont="1" applyBorder="1" applyAlignment="1">
      <alignment horizontal="center" vertical="center"/>
    </xf>
    <xf numFmtId="0" fontId="12" fillId="0" borderId="1" xfId="6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 wrapText="1"/>
    </xf>
    <xf numFmtId="0" fontId="13" fillId="0" borderId="1" xfId="6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53" fillId="0" borderId="42" xfId="0" applyFont="1" applyBorder="1" applyAlignment="1">
      <alignment horizontal="left"/>
    </xf>
    <xf numFmtId="0" fontId="52" fillId="0" borderId="42" xfId="0" applyFont="1" applyBorder="1" applyAlignment="1">
      <alignment horizontal="left"/>
    </xf>
    <xf numFmtId="0" fontId="54" fillId="0" borderId="7" xfId="0" applyFont="1" applyBorder="1" applyAlignment="1">
      <alignment horizontal="center" vertical="center"/>
    </xf>
    <xf numFmtId="0" fontId="54" fillId="0" borderId="25" xfId="0" applyFont="1" applyBorder="1" applyAlignment="1">
      <alignment horizontal="center" vertical="center"/>
    </xf>
    <xf numFmtId="0" fontId="54" fillId="0" borderId="44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/>
    </xf>
    <xf numFmtId="172" fontId="52" fillId="0" borderId="7" xfId="0" applyNumberFormat="1" applyFont="1" applyBorder="1" applyAlignment="1">
      <alignment horizontal="center" vertical="center"/>
    </xf>
    <xf numFmtId="172" fontId="52" fillId="0" borderId="25" xfId="0" applyNumberFormat="1" applyFont="1" applyBorder="1" applyAlignment="1">
      <alignment horizontal="center" vertical="center"/>
    </xf>
    <xf numFmtId="172" fontId="52" fillId="0" borderId="44" xfId="0" applyNumberFormat="1" applyFont="1" applyBorder="1" applyAlignment="1">
      <alignment horizontal="center" vertical="center"/>
    </xf>
    <xf numFmtId="0" fontId="46" fillId="0" borderId="7" xfId="0" applyFont="1" applyBorder="1" applyAlignment="1">
      <alignment horizontal="center" vertical="center"/>
    </xf>
    <xf numFmtId="0" fontId="46" fillId="0" borderId="25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4" fontId="2" fillId="0" borderId="25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9" fillId="8" borderId="10" xfId="0" applyFont="1" applyFill="1" applyBorder="1" applyAlignment="1">
      <alignment horizontal="center" vertical="center"/>
    </xf>
    <xf numFmtId="0" fontId="19" fillId="8" borderId="27" xfId="0" applyFont="1" applyFill="1" applyBorder="1" applyAlignment="1">
      <alignment horizontal="center" vertical="center"/>
    </xf>
    <xf numFmtId="0" fontId="19" fillId="8" borderId="40" xfId="0" applyFont="1" applyFill="1" applyBorder="1" applyAlignment="1">
      <alignment horizontal="center" vertical="center"/>
    </xf>
    <xf numFmtId="0" fontId="19" fillId="8" borderId="49" xfId="0" applyFont="1" applyFill="1" applyBorder="1" applyAlignment="1">
      <alignment horizontal="center" vertical="center"/>
    </xf>
    <xf numFmtId="0" fontId="19" fillId="8" borderId="42" xfId="0" applyFont="1" applyFill="1" applyBorder="1" applyAlignment="1">
      <alignment horizontal="center" vertical="center"/>
    </xf>
    <xf numFmtId="0" fontId="19" fillId="8" borderId="43" xfId="0" applyFont="1" applyFill="1" applyBorder="1" applyAlignment="1">
      <alignment horizontal="center" vertical="center"/>
    </xf>
    <xf numFmtId="0" fontId="39" fillId="0" borderId="11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 wrapText="1"/>
    </xf>
    <xf numFmtId="0" fontId="39" fillId="0" borderId="17" xfId="0" applyFont="1" applyBorder="1" applyAlignment="1">
      <alignment horizontal="center" vertical="center" wrapText="1"/>
    </xf>
    <xf numFmtId="0" fontId="39" fillId="0" borderId="11" xfId="0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39" fillId="0" borderId="61" xfId="0" applyFont="1" applyBorder="1" applyAlignment="1">
      <alignment horizontal="center" vertical="center"/>
    </xf>
    <xf numFmtId="0" fontId="39" fillId="0" borderId="70" xfId="0" applyFont="1" applyBorder="1" applyAlignment="1">
      <alignment horizontal="center" vertical="center"/>
    </xf>
    <xf numFmtId="0" fontId="39" fillId="0" borderId="72" xfId="0" applyFont="1" applyBorder="1" applyAlignment="1">
      <alignment horizontal="center" vertical="center"/>
    </xf>
    <xf numFmtId="0" fontId="39" fillId="0" borderId="9" xfId="0" applyFont="1" applyBorder="1" applyAlignment="1">
      <alignment horizontal="center" vertical="center"/>
    </xf>
    <xf numFmtId="0" fontId="39" fillId="0" borderId="55" xfId="0" applyFont="1" applyBorder="1" applyAlignment="1">
      <alignment horizontal="center" vertical="center"/>
    </xf>
    <xf numFmtId="0" fontId="39" fillId="0" borderId="56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" fontId="3" fillId="0" borderId="35" xfId="0" applyNumberFormat="1" applyFont="1" applyBorder="1" applyAlignment="1">
      <alignment horizontal="center" vertical="center"/>
    </xf>
    <xf numFmtId="1" fontId="3" fillId="0" borderId="45" xfId="0" applyNumberFormat="1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1" fontId="9" fillId="3" borderId="17" xfId="0" applyNumberFormat="1" applyFont="1" applyFill="1" applyBorder="1" applyAlignment="1">
      <alignment horizontal="center" vertical="center"/>
    </xf>
    <xf numFmtId="1" fontId="9" fillId="3" borderId="38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1" fontId="15" fillId="0" borderId="18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 wrapText="1"/>
    </xf>
    <xf numFmtId="0" fontId="5" fillId="0" borderId="60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0" fillId="2" borderId="58" xfId="0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9" fillId="3" borderId="38" xfId="0" applyFont="1" applyFill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17" fillId="0" borderId="7" xfId="0" quotePrefix="1" applyFont="1" applyBorder="1" applyAlignment="1">
      <alignment horizontal="center" vertical="center"/>
    </xf>
    <xf numFmtId="0" fontId="17" fillId="0" borderId="44" xfId="0" quotePrefix="1" applyFont="1" applyBorder="1" applyAlignment="1">
      <alignment horizontal="center" vertical="center"/>
    </xf>
    <xf numFmtId="0" fontId="17" fillId="0" borderId="25" xfId="0" quotePrefix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17" fillId="0" borderId="20" xfId="0" applyNumberFormat="1" applyFont="1" applyBorder="1" applyAlignment="1">
      <alignment horizontal="center" vertical="center"/>
    </xf>
    <xf numFmtId="49" fontId="17" fillId="0" borderId="39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7" fillId="0" borderId="10" xfId="0" quotePrefix="1" applyFont="1" applyBorder="1" applyAlignment="1">
      <alignment horizontal="center" vertical="center"/>
    </xf>
    <xf numFmtId="0" fontId="17" fillId="0" borderId="40" xfId="0" quotePrefix="1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49" fontId="17" fillId="0" borderId="50" xfId="0" applyNumberFormat="1" applyFont="1" applyBorder="1" applyAlignment="1">
      <alignment horizontal="center" vertical="center"/>
    </xf>
    <xf numFmtId="49" fontId="17" fillId="0" borderId="2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14" fontId="17" fillId="0" borderId="7" xfId="0" applyNumberFormat="1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14" fontId="17" fillId="0" borderId="49" xfId="0" applyNumberFormat="1" applyFont="1" applyBorder="1" applyAlignment="1">
      <alignment horizontal="center" vertical="center"/>
    </xf>
  </cellXfs>
  <cellStyles count="8">
    <cellStyle name="Millares" xfId="2" builtinId="3"/>
    <cellStyle name="Millares 2 2" xfId="4"/>
    <cellStyle name="Moneda" xfId="3" builtinId="4"/>
    <cellStyle name="Normal" xfId="0" builtinId="0"/>
    <cellStyle name="Normal 2" xfId="1"/>
    <cellStyle name="Normal 4" xfId="6"/>
    <cellStyle name="Normal 4 2" xfId="7"/>
    <cellStyle name="Porcentaje" xfId="5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AA%20DISE&#209;O%20GRAFICO/Chef/2%20-%20Cartones%20Chef/Carton%20Troquel%20Che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Chef Troquel"/>
    </sheetNames>
    <sheetDataSet>
      <sheetData sheetId="0"/>
      <sheetData sheetId="1">
        <row r="4">
          <cell r="A4">
            <v>836</v>
          </cell>
          <cell r="B4">
            <v>4</v>
          </cell>
          <cell r="C4" t="str">
            <v xml:space="preserve">Filtro Para Cafe         </v>
          </cell>
          <cell r="D4">
            <v>2400</v>
          </cell>
          <cell r="E4" t="str">
            <v>Bolsa</v>
          </cell>
          <cell r="F4">
            <v>0</v>
          </cell>
        </row>
        <row r="5">
          <cell r="A5">
            <v>840</v>
          </cell>
          <cell r="B5">
            <v>1</v>
          </cell>
          <cell r="C5" t="str">
            <v xml:space="preserve">Rallador Cilindrico      </v>
          </cell>
          <cell r="D5">
            <v>2100</v>
          </cell>
          <cell r="E5" t="str">
            <v>Bandita</v>
          </cell>
          <cell r="F5">
            <v>0</v>
          </cell>
        </row>
        <row r="6">
          <cell r="A6">
            <v>867</v>
          </cell>
          <cell r="B6">
            <v>8</v>
          </cell>
          <cell r="C6" t="str">
            <v>Filtro De Tela Gastronomi</v>
          </cell>
          <cell r="D6">
            <v>240</v>
          </cell>
          <cell r="E6" t="str">
            <v>Bolsa</v>
          </cell>
          <cell r="F6">
            <v>0</v>
          </cell>
        </row>
        <row r="7">
          <cell r="A7">
            <v>839</v>
          </cell>
          <cell r="B7">
            <v>5</v>
          </cell>
          <cell r="C7" t="str">
            <v xml:space="preserve">Rallador Chico Chocolate </v>
          </cell>
          <cell r="D7">
            <v>228</v>
          </cell>
          <cell r="E7" t="str">
            <v>Bandita</v>
          </cell>
          <cell r="F7">
            <v>0</v>
          </cell>
        </row>
        <row r="8">
          <cell r="A8">
            <v>900</v>
          </cell>
          <cell r="B8">
            <v>2</v>
          </cell>
          <cell r="C8" t="str">
            <v xml:space="preserve">Prensa Matambre Display  </v>
          </cell>
          <cell r="D8">
            <v>24</v>
          </cell>
          <cell r="E8" t="str">
            <v>Bandita</v>
          </cell>
          <cell r="F8">
            <v>0</v>
          </cell>
        </row>
        <row r="9">
          <cell r="A9">
            <v>802</v>
          </cell>
          <cell r="B9">
            <v>9</v>
          </cell>
          <cell r="C9" t="str">
            <v xml:space="preserve">Batidor Pera Display     </v>
          </cell>
          <cell r="D9">
            <v>600</v>
          </cell>
          <cell r="E9" t="str">
            <v>Corb8</v>
          </cell>
          <cell r="F9" t="str">
            <v>Batidor</v>
          </cell>
        </row>
        <row r="10">
          <cell r="A10">
            <v>824</v>
          </cell>
          <cell r="B10">
            <v>1</v>
          </cell>
          <cell r="C10" t="str">
            <v xml:space="preserve">Colador 8 Cm             </v>
          </cell>
          <cell r="D10">
            <v>1812</v>
          </cell>
          <cell r="E10" t="str">
            <v>Corb8</v>
          </cell>
          <cell r="F10" t="str">
            <v>Colador</v>
          </cell>
        </row>
        <row r="11">
          <cell r="A11">
            <v>825</v>
          </cell>
          <cell r="B11">
            <v>8</v>
          </cell>
          <cell r="C11" t="str">
            <v xml:space="preserve">Colador 10 Cm            </v>
          </cell>
          <cell r="D11">
            <v>2184</v>
          </cell>
          <cell r="E11" t="str">
            <v>Corb8</v>
          </cell>
          <cell r="F11" t="str">
            <v>Colador</v>
          </cell>
        </row>
        <row r="12">
          <cell r="A12">
            <v>901</v>
          </cell>
          <cell r="B12">
            <v>9</v>
          </cell>
          <cell r="C12" t="str">
            <v>Cuchara Madera 35 Display X 12</v>
          </cell>
          <cell r="D12">
            <v>1296</v>
          </cell>
          <cell r="E12" t="str">
            <v>Corb8</v>
          </cell>
          <cell r="F12" t="str">
            <v>Cuchara</v>
          </cell>
        </row>
        <row r="13">
          <cell r="A13">
            <v>902</v>
          </cell>
          <cell r="B13">
            <v>6</v>
          </cell>
          <cell r="C13" t="str">
            <v>Cuchara Madera 45 Display X 12</v>
          </cell>
          <cell r="D13">
            <v>228</v>
          </cell>
          <cell r="E13" t="str">
            <v>Corb8</v>
          </cell>
          <cell r="F13" t="str">
            <v>Cuchara</v>
          </cell>
        </row>
        <row r="14">
          <cell r="A14">
            <v>908</v>
          </cell>
          <cell r="B14">
            <v>8</v>
          </cell>
          <cell r="C14" t="str">
            <v>Cuchara De Cocina 33Cm X 12</v>
          </cell>
          <cell r="D14">
            <v>60</v>
          </cell>
          <cell r="E14" t="str">
            <v>Corb8</v>
          </cell>
          <cell r="F14" t="str">
            <v>Cuchara</v>
          </cell>
        </row>
        <row r="15">
          <cell r="A15">
            <v>911</v>
          </cell>
          <cell r="B15">
            <v>8</v>
          </cell>
          <cell r="C15" t="str">
            <v>Cuchara Madera 30 Display X 12</v>
          </cell>
          <cell r="D15">
            <v>336</v>
          </cell>
          <cell r="E15" t="str">
            <v>Corb8</v>
          </cell>
          <cell r="F15" t="str">
            <v>Cuchara</v>
          </cell>
        </row>
        <row r="16">
          <cell r="A16">
            <v>920</v>
          </cell>
          <cell r="B16">
            <v>0</v>
          </cell>
          <cell r="C16" t="str">
            <v>Cuchara Madera 40 Display X 12</v>
          </cell>
          <cell r="D16">
            <v>144</v>
          </cell>
          <cell r="E16" t="str">
            <v>Corb8</v>
          </cell>
          <cell r="F16" t="str">
            <v>Cuchara</v>
          </cell>
        </row>
        <row r="17">
          <cell r="A17">
            <v>922</v>
          </cell>
          <cell r="B17">
            <v>4</v>
          </cell>
          <cell r="C17" t="str">
            <v>Cuchara Madera 25 Display X 12</v>
          </cell>
          <cell r="D17">
            <v>660</v>
          </cell>
          <cell r="E17" t="str">
            <v>Corb8</v>
          </cell>
          <cell r="F17" t="str">
            <v>Cuchara</v>
          </cell>
        </row>
        <row r="18">
          <cell r="A18" t="str">
            <v>052</v>
          </cell>
          <cell r="B18">
            <v>8</v>
          </cell>
          <cell r="C18" t="str">
            <v>Lavavajilla C/Mgo.Arte</v>
          </cell>
          <cell r="D18">
            <v>48</v>
          </cell>
          <cell r="E18" t="str">
            <v>Huevo</v>
          </cell>
          <cell r="F18" t="str">
            <v>Utensilios</v>
          </cell>
        </row>
        <row r="19">
          <cell r="A19">
            <v>307</v>
          </cell>
          <cell r="B19">
            <v>9</v>
          </cell>
          <cell r="C19" t="str">
            <v>Limpia Mamadera A/I</v>
          </cell>
          <cell r="D19">
            <v>360</v>
          </cell>
          <cell r="E19" t="str">
            <v>Huevo</v>
          </cell>
          <cell r="F19" t="str">
            <v>Utensilios</v>
          </cell>
        </row>
        <row r="20">
          <cell r="A20">
            <v>453</v>
          </cell>
          <cell r="B20">
            <v>3</v>
          </cell>
          <cell r="C20" t="str">
            <v>Cuchara Fideos Nylon C/Mgo</v>
          </cell>
          <cell r="D20"/>
          <cell r="E20" t="str">
            <v>Huevo</v>
          </cell>
          <cell r="F20">
            <v>0</v>
          </cell>
        </row>
        <row r="21">
          <cell r="A21">
            <v>456</v>
          </cell>
          <cell r="B21">
            <v>4</v>
          </cell>
          <cell r="C21" t="str">
            <v>Espatula Lisa Nylon C/Mgo</v>
          </cell>
          <cell r="D21"/>
          <cell r="E21" t="str">
            <v>Huevo</v>
          </cell>
          <cell r="F21">
            <v>0</v>
          </cell>
        </row>
        <row r="22">
          <cell r="A22">
            <v>609</v>
          </cell>
          <cell r="B22">
            <v>4</v>
          </cell>
          <cell r="C22" t="str">
            <v xml:space="preserve">Pisa Papas               </v>
          </cell>
          <cell r="D22">
            <v>480</v>
          </cell>
          <cell r="E22" t="str">
            <v>Huevo</v>
          </cell>
          <cell r="F22">
            <v>0</v>
          </cell>
        </row>
        <row r="23">
          <cell r="A23">
            <v>615</v>
          </cell>
          <cell r="B23">
            <v>5</v>
          </cell>
          <cell r="C23" t="str">
            <v xml:space="preserve">Batidor Resorte          </v>
          </cell>
          <cell r="D23">
            <v>96</v>
          </cell>
          <cell r="E23" t="str">
            <v>Huevo</v>
          </cell>
          <cell r="F23">
            <v>0</v>
          </cell>
        </row>
        <row r="24">
          <cell r="A24">
            <v>630</v>
          </cell>
          <cell r="B24">
            <v>8</v>
          </cell>
          <cell r="C24" t="str">
            <v>Cucharon Ac Inox C/Mgo Ch</v>
          </cell>
          <cell r="D24">
            <v>60</v>
          </cell>
          <cell r="E24" t="str">
            <v>Huevo</v>
          </cell>
          <cell r="F24">
            <v>0</v>
          </cell>
        </row>
        <row r="25">
          <cell r="A25">
            <v>631</v>
          </cell>
          <cell r="B25">
            <v>5</v>
          </cell>
          <cell r="C25" t="str">
            <v xml:space="preserve">Espumadera Ac Inox C/Mgo </v>
          </cell>
          <cell r="D25">
            <v>48</v>
          </cell>
          <cell r="E25" t="str">
            <v>Huevo</v>
          </cell>
          <cell r="F25">
            <v>0</v>
          </cell>
        </row>
        <row r="26">
          <cell r="A26">
            <v>632</v>
          </cell>
          <cell r="B26">
            <v>2</v>
          </cell>
          <cell r="C26" t="str">
            <v>Pinche Ac Inox C/Mgo Chef</v>
          </cell>
          <cell r="D26">
            <v>48</v>
          </cell>
          <cell r="E26" t="str">
            <v>Huevo</v>
          </cell>
          <cell r="F26">
            <v>0</v>
          </cell>
        </row>
        <row r="27">
          <cell r="A27">
            <v>633</v>
          </cell>
          <cell r="B27">
            <v>9</v>
          </cell>
          <cell r="C27" t="str">
            <v>Cuchara Salsera Ac Inox</v>
          </cell>
          <cell r="D27">
            <v>36</v>
          </cell>
          <cell r="E27" t="str">
            <v>Huevo</v>
          </cell>
          <cell r="F27">
            <v>0</v>
          </cell>
        </row>
        <row r="28">
          <cell r="A28">
            <v>634</v>
          </cell>
          <cell r="B28">
            <v>6</v>
          </cell>
          <cell r="C28" t="str">
            <v>Cuchara Calada Ac Inox</v>
          </cell>
          <cell r="D28">
            <v>24</v>
          </cell>
          <cell r="E28" t="str">
            <v>Huevo</v>
          </cell>
          <cell r="F28">
            <v>0</v>
          </cell>
        </row>
        <row r="29">
          <cell r="A29">
            <v>635</v>
          </cell>
          <cell r="B29">
            <v>3</v>
          </cell>
          <cell r="C29" t="str">
            <v>Espatula Lisa Ac Inox</v>
          </cell>
          <cell r="D29">
            <v>48</v>
          </cell>
          <cell r="E29" t="str">
            <v>Huevo</v>
          </cell>
          <cell r="F29">
            <v>0</v>
          </cell>
        </row>
        <row r="30">
          <cell r="A30">
            <v>636</v>
          </cell>
          <cell r="B30">
            <v>0</v>
          </cell>
          <cell r="C30" t="str">
            <v>Espatula Calada Ac Inox</v>
          </cell>
          <cell r="D30">
            <v>48</v>
          </cell>
          <cell r="E30" t="str">
            <v>Huevo</v>
          </cell>
          <cell r="F30">
            <v>0</v>
          </cell>
        </row>
        <row r="31">
          <cell r="A31">
            <v>637</v>
          </cell>
          <cell r="B31">
            <v>7</v>
          </cell>
          <cell r="C31" t="str">
            <v>Cuchara Spaghetti Ac. Inox</v>
          </cell>
          <cell r="D31">
            <v>24</v>
          </cell>
          <cell r="E31" t="str">
            <v>Huevo</v>
          </cell>
          <cell r="F31">
            <v>0</v>
          </cell>
        </row>
        <row r="32">
          <cell r="A32">
            <v>789</v>
          </cell>
          <cell r="B32">
            <v>3</v>
          </cell>
          <cell r="C32" t="str">
            <v xml:space="preserve">Pisa Papa Nylon          </v>
          </cell>
          <cell r="D32">
            <v>600</v>
          </cell>
          <cell r="E32" t="str">
            <v>Huevo</v>
          </cell>
          <cell r="F32">
            <v>0</v>
          </cell>
        </row>
        <row r="33">
          <cell r="A33">
            <v>828</v>
          </cell>
          <cell r="B33">
            <v>9</v>
          </cell>
          <cell r="C33" t="str">
            <v>COLADOR 16 CM</v>
          </cell>
          <cell r="D33">
            <v>0</v>
          </cell>
          <cell r="E33" t="str">
            <v>Huevo</v>
          </cell>
          <cell r="F33">
            <v>0</v>
          </cell>
        </row>
        <row r="34">
          <cell r="A34">
            <v>830</v>
          </cell>
          <cell r="B34">
            <v>2</v>
          </cell>
          <cell r="C34" t="str">
            <v>COLADOR 20 CM</v>
          </cell>
          <cell r="D34">
            <v>0</v>
          </cell>
          <cell r="E34" t="str">
            <v>Huevo</v>
          </cell>
          <cell r="F34">
            <v>0</v>
          </cell>
        </row>
        <row r="35">
          <cell r="A35">
            <v>842</v>
          </cell>
          <cell r="B35">
            <v>5</v>
          </cell>
          <cell r="C35" t="str">
            <v xml:space="preserve">Espatula Lisa Plastica   </v>
          </cell>
          <cell r="D35">
            <v>264</v>
          </cell>
          <cell r="E35" t="str">
            <v>Huevo</v>
          </cell>
          <cell r="F35">
            <v>0</v>
          </cell>
        </row>
        <row r="36">
          <cell r="A36">
            <v>843</v>
          </cell>
          <cell r="B36">
            <v>2</v>
          </cell>
          <cell r="C36" t="str">
            <v xml:space="preserve">Cuchara Calada Plastica  </v>
          </cell>
          <cell r="D36">
            <v>72</v>
          </cell>
          <cell r="E36" t="str">
            <v>Huevo</v>
          </cell>
          <cell r="F36">
            <v>0</v>
          </cell>
        </row>
        <row r="37">
          <cell r="A37">
            <v>844</v>
          </cell>
          <cell r="B37">
            <v>9</v>
          </cell>
          <cell r="C37" t="str">
            <v xml:space="preserve">Cuchara Pulpo Plastica   </v>
          </cell>
          <cell r="D37">
            <v>96</v>
          </cell>
          <cell r="E37" t="str">
            <v>Huevo</v>
          </cell>
          <cell r="F37">
            <v>0</v>
          </cell>
        </row>
        <row r="38">
          <cell r="A38">
            <v>845</v>
          </cell>
          <cell r="B38">
            <v>6</v>
          </cell>
          <cell r="C38" t="str">
            <v xml:space="preserve">Cucharon Plastico        </v>
          </cell>
          <cell r="D38">
            <v>168</v>
          </cell>
          <cell r="E38" t="str">
            <v>Huevo</v>
          </cell>
          <cell r="F38">
            <v>0</v>
          </cell>
        </row>
        <row r="39">
          <cell r="A39">
            <v>846</v>
          </cell>
          <cell r="B39">
            <v>3</v>
          </cell>
          <cell r="C39" t="str">
            <v xml:space="preserve">Espatula Calada Plastica </v>
          </cell>
          <cell r="D39">
            <v>264</v>
          </cell>
          <cell r="E39" t="str">
            <v>Huevo</v>
          </cell>
          <cell r="F39">
            <v>0</v>
          </cell>
        </row>
        <row r="40">
          <cell r="A40">
            <v>847</v>
          </cell>
          <cell r="B40">
            <v>0</v>
          </cell>
          <cell r="C40" t="str">
            <v>Espatula Repostera Plasti</v>
          </cell>
          <cell r="D40">
            <v>1248</v>
          </cell>
          <cell r="E40" t="str">
            <v>Huevo</v>
          </cell>
          <cell r="F40">
            <v>0</v>
          </cell>
        </row>
        <row r="41">
          <cell r="A41">
            <v>848</v>
          </cell>
          <cell r="B41">
            <v>7</v>
          </cell>
          <cell r="C41" t="str">
            <v xml:space="preserve">Espatula Repostera Plast </v>
          </cell>
          <cell r="D41">
            <v>96</v>
          </cell>
          <cell r="E41" t="str">
            <v>Huevo</v>
          </cell>
          <cell r="F41">
            <v>0</v>
          </cell>
        </row>
        <row r="42">
          <cell r="A42">
            <v>856</v>
          </cell>
          <cell r="B42">
            <v>2</v>
          </cell>
          <cell r="C42" t="str">
            <v xml:space="preserve">Pala Torta               </v>
          </cell>
          <cell r="D42">
            <v>96</v>
          </cell>
          <cell r="E42" t="str">
            <v>Huevo</v>
          </cell>
          <cell r="F42">
            <v>0</v>
          </cell>
        </row>
        <row r="43">
          <cell r="A43">
            <v>857</v>
          </cell>
          <cell r="B43">
            <v>9</v>
          </cell>
          <cell r="C43" t="str">
            <v>Cuchillo De Torta</v>
          </cell>
          <cell r="D43">
            <v>24</v>
          </cell>
          <cell r="E43" t="str">
            <v>Huevo</v>
          </cell>
          <cell r="F43">
            <v>0</v>
          </cell>
        </row>
        <row r="44">
          <cell r="A44">
            <v>858</v>
          </cell>
          <cell r="B44">
            <v>6</v>
          </cell>
          <cell r="C44" t="str">
            <v xml:space="preserve">Pala De Canelones        </v>
          </cell>
          <cell r="D44">
            <v>96</v>
          </cell>
          <cell r="E44" t="str">
            <v>Huevo</v>
          </cell>
          <cell r="F44">
            <v>0</v>
          </cell>
        </row>
        <row r="45">
          <cell r="A45">
            <v>859</v>
          </cell>
          <cell r="B45">
            <v>3</v>
          </cell>
          <cell r="C45" t="str">
            <v xml:space="preserve">Corta Ravioles           </v>
          </cell>
          <cell r="D45">
            <v>96</v>
          </cell>
          <cell r="E45" t="str">
            <v>Huevo</v>
          </cell>
          <cell r="F45">
            <v>0</v>
          </cell>
        </row>
        <row r="46">
          <cell r="A46">
            <v>747</v>
          </cell>
          <cell r="B46">
            <v>3</v>
          </cell>
          <cell r="C46" t="str">
            <v>Bombilla Coco Hexagonal</v>
          </cell>
          <cell r="D46">
            <v>24</v>
          </cell>
          <cell r="E46" t="str">
            <v>Skin</v>
          </cell>
          <cell r="F46">
            <v>0</v>
          </cell>
        </row>
        <row r="47">
          <cell r="A47">
            <v>755</v>
          </cell>
          <cell r="B47">
            <v>8</v>
          </cell>
          <cell r="C47" t="str">
            <v>Bomb. Resorte Color Metal</v>
          </cell>
          <cell r="D47">
            <v>0</v>
          </cell>
          <cell r="E47" t="str">
            <v>Skin</v>
          </cell>
          <cell r="F47">
            <v>0</v>
          </cell>
        </row>
        <row r="48">
          <cell r="A48">
            <v>762</v>
          </cell>
          <cell r="B48">
            <v>6</v>
          </cell>
          <cell r="C48" t="str">
            <v xml:space="preserve">Bombilla Resorte Chata   </v>
          </cell>
          <cell r="D48">
            <v>0</v>
          </cell>
          <cell r="E48" t="str">
            <v>Skin</v>
          </cell>
          <cell r="F48">
            <v>0</v>
          </cell>
        </row>
        <row r="49">
          <cell r="A49">
            <v>763</v>
          </cell>
          <cell r="B49">
            <v>3</v>
          </cell>
          <cell r="C49" t="str">
            <v>Bombilla Resorte Tradicio</v>
          </cell>
          <cell r="D49">
            <v>480</v>
          </cell>
          <cell r="E49" t="str">
            <v>Skin</v>
          </cell>
          <cell r="F49">
            <v>0</v>
          </cell>
        </row>
        <row r="50">
          <cell r="A50">
            <v>764</v>
          </cell>
          <cell r="B50">
            <v>0</v>
          </cell>
          <cell r="C50" t="str">
            <v xml:space="preserve">Limpia Bombilla          </v>
          </cell>
          <cell r="D50">
            <v>432</v>
          </cell>
          <cell r="E50" t="str">
            <v>Skin</v>
          </cell>
          <cell r="F50">
            <v>0</v>
          </cell>
        </row>
        <row r="51">
          <cell r="A51">
            <v>769</v>
          </cell>
          <cell r="B51">
            <v>5</v>
          </cell>
          <cell r="C51" t="str">
            <v>Bomb. Autolimpiante Ac. I</v>
          </cell>
          <cell r="D51">
            <v>360</v>
          </cell>
          <cell r="E51" t="str">
            <v>Skin</v>
          </cell>
          <cell r="F51">
            <v>0</v>
          </cell>
        </row>
        <row r="52">
          <cell r="A52" t="str">
            <v>043</v>
          </cell>
          <cell r="B52">
            <v>6</v>
          </cell>
          <cell r="C52" t="str">
            <v xml:space="preserve">Tres En Uno </v>
          </cell>
          <cell r="D52">
            <v>240</v>
          </cell>
          <cell r="E52" t="str">
            <v>T.Loke</v>
          </cell>
          <cell r="F52" t="str">
            <v>Abrelatas</v>
          </cell>
        </row>
        <row r="53">
          <cell r="A53" t="str">
            <v>053</v>
          </cell>
          <cell r="B53">
            <v>5</v>
          </cell>
          <cell r="C53" t="str">
            <v>Pinza De Fiambre*Arte* X 12</v>
          </cell>
          <cell r="D53">
            <v>72</v>
          </cell>
          <cell r="E53" t="str">
            <v>T.Loke</v>
          </cell>
          <cell r="F53" t="str">
            <v>Pinza</v>
          </cell>
        </row>
        <row r="54">
          <cell r="A54" t="str">
            <v>054</v>
          </cell>
          <cell r="B54">
            <v>2</v>
          </cell>
          <cell r="C54" t="str">
            <v>Pinza De Ensalada*Arte*</v>
          </cell>
          <cell r="D54">
            <v>96</v>
          </cell>
          <cell r="E54" t="str">
            <v>T.Loke</v>
          </cell>
          <cell r="F54" t="str">
            <v>Pinza</v>
          </cell>
        </row>
        <row r="55">
          <cell r="A55" t="str">
            <v>055</v>
          </cell>
          <cell r="B55">
            <v>9</v>
          </cell>
          <cell r="C55" t="str">
            <v>Pinza De Fideos*Arte*</v>
          </cell>
          <cell r="D55">
            <v>24</v>
          </cell>
          <cell r="E55" t="str">
            <v>T.Loke</v>
          </cell>
          <cell r="F55" t="str">
            <v>Pinza</v>
          </cell>
        </row>
        <row r="56">
          <cell r="A56" t="str">
            <v>097</v>
          </cell>
          <cell r="B56">
            <v>9</v>
          </cell>
          <cell r="C56" t="str">
            <v>Afila Cuchillo Con Base V</v>
          </cell>
          <cell r="D56">
            <v>720</v>
          </cell>
          <cell r="E56" t="str">
            <v>T.Loke</v>
          </cell>
          <cell r="F56" t="str">
            <v>Afila Cuch.</v>
          </cell>
        </row>
        <row r="57">
          <cell r="A57">
            <v>618</v>
          </cell>
          <cell r="B57">
            <v>6</v>
          </cell>
          <cell r="C57" t="str">
            <v>Espat. Repost. Goma Gastr</v>
          </cell>
          <cell r="D57"/>
          <cell r="E57" t="str">
            <v>T.Loke</v>
          </cell>
          <cell r="F57" t="str">
            <v>Utensilios</v>
          </cell>
        </row>
        <row r="58">
          <cell r="A58">
            <v>619</v>
          </cell>
          <cell r="B58">
            <v>3</v>
          </cell>
          <cell r="C58" t="str">
            <v>Espatula Repost. Goma Com</v>
          </cell>
          <cell r="D58"/>
          <cell r="E58" t="str">
            <v>T.Loke</v>
          </cell>
          <cell r="F58" t="str">
            <v>Utensilios</v>
          </cell>
        </row>
        <row r="59">
          <cell r="A59">
            <v>700</v>
          </cell>
          <cell r="B59">
            <v>8</v>
          </cell>
          <cell r="C59" t="str">
            <v xml:space="preserve">Destapa Corona Pint. X </v>
          </cell>
          <cell r="D59">
            <v>192</v>
          </cell>
          <cell r="E59" t="str">
            <v>T.Loke</v>
          </cell>
          <cell r="F59" t="str">
            <v>Corona</v>
          </cell>
        </row>
        <row r="60">
          <cell r="A60">
            <v>701</v>
          </cell>
          <cell r="B60">
            <v>5</v>
          </cell>
          <cell r="C60" t="str">
            <v>Abrelatas A Manija</v>
          </cell>
          <cell r="D60">
            <v>804</v>
          </cell>
          <cell r="E60" t="str">
            <v>T.Loke</v>
          </cell>
          <cell r="F60" t="str">
            <v>Abrelatas</v>
          </cell>
        </row>
        <row r="61">
          <cell r="A61" t="str">
            <v>702E</v>
          </cell>
          <cell r="B61">
            <v>2</v>
          </cell>
          <cell r="C61" t="str">
            <v>Abrelatas Mariposa</v>
          </cell>
          <cell r="D61">
            <v>1008</v>
          </cell>
          <cell r="E61" t="str">
            <v>T.Loke</v>
          </cell>
          <cell r="F61" t="str">
            <v>Abrelatas</v>
          </cell>
        </row>
        <row r="62">
          <cell r="A62">
            <v>706</v>
          </cell>
          <cell r="B62">
            <v>0</v>
          </cell>
          <cell r="C62" t="str">
            <v>Abrelatas Uñas</v>
          </cell>
          <cell r="D62">
            <v>3276</v>
          </cell>
          <cell r="E62" t="str">
            <v>T.Loke</v>
          </cell>
          <cell r="F62" t="str">
            <v>Abre. Uña</v>
          </cell>
        </row>
        <row r="63">
          <cell r="A63">
            <v>708</v>
          </cell>
          <cell r="B63">
            <v>4</v>
          </cell>
          <cell r="C63" t="str">
            <v>Sacafuentes Articulado</v>
          </cell>
          <cell r="D63">
            <v>72</v>
          </cell>
          <cell r="E63" t="str">
            <v>T.Loke</v>
          </cell>
          <cell r="F63" t="str">
            <v>Sacafuentes</v>
          </cell>
        </row>
        <row r="64">
          <cell r="A64">
            <v>709</v>
          </cell>
          <cell r="B64">
            <v>1</v>
          </cell>
          <cell r="C64" t="str">
            <v>Descorazonador De Manzana</v>
          </cell>
          <cell r="D64">
            <v>48</v>
          </cell>
          <cell r="E64" t="str">
            <v>T.Loke</v>
          </cell>
          <cell r="F64">
            <v>0</v>
          </cell>
        </row>
        <row r="65">
          <cell r="A65">
            <v>715</v>
          </cell>
          <cell r="B65">
            <v>2</v>
          </cell>
          <cell r="C65" t="str">
            <v>Cierra Bolsa X 4</v>
          </cell>
          <cell r="D65">
            <v>120</v>
          </cell>
          <cell r="E65" t="str">
            <v>T.Loke</v>
          </cell>
          <cell r="F65" t="str">
            <v>Cierra Bolsa</v>
          </cell>
        </row>
        <row r="66">
          <cell r="A66">
            <v>717</v>
          </cell>
          <cell r="B66">
            <v>6</v>
          </cell>
          <cell r="C66" t="str">
            <v>Cuchillo de Untar Acrilico Transp.</v>
          </cell>
          <cell r="D66">
            <v>24</v>
          </cell>
          <cell r="E66" t="str">
            <v>T.Loke</v>
          </cell>
          <cell r="F66" t="str">
            <v>C.Unt</v>
          </cell>
        </row>
        <row r="67">
          <cell r="A67">
            <v>718</v>
          </cell>
          <cell r="B67">
            <v>3</v>
          </cell>
          <cell r="C67" t="str">
            <v>Cuch. Untar Blanco X 4</v>
          </cell>
          <cell r="D67">
            <v>72</v>
          </cell>
          <cell r="E67" t="str">
            <v>T.Loke</v>
          </cell>
          <cell r="F67" t="str">
            <v>C.Unt</v>
          </cell>
        </row>
        <row r="68">
          <cell r="A68">
            <v>719</v>
          </cell>
          <cell r="B68">
            <v>0</v>
          </cell>
          <cell r="C68" t="str">
            <v>Cuch Untar Mgo Madera X2</v>
          </cell>
          <cell r="D68">
            <v>72</v>
          </cell>
          <cell r="E68" t="str">
            <v>T.Loke</v>
          </cell>
          <cell r="F68" t="str">
            <v>C.Unt</v>
          </cell>
        </row>
        <row r="69">
          <cell r="A69">
            <v>720</v>
          </cell>
          <cell r="B69">
            <v>6</v>
          </cell>
          <cell r="C69" t="str">
            <v>Ahueca Papa</v>
          </cell>
          <cell r="D69">
            <v>108</v>
          </cell>
          <cell r="E69" t="str">
            <v>T.Loke</v>
          </cell>
          <cell r="F69" t="str">
            <v>Ahueca</v>
          </cell>
        </row>
        <row r="70">
          <cell r="A70">
            <v>722</v>
          </cell>
          <cell r="B70">
            <v>0</v>
          </cell>
          <cell r="C70" t="str">
            <v>Ahueca Frutas</v>
          </cell>
          <cell r="D70">
            <v>60</v>
          </cell>
          <cell r="E70" t="str">
            <v>T.Loke</v>
          </cell>
          <cell r="F70" t="str">
            <v>Ahueca</v>
          </cell>
        </row>
        <row r="71">
          <cell r="A71">
            <v>723</v>
          </cell>
          <cell r="B71">
            <v>7</v>
          </cell>
          <cell r="C71" t="str">
            <v xml:space="preserve">Sacacorcho Doble Aleta   </v>
          </cell>
          <cell r="D71">
            <v>360</v>
          </cell>
          <cell r="E71" t="str">
            <v>T.Loke</v>
          </cell>
          <cell r="F71" t="str">
            <v>Sacacorcho</v>
          </cell>
        </row>
        <row r="72">
          <cell r="A72">
            <v>725</v>
          </cell>
          <cell r="B72">
            <v>1</v>
          </cell>
          <cell r="C72" t="str">
            <v>Sacacorcho Cabo De Madera</v>
          </cell>
          <cell r="D72">
            <v>528</v>
          </cell>
          <cell r="E72" t="str">
            <v>T.Loke</v>
          </cell>
          <cell r="F72" t="str">
            <v>Sacacorcho</v>
          </cell>
        </row>
        <row r="73">
          <cell r="A73">
            <v>730</v>
          </cell>
          <cell r="B73">
            <v>5</v>
          </cell>
          <cell r="C73" t="str">
            <v>Sacacorcho Tipo Mozo Colo</v>
          </cell>
          <cell r="D73">
            <v>720</v>
          </cell>
          <cell r="E73" t="str">
            <v>T.Loke</v>
          </cell>
          <cell r="F73" t="str">
            <v>Sacacorcho</v>
          </cell>
        </row>
        <row r="74">
          <cell r="A74">
            <v>731</v>
          </cell>
          <cell r="B74">
            <v>2</v>
          </cell>
          <cell r="C74" t="str">
            <v>Sacacorcho Combinado Col</v>
          </cell>
          <cell r="D74">
            <v>744</v>
          </cell>
          <cell r="E74" t="str">
            <v>T.Loke</v>
          </cell>
          <cell r="F74" t="str">
            <v>Sacacorcho</v>
          </cell>
        </row>
        <row r="75">
          <cell r="A75">
            <v>735</v>
          </cell>
          <cell r="B75">
            <v>0</v>
          </cell>
          <cell r="C75" t="str">
            <v>Sacacorcho Ergonomico Plast</v>
          </cell>
          <cell r="D75">
            <v>72</v>
          </cell>
          <cell r="E75" t="str">
            <v>T.Loke</v>
          </cell>
          <cell r="F75" t="str">
            <v>Sacacorcho</v>
          </cell>
        </row>
        <row r="76">
          <cell r="A76">
            <v>760</v>
          </cell>
          <cell r="B76">
            <v>2</v>
          </cell>
          <cell r="C76" t="str">
            <v xml:space="preserve">Filtro Para Bombilla     </v>
          </cell>
          <cell r="D76">
            <v>648</v>
          </cell>
          <cell r="E76" t="str">
            <v>T.Loke</v>
          </cell>
          <cell r="F76">
            <v>0</v>
          </cell>
        </row>
        <row r="77">
          <cell r="A77">
            <v>761</v>
          </cell>
          <cell r="B77">
            <v>9</v>
          </cell>
          <cell r="C77" t="str">
            <v xml:space="preserve">Cucharita Matera         </v>
          </cell>
          <cell r="D77">
            <v>96</v>
          </cell>
          <cell r="E77" t="str">
            <v>T.Loke</v>
          </cell>
          <cell r="F77" t="str">
            <v>Utensilios</v>
          </cell>
        </row>
        <row r="78">
          <cell r="A78">
            <v>800</v>
          </cell>
          <cell r="B78">
            <v>5</v>
          </cell>
          <cell r="C78" t="str">
            <v xml:space="preserve">Pinza Chica Display      </v>
          </cell>
          <cell r="D78">
            <v>108</v>
          </cell>
          <cell r="E78" t="str">
            <v>T.Loke</v>
          </cell>
          <cell r="F78" t="str">
            <v>Pinza</v>
          </cell>
        </row>
        <row r="79">
          <cell r="A79">
            <v>801</v>
          </cell>
          <cell r="B79">
            <v>2</v>
          </cell>
          <cell r="C79" t="str">
            <v xml:space="preserve">Pinza Grande Display     </v>
          </cell>
          <cell r="D79"/>
          <cell r="E79" t="str">
            <v>T.Loke</v>
          </cell>
          <cell r="F79" t="str">
            <v>Pinza</v>
          </cell>
        </row>
        <row r="80">
          <cell r="A80">
            <v>809</v>
          </cell>
          <cell r="B80">
            <v>8</v>
          </cell>
          <cell r="C80" t="str">
            <v xml:space="preserve">Corta Queso              </v>
          </cell>
          <cell r="D80">
            <v>1200</v>
          </cell>
          <cell r="E80" t="str">
            <v>T.Loke</v>
          </cell>
          <cell r="F80" t="str">
            <v>CQ</v>
          </cell>
        </row>
        <row r="81">
          <cell r="A81">
            <v>816</v>
          </cell>
          <cell r="B81">
            <v>6</v>
          </cell>
          <cell r="C81" t="str">
            <v xml:space="preserve">Tapon Gaseosa            </v>
          </cell>
          <cell r="D81">
            <v>204</v>
          </cell>
          <cell r="E81" t="str">
            <v>T.Loke</v>
          </cell>
          <cell r="F81" t="str">
            <v>Tapón</v>
          </cell>
        </row>
        <row r="82">
          <cell r="A82">
            <v>817</v>
          </cell>
          <cell r="B82">
            <v>3</v>
          </cell>
          <cell r="C82" t="str">
            <v>Tapon De Gaseosa X 1 Negr</v>
          </cell>
          <cell r="D82">
            <v>576</v>
          </cell>
          <cell r="E82" t="str">
            <v>T.Loke</v>
          </cell>
          <cell r="F82" t="str">
            <v>Tapón</v>
          </cell>
        </row>
        <row r="83">
          <cell r="A83">
            <v>818</v>
          </cell>
          <cell r="B83">
            <v>0</v>
          </cell>
          <cell r="C83" t="str">
            <v>Corta Torta Plast</v>
          </cell>
          <cell r="D83">
            <v>0</v>
          </cell>
          <cell r="E83" t="str">
            <v>T.Loke</v>
          </cell>
          <cell r="F83" t="str">
            <v>Utensilios</v>
          </cell>
        </row>
        <row r="84">
          <cell r="A84">
            <v>862</v>
          </cell>
          <cell r="B84">
            <v>3</v>
          </cell>
          <cell r="C84" t="str">
            <v xml:space="preserve">Corta Pizza Mgo Chef 6cm              </v>
          </cell>
          <cell r="D84">
            <v>180</v>
          </cell>
          <cell r="E84" t="str">
            <v>T.Loke</v>
          </cell>
          <cell r="F84">
            <v>0</v>
          </cell>
        </row>
        <row r="85">
          <cell r="A85">
            <v>863</v>
          </cell>
          <cell r="B85">
            <v>0</v>
          </cell>
          <cell r="C85" t="str">
            <v xml:space="preserve">Corta Pizza Grande       </v>
          </cell>
          <cell r="D85">
            <v>156</v>
          </cell>
          <cell r="E85" t="str">
            <v>T.Loke</v>
          </cell>
          <cell r="F85" t="str">
            <v>Corta Pizza</v>
          </cell>
        </row>
        <row r="86">
          <cell r="A86">
            <v>878</v>
          </cell>
          <cell r="B86">
            <v>4</v>
          </cell>
          <cell r="C86" t="str">
            <v xml:space="preserve">Cuchillitos De Untar Mgo </v>
          </cell>
          <cell r="D86">
            <v>144</v>
          </cell>
          <cell r="E86" t="str">
            <v>T.Loke</v>
          </cell>
          <cell r="F86" t="str">
            <v>C.Unt</v>
          </cell>
        </row>
        <row r="87">
          <cell r="A87">
            <v>909</v>
          </cell>
          <cell r="B87">
            <v>5</v>
          </cell>
          <cell r="C87" t="str">
            <v xml:space="preserve">Ñoquera Display      </v>
          </cell>
          <cell r="D87">
            <v>276</v>
          </cell>
          <cell r="E87" t="str">
            <v>T.Loke</v>
          </cell>
          <cell r="F87">
            <v>0</v>
          </cell>
        </row>
        <row r="88">
          <cell r="A88" t="str">
            <v>099</v>
          </cell>
          <cell r="B88">
            <v>3</v>
          </cell>
          <cell r="C88" t="str">
            <v>Pelapapas Mgo Plast Verde</v>
          </cell>
          <cell r="D88">
            <v>2976</v>
          </cell>
          <cell r="E88" t="str">
            <v>T.Loke Oval</v>
          </cell>
          <cell r="F88" t="str">
            <v>Pelador</v>
          </cell>
        </row>
        <row r="89">
          <cell r="A89">
            <v>713</v>
          </cell>
          <cell r="B89">
            <v>8</v>
          </cell>
          <cell r="C89" t="str">
            <v>Pelapapas Metalico</v>
          </cell>
          <cell r="D89">
            <v>2796</v>
          </cell>
          <cell r="E89" t="str">
            <v>T.Loke Oval</v>
          </cell>
          <cell r="F89" t="str">
            <v>Pelador</v>
          </cell>
        </row>
        <row r="90">
          <cell r="A90">
            <v>707</v>
          </cell>
          <cell r="B90">
            <v>7</v>
          </cell>
          <cell r="C90" t="str">
            <v>Rompenueces</v>
          </cell>
          <cell r="D90">
            <v>48</v>
          </cell>
          <cell r="E90" t="str">
            <v>T.Loke/Huevo</v>
          </cell>
          <cell r="F90" t="str">
            <v>Nuez</v>
          </cell>
        </row>
        <row r="91">
          <cell r="A91">
            <v>732</v>
          </cell>
          <cell r="B91">
            <v>9</v>
          </cell>
          <cell r="C91" t="str">
            <v xml:space="preserve">Cuchara Helado           </v>
          </cell>
          <cell r="D91">
            <v>120</v>
          </cell>
          <cell r="E91" t="str">
            <v>T.Loke/Huevo</v>
          </cell>
          <cell r="F91">
            <v>0</v>
          </cell>
        </row>
        <row r="92">
          <cell r="A92">
            <v>852</v>
          </cell>
          <cell r="B92">
            <v>4</v>
          </cell>
          <cell r="C92" t="str">
            <v xml:space="preserve">Pinza Hielo Display      </v>
          </cell>
          <cell r="D92">
            <v>36</v>
          </cell>
          <cell r="E92" t="str">
            <v>T.Loke/Huevo</v>
          </cell>
          <cell r="F92" t="str">
            <v>Pinza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P327"/>
  <sheetViews>
    <sheetView topLeftCell="A3" workbookViewId="0"/>
  </sheetViews>
  <sheetFormatPr baseColWidth="10" defaultRowHeight="15" x14ac:dyDescent="0.25"/>
  <cols>
    <col min="2" max="2" width="3.7109375" bestFit="1" customWidth="1"/>
    <col min="3" max="3" width="5.7109375" style="41" customWidth="1"/>
    <col min="4" max="4" width="5.85546875" style="1" customWidth="1"/>
    <col min="5" max="5" width="4.7109375" customWidth="1"/>
    <col min="6" max="6" width="16.28515625" customWidth="1"/>
    <col min="7" max="7" width="22.85546875" style="1" customWidth="1"/>
    <col min="8" max="8" width="8.28515625" style="1" customWidth="1"/>
    <col min="9" max="9" width="8.140625" customWidth="1"/>
    <col min="10" max="10" width="8.28515625" customWidth="1"/>
    <col min="11" max="11" width="9" customWidth="1"/>
    <col min="12" max="12" width="7.7109375" customWidth="1"/>
    <col min="13" max="13" width="7.28515625" customWidth="1"/>
  </cols>
  <sheetData>
    <row r="1" spans="2:13" ht="16.5" hidden="1" thickBot="1" x14ac:dyDescent="0.3">
      <c r="B1" s="878" t="s">
        <v>520</v>
      </c>
      <c r="C1" s="879"/>
      <c r="D1" s="880"/>
      <c r="E1" s="881"/>
      <c r="F1" s="135" t="s">
        <v>521</v>
      </c>
      <c r="G1" s="875"/>
      <c r="H1" s="876"/>
      <c r="I1" s="876"/>
      <c r="J1" s="876"/>
      <c r="K1" s="876"/>
      <c r="L1" s="877"/>
    </row>
    <row r="2" spans="2:13" ht="34.5" hidden="1" customHeight="1" thickBot="1" x14ac:dyDescent="0.3">
      <c r="B2" s="885" t="s">
        <v>504</v>
      </c>
      <c r="C2" s="886"/>
      <c r="D2" s="886"/>
      <c r="E2" s="886"/>
      <c r="F2" s="886"/>
      <c r="G2" s="886"/>
      <c r="H2" s="887"/>
      <c r="I2" s="872" t="s">
        <v>513</v>
      </c>
      <c r="J2" s="873"/>
      <c r="K2" s="874"/>
      <c r="L2" s="136" t="s">
        <v>518</v>
      </c>
    </row>
    <row r="3" spans="2:13" ht="48" thickBot="1" x14ac:dyDescent="0.3">
      <c r="B3" s="158" t="s">
        <v>508</v>
      </c>
      <c r="C3" s="159" t="s">
        <v>503</v>
      </c>
      <c r="D3" s="160" t="s">
        <v>19</v>
      </c>
      <c r="E3" s="161" t="s">
        <v>512</v>
      </c>
      <c r="F3" s="159" t="s">
        <v>707</v>
      </c>
      <c r="G3" s="159" t="s">
        <v>20</v>
      </c>
      <c r="H3" s="65" t="s">
        <v>517</v>
      </c>
      <c r="I3" s="162" t="s">
        <v>514</v>
      </c>
      <c r="J3" s="161" t="s">
        <v>515</v>
      </c>
      <c r="K3" s="163" t="s">
        <v>519</v>
      </c>
      <c r="L3" s="164" t="s">
        <v>687</v>
      </c>
      <c r="M3" s="174" t="s">
        <v>708</v>
      </c>
    </row>
    <row r="4" spans="2:13" ht="19.7" customHeight="1" x14ac:dyDescent="0.25">
      <c r="B4" s="882" t="s">
        <v>507</v>
      </c>
      <c r="C4" s="81" t="s">
        <v>462</v>
      </c>
      <c r="D4" s="33" t="s">
        <v>356</v>
      </c>
      <c r="E4" s="27" t="s">
        <v>509</v>
      </c>
      <c r="F4" s="27" t="s">
        <v>449</v>
      </c>
      <c r="G4" s="27" t="s">
        <v>522</v>
      </c>
      <c r="H4" s="155">
        <v>12813.714285714286</v>
      </c>
      <c r="I4" s="27">
        <f>+J4*2</f>
        <v>25627.428571428572</v>
      </c>
      <c r="J4" s="74">
        <f>+H4</f>
        <v>12813.714285714286</v>
      </c>
      <c r="K4" s="153"/>
      <c r="L4" s="148"/>
    </row>
    <row r="5" spans="2:13" ht="19.7" customHeight="1" x14ac:dyDescent="0.25">
      <c r="B5" s="883"/>
      <c r="C5" s="82" t="s">
        <v>462</v>
      </c>
      <c r="D5" s="32" t="s">
        <v>357</v>
      </c>
      <c r="E5" s="23" t="s">
        <v>509</v>
      </c>
      <c r="F5" s="23" t="s">
        <v>449</v>
      </c>
      <c r="G5" s="23" t="s">
        <v>523</v>
      </c>
      <c r="H5" s="138">
        <v>970.28571428571433</v>
      </c>
      <c r="I5" s="142">
        <f>+J5*2</f>
        <v>1940.5714285714287</v>
      </c>
      <c r="J5" s="73">
        <f>+H5</f>
        <v>970.28571428571433</v>
      </c>
      <c r="K5" s="141"/>
      <c r="L5" s="149"/>
    </row>
    <row r="6" spans="2:13" ht="19.7" customHeight="1" x14ac:dyDescent="0.25">
      <c r="B6" s="883"/>
      <c r="C6" s="82" t="s">
        <v>462</v>
      </c>
      <c r="D6" s="32" t="s">
        <v>408</v>
      </c>
      <c r="E6" s="23" t="s">
        <v>509</v>
      </c>
      <c r="F6" s="23" t="s">
        <v>449</v>
      </c>
      <c r="G6" s="23" t="s">
        <v>524</v>
      </c>
      <c r="H6" s="138">
        <v>305</v>
      </c>
      <c r="I6" s="23">
        <f>+J6*2</f>
        <v>610</v>
      </c>
      <c r="J6" s="73">
        <f>+H6</f>
        <v>305</v>
      </c>
      <c r="K6" s="141"/>
      <c r="L6" s="149"/>
    </row>
    <row r="7" spans="2:13" ht="19.7" customHeight="1" thickBot="1" x14ac:dyDescent="0.3">
      <c r="B7" s="884"/>
      <c r="C7" s="83" t="s">
        <v>462</v>
      </c>
      <c r="D7" s="37">
        <v>35</v>
      </c>
      <c r="E7" s="29" t="s">
        <v>511</v>
      </c>
      <c r="F7" s="29" t="s">
        <v>449</v>
      </c>
      <c r="G7" s="29" t="s">
        <v>522</v>
      </c>
      <c r="H7" s="156">
        <v>1356</v>
      </c>
      <c r="I7" s="29">
        <f>+J7*2</f>
        <v>2712</v>
      </c>
      <c r="J7" s="75">
        <f>+H7</f>
        <v>1356</v>
      </c>
      <c r="K7" s="154"/>
      <c r="L7" s="152"/>
    </row>
    <row r="8" spans="2:13" ht="19.7" customHeight="1" x14ac:dyDescent="0.25">
      <c r="B8" s="882" t="s">
        <v>510</v>
      </c>
      <c r="C8" s="69" t="s">
        <v>460</v>
      </c>
      <c r="D8" s="140" t="s">
        <v>402</v>
      </c>
      <c r="E8" s="27" t="s">
        <v>509</v>
      </c>
      <c r="F8" s="27" t="s">
        <v>505</v>
      </c>
      <c r="G8" s="27" t="s">
        <v>525</v>
      </c>
      <c r="H8" s="147">
        <v>42</v>
      </c>
      <c r="I8" s="27"/>
      <c r="J8" s="74"/>
      <c r="K8" s="153"/>
      <c r="L8" s="148"/>
    </row>
    <row r="9" spans="2:13" ht="19.7" customHeight="1" x14ac:dyDescent="0.25">
      <c r="B9" s="883"/>
      <c r="C9" s="70" t="s">
        <v>460</v>
      </c>
      <c r="D9" s="32" t="s">
        <v>297</v>
      </c>
      <c r="E9" s="23" t="s">
        <v>509</v>
      </c>
      <c r="F9" s="23" t="s">
        <v>505</v>
      </c>
      <c r="G9" s="23" t="s">
        <v>526</v>
      </c>
      <c r="H9" s="139">
        <v>130.28571428571428</v>
      </c>
      <c r="I9" s="142"/>
      <c r="J9" s="73"/>
      <c r="K9" s="141"/>
      <c r="L9" s="149"/>
    </row>
    <row r="10" spans="2:13" ht="19.7" customHeight="1" x14ac:dyDescent="0.25">
      <c r="B10" s="883"/>
      <c r="C10" s="70" t="s">
        <v>460</v>
      </c>
      <c r="D10" s="32"/>
      <c r="E10" s="23" t="s">
        <v>509</v>
      </c>
      <c r="F10" s="23" t="s">
        <v>505</v>
      </c>
      <c r="G10" s="23" t="s">
        <v>527</v>
      </c>
      <c r="H10" s="143">
        <f>SUM(H8:H9)</f>
        <v>172.28571428571428</v>
      </c>
      <c r="I10" s="142">
        <f>+J10*2</f>
        <v>344.57142857142856</v>
      </c>
      <c r="J10" s="73">
        <f>+H10</f>
        <v>172.28571428571428</v>
      </c>
      <c r="K10" s="141"/>
      <c r="L10" s="149"/>
    </row>
    <row r="11" spans="2:13" ht="19.7" customHeight="1" x14ac:dyDescent="0.25">
      <c r="B11" s="883"/>
      <c r="C11" s="70" t="s">
        <v>460</v>
      </c>
      <c r="D11" s="32" t="s">
        <v>319</v>
      </c>
      <c r="E11" s="23" t="s">
        <v>509</v>
      </c>
      <c r="F11" s="23" t="s">
        <v>335</v>
      </c>
      <c r="G11" s="23" t="s">
        <v>528</v>
      </c>
      <c r="H11" s="139">
        <v>258</v>
      </c>
      <c r="I11" s="23"/>
      <c r="J11" s="73"/>
      <c r="K11" s="141"/>
      <c r="L11" s="149"/>
    </row>
    <row r="12" spans="2:13" ht="19.7" customHeight="1" x14ac:dyDescent="0.25">
      <c r="B12" s="883"/>
      <c r="C12" s="70" t="s">
        <v>460</v>
      </c>
      <c r="D12" s="32" t="s">
        <v>320</v>
      </c>
      <c r="E12" s="23" t="s">
        <v>509</v>
      </c>
      <c r="F12" s="23" t="s">
        <v>335</v>
      </c>
      <c r="G12" s="23" t="s">
        <v>529</v>
      </c>
      <c r="H12" s="139">
        <v>244</v>
      </c>
      <c r="I12" s="23"/>
      <c r="J12" s="73"/>
      <c r="K12" s="141"/>
      <c r="L12" s="149"/>
    </row>
    <row r="13" spans="2:13" ht="19.7" customHeight="1" x14ac:dyDescent="0.25">
      <c r="B13" s="883"/>
      <c r="C13" s="70" t="s">
        <v>460</v>
      </c>
      <c r="D13" s="32" t="s">
        <v>321</v>
      </c>
      <c r="E13" s="23" t="s">
        <v>509</v>
      </c>
      <c r="F13" s="23" t="s">
        <v>335</v>
      </c>
      <c r="G13" s="23" t="s">
        <v>530</v>
      </c>
      <c r="H13" s="139">
        <v>243.42857142857142</v>
      </c>
      <c r="I13" s="142"/>
      <c r="J13" s="73"/>
      <c r="K13" s="141"/>
      <c r="L13" s="149"/>
    </row>
    <row r="14" spans="2:13" ht="19.7" customHeight="1" x14ac:dyDescent="0.25">
      <c r="B14" s="883"/>
      <c r="C14" s="70" t="s">
        <v>460</v>
      </c>
      <c r="D14" s="32" t="s">
        <v>322</v>
      </c>
      <c r="E14" s="23" t="s">
        <v>509</v>
      </c>
      <c r="F14" s="23" t="s">
        <v>335</v>
      </c>
      <c r="G14" s="23" t="s">
        <v>531</v>
      </c>
      <c r="H14" s="139">
        <v>1163.4285714285713</v>
      </c>
      <c r="I14" s="23"/>
      <c r="J14" s="73"/>
      <c r="K14" s="141"/>
      <c r="L14" s="149"/>
    </row>
    <row r="15" spans="2:13" ht="19.7" customHeight="1" x14ac:dyDescent="0.25">
      <c r="B15" s="883"/>
      <c r="C15" s="70" t="s">
        <v>460</v>
      </c>
      <c r="D15" s="78" t="s">
        <v>423</v>
      </c>
      <c r="E15" s="23" t="s">
        <v>509</v>
      </c>
      <c r="F15" s="23" t="s">
        <v>335</v>
      </c>
      <c r="G15" s="23" t="s">
        <v>532</v>
      </c>
      <c r="H15" s="139">
        <v>230.85714285714286</v>
      </c>
      <c r="I15" s="142"/>
      <c r="J15" s="73"/>
      <c r="K15" s="141"/>
      <c r="L15" s="149"/>
    </row>
    <row r="16" spans="2:13" ht="19.7" customHeight="1" x14ac:dyDescent="0.25">
      <c r="B16" s="883"/>
      <c r="C16" s="70" t="s">
        <v>460</v>
      </c>
      <c r="D16" s="78" t="s">
        <v>424</v>
      </c>
      <c r="E16" s="23" t="s">
        <v>509</v>
      </c>
      <c r="F16" s="23" t="s">
        <v>335</v>
      </c>
      <c r="G16" s="23" t="s">
        <v>533</v>
      </c>
      <c r="H16" s="139">
        <v>208</v>
      </c>
      <c r="I16" s="23"/>
      <c r="J16" s="73"/>
      <c r="K16" s="141"/>
      <c r="L16" s="149"/>
    </row>
    <row r="17" spans="2:14" ht="19.7" customHeight="1" x14ac:dyDescent="0.25">
      <c r="B17" s="883"/>
      <c r="C17" s="70" t="s">
        <v>460</v>
      </c>
      <c r="D17" s="32" t="s">
        <v>327</v>
      </c>
      <c r="E17" s="23" t="s">
        <v>509</v>
      </c>
      <c r="F17" s="23" t="s">
        <v>335</v>
      </c>
      <c r="G17" s="23" t="s">
        <v>534</v>
      </c>
      <c r="H17" s="139">
        <v>788.57142857142856</v>
      </c>
      <c r="I17" s="23"/>
      <c r="J17" s="73"/>
      <c r="K17" s="141"/>
      <c r="L17" s="149"/>
    </row>
    <row r="18" spans="2:14" ht="19.7" customHeight="1" x14ac:dyDescent="0.25">
      <c r="B18" s="883"/>
      <c r="C18" s="70" t="s">
        <v>460</v>
      </c>
      <c r="D18" s="32" t="s">
        <v>328</v>
      </c>
      <c r="E18" s="23" t="s">
        <v>509</v>
      </c>
      <c r="F18" s="23" t="s">
        <v>335</v>
      </c>
      <c r="G18" s="23" t="s">
        <v>535</v>
      </c>
      <c r="H18" s="139">
        <v>526.28571428571433</v>
      </c>
      <c r="I18" s="23"/>
      <c r="J18" s="73"/>
      <c r="K18" s="141"/>
      <c r="L18" s="149"/>
    </row>
    <row r="19" spans="2:14" ht="19.7" customHeight="1" x14ac:dyDescent="0.25">
      <c r="B19" s="883"/>
      <c r="C19" s="70" t="s">
        <v>460</v>
      </c>
      <c r="D19" s="32" t="s">
        <v>329</v>
      </c>
      <c r="E19" s="23" t="s">
        <v>509</v>
      </c>
      <c r="F19" s="23" t="s">
        <v>335</v>
      </c>
      <c r="G19" s="23" t="s">
        <v>536</v>
      </c>
      <c r="H19" s="139">
        <v>126.85714285714286</v>
      </c>
      <c r="I19" s="142"/>
      <c r="J19" s="73"/>
      <c r="K19" s="141"/>
      <c r="L19" s="149"/>
    </row>
    <row r="20" spans="2:14" ht="19.7" customHeight="1" x14ac:dyDescent="0.25">
      <c r="B20" s="883"/>
      <c r="C20" s="70" t="s">
        <v>460</v>
      </c>
      <c r="D20" s="32" t="s">
        <v>330</v>
      </c>
      <c r="E20" s="23" t="s">
        <v>509</v>
      </c>
      <c r="F20" s="23" t="s">
        <v>335</v>
      </c>
      <c r="G20" s="23" t="s">
        <v>537</v>
      </c>
      <c r="H20" s="139">
        <v>248</v>
      </c>
      <c r="I20" s="23"/>
      <c r="J20" s="73"/>
      <c r="K20" s="141"/>
      <c r="L20" s="149"/>
    </row>
    <row r="21" spans="2:14" ht="19.7" customHeight="1" x14ac:dyDescent="0.25">
      <c r="B21" s="883"/>
      <c r="C21" s="70" t="s">
        <v>460</v>
      </c>
      <c r="D21" s="78" t="s">
        <v>431</v>
      </c>
      <c r="E21" s="23" t="s">
        <v>509</v>
      </c>
      <c r="F21" s="23" t="s">
        <v>335</v>
      </c>
      <c r="G21" s="23" t="s">
        <v>538</v>
      </c>
      <c r="H21" s="139">
        <v>277.71428571428572</v>
      </c>
      <c r="I21" s="142"/>
      <c r="J21" s="73"/>
      <c r="K21" s="141"/>
      <c r="L21" s="149"/>
    </row>
    <row r="22" spans="2:14" ht="19.7" customHeight="1" x14ac:dyDescent="0.25">
      <c r="B22" s="883"/>
      <c r="C22" s="70" t="s">
        <v>460</v>
      </c>
      <c r="D22" s="78"/>
      <c r="E22" s="24" t="s">
        <v>509</v>
      </c>
      <c r="F22" s="24" t="s">
        <v>335</v>
      </c>
      <c r="G22" s="23" t="s">
        <v>527</v>
      </c>
      <c r="H22" s="144">
        <f>SUM(H11:H21)</f>
        <v>4315.142857142856</v>
      </c>
      <c r="I22" s="142">
        <f>+J22*2</f>
        <v>8630.2857142857119</v>
      </c>
      <c r="J22" s="73">
        <f>+H22</f>
        <v>4315.142857142856</v>
      </c>
      <c r="K22" s="141"/>
      <c r="L22" s="149"/>
    </row>
    <row r="23" spans="2:14" ht="19.7" customHeight="1" x14ac:dyDescent="0.3">
      <c r="B23" s="883"/>
      <c r="C23" s="165" t="s">
        <v>491</v>
      </c>
      <c r="D23" s="166" t="s">
        <v>63</v>
      </c>
      <c r="E23" s="167" t="s">
        <v>509</v>
      </c>
      <c r="F23" s="167" t="s">
        <v>341</v>
      </c>
      <c r="G23" s="167" t="s">
        <v>539</v>
      </c>
      <c r="H23" s="139">
        <v>22355.285714285714</v>
      </c>
      <c r="I23" s="168">
        <f>+H23</f>
        <v>22355.285714285714</v>
      </c>
      <c r="J23" s="168">
        <f>+I23/2</f>
        <v>11177.642857142857</v>
      </c>
      <c r="K23" s="169"/>
      <c r="L23" s="157"/>
    </row>
    <row r="24" spans="2:14" ht="19.7" customHeight="1" x14ac:dyDescent="0.25">
      <c r="B24" s="883"/>
      <c r="C24" s="70" t="s">
        <v>484</v>
      </c>
      <c r="D24" s="32" t="s">
        <v>99</v>
      </c>
      <c r="E24" s="23" t="s">
        <v>509</v>
      </c>
      <c r="F24" s="23" t="s">
        <v>495</v>
      </c>
      <c r="G24" s="23" t="s">
        <v>540</v>
      </c>
      <c r="H24" s="139">
        <v>385.71428571428572</v>
      </c>
      <c r="I24" s="142">
        <f t="shared" ref="I24:I30" si="0">+J24*2</f>
        <v>771.42857142857144</v>
      </c>
      <c r="J24" s="73">
        <f t="shared" ref="J24:J30" si="1">+H24</f>
        <v>385.71428571428572</v>
      </c>
      <c r="K24" s="141"/>
      <c r="L24" s="149"/>
    </row>
    <row r="25" spans="2:14" ht="19.7" customHeight="1" x14ac:dyDescent="0.25">
      <c r="B25" s="883"/>
      <c r="C25" s="70" t="s">
        <v>484</v>
      </c>
      <c r="D25" s="32" t="s">
        <v>101</v>
      </c>
      <c r="E25" s="23" t="s">
        <v>509</v>
      </c>
      <c r="F25" s="23" t="s">
        <v>495</v>
      </c>
      <c r="G25" s="23" t="s">
        <v>541</v>
      </c>
      <c r="H25" s="139">
        <v>462.85714285714283</v>
      </c>
      <c r="I25" s="142">
        <f t="shared" si="0"/>
        <v>925.71428571428567</v>
      </c>
      <c r="J25" s="73">
        <f t="shared" si="1"/>
        <v>462.85714285714283</v>
      </c>
      <c r="K25" s="141"/>
      <c r="L25" s="149"/>
    </row>
    <row r="26" spans="2:14" ht="19.7" customHeight="1" x14ac:dyDescent="0.3">
      <c r="B26" s="883"/>
      <c r="C26" s="165" t="s">
        <v>484</v>
      </c>
      <c r="D26" s="166" t="s">
        <v>103</v>
      </c>
      <c r="E26" s="167" t="s">
        <v>509</v>
      </c>
      <c r="F26" s="167" t="s">
        <v>705</v>
      </c>
      <c r="G26" s="167" t="s">
        <v>542</v>
      </c>
      <c r="H26" s="139">
        <v>368.57142857142856</v>
      </c>
      <c r="I26" s="170">
        <f t="shared" si="0"/>
        <v>737.14285714285711</v>
      </c>
      <c r="J26" s="168">
        <f t="shared" si="1"/>
        <v>368.57142857142856</v>
      </c>
      <c r="K26" s="177"/>
      <c r="L26" s="175"/>
      <c r="M26" s="179"/>
    </row>
    <row r="27" spans="2:14" ht="19.7" customHeight="1" x14ac:dyDescent="0.25">
      <c r="B27" s="883"/>
      <c r="C27" s="70" t="s">
        <v>464</v>
      </c>
      <c r="D27" s="32" t="s">
        <v>27</v>
      </c>
      <c r="E27" s="24" t="s">
        <v>509</v>
      </c>
      <c r="F27" s="24" t="s">
        <v>501</v>
      </c>
      <c r="G27" s="23" t="s">
        <v>543</v>
      </c>
      <c r="H27" s="138">
        <v>1107.7142857142858</v>
      </c>
      <c r="I27" s="142">
        <f t="shared" si="0"/>
        <v>2215.4285714285716</v>
      </c>
      <c r="J27" s="73">
        <f t="shared" si="1"/>
        <v>1107.7142857142858</v>
      </c>
      <c r="K27" s="141"/>
      <c r="L27" s="149"/>
    </row>
    <row r="28" spans="2:14" ht="19.7" customHeight="1" x14ac:dyDescent="0.3">
      <c r="B28" s="883"/>
      <c r="C28" s="165" t="s">
        <v>464</v>
      </c>
      <c r="D28" s="166" t="s">
        <v>35</v>
      </c>
      <c r="E28" s="171" t="s">
        <v>509</v>
      </c>
      <c r="F28" s="171" t="s">
        <v>706</v>
      </c>
      <c r="G28" s="167" t="s">
        <v>689</v>
      </c>
      <c r="H28" s="139">
        <v>1563.4285714285713</v>
      </c>
      <c r="I28" s="170">
        <f t="shared" si="0"/>
        <v>3126.8571428571427</v>
      </c>
      <c r="J28" s="168">
        <f t="shared" si="1"/>
        <v>1563.4285714285713</v>
      </c>
      <c r="K28" s="169"/>
      <c r="L28" s="157"/>
    </row>
    <row r="29" spans="2:14" ht="19.7" customHeight="1" x14ac:dyDescent="0.3">
      <c r="B29" s="883"/>
      <c r="C29" s="165" t="s">
        <v>464</v>
      </c>
      <c r="D29" s="166" t="s">
        <v>41</v>
      </c>
      <c r="E29" s="171" t="s">
        <v>509</v>
      </c>
      <c r="F29" s="171" t="s">
        <v>706</v>
      </c>
      <c r="G29" s="167" t="s">
        <v>688</v>
      </c>
      <c r="H29" s="139">
        <v>3252</v>
      </c>
      <c r="I29" s="167">
        <f t="shared" si="0"/>
        <v>6504</v>
      </c>
      <c r="J29" s="168">
        <f t="shared" si="1"/>
        <v>3252</v>
      </c>
      <c r="K29" s="177"/>
      <c r="L29" s="175"/>
      <c r="M29" s="179"/>
    </row>
    <row r="30" spans="2:14" ht="19.7" customHeight="1" x14ac:dyDescent="0.25">
      <c r="B30" s="883"/>
      <c r="C30" s="70" t="s">
        <v>464</v>
      </c>
      <c r="D30" s="32" t="s">
        <v>43</v>
      </c>
      <c r="E30" s="24" t="s">
        <v>509</v>
      </c>
      <c r="F30" s="24" t="s">
        <v>501</v>
      </c>
      <c r="G30" s="23" t="s">
        <v>544</v>
      </c>
      <c r="H30" s="138">
        <v>594.85714285714289</v>
      </c>
      <c r="I30" s="142">
        <f t="shared" si="0"/>
        <v>1189.7142857142858</v>
      </c>
      <c r="J30" s="73">
        <f t="shared" si="1"/>
        <v>594.85714285714289</v>
      </c>
      <c r="K30" s="141"/>
      <c r="L30" s="149"/>
      <c r="N30" s="68"/>
    </row>
    <row r="31" spans="2:14" ht="19.7" customHeight="1" x14ac:dyDescent="0.25">
      <c r="B31" s="883"/>
      <c r="C31" s="70" t="s">
        <v>483</v>
      </c>
      <c r="D31" s="79" t="s">
        <v>373</v>
      </c>
      <c r="E31" s="23" t="s">
        <v>509</v>
      </c>
      <c r="F31" s="23" t="s">
        <v>340</v>
      </c>
      <c r="G31" s="23" t="s">
        <v>545</v>
      </c>
      <c r="H31" s="145"/>
      <c r="I31" s="23"/>
      <c r="J31" s="73"/>
      <c r="K31" s="141"/>
      <c r="L31" s="149"/>
    </row>
    <row r="32" spans="2:14" ht="19.7" customHeight="1" x14ac:dyDescent="0.25">
      <c r="B32" s="883"/>
      <c r="C32" s="70" t="s">
        <v>483</v>
      </c>
      <c r="D32" s="32" t="s">
        <v>374</v>
      </c>
      <c r="E32" s="23" t="s">
        <v>509</v>
      </c>
      <c r="F32" s="23" t="s">
        <v>340</v>
      </c>
      <c r="G32" s="23" t="s">
        <v>546</v>
      </c>
      <c r="H32" s="139"/>
      <c r="I32" s="142"/>
      <c r="J32" s="73"/>
      <c r="K32" s="141"/>
      <c r="L32" s="149"/>
    </row>
    <row r="33" spans="2:13" ht="19.7" customHeight="1" x14ac:dyDescent="0.25">
      <c r="B33" s="883"/>
      <c r="C33" s="70" t="s">
        <v>483</v>
      </c>
      <c r="D33" s="79" t="s">
        <v>375</v>
      </c>
      <c r="E33" s="23" t="s">
        <v>509</v>
      </c>
      <c r="F33" s="23" t="s">
        <v>340</v>
      </c>
      <c r="G33" s="23" t="s">
        <v>547</v>
      </c>
      <c r="H33" s="138"/>
      <c r="I33" s="23"/>
      <c r="J33" s="73"/>
      <c r="K33" s="141"/>
      <c r="L33" s="149"/>
    </row>
    <row r="34" spans="2:13" ht="19.7" customHeight="1" x14ac:dyDescent="0.25">
      <c r="B34" s="883"/>
      <c r="C34" s="70" t="s">
        <v>483</v>
      </c>
      <c r="D34" s="32" t="s">
        <v>228</v>
      </c>
      <c r="E34" s="23" t="s">
        <v>509</v>
      </c>
      <c r="F34" s="23" t="s">
        <v>340</v>
      </c>
      <c r="G34" s="23" t="s">
        <v>548</v>
      </c>
      <c r="H34" s="138">
        <v>103.71428571428571</v>
      </c>
      <c r="I34" s="142"/>
      <c r="J34" s="73"/>
      <c r="K34" s="141"/>
      <c r="L34" s="149"/>
    </row>
    <row r="35" spans="2:13" ht="19.7" customHeight="1" x14ac:dyDescent="0.25">
      <c r="B35" s="883"/>
      <c r="C35" s="70" t="s">
        <v>483</v>
      </c>
      <c r="D35" s="79" t="s">
        <v>383</v>
      </c>
      <c r="E35" s="23" t="s">
        <v>509</v>
      </c>
      <c r="F35" s="23" t="s">
        <v>340</v>
      </c>
      <c r="G35" s="23" t="s">
        <v>549</v>
      </c>
      <c r="H35" s="138">
        <v>51</v>
      </c>
      <c r="I35" s="23"/>
      <c r="J35" s="73"/>
      <c r="K35" s="141"/>
      <c r="L35" s="149"/>
    </row>
    <row r="36" spans="2:13" ht="19.7" customHeight="1" x14ac:dyDescent="0.25">
      <c r="B36" s="883"/>
      <c r="C36" s="70" t="s">
        <v>483</v>
      </c>
      <c r="D36" s="32" t="s">
        <v>230</v>
      </c>
      <c r="E36" s="23" t="s">
        <v>509</v>
      </c>
      <c r="F36" s="23" t="s">
        <v>340</v>
      </c>
      <c r="G36" s="23" t="s">
        <v>550</v>
      </c>
      <c r="H36" s="138">
        <v>958.28571428571433</v>
      </c>
      <c r="I36" s="23"/>
      <c r="J36" s="73"/>
      <c r="K36" s="141"/>
      <c r="L36" s="149"/>
    </row>
    <row r="37" spans="2:13" ht="19.7" customHeight="1" x14ac:dyDescent="0.25">
      <c r="B37" s="883"/>
      <c r="C37" s="70" t="s">
        <v>483</v>
      </c>
      <c r="D37" s="32" t="s">
        <v>232</v>
      </c>
      <c r="E37" s="23" t="s">
        <v>509</v>
      </c>
      <c r="F37" s="23" t="s">
        <v>340</v>
      </c>
      <c r="G37" s="23" t="s">
        <v>551</v>
      </c>
      <c r="H37" s="138">
        <v>1150.2857142857142</v>
      </c>
      <c r="I37" s="23"/>
      <c r="J37" s="73"/>
      <c r="K37" s="141"/>
      <c r="L37" s="149"/>
    </row>
    <row r="38" spans="2:13" ht="19.7" customHeight="1" x14ac:dyDescent="0.25">
      <c r="B38" s="883"/>
      <c r="C38" s="70" t="s">
        <v>483</v>
      </c>
      <c r="D38" s="32" t="s">
        <v>234</v>
      </c>
      <c r="E38" s="23" t="s">
        <v>509</v>
      </c>
      <c r="F38" s="23" t="s">
        <v>340</v>
      </c>
      <c r="G38" s="23" t="s">
        <v>552</v>
      </c>
      <c r="H38" s="138">
        <v>82.285714285714292</v>
      </c>
      <c r="I38" s="142"/>
      <c r="J38" s="73"/>
      <c r="K38" s="141"/>
      <c r="L38" s="149"/>
    </row>
    <row r="39" spans="2:13" ht="19.7" customHeight="1" x14ac:dyDescent="0.25">
      <c r="B39" s="883"/>
      <c r="C39" s="70" t="s">
        <v>483</v>
      </c>
      <c r="D39" s="32" t="s">
        <v>236</v>
      </c>
      <c r="E39" s="23" t="s">
        <v>509</v>
      </c>
      <c r="F39" s="23" t="s">
        <v>340</v>
      </c>
      <c r="G39" s="23" t="s">
        <v>553</v>
      </c>
      <c r="H39" s="138">
        <v>0</v>
      </c>
      <c r="I39" s="23"/>
      <c r="J39" s="73"/>
      <c r="K39" s="141"/>
      <c r="L39" s="149"/>
    </row>
    <row r="40" spans="2:13" ht="19.7" customHeight="1" x14ac:dyDescent="0.25">
      <c r="B40" s="883"/>
      <c r="C40" s="70" t="s">
        <v>483</v>
      </c>
      <c r="D40" s="32">
        <v>36</v>
      </c>
      <c r="E40" s="23" t="s">
        <v>511</v>
      </c>
      <c r="F40" s="23" t="s">
        <v>340</v>
      </c>
      <c r="G40" s="23" t="s">
        <v>554</v>
      </c>
      <c r="H40" s="138">
        <v>384</v>
      </c>
      <c r="I40" s="23"/>
      <c r="J40" s="73"/>
      <c r="K40" s="141"/>
      <c r="L40" s="149"/>
    </row>
    <row r="41" spans="2:13" ht="19.7" customHeight="1" x14ac:dyDescent="0.25">
      <c r="B41" s="883"/>
      <c r="C41" s="70" t="s">
        <v>483</v>
      </c>
      <c r="D41" s="32"/>
      <c r="E41" s="23" t="s">
        <v>509</v>
      </c>
      <c r="F41" s="23" t="s">
        <v>340</v>
      </c>
      <c r="G41" s="23" t="s">
        <v>527</v>
      </c>
      <c r="H41" s="146">
        <f>SUM(H31:H40)</f>
        <v>2729.5714285714284</v>
      </c>
      <c r="I41" s="142">
        <f t="shared" ref="I41:I47" si="2">+J41*2</f>
        <v>5459.1428571428569</v>
      </c>
      <c r="J41" s="73">
        <f t="shared" ref="J41:J47" si="3">+H41</f>
        <v>2729.5714285714284</v>
      </c>
      <c r="K41" s="141"/>
      <c r="L41" s="149"/>
    </row>
    <row r="42" spans="2:13" ht="19.7" customHeight="1" x14ac:dyDescent="0.3">
      <c r="B42" s="883"/>
      <c r="C42" s="165" t="s">
        <v>483</v>
      </c>
      <c r="D42" s="166" t="s">
        <v>29</v>
      </c>
      <c r="E42" s="171" t="s">
        <v>509</v>
      </c>
      <c r="F42" s="171" t="s">
        <v>706</v>
      </c>
      <c r="G42" s="167" t="s">
        <v>555</v>
      </c>
      <c r="H42" s="138">
        <v>2828.5714285714284</v>
      </c>
      <c r="I42" s="170">
        <f t="shared" si="2"/>
        <v>5657.1428571428569</v>
      </c>
      <c r="J42" s="168">
        <f t="shared" si="3"/>
        <v>2828.5714285714284</v>
      </c>
      <c r="K42" s="177"/>
      <c r="L42" s="175"/>
      <c r="M42" s="179"/>
    </row>
    <row r="43" spans="2:13" ht="19.7" customHeight="1" x14ac:dyDescent="0.25">
      <c r="B43" s="883"/>
      <c r="C43" s="70" t="s">
        <v>459</v>
      </c>
      <c r="D43" s="78" t="s">
        <v>362</v>
      </c>
      <c r="E43" s="23" t="s">
        <v>509</v>
      </c>
      <c r="F43" s="23" t="s">
        <v>497</v>
      </c>
      <c r="G43" s="23" t="s">
        <v>556</v>
      </c>
      <c r="H43" s="139">
        <v>209.142857142857</v>
      </c>
      <c r="I43" s="142">
        <f t="shared" si="2"/>
        <v>418.28571428571399</v>
      </c>
      <c r="J43" s="73">
        <f t="shared" si="3"/>
        <v>209.142857142857</v>
      </c>
      <c r="K43" s="141"/>
      <c r="L43" s="149"/>
    </row>
    <row r="44" spans="2:13" ht="19.7" customHeight="1" x14ac:dyDescent="0.25">
      <c r="B44" s="883"/>
      <c r="C44" s="70" t="s">
        <v>459</v>
      </c>
      <c r="D44" s="32" t="s">
        <v>358</v>
      </c>
      <c r="E44" s="23" t="s">
        <v>509</v>
      </c>
      <c r="F44" s="23" t="s">
        <v>496</v>
      </c>
      <c r="G44" s="23" t="s">
        <v>557</v>
      </c>
      <c r="H44" s="139">
        <v>102</v>
      </c>
      <c r="I44" s="23">
        <f t="shared" si="2"/>
        <v>204</v>
      </c>
      <c r="J44" s="73">
        <f t="shared" si="3"/>
        <v>102</v>
      </c>
      <c r="K44" s="141"/>
      <c r="L44" s="149"/>
    </row>
    <row r="45" spans="2:13" ht="19.7" customHeight="1" x14ac:dyDescent="0.25">
      <c r="B45" s="883"/>
      <c r="C45" s="70" t="s">
        <v>459</v>
      </c>
      <c r="D45" s="32" t="s">
        <v>390</v>
      </c>
      <c r="E45" s="23" t="s">
        <v>509</v>
      </c>
      <c r="F45" s="23" t="s">
        <v>496</v>
      </c>
      <c r="G45" s="23" t="s">
        <v>558</v>
      </c>
      <c r="H45" s="139">
        <v>155.14285714285714</v>
      </c>
      <c r="I45" s="142">
        <f t="shared" si="2"/>
        <v>310.28571428571428</v>
      </c>
      <c r="J45" s="73">
        <f t="shared" si="3"/>
        <v>155.14285714285714</v>
      </c>
      <c r="K45" s="141"/>
      <c r="L45" s="149"/>
    </row>
    <row r="46" spans="2:13" ht="19.7" customHeight="1" x14ac:dyDescent="0.25">
      <c r="B46" s="883"/>
      <c r="C46" s="70" t="s">
        <v>459</v>
      </c>
      <c r="D46" s="32" t="s">
        <v>338</v>
      </c>
      <c r="E46" s="23" t="s">
        <v>509</v>
      </c>
      <c r="F46" s="23" t="s">
        <v>496</v>
      </c>
      <c r="G46" s="23" t="s">
        <v>559</v>
      </c>
      <c r="H46" s="139">
        <v>1129.7142857142858</v>
      </c>
      <c r="I46" s="142">
        <f t="shared" si="2"/>
        <v>2259.4285714285716</v>
      </c>
      <c r="J46" s="73">
        <f t="shared" si="3"/>
        <v>1129.7142857142858</v>
      </c>
      <c r="K46" s="141"/>
      <c r="L46" s="149"/>
    </row>
    <row r="47" spans="2:13" ht="19.7" customHeight="1" x14ac:dyDescent="0.25">
      <c r="B47" s="883"/>
      <c r="C47" s="70" t="s">
        <v>459</v>
      </c>
      <c r="D47" s="32" t="s">
        <v>410</v>
      </c>
      <c r="E47" s="23" t="s">
        <v>509</v>
      </c>
      <c r="F47" s="23" t="s">
        <v>496</v>
      </c>
      <c r="G47" s="23" t="s">
        <v>560</v>
      </c>
      <c r="H47" s="139">
        <v>848.57142857142856</v>
      </c>
      <c r="I47" s="142">
        <f t="shared" si="2"/>
        <v>1697.1428571428571</v>
      </c>
      <c r="J47" s="73">
        <f t="shared" si="3"/>
        <v>848.57142857142856</v>
      </c>
      <c r="K47" s="141"/>
      <c r="L47" s="149"/>
    </row>
    <row r="48" spans="2:13" ht="19.7" customHeight="1" x14ac:dyDescent="0.3">
      <c r="B48" s="883"/>
      <c r="C48" s="165" t="s">
        <v>494</v>
      </c>
      <c r="D48" s="166" t="s">
        <v>63</v>
      </c>
      <c r="E48" s="167" t="s">
        <v>509</v>
      </c>
      <c r="F48" s="167" t="s">
        <v>341</v>
      </c>
      <c r="G48" s="167" t="s">
        <v>690</v>
      </c>
      <c r="H48" s="139">
        <v>22355.285714285714</v>
      </c>
      <c r="I48" s="168">
        <f>+H48</f>
        <v>22355.285714285714</v>
      </c>
      <c r="J48" s="168">
        <f>+I48/2</f>
        <v>11177.642857142857</v>
      </c>
      <c r="K48" s="169"/>
      <c r="L48" s="157"/>
    </row>
    <row r="49" spans="2:13" ht="19.7" customHeight="1" x14ac:dyDescent="0.25">
      <c r="B49" s="883"/>
      <c r="C49" s="70" t="s">
        <v>466</v>
      </c>
      <c r="D49" s="32" t="s">
        <v>91</v>
      </c>
      <c r="E49" s="23" t="s">
        <v>509</v>
      </c>
      <c r="F49" s="23" t="s">
        <v>495</v>
      </c>
      <c r="G49" s="23" t="s">
        <v>561</v>
      </c>
      <c r="H49" s="139">
        <v>459.42857142857144</v>
      </c>
      <c r="I49" s="142">
        <f t="shared" ref="I49:I72" si="4">+J49*2</f>
        <v>918.85714285714289</v>
      </c>
      <c r="J49" s="73">
        <f t="shared" ref="J49:J72" si="5">+H49</f>
        <v>459.42857142857144</v>
      </c>
      <c r="K49" s="141"/>
      <c r="L49" s="149"/>
    </row>
    <row r="50" spans="2:13" ht="19.7" customHeight="1" x14ac:dyDescent="0.25">
      <c r="B50" s="883"/>
      <c r="C50" s="70" t="s">
        <v>466</v>
      </c>
      <c r="D50" s="32" t="s">
        <v>89</v>
      </c>
      <c r="E50" s="23" t="s">
        <v>509</v>
      </c>
      <c r="F50" s="23" t="s">
        <v>495</v>
      </c>
      <c r="G50" s="23" t="s">
        <v>562</v>
      </c>
      <c r="H50" s="139">
        <v>456</v>
      </c>
      <c r="I50" s="23">
        <f t="shared" si="4"/>
        <v>912</v>
      </c>
      <c r="J50" s="73">
        <f t="shared" si="5"/>
        <v>456</v>
      </c>
      <c r="K50" s="141"/>
      <c r="L50" s="149"/>
    </row>
    <row r="51" spans="2:13" ht="19.7" customHeight="1" x14ac:dyDescent="0.25">
      <c r="B51" s="883"/>
      <c r="C51" s="70" t="s">
        <v>466</v>
      </c>
      <c r="D51" s="32" t="s">
        <v>97</v>
      </c>
      <c r="E51" s="23" t="s">
        <v>509</v>
      </c>
      <c r="F51" s="23" t="s">
        <v>495</v>
      </c>
      <c r="G51" s="23" t="s">
        <v>563</v>
      </c>
      <c r="H51" s="139">
        <v>264</v>
      </c>
      <c r="I51" s="23">
        <f t="shared" si="4"/>
        <v>528</v>
      </c>
      <c r="J51" s="73">
        <f t="shared" si="5"/>
        <v>264</v>
      </c>
      <c r="K51" s="141"/>
      <c r="L51" s="149"/>
    </row>
    <row r="52" spans="2:13" ht="19.7" customHeight="1" x14ac:dyDescent="0.3">
      <c r="B52" s="883"/>
      <c r="C52" s="165" t="s">
        <v>476</v>
      </c>
      <c r="D52" s="166" t="s">
        <v>21</v>
      </c>
      <c r="E52" s="171" t="s">
        <v>509</v>
      </c>
      <c r="F52" s="171" t="s">
        <v>706</v>
      </c>
      <c r="G52" s="167" t="s">
        <v>564</v>
      </c>
      <c r="H52" s="139">
        <v>2629.7142857142858</v>
      </c>
      <c r="I52" s="170">
        <f t="shared" si="4"/>
        <v>5259.4285714285716</v>
      </c>
      <c r="J52" s="168">
        <f t="shared" si="5"/>
        <v>2629.7142857142858</v>
      </c>
      <c r="K52" s="177"/>
      <c r="L52" s="175"/>
      <c r="M52" s="179"/>
    </row>
    <row r="53" spans="2:13" ht="19.7" customHeight="1" x14ac:dyDescent="0.3">
      <c r="B53" s="883"/>
      <c r="C53" s="165" t="s">
        <v>476</v>
      </c>
      <c r="D53" s="166" t="s">
        <v>23</v>
      </c>
      <c r="E53" s="171" t="s">
        <v>509</v>
      </c>
      <c r="F53" s="171" t="s">
        <v>706</v>
      </c>
      <c r="G53" s="167" t="s">
        <v>565</v>
      </c>
      <c r="H53" s="139">
        <v>4687.2857142857147</v>
      </c>
      <c r="I53" s="170">
        <f t="shared" si="4"/>
        <v>9374.5714285714294</v>
      </c>
      <c r="J53" s="168">
        <f t="shared" si="5"/>
        <v>4687.2857142857147</v>
      </c>
      <c r="K53" s="177"/>
      <c r="L53" s="175"/>
      <c r="M53" s="179"/>
    </row>
    <row r="54" spans="2:13" ht="19.7" customHeight="1" x14ac:dyDescent="0.3">
      <c r="B54" s="883"/>
      <c r="C54" s="165" t="s">
        <v>476</v>
      </c>
      <c r="D54" s="166" t="s">
        <v>25</v>
      </c>
      <c r="E54" s="171" t="s">
        <v>509</v>
      </c>
      <c r="F54" s="171" t="s">
        <v>706</v>
      </c>
      <c r="G54" s="167" t="s">
        <v>566</v>
      </c>
      <c r="H54" s="139">
        <v>6627.4285714285716</v>
      </c>
      <c r="I54" s="167">
        <f t="shared" si="4"/>
        <v>13254.857142857143</v>
      </c>
      <c r="J54" s="168">
        <f t="shared" si="5"/>
        <v>6627.4285714285716</v>
      </c>
      <c r="K54" s="177"/>
      <c r="L54" s="175"/>
      <c r="M54" s="179"/>
    </row>
    <row r="55" spans="2:13" ht="19.7" customHeight="1" x14ac:dyDescent="0.25">
      <c r="B55" s="883"/>
      <c r="C55" s="70" t="s">
        <v>476</v>
      </c>
      <c r="D55" s="32" t="s">
        <v>151</v>
      </c>
      <c r="E55" s="24" t="s">
        <v>452</v>
      </c>
      <c r="F55" s="24" t="s">
        <v>501</v>
      </c>
      <c r="G55" s="23" t="s">
        <v>567</v>
      </c>
      <c r="H55" s="139">
        <v>0</v>
      </c>
      <c r="I55" s="23">
        <f t="shared" si="4"/>
        <v>0</v>
      </c>
      <c r="J55" s="73">
        <f t="shared" si="5"/>
        <v>0</v>
      </c>
      <c r="K55" s="141"/>
      <c r="L55" s="149"/>
    </row>
    <row r="56" spans="2:13" ht="19.7" customHeight="1" x14ac:dyDescent="0.25">
      <c r="B56" s="883"/>
      <c r="C56" s="70" t="s">
        <v>488</v>
      </c>
      <c r="D56" s="32" t="s">
        <v>53</v>
      </c>
      <c r="E56" s="23" t="s">
        <v>509</v>
      </c>
      <c r="F56" s="23" t="s">
        <v>495</v>
      </c>
      <c r="G56" s="23" t="s">
        <v>568</v>
      </c>
      <c r="H56" s="139">
        <v>450.85714285714283</v>
      </c>
      <c r="I56" s="142">
        <f t="shared" si="4"/>
        <v>901.71428571428567</v>
      </c>
      <c r="J56" s="73">
        <f t="shared" si="5"/>
        <v>450.85714285714283</v>
      </c>
      <c r="K56" s="141"/>
      <c r="L56" s="149"/>
    </row>
    <row r="57" spans="2:13" ht="19.7" customHeight="1" x14ac:dyDescent="0.25">
      <c r="B57" s="883"/>
      <c r="C57" s="70" t="s">
        <v>465</v>
      </c>
      <c r="D57" s="79" t="s">
        <v>420</v>
      </c>
      <c r="E57" s="23" t="s">
        <v>509</v>
      </c>
      <c r="F57" s="23" t="s">
        <v>497</v>
      </c>
      <c r="G57" s="23" t="s">
        <v>569</v>
      </c>
      <c r="H57" s="139">
        <v>148</v>
      </c>
      <c r="I57" s="23">
        <f t="shared" si="4"/>
        <v>296</v>
      </c>
      <c r="J57" s="73">
        <f t="shared" si="5"/>
        <v>148</v>
      </c>
      <c r="K57" s="141"/>
      <c r="L57" s="149"/>
    </row>
    <row r="58" spans="2:13" ht="19.7" customHeight="1" x14ac:dyDescent="0.25">
      <c r="B58" s="883"/>
      <c r="C58" s="70" t="s">
        <v>465</v>
      </c>
      <c r="D58" s="32" t="s">
        <v>414</v>
      </c>
      <c r="E58" s="23" t="s">
        <v>509</v>
      </c>
      <c r="F58" s="23" t="s">
        <v>498</v>
      </c>
      <c r="G58" s="23" t="s">
        <v>570</v>
      </c>
      <c r="H58" s="139">
        <v>190.28571428571428</v>
      </c>
      <c r="I58" s="142">
        <f t="shared" si="4"/>
        <v>380.57142857142856</v>
      </c>
      <c r="J58" s="73">
        <f t="shared" si="5"/>
        <v>190.28571428571428</v>
      </c>
      <c r="K58" s="141"/>
      <c r="L58" s="149"/>
    </row>
    <row r="59" spans="2:13" ht="19.7" customHeight="1" x14ac:dyDescent="0.25">
      <c r="B59" s="883"/>
      <c r="C59" s="70" t="s">
        <v>465</v>
      </c>
      <c r="D59" s="32" t="s">
        <v>415</v>
      </c>
      <c r="E59" s="23" t="s">
        <v>509</v>
      </c>
      <c r="F59" s="23" t="s">
        <v>498</v>
      </c>
      <c r="G59" s="23" t="s">
        <v>571</v>
      </c>
      <c r="H59" s="139">
        <v>48</v>
      </c>
      <c r="I59" s="23">
        <f t="shared" si="4"/>
        <v>96</v>
      </c>
      <c r="J59" s="73">
        <f t="shared" si="5"/>
        <v>48</v>
      </c>
      <c r="K59" s="141"/>
      <c r="L59" s="149"/>
    </row>
    <row r="60" spans="2:13" ht="19.7" customHeight="1" x14ac:dyDescent="0.25">
      <c r="B60" s="883"/>
      <c r="C60" s="70" t="s">
        <v>465</v>
      </c>
      <c r="D60" s="32" t="s">
        <v>427</v>
      </c>
      <c r="E60" s="23" t="s">
        <v>509</v>
      </c>
      <c r="F60" s="23" t="s">
        <v>499</v>
      </c>
      <c r="G60" s="23" t="s">
        <v>572</v>
      </c>
      <c r="H60" s="139">
        <v>305.14285714285717</v>
      </c>
      <c r="I60" s="142">
        <f t="shared" si="4"/>
        <v>610.28571428571433</v>
      </c>
      <c r="J60" s="73">
        <f t="shared" si="5"/>
        <v>305.14285714285717</v>
      </c>
      <c r="K60" s="141"/>
      <c r="L60" s="149"/>
    </row>
    <row r="61" spans="2:13" ht="19.7" customHeight="1" x14ac:dyDescent="0.25">
      <c r="B61" s="883"/>
      <c r="C61" s="70" t="s">
        <v>465</v>
      </c>
      <c r="D61" s="32" t="s">
        <v>339</v>
      </c>
      <c r="E61" s="23" t="s">
        <v>509</v>
      </c>
      <c r="F61" s="23" t="s">
        <v>496</v>
      </c>
      <c r="G61" s="23" t="s">
        <v>573</v>
      </c>
      <c r="H61" s="139">
        <v>768</v>
      </c>
      <c r="I61" s="23">
        <f t="shared" si="4"/>
        <v>1536</v>
      </c>
      <c r="J61" s="73">
        <f t="shared" si="5"/>
        <v>768</v>
      </c>
      <c r="K61" s="141"/>
      <c r="L61" s="149"/>
    </row>
    <row r="62" spans="2:13" ht="19.7" customHeight="1" x14ac:dyDescent="0.3">
      <c r="B62" s="883"/>
      <c r="C62" s="165" t="s">
        <v>470</v>
      </c>
      <c r="D62" s="166" t="s">
        <v>73</v>
      </c>
      <c r="E62" s="167" t="s">
        <v>509</v>
      </c>
      <c r="F62" s="167" t="s">
        <v>705</v>
      </c>
      <c r="G62" s="167" t="s">
        <v>691</v>
      </c>
      <c r="H62" s="138">
        <v>17541.714285714286</v>
      </c>
      <c r="I62" s="167">
        <f t="shared" si="4"/>
        <v>35083.428571428572</v>
      </c>
      <c r="J62" s="168">
        <f t="shared" si="5"/>
        <v>17541.714285714286</v>
      </c>
      <c r="K62" s="177"/>
      <c r="L62" s="175"/>
      <c r="M62" s="179"/>
    </row>
    <row r="63" spans="2:13" ht="19.7" customHeight="1" x14ac:dyDescent="0.25">
      <c r="B63" s="883"/>
      <c r="C63" s="70" t="s">
        <v>469</v>
      </c>
      <c r="D63" s="32" t="s">
        <v>83</v>
      </c>
      <c r="E63" s="23" t="s">
        <v>509</v>
      </c>
      <c r="F63" s="23" t="s">
        <v>495</v>
      </c>
      <c r="G63" s="23" t="s">
        <v>574</v>
      </c>
      <c r="H63" s="139">
        <v>133.71428571428572</v>
      </c>
      <c r="I63" s="142">
        <f t="shared" si="4"/>
        <v>267.42857142857144</v>
      </c>
      <c r="J63" s="73">
        <f t="shared" si="5"/>
        <v>133.71428571428572</v>
      </c>
      <c r="K63" s="141"/>
      <c r="L63" s="149"/>
    </row>
    <row r="64" spans="2:13" ht="19.7" customHeight="1" x14ac:dyDescent="0.25">
      <c r="B64" s="883"/>
      <c r="C64" s="70" t="s">
        <v>469</v>
      </c>
      <c r="D64" s="32" t="s">
        <v>85</v>
      </c>
      <c r="E64" s="23" t="s">
        <v>509</v>
      </c>
      <c r="F64" s="23" t="s">
        <v>495</v>
      </c>
      <c r="G64" s="23" t="s">
        <v>575</v>
      </c>
      <c r="H64" s="139">
        <v>1556.5714285714287</v>
      </c>
      <c r="I64" s="142">
        <f t="shared" si="4"/>
        <v>3113.1428571428573</v>
      </c>
      <c r="J64" s="73">
        <f t="shared" si="5"/>
        <v>1556.5714285714287</v>
      </c>
      <c r="K64" s="141"/>
      <c r="L64" s="149"/>
    </row>
    <row r="65" spans="2:13" ht="19.7" customHeight="1" x14ac:dyDescent="0.25">
      <c r="B65" s="883"/>
      <c r="C65" s="70" t="s">
        <v>469</v>
      </c>
      <c r="D65" s="32" t="s">
        <v>87</v>
      </c>
      <c r="E65" s="23" t="s">
        <v>509</v>
      </c>
      <c r="F65" s="23" t="s">
        <v>495</v>
      </c>
      <c r="G65" s="23" t="s">
        <v>576</v>
      </c>
      <c r="H65" s="139">
        <v>92</v>
      </c>
      <c r="I65" s="23">
        <f t="shared" si="4"/>
        <v>184</v>
      </c>
      <c r="J65" s="73">
        <f t="shared" si="5"/>
        <v>92</v>
      </c>
      <c r="K65" s="141"/>
      <c r="L65" s="149"/>
    </row>
    <row r="66" spans="2:13" ht="19.7" customHeight="1" x14ac:dyDescent="0.3">
      <c r="B66" s="883"/>
      <c r="C66" s="165" t="s">
        <v>474</v>
      </c>
      <c r="D66" s="166" t="s">
        <v>139</v>
      </c>
      <c r="E66" s="167" t="s">
        <v>509</v>
      </c>
      <c r="F66" s="167" t="s">
        <v>705</v>
      </c>
      <c r="G66" s="167" t="s">
        <v>692</v>
      </c>
      <c r="H66" s="139">
        <v>336</v>
      </c>
      <c r="I66" s="167">
        <f t="shared" si="4"/>
        <v>672</v>
      </c>
      <c r="J66" s="168">
        <f t="shared" si="5"/>
        <v>336</v>
      </c>
      <c r="K66" s="177"/>
      <c r="L66" s="175"/>
      <c r="M66" s="179"/>
    </row>
    <row r="67" spans="2:13" ht="19.7" customHeight="1" x14ac:dyDescent="0.3">
      <c r="B67" s="883"/>
      <c r="C67" s="165" t="s">
        <v>474</v>
      </c>
      <c r="D67" s="166" t="s">
        <v>141</v>
      </c>
      <c r="E67" s="167" t="s">
        <v>509</v>
      </c>
      <c r="F67" s="167" t="s">
        <v>705</v>
      </c>
      <c r="G67" s="167" t="s">
        <v>693</v>
      </c>
      <c r="H67" s="139">
        <v>222.85714285714286</v>
      </c>
      <c r="I67" s="170">
        <f t="shared" si="4"/>
        <v>445.71428571428572</v>
      </c>
      <c r="J67" s="168">
        <f t="shared" si="5"/>
        <v>222.85714285714286</v>
      </c>
      <c r="K67" s="177"/>
      <c r="L67" s="175"/>
      <c r="M67" s="179"/>
    </row>
    <row r="68" spans="2:13" ht="19.7" customHeight="1" x14ac:dyDescent="0.3">
      <c r="B68" s="883"/>
      <c r="C68" s="165" t="s">
        <v>474</v>
      </c>
      <c r="D68" s="166" t="s">
        <v>137</v>
      </c>
      <c r="E68" s="167" t="s">
        <v>509</v>
      </c>
      <c r="F68" s="167" t="s">
        <v>705</v>
      </c>
      <c r="G68" s="167" t="s">
        <v>694</v>
      </c>
      <c r="H68" s="139">
        <v>378.85714285714283</v>
      </c>
      <c r="I68" s="170">
        <f t="shared" si="4"/>
        <v>757.71428571428567</v>
      </c>
      <c r="J68" s="168">
        <f t="shared" si="5"/>
        <v>378.85714285714283</v>
      </c>
      <c r="K68" s="177"/>
      <c r="L68" s="175"/>
      <c r="M68" s="179"/>
    </row>
    <row r="69" spans="2:13" ht="19.7" customHeight="1" x14ac:dyDescent="0.25">
      <c r="B69" s="883"/>
      <c r="C69" s="70" t="s">
        <v>480</v>
      </c>
      <c r="D69" s="32" t="s">
        <v>125</v>
      </c>
      <c r="E69" s="23" t="s">
        <v>509</v>
      </c>
      <c r="F69" s="23" t="s">
        <v>495</v>
      </c>
      <c r="G69" s="23" t="s">
        <v>577</v>
      </c>
      <c r="H69" s="139">
        <v>399.42857142857144</v>
      </c>
      <c r="I69" s="142">
        <f t="shared" si="4"/>
        <v>798.85714285714289</v>
      </c>
      <c r="J69" s="73">
        <f t="shared" si="5"/>
        <v>399.42857142857144</v>
      </c>
      <c r="K69" s="141"/>
      <c r="L69" s="149"/>
    </row>
    <row r="70" spans="2:13" ht="19.7" customHeight="1" x14ac:dyDescent="0.25">
      <c r="B70" s="883"/>
      <c r="C70" s="70" t="s">
        <v>480</v>
      </c>
      <c r="D70" s="32" t="s">
        <v>131</v>
      </c>
      <c r="E70" s="23" t="s">
        <v>509</v>
      </c>
      <c r="F70" s="23" t="s">
        <v>495</v>
      </c>
      <c r="G70" s="23" t="s">
        <v>578</v>
      </c>
      <c r="H70" s="139">
        <v>399.42857142857144</v>
      </c>
      <c r="I70" s="142">
        <f t="shared" si="4"/>
        <v>798.85714285714289</v>
      </c>
      <c r="J70" s="73">
        <f t="shared" si="5"/>
        <v>399.42857142857144</v>
      </c>
      <c r="K70" s="141"/>
      <c r="L70" s="149"/>
    </row>
    <row r="71" spans="2:13" ht="19.7" customHeight="1" x14ac:dyDescent="0.3">
      <c r="B71" s="883"/>
      <c r="C71" s="165" t="s">
        <v>480</v>
      </c>
      <c r="D71" s="172" t="s">
        <v>361</v>
      </c>
      <c r="E71" s="167" t="s">
        <v>509</v>
      </c>
      <c r="F71" s="167" t="s">
        <v>705</v>
      </c>
      <c r="G71" s="167" t="s">
        <v>579</v>
      </c>
      <c r="H71" s="139">
        <v>140.57142857142858</v>
      </c>
      <c r="I71" s="170">
        <f t="shared" si="4"/>
        <v>281.14285714285717</v>
      </c>
      <c r="J71" s="168">
        <f t="shared" si="5"/>
        <v>140.57142857142858</v>
      </c>
      <c r="K71" s="177"/>
      <c r="L71" s="175"/>
      <c r="M71" s="179"/>
    </row>
    <row r="72" spans="2:13" ht="19.7" customHeight="1" x14ac:dyDescent="0.25">
      <c r="B72" s="883"/>
      <c r="C72" s="70" t="s">
        <v>480</v>
      </c>
      <c r="D72" s="78" t="s">
        <v>389</v>
      </c>
      <c r="E72" s="23" t="s">
        <v>509</v>
      </c>
      <c r="F72" s="23" t="s">
        <v>495</v>
      </c>
      <c r="G72" s="23" t="s">
        <v>580</v>
      </c>
      <c r="H72" s="139">
        <v>240</v>
      </c>
      <c r="I72" s="23">
        <f t="shared" si="4"/>
        <v>480</v>
      </c>
      <c r="J72" s="73">
        <f t="shared" si="5"/>
        <v>240</v>
      </c>
      <c r="K72" s="141"/>
      <c r="L72" s="149"/>
    </row>
    <row r="73" spans="2:13" ht="19.7" customHeight="1" x14ac:dyDescent="0.25">
      <c r="B73" s="883"/>
      <c r="C73" s="70" t="s">
        <v>480</v>
      </c>
      <c r="D73" s="32">
        <v>37</v>
      </c>
      <c r="E73" s="24" t="s">
        <v>509</v>
      </c>
      <c r="F73" s="24" t="s">
        <v>502</v>
      </c>
      <c r="G73" s="23" t="s">
        <v>581</v>
      </c>
      <c r="H73" s="138">
        <v>243.42857142857142</v>
      </c>
      <c r="I73" s="23"/>
      <c r="J73" s="73"/>
      <c r="K73" s="141"/>
      <c r="L73" s="149"/>
    </row>
    <row r="74" spans="2:13" ht="19.7" customHeight="1" x14ac:dyDescent="0.25">
      <c r="B74" s="883"/>
      <c r="C74" s="70" t="s">
        <v>480</v>
      </c>
      <c r="D74" s="32">
        <v>38</v>
      </c>
      <c r="E74" s="24" t="s">
        <v>509</v>
      </c>
      <c r="F74" s="24" t="s">
        <v>502</v>
      </c>
      <c r="G74" s="23" t="s">
        <v>582</v>
      </c>
      <c r="H74" s="138">
        <v>308.57142857142856</v>
      </c>
      <c r="I74" s="23"/>
      <c r="J74" s="73"/>
      <c r="K74" s="141"/>
      <c r="L74" s="149"/>
    </row>
    <row r="75" spans="2:13" ht="19.7" customHeight="1" x14ac:dyDescent="0.25">
      <c r="B75" s="883"/>
      <c r="C75" s="70" t="s">
        <v>480</v>
      </c>
      <c r="D75" s="32">
        <v>40</v>
      </c>
      <c r="E75" s="24" t="s">
        <v>509</v>
      </c>
      <c r="F75" s="24" t="s">
        <v>502</v>
      </c>
      <c r="G75" s="23" t="s">
        <v>583</v>
      </c>
      <c r="H75" s="138">
        <v>100</v>
      </c>
      <c r="I75" s="23"/>
      <c r="J75" s="73"/>
      <c r="K75" s="141"/>
      <c r="L75" s="149"/>
    </row>
    <row r="76" spans="2:13" ht="19.7" customHeight="1" x14ac:dyDescent="0.25">
      <c r="B76" s="883"/>
      <c r="C76" s="70" t="s">
        <v>480</v>
      </c>
      <c r="D76" s="32">
        <v>41</v>
      </c>
      <c r="E76" s="24" t="s">
        <v>509</v>
      </c>
      <c r="F76" s="24" t="s">
        <v>502</v>
      </c>
      <c r="G76" s="23" t="s">
        <v>584</v>
      </c>
      <c r="H76" s="138">
        <v>370.28571428571428</v>
      </c>
      <c r="I76" s="23"/>
      <c r="J76" s="73"/>
      <c r="K76" s="141"/>
      <c r="L76" s="149"/>
    </row>
    <row r="77" spans="2:13" ht="19.7" customHeight="1" x14ac:dyDescent="0.25">
      <c r="B77" s="883"/>
      <c r="C77" s="70" t="s">
        <v>480</v>
      </c>
      <c r="D77" s="32">
        <v>42</v>
      </c>
      <c r="E77" s="24" t="s">
        <v>509</v>
      </c>
      <c r="F77" s="24" t="s">
        <v>502</v>
      </c>
      <c r="G77" s="23" t="s">
        <v>585</v>
      </c>
      <c r="H77" s="138">
        <v>60</v>
      </c>
      <c r="I77" s="23"/>
      <c r="J77" s="73"/>
      <c r="K77" s="141"/>
      <c r="L77" s="149"/>
    </row>
    <row r="78" spans="2:13" ht="19.7" customHeight="1" x14ac:dyDescent="0.25">
      <c r="B78" s="883"/>
      <c r="C78" s="70" t="s">
        <v>480</v>
      </c>
      <c r="D78" s="32">
        <v>43</v>
      </c>
      <c r="E78" s="24" t="s">
        <v>509</v>
      </c>
      <c r="F78" s="24" t="s">
        <v>502</v>
      </c>
      <c r="G78" s="23" t="s">
        <v>586</v>
      </c>
      <c r="H78" s="138">
        <v>418.28571428571428</v>
      </c>
      <c r="I78" s="23"/>
      <c r="J78" s="73"/>
      <c r="K78" s="141"/>
      <c r="L78" s="149"/>
    </row>
    <row r="79" spans="2:13" ht="19.7" customHeight="1" x14ac:dyDescent="0.25">
      <c r="B79" s="883"/>
      <c r="C79" s="70" t="s">
        <v>480</v>
      </c>
      <c r="D79" s="32">
        <v>50</v>
      </c>
      <c r="E79" s="24" t="s">
        <v>509</v>
      </c>
      <c r="F79" s="24" t="s">
        <v>502</v>
      </c>
      <c r="G79" s="23" t="s">
        <v>587</v>
      </c>
      <c r="H79" s="139">
        <v>126.85714285714286</v>
      </c>
      <c r="I79" s="23"/>
      <c r="J79" s="73"/>
      <c r="K79" s="141"/>
      <c r="L79" s="149"/>
    </row>
    <row r="80" spans="2:13" ht="19.7" customHeight="1" x14ac:dyDescent="0.25">
      <c r="B80" s="883"/>
      <c r="C80" s="70" t="s">
        <v>480</v>
      </c>
      <c r="D80" s="32">
        <v>51</v>
      </c>
      <c r="E80" s="24" t="s">
        <v>509</v>
      </c>
      <c r="F80" s="24" t="s">
        <v>502</v>
      </c>
      <c r="G80" s="23" t="s">
        <v>588</v>
      </c>
      <c r="H80" s="139">
        <v>132</v>
      </c>
      <c r="I80" s="23"/>
      <c r="J80" s="73"/>
      <c r="K80" s="141"/>
      <c r="L80" s="149"/>
    </row>
    <row r="81" spans="2:12" ht="19.7" customHeight="1" x14ac:dyDescent="0.25">
      <c r="B81" s="883"/>
      <c r="C81" s="70" t="s">
        <v>480</v>
      </c>
      <c r="D81" s="32" t="s">
        <v>157</v>
      </c>
      <c r="E81" s="24" t="s">
        <v>509</v>
      </c>
      <c r="F81" s="24" t="s">
        <v>502</v>
      </c>
      <c r="G81" s="23" t="s">
        <v>589</v>
      </c>
      <c r="H81" s="138">
        <v>150</v>
      </c>
      <c r="I81" s="23"/>
      <c r="J81" s="73"/>
      <c r="K81" s="141"/>
      <c r="L81" s="149"/>
    </row>
    <row r="82" spans="2:12" ht="19.7" customHeight="1" x14ac:dyDescent="0.25">
      <c r="B82" s="883"/>
      <c r="C82" s="70" t="s">
        <v>480</v>
      </c>
      <c r="D82" s="32" t="s">
        <v>159</v>
      </c>
      <c r="E82" s="24" t="s">
        <v>509</v>
      </c>
      <c r="F82" s="24" t="s">
        <v>502</v>
      </c>
      <c r="G82" s="23" t="s">
        <v>590</v>
      </c>
      <c r="H82" s="138">
        <v>354</v>
      </c>
      <c r="I82" s="23"/>
      <c r="J82" s="73"/>
      <c r="K82" s="141"/>
      <c r="L82" s="149"/>
    </row>
    <row r="83" spans="2:12" ht="19.7" customHeight="1" x14ac:dyDescent="0.25">
      <c r="B83" s="883"/>
      <c r="C83" s="70" t="s">
        <v>480</v>
      </c>
      <c r="D83" s="32" t="s">
        <v>161</v>
      </c>
      <c r="E83" s="24" t="s">
        <v>509</v>
      </c>
      <c r="F83" s="24" t="s">
        <v>502</v>
      </c>
      <c r="G83" s="23" t="s">
        <v>591</v>
      </c>
      <c r="H83" s="138">
        <v>168</v>
      </c>
      <c r="I83" s="23"/>
      <c r="J83" s="73"/>
      <c r="K83" s="141"/>
      <c r="L83" s="149"/>
    </row>
    <row r="84" spans="2:12" ht="19.7" customHeight="1" x14ac:dyDescent="0.25">
      <c r="B84" s="883"/>
      <c r="C84" s="70" t="s">
        <v>480</v>
      </c>
      <c r="D84" s="32" t="s">
        <v>163</v>
      </c>
      <c r="E84" s="24" t="s">
        <v>509</v>
      </c>
      <c r="F84" s="24" t="s">
        <v>502</v>
      </c>
      <c r="G84" s="23" t="s">
        <v>592</v>
      </c>
      <c r="H84" s="138">
        <v>38.5</v>
      </c>
      <c r="I84" s="23"/>
      <c r="J84" s="73"/>
      <c r="K84" s="141"/>
      <c r="L84" s="149"/>
    </row>
    <row r="85" spans="2:12" ht="19.7" customHeight="1" x14ac:dyDescent="0.25">
      <c r="B85" s="883"/>
      <c r="C85" s="70" t="s">
        <v>480</v>
      </c>
      <c r="D85" s="32" t="s">
        <v>165</v>
      </c>
      <c r="E85" s="24" t="s">
        <v>509</v>
      </c>
      <c r="F85" s="24" t="s">
        <v>502</v>
      </c>
      <c r="G85" s="23" t="s">
        <v>593</v>
      </c>
      <c r="H85" s="138">
        <v>113.14285714285714</v>
      </c>
      <c r="I85" s="23"/>
      <c r="J85" s="73"/>
      <c r="K85" s="141"/>
      <c r="L85" s="149"/>
    </row>
    <row r="86" spans="2:12" ht="19.7" customHeight="1" x14ac:dyDescent="0.25">
      <c r="B86" s="883"/>
      <c r="C86" s="70" t="s">
        <v>480</v>
      </c>
      <c r="D86" s="32" t="s">
        <v>167</v>
      </c>
      <c r="E86" s="24" t="s">
        <v>509</v>
      </c>
      <c r="F86" s="24" t="s">
        <v>502</v>
      </c>
      <c r="G86" s="23" t="s">
        <v>594</v>
      </c>
      <c r="H86" s="138">
        <v>72</v>
      </c>
      <c r="I86" s="23"/>
      <c r="J86" s="73"/>
      <c r="K86" s="141"/>
      <c r="L86" s="149"/>
    </row>
    <row r="87" spans="2:12" ht="19.7" customHeight="1" x14ac:dyDescent="0.25">
      <c r="B87" s="883"/>
      <c r="C87" s="70" t="s">
        <v>480</v>
      </c>
      <c r="D87" s="32" t="s">
        <v>169</v>
      </c>
      <c r="E87" s="24" t="s">
        <v>509</v>
      </c>
      <c r="F87" s="24" t="s">
        <v>502</v>
      </c>
      <c r="G87" s="23" t="s">
        <v>595</v>
      </c>
      <c r="H87" s="138">
        <v>464.57142857142856</v>
      </c>
      <c r="I87" s="23"/>
      <c r="J87" s="73"/>
      <c r="K87" s="141"/>
      <c r="L87" s="149"/>
    </row>
    <row r="88" spans="2:12" ht="19.7" customHeight="1" x14ac:dyDescent="0.25">
      <c r="B88" s="883"/>
      <c r="C88" s="70" t="s">
        <v>480</v>
      </c>
      <c r="D88" s="32" t="s">
        <v>171</v>
      </c>
      <c r="E88" s="24" t="s">
        <v>509</v>
      </c>
      <c r="F88" s="24" t="s">
        <v>502</v>
      </c>
      <c r="G88" s="23" t="s">
        <v>596</v>
      </c>
      <c r="H88" s="138">
        <v>279.42857142857144</v>
      </c>
      <c r="I88" s="23"/>
      <c r="J88" s="73"/>
      <c r="K88" s="141"/>
      <c r="L88" s="149"/>
    </row>
    <row r="89" spans="2:12" ht="19.7" customHeight="1" x14ac:dyDescent="0.25">
      <c r="B89" s="883"/>
      <c r="C89" s="70" t="s">
        <v>480</v>
      </c>
      <c r="D89" s="32" t="s">
        <v>173</v>
      </c>
      <c r="E89" s="24" t="s">
        <v>509</v>
      </c>
      <c r="F89" s="24" t="s">
        <v>502</v>
      </c>
      <c r="G89" s="23" t="s">
        <v>597</v>
      </c>
      <c r="H89" s="138">
        <v>786.85714285714289</v>
      </c>
      <c r="I89" s="23"/>
      <c r="J89" s="73"/>
      <c r="K89" s="141"/>
      <c r="L89" s="149"/>
    </row>
    <row r="90" spans="2:12" ht="19.7" customHeight="1" x14ac:dyDescent="0.25">
      <c r="B90" s="883"/>
      <c r="C90" s="70" t="s">
        <v>480</v>
      </c>
      <c r="D90" s="32" t="s">
        <v>175</v>
      </c>
      <c r="E90" s="24" t="s">
        <v>509</v>
      </c>
      <c r="F90" s="24" t="s">
        <v>502</v>
      </c>
      <c r="G90" s="23" t="s">
        <v>598</v>
      </c>
      <c r="H90" s="138">
        <v>257.14285714285717</v>
      </c>
      <c r="I90" s="23"/>
      <c r="J90" s="73"/>
      <c r="K90" s="141"/>
      <c r="L90" s="149"/>
    </row>
    <row r="91" spans="2:12" ht="19.7" customHeight="1" x14ac:dyDescent="0.25">
      <c r="B91" s="883"/>
      <c r="C91" s="70" t="s">
        <v>480</v>
      </c>
      <c r="D91" s="32" t="s">
        <v>177</v>
      </c>
      <c r="E91" s="24" t="s">
        <v>509</v>
      </c>
      <c r="F91" s="24" t="s">
        <v>502</v>
      </c>
      <c r="G91" s="23" t="s">
        <v>599</v>
      </c>
      <c r="H91" s="138">
        <v>714.85714285714289</v>
      </c>
      <c r="I91" s="23"/>
      <c r="J91" s="73"/>
      <c r="K91" s="141"/>
      <c r="L91" s="149"/>
    </row>
    <row r="92" spans="2:12" ht="19.7" customHeight="1" x14ac:dyDescent="0.25">
      <c r="B92" s="883"/>
      <c r="C92" s="70" t="s">
        <v>480</v>
      </c>
      <c r="D92" s="32" t="s">
        <v>179</v>
      </c>
      <c r="E92" s="24" t="s">
        <v>509</v>
      </c>
      <c r="F92" s="24" t="s">
        <v>502</v>
      </c>
      <c r="G92" s="23" t="s">
        <v>600</v>
      </c>
      <c r="H92" s="138">
        <v>0</v>
      </c>
      <c r="I92" s="23"/>
      <c r="J92" s="73"/>
      <c r="K92" s="141"/>
      <c r="L92" s="149"/>
    </row>
    <row r="93" spans="2:12" ht="19.7" customHeight="1" x14ac:dyDescent="0.25">
      <c r="B93" s="883"/>
      <c r="C93" s="70" t="s">
        <v>480</v>
      </c>
      <c r="D93" s="32" t="s">
        <v>183</v>
      </c>
      <c r="E93" s="24" t="s">
        <v>509</v>
      </c>
      <c r="F93" s="24" t="s">
        <v>502</v>
      </c>
      <c r="G93" s="23" t="s">
        <v>601</v>
      </c>
      <c r="H93" s="139">
        <v>77.142857142857139</v>
      </c>
      <c r="I93" s="23"/>
      <c r="J93" s="73"/>
      <c r="K93" s="141"/>
      <c r="L93" s="149"/>
    </row>
    <row r="94" spans="2:12" ht="19.7" customHeight="1" x14ac:dyDescent="0.25">
      <c r="B94" s="883"/>
      <c r="C94" s="70" t="s">
        <v>480</v>
      </c>
      <c r="D94" s="32" t="s">
        <v>185</v>
      </c>
      <c r="E94" s="24" t="s">
        <v>509</v>
      </c>
      <c r="F94" s="24" t="s">
        <v>502</v>
      </c>
      <c r="G94" s="23" t="s">
        <v>602</v>
      </c>
      <c r="H94" s="139">
        <v>84</v>
      </c>
      <c r="I94" s="23"/>
      <c r="J94" s="73"/>
      <c r="K94" s="141"/>
      <c r="L94" s="149"/>
    </row>
    <row r="95" spans="2:12" ht="19.7" customHeight="1" x14ac:dyDescent="0.25">
      <c r="B95" s="883"/>
      <c r="C95" s="70" t="s">
        <v>480</v>
      </c>
      <c r="D95" s="32" t="s">
        <v>187</v>
      </c>
      <c r="E95" s="24" t="s">
        <v>509</v>
      </c>
      <c r="F95" s="24" t="s">
        <v>502</v>
      </c>
      <c r="G95" s="23" t="s">
        <v>603</v>
      </c>
      <c r="H95" s="139">
        <v>120</v>
      </c>
      <c r="I95" s="23"/>
      <c r="J95" s="73"/>
      <c r="K95" s="141"/>
      <c r="L95" s="149"/>
    </row>
    <row r="96" spans="2:12" ht="19.7" customHeight="1" x14ac:dyDescent="0.25">
      <c r="B96" s="883"/>
      <c r="C96" s="70" t="s">
        <v>480</v>
      </c>
      <c r="D96" s="32" t="s">
        <v>189</v>
      </c>
      <c r="E96" s="24" t="s">
        <v>509</v>
      </c>
      <c r="F96" s="24" t="s">
        <v>502</v>
      </c>
      <c r="G96" s="23" t="s">
        <v>604</v>
      </c>
      <c r="H96" s="138">
        <v>186.85714285714286</v>
      </c>
      <c r="I96" s="23"/>
      <c r="J96" s="73"/>
      <c r="K96" s="141"/>
      <c r="L96" s="149"/>
    </row>
    <row r="97" spans="2:12" ht="19.7" customHeight="1" x14ac:dyDescent="0.25">
      <c r="B97" s="883"/>
      <c r="C97" s="70" t="s">
        <v>480</v>
      </c>
      <c r="D97" s="32" t="s">
        <v>191</v>
      </c>
      <c r="E97" s="24" t="s">
        <v>509</v>
      </c>
      <c r="F97" s="24" t="s">
        <v>502</v>
      </c>
      <c r="G97" s="23" t="s">
        <v>605</v>
      </c>
      <c r="H97" s="138">
        <v>456</v>
      </c>
      <c r="I97" s="23"/>
      <c r="J97" s="73"/>
      <c r="K97" s="141"/>
      <c r="L97" s="149"/>
    </row>
    <row r="98" spans="2:12" ht="19.7" customHeight="1" x14ac:dyDescent="0.25">
      <c r="B98" s="883"/>
      <c r="C98" s="70" t="s">
        <v>480</v>
      </c>
      <c r="D98" s="32" t="s">
        <v>193</v>
      </c>
      <c r="E98" s="24" t="s">
        <v>509</v>
      </c>
      <c r="F98" s="24" t="s">
        <v>502</v>
      </c>
      <c r="G98" s="23" t="s">
        <v>606</v>
      </c>
      <c r="H98" s="138">
        <v>531.42857142857144</v>
      </c>
      <c r="I98" s="23"/>
      <c r="J98" s="73"/>
      <c r="K98" s="141"/>
      <c r="L98" s="149"/>
    </row>
    <row r="99" spans="2:12" ht="19.7" customHeight="1" x14ac:dyDescent="0.25">
      <c r="B99" s="883"/>
      <c r="C99" s="70" t="s">
        <v>480</v>
      </c>
      <c r="D99" s="32" t="s">
        <v>195</v>
      </c>
      <c r="E99" s="24" t="s">
        <v>509</v>
      </c>
      <c r="F99" s="24" t="s">
        <v>502</v>
      </c>
      <c r="G99" s="23" t="s">
        <v>607</v>
      </c>
      <c r="H99" s="138">
        <v>156</v>
      </c>
      <c r="I99" s="23"/>
      <c r="J99" s="73"/>
      <c r="K99" s="141"/>
      <c r="L99" s="149"/>
    </row>
    <row r="100" spans="2:12" ht="19.7" customHeight="1" x14ac:dyDescent="0.25">
      <c r="B100" s="883"/>
      <c r="C100" s="70" t="s">
        <v>480</v>
      </c>
      <c r="D100" s="32" t="s">
        <v>197</v>
      </c>
      <c r="E100" s="24" t="s">
        <v>509</v>
      </c>
      <c r="F100" s="24" t="s">
        <v>502</v>
      </c>
      <c r="G100" s="23" t="s">
        <v>608</v>
      </c>
      <c r="H100" s="138">
        <v>64</v>
      </c>
      <c r="I100" s="23"/>
      <c r="J100" s="73"/>
      <c r="K100" s="141"/>
      <c r="L100" s="149"/>
    </row>
    <row r="101" spans="2:12" ht="19.7" customHeight="1" x14ac:dyDescent="0.25">
      <c r="B101" s="883"/>
      <c r="C101" s="70" t="s">
        <v>480</v>
      </c>
      <c r="D101" s="32" t="s">
        <v>199</v>
      </c>
      <c r="E101" s="24" t="s">
        <v>509</v>
      </c>
      <c r="F101" s="24" t="s">
        <v>502</v>
      </c>
      <c r="G101" s="23" t="s">
        <v>609</v>
      </c>
      <c r="H101" s="138">
        <v>478.28571428571428</v>
      </c>
      <c r="I101" s="23"/>
      <c r="J101" s="73"/>
      <c r="K101" s="141"/>
      <c r="L101" s="149"/>
    </row>
    <row r="102" spans="2:12" ht="19.7" customHeight="1" x14ac:dyDescent="0.25">
      <c r="B102" s="883"/>
      <c r="C102" s="70" t="s">
        <v>480</v>
      </c>
      <c r="D102" s="32" t="s">
        <v>201</v>
      </c>
      <c r="E102" s="24" t="s">
        <v>509</v>
      </c>
      <c r="F102" s="24" t="s">
        <v>502</v>
      </c>
      <c r="G102" s="23" t="s">
        <v>610</v>
      </c>
      <c r="H102" s="138">
        <v>40</v>
      </c>
      <c r="I102" s="23"/>
      <c r="J102" s="73"/>
      <c r="K102" s="141"/>
      <c r="L102" s="149"/>
    </row>
    <row r="103" spans="2:12" ht="19.7" customHeight="1" x14ac:dyDescent="0.25">
      <c r="B103" s="883"/>
      <c r="C103" s="70" t="s">
        <v>480</v>
      </c>
      <c r="D103" s="32" t="s">
        <v>203</v>
      </c>
      <c r="E103" s="24" t="s">
        <v>509</v>
      </c>
      <c r="F103" s="24" t="s">
        <v>502</v>
      </c>
      <c r="G103" s="23" t="s">
        <v>611</v>
      </c>
      <c r="H103" s="138">
        <v>96</v>
      </c>
      <c r="I103" s="23"/>
      <c r="J103" s="73"/>
      <c r="K103" s="141"/>
      <c r="L103" s="149"/>
    </row>
    <row r="104" spans="2:12" ht="19.7" customHeight="1" x14ac:dyDescent="0.25">
      <c r="B104" s="883"/>
      <c r="C104" s="70" t="s">
        <v>480</v>
      </c>
      <c r="D104" s="79" t="s">
        <v>404</v>
      </c>
      <c r="E104" s="24" t="s">
        <v>509</v>
      </c>
      <c r="F104" s="24" t="s">
        <v>502</v>
      </c>
      <c r="G104" s="23" t="s">
        <v>612</v>
      </c>
      <c r="H104" s="138">
        <v>42</v>
      </c>
      <c r="I104" s="23"/>
      <c r="J104" s="73"/>
      <c r="K104" s="141"/>
      <c r="L104" s="149"/>
    </row>
    <row r="105" spans="2:12" ht="19.7" customHeight="1" x14ac:dyDescent="0.25">
      <c r="B105" s="883"/>
      <c r="C105" s="70" t="s">
        <v>480</v>
      </c>
      <c r="D105" s="32" t="s">
        <v>405</v>
      </c>
      <c r="E105" s="24" t="s">
        <v>509</v>
      </c>
      <c r="F105" s="24" t="s">
        <v>502</v>
      </c>
      <c r="G105" s="23" t="s">
        <v>613</v>
      </c>
      <c r="H105" s="138">
        <v>110.4</v>
      </c>
      <c r="I105" s="23"/>
      <c r="J105" s="73"/>
      <c r="K105" s="141"/>
      <c r="L105" s="149"/>
    </row>
    <row r="106" spans="2:12" ht="19.7" customHeight="1" x14ac:dyDescent="0.25">
      <c r="B106" s="883"/>
      <c r="C106" s="70" t="s">
        <v>480</v>
      </c>
      <c r="D106" s="32" t="s">
        <v>205</v>
      </c>
      <c r="E106" s="24" t="s">
        <v>509</v>
      </c>
      <c r="F106" s="24" t="s">
        <v>502</v>
      </c>
      <c r="G106" s="23" t="s">
        <v>614</v>
      </c>
      <c r="H106" s="138">
        <v>209.14285714285714</v>
      </c>
      <c r="I106" s="23"/>
      <c r="J106" s="73"/>
      <c r="K106" s="141"/>
      <c r="L106" s="149"/>
    </row>
    <row r="107" spans="2:12" ht="19.7" customHeight="1" x14ac:dyDescent="0.25">
      <c r="B107" s="883"/>
      <c r="C107" s="70" t="s">
        <v>480</v>
      </c>
      <c r="D107" s="32" t="s">
        <v>207</v>
      </c>
      <c r="E107" s="24" t="s">
        <v>509</v>
      </c>
      <c r="F107" s="24" t="s">
        <v>502</v>
      </c>
      <c r="G107" s="23" t="s">
        <v>615</v>
      </c>
      <c r="H107" s="138">
        <v>233.14285714285714</v>
      </c>
      <c r="I107" s="23"/>
      <c r="J107" s="73"/>
      <c r="K107" s="141"/>
      <c r="L107" s="149"/>
    </row>
    <row r="108" spans="2:12" ht="19.7" customHeight="1" x14ac:dyDescent="0.25">
      <c r="B108" s="883"/>
      <c r="C108" s="70" t="s">
        <v>480</v>
      </c>
      <c r="D108" s="32" t="s">
        <v>209</v>
      </c>
      <c r="E108" s="24" t="s">
        <v>509</v>
      </c>
      <c r="F108" s="24" t="s">
        <v>502</v>
      </c>
      <c r="G108" s="23" t="s">
        <v>616</v>
      </c>
      <c r="H108" s="138">
        <v>493.71428571428572</v>
      </c>
      <c r="I108" s="23"/>
      <c r="J108" s="73"/>
      <c r="K108" s="141"/>
      <c r="L108" s="149"/>
    </row>
    <row r="109" spans="2:12" ht="19.7" customHeight="1" x14ac:dyDescent="0.25">
      <c r="B109" s="883"/>
      <c r="C109" s="70" t="s">
        <v>480</v>
      </c>
      <c r="D109" s="32" t="s">
        <v>211</v>
      </c>
      <c r="E109" s="24" t="s">
        <v>509</v>
      </c>
      <c r="F109" s="24" t="s">
        <v>502</v>
      </c>
      <c r="G109" s="23" t="s">
        <v>617</v>
      </c>
      <c r="H109" s="138">
        <v>482.28571428571428</v>
      </c>
      <c r="I109" s="23"/>
      <c r="J109" s="73"/>
      <c r="K109" s="141"/>
      <c r="L109" s="149"/>
    </row>
    <row r="110" spans="2:12" ht="19.7" customHeight="1" x14ac:dyDescent="0.25">
      <c r="B110" s="883"/>
      <c r="C110" s="70" t="s">
        <v>480</v>
      </c>
      <c r="D110" s="32" t="s">
        <v>213</v>
      </c>
      <c r="E110" s="24" t="s">
        <v>509</v>
      </c>
      <c r="F110" s="24" t="s">
        <v>502</v>
      </c>
      <c r="G110" s="23" t="s">
        <v>617</v>
      </c>
      <c r="H110" s="138">
        <v>0</v>
      </c>
      <c r="I110" s="23"/>
      <c r="J110" s="73"/>
      <c r="K110" s="141"/>
      <c r="L110" s="149"/>
    </row>
    <row r="111" spans="2:12" ht="19.7" customHeight="1" x14ac:dyDescent="0.25">
      <c r="B111" s="883"/>
      <c r="C111" s="70" t="s">
        <v>480</v>
      </c>
      <c r="D111" s="32" t="s">
        <v>214</v>
      </c>
      <c r="E111" s="24" t="s">
        <v>509</v>
      </c>
      <c r="F111" s="24" t="s">
        <v>502</v>
      </c>
      <c r="G111" s="23" t="s">
        <v>618</v>
      </c>
      <c r="H111" s="138">
        <v>473.14285714285717</v>
      </c>
      <c r="I111" s="23"/>
      <c r="J111" s="73"/>
      <c r="K111" s="141"/>
      <c r="L111" s="149"/>
    </row>
    <row r="112" spans="2:12" ht="19.7" customHeight="1" x14ac:dyDescent="0.25">
      <c r="B112" s="883"/>
      <c r="C112" s="70" t="s">
        <v>480</v>
      </c>
      <c r="D112" s="32" t="s">
        <v>216</v>
      </c>
      <c r="E112" s="24" t="s">
        <v>509</v>
      </c>
      <c r="F112" s="24" t="s">
        <v>502</v>
      </c>
      <c r="G112" s="23" t="s">
        <v>619</v>
      </c>
      <c r="H112" s="138">
        <v>85.714285714285708</v>
      </c>
      <c r="I112" s="23"/>
      <c r="J112" s="73"/>
      <c r="K112" s="141"/>
      <c r="L112" s="149"/>
    </row>
    <row r="113" spans="2:13" ht="19.7" customHeight="1" x14ac:dyDescent="0.25">
      <c r="B113" s="883"/>
      <c r="C113" s="70" t="s">
        <v>480</v>
      </c>
      <c r="D113" s="32" t="s">
        <v>218</v>
      </c>
      <c r="E113" s="24" t="s">
        <v>509</v>
      </c>
      <c r="F113" s="24" t="s">
        <v>502</v>
      </c>
      <c r="G113" s="23" t="s">
        <v>620</v>
      </c>
      <c r="H113" s="139">
        <v>145.71428571428572</v>
      </c>
      <c r="I113" s="23"/>
      <c r="J113" s="73"/>
      <c r="K113" s="141"/>
      <c r="L113" s="149"/>
    </row>
    <row r="114" spans="2:13" ht="19.7" customHeight="1" x14ac:dyDescent="0.25">
      <c r="B114" s="883"/>
      <c r="C114" s="70" t="s">
        <v>480</v>
      </c>
      <c r="D114" s="32" t="s">
        <v>220</v>
      </c>
      <c r="E114" s="24" t="s">
        <v>509</v>
      </c>
      <c r="F114" s="24" t="s">
        <v>502</v>
      </c>
      <c r="G114" s="23" t="s">
        <v>621</v>
      </c>
      <c r="H114" s="138">
        <v>72</v>
      </c>
      <c r="I114" s="23"/>
      <c r="J114" s="73"/>
      <c r="K114" s="141"/>
      <c r="L114" s="149"/>
    </row>
    <row r="115" spans="2:13" ht="19.7" customHeight="1" x14ac:dyDescent="0.25">
      <c r="B115" s="883"/>
      <c r="C115" s="70" t="s">
        <v>480</v>
      </c>
      <c r="D115" s="32" t="s">
        <v>222</v>
      </c>
      <c r="E115" s="24" t="s">
        <v>509</v>
      </c>
      <c r="F115" s="24" t="s">
        <v>502</v>
      </c>
      <c r="G115" s="23" t="s">
        <v>622</v>
      </c>
      <c r="H115" s="138">
        <v>855.42857142857144</v>
      </c>
      <c r="I115" s="23"/>
      <c r="J115" s="73"/>
      <c r="K115" s="141"/>
      <c r="L115" s="149"/>
    </row>
    <row r="116" spans="2:13" ht="19.7" customHeight="1" x14ac:dyDescent="0.25">
      <c r="B116" s="883"/>
      <c r="C116" s="70" t="s">
        <v>480</v>
      </c>
      <c r="D116" s="78" t="s">
        <v>419</v>
      </c>
      <c r="E116" s="24" t="s">
        <v>509</v>
      </c>
      <c r="F116" s="24" t="s">
        <v>502</v>
      </c>
      <c r="G116" s="23" t="s">
        <v>623</v>
      </c>
      <c r="H116" s="138">
        <v>317.14285714285717</v>
      </c>
      <c r="I116" s="23"/>
      <c r="J116" s="73"/>
      <c r="K116" s="141"/>
      <c r="L116" s="149"/>
    </row>
    <row r="117" spans="2:13" ht="19.7" customHeight="1" x14ac:dyDescent="0.25">
      <c r="B117" s="883"/>
      <c r="C117" s="70" t="s">
        <v>480</v>
      </c>
      <c r="D117" s="32" t="s">
        <v>224</v>
      </c>
      <c r="E117" s="24" t="s">
        <v>509</v>
      </c>
      <c r="F117" s="24" t="s">
        <v>502</v>
      </c>
      <c r="G117" s="23" t="s">
        <v>583</v>
      </c>
      <c r="H117" s="138">
        <v>169.71428571428572</v>
      </c>
      <c r="I117" s="23"/>
      <c r="J117" s="73"/>
      <c r="K117" s="141"/>
      <c r="L117" s="149"/>
    </row>
    <row r="118" spans="2:13" ht="19.7" customHeight="1" x14ac:dyDescent="0.25">
      <c r="B118" s="883"/>
      <c r="C118" s="70" t="s">
        <v>480</v>
      </c>
      <c r="D118" s="32" t="s">
        <v>225</v>
      </c>
      <c r="E118" s="24" t="s">
        <v>509</v>
      </c>
      <c r="F118" s="24" t="s">
        <v>502</v>
      </c>
      <c r="G118" s="23" t="s">
        <v>624</v>
      </c>
      <c r="H118" s="138">
        <v>248.57142857142858</v>
      </c>
      <c r="I118" s="23"/>
      <c r="J118" s="73"/>
      <c r="K118" s="141"/>
      <c r="L118" s="149"/>
    </row>
    <row r="119" spans="2:13" ht="19.7" customHeight="1" x14ac:dyDescent="0.25">
      <c r="B119" s="883"/>
      <c r="C119" s="70" t="s">
        <v>480</v>
      </c>
      <c r="D119" s="32" t="s">
        <v>443</v>
      </c>
      <c r="E119" s="24" t="s">
        <v>509</v>
      </c>
      <c r="F119" s="24" t="s">
        <v>502</v>
      </c>
      <c r="G119" s="23" t="s">
        <v>625</v>
      </c>
      <c r="H119" s="138">
        <v>0</v>
      </c>
      <c r="I119" s="23"/>
      <c r="J119" s="73"/>
      <c r="K119" s="141"/>
      <c r="L119" s="149"/>
    </row>
    <row r="120" spans="2:13" ht="19.7" customHeight="1" x14ac:dyDescent="0.25">
      <c r="B120" s="883"/>
      <c r="C120" s="70" t="s">
        <v>480</v>
      </c>
      <c r="D120" s="32"/>
      <c r="E120" s="24" t="s">
        <v>509</v>
      </c>
      <c r="F120" s="24" t="s">
        <v>502</v>
      </c>
      <c r="G120" s="23" t="s">
        <v>527</v>
      </c>
      <c r="H120" s="146">
        <f>SUM(H73:H119)</f>
        <v>11385.757142857143</v>
      </c>
      <c r="I120" s="23">
        <f t="shared" ref="I120:I152" si="6">+J120*2</f>
        <v>22771.514285714286</v>
      </c>
      <c r="J120" s="73">
        <f t="shared" ref="J120:J152" si="7">+H120</f>
        <v>11385.757142857143</v>
      </c>
      <c r="K120" s="141"/>
      <c r="L120" s="149"/>
    </row>
    <row r="121" spans="2:13" ht="19.7" customHeight="1" x14ac:dyDescent="0.25">
      <c r="B121" s="883"/>
      <c r="C121" s="70" t="s">
        <v>493</v>
      </c>
      <c r="D121" s="79" t="s">
        <v>437</v>
      </c>
      <c r="E121" s="23" t="s">
        <v>509</v>
      </c>
      <c r="F121" s="23" t="s">
        <v>497</v>
      </c>
      <c r="G121" s="23" t="s">
        <v>626</v>
      </c>
      <c r="H121" s="139">
        <f>76+198</f>
        <v>274</v>
      </c>
      <c r="I121" s="23">
        <f t="shared" si="6"/>
        <v>548</v>
      </c>
      <c r="J121" s="73">
        <f t="shared" si="7"/>
        <v>274</v>
      </c>
      <c r="K121" s="141"/>
      <c r="L121" s="149"/>
    </row>
    <row r="122" spans="2:13" ht="19.7" customHeight="1" x14ac:dyDescent="0.25">
      <c r="B122" s="883"/>
      <c r="C122" s="70" t="s">
        <v>493</v>
      </c>
      <c r="D122" s="78" t="s">
        <v>432</v>
      </c>
      <c r="E122" s="23" t="s">
        <v>509</v>
      </c>
      <c r="F122" s="23" t="s">
        <v>500</v>
      </c>
      <c r="G122" s="23" t="s">
        <v>627</v>
      </c>
      <c r="H122" s="139">
        <v>165.14285714285714</v>
      </c>
      <c r="I122" s="142">
        <f t="shared" si="6"/>
        <v>330.28571428571428</v>
      </c>
      <c r="J122" s="73">
        <f t="shared" si="7"/>
        <v>165.14285714285714</v>
      </c>
      <c r="K122" s="141"/>
      <c r="L122" s="149"/>
    </row>
    <row r="123" spans="2:13" ht="19.7" customHeight="1" x14ac:dyDescent="0.25">
      <c r="B123" s="883"/>
      <c r="C123" s="70" t="s">
        <v>493</v>
      </c>
      <c r="D123" s="78" t="s">
        <v>388</v>
      </c>
      <c r="E123" s="23" t="s">
        <v>509</v>
      </c>
      <c r="F123" s="23" t="s">
        <v>495</v>
      </c>
      <c r="G123" s="23" t="s">
        <v>628</v>
      </c>
      <c r="H123" s="139">
        <v>390.85714285714283</v>
      </c>
      <c r="I123" s="142">
        <f t="shared" si="6"/>
        <v>781.71428571428567</v>
      </c>
      <c r="J123" s="73">
        <f t="shared" si="7"/>
        <v>390.85714285714283</v>
      </c>
      <c r="K123" s="141"/>
      <c r="L123" s="149"/>
    </row>
    <row r="124" spans="2:13" ht="19.7" customHeight="1" x14ac:dyDescent="0.25">
      <c r="B124" s="883"/>
      <c r="C124" s="70" t="s">
        <v>493</v>
      </c>
      <c r="D124" s="32" t="s">
        <v>153</v>
      </c>
      <c r="E124" s="24" t="s">
        <v>509</v>
      </c>
      <c r="F124" s="24" t="s">
        <v>501</v>
      </c>
      <c r="G124" s="23" t="s">
        <v>629</v>
      </c>
      <c r="H124" s="138">
        <v>562.28571428571433</v>
      </c>
      <c r="I124" s="142">
        <f t="shared" si="6"/>
        <v>1124.5714285714287</v>
      </c>
      <c r="J124" s="73">
        <f t="shared" si="7"/>
        <v>562.28571428571433</v>
      </c>
      <c r="K124" s="141"/>
      <c r="L124" s="149"/>
    </row>
    <row r="125" spans="2:13" ht="19.7" customHeight="1" x14ac:dyDescent="0.25">
      <c r="B125" s="883"/>
      <c r="C125" s="70" t="s">
        <v>493</v>
      </c>
      <c r="D125" s="32" t="s">
        <v>181</v>
      </c>
      <c r="E125" s="24" t="s">
        <v>509</v>
      </c>
      <c r="F125" s="24" t="s">
        <v>501</v>
      </c>
      <c r="G125" s="23" t="s">
        <v>630</v>
      </c>
      <c r="H125" s="138">
        <v>1524</v>
      </c>
      <c r="I125" s="23">
        <f t="shared" si="6"/>
        <v>3048</v>
      </c>
      <c r="J125" s="73">
        <f t="shared" si="7"/>
        <v>1524</v>
      </c>
      <c r="K125" s="141"/>
      <c r="L125" s="149"/>
    </row>
    <row r="126" spans="2:13" ht="19.7" customHeight="1" x14ac:dyDescent="0.3">
      <c r="B126" s="883"/>
      <c r="C126" s="165" t="s">
        <v>468</v>
      </c>
      <c r="D126" s="166" t="s">
        <v>61</v>
      </c>
      <c r="E126" s="167" t="s">
        <v>509</v>
      </c>
      <c r="F126" s="167" t="s">
        <v>705</v>
      </c>
      <c r="G126" s="167" t="s">
        <v>695</v>
      </c>
      <c r="H126" s="139">
        <f>30089.1428571429+999</f>
        <v>31088.142857142899</v>
      </c>
      <c r="I126" s="167">
        <f t="shared" si="6"/>
        <v>62176.285714285797</v>
      </c>
      <c r="J126" s="168">
        <f t="shared" si="7"/>
        <v>31088.142857142899</v>
      </c>
      <c r="K126" s="177"/>
      <c r="L126" s="175"/>
      <c r="M126" s="179"/>
    </row>
    <row r="127" spans="2:13" ht="19.7" customHeight="1" x14ac:dyDescent="0.3">
      <c r="B127" s="883"/>
      <c r="C127" s="165" t="s">
        <v>467</v>
      </c>
      <c r="D127" s="166" t="s">
        <v>79</v>
      </c>
      <c r="E127" s="167" t="s">
        <v>509</v>
      </c>
      <c r="F127" s="167" t="s">
        <v>705</v>
      </c>
      <c r="G127" s="167" t="s">
        <v>696</v>
      </c>
      <c r="H127" s="139">
        <v>1808.5714285714287</v>
      </c>
      <c r="I127" s="170">
        <f t="shared" si="6"/>
        <v>3617.1428571428573</v>
      </c>
      <c r="J127" s="168">
        <f t="shared" si="7"/>
        <v>1808.5714285714287</v>
      </c>
      <c r="K127" s="177"/>
      <c r="L127" s="175"/>
      <c r="M127" s="179"/>
    </row>
    <row r="128" spans="2:13" ht="19.7" customHeight="1" x14ac:dyDescent="0.3">
      <c r="B128" s="883"/>
      <c r="C128" s="165" t="s">
        <v>467</v>
      </c>
      <c r="D128" s="166" t="s">
        <v>81</v>
      </c>
      <c r="E128" s="167" t="s">
        <v>509</v>
      </c>
      <c r="F128" s="167" t="s">
        <v>705</v>
      </c>
      <c r="G128" s="167" t="s">
        <v>697</v>
      </c>
      <c r="H128" s="139">
        <f>2022.85714285714+162</f>
        <v>2184.8571428571399</v>
      </c>
      <c r="I128" s="170">
        <f t="shared" si="6"/>
        <v>4369.7142857142799</v>
      </c>
      <c r="J128" s="168">
        <f t="shared" si="7"/>
        <v>2184.8571428571399</v>
      </c>
      <c r="K128" s="177"/>
      <c r="L128" s="175"/>
      <c r="M128" s="179"/>
    </row>
    <row r="129" spans="2:13" ht="19.7" customHeight="1" x14ac:dyDescent="0.3">
      <c r="B129" s="883"/>
      <c r="C129" s="165" t="s">
        <v>467</v>
      </c>
      <c r="D129" s="166" t="s">
        <v>93</v>
      </c>
      <c r="E129" s="167" t="s">
        <v>509</v>
      </c>
      <c r="F129" s="167" t="s">
        <v>705</v>
      </c>
      <c r="G129" s="167" t="s">
        <v>698</v>
      </c>
      <c r="H129" s="139">
        <v>2994.8571428571427</v>
      </c>
      <c r="I129" s="170">
        <f t="shared" si="6"/>
        <v>5989.7142857142853</v>
      </c>
      <c r="J129" s="168">
        <f t="shared" si="7"/>
        <v>2994.8571428571427</v>
      </c>
      <c r="K129" s="177"/>
      <c r="L129" s="175"/>
      <c r="M129" s="179"/>
    </row>
    <row r="130" spans="2:13" ht="19.7" customHeight="1" x14ac:dyDescent="0.25">
      <c r="B130" s="883"/>
      <c r="C130" s="70" t="s">
        <v>467</v>
      </c>
      <c r="D130" s="32" t="s">
        <v>95</v>
      </c>
      <c r="E130" s="23" t="s">
        <v>509</v>
      </c>
      <c r="F130" s="23" t="s">
        <v>495</v>
      </c>
      <c r="G130" s="23" t="s">
        <v>631</v>
      </c>
      <c r="H130" s="139">
        <v>912</v>
      </c>
      <c r="I130" s="23">
        <f t="shared" si="6"/>
        <v>1824</v>
      </c>
      <c r="J130" s="73">
        <f t="shared" si="7"/>
        <v>912</v>
      </c>
      <c r="K130" s="141"/>
      <c r="L130" s="149"/>
    </row>
    <row r="131" spans="2:13" ht="19.7" customHeight="1" x14ac:dyDescent="0.25">
      <c r="B131" s="883"/>
      <c r="C131" s="70" t="s">
        <v>471</v>
      </c>
      <c r="D131" s="32" t="s">
        <v>119</v>
      </c>
      <c r="E131" s="23" t="s">
        <v>509</v>
      </c>
      <c r="F131" s="23" t="s">
        <v>495</v>
      </c>
      <c r="G131" s="23" t="s">
        <v>632</v>
      </c>
      <c r="H131" s="139">
        <v>1486.8571428571429</v>
      </c>
      <c r="I131" s="142">
        <f t="shared" si="6"/>
        <v>2973.7142857142858</v>
      </c>
      <c r="J131" s="73">
        <f t="shared" si="7"/>
        <v>1486.8571428571429</v>
      </c>
      <c r="K131" s="141"/>
      <c r="L131" s="149"/>
    </row>
    <row r="132" spans="2:13" ht="19.7" customHeight="1" x14ac:dyDescent="0.3">
      <c r="B132" s="883"/>
      <c r="C132" s="165" t="s">
        <v>471</v>
      </c>
      <c r="D132" s="166" t="s">
        <v>117</v>
      </c>
      <c r="E132" s="167" t="s">
        <v>509</v>
      </c>
      <c r="F132" s="167" t="s">
        <v>705</v>
      </c>
      <c r="G132" s="167" t="s">
        <v>633</v>
      </c>
      <c r="H132" s="139">
        <v>373.71428571428572</v>
      </c>
      <c r="I132" s="170">
        <f t="shared" si="6"/>
        <v>747.42857142857144</v>
      </c>
      <c r="J132" s="168">
        <f t="shared" si="7"/>
        <v>373.71428571428572</v>
      </c>
      <c r="K132" s="177"/>
      <c r="L132" s="175"/>
      <c r="M132" s="179"/>
    </row>
    <row r="133" spans="2:13" ht="19.7" customHeight="1" x14ac:dyDescent="0.25">
      <c r="B133" s="883"/>
      <c r="C133" s="70" t="s">
        <v>471</v>
      </c>
      <c r="D133" s="32" t="s">
        <v>121</v>
      </c>
      <c r="E133" s="23" t="s">
        <v>509</v>
      </c>
      <c r="F133" s="23" t="s">
        <v>495</v>
      </c>
      <c r="G133" s="23" t="s">
        <v>634</v>
      </c>
      <c r="H133" s="139">
        <v>409.71428571428572</v>
      </c>
      <c r="I133" s="142">
        <f t="shared" si="6"/>
        <v>819.42857142857144</v>
      </c>
      <c r="J133" s="73">
        <f t="shared" si="7"/>
        <v>409.71428571428572</v>
      </c>
      <c r="K133" s="141"/>
      <c r="L133" s="149"/>
    </row>
    <row r="134" spans="2:13" ht="19.7" customHeight="1" x14ac:dyDescent="0.25">
      <c r="B134" s="883"/>
      <c r="C134" s="70" t="s">
        <v>471</v>
      </c>
      <c r="D134" s="32" t="s">
        <v>123</v>
      </c>
      <c r="E134" s="23" t="s">
        <v>509</v>
      </c>
      <c r="F134" s="23" t="s">
        <v>495</v>
      </c>
      <c r="G134" s="23" t="s">
        <v>635</v>
      </c>
      <c r="H134" s="139">
        <v>524.57142857142856</v>
      </c>
      <c r="I134" s="142">
        <f t="shared" si="6"/>
        <v>1049.1428571428571</v>
      </c>
      <c r="J134" s="73">
        <f t="shared" si="7"/>
        <v>524.57142857142856</v>
      </c>
      <c r="K134" s="141"/>
      <c r="L134" s="149"/>
    </row>
    <row r="135" spans="2:13" ht="19.7" customHeight="1" x14ac:dyDescent="0.3">
      <c r="B135" s="883"/>
      <c r="C135" s="165" t="s">
        <v>489</v>
      </c>
      <c r="D135" s="166" t="s">
        <v>127</v>
      </c>
      <c r="E135" s="167" t="s">
        <v>509</v>
      </c>
      <c r="F135" s="167" t="s">
        <v>705</v>
      </c>
      <c r="G135" s="167" t="s">
        <v>701</v>
      </c>
      <c r="H135" s="139">
        <v>1217.1428571428571</v>
      </c>
      <c r="I135" s="170">
        <f t="shared" si="6"/>
        <v>2434.2857142857142</v>
      </c>
      <c r="J135" s="168">
        <f t="shared" si="7"/>
        <v>1217.1428571428571</v>
      </c>
      <c r="K135" s="169"/>
      <c r="L135" s="157"/>
    </row>
    <row r="136" spans="2:13" ht="19.7" customHeight="1" x14ac:dyDescent="0.3">
      <c r="B136" s="883"/>
      <c r="C136" s="165" t="s">
        <v>489</v>
      </c>
      <c r="D136" s="166" t="s">
        <v>129</v>
      </c>
      <c r="E136" s="167" t="s">
        <v>509</v>
      </c>
      <c r="F136" s="167" t="s">
        <v>705</v>
      </c>
      <c r="G136" s="167" t="s">
        <v>700</v>
      </c>
      <c r="H136" s="139">
        <v>293.14285714285717</v>
      </c>
      <c r="I136" s="170">
        <f t="shared" si="6"/>
        <v>586.28571428571433</v>
      </c>
      <c r="J136" s="168">
        <f t="shared" si="7"/>
        <v>293.14285714285717</v>
      </c>
      <c r="K136" s="169"/>
      <c r="L136" s="157"/>
    </row>
    <row r="137" spans="2:13" ht="19.7" customHeight="1" x14ac:dyDescent="0.3">
      <c r="B137" s="883"/>
      <c r="C137" s="165" t="s">
        <v>489</v>
      </c>
      <c r="D137" s="166" t="s">
        <v>133</v>
      </c>
      <c r="E137" s="167" t="s">
        <v>509</v>
      </c>
      <c r="F137" s="167" t="s">
        <v>705</v>
      </c>
      <c r="G137" s="167" t="s">
        <v>699</v>
      </c>
      <c r="H137" s="139">
        <v>1393.7142857142858</v>
      </c>
      <c r="I137" s="170">
        <f t="shared" si="6"/>
        <v>2787.4285714285716</v>
      </c>
      <c r="J137" s="168">
        <f t="shared" si="7"/>
        <v>1393.7142857142858</v>
      </c>
      <c r="K137" s="169"/>
      <c r="L137" s="157"/>
    </row>
    <row r="138" spans="2:13" ht="19.7" customHeight="1" x14ac:dyDescent="0.25">
      <c r="B138" s="883"/>
      <c r="C138" s="70" t="s">
        <v>482</v>
      </c>
      <c r="D138" s="32" t="s">
        <v>59</v>
      </c>
      <c r="E138" s="23" t="s">
        <v>509</v>
      </c>
      <c r="F138" s="23" t="s">
        <v>495</v>
      </c>
      <c r="G138" s="23" t="s">
        <v>636</v>
      </c>
      <c r="H138" s="139">
        <v>6783.333333333333</v>
      </c>
      <c r="I138" s="23">
        <f t="shared" si="6"/>
        <v>13566.666666666666</v>
      </c>
      <c r="J138" s="73">
        <f t="shared" si="7"/>
        <v>6783.333333333333</v>
      </c>
      <c r="K138" s="141"/>
      <c r="L138" s="149"/>
    </row>
    <row r="139" spans="2:13" ht="19.7" customHeight="1" x14ac:dyDescent="0.25">
      <c r="B139" s="883"/>
      <c r="C139" s="70" t="s">
        <v>482</v>
      </c>
      <c r="D139" s="32" t="s">
        <v>135</v>
      </c>
      <c r="E139" s="23" t="s">
        <v>509</v>
      </c>
      <c r="F139" s="23" t="s">
        <v>495</v>
      </c>
      <c r="G139" s="23" t="s">
        <v>637</v>
      </c>
      <c r="H139" s="139">
        <f>3519.42857142857+608</f>
        <v>4127.4285714285706</v>
      </c>
      <c r="I139" s="142">
        <f t="shared" si="6"/>
        <v>8254.8571428571413</v>
      </c>
      <c r="J139" s="73">
        <f t="shared" si="7"/>
        <v>4127.4285714285706</v>
      </c>
      <c r="K139" s="141"/>
      <c r="L139" s="149"/>
    </row>
    <row r="140" spans="2:13" ht="19.7" customHeight="1" x14ac:dyDescent="0.25">
      <c r="B140" s="883"/>
      <c r="C140" s="70" t="s">
        <v>461</v>
      </c>
      <c r="D140" s="32" t="s">
        <v>75</v>
      </c>
      <c r="E140" s="23" t="s">
        <v>509</v>
      </c>
      <c r="F140" s="23" t="s">
        <v>495</v>
      </c>
      <c r="G140" s="23" t="s">
        <v>638</v>
      </c>
      <c r="H140" s="139">
        <v>185.14285714285714</v>
      </c>
      <c r="I140" s="142">
        <f t="shared" si="6"/>
        <v>370.28571428571428</v>
      </c>
      <c r="J140" s="73">
        <f t="shared" si="7"/>
        <v>185.14285714285714</v>
      </c>
      <c r="K140" s="141"/>
      <c r="L140" s="149"/>
    </row>
    <row r="141" spans="2:13" ht="19.7" customHeight="1" x14ac:dyDescent="0.25">
      <c r="B141" s="883"/>
      <c r="C141" s="70" t="s">
        <v>461</v>
      </c>
      <c r="D141" s="32" t="s">
        <v>77</v>
      </c>
      <c r="E141" s="23" t="s">
        <v>509</v>
      </c>
      <c r="F141" s="23" t="s">
        <v>495</v>
      </c>
      <c r="G141" s="23" t="s">
        <v>639</v>
      </c>
      <c r="H141" s="139">
        <v>2977.7142857142858</v>
      </c>
      <c r="I141" s="142">
        <f t="shared" si="6"/>
        <v>5955.4285714285716</v>
      </c>
      <c r="J141" s="73">
        <f t="shared" si="7"/>
        <v>2977.7142857142858</v>
      </c>
      <c r="K141" s="141"/>
      <c r="L141" s="149"/>
    </row>
    <row r="142" spans="2:13" ht="19.7" customHeight="1" x14ac:dyDescent="0.25">
      <c r="B142" s="883"/>
      <c r="C142" s="70" t="s">
        <v>461</v>
      </c>
      <c r="D142" s="78" t="s">
        <v>429</v>
      </c>
      <c r="E142" s="23" t="s">
        <v>509</v>
      </c>
      <c r="F142" s="23" t="s">
        <v>495</v>
      </c>
      <c r="G142" s="23" t="s">
        <v>640</v>
      </c>
      <c r="H142" s="139">
        <v>106.28571428571429</v>
      </c>
      <c r="I142" s="142">
        <f t="shared" si="6"/>
        <v>212.57142857142858</v>
      </c>
      <c r="J142" s="73">
        <f t="shared" si="7"/>
        <v>106.28571428571429</v>
      </c>
      <c r="K142" s="141"/>
      <c r="L142" s="149"/>
    </row>
    <row r="143" spans="2:13" ht="19.7" customHeight="1" x14ac:dyDescent="0.25">
      <c r="B143" s="883"/>
      <c r="C143" s="70" t="s">
        <v>472</v>
      </c>
      <c r="D143" s="32" t="s">
        <v>111</v>
      </c>
      <c r="E143" s="23" t="s">
        <v>509</v>
      </c>
      <c r="F143" s="23" t="s">
        <v>495</v>
      </c>
      <c r="G143" s="23" t="s">
        <v>641</v>
      </c>
      <c r="H143" s="139">
        <v>305.14285714285717</v>
      </c>
      <c r="I143" s="142">
        <f t="shared" si="6"/>
        <v>610.28571428571433</v>
      </c>
      <c r="J143" s="73">
        <f t="shared" si="7"/>
        <v>305.14285714285717</v>
      </c>
      <c r="K143" s="141"/>
      <c r="L143" s="149"/>
    </row>
    <row r="144" spans="2:13" ht="19.7" customHeight="1" x14ac:dyDescent="0.3">
      <c r="B144" s="883"/>
      <c r="C144" s="165" t="s">
        <v>472</v>
      </c>
      <c r="D144" s="166" t="s">
        <v>113</v>
      </c>
      <c r="E144" s="167" t="s">
        <v>509</v>
      </c>
      <c r="F144" s="167" t="s">
        <v>705</v>
      </c>
      <c r="G144" s="167" t="s">
        <v>642</v>
      </c>
      <c r="H144" s="139">
        <v>678.85714285714289</v>
      </c>
      <c r="I144" s="170">
        <f t="shared" si="6"/>
        <v>1357.7142857142858</v>
      </c>
      <c r="J144" s="168">
        <f t="shared" si="7"/>
        <v>678.85714285714289</v>
      </c>
      <c r="K144" s="177"/>
      <c r="L144" s="175"/>
      <c r="M144" s="179"/>
    </row>
    <row r="145" spans="2:16" ht="19.7" customHeight="1" x14ac:dyDescent="0.3">
      <c r="B145" s="883"/>
      <c r="C145" s="165" t="s">
        <v>472</v>
      </c>
      <c r="D145" s="166" t="s">
        <v>115</v>
      </c>
      <c r="E145" s="167" t="s">
        <v>509</v>
      </c>
      <c r="F145" s="167" t="s">
        <v>705</v>
      </c>
      <c r="G145" s="167" t="s">
        <v>643</v>
      </c>
      <c r="H145" s="139">
        <v>474.85714285714283</v>
      </c>
      <c r="I145" s="170">
        <f t="shared" si="6"/>
        <v>949.71428571428567</v>
      </c>
      <c r="J145" s="168">
        <f t="shared" si="7"/>
        <v>474.85714285714283</v>
      </c>
      <c r="K145" s="177"/>
      <c r="L145" s="175"/>
      <c r="M145" s="179"/>
    </row>
    <row r="146" spans="2:16" ht="19.7" customHeight="1" x14ac:dyDescent="0.25">
      <c r="B146" s="883"/>
      <c r="C146" s="70" t="s">
        <v>472</v>
      </c>
      <c r="D146" s="32" t="s">
        <v>109</v>
      </c>
      <c r="E146" s="23" t="s">
        <v>509</v>
      </c>
      <c r="F146" s="23" t="s">
        <v>495</v>
      </c>
      <c r="G146" s="23" t="s">
        <v>644</v>
      </c>
      <c r="H146" s="139">
        <v>46.285714285714285</v>
      </c>
      <c r="I146" s="142">
        <f t="shared" si="6"/>
        <v>92.571428571428569</v>
      </c>
      <c r="J146" s="73">
        <f t="shared" si="7"/>
        <v>46.285714285714285</v>
      </c>
      <c r="K146" s="141"/>
      <c r="L146" s="149"/>
    </row>
    <row r="147" spans="2:16" ht="19.7" customHeight="1" x14ac:dyDescent="0.25">
      <c r="B147" s="883"/>
      <c r="C147" s="70" t="s">
        <v>481</v>
      </c>
      <c r="D147" s="32" t="s">
        <v>47</v>
      </c>
      <c r="E147" s="23" t="s">
        <v>509</v>
      </c>
      <c r="F147" s="23" t="s">
        <v>495</v>
      </c>
      <c r="G147" s="23" t="s">
        <v>645</v>
      </c>
      <c r="H147" s="139">
        <v>70.285714285714292</v>
      </c>
      <c r="I147" s="142">
        <f t="shared" si="6"/>
        <v>140.57142857142858</v>
      </c>
      <c r="J147" s="73">
        <f t="shared" si="7"/>
        <v>70.285714285714292</v>
      </c>
      <c r="K147" s="141"/>
      <c r="L147" s="149"/>
    </row>
    <row r="148" spans="2:16" ht="19.7" customHeight="1" x14ac:dyDescent="0.3">
      <c r="B148" s="883"/>
      <c r="C148" s="165" t="s">
        <v>481</v>
      </c>
      <c r="D148" s="166" t="s">
        <v>39</v>
      </c>
      <c r="E148" s="167" t="s">
        <v>509</v>
      </c>
      <c r="F148" s="167" t="s">
        <v>705</v>
      </c>
      <c r="G148" s="167" t="s">
        <v>554</v>
      </c>
      <c r="H148" s="139">
        <v>5170.2857142857147</v>
      </c>
      <c r="I148" s="167">
        <f t="shared" si="6"/>
        <v>10340.571428571429</v>
      </c>
      <c r="J148" s="168">
        <f t="shared" si="7"/>
        <v>5170.2857142857147</v>
      </c>
      <c r="K148" s="177"/>
      <c r="L148" s="175"/>
      <c r="M148" s="179"/>
      <c r="P148" s="67"/>
    </row>
    <row r="149" spans="2:16" ht="19.7" customHeight="1" x14ac:dyDescent="0.25">
      <c r="B149" s="883"/>
      <c r="C149" s="70" t="s">
        <v>481</v>
      </c>
      <c r="D149" s="32" t="s">
        <v>45</v>
      </c>
      <c r="E149" s="23" t="s">
        <v>509</v>
      </c>
      <c r="F149" s="23" t="s">
        <v>495</v>
      </c>
      <c r="G149" s="23" t="s">
        <v>646</v>
      </c>
      <c r="H149" s="139">
        <v>584.57142857142856</v>
      </c>
      <c r="I149" s="142">
        <f t="shared" si="6"/>
        <v>1169.1428571428571</v>
      </c>
      <c r="J149" s="73">
        <f t="shared" si="7"/>
        <v>584.57142857142856</v>
      </c>
      <c r="K149" s="141"/>
      <c r="L149" s="149"/>
    </row>
    <row r="150" spans="2:16" ht="19.7" customHeight="1" x14ac:dyDescent="0.25">
      <c r="B150" s="883"/>
      <c r="C150" s="70" t="s">
        <v>481</v>
      </c>
      <c r="D150" s="32" t="s">
        <v>37</v>
      </c>
      <c r="E150" s="23" t="s">
        <v>509</v>
      </c>
      <c r="F150" s="23" t="s">
        <v>495</v>
      </c>
      <c r="G150" s="23" t="s">
        <v>647</v>
      </c>
      <c r="H150" s="139">
        <v>594.85714285714289</v>
      </c>
      <c r="I150" s="142">
        <f t="shared" si="6"/>
        <v>1189.7142857142858</v>
      </c>
      <c r="J150" s="73">
        <f t="shared" si="7"/>
        <v>594.85714285714289</v>
      </c>
      <c r="K150" s="141"/>
      <c r="L150" s="149"/>
    </row>
    <row r="151" spans="2:16" ht="19.7" customHeight="1" x14ac:dyDescent="0.25">
      <c r="B151" s="883"/>
      <c r="C151" s="70"/>
      <c r="D151" s="32"/>
      <c r="E151" s="167" t="s">
        <v>509</v>
      </c>
      <c r="F151" s="23"/>
      <c r="G151" s="23" t="s">
        <v>647</v>
      </c>
      <c r="H151" s="139"/>
      <c r="I151" s="170">
        <v>1190</v>
      </c>
      <c r="J151" s="168">
        <v>595</v>
      </c>
      <c r="K151" s="178"/>
      <c r="L151" s="176"/>
      <c r="M151" s="180"/>
    </row>
    <row r="152" spans="2:16" ht="19.7" customHeight="1" x14ac:dyDescent="0.3">
      <c r="B152" s="883"/>
      <c r="C152" s="165" t="s">
        <v>473</v>
      </c>
      <c r="D152" s="166" t="s">
        <v>55</v>
      </c>
      <c r="E152" s="167" t="s">
        <v>509</v>
      </c>
      <c r="F152" s="167" t="s">
        <v>705</v>
      </c>
      <c r="G152" s="167" t="s">
        <v>648</v>
      </c>
      <c r="H152" s="139">
        <v>6708.1428571428569</v>
      </c>
      <c r="I152" s="167">
        <f t="shared" si="6"/>
        <v>13416.285714285714</v>
      </c>
      <c r="J152" s="168">
        <f t="shared" si="7"/>
        <v>6708.1428571428569</v>
      </c>
      <c r="K152" s="177"/>
      <c r="L152" s="175"/>
      <c r="M152" s="179"/>
    </row>
    <row r="153" spans="2:16" ht="19.7" customHeight="1" x14ac:dyDescent="0.25">
      <c r="B153" s="883"/>
      <c r="C153" s="70" t="s">
        <v>473</v>
      </c>
      <c r="D153" s="32" t="s">
        <v>71</v>
      </c>
      <c r="E153" s="23" t="s">
        <v>509</v>
      </c>
      <c r="F153" s="23" t="s">
        <v>495</v>
      </c>
      <c r="G153" s="23" t="s">
        <v>649</v>
      </c>
      <c r="H153" s="139">
        <v>598.28571428571433</v>
      </c>
      <c r="I153" s="142">
        <f t="shared" ref="I153:I184" si="8">+J153*2</f>
        <v>1196.5714285714287</v>
      </c>
      <c r="J153" s="73">
        <f t="shared" ref="J153:J184" si="9">+H153</f>
        <v>598.28571428571433</v>
      </c>
      <c r="K153" s="141"/>
      <c r="L153" s="149"/>
    </row>
    <row r="154" spans="2:16" ht="19.7" customHeight="1" x14ac:dyDescent="0.3">
      <c r="B154" s="883"/>
      <c r="C154" s="165" t="s">
        <v>473</v>
      </c>
      <c r="D154" s="166" t="s">
        <v>57</v>
      </c>
      <c r="E154" s="167" t="s">
        <v>509</v>
      </c>
      <c r="F154" s="167" t="s">
        <v>705</v>
      </c>
      <c r="G154" s="167" t="s">
        <v>650</v>
      </c>
      <c r="H154" s="139">
        <f>7913.14285714286+612</f>
        <v>8525.1428571428587</v>
      </c>
      <c r="I154" s="137">
        <f t="shared" si="8"/>
        <v>17050.285714285717</v>
      </c>
      <c r="J154" s="173">
        <f t="shared" si="9"/>
        <v>8525.1428571428587</v>
      </c>
      <c r="K154" s="177"/>
      <c r="L154" s="175"/>
      <c r="M154" s="179"/>
    </row>
    <row r="155" spans="2:16" ht="19.7" customHeight="1" x14ac:dyDescent="0.3">
      <c r="B155" s="883"/>
      <c r="C155" s="165" t="s">
        <v>475</v>
      </c>
      <c r="D155" s="166" t="s">
        <v>67</v>
      </c>
      <c r="E155" s="167" t="s">
        <v>509</v>
      </c>
      <c r="F155" s="167" t="s">
        <v>705</v>
      </c>
      <c r="G155" s="167" t="s">
        <v>651</v>
      </c>
      <c r="H155" s="139">
        <v>925.71428571428567</v>
      </c>
      <c r="I155" s="170">
        <f t="shared" si="8"/>
        <v>1851.4285714285713</v>
      </c>
      <c r="J155" s="168">
        <f t="shared" si="9"/>
        <v>925.71428571428567</v>
      </c>
      <c r="K155" s="177"/>
      <c r="L155" s="175"/>
      <c r="M155" s="179"/>
    </row>
    <row r="156" spans="2:16" ht="19.7" customHeight="1" x14ac:dyDescent="0.3">
      <c r="B156" s="883"/>
      <c r="C156" s="165" t="s">
        <v>475</v>
      </c>
      <c r="D156" s="166" t="s">
        <v>65</v>
      </c>
      <c r="E156" s="167" t="s">
        <v>509</v>
      </c>
      <c r="F156" s="167" t="s">
        <v>705</v>
      </c>
      <c r="G156" s="167" t="s">
        <v>652</v>
      </c>
      <c r="H156" s="139">
        <v>627.42857142857144</v>
      </c>
      <c r="I156" s="170">
        <f t="shared" si="8"/>
        <v>1254.8571428571429</v>
      </c>
      <c r="J156" s="168">
        <f t="shared" si="9"/>
        <v>627.42857142857144</v>
      </c>
      <c r="K156" s="177"/>
      <c r="L156" s="175"/>
      <c r="M156" s="179"/>
    </row>
    <row r="157" spans="2:16" ht="19.7" customHeight="1" x14ac:dyDescent="0.25">
      <c r="B157" s="883"/>
      <c r="C157" s="70" t="s">
        <v>475</v>
      </c>
      <c r="D157" s="32" t="s">
        <v>69</v>
      </c>
      <c r="E157" s="23" t="s">
        <v>509</v>
      </c>
      <c r="F157" s="23" t="s">
        <v>495</v>
      </c>
      <c r="G157" s="23" t="s">
        <v>653</v>
      </c>
      <c r="H157" s="139">
        <v>913.71428571428567</v>
      </c>
      <c r="I157" s="142">
        <f t="shared" si="8"/>
        <v>1827.4285714285713</v>
      </c>
      <c r="J157" s="73">
        <f t="shared" si="9"/>
        <v>913.71428571428567</v>
      </c>
      <c r="K157" s="141"/>
      <c r="L157" s="149"/>
    </row>
    <row r="158" spans="2:16" ht="19.7" customHeight="1" x14ac:dyDescent="0.3">
      <c r="B158" s="883"/>
      <c r="C158" s="165" t="s">
        <v>463</v>
      </c>
      <c r="D158" s="166" t="s">
        <v>33</v>
      </c>
      <c r="E158" s="167" t="s">
        <v>509</v>
      </c>
      <c r="F158" s="167" t="s">
        <v>705</v>
      </c>
      <c r="G158" s="167" t="s">
        <v>654</v>
      </c>
      <c r="H158" s="139">
        <v>618.85714285714289</v>
      </c>
      <c r="I158" s="170">
        <f t="shared" si="8"/>
        <v>1237.7142857142858</v>
      </c>
      <c r="J158" s="168">
        <f t="shared" si="9"/>
        <v>618.85714285714289</v>
      </c>
      <c r="K158" s="177"/>
      <c r="L158" s="175"/>
      <c r="M158" s="179"/>
    </row>
    <row r="159" spans="2:16" ht="19.7" customHeight="1" x14ac:dyDescent="0.3">
      <c r="B159" s="883"/>
      <c r="C159" s="165" t="s">
        <v>463</v>
      </c>
      <c r="D159" s="166" t="s">
        <v>31</v>
      </c>
      <c r="E159" s="167" t="s">
        <v>509</v>
      </c>
      <c r="F159" s="167" t="s">
        <v>705</v>
      </c>
      <c r="G159" s="167" t="s">
        <v>702</v>
      </c>
      <c r="H159" s="139">
        <v>406.28571428571428</v>
      </c>
      <c r="I159" s="170">
        <f t="shared" si="8"/>
        <v>812.57142857142856</v>
      </c>
      <c r="J159" s="168">
        <f t="shared" si="9"/>
        <v>406.28571428571428</v>
      </c>
      <c r="K159" s="177"/>
      <c r="L159" s="175"/>
      <c r="M159" s="179"/>
    </row>
    <row r="160" spans="2:16" ht="19.7" customHeight="1" x14ac:dyDescent="0.25">
      <c r="B160" s="883"/>
      <c r="C160" s="70" t="s">
        <v>463</v>
      </c>
      <c r="D160" s="32" t="s">
        <v>49</v>
      </c>
      <c r="E160" s="23" t="s">
        <v>509</v>
      </c>
      <c r="F160" s="23" t="s">
        <v>495</v>
      </c>
      <c r="G160" s="23" t="s">
        <v>655</v>
      </c>
      <c r="H160" s="139">
        <v>38.4</v>
      </c>
      <c r="I160" s="23">
        <f t="shared" si="8"/>
        <v>76.8</v>
      </c>
      <c r="J160" s="73">
        <f t="shared" si="9"/>
        <v>38.4</v>
      </c>
      <c r="K160" s="141"/>
      <c r="L160" s="149"/>
    </row>
    <row r="161" spans="2:13" ht="19.7" customHeight="1" x14ac:dyDescent="0.3">
      <c r="B161" s="883"/>
      <c r="C161" s="165" t="s">
        <v>463</v>
      </c>
      <c r="D161" s="166" t="s">
        <v>51</v>
      </c>
      <c r="E161" s="167" t="s">
        <v>509</v>
      </c>
      <c r="F161" s="167" t="s">
        <v>705</v>
      </c>
      <c r="G161" s="167" t="s">
        <v>656</v>
      </c>
      <c r="H161" s="139">
        <v>692.57142857142856</v>
      </c>
      <c r="I161" s="170">
        <f t="shared" si="8"/>
        <v>1385.1428571428571</v>
      </c>
      <c r="J161" s="168">
        <f t="shared" si="9"/>
        <v>692.57142857142856</v>
      </c>
      <c r="K161" s="177"/>
      <c r="L161" s="175"/>
      <c r="M161" s="179"/>
    </row>
    <row r="162" spans="2:13" ht="19.7" customHeight="1" x14ac:dyDescent="0.25">
      <c r="B162" s="883"/>
      <c r="C162" s="70" t="s">
        <v>479</v>
      </c>
      <c r="D162" s="32" t="s">
        <v>105</v>
      </c>
      <c r="E162" s="23" t="s">
        <v>509</v>
      </c>
      <c r="F162" s="23" t="s">
        <v>495</v>
      </c>
      <c r="G162" s="23" t="s">
        <v>657</v>
      </c>
      <c r="H162" s="139">
        <f>7470.85714285714+400</f>
        <v>7870.8571428571404</v>
      </c>
      <c r="I162" s="23">
        <f t="shared" si="8"/>
        <v>15741.714285714281</v>
      </c>
      <c r="J162" s="73">
        <f t="shared" si="9"/>
        <v>7870.8571428571404</v>
      </c>
      <c r="K162" s="141"/>
      <c r="L162" s="149"/>
    </row>
    <row r="163" spans="2:13" ht="19.7" customHeight="1" x14ac:dyDescent="0.25">
      <c r="B163" s="883"/>
      <c r="C163" s="70" t="s">
        <v>479</v>
      </c>
      <c r="D163" s="32" t="s">
        <v>107</v>
      </c>
      <c r="E163" s="23" t="s">
        <v>509</v>
      </c>
      <c r="F163" s="23" t="s">
        <v>495</v>
      </c>
      <c r="G163" s="23" t="s">
        <v>658</v>
      </c>
      <c r="H163" s="139">
        <f>5576+296</f>
        <v>5872</v>
      </c>
      <c r="I163" s="23">
        <f t="shared" si="8"/>
        <v>11744</v>
      </c>
      <c r="J163" s="73">
        <f t="shared" si="9"/>
        <v>5872</v>
      </c>
      <c r="K163" s="141"/>
      <c r="L163" s="149"/>
    </row>
    <row r="164" spans="2:13" ht="19.7" customHeight="1" x14ac:dyDescent="0.25">
      <c r="B164" s="883"/>
      <c r="C164" s="70" t="s">
        <v>458</v>
      </c>
      <c r="D164" s="32">
        <v>17</v>
      </c>
      <c r="E164" s="23" t="s">
        <v>511</v>
      </c>
      <c r="F164" s="23" t="s">
        <v>495</v>
      </c>
      <c r="G164" s="23" t="s">
        <v>659</v>
      </c>
      <c r="H164" s="139">
        <v>106.28571428571429</v>
      </c>
      <c r="I164" s="142">
        <f t="shared" si="8"/>
        <v>212.57142857142858</v>
      </c>
      <c r="J164" s="73">
        <f t="shared" si="9"/>
        <v>106.28571428571429</v>
      </c>
      <c r="K164" s="141"/>
      <c r="L164" s="149"/>
    </row>
    <row r="165" spans="2:13" ht="19.7" customHeight="1" x14ac:dyDescent="0.25">
      <c r="B165" s="883"/>
      <c r="C165" s="70" t="s">
        <v>458</v>
      </c>
      <c r="D165" s="32">
        <v>18</v>
      </c>
      <c r="E165" s="23" t="s">
        <v>511</v>
      </c>
      <c r="F165" s="23" t="s">
        <v>495</v>
      </c>
      <c r="G165" s="23" t="s">
        <v>562</v>
      </c>
      <c r="H165" s="139">
        <v>48</v>
      </c>
      <c r="I165" s="23">
        <f t="shared" si="8"/>
        <v>96</v>
      </c>
      <c r="J165" s="73">
        <f t="shared" si="9"/>
        <v>48</v>
      </c>
      <c r="K165" s="141"/>
      <c r="L165" s="149"/>
    </row>
    <row r="166" spans="2:13" ht="19.7" customHeight="1" x14ac:dyDescent="0.25">
      <c r="B166" s="883"/>
      <c r="C166" s="70" t="s">
        <v>457</v>
      </c>
      <c r="D166" s="32">
        <v>14</v>
      </c>
      <c r="E166" s="23" t="s">
        <v>511</v>
      </c>
      <c r="F166" s="23" t="s">
        <v>495</v>
      </c>
      <c r="G166" s="23" t="s">
        <v>660</v>
      </c>
      <c r="H166" s="139">
        <v>72</v>
      </c>
      <c r="I166" s="23">
        <f t="shared" si="8"/>
        <v>144</v>
      </c>
      <c r="J166" s="73">
        <f t="shared" si="9"/>
        <v>72</v>
      </c>
      <c r="K166" s="141"/>
      <c r="L166" s="149"/>
    </row>
    <row r="167" spans="2:13" ht="19.7" customHeight="1" x14ac:dyDescent="0.25">
      <c r="B167" s="883"/>
      <c r="C167" s="70" t="s">
        <v>457</v>
      </c>
      <c r="D167" s="32">
        <v>15</v>
      </c>
      <c r="E167" s="23" t="s">
        <v>511</v>
      </c>
      <c r="F167" s="23" t="s">
        <v>495</v>
      </c>
      <c r="G167" s="23" t="s">
        <v>661</v>
      </c>
      <c r="H167" s="139">
        <v>216</v>
      </c>
      <c r="I167" s="23">
        <f t="shared" si="8"/>
        <v>432</v>
      </c>
      <c r="J167" s="73">
        <f t="shared" si="9"/>
        <v>216</v>
      </c>
      <c r="K167" s="141"/>
      <c r="L167" s="149"/>
    </row>
    <row r="168" spans="2:13" ht="19.7" customHeight="1" x14ac:dyDescent="0.25">
      <c r="B168" s="883"/>
      <c r="C168" s="70" t="s">
        <v>456</v>
      </c>
      <c r="D168" s="32">
        <v>12</v>
      </c>
      <c r="E168" s="23" t="s">
        <v>511</v>
      </c>
      <c r="F168" s="23" t="s">
        <v>495</v>
      </c>
      <c r="G168" s="23" t="s">
        <v>662</v>
      </c>
      <c r="H168" s="139">
        <v>30</v>
      </c>
      <c r="I168" s="23">
        <f t="shared" si="8"/>
        <v>60</v>
      </c>
      <c r="J168" s="73">
        <f t="shared" si="9"/>
        <v>30</v>
      </c>
      <c r="K168" s="141"/>
      <c r="L168" s="149"/>
    </row>
    <row r="169" spans="2:13" ht="19.7" customHeight="1" x14ac:dyDescent="0.25">
      <c r="B169" s="883"/>
      <c r="C169" s="70" t="s">
        <v>456</v>
      </c>
      <c r="D169" s="32">
        <v>13</v>
      </c>
      <c r="E169" s="23" t="s">
        <v>511</v>
      </c>
      <c r="F169" s="23" t="s">
        <v>495</v>
      </c>
      <c r="G169" s="23" t="s">
        <v>663</v>
      </c>
      <c r="H169" s="139">
        <v>16</v>
      </c>
      <c r="I169" s="23">
        <f t="shared" si="8"/>
        <v>32</v>
      </c>
      <c r="J169" s="73">
        <f t="shared" si="9"/>
        <v>16</v>
      </c>
      <c r="K169" s="141"/>
      <c r="L169" s="149"/>
    </row>
    <row r="170" spans="2:13" ht="19.7" customHeight="1" x14ac:dyDescent="0.3">
      <c r="B170" s="883"/>
      <c r="C170" s="165" t="s">
        <v>456</v>
      </c>
      <c r="D170" s="166">
        <v>11</v>
      </c>
      <c r="E170" s="167" t="s">
        <v>511</v>
      </c>
      <c r="F170" s="167" t="s">
        <v>705</v>
      </c>
      <c r="G170" s="167" t="s">
        <v>704</v>
      </c>
      <c r="H170" s="139">
        <v>349.71428571428572</v>
      </c>
      <c r="I170" s="170">
        <f t="shared" si="8"/>
        <v>699.42857142857144</v>
      </c>
      <c r="J170" s="168">
        <f t="shared" si="9"/>
        <v>349.71428571428572</v>
      </c>
      <c r="K170" s="169"/>
      <c r="L170" s="157"/>
      <c r="M170" s="67"/>
    </row>
    <row r="171" spans="2:13" ht="19.7" customHeight="1" x14ac:dyDescent="0.25">
      <c r="B171" s="883"/>
      <c r="C171" s="70" t="s">
        <v>455</v>
      </c>
      <c r="D171" s="32">
        <v>6</v>
      </c>
      <c r="E171" s="23" t="s">
        <v>511</v>
      </c>
      <c r="F171" s="23" t="s">
        <v>495</v>
      </c>
      <c r="G171" s="23" t="s">
        <v>664</v>
      </c>
      <c r="H171" s="139">
        <v>30</v>
      </c>
      <c r="I171" s="23">
        <f t="shared" si="8"/>
        <v>60</v>
      </c>
      <c r="J171" s="73">
        <f t="shared" si="9"/>
        <v>30</v>
      </c>
      <c r="K171" s="141"/>
      <c r="L171" s="149"/>
    </row>
    <row r="172" spans="2:13" ht="19.7" customHeight="1" x14ac:dyDescent="0.25">
      <c r="B172" s="883"/>
      <c r="C172" s="70" t="s">
        <v>455</v>
      </c>
      <c r="D172" s="32">
        <v>7</v>
      </c>
      <c r="E172" s="23" t="s">
        <v>511</v>
      </c>
      <c r="F172" s="23" t="s">
        <v>495</v>
      </c>
      <c r="G172" s="23" t="s">
        <v>665</v>
      </c>
      <c r="H172" s="139">
        <v>36</v>
      </c>
      <c r="I172" s="23">
        <f t="shared" si="8"/>
        <v>72</v>
      </c>
      <c r="J172" s="73">
        <f t="shared" si="9"/>
        <v>36</v>
      </c>
      <c r="K172" s="141"/>
      <c r="L172" s="149"/>
    </row>
    <row r="173" spans="2:13" ht="19.7" customHeight="1" x14ac:dyDescent="0.25">
      <c r="B173" s="883"/>
      <c r="C173" s="70" t="s">
        <v>455</v>
      </c>
      <c r="D173" s="32">
        <v>8</v>
      </c>
      <c r="E173" s="23" t="s">
        <v>511</v>
      </c>
      <c r="F173" s="23" t="s">
        <v>495</v>
      </c>
      <c r="G173" s="23" t="s">
        <v>666</v>
      </c>
      <c r="H173" s="139">
        <v>109.71428571428571</v>
      </c>
      <c r="I173" s="142">
        <f t="shared" si="8"/>
        <v>219.42857142857142</v>
      </c>
      <c r="J173" s="73">
        <f t="shared" si="9"/>
        <v>109.71428571428571</v>
      </c>
      <c r="K173" s="141"/>
      <c r="L173" s="149"/>
    </row>
    <row r="174" spans="2:13" ht="19.7" customHeight="1" x14ac:dyDescent="0.3">
      <c r="B174" s="883"/>
      <c r="C174" s="165" t="s">
        <v>454</v>
      </c>
      <c r="D174" s="166">
        <v>1</v>
      </c>
      <c r="E174" s="167" t="s">
        <v>511</v>
      </c>
      <c r="F174" s="167" t="s">
        <v>705</v>
      </c>
      <c r="G174" s="167" t="s">
        <v>703</v>
      </c>
      <c r="H174" s="139">
        <v>828</v>
      </c>
      <c r="I174" s="167">
        <f t="shared" si="8"/>
        <v>1656</v>
      </c>
      <c r="J174" s="168">
        <f t="shared" si="9"/>
        <v>828</v>
      </c>
      <c r="K174" s="169"/>
      <c r="L174" s="157"/>
      <c r="M174" s="67"/>
    </row>
    <row r="175" spans="2:13" ht="19.7" customHeight="1" x14ac:dyDescent="0.25">
      <c r="B175" s="883"/>
      <c r="C175" s="70" t="s">
        <v>454</v>
      </c>
      <c r="D175" s="32">
        <v>2</v>
      </c>
      <c r="E175" s="23" t="s">
        <v>511</v>
      </c>
      <c r="F175" s="23" t="s">
        <v>495</v>
      </c>
      <c r="G175" s="23" t="s">
        <v>667</v>
      </c>
      <c r="H175" s="139">
        <v>98</v>
      </c>
      <c r="I175" s="23">
        <f t="shared" si="8"/>
        <v>196</v>
      </c>
      <c r="J175" s="73">
        <f t="shared" si="9"/>
        <v>98</v>
      </c>
      <c r="K175" s="141"/>
      <c r="L175" s="149"/>
    </row>
    <row r="176" spans="2:13" ht="19.7" customHeight="1" x14ac:dyDescent="0.25">
      <c r="B176" s="883"/>
      <c r="C176" s="70" t="s">
        <v>454</v>
      </c>
      <c r="D176" s="32">
        <v>3</v>
      </c>
      <c r="E176" s="23" t="s">
        <v>511</v>
      </c>
      <c r="F176" s="23" t="s">
        <v>495</v>
      </c>
      <c r="G176" s="23" t="s">
        <v>668</v>
      </c>
      <c r="H176" s="139">
        <v>76</v>
      </c>
      <c r="I176" s="23">
        <f t="shared" si="8"/>
        <v>152</v>
      </c>
      <c r="J176" s="73">
        <f t="shared" si="9"/>
        <v>76</v>
      </c>
      <c r="K176" s="141"/>
      <c r="L176" s="149"/>
    </row>
    <row r="177" spans="2:12" ht="19.7" customHeight="1" x14ac:dyDescent="0.25">
      <c r="B177" s="883"/>
      <c r="C177" s="70" t="s">
        <v>454</v>
      </c>
      <c r="D177" s="32">
        <v>4</v>
      </c>
      <c r="E177" s="23" t="s">
        <v>511</v>
      </c>
      <c r="F177" s="23" t="s">
        <v>495</v>
      </c>
      <c r="G177" s="23" t="s">
        <v>669</v>
      </c>
      <c r="H177" s="139">
        <v>182.4</v>
      </c>
      <c r="I177" s="142">
        <f t="shared" si="8"/>
        <v>364.8</v>
      </c>
      <c r="J177" s="73">
        <f t="shared" si="9"/>
        <v>182.4</v>
      </c>
      <c r="K177" s="141"/>
      <c r="L177" s="149"/>
    </row>
    <row r="178" spans="2:12" ht="19.7" customHeight="1" x14ac:dyDescent="0.25">
      <c r="B178" s="883"/>
      <c r="C178" s="70" t="s">
        <v>454</v>
      </c>
      <c r="D178" s="32">
        <v>5</v>
      </c>
      <c r="E178" s="23" t="s">
        <v>511</v>
      </c>
      <c r="F178" s="23" t="s">
        <v>495</v>
      </c>
      <c r="G178" s="23" t="s">
        <v>670</v>
      </c>
      <c r="H178" s="139">
        <v>70.285714285714292</v>
      </c>
      <c r="I178" s="142">
        <f t="shared" si="8"/>
        <v>140.57142857142858</v>
      </c>
      <c r="J178" s="73">
        <f t="shared" si="9"/>
        <v>70.285714285714292</v>
      </c>
      <c r="K178" s="141"/>
      <c r="L178" s="149"/>
    </row>
    <row r="179" spans="2:12" ht="19.7" customHeight="1" x14ac:dyDescent="0.25">
      <c r="B179" s="883"/>
      <c r="C179" s="70" t="s">
        <v>485</v>
      </c>
      <c r="D179" s="32" t="s">
        <v>363</v>
      </c>
      <c r="E179" s="23" t="s">
        <v>452</v>
      </c>
      <c r="F179" s="23" t="s">
        <v>478</v>
      </c>
      <c r="G179" s="23" t="s">
        <v>671</v>
      </c>
      <c r="H179" s="139">
        <v>685.71428571428567</v>
      </c>
      <c r="I179" s="142">
        <f t="shared" si="8"/>
        <v>1371.4285714285713</v>
      </c>
      <c r="J179" s="73">
        <f t="shared" si="9"/>
        <v>685.71428571428567</v>
      </c>
      <c r="K179" s="141"/>
      <c r="L179" s="149"/>
    </row>
    <row r="180" spans="2:12" ht="19.7" customHeight="1" x14ac:dyDescent="0.25">
      <c r="B180" s="883"/>
      <c r="C180" s="70" t="s">
        <v>486</v>
      </c>
      <c r="D180" s="32" t="s">
        <v>364</v>
      </c>
      <c r="E180" s="23" t="s">
        <v>452</v>
      </c>
      <c r="F180" s="23" t="s">
        <v>478</v>
      </c>
      <c r="G180" s="23" t="s">
        <v>672</v>
      </c>
      <c r="H180" s="139">
        <v>0</v>
      </c>
      <c r="I180" s="23">
        <f t="shared" si="8"/>
        <v>0</v>
      </c>
      <c r="J180" s="73">
        <f t="shared" si="9"/>
        <v>0</v>
      </c>
      <c r="K180" s="141"/>
      <c r="L180" s="149"/>
    </row>
    <row r="181" spans="2:12" ht="19.7" customHeight="1" x14ac:dyDescent="0.25">
      <c r="B181" s="883"/>
      <c r="C181" s="70" t="s">
        <v>487</v>
      </c>
      <c r="D181" s="32" t="s">
        <v>365</v>
      </c>
      <c r="E181" s="23" t="s">
        <v>452</v>
      </c>
      <c r="F181" s="23" t="s">
        <v>478</v>
      </c>
      <c r="G181" s="23" t="s">
        <v>673</v>
      </c>
      <c r="H181" s="139">
        <v>258</v>
      </c>
      <c r="I181" s="23">
        <f t="shared" si="8"/>
        <v>516</v>
      </c>
      <c r="J181" s="73">
        <f t="shared" si="9"/>
        <v>258</v>
      </c>
      <c r="K181" s="141"/>
      <c r="L181" s="149"/>
    </row>
    <row r="182" spans="2:12" ht="19.7" customHeight="1" x14ac:dyDescent="0.25">
      <c r="B182" s="883"/>
      <c r="C182" s="70" t="s">
        <v>490</v>
      </c>
      <c r="D182" s="32" t="s">
        <v>366</v>
      </c>
      <c r="E182" s="23" t="s">
        <v>452</v>
      </c>
      <c r="F182" s="23" t="s">
        <v>341</v>
      </c>
      <c r="G182" s="23" t="s">
        <v>674</v>
      </c>
      <c r="H182" s="139">
        <v>459.42857142857144</v>
      </c>
      <c r="I182" s="142">
        <f t="shared" si="8"/>
        <v>918.85714285714289</v>
      </c>
      <c r="J182" s="73">
        <f t="shared" si="9"/>
        <v>459.42857142857144</v>
      </c>
      <c r="K182" s="141"/>
      <c r="L182" s="149"/>
    </row>
    <row r="183" spans="2:12" ht="19.7" customHeight="1" x14ac:dyDescent="0.25">
      <c r="B183" s="883"/>
      <c r="C183" s="70"/>
      <c r="D183" s="32" t="s">
        <v>399</v>
      </c>
      <c r="E183" s="23" t="s">
        <v>509</v>
      </c>
      <c r="F183" s="23" t="s">
        <v>492</v>
      </c>
      <c r="G183" s="23" t="s">
        <v>675</v>
      </c>
      <c r="H183" s="139">
        <v>492</v>
      </c>
      <c r="I183" s="23">
        <f t="shared" si="8"/>
        <v>984</v>
      </c>
      <c r="J183" s="73">
        <f t="shared" si="9"/>
        <v>492</v>
      </c>
      <c r="K183" s="141"/>
      <c r="L183" s="149"/>
    </row>
    <row r="184" spans="2:12" ht="19.7" customHeight="1" x14ac:dyDescent="0.25">
      <c r="B184" s="883"/>
      <c r="C184" s="70"/>
      <c r="D184" s="79" t="s">
        <v>376</v>
      </c>
      <c r="E184" s="23" t="s">
        <v>509</v>
      </c>
      <c r="F184" s="23" t="s">
        <v>450</v>
      </c>
      <c r="G184" s="23" t="s">
        <v>676</v>
      </c>
      <c r="H184" s="139">
        <v>44</v>
      </c>
      <c r="I184" s="23">
        <f t="shared" si="8"/>
        <v>88</v>
      </c>
      <c r="J184" s="73">
        <f t="shared" si="9"/>
        <v>44</v>
      </c>
      <c r="K184" s="141"/>
      <c r="L184" s="149"/>
    </row>
    <row r="185" spans="2:12" ht="19.7" customHeight="1" x14ac:dyDescent="0.25">
      <c r="B185" s="883"/>
      <c r="C185" s="70"/>
      <c r="D185" s="79" t="s">
        <v>377</v>
      </c>
      <c r="E185" s="23" t="s">
        <v>509</v>
      </c>
      <c r="F185" s="23" t="s">
        <v>450</v>
      </c>
      <c r="G185" s="23" t="s">
        <v>677</v>
      </c>
      <c r="H185" s="139">
        <v>12</v>
      </c>
      <c r="I185" s="23">
        <f t="shared" ref="I185:I190" si="10">+J185*2</f>
        <v>24</v>
      </c>
      <c r="J185" s="73">
        <f t="shared" ref="J185:J190" si="11">+H185</f>
        <v>12</v>
      </c>
      <c r="K185" s="141"/>
      <c r="L185" s="149"/>
    </row>
    <row r="186" spans="2:12" ht="19.7" customHeight="1" x14ac:dyDescent="0.25">
      <c r="B186" s="883"/>
      <c r="C186" s="70"/>
      <c r="D186" s="32" t="s">
        <v>384</v>
      </c>
      <c r="E186" s="23" t="s">
        <v>509</v>
      </c>
      <c r="F186" s="23" t="s">
        <v>450</v>
      </c>
      <c r="G186" s="23" t="s">
        <v>678</v>
      </c>
      <c r="H186" s="139">
        <v>48</v>
      </c>
      <c r="I186" s="23">
        <f t="shared" si="10"/>
        <v>96</v>
      </c>
      <c r="J186" s="73">
        <f t="shared" si="11"/>
        <v>48</v>
      </c>
      <c r="K186" s="141"/>
      <c r="L186" s="149"/>
    </row>
    <row r="187" spans="2:12" ht="19.7" customHeight="1" x14ac:dyDescent="0.25">
      <c r="B187" s="883"/>
      <c r="C187" s="70"/>
      <c r="D187" s="32" t="s">
        <v>385</v>
      </c>
      <c r="E187" s="23" t="s">
        <v>509</v>
      </c>
      <c r="F187" s="23" t="s">
        <v>450</v>
      </c>
      <c r="G187" s="23" t="s">
        <v>679</v>
      </c>
      <c r="H187" s="139">
        <v>180</v>
      </c>
      <c r="I187" s="23">
        <f t="shared" si="10"/>
        <v>360</v>
      </c>
      <c r="J187" s="73">
        <f t="shared" si="11"/>
        <v>180</v>
      </c>
      <c r="K187" s="141"/>
      <c r="L187" s="149"/>
    </row>
    <row r="188" spans="2:12" ht="19.7" customHeight="1" x14ac:dyDescent="0.25">
      <c r="B188" s="883"/>
      <c r="C188" s="70"/>
      <c r="D188" s="32" t="s">
        <v>386</v>
      </c>
      <c r="E188" s="23" t="s">
        <v>509</v>
      </c>
      <c r="F188" s="23" t="s">
        <v>450</v>
      </c>
      <c r="G188" s="23" t="s">
        <v>680</v>
      </c>
      <c r="H188" s="139">
        <v>138.85714285714286</v>
      </c>
      <c r="I188" s="142">
        <f t="shared" si="10"/>
        <v>277.71428571428572</v>
      </c>
      <c r="J188" s="73">
        <f t="shared" si="11"/>
        <v>138.85714285714286</v>
      </c>
      <c r="K188" s="141"/>
      <c r="L188" s="149"/>
    </row>
    <row r="189" spans="2:12" ht="19.7" customHeight="1" x14ac:dyDescent="0.25">
      <c r="B189" s="883"/>
      <c r="C189" s="70"/>
      <c r="D189" s="78" t="s">
        <v>387</v>
      </c>
      <c r="E189" s="23" t="s">
        <v>509</v>
      </c>
      <c r="F189" s="23" t="s">
        <v>450</v>
      </c>
      <c r="G189" s="23" t="s">
        <v>681</v>
      </c>
      <c r="H189" s="139">
        <v>0</v>
      </c>
      <c r="I189" s="23">
        <f t="shared" si="10"/>
        <v>0</v>
      </c>
      <c r="J189" s="73">
        <f t="shared" si="11"/>
        <v>0</v>
      </c>
      <c r="K189" s="141"/>
      <c r="L189" s="149"/>
    </row>
    <row r="190" spans="2:12" ht="19.7" customHeight="1" thickBot="1" x14ac:dyDescent="0.3">
      <c r="B190" s="884"/>
      <c r="C190" s="71"/>
      <c r="D190" s="37" t="s">
        <v>412</v>
      </c>
      <c r="E190" s="29" t="s">
        <v>509</v>
      </c>
      <c r="F190" s="29" t="s">
        <v>450</v>
      </c>
      <c r="G190" s="29" t="s">
        <v>682</v>
      </c>
      <c r="H190" s="150">
        <v>483</v>
      </c>
      <c r="I190" s="29">
        <f t="shared" si="10"/>
        <v>966</v>
      </c>
      <c r="J190" s="75">
        <f t="shared" si="11"/>
        <v>483</v>
      </c>
      <c r="K190" s="154"/>
      <c r="L190" s="152"/>
    </row>
    <row r="191" spans="2:12" ht="19.7" customHeight="1" x14ac:dyDescent="0.25">
      <c r="B191" s="882" t="s">
        <v>506</v>
      </c>
      <c r="C191" s="81"/>
      <c r="D191" s="33" t="s">
        <v>439</v>
      </c>
      <c r="E191" s="27" t="s">
        <v>509</v>
      </c>
      <c r="F191" s="27" t="s">
        <v>477</v>
      </c>
      <c r="G191" s="27" t="s">
        <v>683</v>
      </c>
      <c r="H191" s="147">
        <v>90</v>
      </c>
      <c r="I191" s="27"/>
      <c r="J191" s="74"/>
      <c r="K191" s="27"/>
      <c r="L191" s="148"/>
    </row>
    <row r="192" spans="2:12" ht="19.7" customHeight="1" x14ac:dyDescent="0.25">
      <c r="B192" s="883"/>
      <c r="C192" s="82"/>
      <c r="D192" s="32" t="s">
        <v>440</v>
      </c>
      <c r="E192" s="23" t="s">
        <v>509</v>
      </c>
      <c r="F192" s="23" t="s">
        <v>477</v>
      </c>
      <c r="G192" s="23" t="s">
        <v>684</v>
      </c>
      <c r="H192" s="139">
        <v>124</v>
      </c>
      <c r="I192" s="23"/>
      <c r="J192" s="73"/>
      <c r="K192" s="23"/>
      <c r="L192" s="149"/>
    </row>
    <row r="193" spans="2:12" ht="19.7" customHeight="1" x14ac:dyDescent="0.25">
      <c r="B193" s="883"/>
      <c r="C193" s="82"/>
      <c r="D193" s="32" t="s">
        <v>441</v>
      </c>
      <c r="E193" s="23" t="s">
        <v>509</v>
      </c>
      <c r="F193" s="23" t="s">
        <v>477</v>
      </c>
      <c r="G193" s="23" t="s">
        <v>685</v>
      </c>
      <c r="H193" s="139">
        <v>236.57142857142858</v>
      </c>
      <c r="I193" s="142"/>
      <c r="J193" s="73"/>
      <c r="K193" s="23"/>
      <c r="L193" s="149"/>
    </row>
    <row r="194" spans="2:12" ht="19.7" customHeight="1" thickBot="1" x14ac:dyDescent="0.3">
      <c r="B194" s="884"/>
      <c r="C194" s="83"/>
      <c r="D194" s="84" t="s">
        <v>442</v>
      </c>
      <c r="E194" s="29" t="s">
        <v>509</v>
      </c>
      <c r="F194" s="29" t="s">
        <v>477</v>
      </c>
      <c r="G194" s="29" t="s">
        <v>686</v>
      </c>
      <c r="H194" s="150">
        <v>86.571428571428569</v>
      </c>
      <c r="I194" s="151"/>
      <c r="J194" s="75"/>
      <c r="K194" s="29"/>
      <c r="L194" s="152"/>
    </row>
    <row r="195" spans="2:12" x14ac:dyDescent="0.25">
      <c r="D195"/>
      <c r="G195"/>
      <c r="H195" s="31"/>
      <c r="J195" s="131"/>
      <c r="L195" s="68"/>
    </row>
    <row r="196" spans="2:12" x14ac:dyDescent="0.25">
      <c r="D196"/>
      <c r="G196"/>
      <c r="H196" s="31"/>
    </row>
    <row r="197" spans="2:12" x14ac:dyDescent="0.25">
      <c r="D197"/>
      <c r="G197"/>
      <c r="H197" s="31"/>
    </row>
    <row r="198" spans="2:12" x14ac:dyDescent="0.25">
      <c r="D198"/>
      <c r="G198"/>
      <c r="H198" s="31"/>
    </row>
    <row r="199" spans="2:12" x14ac:dyDescent="0.25">
      <c r="D199"/>
      <c r="G199"/>
      <c r="H199" s="31"/>
    </row>
    <row r="200" spans="2:12" x14ac:dyDescent="0.25">
      <c r="D200"/>
      <c r="G200"/>
    </row>
    <row r="201" spans="2:12" x14ac:dyDescent="0.25">
      <c r="D201"/>
      <c r="G201"/>
    </row>
    <row r="202" spans="2:12" x14ac:dyDescent="0.25">
      <c r="D202"/>
      <c r="G202"/>
    </row>
    <row r="203" spans="2:12" x14ac:dyDescent="0.25">
      <c r="D203"/>
      <c r="G203"/>
    </row>
    <row r="204" spans="2:12" x14ac:dyDescent="0.25">
      <c r="D204"/>
      <c r="G204"/>
    </row>
    <row r="205" spans="2:12" x14ac:dyDescent="0.25">
      <c r="D205"/>
      <c r="G205"/>
    </row>
    <row r="206" spans="2:12" x14ac:dyDescent="0.25">
      <c r="D206"/>
      <c r="G206"/>
    </row>
    <row r="207" spans="2:12" x14ac:dyDescent="0.25">
      <c r="D207"/>
      <c r="G207"/>
    </row>
    <row r="208" spans="2:12" x14ac:dyDescent="0.25">
      <c r="D208"/>
      <c r="G208"/>
    </row>
    <row r="209" spans="4:7" x14ac:dyDescent="0.25">
      <c r="D209"/>
      <c r="G209"/>
    </row>
    <row r="210" spans="4:7" x14ac:dyDescent="0.25">
      <c r="D210"/>
      <c r="G210"/>
    </row>
    <row r="211" spans="4:7" x14ac:dyDescent="0.25">
      <c r="D211"/>
      <c r="G211"/>
    </row>
    <row r="212" spans="4:7" x14ac:dyDescent="0.25">
      <c r="D212"/>
      <c r="G212"/>
    </row>
    <row r="213" spans="4:7" x14ac:dyDescent="0.25">
      <c r="D213"/>
      <c r="G213"/>
    </row>
    <row r="214" spans="4:7" x14ac:dyDescent="0.25">
      <c r="D214"/>
      <c r="G214"/>
    </row>
    <row r="215" spans="4:7" x14ac:dyDescent="0.25">
      <c r="D215"/>
      <c r="G215"/>
    </row>
    <row r="216" spans="4:7" x14ac:dyDescent="0.25">
      <c r="D216"/>
      <c r="G216"/>
    </row>
    <row r="217" spans="4:7" x14ac:dyDescent="0.25">
      <c r="D217"/>
      <c r="G217"/>
    </row>
    <row r="218" spans="4:7" x14ac:dyDescent="0.25">
      <c r="D218"/>
      <c r="G218"/>
    </row>
    <row r="219" spans="4:7" x14ac:dyDescent="0.25">
      <c r="D219"/>
      <c r="G219"/>
    </row>
    <row r="220" spans="4:7" x14ac:dyDescent="0.25">
      <c r="D220"/>
      <c r="G220"/>
    </row>
    <row r="221" spans="4:7" x14ac:dyDescent="0.25">
      <c r="D221"/>
      <c r="G221"/>
    </row>
    <row r="222" spans="4:7" x14ac:dyDescent="0.25">
      <c r="D222"/>
      <c r="G222"/>
    </row>
    <row r="223" spans="4:7" x14ac:dyDescent="0.25">
      <c r="D223"/>
      <c r="G223"/>
    </row>
    <row r="224" spans="4:7" x14ac:dyDescent="0.25">
      <c r="D224"/>
      <c r="G224"/>
    </row>
    <row r="225" spans="4:7" x14ac:dyDescent="0.25">
      <c r="D225"/>
      <c r="G225"/>
    </row>
    <row r="226" spans="4:7" x14ac:dyDescent="0.25">
      <c r="D226"/>
      <c r="G226"/>
    </row>
    <row r="227" spans="4:7" x14ac:dyDescent="0.25">
      <c r="D227"/>
      <c r="G227"/>
    </row>
    <row r="228" spans="4:7" x14ac:dyDescent="0.25">
      <c r="D228"/>
      <c r="G228"/>
    </row>
    <row r="229" spans="4:7" x14ac:dyDescent="0.25">
      <c r="D229"/>
      <c r="G229"/>
    </row>
    <row r="230" spans="4:7" x14ac:dyDescent="0.25">
      <c r="D230"/>
      <c r="G230"/>
    </row>
    <row r="231" spans="4:7" x14ac:dyDescent="0.25">
      <c r="D231"/>
      <c r="G231"/>
    </row>
    <row r="232" spans="4:7" x14ac:dyDescent="0.25">
      <c r="D232"/>
      <c r="G232"/>
    </row>
    <row r="233" spans="4:7" x14ac:dyDescent="0.25">
      <c r="D233"/>
      <c r="G233"/>
    </row>
    <row r="234" spans="4:7" x14ac:dyDescent="0.25">
      <c r="D234"/>
      <c r="G234"/>
    </row>
    <row r="235" spans="4:7" x14ac:dyDescent="0.25">
      <c r="D235"/>
      <c r="G235"/>
    </row>
    <row r="236" spans="4:7" x14ac:dyDescent="0.25">
      <c r="D236"/>
      <c r="G236"/>
    </row>
    <row r="237" spans="4:7" x14ac:dyDescent="0.25">
      <c r="D237"/>
      <c r="G237"/>
    </row>
    <row r="238" spans="4:7" x14ac:dyDescent="0.25">
      <c r="D238"/>
      <c r="G238"/>
    </row>
    <row r="239" spans="4:7" x14ac:dyDescent="0.25">
      <c r="D239"/>
      <c r="G239"/>
    </row>
    <row r="240" spans="4:7" x14ac:dyDescent="0.25">
      <c r="D240"/>
      <c r="G240"/>
    </row>
    <row r="241" spans="4:7" x14ac:dyDescent="0.25">
      <c r="D241"/>
      <c r="G241"/>
    </row>
    <row r="242" spans="4:7" x14ac:dyDescent="0.25">
      <c r="D242"/>
      <c r="G242"/>
    </row>
    <row r="243" spans="4:7" x14ac:dyDescent="0.25">
      <c r="D243"/>
      <c r="G243"/>
    </row>
    <row r="244" spans="4:7" x14ac:dyDescent="0.25">
      <c r="D244"/>
      <c r="G244"/>
    </row>
    <row r="245" spans="4:7" x14ac:dyDescent="0.25">
      <c r="D245"/>
      <c r="G245"/>
    </row>
    <row r="246" spans="4:7" x14ac:dyDescent="0.25">
      <c r="D246"/>
      <c r="G246"/>
    </row>
    <row r="247" spans="4:7" x14ac:dyDescent="0.25">
      <c r="D247"/>
      <c r="G247"/>
    </row>
    <row r="248" spans="4:7" x14ac:dyDescent="0.25">
      <c r="D248"/>
      <c r="G248"/>
    </row>
    <row r="249" spans="4:7" x14ac:dyDescent="0.25">
      <c r="D249"/>
      <c r="G249"/>
    </row>
    <row r="250" spans="4:7" x14ac:dyDescent="0.25">
      <c r="D250"/>
      <c r="G250"/>
    </row>
    <row r="251" spans="4:7" x14ac:dyDescent="0.25">
      <c r="D251"/>
      <c r="G251"/>
    </row>
    <row r="252" spans="4:7" x14ac:dyDescent="0.25">
      <c r="D252"/>
      <c r="G252"/>
    </row>
    <row r="253" spans="4:7" x14ac:dyDescent="0.25">
      <c r="D253"/>
      <c r="G253"/>
    </row>
    <row r="254" spans="4:7" x14ac:dyDescent="0.25">
      <c r="D254"/>
      <c r="G254"/>
    </row>
    <row r="255" spans="4:7" x14ac:dyDescent="0.25">
      <c r="D255"/>
      <c r="G255"/>
    </row>
    <row r="256" spans="4:7" x14ac:dyDescent="0.25">
      <c r="D256"/>
      <c r="G256"/>
    </row>
    <row r="257" spans="4:7" x14ac:dyDescent="0.25">
      <c r="D257"/>
      <c r="G257"/>
    </row>
    <row r="258" spans="4:7" x14ac:dyDescent="0.25">
      <c r="D258"/>
      <c r="G258"/>
    </row>
    <row r="259" spans="4:7" x14ac:dyDescent="0.25">
      <c r="D259"/>
      <c r="G259"/>
    </row>
    <row r="260" spans="4:7" x14ac:dyDescent="0.25">
      <c r="D260"/>
      <c r="G260"/>
    </row>
    <row r="261" spans="4:7" x14ac:dyDescent="0.25">
      <c r="D261"/>
      <c r="G261"/>
    </row>
    <row r="262" spans="4:7" x14ac:dyDescent="0.25">
      <c r="D262"/>
      <c r="G262"/>
    </row>
    <row r="263" spans="4:7" x14ac:dyDescent="0.25">
      <c r="D263"/>
      <c r="G263"/>
    </row>
    <row r="264" spans="4:7" x14ac:dyDescent="0.25">
      <c r="D264"/>
      <c r="G264"/>
    </row>
    <row r="265" spans="4:7" x14ac:dyDescent="0.25">
      <c r="D265"/>
      <c r="G265"/>
    </row>
    <row r="266" spans="4:7" x14ac:dyDescent="0.25">
      <c r="D266"/>
      <c r="G266"/>
    </row>
    <row r="267" spans="4:7" x14ac:dyDescent="0.25">
      <c r="D267"/>
      <c r="G267"/>
    </row>
    <row r="268" spans="4:7" x14ac:dyDescent="0.25">
      <c r="D268"/>
      <c r="G268"/>
    </row>
    <row r="269" spans="4:7" x14ac:dyDescent="0.25">
      <c r="D269"/>
      <c r="G269"/>
    </row>
    <row r="270" spans="4:7" x14ac:dyDescent="0.25">
      <c r="D270"/>
      <c r="G270"/>
    </row>
    <row r="271" spans="4:7" x14ac:dyDescent="0.25">
      <c r="D271"/>
      <c r="G271"/>
    </row>
    <row r="272" spans="4:7" x14ac:dyDescent="0.25">
      <c r="D272"/>
      <c r="G272"/>
    </row>
    <row r="273" spans="4:7" x14ac:dyDescent="0.25">
      <c r="D273"/>
      <c r="G273"/>
    </row>
    <row r="274" spans="4:7" x14ac:dyDescent="0.25">
      <c r="D274"/>
      <c r="G274"/>
    </row>
    <row r="275" spans="4:7" x14ac:dyDescent="0.25">
      <c r="D275"/>
      <c r="G275"/>
    </row>
    <row r="276" spans="4:7" x14ac:dyDescent="0.25">
      <c r="D276"/>
      <c r="G276"/>
    </row>
    <row r="277" spans="4:7" x14ac:dyDescent="0.25">
      <c r="D277"/>
      <c r="G277"/>
    </row>
    <row r="278" spans="4:7" x14ac:dyDescent="0.25">
      <c r="D278"/>
      <c r="G278"/>
    </row>
    <row r="279" spans="4:7" x14ac:dyDescent="0.25">
      <c r="D279"/>
      <c r="G279"/>
    </row>
    <row r="280" spans="4:7" x14ac:dyDescent="0.25">
      <c r="D280"/>
      <c r="G280"/>
    </row>
    <row r="281" spans="4:7" x14ac:dyDescent="0.25">
      <c r="D281"/>
      <c r="G281"/>
    </row>
    <row r="282" spans="4:7" x14ac:dyDescent="0.25">
      <c r="D282"/>
      <c r="G282"/>
    </row>
    <row r="283" spans="4:7" x14ac:dyDescent="0.25">
      <c r="D283"/>
      <c r="G283"/>
    </row>
    <row r="284" spans="4:7" x14ac:dyDescent="0.25">
      <c r="D284"/>
      <c r="G284"/>
    </row>
    <row r="285" spans="4:7" x14ac:dyDescent="0.25">
      <c r="D285"/>
      <c r="G285"/>
    </row>
    <row r="286" spans="4:7" x14ac:dyDescent="0.25">
      <c r="D286"/>
      <c r="G286"/>
    </row>
    <row r="287" spans="4:7" x14ac:dyDescent="0.25">
      <c r="D287"/>
      <c r="G287"/>
    </row>
    <row r="288" spans="4:7" x14ac:dyDescent="0.25">
      <c r="D288"/>
      <c r="G288"/>
    </row>
    <row r="289" spans="4:7" x14ac:dyDescent="0.25">
      <c r="D289"/>
      <c r="G289"/>
    </row>
    <row r="290" spans="4:7" x14ac:dyDescent="0.25">
      <c r="D290"/>
      <c r="G290"/>
    </row>
    <row r="291" spans="4:7" x14ac:dyDescent="0.25">
      <c r="D291"/>
      <c r="G291"/>
    </row>
    <row r="292" spans="4:7" x14ac:dyDescent="0.25">
      <c r="D292"/>
      <c r="G292"/>
    </row>
    <row r="293" spans="4:7" x14ac:dyDescent="0.25">
      <c r="D293"/>
      <c r="G293"/>
    </row>
    <row r="294" spans="4:7" x14ac:dyDescent="0.25">
      <c r="D294"/>
      <c r="G294"/>
    </row>
    <row r="295" spans="4:7" x14ac:dyDescent="0.25">
      <c r="D295"/>
      <c r="G295"/>
    </row>
    <row r="296" spans="4:7" x14ac:dyDescent="0.25">
      <c r="D296"/>
      <c r="G296"/>
    </row>
    <row r="297" spans="4:7" x14ac:dyDescent="0.25">
      <c r="D297"/>
      <c r="G297"/>
    </row>
    <row r="298" spans="4:7" x14ac:dyDescent="0.25">
      <c r="D298"/>
      <c r="G298"/>
    </row>
    <row r="299" spans="4:7" x14ac:dyDescent="0.25">
      <c r="D299"/>
      <c r="G299"/>
    </row>
    <row r="300" spans="4:7" x14ac:dyDescent="0.25">
      <c r="D300"/>
      <c r="G300"/>
    </row>
    <row r="301" spans="4:7" x14ac:dyDescent="0.25">
      <c r="D301"/>
      <c r="G301"/>
    </row>
    <row r="302" spans="4:7" x14ac:dyDescent="0.25">
      <c r="D302"/>
      <c r="G302"/>
    </row>
    <row r="303" spans="4:7" x14ac:dyDescent="0.25">
      <c r="D303"/>
      <c r="G303"/>
    </row>
    <row r="304" spans="4:7" x14ac:dyDescent="0.25">
      <c r="D304"/>
      <c r="G304"/>
    </row>
    <row r="305" spans="4:7" x14ac:dyDescent="0.25">
      <c r="D305"/>
      <c r="G305"/>
    </row>
    <row r="306" spans="4:7" x14ac:dyDescent="0.25">
      <c r="D306"/>
      <c r="G306"/>
    </row>
    <row r="307" spans="4:7" x14ac:dyDescent="0.25">
      <c r="D307"/>
      <c r="G307"/>
    </row>
    <row r="308" spans="4:7" x14ac:dyDescent="0.25">
      <c r="D308"/>
      <c r="G308"/>
    </row>
    <row r="309" spans="4:7" x14ac:dyDescent="0.25">
      <c r="D309"/>
      <c r="G309"/>
    </row>
    <row r="310" spans="4:7" x14ac:dyDescent="0.25">
      <c r="D310"/>
      <c r="G310"/>
    </row>
    <row r="311" spans="4:7" x14ac:dyDescent="0.25">
      <c r="D311"/>
      <c r="G311"/>
    </row>
    <row r="312" spans="4:7" x14ac:dyDescent="0.25">
      <c r="D312"/>
      <c r="G312"/>
    </row>
    <row r="313" spans="4:7" x14ac:dyDescent="0.25">
      <c r="D313"/>
      <c r="G313"/>
    </row>
    <row r="314" spans="4:7" x14ac:dyDescent="0.25">
      <c r="D314"/>
      <c r="G314"/>
    </row>
    <row r="315" spans="4:7" x14ac:dyDescent="0.25">
      <c r="D315"/>
      <c r="G315"/>
    </row>
    <row r="316" spans="4:7" x14ac:dyDescent="0.25">
      <c r="D316"/>
      <c r="G316"/>
    </row>
    <row r="317" spans="4:7" x14ac:dyDescent="0.25">
      <c r="D317"/>
      <c r="G317"/>
    </row>
    <row r="318" spans="4:7" x14ac:dyDescent="0.25">
      <c r="D318"/>
      <c r="G318"/>
    </row>
    <row r="319" spans="4:7" x14ac:dyDescent="0.25">
      <c r="D319"/>
      <c r="G319"/>
    </row>
    <row r="320" spans="4:7" x14ac:dyDescent="0.25">
      <c r="D320"/>
      <c r="G320"/>
    </row>
    <row r="321" spans="4:7" x14ac:dyDescent="0.25">
      <c r="D321"/>
      <c r="G321"/>
    </row>
    <row r="322" spans="4:7" x14ac:dyDescent="0.25">
      <c r="D322"/>
      <c r="G322"/>
    </row>
    <row r="323" spans="4:7" x14ac:dyDescent="0.25">
      <c r="D323"/>
      <c r="G323"/>
    </row>
    <row r="324" spans="4:7" x14ac:dyDescent="0.25">
      <c r="D324"/>
      <c r="G324"/>
    </row>
    <row r="325" spans="4:7" x14ac:dyDescent="0.25">
      <c r="D325"/>
      <c r="G325"/>
    </row>
    <row r="326" spans="4:7" x14ac:dyDescent="0.25">
      <c r="D326"/>
      <c r="G326"/>
    </row>
    <row r="327" spans="4:7" x14ac:dyDescent="0.25">
      <c r="D327"/>
      <c r="G327"/>
    </row>
  </sheetData>
  <autoFilter ref="B3:L194"/>
  <sortState ref="C9:L182">
    <sortCondition ref="C9:C182"/>
    <sortCondition ref="F9:F182"/>
  </sortState>
  <mergeCells count="8">
    <mergeCell ref="I2:K2"/>
    <mergeCell ref="G1:L1"/>
    <mergeCell ref="B1:C1"/>
    <mergeCell ref="D1:E1"/>
    <mergeCell ref="B191:B194"/>
    <mergeCell ref="B8:B190"/>
    <mergeCell ref="B4:B7"/>
    <mergeCell ref="B2:H2"/>
  </mergeCells>
  <printOptions horizontalCentered="1"/>
  <pageMargins left="0.31496062992125984" right="0.31496062992125984" top="0.19685039370078741" bottom="0.19685039370078741" header="0.31496062992125984" footer="0.31496062992125984"/>
  <pageSetup paperSize="5" scale="10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50"/>
  </sheetPr>
  <dimension ref="A1:N327"/>
  <sheetViews>
    <sheetView workbookViewId="0">
      <selection sqref="A1:I1"/>
    </sheetView>
  </sheetViews>
  <sheetFormatPr baseColWidth="10" defaultRowHeight="18.75" x14ac:dyDescent="0.25"/>
  <cols>
    <col min="1" max="1" width="3.7109375" bestFit="1" customWidth="1"/>
    <col min="2" max="2" width="5.7109375" style="41" hidden="1" customWidth="1"/>
    <col min="3" max="3" width="5.85546875" style="1" hidden="1" customWidth="1"/>
    <col min="4" max="4" width="4.7109375" bestFit="1" customWidth="1"/>
    <col min="5" max="5" width="16.28515625" style="31" bestFit="1" customWidth="1"/>
    <col min="6" max="6" width="35.28515625" style="1" customWidth="1"/>
    <col min="7" max="7" width="8.5703125" style="5" customWidth="1"/>
    <col min="8" max="8" width="8.28515625" style="5" bestFit="1" customWidth="1"/>
    <col min="9" max="9" width="8.28515625" style="1" hidden="1" customWidth="1"/>
    <col min="10" max="10" width="1.5703125" customWidth="1"/>
    <col min="11" max="11" width="7.28515625" style="1" bestFit="1" customWidth="1"/>
    <col min="12" max="12" width="7.28515625" hidden="1" customWidth="1"/>
    <col min="13" max="13" width="10.28515625" style="1" customWidth="1"/>
    <col min="14" max="14" width="11" style="127" customWidth="1"/>
  </cols>
  <sheetData>
    <row r="1" spans="1:14" ht="34.5" customHeight="1" thickBot="1" x14ac:dyDescent="0.3">
      <c r="A1" s="885" t="s">
        <v>504</v>
      </c>
      <c r="B1" s="886"/>
      <c r="C1" s="886"/>
      <c r="D1" s="886"/>
      <c r="E1" s="886"/>
      <c r="F1" s="886"/>
      <c r="G1" s="886"/>
      <c r="H1" s="886"/>
      <c r="I1" s="887"/>
      <c r="K1" s="885" t="s">
        <v>513</v>
      </c>
      <c r="L1" s="886"/>
      <c r="M1" s="887"/>
    </row>
    <row r="2" spans="1:14" ht="30.75" thickBot="1" x14ac:dyDescent="0.3">
      <c r="A2" s="66" t="s">
        <v>508</v>
      </c>
      <c r="B2" s="64" t="s">
        <v>503</v>
      </c>
      <c r="C2" s="80" t="s">
        <v>19</v>
      </c>
      <c r="D2" s="63" t="s">
        <v>512</v>
      </c>
      <c r="E2" s="64" t="s">
        <v>453</v>
      </c>
      <c r="F2" s="87" t="s">
        <v>20</v>
      </c>
      <c r="G2" s="103" t="s">
        <v>503</v>
      </c>
      <c r="H2" s="103" t="s">
        <v>19</v>
      </c>
      <c r="I2" s="91" t="s">
        <v>517</v>
      </c>
      <c r="K2" s="72" t="s">
        <v>514</v>
      </c>
      <c r="L2" s="105" t="s">
        <v>515</v>
      </c>
      <c r="M2" s="109" t="s">
        <v>516</v>
      </c>
      <c r="N2" s="126" t="s">
        <v>518</v>
      </c>
    </row>
    <row r="3" spans="1:14" ht="19.7" customHeight="1" x14ac:dyDescent="0.25">
      <c r="A3" s="902" t="s">
        <v>507</v>
      </c>
      <c r="B3" s="46" t="s">
        <v>462</v>
      </c>
      <c r="C3" s="69" t="s">
        <v>356</v>
      </c>
      <c r="D3" s="27" t="s">
        <v>509</v>
      </c>
      <c r="E3" s="46" t="s">
        <v>449</v>
      </c>
      <c r="F3" s="89" t="s">
        <v>227</v>
      </c>
      <c r="G3" s="116" t="s">
        <v>462</v>
      </c>
      <c r="H3" s="116" t="s">
        <v>356</v>
      </c>
      <c r="I3" s="92">
        <v>12813.714285714286</v>
      </c>
      <c r="K3" s="124">
        <f>+L3*2</f>
        <v>25627.428571428572</v>
      </c>
      <c r="L3" s="106">
        <f>+I3</f>
        <v>12813.714285714286</v>
      </c>
      <c r="M3" s="888">
        <v>18500</v>
      </c>
      <c r="N3" s="898">
        <f>+K3+K4+K5+K6-M3</f>
        <v>12390</v>
      </c>
    </row>
    <row r="4" spans="1:14" ht="19.7" hidden="1" customHeight="1" x14ac:dyDescent="0.25">
      <c r="A4" s="903"/>
      <c r="B4" s="43" t="s">
        <v>462</v>
      </c>
      <c r="C4" s="70" t="s">
        <v>357</v>
      </c>
      <c r="D4" s="23" t="s">
        <v>509</v>
      </c>
      <c r="E4" s="43" t="s">
        <v>449</v>
      </c>
      <c r="F4" s="90" t="s">
        <v>359</v>
      </c>
      <c r="G4" s="117" t="s">
        <v>462</v>
      </c>
      <c r="H4" s="117" t="s">
        <v>357</v>
      </c>
      <c r="I4" s="93">
        <v>970.28571428571433</v>
      </c>
      <c r="K4" s="110">
        <f t="shared" ref="K4:K68" si="0">+L4*2</f>
        <v>1940.5714285714287</v>
      </c>
      <c r="L4" s="107">
        <f t="shared" ref="L4:L68" si="1">+I4</f>
        <v>970.28571428571433</v>
      </c>
      <c r="M4" s="889"/>
      <c r="N4" s="899"/>
    </row>
    <row r="5" spans="1:14" ht="19.7" hidden="1" customHeight="1" x14ac:dyDescent="0.25">
      <c r="A5" s="903"/>
      <c r="B5" s="43" t="s">
        <v>462</v>
      </c>
      <c r="C5" s="70" t="s">
        <v>408</v>
      </c>
      <c r="D5" s="23" t="s">
        <v>509</v>
      </c>
      <c r="E5" s="43" t="s">
        <v>449</v>
      </c>
      <c r="F5" s="90" t="s">
        <v>409</v>
      </c>
      <c r="G5" s="117" t="s">
        <v>462</v>
      </c>
      <c r="H5" s="117" t="s">
        <v>408</v>
      </c>
      <c r="I5" s="93">
        <v>305</v>
      </c>
      <c r="K5" s="50">
        <f t="shared" si="0"/>
        <v>610</v>
      </c>
      <c r="L5" s="107">
        <f t="shared" si="1"/>
        <v>305</v>
      </c>
      <c r="M5" s="889"/>
      <c r="N5" s="899"/>
    </row>
    <row r="6" spans="1:14" ht="19.7" hidden="1" customHeight="1" thickBot="1" x14ac:dyDescent="0.3">
      <c r="A6" s="904"/>
      <c r="B6" s="60" t="s">
        <v>462</v>
      </c>
      <c r="C6" s="76">
        <v>35</v>
      </c>
      <c r="D6" s="28" t="s">
        <v>511</v>
      </c>
      <c r="E6" s="60" t="s">
        <v>449</v>
      </c>
      <c r="F6" s="88" t="s">
        <v>227</v>
      </c>
      <c r="G6" s="118" t="s">
        <v>462</v>
      </c>
      <c r="H6" s="118">
        <v>35</v>
      </c>
      <c r="I6" s="94">
        <v>1356</v>
      </c>
      <c r="K6" s="50">
        <f t="shared" si="0"/>
        <v>2712</v>
      </c>
      <c r="L6" s="107">
        <f t="shared" si="1"/>
        <v>1356</v>
      </c>
      <c r="M6" s="890"/>
      <c r="N6" s="900"/>
    </row>
    <row r="7" spans="1:14" ht="19.7" hidden="1" customHeight="1" x14ac:dyDescent="0.25">
      <c r="A7" s="902" t="s">
        <v>510</v>
      </c>
      <c r="B7" s="85" t="s">
        <v>460</v>
      </c>
      <c r="C7" s="77" t="s">
        <v>402</v>
      </c>
      <c r="D7" s="27" t="s">
        <v>509</v>
      </c>
      <c r="E7" s="46" t="s">
        <v>505</v>
      </c>
      <c r="F7" s="89" t="s">
        <v>403</v>
      </c>
      <c r="G7" s="116" t="s">
        <v>460</v>
      </c>
      <c r="H7" s="119" t="s">
        <v>402</v>
      </c>
      <c r="I7" s="95">
        <v>42</v>
      </c>
      <c r="K7" s="50"/>
      <c r="L7" s="107"/>
      <c r="M7" s="190"/>
      <c r="N7" s="128"/>
    </row>
    <row r="8" spans="1:14" ht="19.7" hidden="1" customHeight="1" thickBot="1" x14ac:dyDescent="0.3">
      <c r="A8" s="903"/>
      <c r="B8" s="86" t="s">
        <v>460</v>
      </c>
      <c r="C8" s="76" t="s">
        <v>297</v>
      </c>
      <c r="D8" s="28" t="s">
        <v>509</v>
      </c>
      <c r="E8" s="60" t="s">
        <v>505</v>
      </c>
      <c r="F8" s="88" t="s">
        <v>311</v>
      </c>
      <c r="G8" s="118" t="s">
        <v>460</v>
      </c>
      <c r="H8" s="118" t="s">
        <v>297</v>
      </c>
      <c r="I8" s="96">
        <v>130.28571428571428</v>
      </c>
      <c r="K8" s="110"/>
      <c r="L8" s="107"/>
      <c r="M8" s="189"/>
      <c r="N8" s="128"/>
    </row>
    <row r="9" spans="1:14" ht="19.7" hidden="1" customHeight="1" x14ac:dyDescent="0.25">
      <c r="A9" s="903"/>
      <c r="B9" s="69" t="s">
        <v>460</v>
      </c>
      <c r="C9" s="33"/>
      <c r="D9" s="27" t="s">
        <v>509</v>
      </c>
      <c r="E9" s="46" t="s">
        <v>505</v>
      </c>
      <c r="F9" s="89"/>
      <c r="G9" s="116" t="s">
        <v>460</v>
      </c>
      <c r="H9" s="116"/>
      <c r="I9" s="97">
        <f>SUM(I7:I8)</f>
        <v>172.28571428571428</v>
      </c>
      <c r="K9" s="110">
        <f t="shared" si="0"/>
        <v>344.57142857142856</v>
      </c>
      <c r="L9" s="107">
        <f t="shared" si="1"/>
        <v>172.28571428571428</v>
      </c>
      <c r="M9" s="183">
        <v>2000</v>
      </c>
      <c r="N9" s="129">
        <f>+K9-M9</f>
        <v>-1655.4285714285716</v>
      </c>
    </row>
    <row r="10" spans="1:14" ht="19.7" hidden="1" customHeight="1" x14ac:dyDescent="0.25">
      <c r="A10" s="903"/>
      <c r="B10" s="70" t="s">
        <v>460</v>
      </c>
      <c r="C10" s="32" t="s">
        <v>319</v>
      </c>
      <c r="D10" s="23" t="s">
        <v>509</v>
      </c>
      <c r="E10" s="43" t="s">
        <v>335</v>
      </c>
      <c r="F10" s="90" t="s">
        <v>323</v>
      </c>
      <c r="G10" s="117" t="s">
        <v>460</v>
      </c>
      <c r="H10" s="117" t="s">
        <v>319</v>
      </c>
      <c r="I10" s="98">
        <v>258</v>
      </c>
      <c r="K10" s="50"/>
      <c r="L10" s="107"/>
      <c r="M10" s="183"/>
      <c r="N10" s="128"/>
    </row>
    <row r="11" spans="1:14" ht="19.7" hidden="1" customHeight="1" x14ac:dyDescent="0.25">
      <c r="A11" s="903"/>
      <c r="B11" s="70" t="s">
        <v>460</v>
      </c>
      <c r="C11" s="32" t="s">
        <v>320</v>
      </c>
      <c r="D11" s="23" t="s">
        <v>509</v>
      </c>
      <c r="E11" s="43" t="s">
        <v>335</v>
      </c>
      <c r="F11" s="90" t="s">
        <v>324</v>
      </c>
      <c r="G11" s="117" t="s">
        <v>460</v>
      </c>
      <c r="H11" s="117" t="s">
        <v>320</v>
      </c>
      <c r="I11" s="98">
        <v>244</v>
      </c>
      <c r="K11" s="50"/>
      <c r="L11" s="107"/>
      <c r="M11" s="183"/>
      <c r="N11" s="128"/>
    </row>
    <row r="12" spans="1:14" ht="19.7" hidden="1" customHeight="1" x14ac:dyDescent="0.25">
      <c r="A12" s="903"/>
      <c r="B12" s="70" t="s">
        <v>460</v>
      </c>
      <c r="C12" s="32" t="s">
        <v>321</v>
      </c>
      <c r="D12" s="23" t="s">
        <v>509</v>
      </c>
      <c r="E12" s="43" t="s">
        <v>335</v>
      </c>
      <c r="F12" s="90" t="s">
        <v>325</v>
      </c>
      <c r="G12" s="117" t="s">
        <v>460</v>
      </c>
      <c r="H12" s="117" t="s">
        <v>321</v>
      </c>
      <c r="I12" s="98">
        <v>243.42857142857142</v>
      </c>
      <c r="K12" s="110"/>
      <c r="L12" s="107"/>
      <c r="M12" s="183"/>
      <c r="N12" s="128"/>
    </row>
    <row r="13" spans="1:14" ht="19.7" hidden="1" customHeight="1" x14ac:dyDescent="0.25">
      <c r="A13" s="903"/>
      <c r="B13" s="70" t="s">
        <v>460</v>
      </c>
      <c r="C13" s="32" t="s">
        <v>322</v>
      </c>
      <c r="D13" s="23" t="s">
        <v>509</v>
      </c>
      <c r="E13" s="43" t="s">
        <v>335</v>
      </c>
      <c r="F13" s="90" t="s">
        <v>326</v>
      </c>
      <c r="G13" s="117" t="s">
        <v>460</v>
      </c>
      <c r="H13" s="117" t="s">
        <v>322</v>
      </c>
      <c r="I13" s="98">
        <v>1163.4285714285713</v>
      </c>
      <c r="K13" s="50"/>
      <c r="L13" s="107"/>
      <c r="M13" s="183"/>
      <c r="N13" s="128"/>
    </row>
    <row r="14" spans="1:14" ht="19.7" hidden="1" customHeight="1" x14ac:dyDescent="0.25">
      <c r="A14" s="903"/>
      <c r="B14" s="70" t="s">
        <v>460</v>
      </c>
      <c r="C14" s="78" t="s">
        <v>423</v>
      </c>
      <c r="D14" s="23" t="s">
        <v>509</v>
      </c>
      <c r="E14" s="43" t="s">
        <v>335</v>
      </c>
      <c r="F14" s="90" t="s">
        <v>425</v>
      </c>
      <c r="G14" s="117" t="s">
        <v>460</v>
      </c>
      <c r="H14" s="120" t="s">
        <v>423</v>
      </c>
      <c r="I14" s="98">
        <v>230.85714285714286</v>
      </c>
      <c r="K14" s="110"/>
      <c r="L14" s="107"/>
      <c r="M14" s="183"/>
      <c r="N14" s="128"/>
    </row>
    <row r="15" spans="1:14" ht="19.7" hidden="1" customHeight="1" x14ac:dyDescent="0.25">
      <c r="A15" s="903"/>
      <c r="B15" s="70" t="s">
        <v>460</v>
      </c>
      <c r="C15" s="78" t="s">
        <v>424</v>
      </c>
      <c r="D15" s="23" t="s">
        <v>509</v>
      </c>
      <c r="E15" s="43" t="s">
        <v>335</v>
      </c>
      <c r="F15" s="90" t="s">
        <v>426</v>
      </c>
      <c r="G15" s="117" t="s">
        <v>460</v>
      </c>
      <c r="H15" s="120" t="s">
        <v>424</v>
      </c>
      <c r="I15" s="98">
        <v>208</v>
      </c>
      <c r="K15" s="50"/>
      <c r="L15" s="107"/>
      <c r="M15" s="183"/>
      <c r="N15" s="128"/>
    </row>
    <row r="16" spans="1:14" ht="19.7" hidden="1" customHeight="1" x14ac:dyDescent="0.25">
      <c r="A16" s="903"/>
      <c r="B16" s="70" t="s">
        <v>460</v>
      </c>
      <c r="C16" s="32" t="s">
        <v>327</v>
      </c>
      <c r="D16" s="23" t="s">
        <v>509</v>
      </c>
      <c r="E16" s="43" t="s">
        <v>335</v>
      </c>
      <c r="F16" s="90" t="s">
        <v>331</v>
      </c>
      <c r="G16" s="117" t="s">
        <v>460</v>
      </c>
      <c r="H16" s="117" t="s">
        <v>327</v>
      </c>
      <c r="I16" s="98">
        <v>788.57142857142856</v>
      </c>
      <c r="K16" s="50"/>
      <c r="L16" s="107"/>
      <c r="M16" s="183"/>
      <c r="N16" s="128"/>
    </row>
    <row r="17" spans="1:14" ht="19.7" hidden="1" customHeight="1" x14ac:dyDescent="0.25">
      <c r="A17" s="903"/>
      <c r="B17" s="70" t="s">
        <v>460</v>
      </c>
      <c r="C17" s="32" t="s">
        <v>328</v>
      </c>
      <c r="D17" s="23" t="s">
        <v>509</v>
      </c>
      <c r="E17" s="43" t="s">
        <v>335</v>
      </c>
      <c r="F17" s="90" t="s">
        <v>332</v>
      </c>
      <c r="G17" s="117" t="s">
        <v>460</v>
      </c>
      <c r="H17" s="117" t="s">
        <v>328</v>
      </c>
      <c r="I17" s="98">
        <v>526.28571428571433</v>
      </c>
      <c r="K17" s="50"/>
      <c r="L17" s="107"/>
      <c r="M17" s="183"/>
      <c r="N17" s="128"/>
    </row>
    <row r="18" spans="1:14" ht="19.7" hidden="1" customHeight="1" x14ac:dyDescent="0.25">
      <c r="A18" s="903"/>
      <c r="B18" s="70" t="s">
        <v>460</v>
      </c>
      <c r="C18" s="32" t="s">
        <v>329</v>
      </c>
      <c r="D18" s="23" t="s">
        <v>509</v>
      </c>
      <c r="E18" s="43" t="s">
        <v>335</v>
      </c>
      <c r="F18" s="90" t="s">
        <v>333</v>
      </c>
      <c r="G18" s="117" t="s">
        <v>460</v>
      </c>
      <c r="H18" s="117" t="s">
        <v>329</v>
      </c>
      <c r="I18" s="98">
        <v>126.85714285714286</v>
      </c>
      <c r="K18" s="110"/>
      <c r="L18" s="107"/>
      <c r="M18" s="183"/>
      <c r="N18" s="128"/>
    </row>
    <row r="19" spans="1:14" ht="19.7" hidden="1" customHeight="1" x14ac:dyDescent="0.25">
      <c r="A19" s="903"/>
      <c r="B19" s="70" t="s">
        <v>460</v>
      </c>
      <c r="C19" s="32" t="s">
        <v>330</v>
      </c>
      <c r="D19" s="23" t="s">
        <v>509</v>
      </c>
      <c r="E19" s="43" t="s">
        <v>335</v>
      </c>
      <c r="F19" s="90" t="s">
        <v>334</v>
      </c>
      <c r="G19" s="117" t="s">
        <v>460</v>
      </c>
      <c r="H19" s="117" t="s">
        <v>330</v>
      </c>
      <c r="I19" s="98">
        <v>248</v>
      </c>
      <c r="K19" s="50"/>
      <c r="L19" s="107"/>
      <c r="M19" s="183"/>
      <c r="N19" s="128"/>
    </row>
    <row r="20" spans="1:14" ht="19.7" hidden="1" customHeight="1" x14ac:dyDescent="0.25">
      <c r="A20" s="903"/>
      <c r="B20" s="70" t="s">
        <v>460</v>
      </c>
      <c r="C20" s="78" t="s">
        <v>431</v>
      </c>
      <c r="D20" s="23" t="s">
        <v>509</v>
      </c>
      <c r="E20" s="43" t="s">
        <v>335</v>
      </c>
      <c r="F20" s="90" t="s">
        <v>433</v>
      </c>
      <c r="G20" s="117" t="s">
        <v>460</v>
      </c>
      <c r="H20" s="120" t="s">
        <v>431</v>
      </c>
      <c r="I20" s="98">
        <v>277.71428571428572</v>
      </c>
      <c r="K20" s="110"/>
      <c r="L20" s="107"/>
      <c r="M20" s="183"/>
      <c r="N20" s="128"/>
    </row>
    <row r="21" spans="1:14" ht="19.7" hidden="1" customHeight="1" x14ac:dyDescent="0.25">
      <c r="A21" s="903"/>
      <c r="B21" s="70" t="s">
        <v>460</v>
      </c>
      <c r="C21" s="78"/>
      <c r="D21" s="24" t="s">
        <v>509</v>
      </c>
      <c r="E21" s="182" t="s">
        <v>335</v>
      </c>
      <c r="F21" s="112"/>
      <c r="G21" s="117" t="s">
        <v>460</v>
      </c>
      <c r="H21" s="120"/>
      <c r="I21" s="99">
        <f>SUM(I10:I20)</f>
        <v>4315.142857142856</v>
      </c>
      <c r="K21" s="181">
        <f t="shared" si="0"/>
        <v>8630.2857142857119</v>
      </c>
      <c r="L21" s="107">
        <f t="shared" si="1"/>
        <v>4315.142857142856</v>
      </c>
      <c r="M21" s="183">
        <v>12800</v>
      </c>
      <c r="N21" s="129">
        <f t="shared" ref="N21:N42" si="2">+K21-M21</f>
        <v>-4169.7142857142881</v>
      </c>
    </row>
    <row r="22" spans="1:14" ht="19.7" hidden="1" customHeight="1" x14ac:dyDescent="0.25">
      <c r="A22" s="903"/>
      <c r="B22" s="70" t="s">
        <v>484</v>
      </c>
      <c r="C22" s="32" t="s">
        <v>99</v>
      </c>
      <c r="D22" s="23" t="s">
        <v>509</v>
      </c>
      <c r="E22" s="43" t="s">
        <v>495</v>
      </c>
      <c r="F22" s="90" t="s">
        <v>100</v>
      </c>
      <c r="G22" s="117" t="s">
        <v>484</v>
      </c>
      <c r="H22" s="117" t="s">
        <v>99</v>
      </c>
      <c r="I22" s="98">
        <v>385.71428571428572</v>
      </c>
      <c r="K22" s="110">
        <f t="shared" si="0"/>
        <v>771.42857142857144</v>
      </c>
      <c r="L22" s="107">
        <f t="shared" si="1"/>
        <v>385.71428571428572</v>
      </c>
      <c r="M22" s="183">
        <v>1100</v>
      </c>
      <c r="N22" s="129">
        <f t="shared" si="2"/>
        <v>-328.57142857142856</v>
      </c>
    </row>
    <row r="23" spans="1:14" ht="19.7" hidden="1" customHeight="1" x14ac:dyDescent="0.25">
      <c r="A23" s="903"/>
      <c r="B23" s="70" t="s">
        <v>484</v>
      </c>
      <c r="C23" s="32" t="s">
        <v>101</v>
      </c>
      <c r="D23" s="23" t="s">
        <v>509</v>
      </c>
      <c r="E23" s="43" t="s">
        <v>495</v>
      </c>
      <c r="F23" s="90" t="s">
        <v>102</v>
      </c>
      <c r="G23" s="117" t="s">
        <v>484</v>
      </c>
      <c r="H23" s="117" t="s">
        <v>101</v>
      </c>
      <c r="I23" s="98">
        <v>462.85714285714283</v>
      </c>
      <c r="K23" s="110">
        <f t="shared" si="0"/>
        <v>925.71428571428567</v>
      </c>
      <c r="L23" s="107">
        <f t="shared" si="1"/>
        <v>462.85714285714283</v>
      </c>
      <c r="M23" s="183">
        <v>510</v>
      </c>
      <c r="N23" s="129">
        <f t="shared" si="2"/>
        <v>415.71428571428567</v>
      </c>
    </row>
    <row r="24" spans="1:14" ht="19.7" customHeight="1" x14ac:dyDescent="0.25">
      <c r="A24" s="903"/>
      <c r="B24" s="70" t="s">
        <v>484</v>
      </c>
      <c r="C24" s="32" t="s">
        <v>103</v>
      </c>
      <c r="D24" s="23" t="s">
        <v>509</v>
      </c>
      <c r="E24" s="43" t="s">
        <v>495</v>
      </c>
      <c r="F24" s="90" t="s">
        <v>104</v>
      </c>
      <c r="G24" s="117" t="s">
        <v>484</v>
      </c>
      <c r="H24" s="117" t="s">
        <v>103</v>
      </c>
      <c r="I24" s="98">
        <v>368.57142857142856</v>
      </c>
      <c r="K24" s="110">
        <f t="shared" si="0"/>
        <v>737.14285714285711</v>
      </c>
      <c r="L24" s="107">
        <f t="shared" si="1"/>
        <v>368.57142857142856</v>
      </c>
      <c r="M24" s="183">
        <v>550</v>
      </c>
      <c r="N24" s="129">
        <f t="shared" si="2"/>
        <v>187.14285714285711</v>
      </c>
    </row>
    <row r="25" spans="1:14" ht="19.7" hidden="1" customHeight="1" x14ac:dyDescent="0.25">
      <c r="A25" s="903"/>
      <c r="B25" s="70" t="s">
        <v>484</v>
      </c>
      <c r="C25" s="78" t="s">
        <v>435</v>
      </c>
      <c r="D25" s="23" t="s">
        <v>509</v>
      </c>
      <c r="E25" s="43" t="s">
        <v>495</v>
      </c>
      <c r="F25" s="90" t="s">
        <v>436</v>
      </c>
      <c r="G25" s="117" t="s">
        <v>484</v>
      </c>
      <c r="H25" s="120" t="s">
        <v>435</v>
      </c>
      <c r="I25" s="98">
        <v>185.71428571428572</v>
      </c>
      <c r="K25" s="110">
        <f t="shared" si="0"/>
        <v>371.42857142857144</v>
      </c>
      <c r="L25" s="107">
        <f t="shared" si="1"/>
        <v>185.71428571428572</v>
      </c>
      <c r="M25" s="183">
        <v>735</v>
      </c>
      <c r="N25" s="129">
        <f t="shared" si="2"/>
        <v>-363.57142857142856</v>
      </c>
    </row>
    <row r="26" spans="1:14" ht="19.7" customHeight="1" x14ac:dyDescent="0.25">
      <c r="A26" s="903"/>
      <c r="B26" s="70" t="s">
        <v>464</v>
      </c>
      <c r="C26" s="32" t="s">
        <v>27</v>
      </c>
      <c r="D26" s="24" t="s">
        <v>509</v>
      </c>
      <c r="E26" s="32" t="s">
        <v>501</v>
      </c>
      <c r="F26" s="90" t="s">
        <v>28</v>
      </c>
      <c r="G26" s="117" t="s">
        <v>464</v>
      </c>
      <c r="H26" s="117" t="s">
        <v>27</v>
      </c>
      <c r="I26" s="93">
        <v>1107.7142857142858</v>
      </c>
      <c r="K26" s="110">
        <f t="shared" si="0"/>
        <v>2215.4285714285716</v>
      </c>
      <c r="L26" s="107">
        <f t="shared" si="1"/>
        <v>1107.7142857142858</v>
      </c>
      <c r="M26" s="183">
        <v>500</v>
      </c>
      <c r="N26" s="129">
        <f t="shared" si="2"/>
        <v>1715.4285714285716</v>
      </c>
    </row>
    <row r="27" spans="1:14" ht="19.7" customHeight="1" x14ac:dyDescent="0.25">
      <c r="A27" s="903"/>
      <c r="B27" s="70" t="s">
        <v>464</v>
      </c>
      <c r="C27" s="32" t="s">
        <v>35</v>
      </c>
      <c r="D27" s="24" t="s">
        <v>509</v>
      </c>
      <c r="E27" s="32" t="s">
        <v>501</v>
      </c>
      <c r="F27" s="90" t="s">
        <v>36</v>
      </c>
      <c r="G27" s="117" t="s">
        <v>464</v>
      </c>
      <c r="H27" s="117" t="s">
        <v>35</v>
      </c>
      <c r="I27" s="98">
        <v>1563.4285714285713</v>
      </c>
      <c r="K27" s="110">
        <f t="shared" si="0"/>
        <v>3126.8571428571427</v>
      </c>
      <c r="L27" s="107">
        <f t="shared" si="1"/>
        <v>1563.4285714285713</v>
      </c>
      <c r="M27" s="183">
        <v>100</v>
      </c>
      <c r="N27" s="129">
        <f t="shared" si="2"/>
        <v>3026.8571428571427</v>
      </c>
    </row>
    <row r="28" spans="1:14" ht="19.7" customHeight="1" x14ac:dyDescent="0.25">
      <c r="A28" s="903"/>
      <c r="B28" s="70" t="s">
        <v>464</v>
      </c>
      <c r="C28" s="32" t="s">
        <v>41</v>
      </c>
      <c r="D28" s="24" t="s">
        <v>509</v>
      </c>
      <c r="E28" s="32" t="s">
        <v>501</v>
      </c>
      <c r="F28" s="90" t="s">
        <v>42</v>
      </c>
      <c r="G28" s="117" t="s">
        <v>464</v>
      </c>
      <c r="H28" s="117" t="s">
        <v>41</v>
      </c>
      <c r="I28" s="98">
        <v>3252</v>
      </c>
      <c r="K28" s="50">
        <f t="shared" si="0"/>
        <v>6504</v>
      </c>
      <c r="L28" s="107">
        <f t="shared" si="1"/>
        <v>3252</v>
      </c>
      <c r="M28" s="183">
        <v>1569</v>
      </c>
      <c r="N28" s="129">
        <f t="shared" si="2"/>
        <v>4935</v>
      </c>
    </row>
    <row r="29" spans="1:14" ht="19.7" customHeight="1" x14ac:dyDescent="0.25">
      <c r="A29" s="903"/>
      <c r="B29" s="70" t="s">
        <v>464</v>
      </c>
      <c r="C29" s="32" t="s">
        <v>43</v>
      </c>
      <c r="D29" s="24" t="s">
        <v>509</v>
      </c>
      <c r="E29" s="32" t="s">
        <v>501</v>
      </c>
      <c r="F29" s="90" t="s">
        <v>44</v>
      </c>
      <c r="G29" s="117" t="s">
        <v>464</v>
      </c>
      <c r="H29" s="117" t="s">
        <v>43</v>
      </c>
      <c r="I29" s="93">
        <v>594.85714285714289</v>
      </c>
      <c r="K29" s="110">
        <f t="shared" si="0"/>
        <v>1189.7142857142858</v>
      </c>
      <c r="L29" s="107">
        <f t="shared" si="1"/>
        <v>594.85714285714289</v>
      </c>
      <c r="M29" s="183">
        <v>400</v>
      </c>
      <c r="N29" s="129">
        <f t="shared" si="2"/>
        <v>789.71428571428578</v>
      </c>
    </row>
    <row r="30" spans="1:14" ht="19.7" hidden="1" customHeight="1" x14ac:dyDescent="0.25">
      <c r="A30" s="903"/>
      <c r="B30" s="70" t="s">
        <v>483</v>
      </c>
      <c r="C30" s="79" t="s">
        <v>373</v>
      </c>
      <c r="D30" s="23" t="s">
        <v>509</v>
      </c>
      <c r="E30" s="43" t="s">
        <v>340</v>
      </c>
      <c r="F30" s="90" t="s">
        <v>378</v>
      </c>
      <c r="G30" s="117" t="s">
        <v>483</v>
      </c>
      <c r="H30" s="121" t="s">
        <v>373</v>
      </c>
      <c r="I30" s="100">
        <v>147</v>
      </c>
      <c r="K30" s="50"/>
      <c r="L30" s="107"/>
      <c r="M30" s="183"/>
      <c r="N30" s="129"/>
    </row>
    <row r="31" spans="1:14" ht="19.7" hidden="1" customHeight="1" x14ac:dyDescent="0.25">
      <c r="A31" s="903"/>
      <c r="B31" s="70" t="s">
        <v>483</v>
      </c>
      <c r="C31" s="32" t="s">
        <v>374</v>
      </c>
      <c r="D31" s="23" t="s">
        <v>509</v>
      </c>
      <c r="E31" s="43" t="s">
        <v>340</v>
      </c>
      <c r="F31" s="90" t="s">
        <v>379</v>
      </c>
      <c r="G31" s="117" t="s">
        <v>483</v>
      </c>
      <c r="H31" s="117" t="s">
        <v>374</v>
      </c>
      <c r="I31" s="98">
        <v>478.28571428571428</v>
      </c>
      <c r="K31" s="110"/>
      <c r="L31" s="107"/>
      <c r="M31" s="183"/>
      <c r="N31" s="129"/>
    </row>
    <row r="32" spans="1:14" ht="19.7" hidden="1" customHeight="1" x14ac:dyDescent="0.25">
      <c r="A32" s="903"/>
      <c r="B32" s="70" t="s">
        <v>483</v>
      </c>
      <c r="C32" s="79" t="s">
        <v>375</v>
      </c>
      <c r="D32" s="23" t="s">
        <v>509</v>
      </c>
      <c r="E32" s="43" t="s">
        <v>340</v>
      </c>
      <c r="F32" s="90" t="s">
        <v>380</v>
      </c>
      <c r="G32" s="117" t="s">
        <v>483</v>
      </c>
      <c r="H32" s="121" t="s">
        <v>375</v>
      </c>
      <c r="I32" s="93">
        <v>237</v>
      </c>
      <c r="K32" s="50"/>
      <c r="L32" s="107"/>
      <c r="M32" s="183"/>
      <c r="N32" s="129"/>
    </row>
    <row r="33" spans="1:14" ht="19.7" hidden="1" customHeight="1" x14ac:dyDescent="0.25">
      <c r="A33" s="903"/>
      <c r="B33" s="70" t="s">
        <v>483</v>
      </c>
      <c r="C33" s="32" t="s">
        <v>228</v>
      </c>
      <c r="D33" s="23" t="s">
        <v>509</v>
      </c>
      <c r="E33" s="43" t="s">
        <v>340</v>
      </c>
      <c r="F33" s="90" t="s">
        <v>229</v>
      </c>
      <c r="G33" s="117" t="s">
        <v>483</v>
      </c>
      <c r="H33" s="117" t="s">
        <v>228</v>
      </c>
      <c r="I33" s="93">
        <v>103.71428571428571</v>
      </c>
      <c r="K33" s="110"/>
      <c r="L33" s="107"/>
      <c r="M33" s="183"/>
      <c r="N33" s="129"/>
    </row>
    <row r="34" spans="1:14" ht="19.7" hidden="1" customHeight="1" x14ac:dyDescent="0.25">
      <c r="A34" s="903"/>
      <c r="B34" s="70" t="s">
        <v>483</v>
      </c>
      <c r="C34" s="79" t="s">
        <v>383</v>
      </c>
      <c r="D34" s="23" t="s">
        <v>509</v>
      </c>
      <c r="E34" s="43" t="s">
        <v>340</v>
      </c>
      <c r="F34" s="90" t="s">
        <v>391</v>
      </c>
      <c r="G34" s="117" t="s">
        <v>483</v>
      </c>
      <c r="H34" s="121" t="s">
        <v>383</v>
      </c>
      <c r="I34" s="93">
        <v>51</v>
      </c>
      <c r="K34" s="50"/>
      <c r="L34" s="107"/>
      <c r="M34" s="183"/>
      <c r="N34" s="129"/>
    </row>
    <row r="35" spans="1:14" ht="19.7" hidden="1" customHeight="1" x14ac:dyDescent="0.25">
      <c r="A35" s="903"/>
      <c r="B35" s="70" t="s">
        <v>483</v>
      </c>
      <c r="C35" s="32" t="s">
        <v>230</v>
      </c>
      <c r="D35" s="23" t="s">
        <v>509</v>
      </c>
      <c r="E35" s="43" t="s">
        <v>340</v>
      </c>
      <c r="F35" s="90" t="s">
        <v>231</v>
      </c>
      <c r="G35" s="117" t="s">
        <v>483</v>
      </c>
      <c r="H35" s="117" t="s">
        <v>230</v>
      </c>
      <c r="I35" s="93">
        <v>958.28571428571433</v>
      </c>
      <c r="K35" s="50"/>
      <c r="L35" s="107"/>
      <c r="M35" s="183"/>
      <c r="N35" s="129"/>
    </row>
    <row r="36" spans="1:14" ht="19.7" hidden="1" customHeight="1" x14ac:dyDescent="0.25">
      <c r="A36" s="903"/>
      <c r="B36" s="70" t="s">
        <v>483</v>
      </c>
      <c r="C36" s="32" t="s">
        <v>232</v>
      </c>
      <c r="D36" s="23" t="s">
        <v>509</v>
      </c>
      <c r="E36" s="43" t="s">
        <v>340</v>
      </c>
      <c r="F36" s="90" t="s">
        <v>233</v>
      </c>
      <c r="G36" s="117" t="s">
        <v>483</v>
      </c>
      <c r="H36" s="117" t="s">
        <v>232</v>
      </c>
      <c r="I36" s="93">
        <v>1150.2857142857142</v>
      </c>
      <c r="K36" s="50"/>
      <c r="L36" s="107"/>
      <c r="M36" s="183"/>
      <c r="N36" s="129"/>
    </row>
    <row r="37" spans="1:14" ht="19.7" hidden="1" customHeight="1" x14ac:dyDescent="0.25">
      <c r="A37" s="903"/>
      <c r="B37" s="70" t="s">
        <v>483</v>
      </c>
      <c r="C37" s="32" t="s">
        <v>234</v>
      </c>
      <c r="D37" s="23" t="s">
        <v>509</v>
      </c>
      <c r="E37" s="43" t="s">
        <v>340</v>
      </c>
      <c r="F37" s="90" t="s">
        <v>235</v>
      </c>
      <c r="G37" s="117" t="s">
        <v>483</v>
      </c>
      <c r="H37" s="117" t="s">
        <v>234</v>
      </c>
      <c r="I37" s="93">
        <v>82.285714285714292</v>
      </c>
      <c r="K37" s="110"/>
      <c r="L37" s="107"/>
      <c r="M37" s="183"/>
      <c r="N37" s="129"/>
    </row>
    <row r="38" spans="1:14" ht="19.7" hidden="1" customHeight="1" x14ac:dyDescent="0.25">
      <c r="A38" s="903"/>
      <c r="B38" s="70" t="s">
        <v>483</v>
      </c>
      <c r="C38" s="32" t="s">
        <v>236</v>
      </c>
      <c r="D38" s="23" t="s">
        <v>509</v>
      </c>
      <c r="E38" s="43" t="s">
        <v>340</v>
      </c>
      <c r="F38" s="90" t="s">
        <v>237</v>
      </c>
      <c r="G38" s="117" t="s">
        <v>483</v>
      </c>
      <c r="H38" s="117" t="s">
        <v>236</v>
      </c>
      <c r="I38" s="93">
        <v>0</v>
      </c>
      <c r="K38" s="50"/>
      <c r="L38" s="107"/>
      <c r="M38" s="183"/>
      <c r="N38" s="129"/>
    </row>
    <row r="39" spans="1:14" ht="19.7" hidden="1" customHeight="1" x14ac:dyDescent="0.25">
      <c r="A39" s="903"/>
      <c r="B39" s="70" t="s">
        <v>483</v>
      </c>
      <c r="C39" s="32">
        <v>36</v>
      </c>
      <c r="D39" s="23" t="s">
        <v>511</v>
      </c>
      <c r="E39" s="43" t="s">
        <v>340</v>
      </c>
      <c r="F39" s="90" t="s">
        <v>40</v>
      </c>
      <c r="G39" s="117" t="s">
        <v>483</v>
      </c>
      <c r="H39" s="117">
        <v>36</v>
      </c>
      <c r="I39" s="93">
        <v>384</v>
      </c>
      <c r="K39" s="50"/>
      <c r="L39" s="107"/>
      <c r="M39" s="183"/>
      <c r="N39" s="129"/>
    </row>
    <row r="40" spans="1:14" ht="19.7" hidden="1" customHeight="1" x14ac:dyDescent="0.25">
      <c r="A40" s="903"/>
      <c r="B40" s="70" t="s">
        <v>483</v>
      </c>
      <c r="C40" s="32"/>
      <c r="D40" s="23" t="s">
        <v>509</v>
      </c>
      <c r="E40" s="43" t="s">
        <v>340</v>
      </c>
      <c r="F40" s="90"/>
      <c r="G40" s="117" t="s">
        <v>483</v>
      </c>
      <c r="H40" s="117"/>
      <c r="I40" s="101">
        <f>SUM(I30:I39)</f>
        <v>3591.8571428571427</v>
      </c>
      <c r="K40" s="110">
        <f t="shared" si="0"/>
        <v>7183.7142857142853</v>
      </c>
      <c r="L40" s="107">
        <f t="shared" si="1"/>
        <v>3591.8571428571427</v>
      </c>
      <c r="M40" s="183">
        <v>48000</v>
      </c>
      <c r="N40" s="129">
        <f t="shared" si="2"/>
        <v>-40816.285714285717</v>
      </c>
    </row>
    <row r="41" spans="1:14" ht="19.7" customHeight="1" x14ac:dyDescent="0.25">
      <c r="A41" s="903"/>
      <c r="B41" s="70" t="s">
        <v>483</v>
      </c>
      <c r="C41" s="32" t="s">
        <v>29</v>
      </c>
      <c r="D41" s="24" t="s">
        <v>509</v>
      </c>
      <c r="E41" s="32" t="s">
        <v>501</v>
      </c>
      <c r="F41" s="90" t="s">
        <v>30</v>
      </c>
      <c r="G41" s="117" t="s">
        <v>483</v>
      </c>
      <c r="H41" s="117" t="s">
        <v>29</v>
      </c>
      <c r="I41" s="93">
        <v>2828.5714285714284</v>
      </c>
      <c r="K41" s="110">
        <f t="shared" si="0"/>
        <v>5657.1428571428569</v>
      </c>
      <c r="L41" s="107">
        <f t="shared" si="1"/>
        <v>2828.5714285714284</v>
      </c>
      <c r="M41" s="183">
        <v>4000</v>
      </c>
      <c r="N41" s="129">
        <f t="shared" si="2"/>
        <v>1657.1428571428569</v>
      </c>
    </row>
    <row r="42" spans="1:14" ht="19.7" customHeight="1" x14ac:dyDescent="0.25">
      <c r="A42" s="903"/>
      <c r="B42" s="70" t="s">
        <v>483</v>
      </c>
      <c r="C42" s="32" t="s">
        <v>155</v>
      </c>
      <c r="D42" s="24" t="s">
        <v>452</v>
      </c>
      <c r="E42" s="32" t="s">
        <v>501</v>
      </c>
      <c r="F42" s="90" t="s">
        <v>156</v>
      </c>
      <c r="G42" s="117" t="s">
        <v>483</v>
      </c>
      <c r="H42" s="117" t="s">
        <v>155</v>
      </c>
      <c r="I42" s="98">
        <v>288</v>
      </c>
      <c r="K42" s="50">
        <f t="shared" si="0"/>
        <v>576</v>
      </c>
      <c r="L42" s="107">
        <f t="shared" si="1"/>
        <v>288</v>
      </c>
      <c r="M42" s="183"/>
      <c r="N42" s="129">
        <f t="shared" si="2"/>
        <v>576</v>
      </c>
    </row>
    <row r="43" spans="1:14" ht="19.7" hidden="1" customHeight="1" x14ac:dyDescent="0.25">
      <c r="A43" s="903"/>
      <c r="B43" s="70" t="s">
        <v>459</v>
      </c>
      <c r="C43" s="32" t="s">
        <v>358</v>
      </c>
      <c r="D43" s="23" t="s">
        <v>509</v>
      </c>
      <c r="E43" s="43" t="s">
        <v>496</v>
      </c>
      <c r="F43" s="125" t="s">
        <v>360</v>
      </c>
      <c r="G43" s="117" t="s">
        <v>459</v>
      </c>
      <c r="H43" s="117" t="s">
        <v>358</v>
      </c>
      <c r="I43" s="98">
        <v>102</v>
      </c>
      <c r="K43" s="50">
        <f t="shared" si="0"/>
        <v>204</v>
      </c>
      <c r="L43" s="107">
        <f t="shared" si="1"/>
        <v>102</v>
      </c>
      <c r="M43" s="183"/>
      <c r="N43" s="129"/>
    </row>
    <row r="44" spans="1:14" ht="19.7" hidden="1" customHeight="1" x14ac:dyDescent="0.25">
      <c r="A44" s="903"/>
      <c r="B44" s="70" t="s">
        <v>459</v>
      </c>
      <c r="C44" s="78" t="s">
        <v>362</v>
      </c>
      <c r="D44" s="23" t="s">
        <v>509</v>
      </c>
      <c r="E44" s="43" t="s">
        <v>497</v>
      </c>
      <c r="F44" s="125" t="s">
        <v>368</v>
      </c>
      <c r="G44" s="117" t="s">
        <v>459</v>
      </c>
      <c r="H44" s="120" t="s">
        <v>362</v>
      </c>
      <c r="I44" s="98">
        <v>209.14285714285714</v>
      </c>
      <c r="K44" s="110">
        <f t="shared" si="0"/>
        <v>418.28571428571428</v>
      </c>
      <c r="L44" s="107">
        <f t="shared" si="1"/>
        <v>209.14285714285714</v>
      </c>
      <c r="M44" s="183"/>
      <c r="N44" s="129"/>
    </row>
    <row r="45" spans="1:14" ht="19.7" hidden="1" customHeight="1" x14ac:dyDescent="0.25">
      <c r="A45" s="903"/>
      <c r="B45" s="70" t="s">
        <v>459</v>
      </c>
      <c r="C45" s="32" t="s">
        <v>390</v>
      </c>
      <c r="D45" s="23" t="s">
        <v>509</v>
      </c>
      <c r="E45" s="43" t="s">
        <v>496</v>
      </c>
      <c r="F45" s="125" t="s">
        <v>398</v>
      </c>
      <c r="G45" s="117" t="s">
        <v>459</v>
      </c>
      <c r="H45" s="117" t="s">
        <v>390</v>
      </c>
      <c r="I45" s="98">
        <v>155.14285714285714</v>
      </c>
      <c r="K45" s="110">
        <f t="shared" si="0"/>
        <v>310.28571428571428</v>
      </c>
      <c r="L45" s="107">
        <f t="shared" si="1"/>
        <v>155.14285714285714</v>
      </c>
      <c r="M45" s="183"/>
      <c r="N45" s="129"/>
    </row>
    <row r="46" spans="1:14" ht="19.7" hidden="1" customHeight="1" x14ac:dyDescent="0.25">
      <c r="A46" s="903"/>
      <c r="B46" s="70" t="s">
        <v>459</v>
      </c>
      <c r="C46" s="32" t="s">
        <v>338</v>
      </c>
      <c r="D46" s="23" t="s">
        <v>509</v>
      </c>
      <c r="E46" s="43" t="s">
        <v>496</v>
      </c>
      <c r="F46" s="125" t="s">
        <v>400</v>
      </c>
      <c r="G46" s="117" t="s">
        <v>459</v>
      </c>
      <c r="H46" s="117" t="s">
        <v>338</v>
      </c>
      <c r="I46" s="98">
        <v>1129.7142857142858</v>
      </c>
      <c r="K46" s="110">
        <f t="shared" si="0"/>
        <v>2259.4285714285716</v>
      </c>
      <c r="L46" s="107">
        <f t="shared" si="1"/>
        <v>1129.7142857142858</v>
      </c>
      <c r="M46" s="183"/>
      <c r="N46" s="129"/>
    </row>
    <row r="47" spans="1:14" ht="19.7" hidden="1" customHeight="1" x14ac:dyDescent="0.25">
      <c r="A47" s="903"/>
      <c r="B47" s="70" t="s">
        <v>459</v>
      </c>
      <c r="C47" s="32" t="s">
        <v>410</v>
      </c>
      <c r="D47" s="23" t="s">
        <v>509</v>
      </c>
      <c r="E47" s="43" t="s">
        <v>496</v>
      </c>
      <c r="F47" s="125" t="s">
        <v>411</v>
      </c>
      <c r="G47" s="117" t="s">
        <v>459</v>
      </c>
      <c r="H47" s="117" t="s">
        <v>410</v>
      </c>
      <c r="I47" s="98">
        <v>848.57142857142856</v>
      </c>
      <c r="K47" s="110">
        <f t="shared" si="0"/>
        <v>1697.1428571428571</v>
      </c>
      <c r="L47" s="107">
        <f t="shared" si="1"/>
        <v>848.57142857142856</v>
      </c>
      <c r="M47" s="183"/>
      <c r="N47" s="129"/>
    </row>
    <row r="48" spans="1:14" ht="19.7" hidden="1" customHeight="1" x14ac:dyDescent="0.25">
      <c r="A48" s="903"/>
      <c r="B48" s="70" t="s">
        <v>494</v>
      </c>
      <c r="C48" s="32" t="s">
        <v>63</v>
      </c>
      <c r="D48" s="23" t="s">
        <v>509</v>
      </c>
      <c r="E48" s="43" t="s">
        <v>341</v>
      </c>
      <c r="F48" s="896" t="s">
        <v>64</v>
      </c>
      <c r="G48" s="117" t="s">
        <v>494</v>
      </c>
      <c r="H48" s="891" t="s">
        <v>63</v>
      </c>
      <c r="I48" s="98">
        <v>22355.285714285714</v>
      </c>
      <c r="K48" s="893">
        <f>+I48</f>
        <v>22355.285714285714</v>
      </c>
      <c r="L48" s="107">
        <f>+K48/2</f>
        <v>11177.642857142857</v>
      </c>
      <c r="M48" s="895">
        <v>8436</v>
      </c>
      <c r="N48" s="901">
        <v>-70.571428571428442</v>
      </c>
    </row>
    <row r="49" spans="1:14" ht="19.7" hidden="1" customHeight="1" x14ac:dyDescent="0.25">
      <c r="A49" s="903"/>
      <c r="B49" s="70" t="s">
        <v>491</v>
      </c>
      <c r="C49" s="32" t="s">
        <v>63</v>
      </c>
      <c r="D49" s="23" t="s">
        <v>509</v>
      </c>
      <c r="E49" s="43" t="s">
        <v>341</v>
      </c>
      <c r="F49" s="897"/>
      <c r="G49" s="117" t="s">
        <v>491</v>
      </c>
      <c r="H49" s="892"/>
      <c r="I49" s="98">
        <v>22355.285714285714</v>
      </c>
      <c r="K49" s="894"/>
      <c r="L49" s="107">
        <f>+K49/2</f>
        <v>0</v>
      </c>
      <c r="M49" s="890"/>
      <c r="N49" s="900"/>
    </row>
    <row r="50" spans="1:14" ht="19.7" hidden="1" customHeight="1" x14ac:dyDescent="0.25">
      <c r="A50" s="903"/>
      <c r="B50" s="70" t="s">
        <v>466</v>
      </c>
      <c r="C50" s="32" t="s">
        <v>91</v>
      </c>
      <c r="D50" s="23" t="s">
        <v>509</v>
      </c>
      <c r="E50" s="43" t="s">
        <v>495</v>
      </c>
      <c r="F50" s="90" t="s">
        <v>92</v>
      </c>
      <c r="G50" s="117" t="s">
        <v>466</v>
      </c>
      <c r="H50" s="117" t="s">
        <v>91</v>
      </c>
      <c r="I50" s="98">
        <v>459.42857142857144</v>
      </c>
      <c r="K50" s="110">
        <f t="shared" si="0"/>
        <v>918.85714285714289</v>
      </c>
      <c r="L50" s="107">
        <f t="shared" si="1"/>
        <v>459.42857142857144</v>
      </c>
      <c r="M50" s="183">
        <v>3950</v>
      </c>
      <c r="N50" s="129">
        <f t="shared" ref="N50:N113" si="3">+K50-M50</f>
        <v>-3031.1428571428569</v>
      </c>
    </row>
    <row r="51" spans="1:14" ht="19.7" hidden="1" customHeight="1" x14ac:dyDescent="0.25">
      <c r="A51" s="903"/>
      <c r="B51" s="70" t="s">
        <v>466</v>
      </c>
      <c r="C51" s="32" t="s">
        <v>89</v>
      </c>
      <c r="D51" s="23" t="s">
        <v>509</v>
      </c>
      <c r="E51" s="43" t="s">
        <v>495</v>
      </c>
      <c r="F51" s="90" t="s">
        <v>90</v>
      </c>
      <c r="G51" s="117" t="s">
        <v>466</v>
      </c>
      <c r="H51" s="117" t="s">
        <v>89</v>
      </c>
      <c r="I51" s="98">
        <v>456</v>
      </c>
      <c r="K51" s="50">
        <f t="shared" si="0"/>
        <v>912</v>
      </c>
      <c r="L51" s="107">
        <f t="shared" si="1"/>
        <v>456</v>
      </c>
      <c r="M51" s="183">
        <v>1000</v>
      </c>
      <c r="N51" s="129">
        <f t="shared" si="3"/>
        <v>-88</v>
      </c>
    </row>
    <row r="52" spans="1:14" ht="19.7" hidden="1" customHeight="1" x14ac:dyDescent="0.25">
      <c r="A52" s="903"/>
      <c r="B52" s="70" t="s">
        <v>466</v>
      </c>
      <c r="C52" s="32" t="s">
        <v>97</v>
      </c>
      <c r="D52" s="23" t="s">
        <v>509</v>
      </c>
      <c r="E52" s="43" t="s">
        <v>495</v>
      </c>
      <c r="F52" s="90" t="s">
        <v>98</v>
      </c>
      <c r="G52" s="117" t="s">
        <v>466</v>
      </c>
      <c r="H52" s="117" t="s">
        <v>97</v>
      </c>
      <c r="I52" s="98">
        <v>264</v>
      </c>
      <c r="K52" s="50">
        <f t="shared" si="0"/>
        <v>528</v>
      </c>
      <c r="L52" s="107">
        <f t="shared" si="1"/>
        <v>264</v>
      </c>
      <c r="M52" s="183">
        <v>1000</v>
      </c>
      <c r="N52" s="129">
        <f t="shared" si="3"/>
        <v>-472</v>
      </c>
    </row>
    <row r="53" spans="1:14" ht="19.7" hidden="1" customHeight="1" x14ac:dyDescent="0.25">
      <c r="A53" s="903"/>
      <c r="B53" s="70" t="s">
        <v>476</v>
      </c>
      <c r="C53" s="32" t="s">
        <v>21</v>
      </c>
      <c r="D53" s="24" t="s">
        <v>509</v>
      </c>
      <c r="E53" s="32" t="s">
        <v>501</v>
      </c>
      <c r="F53" s="90" t="s">
        <v>22</v>
      </c>
      <c r="G53" s="117" t="s">
        <v>476</v>
      </c>
      <c r="H53" s="117" t="s">
        <v>21</v>
      </c>
      <c r="I53" s="98">
        <v>2629.7142857142858</v>
      </c>
      <c r="K53" s="110">
        <f t="shared" si="0"/>
        <v>5259.4285714285716</v>
      </c>
      <c r="L53" s="107">
        <f t="shared" si="1"/>
        <v>2629.7142857142858</v>
      </c>
      <c r="M53" s="183">
        <v>5330</v>
      </c>
      <c r="N53" s="129">
        <f t="shared" si="3"/>
        <v>-70.571428571428442</v>
      </c>
    </row>
    <row r="54" spans="1:14" ht="19.7" hidden="1" customHeight="1" x14ac:dyDescent="0.25">
      <c r="A54" s="903"/>
      <c r="B54" s="70" t="s">
        <v>476</v>
      </c>
      <c r="C54" s="32" t="s">
        <v>23</v>
      </c>
      <c r="D54" s="24" t="s">
        <v>509</v>
      </c>
      <c r="E54" s="32" t="s">
        <v>501</v>
      </c>
      <c r="F54" s="90" t="s">
        <v>24</v>
      </c>
      <c r="G54" s="117" t="s">
        <v>476</v>
      </c>
      <c r="H54" s="117" t="s">
        <v>23</v>
      </c>
      <c r="I54" s="98">
        <v>4687.2857142857147</v>
      </c>
      <c r="K54" s="110">
        <f t="shared" si="0"/>
        <v>9374.5714285714294</v>
      </c>
      <c r="L54" s="107">
        <f t="shared" si="1"/>
        <v>4687.2857142857147</v>
      </c>
      <c r="M54" s="183">
        <v>13260</v>
      </c>
      <c r="N54" s="129">
        <f t="shared" si="3"/>
        <v>-3885.4285714285706</v>
      </c>
    </row>
    <row r="55" spans="1:14" ht="19.7" hidden="1" customHeight="1" x14ac:dyDescent="0.25">
      <c r="A55" s="903"/>
      <c r="B55" s="70" t="s">
        <v>476</v>
      </c>
      <c r="C55" s="32" t="s">
        <v>25</v>
      </c>
      <c r="D55" s="24" t="s">
        <v>509</v>
      </c>
      <c r="E55" s="32" t="s">
        <v>501</v>
      </c>
      <c r="F55" s="90" t="s">
        <v>26</v>
      </c>
      <c r="G55" s="117" t="s">
        <v>476</v>
      </c>
      <c r="H55" s="117" t="s">
        <v>25</v>
      </c>
      <c r="I55" s="98">
        <v>6627.4285714285716</v>
      </c>
      <c r="K55" s="110">
        <f t="shared" si="0"/>
        <v>13254.857142857143</v>
      </c>
      <c r="L55" s="107">
        <f t="shared" si="1"/>
        <v>6627.4285714285716</v>
      </c>
      <c r="M55" s="183">
        <v>13500</v>
      </c>
      <c r="N55" s="129">
        <f t="shared" si="3"/>
        <v>-245.14285714285688</v>
      </c>
    </row>
    <row r="56" spans="1:14" ht="19.7" hidden="1" customHeight="1" x14ac:dyDescent="0.25">
      <c r="A56" s="903"/>
      <c r="B56" s="70" t="s">
        <v>476</v>
      </c>
      <c r="C56" s="32" t="s">
        <v>151</v>
      </c>
      <c r="D56" s="24" t="s">
        <v>452</v>
      </c>
      <c r="E56" s="32" t="s">
        <v>501</v>
      </c>
      <c r="F56" s="90" t="s">
        <v>152</v>
      </c>
      <c r="G56" s="117" t="s">
        <v>476</v>
      </c>
      <c r="H56" s="117" t="s">
        <v>151</v>
      </c>
      <c r="I56" s="98">
        <v>0</v>
      </c>
      <c r="K56" s="50">
        <f t="shared" si="0"/>
        <v>0</v>
      </c>
      <c r="L56" s="107">
        <f t="shared" si="1"/>
        <v>0</v>
      </c>
      <c r="M56" s="183"/>
      <c r="N56" s="129"/>
    </row>
    <row r="57" spans="1:14" ht="19.7" hidden="1" customHeight="1" x14ac:dyDescent="0.25">
      <c r="A57" s="903"/>
      <c r="B57" s="70" t="s">
        <v>488</v>
      </c>
      <c r="C57" s="32" t="s">
        <v>53</v>
      </c>
      <c r="D57" s="23" t="s">
        <v>509</v>
      </c>
      <c r="E57" s="43" t="s">
        <v>495</v>
      </c>
      <c r="F57" s="90" t="s">
        <v>54</v>
      </c>
      <c r="G57" s="117" t="s">
        <v>488</v>
      </c>
      <c r="H57" s="117" t="s">
        <v>53</v>
      </c>
      <c r="I57" s="98">
        <v>450.85714285714283</v>
      </c>
      <c r="K57" s="110">
        <f t="shared" si="0"/>
        <v>901.71428571428567</v>
      </c>
      <c r="L57" s="107">
        <f t="shared" si="1"/>
        <v>450.85714285714283</v>
      </c>
      <c r="M57" s="183">
        <v>9600</v>
      </c>
      <c r="N57" s="129">
        <f t="shared" si="3"/>
        <v>-8698.2857142857138</v>
      </c>
    </row>
    <row r="58" spans="1:14" ht="19.7" hidden="1" customHeight="1" x14ac:dyDescent="0.25">
      <c r="A58" s="903"/>
      <c r="B58" s="70" t="s">
        <v>465</v>
      </c>
      <c r="C58" s="32" t="s">
        <v>414</v>
      </c>
      <c r="D58" s="23" t="s">
        <v>509</v>
      </c>
      <c r="E58" s="43" t="s">
        <v>498</v>
      </c>
      <c r="F58" s="125" t="s">
        <v>416</v>
      </c>
      <c r="G58" s="117" t="s">
        <v>465</v>
      </c>
      <c r="H58" s="117" t="s">
        <v>414</v>
      </c>
      <c r="I58" s="98">
        <v>190.28571428571428</v>
      </c>
      <c r="K58" s="110">
        <f t="shared" si="0"/>
        <v>380.57142857142856</v>
      </c>
      <c r="L58" s="107">
        <f t="shared" si="1"/>
        <v>190.28571428571428</v>
      </c>
      <c r="M58" s="183"/>
      <c r="N58" s="129"/>
    </row>
    <row r="59" spans="1:14" ht="19.7" hidden="1" customHeight="1" x14ac:dyDescent="0.25">
      <c r="A59" s="903"/>
      <c r="B59" s="70" t="s">
        <v>465</v>
      </c>
      <c r="C59" s="32" t="s">
        <v>415</v>
      </c>
      <c r="D59" s="23" t="s">
        <v>509</v>
      </c>
      <c r="E59" s="43" t="s">
        <v>498</v>
      </c>
      <c r="F59" s="125" t="s">
        <v>417</v>
      </c>
      <c r="G59" s="117" t="s">
        <v>465</v>
      </c>
      <c r="H59" s="117" t="s">
        <v>415</v>
      </c>
      <c r="I59" s="98">
        <v>48</v>
      </c>
      <c r="K59" s="50">
        <f t="shared" si="0"/>
        <v>96</v>
      </c>
      <c r="L59" s="107">
        <f t="shared" si="1"/>
        <v>48</v>
      </c>
      <c r="M59" s="183"/>
      <c r="N59" s="129"/>
    </row>
    <row r="60" spans="1:14" ht="19.7" hidden="1" customHeight="1" x14ac:dyDescent="0.25">
      <c r="A60" s="903"/>
      <c r="B60" s="70" t="s">
        <v>465</v>
      </c>
      <c r="C60" s="32" t="s">
        <v>339</v>
      </c>
      <c r="D60" s="23" t="s">
        <v>509</v>
      </c>
      <c r="E60" s="43" t="s">
        <v>496</v>
      </c>
      <c r="F60" s="125" t="s">
        <v>418</v>
      </c>
      <c r="G60" s="117" t="s">
        <v>465</v>
      </c>
      <c r="H60" s="117" t="s">
        <v>339</v>
      </c>
      <c r="I60" s="98">
        <v>768</v>
      </c>
      <c r="K60" s="50">
        <f t="shared" si="0"/>
        <v>1536</v>
      </c>
      <c r="L60" s="107">
        <f t="shared" si="1"/>
        <v>768</v>
      </c>
      <c r="M60" s="183"/>
      <c r="N60" s="129"/>
    </row>
    <row r="61" spans="1:14" ht="19.7" hidden="1" customHeight="1" x14ac:dyDescent="0.25">
      <c r="A61" s="903"/>
      <c r="B61" s="70" t="s">
        <v>465</v>
      </c>
      <c r="C61" s="79" t="s">
        <v>420</v>
      </c>
      <c r="D61" s="23" t="s">
        <v>509</v>
      </c>
      <c r="E61" s="43" t="s">
        <v>497</v>
      </c>
      <c r="F61" s="125" t="s">
        <v>422</v>
      </c>
      <c r="G61" s="117" t="s">
        <v>465</v>
      </c>
      <c r="H61" s="121" t="s">
        <v>420</v>
      </c>
      <c r="I61" s="98">
        <v>148</v>
      </c>
      <c r="K61" s="50">
        <f t="shared" si="0"/>
        <v>296</v>
      </c>
      <c r="L61" s="107">
        <f t="shared" si="1"/>
        <v>148</v>
      </c>
      <c r="M61" s="183"/>
      <c r="N61" s="129"/>
    </row>
    <row r="62" spans="1:14" ht="19.7" hidden="1" customHeight="1" x14ac:dyDescent="0.25">
      <c r="A62" s="903"/>
      <c r="B62" s="70" t="s">
        <v>465</v>
      </c>
      <c r="C62" s="32" t="s">
        <v>427</v>
      </c>
      <c r="D62" s="23" t="s">
        <v>509</v>
      </c>
      <c r="E62" s="43" t="s">
        <v>499</v>
      </c>
      <c r="F62" s="125" t="s">
        <v>428</v>
      </c>
      <c r="G62" s="117" t="s">
        <v>465</v>
      </c>
      <c r="H62" s="117" t="s">
        <v>427</v>
      </c>
      <c r="I62" s="98">
        <v>305.14285714285717</v>
      </c>
      <c r="K62" s="110">
        <f t="shared" si="0"/>
        <v>610.28571428571433</v>
      </c>
      <c r="L62" s="107">
        <f t="shared" si="1"/>
        <v>305.14285714285717</v>
      </c>
      <c r="M62" s="183"/>
      <c r="N62" s="129"/>
    </row>
    <row r="63" spans="1:14" ht="19.7" customHeight="1" x14ac:dyDescent="0.25">
      <c r="A63" s="903"/>
      <c r="B63" s="70" t="s">
        <v>470</v>
      </c>
      <c r="C63" s="32" t="s">
        <v>73</v>
      </c>
      <c r="D63" s="23" t="s">
        <v>509</v>
      </c>
      <c r="E63" s="43" t="s">
        <v>495</v>
      </c>
      <c r="F63" s="90" t="s">
        <v>74</v>
      </c>
      <c r="G63" s="117" t="s">
        <v>470</v>
      </c>
      <c r="H63" s="117" t="s">
        <v>73</v>
      </c>
      <c r="I63" s="93">
        <v>17541.714285714286</v>
      </c>
      <c r="K63" s="110">
        <f t="shared" si="0"/>
        <v>35083.428571428572</v>
      </c>
      <c r="L63" s="107">
        <f t="shared" si="1"/>
        <v>17541.714285714286</v>
      </c>
      <c r="M63" s="183">
        <v>5500</v>
      </c>
      <c r="N63" s="129">
        <f t="shared" si="3"/>
        <v>29583.428571428572</v>
      </c>
    </row>
    <row r="64" spans="1:14" ht="19.7" hidden="1" customHeight="1" x14ac:dyDescent="0.25">
      <c r="A64" s="903"/>
      <c r="B64" s="70" t="s">
        <v>469</v>
      </c>
      <c r="C64" s="32" t="s">
        <v>83</v>
      </c>
      <c r="D64" s="23" t="s">
        <v>509</v>
      </c>
      <c r="E64" s="43" t="s">
        <v>495</v>
      </c>
      <c r="F64" s="90" t="s">
        <v>84</v>
      </c>
      <c r="G64" s="117" t="s">
        <v>469</v>
      </c>
      <c r="H64" s="117" t="s">
        <v>83</v>
      </c>
      <c r="I64" s="98">
        <v>133.71428571428572</v>
      </c>
      <c r="K64" s="110">
        <f t="shared" si="0"/>
        <v>267.42857142857144</v>
      </c>
      <c r="L64" s="107">
        <f t="shared" si="1"/>
        <v>133.71428571428572</v>
      </c>
      <c r="M64" s="183">
        <v>1000</v>
      </c>
      <c r="N64" s="129">
        <f t="shared" si="3"/>
        <v>-732.57142857142856</v>
      </c>
    </row>
    <row r="65" spans="1:14" ht="19.7" hidden="1" customHeight="1" x14ac:dyDescent="0.25">
      <c r="A65" s="903"/>
      <c r="B65" s="70" t="s">
        <v>469</v>
      </c>
      <c r="C65" s="32" t="s">
        <v>85</v>
      </c>
      <c r="D65" s="23" t="s">
        <v>509</v>
      </c>
      <c r="E65" s="43" t="s">
        <v>495</v>
      </c>
      <c r="F65" s="90" t="s">
        <v>86</v>
      </c>
      <c r="G65" s="117" t="s">
        <v>469</v>
      </c>
      <c r="H65" s="117" t="s">
        <v>85</v>
      </c>
      <c r="I65" s="98">
        <v>1556.5714285714287</v>
      </c>
      <c r="K65" s="110">
        <f t="shared" si="0"/>
        <v>3113.1428571428573</v>
      </c>
      <c r="L65" s="107">
        <f t="shared" si="1"/>
        <v>1556.5714285714287</v>
      </c>
      <c r="M65" s="183">
        <v>600</v>
      </c>
      <c r="N65" s="129">
        <f t="shared" si="3"/>
        <v>2513.1428571428573</v>
      </c>
    </row>
    <row r="66" spans="1:14" ht="19.7" hidden="1" customHeight="1" x14ac:dyDescent="0.25">
      <c r="A66" s="903"/>
      <c r="B66" s="70" t="s">
        <v>469</v>
      </c>
      <c r="C66" s="32" t="s">
        <v>87</v>
      </c>
      <c r="D66" s="23" t="s">
        <v>509</v>
      </c>
      <c r="E66" s="43" t="s">
        <v>495</v>
      </c>
      <c r="F66" s="90" t="s">
        <v>88</v>
      </c>
      <c r="G66" s="117" t="s">
        <v>469</v>
      </c>
      <c r="H66" s="117" t="s">
        <v>87</v>
      </c>
      <c r="I66" s="98">
        <v>92</v>
      </c>
      <c r="K66" s="50">
        <f t="shared" si="0"/>
        <v>184</v>
      </c>
      <c r="L66" s="107">
        <f t="shared" si="1"/>
        <v>92</v>
      </c>
      <c r="M66" s="183">
        <v>5000</v>
      </c>
      <c r="N66" s="129">
        <f t="shared" si="3"/>
        <v>-4816</v>
      </c>
    </row>
    <row r="67" spans="1:14" ht="19.7" hidden="1" customHeight="1" x14ac:dyDescent="0.25">
      <c r="A67" s="903"/>
      <c r="B67" s="70" t="s">
        <v>474</v>
      </c>
      <c r="C67" s="32" t="s">
        <v>139</v>
      </c>
      <c r="D67" s="23" t="s">
        <v>509</v>
      </c>
      <c r="E67" s="43" t="s">
        <v>495</v>
      </c>
      <c r="F67" s="90" t="s">
        <v>140</v>
      </c>
      <c r="G67" s="117" t="s">
        <v>474</v>
      </c>
      <c r="H67" s="117" t="s">
        <v>139</v>
      </c>
      <c r="I67" s="98">
        <v>336</v>
      </c>
      <c r="K67" s="50">
        <f t="shared" si="0"/>
        <v>672</v>
      </c>
      <c r="L67" s="107">
        <f t="shared" si="1"/>
        <v>336</v>
      </c>
      <c r="M67" s="183">
        <v>1600</v>
      </c>
      <c r="N67" s="129">
        <f>+K67-M67</f>
        <v>-928</v>
      </c>
    </row>
    <row r="68" spans="1:14" ht="19.7" hidden="1" customHeight="1" x14ac:dyDescent="0.25">
      <c r="A68" s="903"/>
      <c r="B68" s="70" t="s">
        <v>474</v>
      </c>
      <c r="C68" s="32" t="s">
        <v>141</v>
      </c>
      <c r="D68" s="23" t="s">
        <v>509</v>
      </c>
      <c r="E68" s="43" t="s">
        <v>495</v>
      </c>
      <c r="F68" s="90" t="s">
        <v>142</v>
      </c>
      <c r="G68" s="117" t="s">
        <v>474</v>
      </c>
      <c r="H68" s="117" t="s">
        <v>141</v>
      </c>
      <c r="I68" s="98">
        <v>222.85714285714286</v>
      </c>
      <c r="K68" s="110">
        <f t="shared" si="0"/>
        <v>445.71428571428572</v>
      </c>
      <c r="L68" s="107">
        <f t="shared" si="1"/>
        <v>222.85714285714286</v>
      </c>
      <c r="M68" s="183">
        <v>1100</v>
      </c>
      <c r="N68" s="129">
        <f t="shared" si="3"/>
        <v>-654.28571428571422</v>
      </c>
    </row>
    <row r="69" spans="1:14" ht="19.7" customHeight="1" x14ac:dyDescent="0.25">
      <c r="A69" s="903"/>
      <c r="B69" s="70" t="s">
        <v>474</v>
      </c>
      <c r="C69" s="32" t="s">
        <v>137</v>
      </c>
      <c r="D69" s="23" t="s">
        <v>509</v>
      </c>
      <c r="E69" s="43" t="s">
        <v>495</v>
      </c>
      <c r="F69" s="90" t="s">
        <v>138</v>
      </c>
      <c r="G69" s="117" t="s">
        <v>474</v>
      </c>
      <c r="H69" s="117" t="s">
        <v>137</v>
      </c>
      <c r="I69" s="98">
        <v>378.85714285714283</v>
      </c>
      <c r="K69" s="110">
        <f>+L69*2</f>
        <v>757.71428571428567</v>
      </c>
      <c r="L69" s="107">
        <f>+I69</f>
        <v>378.85714285714283</v>
      </c>
      <c r="M69" s="183">
        <v>100</v>
      </c>
      <c r="N69" s="129">
        <f t="shared" si="3"/>
        <v>657.71428571428567</v>
      </c>
    </row>
    <row r="70" spans="1:14" ht="19.7" customHeight="1" x14ac:dyDescent="0.25">
      <c r="A70" s="903"/>
      <c r="B70" s="70" t="s">
        <v>480</v>
      </c>
      <c r="C70" s="32" t="s">
        <v>125</v>
      </c>
      <c r="D70" s="23" t="s">
        <v>509</v>
      </c>
      <c r="E70" s="43" t="s">
        <v>495</v>
      </c>
      <c r="F70" s="90" t="s">
        <v>126</v>
      </c>
      <c r="G70" s="117" t="s">
        <v>480</v>
      </c>
      <c r="H70" s="117" t="s">
        <v>125</v>
      </c>
      <c r="I70" s="98">
        <v>399.42857142857144</v>
      </c>
      <c r="K70" s="110">
        <f>+L70*2</f>
        <v>798.85714285714289</v>
      </c>
      <c r="L70" s="107">
        <f>+I70</f>
        <v>399.42857142857144</v>
      </c>
      <c r="M70" s="183">
        <v>0</v>
      </c>
      <c r="N70" s="129">
        <f t="shared" si="3"/>
        <v>798.85714285714289</v>
      </c>
    </row>
    <row r="71" spans="1:14" ht="19.7" customHeight="1" x14ac:dyDescent="0.25">
      <c r="A71" s="903"/>
      <c r="B71" s="70" t="s">
        <v>480</v>
      </c>
      <c r="C71" s="32" t="s">
        <v>131</v>
      </c>
      <c r="D71" s="23" t="s">
        <v>509</v>
      </c>
      <c r="E71" s="43" t="s">
        <v>495</v>
      </c>
      <c r="F71" s="90" t="s">
        <v>132</v>
      </c>
      <c r="G71" s="117" t="s">
        <v>480</v>
      </c>
      <c r="H71" s="117" t="s">
        <v>131</v>
      </c>
      <c r="I71" s="98">
        <v>399.42857142857144</v>
      </c>
      <c r="K71" s="110">
        <f>+L71*2</f>
        <v>798.85714285714289</v>
      </c>
      <c r="L71" s="107">
        <f>+I71</f>
        <v>399.42857142857144</v>
      </c>
      <c r="M71" s="183">
        <v>600</v>
      </c>
      <c r="N71" s="129">
        <f>+K71-M71</f>
        <v>198.85714285714289</v>
      </c>
    </row>
    <row r="72" spans="1:14" ht="19.7" hidden="1" customHeight="1" x14ac:dyDescent="0.25">
      <c r="A72" s="903"/>
      <c r="B72" s="70" t="s">
        <v>480</v>
      </c>
      <c r="C72" s="78" t="s">
        <v>361</v>
      </c>
      <c r="D72" s="23" t="s">
        <v>509</v>
      </c>
      <c r="E72" s="43" t="s">
        <v>495</v>
      </c>
      <c r="F72" s="90" t="s">
        <v>367</v>
      </c>
      <c r="G72" s="117" t="s">
        <v>480</v>
      </c>
      <c r="H72" s="120" t="s">
        <v>361</v>
      </c>
      <c r="I72" s="98">
        <v>140.57142857142858</v>
      </c>
      <c r="K72" s="110">
        <f>+L72*2</f>
        <v>281.14285714285717</v>
      </c>
      <c r="L72" s="107">
        <f>+I72</f>
        <v>140.57142857142858</v>
      </c>
      <c r="M72" s="183">
        <v>0</v>
      </c>
      <c r="N72" s="129">
        <f t="shared" si="3"/>
        <v>281.14285714285717</v>
      </c>
    </row>
    <row r="73" spans="1:14" ht="19.7" hidden="1" customHeight="1" x14ac:dyDescent="0.25">
      <c r="A73" s="903"/>
      <c r="B73" s="70" t="s">
        <v>480</v>
      </c>
      <c r="C73" s="78" t="s">
        <v>389</v>
      </c>
      <c r="D73" s="23" t="s">
        <v>509</v>
      </c>
      <c r="E73" s="43" t="s">
        <v>495</v>
      </c>
      <c r="F73" s="90" t="s">
        <v>397</v>
      </c>
      <c r="G73" s="117" t="s">
        <v>480</v>
      </c>
      <c r="H73" s="120" t="s">
        <v>389</v>
      </c>
      <c r="I73" s="98">
        <v>240</v>
      </c>
      <c r="K73" s="50">
        <f>+L73*2</f>
        <v>480</v>
      </c>
      <c r="L73" s="107">
        <f>+I73</f>
        <v>240</v>
      </c>
      <c r="M73" s="183">
        <v>2250</v>
      </c>
      <c r="N73" s="129">
        <f t="shared" si="3"/>
        <v>-1770</v>
      </c>
    </row>
    <row r="74" spans="1:14" ht="19.7" hidden="1" customHeight="1" x14ac:dyDescent="0.25">
      <c r="A74" s="903"/>
      <c r="B74" s="70" t="s">
        <v>480</v>
      </c>
      <c r="C74" s="32">
        <v>37</v>
      </c>
      <c r="D74" s="24" t="s">
        <v>509</v>
      </c>
      <c r="E74" s="32" t="s">
        <v>502</v>
      </c>
      <c r="F74" s="90" t="s">
        <v>143</v>
      </c>
      <c r="G74" s="117" t="s">
        <v>480</v>
      </c>
      <c r="H74" s="117">
        <v>37</v>
      </c>
      <c r="I74" s="93">
        <v>243.42857142857142</v>
      </c>
      <c r="K74" s="50"/>
      <c r="L74" s="107"/>
      <c r="M74" s="183"/>
      <c r="N74" s="129">
        <f t="shared" si="3"/>
        <v>0</v>
      </c>
    </row>
    <row r="75" spans="1:14" ht="19.7" hidden="1" customHeight="1" x14ac:dyDescent="0.25">
      <c r="A75" s="903"/>
      <c r="B75" s="70" t="s">
        <v>480</v>
      </c>
      <c r="C75" s="32">
        <v>38</v>
      </c>
      <c r="D75" s="24" t="s">
        <v>509</v>
      </c>
      <c r="E75" s="32" t="s">
        <v>502</v>
      </c>
      <c r="F75" s="90" t="s">
        <v>144</v>
      </c>
      <c r="G75" s="117" t="s">
        <v>480</v>
      </c>
      <c r="H75" s="117">
        <v>38</v>
      </c>
      <c r="I75" s="93">
        <v>308.57142857142856</v>
      </c>
      <c r="K75" s="50"/>
      <c r="L75" s="107"/>
      <c r="M75" s="183"/>
      <c r="N75" s="129">
        <f t="shared" si="3"/>
        <v>0</v>
      </c>
    </row>
    <row r="76" spans="1:14" ht="19.7" hidden="1" customHeight="1" x14ac:dyDescent="0.25">
      <c r="A76" s="903"/>
      <c r="B76" s="70" t="s">
        <v>480</v>
      </c>
      <c r="C76" s="32">
        <v>40</v>
      </c>
      <c r="D76" s="24" t="s">
        <v>509</v>
      </c>
      <c r="E76" s="32" t="s">
        <v>502</v>
      </c>
      <c r="F76" s="90" t="s">
        <v>145</v>
      </c>
      <c r="G76" s="117" t="s">
        <v>480</v>
      </c>
      <c r="H76" s="117">
        <v>40</v>
      </c>
      <c r="I76" s="93">
        <v>100</v>
      </c>
      <c r="K76" s="50"/>
      <c r="L76" s="107"/>
      <c r="M76" s="183"/>
      <c r="N76" s="129">
        <f t="shared" si="3"/>
        <v>0</v>
      </c>
    </row>
    <row r="77" spans="1:14" ht="19.7" hidden="1" customHeight="1" x14ac:dyDescent="0.25">
      <c r="A77" s="903"/>
      <c r="B77" s="70" t="s">
        <v>480</v>
      </c>
      <c r="C77" s="32">
        <v>41</v>
      </c>
      <c r="D77" s="24" t="s">
        <v>509</v>
      </c>
      <c r="E77" s="32" t="s">
        <v>502</v>
      </c>
      <c r="F77" s="90" t="s">
        <v>146</v>
      </c>
      <c r="G77" s="117" t="s">
        <v>480</v>
      </c>
      <c r="H77" s="117">
        <v>41</v>
      </c>
      <c r="I77" s="93">
        <v>370.28571428571428</v>
      </c>
      <c r="K77" s="50"/>
      <c r="L77" s="107"/>
      <c r="M77" s="183"/>
      <c r="N77" s="129">
        <f t="shared" si="3"/>
        <v>0</v>
      </c>
    </row>
    <row r="78" spans="1:14" ht="19.7" hidden="1" customHeight="1" x14ac:dyDescent="0.25">
      <c r="A78" s="903"/>
      <c r="B78" s="70" t="s">
        <v>480</v>
      </c>
      <c r="C78" s="32">
        <v>42</v>
      </c>
      <c r="D78" s="24" t="s">
        <v>509</v>
      </c>
      <c r="E78" s="32" t="s">
        <v>502</v>
      </c>
      <c r="F78" s="90" t="s">
        <v>147</v>
      </c>
      <c r="G78" s="117" t="s">
        <v>480</v>
      </c>
      <c r="H78" s="117">
        <v>42</v>
      </c>
      <c r="I78" s="93">
        <v>60</v>
      </c>
      <c r="K78" s="50"/>
      <c r="L78" s="107"/>
      <c r="M78" s="183"/>
      <c r="N78" s="129">
        <f t="shared" si="3"/>
        <v>0</v>
      </c>
    </row>
    <row r="79" spans="1:14" ht="19.7" hidden="1" customHeight="1" x14ac:dyDescent="0.25">
      <c r="A79" s="903"/>
      <c r="B79" s="70" t="s">
        <v>480</v>
      </c>
      <c r="C79" s="32">
        <v>43</v>
      </c>
      <c r="D79" s="24" t="s">
        <v>509</v>
      </c>
      <c r="E79" s="32" t="s">
        <v>502</v>
      </c>
      <c r="F79" s="90" t="s">
        <v>148</v>
      </c>
      <c r="G79" s="117" t="s">
        <v>480</v>
      </c>
      <c r="H79" s="117">
        <v>43</v>
      </c>
      <c r="I79" s="93">
        <v>418.28571428571428</v>
      </c>
      <c r="K79" s="50"/>
      <c r="L79" s="107"/>
      <c r="M79" s="183"/>
      <c r="N79" s="129">
        <f t="shared" si="3"/>
        <v>0</v>
      </c>
    </row>
    <row r="80" spans="1:14" ht="19.7" hidden="1" customHeight="1" x14ac:dyDescent="0.25">
      <c r="A80" s="903"/>
      <c r="B80" s="70" t="s">
        <v>480</v>
      </c>
      <c r="C80" s="32">
        <v>50</v>
      </c>
      <c r="D80" s="24" t="s">
        <v>509</v>
      </c>
      <c r="E80" s="32" t="s">
        <v>502</v>
      </c>
      <c r="F80" s="90" t="s">
        <v>149</v>
      </c>
      <c r="G80" s="117" t="s">
        <v>480</v>
      </c>
      <c r="H80" s="117">
        <v>50</v>
      </c>
      <c r="I80" s="98">
        <v>126.85714285714286</v>
      </c>
      <c r="K80" s="50"/>
      <c r="L80" s="107"/>
      <c r="M80" s="183"/>
      <c r="N80" s="129">
        <f t="shared" si="3"/>
        <v>0</v>
      </c>
    </row>
    <row r="81" spans="1:14" ht="19.7" hidden="1" customHeight="1" x14ac:dyDescent="0.25">
      <c r="A81" s="903"/>
      <c r="B81" s="70" t="s">
        <v>480</v>
      </c>
      <c r="C81" s="32">
        <v>51</v>
      </c>
      <c r="D81" s="24" t="s">
        <v>509</v>
      </c>
      <c r="E81" s="32" t="s">
        <v>502</v>
      </c>
      <c r="F81" s="90" t="s">
        <v>150</v>
      </c>
      <c r="G81" s="117" t="s">
        <v>480</v>
      </c>
      <c r="H81" s="117">
        <v>51</v>
      </c>
      <c r="I81" s="98">
        <v>132</v>
      </c>
      <c r="K81" s="50"/>
      <c r="L81" s="107"/>
      <c r="M81" s="183"/>
      <c r="N81" s="129">
        <f t="shared" si="3"/>
        <v>0</v>
      </c>
    </row>
    <row r="82" spans="1:14" ht="19.7" hidden="1" customHeight="1" x14ac:dyDescent="0.25">
      <c r="A82" s="903"/>
      <c r="B82" s="70" t="s">
        <v>480</v>
      </c>
      <c r="C82" s="32" t="s">
        <v>157</v>
      </c>
      <c r="D82" s="24" t="s">
        <v>509</v>
      </c>
      <c r="E82" s="32" t="s">
        <v>502</v>
      </c>
      <c r="F82" s="90" t="s">
        <v>158</v>
      </c>
      <c r="G82" s="117" t="s">
        <v>480</v>
      </c>
      <c r="H82" s="117" t="s">
        <v>157</v>
      </c>
      <c r="I82" s="93">
        <v>150</v>
      </c>
      <c r="K82" s="50"/>
      <c r="L82" s="107"/>
      <c r="M82" s="183"/>
      <c r="N82" s="129">
        <f t="shared" si="3"/>
        <v>0</v>
      </c>
    </row>
    <row r="83" spans="1:14" ht="19.7" hidden="1" customHeight="1" x14ac:dyDescent="0.25">
      <c r="A83" s="903"/>
      <c r="B83" s="70" t="s">
        <v>480</v>
      </c>
      <c r="C83" s="32" t="s">
        <v>159</v>
      </c>
      <c r="D83" s="24" t="s">
        <v>509</v>
      </c>
      <c r="E83" s="32" t="s">
        <v>502</v>
      </c>
      <c r="F83" s="90" t="s">
        <v>160</v>
      </c>
      <c r="G83" s="117" t="s">
        <v>480</v>
      </c>
      <c r="H83" s="117" t="s">
        <v>159</v>
      </c>
      <c r="I83" s="93">
        <v>354</v>
      </c>
      <c r="K83" s="50"/>
      <c r="L83" s="107"/>
      <c r="M83" s="183"/>
      <c r="N83" s="129">
        <f t="shared" si="3"/>
        <v>0</v>
      </c>
    </row>
    <row r="84" spans="1:14" ht="19.7" hidden="1" customHeight="1" x14ac:dyDescent="0.25">
      <c r="A84" s="903"/>
      <c r="B84" s="70" t="s">
        <v>480</v>
      </c>
      <c r="C84" s="32" t="s">
        <v>161</v>
      </c>
      <c r="D84" s="24" t="s">
        <v>509</v>
      </c>
      <c r="E84" s="32" t="s">
        <v>502</v>
      </c>
      <c r="F84" s="90" t="s">
        <v>162</v>
      </c>
      <c r="G84" s="117" t="s">
        <v>480</v>
      </c>
      <c r="H84" s="117" t="s">
        <v>161</v>
      </c>
      <c r="I84" s="93">
        <v>168</v>
      </c>
      <c r="K84" s="50"/>
      <c r="L84" s="107"/>
      <c r="M84" s="183"/>
      <c r="N84" s="129">
        <f t="shared" si="3"/>
        <v>0</v>
      </c>
    </row>
    <row r="85" spans="1:14" ht="19.7" hidden="1" customHeight="1" x14ac:dyDescent="0.25">
      <c r="A85" s="903"/>
      <c r="B85" s="70" t="s">
        <v>480</v>
      </c>
      <c r="C85" s="32" t="s">
        <v>163</v>
      </c>
      <c r="D85" s="24" t="s">
        <v>509</v>
      </c>
      <c r="E85" s="32" t="s">
        <v>502</v>
      </c>
      <c r="F85" s="90" t="s">
        <v>164</v>
      </c>
      <c r="G85" s="117" t="s">
        <v>480</v>
      </c>
      <c r="H85" s="117" t="s">
        <v>163</v>
      </c>
      <c r="I85" s="93">
        <v>38.5</v>
      </c>
      <c r="K85" s="50"/>
      <c r="L85" s="107"/>
      <c r="M85" s="183"/>
      <c r="N85" s="129">
        <f t="shared" si="3"/>
        <v>0</v>
      </c>
    </row>
    <row r="86" spans="1:14" ht="19.7" hidden="1" customHeight="1" x14ac:dyDescent="0.25">
      <c r="A86" s="903"/>
      <c r="B86" s="70" t="s">
        <v>480</v>
      </c>
      <c r="C86" s="32" t="s">
        <v>165</v>
      </c>
      <c r="D86" s="24" t="s">
        <v>509</v>
      </c>
      <c r="E86" s="32" t="s">
        <v>502</v>
      </c>
      <c r="F86" s="90" t="s">
        <v>166</v>
      </c>
      <c r="G86" s="117" t="s">
        <v>480</v>
      </c>
      <c r="H86" s="117" t="s">
        <v>165</v>
      </c>
      <c r="I86" s="93">
        <v>113.14285714285714</v>
      </c>
      <c r="K86" s="50"/>
      <c r="L86" s="107"/>
      <c r="M86" s="183"/>
      <c r="N86" s="129">
        <f t="shared" si="3"/>
        <v>0</v>
      </c>
    </row>
    <row r="87" spans="1:14" ht="19.7" hidden="1" customHeight="1" x14ac:dyDescent="0.25">
      <c r="A87" s="903"/>
      <c r="B87" s="70" t="s">
        <v>480</v>
      </c>
      <c r="C87" s="32" t="s">
        <v>167</v>
      </c>
      <c r="D87" s="24" t="s">
        <v>509</v>
      </c>
      <c r="E87" s="32" t="s">
        <v>502</v>
      </c>
      <c r="F87" s="90" t="s">
        <v>168</v>
      </c>
      <c r="G87" s="117" t="s">
        <v>480</v>
      </c>
      <c r="H87" s="117" t="s">
        <v>167</v>
      </c>
      <c r="I87" s="93">
        <v>72</v>
      </c>
      <c r="K87" s="50"/>
      <c r="L87" s="107"/>
      <c r="M87" s="183"/>
      <c r="N87" s="129">
        <f t="shared" si="3"/>
        <v>0</v>
      </c>
    </row>
    <row r="88" spans="1:14" ht="19.7" hidden="1" customHeight="1" x14ac:dyDescent="0.25">
      <c r="A88" s="903"/>
      <c r="B88" s="70" t="s">
        <v>480</v>
      </c>
      <c r="C88" s="32" t="s">
        <v>169</v>
      </c>
      <c r="D88" s="24" t="s">
        <v>509</v>
      </c>
      <c r="E88" s="32" t="s">
        <v>502</v>
      </c>
      <c r="F88" s="90" t="s">
        <v>170</v>
      </c>
      <c r="G88" s="117" t="s">
        <v>480</v>
      </c>
      <c r="H88" s="117" t="s">
        <v>169</v>
      </c>
      <c r="I88" s="93">
        <v>464.57142857142856</v>
      </c>
      <c r="K88" s="50"/>
      <c r="L88" s="107"/>
      <c r="M88" s="183"/>
      <c r="N88" s="129">
        <f t="shared" si="3"/>
        <v>0</v>
      </c>
    </row>
    <row r="89" spans="1:14" ht="19.7" hidden="1" customHeight="1" x14ac:dyDescent="0.25">
      <c r="A89" s="903"/>
      <c r="B89" s="70" t="s">
        <v>480</v>
      </c>
      <c r="C89" s="32" t="s">
        <v>171</v>
      </c>
      <c r="D89" s="24" t="s">
        <v>509</v>
      </c>
      <c r="E89" s="32" t="s">
        <v>502</v>
      </c>
      <c r="F89" s="90" t="s">
        <v>172</v>
      </c>
      <c r="G89" s="117" t="s">
        <v>480</v>
      </c>
      <c r="H89" s="117" t="s">
        <v>171</v>
      </c>
      <c r="I89" s="93">
        <v>279.42857142857144</v>
      </c>
      <c r="K89" s="50"/>
      <c r="L89" s="107"/>
      <c r="M89" s="183"/>
      <c r="N89" s="129">
        <f t="shared" si="3"/>
        <v>0</v>
      </c>
    </row>
    <row r="90" spans="1:14" ht="19.7" hidden="1" customHeight="1" x14ac:dyDescent="0.25">
      <c r="A90" s="903"/>
      <c r="B90" s="70" t="s">
        <v>480</v>
      </c>
      <c r="C90" s="32" t="s">
        <v>173</v>
      </c>
      <c r="D90" s="24" t="s">
        <v>509</v>
      </c>
      <c r="E90" s="32" t="s">
        <v>502</v>
      </c>
      <c r="F90" s="90" t="s">
        <v>174</v>
      </c>
      <c r="G90" s="117" t="s">
        <v>480</v>
      </c>
      <c r="H90" s="117" t="s">
        <v>173</v>
      </c>
      <c r="I90" s="93">
        <v>786.85714285714289</v>
      </c>
      <c r="K90" s="50"/>
      <c r="L90" s="107"/>
      <c r="M90" s="183"/>
      <c r="N90" s="129">
        <f t="shared" si="3"/>
        <v>0</v>
      </c>
    </row>
    <row r="91" spans="1:14" ht="19.7" hidden="1" customHeight="1" x14ac:dyDescent="0.25">
      <c r="A91" s="903"/>
      <c r="B91" s="70" t="s">
        <v>480</v>
      </c>
      <c r="C91" s="32" t="s">
        <v>175</v>
      </c>
      <c r="D91" s="24" t="s">
        <v>509</v>
      </c>
      <c r="E91" s="32" t="s">
        <v>502</v>
      </c>
      <c r="F91" s="90" t="s">
        <v>176</v>
      </c>
      <c r="G91" s="117" t="s">
        <v>480</v>
      </c>
      <c r="H91" s="117" t="s">
        <v>175</v>
      </c>
      <c r="I91" s="93">
        <v>257.14285714285717</v>
      </c>
      <c r="K91" s="50"/>
      <c r="L91" s="107"/>
      <c r="M91" s="183"/>
      <c r="N91" s="129">
        <f t="shared" si="3"/>
        <v>0</v>
      </c>
    </row>
    <row r="92" spans="1:14" ht="19.7" hidden="1" customHeight="1" x14ac:dyDescent="0.25">
      <c r="A92" s="903"/>
      <c r="B92" s="70" t="s">
        <v>480</v>
      </c>
      <c r="C92" s="32" t="s">
        <v>177</v>
      </c>
      <c r="D92" s="24" t="s">
        <v>509</v>
      </c>
      <c r="E92" s="32" t="s">
        <v>502</v>
      </c>
      <c r="F92" s="90" t="s">
        <v>178</v>
      </c>
      <c r="G92" s="117" t="s">
        <v>480</v>
      </c>
      <c r="H92" s="117" t="s">
        <v>177</v>
      </c>
      <c r="I92" s="93">
        <v>714.85714285714289</v>
      </c>
      <c r="K92" s="50"/>
      <c r="L92" s="107"/>
      <c r="M92" s="183"/>
      <c r="N92" s="129">
        <f t="shared" si="3"/>
        <v>0</v>
      </c>
    </row>
    <row r="93" spans="1:14" ht="19.7" hidden="1" customHeight="1" x14ac:dyDescent="0.25">
      <c r="A93" s="903"/>
      <c r="B93" s="70" t="s">
        <v>480</v>
      </c>
      <c r="C93" s="32" t="s">
        <v>179</v>
      </c>
      <c r="D93" s="24" t="s">
        <v>509</v>
      </c>
      <c r="E93" s="32" t="s">
        <v>502</v>
      </c>
      <c r="F93" s="90" t="s">
        <v>180</v>
      </c>
      <c r="G93" s="117" t="s">
        <v>480</v>
      </c>
      <c r="H93" s="117" t="s">
        <v>179</v>
      </c>
      <c r="I93" s="93">
        <v>0</v>
      </c>
      <c r="K93" s="50"/>
      <c r="L93" s="107"/>
      <c r="M93" s="183"/>
      <c r="N93" s="129">
        <f t="shared" si="3"/>
        <v>0</v>
      </c>
    </row>
    <row r="94" spans="1:14" ht="19.7" hidden="1" customHeight="1" x14ac:dyDescent="0.25">
      <c r="A94" s="903"/>
      <c r="B94" s="70" t="s">
        <v>480</v>
      </c>
      <c r="C94" s="32" t="s">
        <v>183</v>
      </c>
      <c r="D94" s="24" t="s">
        <v>509</v>
      </c>
      <c r="E94" s="32" t="s">
        <v>502</v>
      </c>
      <c r="F94" s="90" t="s">
        <v>184</v>
      </c>
      <c r="G94" s="117" t="s">
        <v>480</v>
      </c>
      <c r="H94" s="117" t="s">
        <v>183</v>
      </c>
      <c r="I94" s="98">
        <v>77.142857142857139</v>
      </c>
      <c r="K94" s="50"/>
      <c r="L94" s="107"/>
      <c r="M94" s="183"/>
      <c r="N94" s="129">
        <f t="shared" si="3"/>
        <v>0</v>
      </c>
    </row>
    <row r="95" spans="1:14" ht="19.7" hidden="1" customHeight="1" x14ac:dyDescent="0.25">
      <c r="A95" s="903"/>
      <c r="B95" s="70" t="s">
        <v>480</v>
      </c>
      <c r="C95" s="32" t="s">
        <v>185</v>
      </c>
      <c r="D95" s="24" t="s">
        <v>509</v>
      </c>
      <c r="E95" s="32" t="s">
        <v>502</v>
      </c>
      <c r="F95" s="90" t="s">
        <v>186</v>
      </c>
      <c r="G95" s="117" t="s">
        <v>480</v>
      </c>
      <c r="H95" s="117" t="s">
        <v>185</v>
      </c>
      <c r="I95" s="98">
        <v>84</v>
      </c>
      <c r="K95" s="50"/>
      <c r="L95" s="107"/>
      <c r="M95" s="183"/>
      <c r="N95" s="129">
        <f t="shared" si="3"/>
        <v>0</v>
      </c>
    </row>
    <row r="96" spans="1:14" ht="19.7" hidden="1" customHeight="1" x14ac:dyDescent="0.25">
      <c r="A96" s="903"/>
      <c r="B96" s="70" t="s">
        <v>480</v>
      </c>
      <c r="C96" s="32" t="s">
        <v>187</v>
      </c>
      <c r="D96" s="24" t="s">
        <v>509</v>
      </c>
      <c r="E96" s="32" t="s">
        <v>502</v>
      </c>
      <c r="F96" s="90" t="s">
        <v>188</v>
      </c>
      <c r="G96" s="117" t="s">
        <v>480</v>
      </c>
      <c r="H96" s="117" t="s">
        <v>187</v>
      </c>
      <c r="I96" s="98">
        <v>120</v>
      </c>
      <c r="K96" s="50"/>
      <c r="L96" s="107"/>
      <c r="M96" s="183"/>
      <c r="N96" s="129">
        <f t="shared" si="3"/>
        <v>0</v>
      </c>
    </row>
    <row r="97" spans="1:14" ht="19.7" hidden="1" customHeight="1" x14ac:dyDescent="0.25">
      <c r="A97" s="903"/>
      <c r="B97" s="70" t="s">
        <v>480</v>
      </c>
      <c r="C97" s="32" t="s">
        <v>189</v>
      </c>
      <c r="D97" s="24" t="s">
        <v>509</v>
      </c>
      <c r="E97" s="32" t="s">
        <v>502</v>
      </c>
      <c r="F97" s="90" t="s">
        <v>190</v>
      </c>
      <c r="G97" s="117" t="s">
        <v>480</v>
      </c>
      <c r="H97" s="117" t="s">
        <v>189</v>
      </c>
      <c r="I97" s="93">
        <v>186.85714285714286</v>
      </c>
      <c r="K97" s="50"/>
      <c r="L97" s="107"/>
      <c r="M97" s="183"/>
      <c r="N97" s="129">
        <f t="shared" si="3"/>
        <v>0</v>
      </c>
    </row>
    <row r="98" spans="1:14" ht="19.7" hidden="1" customHeight="1" x14ac:dyDescent="0.25">
      <c r="A98" s="903"/>
      <c r="B98" s="70" t="s">
        <v>480</v>
      </c>
      <c r="C98" s="32" t="s">
        <v>191</v>
      </c>
      <c r="D98" s="24" t="s">
        <v>509</v>
      </c>
      <c r="E98" s="32" t="s">
        <v>502</v>
      </c>
      <c r="F98" s="90" t="s">
        <v>192</v>
      </c>
      <c r="G98" s="117" t="s">
        <v>480</v>
      </c>
      <c r="H98" s="117" t="s">
        <v>191</v>
      </c>
      <c r="I98" s="93">
        <v>456</v>
      </c>
      <c r="K98" s="50"/>
      <c r="L98" s="107"/>
      <c r="M98" s="183"/>
      <c r="N98" s="129">
        <f t="shared" si="3"/>
        <v>0</v>
      </c>
    </row>
    <row r="99" spans="1:14" ht="19.7" hidden="1" customHeight="1" x14ac:dyDescent="0.25">
      <c r="A99" s="903"/>
      <c r="B99" s="70" t="s">
        <v>480</v>
      </c>
      <c r="C99" s="32" t="s">
        <v>193</v>
      </c>
      <c r="D99" s="24" t="s">
        <v>509</v>
      </c>
      <c r="E99" s="32" t="s">
        <v>502</v>
      </c>
      <c r="F99" s="90" t="s">
        <v>194</v>
      </c>
      <c r="G99" s="117" t="s">
        <v>480</v>
      </c>
      <c r="H99" s="117" t="s">
        <v>193</v>
      </c>
      <c r="I99" s="93">
        <v>531.42857142857144</v>
      </c>
      <c r="K99" s="50"/>
      <c r="L99" s="107"/>
      <c r="M99" s="183"/>
      <c r="N99" s="129">
        <f t="shared" si="3"/>
        <v>0</v>
      </c>
    </row>
    <row r="100" spans="1:14" ht="19.7" hidden="1" customHeight="1" x14ac:dyDescent="0.25">
      <c r="A100" s="903"/>
      <c r="B100" s="70" t="s">
        <v>480</v>
      </c>
      <c r="C100" s="32" t="s">
        <v>195</v>
      </c>
      <c r="D100" s="24" t="s">
        <v>509</v>
      </c>
      <c r="E100" s="32" t="s">
        <v>502</v>
      </c>
      <c r="F100" s="90" t="s">
        <v>196</v>
      </c>
      <c r="G100" s="117" t="s">
        <v>480</v>
      </c>
      <c r="H100" s="117" t="s">
        <v>195</v>
      </c>
      <c r="I100" s="93">
        <v>156</v>
      </c>
      <c r="K100" s="50"/>
      <c r="L100" s="107"/>
      <c r="M100" s="183"/>
      <c r="N100" s="129">
        <f t="shared" si="3"/>
        <v>0</v>
      </c>
    </row>
    <row r="101" spans="1:14" ht="19.7" hidden="1" customHeight="1" x14ac:dyDescent="0.25">
      <c r="A101" s="903"/>
      <c r="B101" s="70" t="s">
        <v>480</v>
      </c>
      <c r="C101" s="32" t="s">
        <v>197</v>
      </c>
      <c r="D101" s="24" t="s">
        <v>509</v>
      </c>
      <c r="E101" s="32" t="s">
        <v>502</v>
      </c>
      <c r="F101" s="90" t="s">
        <v>198</v>
      </c>
      <c r="G101" s="117" t="s">
        <v>480</v>
      </c>
      <c r="H101" s="117" t="s">
        <v>197</v>
      </c>
      <c r="I101" s="93">
        <v>64</v>
      </c>
      <c r="K101" s="50"/>
      <c r="L101" s="107"/>
      <c r="M101" s="183"/>
      <c r="N101" s="129">
        <f t="shared" si="3"/>
        <v>0</v>
      </c>
    </row>
    <row r="102" spans="1:14" ht="19.7" hidden="1" customHeight="1" x14ac:dyDescent="0.25">
      <c r="A102" s="903"/>
      <c r="B102" s="70" t="s">
        <v>480</v>
      </c>
      <c r="C102" s="32" t="s">
        <v>199</v>
      </c>
      <c r="D102" s="24" t="s">
        <v>509</v>
      </c>
      <c r="E102" s="32" t="s">
        <v>502</v>
      </c>
      <c r="F102" s="90" t="s">
        <v>200</v>
      </c>
      <c r="G102" s="117" t="s">
        <v>480</v>
      </c>
      <c r="H102" s="117" t="s">
        <v>199</v>
      </c>
      <c r="I102" s="93">
        <v>478.28571428571428</v>
      </c>
      <c r="K102" s="50"/>
      <c r="L102" s="107"/>
      <c r="M102" s="183"/>
      <c r="N102" s="129">
        <f t="shared" si="3"/>
        <v>0</v>
      </c>
    </row>
    <row r="103" spans="1:14" ht="19.7" hidden="1" customHeight="1" x14ac:dyDescent="0.25">
      <c r="A103" s="903"/>
      <c r="B103" s="70" t="s">
        <v>480</v>
      </c>
      <c r="C103" s="32" t="s">
        <v>201</v>
      </c>
      <c r="D103" s="24" t="s">
        <v>509</v>
      </c>
      <c r="E103" s="32" t="s">
        <v>502</v>
      </c>
      <c r="F103" s="90" t="s">
        <v>202</v>
      </c>
      <c r="G103" s="117" t="s">
        <v>480</v>
      </c>
      <c r="H103" s="117" t="s">
        <v>201</v>
      </c>
      <c r="I103" s="93">
        <v>40</v>
      </c>
      <c r="K103" s="50"/>
      <c r="L103" s="107"/>
      <c r="M103" s="183"/>
      <c r="N103" s="129">
        <f t="shared" si="3"/>
        <v>0</v>
      </c>
    </row>
    <row r="104" spans="1:14" ht="19.7" hidden="1" customHeight="1" x14ac:dyDescent="0.25">
      <c r="A104" s="903"/>
      <c r="B104" s="70" t="s">
        <v>480</v>
      </c>
      <c r="C104" s="32" t="s">
        <v>203</v>
      </c>
      <c r="D104" s="24" t="s">
        <v>509</v>
      </c>
      <c r="E104" s="32" t="s">
        <v>502</v>
      </c>
      <c r="F104" s="90" t="s">
        <v>204</v>
      </c>
      <c r="G104" s="117" t="s">
        <v>480</v>
      </c>
      <c r="H104" s="117" t="s">
        <v>203</v>
      </c>
      <c r="I104" s="93">
        <v>96</v>
      </c>
      <c r="K104" s="50"/>
      <c r="L104" s="107"/>
      <c r="M104" s="183"/>
      <c r="N104" s="129">
        <f t="shared" si="3"/>
        <v>0</v>
      </c>
    </row>
    <row r="105" spans="1:14" ht="19.7" hidden="1" customHeight="1" x14ac:dyDescent="0.25">
      <c r="A105" s="903"/>
      <c r="B105" s="70" t="s">
        <v>480</v>
      </c>
      <c r="C105" s="79" t="s">
        <v>404</v>
      </c>
      <c r="D105" s="24" t="s">
        <v>509</v>
      </c>
      <c r="E105" s="32" t="s">
        <v>502</v>
      </c>
      <c r="F105" s="90" t="s">
        <v>406</v>
      </c>
      <c r="G105" s="117" t="s">
        <v>480</v>
      </c>
      <c r="H105" s="121" t="s">
        <v>404</v>
      </c>
      <c r="I105" s="93">
        <v>42</v>
      </c>
      <c r="K105" s="50"/>
      <c r="L105" s="107"/>
      <c r="M105" s="183"/>
      <c r="N105" s="129">
        <f t="shared" si="3"/>
        <v>0</v>
      </c>
    </row>
    <row r="106" spans="1:14" ht="19.7" hidden="1" customHeight="1" x14ac:dyDescent="0.25">
      <c r="A106" s="903"/>
      <c r="B106" s="70" t="s">
        <v>480</v>
      </c>
      <c r="C106" s="32" t="s">
        <v>405</v>
      </c>
      <c r="D106" s="24" t="s">
        <v>509</v>
      </c>
      <c r="E106" s="32" t="s">
        <v>502</v>
      </c>
      <c r="F106" s="90" t="s">
        <v>407</v>
      </c>
      <c r="G106" s="117" t="s">
        <v>480</v>
      </c>
      <c r="H106" s="117" t="s">
        <v>405</v>
      </c>
      <c r="I106" s="93">
        <v>110.4</v>
      </c>
      <c r="K106" s="50"/>
      <c r="L106" s="107"/>
      <c r="M106" s="183"/>
      <c r="N106" s="129">
        <f t="shared" si="3"/>
        <v>0</v>
      </c>
    </row>
    <row r="107" spans="1:14" ht="19.7" hidden="1" customHeight="1" x14ac:dyDescent="0.25">
      <c r="A107" s="903"/>
      <c r="B107" s="70" t="s">
        <v>480</v>
      </c>
      <c r="C107" s="32" t="s">
        <v>205</v>
      </c>
      <c r="D107" s="24" t="s">
        <v>509</v>
      </c>
      <c r="E107" s="32" t="s">
        <v>502</v>
      </c>
      <c r="F107" s="90" t="s">
        <v>206</v>
      </c>
      <c r="G107" s="117" t="s">
        <v>480</v>
      </c>
      <c r="H107" s="117" t="s">
        <v>205</v>
      </c>
      <c r="I107" s="93">
        <v>209.14285714285714</v>
      </c>
      <c r="K107" s="50"/>
      <c r="L107" s="107"/>
      <c r="M107" s="183"/>
      <c r="N107" s="129">
        <f t="shared" si="3"/>
        <v>0</v>
      </c>
    </row>
    <row r="108" spans="1:14" ht="19.7" hidden="1" customHeight="1" x14ac:dyDescent="0.25">
      <c r="A108" s="903"/>
      <c r="B108" s="70" t="s">
        <v>480</v>
      </c>
      <c r="C108" s="32" t="s">
        <v>207</v>
      </c>
      <c r="D108" s="24" t="s">
        <v>509</v>
      </c>
      <c r="E108" s="32" t="s">
        <v>502</v>
      </c>
      <c r="F108" s="90" t="s">
        <v>208</v>
      </c>
      <c r="G108" s="117" t="s">
        <v>480</v>
      </c>
      <c r="H108" s="117" t="s">
        <v>207</v>
      </c>
      <c r="I108" s="93">
        <v>233.14285714285714</v>
      </c>
      <c r="K108" s="50"/>
      <c r="L108" s="107"/>
      <c r="M108" s="183"/>
      <c r="N108" s="129">
        <f t="shared" si="3"/>
        <v>0</v>
      </c>
    </row>
    <row r="109" spans="1:14" ht="19.7" hidden="1" customHeight="1" x14ac:dyDescent="0.25">
      <c r="A109" s="903"/>
      <c r="B109" s="70" t="s">
        <v>480</v>
      </c>
      <c r="C109" s="32" t="s">
        <v>209</v>
      </c>
      <c r="D109" s="24" t="s">
        <v>509</v>
      </c>
      <c r="E109" s="32" t="s">
        <v>502</v>
      </c>
      <c r="F109" s="90" t="s">
        <v>210</v>
      </c>
      <c r="G109" s="117" t="s">
        <v>480</v>
      </c>
      <c r="H109" s="117" t="s">
        <v>209</v>
      </c>
      <c r="I109" s="93">
        <v>493.71428571428572</v>
      </c>
      <c r="K109" s="50"/>
      <c r="L109" s="107"/>
      <c r="M109" s="183"/>
      <c r="N109" s="129">
        <f t="shared" si="3"/>
        <v>0</v>
      </c>
    </row>
    <row r="110" spans="1:14" ht="19.7" hidden="1" customHeight="1" x14ac:dyDescent="0.25">
      <c r="A110" s="903"/>
      <c r="B110" s="70" t="s">
        <v>480</v>
      </c>
      <c r="C110" s="32" t="s">
        <v>211</v>
      </c>
      <c r="D110" s="24" t="s">
        <v>509</v>
      </c>
      <c r="E110" s="32" t="s">
        <v>502</v>
      </c>
      <c r="F110" s="90" t="s">
        <v>212</v>
      </c>
      <c r="G110" s="117" t="s">
        <v>480</v>
      </c>
      <c r="H110" s="117" t="s">
        <v>211</v>
      </c>
      <c r="I110" s="93">
        <v>482.28571428571428</v>
      </c>
      <c r="K110" s="50"/>
      <c r="L110" s="107"/>
      <c r="M110" s="183"/>
      <c r="N110" s="129">
        <f t="shared" si="3"/>
        <v>0</v>
      </c>
    </row>
    <row r="111" spans="1:14" ht="19.7" hidden="1" customHeight="1" x14ac:dyDescent="0.25">
      <c r="A111" s="903"/>
      <c r="B111" s="70" t="s">
        <v>480</v>
      </c>
      <c r="C111" s="32" t="s">
        <v>213</v>
      </c>
      <c r="D111" s="24" t="s">
        <v>509</v>
      </c>
      <c r="E111" s="32" t="s">
        <v>502</v>
      </c>
      <c r="F111" s="90" t="s">
        <v>212</v>
      </c>
      <c r="G111" s="117" t="s">
        <v>480</v>
      </c>
      <c r="H111" s="117" t="s">
        <v>213</v>
      </c>
      <c r="I111" s="93">
        <v>0</v>
      </c>
      <c r="K111" s="50"/>
      <c r="L111" s="107"/>
      <c r="M111" s="183"/>
      <c r="N111" s="129">
        <f t="shared" si="3"/>
        <v>0</v>
      </c>
    </row>
    <row r="112" spans="1:14" ht="19.7" hidden="1" customHeight="1" x14ac:dyDescent="0.25">
      <c r="A112" s="903"/>
      <c r="B112" s="70" t="s">
        <v>480</v>
      </c>
      <c r="C112" s="32" t="s">
        <v>214</v>
      </c>
      <c r="D112" s="24" t="s">
        <v>509</v>
      </c>
      <c r="E112" s="32" t="s">
        <v>502</v>
      </c>
      <c r="F112" s="90" t="s">
        <v>215</v>
      </c>
      <c r="G112" s="117" t="s">
        <v>480</v>
      </c>
      <c r="H112" s="117" t="s">
        <v>214</v>
      </c>
      <c r="I112" s="93">
        <v>473.14285714285717</v>
      </c>
      <c r="K112" s="50"/>
      <c r="L112" s="107"/>
      <c r="M112" s="183"/>
      <c r="N112" s="129">
        <f t="shared" si="3"/>
        <v>0</v>
      </c>
    </row>
    <row r="113" spans="1:14" ht="19.7" hidden="1" customHeight="1" x14ac:dyDescent="0.25">
      <c r="A113" s="903"/>
      <c r="B113" s="70" t="s">
        <v>480</v>
      </c>
      <c r="C113" s="32" t="s">
        <v>216</v>
      </c>
      <c r="D113" s="24" t="s">
        <v>509</v>
      </c>
      <c r="E113" s="32" t="s">
        <v>502</v>
      </c>
      <c r="F113" s="90" t="s">
        <v>217</v>
      </c>
      <c r="G113" s="117" t="s">
        <v>480</v>
      </c>
      <c r="H113" s="117" t="s">
        <v>216</v>
      </c>
      <c r="I113" s="93">
        <v>85.714285714285708</v>
      </c>
      <c r="K113" s="50"/>
      <c r="L113" s="107"/>
      <c r="M113" s="183"/>
      <c r="N113" s="129">
        <f t="shared" si="3"/>
        <v>0</v>
      </c>
    </row>
    <row r="114" spans="1:14" ht="19.7" hidden="1" customHeight="1" x14ac:dyDescent="0.25">
      <c r="A114" s="903"/>
      <c r="B114" s="70" t="s">
        <v>480</v>
      </c>
      <c r="C114" s="32" t="s">
        <v>218</v>
      </c>
      <c r="D114" s="24" t="s">
        <v>509</v>
      </c>
      <c r="E114" s="32" t="s">
        <v>502</v>
      </c>
      <c r="F114" s="90" t="s">
        <v>219</v>
      </c>
      <c r="G114" s="117" t="s">
        <v>480</v>
      </c>
      <c r="H114" s="117" t="s">
        <v>218</v>
      </c>
      <c r="I114" s="98">
        <v>145.71428571428572</v>
      </c>
      <c r="K114" s="50"/>
      <c r="L114" s="107"/>
      <c r="M114" s="183"/>
      <c r="N114" s="129">
        <f t="shared" ref="N114:N182" si="4">+K114-M114</f>
        <v>0</v>
      </c>
    </row>
    <row r="115" spans="1:14" ht="19.7" hidden="1" customHeight="1" x14ac:dyDescent="0.25">
      <c r="A115" s="903"/>
      <c r="B115" s="70" t="s">
        <v>480</v>
      </c>
      <c r="C115" s="32" t="s">
        <v>220</v>
      </c>
      <c r="D115" s="24" t="s">
        <v>509</v>
      </c>
      <c r="E115" s="32" t="s">
        <v>502</v>
      </c>
      <c r="F115" s="90" t="s">
        <v>221</v>
      </c>
      <c r="G115" s="117" t="s">
        <v>480</v>
      </c>
      <c r="H115" s="117" t="s">
        <v>220</v>
      </c>
      <c r="I115" s="93">
        <v>72</v>
      </c>
      <c r="K115" s="50"/>
      <c r="L115" s="107"/>
      <c r="M115" s="183"/>
      <c r="N115" s="129">
        <f t="shared" si="4"/>
        <v>0</v>
      </c>
    </row>
    <row r="116" spans="1:14" ht="19.7" hidden="1" customHeight="1" x14ac:dyDescent="0.25">
      <c r="A116" s="903"/>
      <c r="B116" s="70" t="s">
        <v>480</v>
      </c>
      <c r="C116" s="32" t="s">
        <v>222</v>
      </c>
      <c r="D116" s="24" t="s">
        <v>509</v>
      </c>
      <c r="E116" s="32" t="s">
        <v>502</v>
      </c>
      <c r="F116" s="90" t="s">
        <v>223</v>
      </c>
      <c r="G116" s="117" t="s">
        <v>480</v>
      </c>
      <c r="H116" s="117" t="s">
        <v>222</v>
      </c>
      <c r="I116" s="93">
        <v>855.42857142857144</v>
      </c>
      <c r="K116" s="50"/>
      <c r="L116" s="107"/>
      <c r="M116" s="183"/>
      <c r="N116" s="129">
        <f t="shared" si="4"/>
        <v>0</v>
      </c>
    </row>
    <row r="117" spans="1:14" ht="19.7" hidden="1" customHeight="1" x14ac:dyDescent="0.25">
      <c r="A117" s="903"/>
      <c r="B117" s="70" t="s">
        <v>480</v>
      </c>
      <c r="C117" s="78" t="s">
        <v>419</v>
      </c>
      <c r="D117" s="24" t="s">
        <v>509</v>
      </c>
      <c r="E117" s="32" t="s">
        <v>502</v>
      </c>
      <c r="F117" s="90" t="s">
        <v>421</v>
      </c>
      <c r="G117" s="117" t="s">
        <v>480</v>
      </c>
      <c r="H117" s="120" t="s">
        <v>419</v>
      </c>
      <c r="I117" s="93">
        <v>317.14285714285717</v>
      </c>
      <c r="K117" s="50"/>
      <c r="L117" s="107"/>
      <c r="M117" s="183"/>
      <c r="N117" s="129">
        <f t="shared" si="4"/>
        <v>0</v>
      </c>
    </row>
    <row r="118" spans="1:14" ht="19.7" hidden="1" customHeight="1" x14ac:dyDescent="0.25">
      <c r="A118" s="903"/>
      <c r="B118" s="70" t="s">
        <v>480</v>
      </c>
      <c r="C118" s="32" t="s">
        <v>224</v>
      </c>
      <c r="D118" s="24" t="s">
        <v>509</v>
      </c>
      <c r="E118" s="32" t="s">
        <v>502</v>
      </c>
      <c r="F118" s="90" t="s">
        <v>145</v>
      </c>
      <c r="G118" s="117" t="s">
        <v>480</v>
      </c>
      <c r="H118" s="117" t="s">
        <v>224</v>
      </c>
      <c r="I118" s="93">
        <v>169.71428571428572</v>
      </c>
      <c r="K118" s="50"/>
      <c r="L118" s="107"/>
      <c r="M118" s="183"/>
      <c r="N118" s="129">
        <f t="shared" si="4"/>
        <v>0</v>
      </c>
    </row>
    <row r="119" spans="1:14" ht="19.7" hidden="1" customHeight="1" x14ac:dyDescent="0.25">
      <c r="A119" s="903"/>
      <c r="B119" s="70" t="s">
        <v>480</v>
      </c>
      <c r="C119" s="32" t="s">
        <v>225</v>
      </c>
      <c r="D119" s="24" t="s">
        <v>509</v>
      </c>
      <c r="E119" s="32" t="s">
        <v>502</v>
      </c>
      <c r="F119" s="90" t="s">
        <v>226</v>
      </c>
      <c r="G119" s="117" t="s">
        <v>480</v>
      </c>
      <c r="H119" s="117" t="s">
        <v>225</v>
      </c>
      <c r="I119" s="93">
        <v>248.57142857142858</v>
      </c>
      <c r="K119" s="50"/>
      <c r="L119" s="107"/>
      <c r="M119" s="183"/>
      <c r="N119" s="129">
        <f t="shared" si="4"/>
        <v>0</v>
      </c>
    </row>
    <row r="120" spans="1:14" ht="19.7" hidden="1" customHeight="1" x14ac:dyDescent="0.25">
      <c r="A120" s="903"/>
      <c r="B120" s="70" t="s">
        <v>480</v>
      </c>
      <c r="C120" s="32" t="s">
        <v>443</v>
      </c>
      <c r="D120" s="24" t="s">
        <v>509</v>
      </c>
      <c r="E120" s="32" t="s">
        <v>502</v>
      </c>
      <c r="F120" s="90" t="s">
        <v>448</v>
      </c>
      <c r="G120" s="117" t="s">
        <v>480</v>
      </c>
      <c r="H120" s="117" t="s">
        <v>443</v>
      </c>
      <c r="I120" s="93">
        <v>0</v>
      </c>
      <c r="K120" s="50"/>
      <c r="L120" s="107"/>
      <c r="M120" s="183"/>
      <c r="N120" s="129">
        <f t="shared" si="4"/>
        <v>0</v>
      </c>
    </row>
    <row r="121" spans="1:14" ht="19.7" customHeight="1" x14ac:dyDescent="0.25">
      <c r="A121" s="903"/>
      <c r="B121" s="70" t="s">
        <v>480</v>
      </c>
      <c r="C121" s="32"/>
      <c r="D121" s="24" t="s">
        <v>509</v>
      </c>
      <c r="E121" s="32" t="s">
        <v>502</v>
      </c>
      <c r="F121" s="90"/>
      <c r="G121" s="117" t="s">
        <v>480</v>
      </c>
      <c r="H121" s="117"/>
      <c r="I121" s="101">
        <f>SUM(I74:I120)</f>
        <v>11385.757142857143</v>
      </c>
      <c r="K121" s="110">
        <f t="shared" ref="K121:K132" si="5">+L121*2</f>
        <v>22771.514285714286</v>
      </c>
      <c r="L121" s="107">
        <f t="shared" ref="L121:L132" si="6">+I121</f>
        <v>11385.757142857143</v>
      </c>
      <c r="M121" s="183">
        <v>14750</v>
      </c>
      <c r="N121" s="129">
        <f t="shared" si="4"/>
        <v>8021.5142857142855</v>
      </c>
    </row>
    <row r="122" spans="1:14" ht="19.7" hidden="1" customHeight="1" x14ac:dyDescent="0.25">
      <c r="A122" s="903"/>
      <c r="B122" s="70" t="s">
        <v>493</v>
      </c>
      <c r="C122" s="78" t="s">
        <v>388</v>
      </c>
      <c r="D122" s="23" t="s">
        <v>509</v>
      </c>
      <c r="E122" s="43" t="s">
        <v>495</v>
      </c>
      <c r="F122" s="90" t="s">
        <v>396</v>
      </c>
      <c r="G122" s="117" t="s">
        <v>493</v>
      </c>
      <c r="H122" s="120" t="s">
        <v>388</v>
      </c>
      <c r="I122" s="98">
        <v>390.85714285714283</v>
      </c>
      <c r="K122" s="110">
        <f t="shared" si="5"/>
        <v>781.71428571428567</v>
      </c>
      <c r="L122" s="107">
        <f t="shared" si="6"/>
        <v>390.85714285714283</v>
      </c>
      <c r="M122" s="183">
        <v>1000</v>
      </c>
      <c r="N122" s="129">
        <f t="shared" si="4"/>
        <v>-218.28571428571433</v>
      </c>
    </row>
    <row r="123" spans="1:14" ht="19.7" hidden="1" customHeight="1" x14ac:dyDescent="0.25">
      <c r="A123" s="903"/>
      <c r="B123" s="70" t="s">
        <v>493</v>
      </c>
      <c r="C123" s="78" t="s">
        <v>432</v>
      </c>
      <c r="D123" s="23" t="s">
        <v>509</v>
      </c>
      <c r="E123" s="43" t="s">
        <v>500</v>
      </c>
      <c r="F123" s="125" t="s">
        <v>434</v>
      </c>
      <c r="G123" s="117" t="s">
        <v>493</v>
      </c>
      <c r="H123" s="120" t="s">
        <v>432</v>
      </c>
      <c r="I123" s="98">
        <v>165.14285714285714</v>
      </c>
      <c r="K123" s="110">
        <f t="shared" si="5"/>
        <v>330.28571428571428</v>
      </c>
      <c r="L123" s="107">
        <f t="shared" si="6"/>
        <v>165.14285714285714</v>
      </c>
      <c r="M123" s="183"/>
      <c r="N123" s="129"/>
    </row>
    <row r="124" spans="1:14" ht="19.7" hidden="1" customHeight="1" x14ac:dyDescent="0.25">
      <c r="A124" s="903"/>
      <c r="B124" s="70" t="s">
        <v>493</v>
      </c>
      <c r="C124" s="79" t="s">
        <v>437</v>
      </c>
      <c r="D124" s="23" t="s">
        <v>509</v>
      </c>
      <c r="E124" s="43" t="s">
        <v>497</v>
      </c>
      <c r="F124" s="125" t="s">
        <v>438</v>
      </c>
      <c r="G124" s="117" t="s">
        <v>493</v>
      </c>
      <c r="H124" s="121" t="s">
        <v>437</v>
      </c>
      <c r="I124" s="98">
        <f>76+198</f>
        <v>274</v>
      </c>
      <c r="K124" s="50">
        <f t="shared" si="5"/>
        <v>548</v>
      </c>
      <c r="L124" s="107">
        <f t="shared" si="6"/>
        <v>274</v>
      </c>
      <c r="M124" s="183"/>
      <c r="N124" s="129"/>
    </row>
    <row r="125" spans="1:14" ht="19.7" hidden="1" customHeight="1" x14ac:dyDescent="0.25">
      <c r="A125" s="903"/>
      <c r="B125" s="70" t="s">
        <v>493</v>
      </c>
      <c r="C125" s="32" t="s">
        <v>153</v>
      </c>
      <c r="D125" s="24" t="s">
        <v>509</v>
      </c>
      <c r="E125" s="32" t="s">
        <v>501</v>
      </c>
      <c r="F125" s="90" t="s">
        <v>154</v>
      </c>
      <c r="G125" s="117" t="s">
        <v>493</v>
      </c>
      <c r="H125" s="117" t="s">
        <v>153</v>
      </c>
      <c r="I125" s="93">
        <v>562.28571428571433</v>
      </c>
      <c r="K125" s="110">
        <f t="shared" si="5"/>
        <v>1124.5714285714287</v>
      </c>
      <c r="L125" s="107">
        <f t="shared" si="6"/>
        <v>562.28571428571433</v>
      </c>
      <c r="M125" s="183">
        <v>2250</v>
      </c>
      <c r="N125" s="129">
        <f t="shared" si="4"/>
        <v>-1125.4285714285713</v>
      </c>
    </row>
    <row r="126" spans="1:14" ht="19.7" customHeight="1" x14ac:dyDescent="0.25">
      <c r="A126" s="903"/>
      <c r="B126" s="70" t="s">
        <v>493</v>
      </c>
      <c r="C126" s="32" t="s">
        <v>181</v>
      </c>
      <c r="D126" s="24" t="s">
        <v>509</v>
      </c>
      <c r="E126" s="32" t="s">
        <v>501</v>
      </c>
      <c r="F126" s="90" t="s">
        <v>182</v>
      </c>
      <c r="G126" s="117" t="s">
        <v>493</v>
      </c>
      <c r="H126" s="117" t="s">
        <v>181</v>
      </c>
      <c r="I126" s="93">
        <v>1524</v>
      </c>
      <c r="K126" s="50">
        <f t="shared" si="5"/>
        <v>3048</v>
      </c>
      <c r="L126" s="107">
        <f t="shared" si="6"/>
        <v>1524</v>
      </c>
      <c r="M126" s="183">
        <v>0</v>
      </c>
      <c r="N126" s="129">
        <f t="shared" si="4"/>
        <v>3048</v>
      </c>
    </row>
    <row r="127" spans="1:14" ht="19.7" customHeight="1" x14ac:dyDescent="0.25">
      <c r="A127" s="903"/>
      <c r="B127" s="70" t="s">
        <v>468</v>
      </c>
      <c r="C127" s="32" t="s">
        <v>61</v>
      </c>
      <c r="D127" s="23" t="s">
        <v>509</v>
      </c>
      <c r="E127" s="43" t="s">
        <v>495</v>
      </c>
      <c r="F127" s="90" t="s">
        <v>62</v>
      </c>
      <c r="G127" s="117" t="s">
        <v>468</v>
      </c>
      <c r="H127" s="117" t="s">
        <v>61</v>
      </c>
      <c r="I127" s="98">
        <f>30089.1428571429+999</f>
        <v>31088.142857142899</v>
      </c>
      <c r="K127" s="110">
        <f t="shared" si="5"/>
        <v>62176.285714285797</v>
      </c>
      <c r="L127" s="107">
        <f t="shared" si="6"/>
        <v>31088.142857142899</v>
      </c>
      <c r="M127" s="183">
        <v>10000</v>
      </c>
      <c r="N127" s="129">
        <f t="shared" si="4"/>
        <v>52176.285714285797</v>
      </c>
    </row>
    <row r="128" spans="1:14" ht="19.7" hidden="1" customHeight="1" x14ac:dyDescent="0.25">
      <c r="A128" s="903"/>
      <c r="B128" s="70" t="s">
        <v>467</v>
      </c>
      <c r="C128" s="32" t="s">
        <v>79</v>
      </c>
      <c r="D128" s="23" t="s">
        <v>509</v>
      </c>
      <c r="E128" s="43" t="s">
        <v>495</v>
      </c>
      <c r="F128" s="90" t="s">
        <v>80</v>
      </c>
      <c r="G128" s="117" t="s">
        <v>467</v>
      </c>
      <c r="H128" s="117" t="s">
        <v>79</v>
      </c>
      <c r="I128" s="98">
        <v>1808.5714285714287</v>
      </c>
      <c r="K128" s="110">
        <f t="shared" si="5"/>
        <v>3617.1428571428573</v>
      </c>
      <c r="L128" s="107">
        <f t="shared" si="6"/>
        <v>1808.5714285714287</v>
      </c>
      <c r="M128" s="183">
        <v>3000</v>
      </c>
      <c r="N128" s="129">
        <f t="shared" si="4"/>
        <v>617.14285714285734</v>
      </c>
    </row>
    <row r="129" spans="1:14" ht="19.7" customHeight="1" x14ac:dyDescent="0.25">
      <c r="A129" s="903"/>
      <c r="B129" s="70" t="s">
        <v>467</v>
      </c>
      <c r="C129" s="32" t="s">
        <v>81</v>
      </c>
      <c r="D129" s="23" t="s">
        <v>509</v>
      </c>
      <c r="E129" s="43" t="s">
        <v>495</v>
      </c>
      <c r="F129" s="90" t="s">
        <v>82</v>
      </c>
      <c r="G129" s="117" t="s">
        <v>467</v>
      </c>
      <c r="H129" s="117" t="s">
        <v>81</v>
      </c>
      <c r="I129" s="98">
        <f>2022.85714285714+162</f>
        <v>2184.8571428571399</v>
      </c>
      <c r="K129" s="110">
        <f t="shared" si="5"/>
        <v>4369.7142857142799</v>
      </c>
      <c r="L129" s="107">
        <f t="shared" si="6"/>
        <v>2184.8571428571399</v>
      </c>
      <c r="M129" s="183">
        <v>2000</v>
      </c>
      <c r="N129" s="129">
        <f t="shared" si="4"/>
        <v>2369.7142857142799</v>
      </c>
    </row>
    <row r="130" spans="1:14" ht="19.7" hidden="1" customHeight="1" x14ac:dyDescent="0.25">
      <c r="A130" s="903"/>
      <c r="B130" s="70" t="s">
        <v>467</v>
      </c>
      <c r="C130" s="32" t="s">
        <v>93</v>
      </c>
      <c r="D130" s="23" t="s">
        <v>509</v>
      </c>
      <c r="E130" s="43" t="s">
        <v>495</v>
      </c>
      <c r="F130" s="90" t="s">
        <v>94</v>
      </c>
      <c r="G130" s="117" t="s">
        <v>467</v>
      </c>
      <c r="H130" s="117" t="s">
        <v>93</v>
      </c>
      <c r="I130" s="98">
        <v>2994.8571428571427</v>
      </c>
      <c r="K130" s="110">
        <f t="shared" si="5"/>
        <v>5989.7142857142853</v>
      </c>
      <c r="L130" s="107">
        <f t="shared" si="6"/>
        <v>2994.8571428571427</v>
      </c>
      <c r="M130" s="183">
        <v>3000</v>
      </c>
      <c r="N130" s="129">
        <f t="shared" si="4"/>
        <v>2989.7142857142853</v>
      </c>
    </row>
    <row r="131" spans="1:14" ht="19.7" hidden="1" customHeight="1" x14ac:dyDescent="0.25">
      <c r="A131" s="903"/>
      <c r="B131" s="70" t="s">
        <v>467</v>
      </c>
      <c r="C131" s="32" t="s">
        <v>95</v>
      </c>
      <c r="D131" s="23" t="s">
        <v>509</v>
      </c>
      <c r="E131" s="43" t="s">
        <v>495</v>
      </c>
      <c r="F131" s="90" t="s">
        <v>96</v>
      </c>
      <c r="G131" s="117" t="s">
        <v>467</v>
      </c>
      <c r="H131" s="117" t="s">
        <v>95</v>
      </c>
      <c r="I131" s="98">
        <v>912</v>
      </c>
      <c r="K131" s="50">
        <f t="shared" si="5"/>
        <v>1824</v>
      </c>
      <c r="L131" s="107">
        <f t="shared" si="6"/>
        <v>912</v>
      </c>
      <c r="M131" s="183">
        <v>2200</v>
      </c>
      <c r="N131" s="129">
        <f t="shared" si="4"/>
        <v>-376</v>
      </c>
    </row>
    <row r="132" spans="1:14" ht="19.7" hidden="1" customHeight="1" x14ac:dyDescent="0.25">
      <c r="A132" s="903"/>
      <c r="B132" s="70" t="s">
        <v>471</v>
      </c>
      <c r="C132" s="32" t="s">
        <v>119</v>
      </c>
      <c r="D132" s="23" t="s">
        <v>509</v>
      </c>
      <c r="E132" s="43" t="s">
        <v>495</v>
      </c>
      <c r="F132" s="90" t="s">
        <v>120</v>
      </c>
      <c r="G132" s="117" t="s">
        <v>471</v>
      </c>
      <c r="H132" s="117" t="s">
        <v>119</v>
      </c>
      <c r="I132" s="98">
        <v>1486.8571428571429</v>
      </c>
      <c r="K132" s="110">
        <f t="shared" si="5"/>
        <v>2973.7142857142858</v>
      </c>
      <c r="L132" s="107">
        <f t="shared" si="6"/>
        <v>1486.8571428571429</v>
      </c>
      <c r="M132" s="183">
        <v>5930</v>
      </c>
      <c r="N132" s="129">
        <f t="shared" si="4"/>
        <v>-2956.2857142857142</v>
      </c>
    </row>
    <row r="133" spans="1:14" ht="19.7" hidden="1" customHeight="1" x14ac:dyDescent="0.25">
      <c r="A133" s="903"/>
      <c r="B133" s="70" t="s">
        <v>471</v>
      </c>
      <c r="C133" s="32" t="s">
        <v>117</v>
      </c>
      <c r="D133" s="23" t="s">
        <v>509</v>
      </c>
      <c r="E133" s="43" t="s">
        <v>495</v>
      </c>
      <c r="F133" s="90" t="s">
        <v>118</v>
      </c>
      <c r="G133" s="117" t="s">
        <v>471</v>
      </c>
      <c r="H133" s="117" t="s">
        <v>117</v>
      </c>
      <c r="I133" s="98">
        <v>373.71428571428572</v>
      </c>
      <c r="K133" s="110">
        <f t="shared" ref="K133:K190" si="7">+L133*2</f>
        <v>747.42857142857144</v>
      </c>
      <c r="L133" s="107">
        <f t="shared" ref="L133:L190" si="8">+I133</f>
        <v>373.71428571428572</v>
      </c>
      <c r="M133" s="183">
        <v>200</v>
      </c>
      <c r="N133" s="129">
        <f t="shared" si="4"/>
        <v>547.42857142857144</v>
      </c>
    </row>
    <row r="134" spans="1:14" ht="19.7" hidden="1" customHeight="1" x14ac:dyDescent="0.25">
      <c r="A134" s="903"/>
      <c r="B134" s="70" t="s">
        <v>471</v>
      </c>
      <c r="C134" s="32" t="s">
        <v>121</v>
      </c>
      <c r="D134" s="23" t="s">
        <v>509</v>
      </c>
      <c r="E134" s="43" t="s">
        <v>495</v>
      </c>
      <c r="F134" s="90" t="s">
        <v>122</v>
      </c>
      <c r="G134" s="117" t="s">
        <v>471</v>
      </c>
      <c r="H134" s="117" t="s">
        <v>121</v>
      </c>
      <c r="I134" s="98">
        <v>409.71428571428572</v>
      </c>
      <c r="K134" s="110">
        <f t="shared" si="7"/>
        <v>819.42857142857144</v>
      </c>
      <c r="L134" s="107">
        <f t="shared" si="8"/>
        <v>409.71428571428572</v>
      </c>
      <c r="M134" s="183">
        <v>430</v>
      </c>
      <c r="N134" s="129">
        <f t="shared" si="4"/>
        <v>389.42857142857144</v>
      </c>
    </row>
    <row r="135" spans="1:14" ht="19.7" customHeight="1" x14ac:dyDescent="0.25">
      <c r="A135" s="903"/>
      <c r="B135" s="70" t="s">
        <v>471</v>
      </c>
      <c r="C135" s="32" t="s">
        <v>123</v>
      </c>
      <c r="D135" s="23" t="s">
        <v>509</v>
      </c>
      <c r="E135" s="43" t="s">
        <v>495</v>
      </c>
      <c r="F135" s="90" t="s">
        <v>124</v>
      </c>
      <c r="G135" s="117" t="s">
        <v>471</v>
      </c>
      <c r="H135" s="117" t="s">
        <v>123</v>
      </c>
      <c r="I135" s="98">
        <v>524.57142857142856</v>
      </c>
      <c r="K135" s="110">
        <f t="shared" si="7"/>
        <v>1049.1428571428571</v>
      </c>
      <c r="L135" s="107">
        <f t="shared" si="8"/>
        <v>524.57142857142856</v>
      </c>
      <c r="M135" s="183">
        <v>0</v>
      </c>
      <c r="N135" s="129">
        <f t="shared" si="4"/>
        <v>1049.1428571428571</v>
      </c>
    </row>
    <row r="136" spans="1:14" ht="19.7" hidden="1" customHeight="1" x14ac:dyDescent="0.25">
      <c r="A136" s="903"/>
      <c r="B136" s="70" t="s">
        <v>489</v>
      </c>
      <c r="C136" s="32" t="s">
        <v>127</v>
      </c>
      <c r="D136" s="23" t="s">
        <v>509</v>
      </c>
      <c r="E136" s="43" t="s">
        <v>495</v>
      </c>
      <c r="F136" s="90" t="s">
        <v>128</v>
      </c>
      <c r="G136" s="117" t="s">
        <v>489</v>
      </c>
      <c r="H136" s="117" t="s">
        <v>127</v>
      </c>
      <c r="I136" s="98">
        <v>1217.1428571428571</v>
      </c>
      <c r="K136" s="110">
        <f t="shared" si="7"/>
        <v>2434.2857142857142</v>
      </c>
      <c r="L136" s="107">
        <f t="shared" si="8"/>
        <v>1217.1428571428571</v>
      </c>
      <c r="M136" s="183">
        <v>4500</v>
      </c>
      <c r="N136" s="129">
        <f t="shared" si="4"/>
        <v>-2065.7142857142858</v>
      </c>
    </row>
    <row r="137" spans="1:14" ht="19.7" hidden="1" customHeight="1" x14ac:dyDescent="0.25">
      <c r="A137" s="903"/>
      <c r="B137" s="70" t="s">
        <v>489</v>
      </c>
      <c r="C137" s="32" t="s">
        <v>129</v>
      </c>
      <c r="D137" s="23" t="s">
        <v>509</v>
      </c>
      <c r="E137" s="43" t="s">
        <v>495</v>
      </c>
      <c r="F137" s="90" t="s">
        <v>130</v>
      </c>
      <c r="G137" s="117" t="s">
        <v>489</v>
      </c>
      <c r="H137" s="117" t="s">
        <v>129</v>
      </c>
      <c r="I137" s="98">
        <v>293.14285714285717</v>
      </c>
      <c r="K137" s="110">
        <f t="shared" si="7"/>
        <v>586.28571428571433</v>
      </c>
      <c r="L137" s="107">
        <f t="shared" si="8"/>
        <v>293.14285714285717</v>
      </c>
      <c r="M137" s="183">
        <v>1500</v>
      </c>
      <c r="N137" s="129">
        <f t="shared" si="4"/>
        <v>-913.71428571428567</v>
      </c>
    </row>
    <row r="138" spans="1:14" ht="19.7" customHeight="1" x14ac:dyDescent="0.25">
      <c r="A138" s="903"/>
      <c r="B138" s="70" t="s">
        <v>489</v>
      </c>
      <c r="C138" s="32" t="s">
        <v>133</v>
      </c>
      <c r="D138" s="23" t="s">
        <v>509</v>
      </c>
      <c r="E138" s="43" t="s">
        <v>495</v>
      </c>
      <c r="F138" s="90" t="s">
        <v>134</v>
      </c>
      <c r="G138" s="117" t="s">
        <v>489</v>
      </c>
      <c r="H138" s="117" t="s">
        <v>133</v>
      </c>
      <c r="I138" s="98">
        <v>1393.7142857142858</v>
      </c>
      <c r="K138" s="110">
        <f t="shared" si="7"/>
        <v>2787.4285714285716</v>
      </c>
      <c r="L138" s="107">
        <f t="shared" si="8"/>
        <v>1393.7142857142858</v>
      </c>
      <c r="M138" s="183">
        <v>857</v>
      </c>
      <c r="N138" s="129">
        <f t="shared" si="4"/>
        <v>1930.4285714285716</v>
      </c>
    </row>
    <row r="139" spans="1:14" ht="19.7" customHeight="1" x14ac:dyDescent="0.25">
      <c r="A139" s="903"/>
      <c r="B139" s="70" t="s">
        <v>482</v>
      </c>
      <c r="C139" s="32" t="s">
        <v>59</v>
      </c>
      <c r="D139" s="23" t="s">
        <v>509</v>
      </c>
      <c r="E139" s="43" t="s">
        <v>495</v>
      </c>
      <c r="F139" s="90" t="s">
        <v>60</v>
      </c>
      <c r="G139" s="117" t="s">
        <v>482</v>
      </c>
      <c r="H139" s="117" t="s">
        <v>59</v>
      </c>
      <c r="I139" s="98">
        <v>6783.333333333333</v>
      </c>
      <c r="K139" s="110">
        <f t="shared" si="7"/>
        <v>13566.666666666666</v>
      </c>
      <c r="L139" s="107">
        <f t="shared" si="8"/>
        <v>6783.333333333333</v>
      </c>
      <c r="M139" s="183">
        <v>10000</v>
      </c>
      <c r="N139" s="129">
        <f t="shared" si="4"/>
        <v>3566.6666666666661</v>
      </c>
    </row>
    <row r="140" spans="1:14" ht="19.7" customHeight="1" x14ac:dyDescent="0.25">
      <c r="A140" s="903"/>
      <c r="B140" s="70" t="s">
        <v>482</v>
      </c>
      <c r="C140" s="32" t="s">
        <v>135</v>
      </c>
      <c r="D140" s="23" t="s">
        <v>509</v>
      </c>
      <c r="E140" s="43" t="s">
        <v>495</v>
      </c>
      <c r="F140" s="90" t="s">
        <v>136</v>
      </c>
      <c r="G140" s="117" t="s">
        <v>482</v>
      </c>
      <c r="H140" s="117" t="s">
        <v>135</v>
      </c>
      <c r="I140" s="98">
        <f>3519.42857142857+608</f>
        <v>4127.4285714285706</v>
      </c>
      <c r="K140" s="110">
        <f t="shared" si="7"/>
        <v>8254.8571428571413</v>
      </c>
      <c r="L140" s="107">
        <f t="shared" si="8"/>
        <v>4127.4285714285706</v>
      </c>
      <c r="M140" s="183">
        <v>5000</v>
      </c>
      <c r="N140" s="129">
        <f t="shared" si="4"/>
        <v>3254.8571428571413</v>
      </c>
    </row>
    <row r="141" spans="1:14" ht="19.7" hidden="1" customHeight="1" x14ac:dyDescent="0.25">
      <c r="A141" s="903"/>
      <c r="B141" s="70" t="s">
        <v>461</v>
      </c>
      <c r="C141" s="32" t="s">
        <v>75</v>
      </c>
      <c r="D141" s="23" t="s">
        <v>509</v>
      </c>
      <c r="E141" s="43" t="s">
        <v>495</v>
      </c>
      <c r="F141" s="90" t="s">
        <v>76</v>
      </c>
      <c r="G141" s="117" t="s">
        <v>461</v>
      </c>
      <c r="H141" s="117" t="s">
        <v>75</v>
      </c>
      <c r="I141" s="98">
        <v>185.14285714285714</v>
      </c>
      <c r="K141" s="110">
        <f t="shared" si="7"/>
        <v>370.28571428571428</v>
      </c>
      <c r="L141" s="107">
        <f t="shared" si="8"/>
        <v>185.14285714285714</v>
      </c>
      <c r="M141" s="183">
        <v>850</v>
      </c>
      <c r="N141" s="129">
        <f t="shared" si="4"/>
        <v>-479.71428571428572</v>
      </c>
    </row>
    <row r="142" spans="1:14" ht="19.7" customHeight="1" x14ac:dyDescent="0.25">
      <c r="A142" s="903"/>
      <c r="B142" s="70" t="s">
        <v>461</v>
      </c>
      <c r="C142" s="32" t="s">
        <v>77</v>
      </c>
      <c r="D142" s="23" t="s">
        <v>509</v>
      </c>
      <c r="E142" s="43" t="s">
        <v>495</v>
      </c>
      <c r="F142" s="90" t="s">
        <v>78</v>
      </c>
      <c r="G142" s="117" t="s">
        <v>461</v>
      </c>
      <c r="H142" s="117" t="s">
        <v>77</v>
      </c>
      <c r="I142" s="98">
        <v>2977.7142857142858</v>
      </c>
      <c r="K142" s="110">
        <f t="shared" si="7"/>
        <v>5955.4285714285716</v>
      </c>
      <c r="L142" s="107">
        <f t="shared" si="8"/>
        <v>2977.7142857142858</v>
      </c>
      <c r="M142" s="183">
        <v>5100</v>
      </c>
      <c r="N142" s="129">
        <f t="shared" si="4"/>
        <v>855.42857142857156</v>
      </c>
    </row>
    <row r="143" spans="1:14" ht="19.7" hidden="1" customHeight="1" x14ac:dyDescent="0.25">
      <c r="A143" s="903"/>
      <c r="B143" s="70" t="s">
        <v>461</v>
      </c>
      <c r="C143" s="78" t="s">
        <v>429</v>
      </c>
      <c r="D143" s="23" t="s">
        <v>509</v>
      </c>
      <c r="E143" s="43" t="s">
        <v>495</v>
      </c>
      <c r="F143" s="90" t="s">
        <v>430</v>
      </c>
      <c r="G143" s="117" t="s">
        <v>461</v>
      </c>
      <c r="H143" s="120" t="s">
        <v>429</v>
      </c>
      <c r="I143" s="98">
        <v>106.28571428571429</v>
      </c>
      <c r="K143" s="110">
        <f t="shared" si="7"/>
        <v>212.57142857142858</v>
      </c>
      <c r="L143" s="107">
        <f t="shared" si="8"/>
        <v>106.28571428571429</v>
      </c>
      <c r="M143" s="183">
        <v>1350</v>
      </c>
      <c r="N143" s="129">
        <f t="shared" si="4"/>
        <v>-1137.4285714285713</v>
      </c>
    </row>
    <row r="144" spans="1:14" ht="19.7" hidden="1" customHeight="1" x14ac:dyDescent="0.25">
      <c r="A144" s="903"/>
      <c r="B144" s="70" t="s">
        <v>472</v>
      </c>
      <c r="C144" s="32" t="s">
        <v>111</v>
      </c>
      <c r="D144" s="23" t="s">
        <v>509</v>
      </c>
      <c r="E144" s="43" t="s">
        <v>495</v>
      </c>
      <c r="F144" s="90" t="s">
        <v>112</v>
      </c>
      <c r="G144" s="117" t="s">
        <v>472</v>
      </c>
      <c r="H144" s="117" t="s">
        <v>111</v>
      </c>
      <c r="I144" s="98">
        <v>305.14285714285717</v>
      </c>
      <c r="K144" s="110">
        <f t="shared" si="7"/>
        <v>610.28571428571433</v>
      </c>
      <c r="L144" s="107">
        <f t="shared" si="8"/>
        <v>305.14285714285717</v>
      </c>
      <c r="M144" s="183">
        <v>500</v>
      </c>
      <c r="N144" s="129">
        <f t="shared" si="4"/>
        <v>110.28571428571433</v>
      </c>
    </row>
    <row r="145" spans="1:14" ht="19.7" hidden="1" customHeight="1" x14ac:dyDescent="0.25">
      <c r="A145" s="903"/>
      <c r="B145" s="70" t="s">
        <v>472</v>
      </c>
      <c r="C145" s="32" t="s">
        <v>113</v>
      </c>
      <c r="D145" s="23" t="s">
        <v>509</v>
      </c>
      <c r="E145" s="43" t="s">
        <v>495</v>
      </c>
      <c r="F145" s="90" t="s">
        <v>114</v>
      </c>
      <c r="G145" s="117" t="s">
        <v>472</v>
      </c>
      <c r="H145" s="117" t="s">
        <v>113</v>
      </c>
      <c r="I145" s="98">
        <v>678.85714285714289</v>
      </c>
      <c r="K145" s="110">
        <f t="shared" si="7"/>
        <v>1357.7142857142858</v>
      </c>
      <c r="L145" s="107">
        <f t="shared" si="8"/>
        <v>678.85714285714289</v>
      </c>
      <c r="M145" s="183">
        <v>1306</v>
      </c>
      <c r="N145" s="129">
        <f t="shared" si="4"/>
        <v>51.714285714285779</v>
      </c>
    </row>
    <row r="146" spans="1:14" ht="19.7" hidden="1" customHeight="1" x14ac:dyDescent="0.25">
      <c r="A146" s="903"/>
      <c r="B146" s="70" t="s">
        <v>472</v>
      </c>
      <c r="C146" s="32" t="s">
        <v>115</v>
      </c>
      <c r="D146" s="23" t="s">
        <v>509</v>
      </c>
      <c r="E146" s="43" t="s">
        <v>495</v>
      </c>
      <c r="F146" s="90" t="s">
        <v>116</v>
      </c>
      <c r="G146" s="117" t="s">
        <v>472</v>
      </c>
      <c r="H146" s="117" t="s">
        <v>115</v>
      </c>
      <c r="I146" s="98">
        <v>474.85714285714283</v>
      </c>
      <c r="K146" s="110">
        <f t="shared" si="7"/>
        <v>949.71428571428567</v>
      </c>
      <c r="L146" s="107">
        <f t="shared" si="8"/>
        <v>474.85714285714283</v>
      </c>
      <c r="M146" s="183">
        <v>1500</v>
      </c>
      <c r="N146" s="129">
        <f t="shared" si="4"/>
        <v>-550.28571428571433</v>
      </c>
    </row>
    <row r="147" spans="1:14" ht="19.7" hidden="1" customHeight="1" x14ac:dyDescent="0.25">
      <c r="A147" s="903"/>
      <c r="B147" s="70" t="s">
        <v>472</v>
      </c>
      <c r="C147" s="32" t="s">
        <v>109</v>
      </c>
      <c r="D147" s="23" t="s">
        <v>509</v>
      </c>
      <c r="E147" s="43" t="s">
        <v>495</v>
      </c>
      <c r="F147" s="90" t="s">
        <v>110</v>
      </c>
      <c r="G147" s="117" t="s">
        <v>472</v>
      </c>
      <c r="H147" s="117" t="s">
        <v>109</v>
      </c>
      <c r="I147" s="98">
        <v>46.285714285714285</v>
      </c>
      <c r="K147" s="110">
        <f t="shared" si="7"/>
        <v>92.571428571428569</v>
      </c>
      <c r="L147" s="107">
        <f t="shared" si="8"/>
        <v>46.285714285714285</v>
      </c>
      <c r="M147" s="183">
        <v>5000</v>
      </c>
      <c r="N147" s="129">
        <f t="shared" si="4"/>
        <v>-4907.4285714285716</v>
      </c>
    </row>
    <row r="148" spans="1:14" ht="19.7" customHeight="1" x14ac:dyDescent="0.25">
      <c r="A148" s="903"/>
      <c r="B148" s="70" t="s">
        <v>481</v>
      </c>
      <c r="C148" s="32" t="s">
        <v>47</v>
      </c>
      <c r="D148" s="23" t="s">
        <v>509</v>
      </c>
      <c r="E148" s="43" t="s">
        <v>495</v>
      </c>
      <c r="F148" s="90" t="s">
        <v>48</v>
      </c>
      <c r="G148" s="117" t="s">
        <v>481</v>
      </c>
      <c r="H148" s="117" t="s">
        <v>47</v>
      </c>
      <c r="I148" s="98">
        <v>70.285714285714292</v>
      </c>
      <c r="K148" s="110">
        <f t="shared" si="7"/>
        <v>140.57142857142858</v>
      </c>
      <c r="L148" s="107">
        <f t="shared" si="8"/>
        <v>70.285714285714292</v>
      </c>
      <c r="M148" s="183">
        <v>0</v>
      </c>
      <c r="N148" s="129">
        <f t="shared" si="4"/>
        <v>140.57142857142858</v>
      </c>
    </row>
    <row r="149" spans="1:14" ht="19.7" hidden="1" customHeight="1" x14ac:dyDescent="0.25">
      <c r="A149" s="903"/>
      <c r="B149" s="70" t="s">
        <v>481</v>
      </c>
      <c r="C149" s="32" t="s">
        <v>39</v>
      </c>
      <c r="D149" s="23" t="s">
        <v>509</v>
      </c>
      <c r="E149" s="43" t="s">
        <v>495</v>
      </c>
      <c r="F149" s="90" t="s">
        <v>40</v>
      </c>
      <c r="G149" s="117" t="s">
        <v>481</v>
      </c>
      <c r="H149" s="117" t="s">
        <v>39</v>
      </c>
      <c r="I149" s="98">
        <v>5170.2857142857147</v>
      </c>
      <c r="K149" s="110">
        <f t="shared" si="7"/>
        <v>10340.571428571429</v>
      </c>
      <c r="L149" s="107">
        <f t="shared" si="8"/>
        <v>5170.2857142857147</v>
      </c>
      <c r="M149" s="183">
        <v>16500</v>
      </c>
      <c r="N149" s="129">
        <f t="shared" si="4"/>
        <v>-6159.4285714285706</v>
      </c>
    </row>
    <row r="150" spans="1:14" ht="19.7" hidden="1" customHeight="1" x14ac:dyDescent="0.25">
      <c r="A150" s="903"/>
      <c r="B150" s="70" t="s">
        <v>481</v>
      </c>
      <c r="C150" s="32" t="s">
        <v>45</v>
      </c>
      <c r="D150" s="23" t="s">
        <v>509</v>
      </c>
      <c r="E150" s="43" t="s">
        <v>495</v>
      </c>
      <c r="F150" s="90" t="s">
        <v>46</v>
      </c>
      <c r="G150" s="117" t="s">
        <v>481</v>
      </c>
      <c r="H150" s="117" t="s">
        <v>45</v>
      </c>
      <c r="I150" s="98">
        <v>584.57142857142856</v>
      </c>
      <c r="K150" s="110">
        <f t="shared" si="7"/>
        <v>1169.1428571428571</v>
      </c>
      <c r="L150" s="107">
        <f t="shared" si="8"/>
        <v>584.57142857142856</v>
      </c>
      <c r="M150" s="183">
        <v>0</v>
      </c>
      <c r="N150" s="129">
        <f t="shared" si="4"/>
        <v>1169.1428571428571</v>
      </c>
    </row>
    <row r="151" spans="1:14" ht="19.7" hidden="1" customHeight="1" x14ac:dyDescent="0.25">
      <c r="A151" s="903"/>
      <c r="B151" s="70" t="s">
        <v>481</v>
      </c>
      <c r="C151" s="32" t="s">
        <v>37</v>
      </c>
      <c r="D151" s="23" t="s">
        <v>509</v>
      </c>
      <c r="E151" s="43" t="s">
        <v>495</v>
      </c>
      <c r="F151" s="90" t="s">
        <v>38</v>
      </c>
      <c r="G151" s="117" t="s">
        <v>481</v>
      </c>
      <c r="H151" s="117" t="s">
        <v>37</v>
      </c>
      <c r="I151" s="98">
        <v>594.85714285714289</v>
      </c>
      <c r="K151" s="110">
        <f t="shared" si="7"/>
        <v>1189.7142857142858</v>
      </c>
      <c r="L151" s="107">
        <f t="shared" si="8"/>
        <v>594.85714285714289</v>
      </c>
      <c r="M151" s="183">
        <v>4360</v>
      </c>
      <c r="N151" s="129">
        <f t="shared" si="4"/>
        <v>-3170.2857142857142</v>
      </c>
    </row>
    <row r="152" spans="1:14" ht="19.7" customHeight="1" x14ac:dyDescent="0.25">
      <c r="A152" s="903"/>
      <c r="B152" s="70" t="s">
        <v>473</v>
      </c>
      <c r="C152" s="32" t="s">
        <v>55</v>
      </c>
      <c r="D152" s="23" t="s">
        <v>509</v>
      </c>
      <c r="E152" s="43" t="s">
        <v>495</v>
      </c>
      <c r="F152" s="90" t="s">
        <v>56</v>
      </c>
      <c r="G152" s="117" t="s">
        <v>473</v>
      </c>
      <c r="H152" s="117" t="s">
        <v>55</v>
      </c>
      <c r="I152" s="98">
        <v>6708.1428571428569</v>
      </c>
      <c r="K152" s="110">
        <f t="shared" si="7"/>
        <v>13416.285714285714</v>
      </c>
      <c r="L152" s="107">
        <f t="shared" si="8"/>
        <v>6708.1428571428569</v>
      </c>
      <c r="M152" s="183">
        <v>13400</v>
      </c>
      <c r="N152" s="129">
        <f t="shared" si="4"/>
        <v>16.285714285713766</v>
      </c>
    </row>
    <row r="153" spans="1:14" ht="19.7" hidden="1" customHeight="1" x14ac:dyDescent="0.25">
      <c r="A153" s="903"/>
      <c r="B153" s="70" t="s">
        <v>473</v>
      </c>
      <c r="C153" s="32" t="s">
        <v>71</v>
      </c>
      <c r="D153" s="23" t="s">
        <v>509</v>
      </c>
      <c r="E153" s="43" t="s">
        <v>495</v>
      </c>
      <c r="F153" s="90" t="s">
        <v>72</v>
      </c>
      <c r="G153" s="117" t="s">
        <v>473</v>
      </c>
      <c r="H153" s="117" t="s">
        <v>71</v>
      </c>
      <c r="I153" s="98">
        <v>598.28571428571433</v>
      </c>
      <c r="K153" s="110">
        <f t="shared" si="7"/>
        <v>1196.5714285714287</v>
      </c>
      <c r="L153" s="107">
        <f t="shared" si="8"/>
        <v>598.28571428571433</v>
      </c>
      <c r="M153" s="183">
        <v>7000</v>
      </c>
      <c r="N153" s="129">
        <f t="shared" si="4"/>
        <v>-5803.4285714285716</v>
      </c>
    </row>
    <row r="154" spans="1:14" ht="19.7" hidden="1" customHeight="1" x14ac:dyDescent="0.25">
      <c r="A154" s="903"/>
      <c r="B154" s="70" t="s">
        <v>473</v>
      </c>
      <c r="C154" s="32" t="s">
        <v>57</v>
      </c>
      <c r="D154" s="23" t="s">
        <v>509</v>
      </c>
      <c r="E154" s="43" t="s">
        <v>495</v>
      </c>
      <c r="F154" s="90" t="s">
        <v>58</v>
      </c>
      <c r="G154" s="117" t="s">
        <v>473</v>
      </c>
      <c r="H154" s="117" t="s">
        <v>57</v>
      </c>
      <c r="I154" s="98">
        <f>7913.14285714286+612</f>
        <v>8525.1428571428587</v>
      </c>
      <c r="K154" s="110">
        <f t="shared" si="7"/>
        <v>17050.285714285717</v>
      </c>
      <c r="L154" s="107">
        <f t="shared" si="8"/>
        <v>8525.1428571428587</v>
      </c>
      <c r="M154" s="183">
        <v>7000</v>
      </c>
      <c r="N154" s="129">
        <f t="shared" si="4"/>
        <v>10050.285714285717</v>
      </c>
    </row>
    <row r="155" spans="1:14" ht="19.7" hidden="1" customHeight="1" x14ac:dyDescent="0.25">
      <c r="A155" s="903"/>
      <c r="B155" s="70" t="s">
        <v>475</v>
      </c>
      <c r="C155" s="32" t="s">
        <v>67</v>
      </c>
      <c r="D155" s="23" t="s">
        <v>509</v>
      </c>
      <c r="E155" s="43" t="s">
        <v>495</v>
      </c>
      <c r="F155" s="90" t="s">
        <v>68</v>
      </c>
      <c r="G155" s="117" t="s">
        <v>475</v>
      </c>
      <c r="H155" s="117" t="s">
        <v>67</v>
      </c>
      <c r="I155" s="98">
        <v>925.71428571428567</v>
      </c>
      <c r="K155" s="110">
        <f t="shared" si="7"/>
        <v>1851.4285714285713</v>
      </c>
      <c r="L155" s="107">
        <f t="shared" si="8"/>
        <v>925.71428571428567</v>
      </c>
      <c r="M155" s="183">
        <v>0</v>
      </c>
      <c r="N155" s="129">
        <f t="shared" si="4"/>
        <v>1851.4285714285713</v>
      </c>
    </row>
    <row r="156" spans="1:14" ht="19.7" hidden="1" customHeight="1" x14ac:dyDescent="0.25">
      <c r="A156" s="903"/>
      <c r="B156" s="70" t="s">
        <v>475</v>
      </c>
      <c r="C156" s="32" t="s">
        <v>65</v>
      </c>
      <c r="D156" s="23" t="s">
        <v>509</v>
      </c>
      <c r="E156" s="43" t="s">
        <v>495</v>
      </c>
      <c r="F156" s="90" t="s">
        <v>66</v>
      </c>
      <c r="G156" s="117" t="s">
        <v>475</v>
      </c>
      <c r="H156" s="117" t="s">
        <v>65</v>
      </c>
      <c r="I156" s="98">
        <v>627.42857142857144</v>
      </c>
      <c r="K156" s="110">
        <f t="shared" si="7"/>
        <v>1254.8571428571429</v>
      </c>
      <c r="L156" s="107">
        <f t="shared" si="8"/>
        <v>627.42857142857144</v>
      </c>
      <c r="M156" s="183">
        <v>1100</v>
      </c>
      <c r="N156" s="129">
        <f t="shared" si="4"/>
        <v>154.85714285714289</v>
      </c>
    </row>
    <row r="157" spans="1:14" ht="19.7" hidden="1" customHeight="1" x14ac:dyDescent="0.25">
      <c r="A157" s="903"/>
      <c r="B157" s="70" t="s">
        <v>475</v>
      </c>
      <c r="C157" s="32" t="s">
        <v>69</v>
      </c>
      <c r="D157" s="23" t="s">
        <v>509</v>
      </c>
      <c r="E157" s="43" t="s">
        <v>495</v>
      </c>
      <c r="F157" s="90" t="s">
        <v>70</v>
      </c>
      <c r="G157" s="117" t="s">
        <v>475</v>
      </c>
      <c r="H157" s="117" t="s">
        <v>69</v>
      </c>
      <c r="I157" s="98">
        <v>913.71428571428567</v>
      </c>
      <c r="K157" s="110">
        <f t="shared" si="7"/>
        <v>1827.4285714285713</v>
      </c>
      <c r="L157" s="107">
        <f t="shared" si="8"/>
        <v>913.71428571428567</v>
      </c>
      <c r="M157" s="183">
        <v>0</v>
      </c>
      <c r="N157" s="129">
        <f t="shared" si="4"/>
        <v>1827.4285714285713</v>
      </c>
    </row>
    <row r="158" spans="1:14" ht="19.7" hidden="1" customHeight="1" x14ac:dyDescent="0.25">
      <c r="A158" s="903"/>
      <c r="B158" s="70" t="s">
        <v>463</v>
      </c>
      <c r="C158" s="32" t="s">
        <v>33</v>
      </c>
      <c r="D158" s="23" t="s">
        <v>509</v>
      </c>
      <c r="E158" s="43" t="s">
        <v>495</v>
      </c>
      <c r="F158" s="90" t="s">
        <v>34</v>
      </c>
      <c r="G158" s="117" t="s">
        <v>463</v>
      </c>
      <c r="H158" s="117" t="s">
        <v>33</v>
      </c>
      <c r="I158" s="98">
        <v>618.85714285714289</v>
      </c>
      <c r="K158" s="110">
        <f t="shared" si="7"/>
        <v>1237.7142857142858</v>
      </c>
      <c r="L158" s="107">
        <f t="shared" si="8"/>
        <v>618.85714285714289</v>
      </c>
      <c r="M158" s="183">
        <v>300</v>
      </c>
      <c r="N158" s="129">
        <f t="shared" si="4"/>
        <v>937.71428571428578</v>
      </c>
    </row>
    <row r="159" spans="1:14" ht="19.7" hidden="1" customHeight="1" x14ac:dyDescent="0.25">
      <c r="A159" s="903"/>
      <c r="B159" s="70" t="s">
        <v>463</v>
      </c>
      <c r="C159" s="32" t="s">
        <v>31</v>
      </c>
      <c r="D159" s="23" t="s">
        <v>509</v>
      </c>
      <c r="E159" s="43" t="s">
        <v>495</v>
      </c>
      <c r="F159" s="90" t="s">
        <v>32</v>
      </c>
      <c r="G159" s="117" t="s">
        <v>463</v>
      </c>
      <c r="H159" s="117" t="s">
        <v>31</v>
      </c>
      <c r="I159" s="98">
        <v>406.28571428571428</v>
      </c>
      <c r="K159" s="110">
        <f t="shared" si="7"/>
        <v>812.57142857142856</v>
      </c>
      <c r="L159" s="107">
        <f t="shared" si="8"/>
        <v>406.28571428571428</v>
      </c>
      <c r="M159" s="183">
        <v>0</v>
      </c>
      <c r="N159" s="129">
        <f t="shared" si="4"/>
        <v>812.57142857142856</v>
      </c>
    </row>
    <row r="160" spans="1:14" ht="19.7" hidden="1" customHeight="1" x14ac:dyDescent="0.25">
      <c r="A160" s="903"/>
      <c r="B160" s="70" t="s">
        <v>463</v>
      </c>
      <c r="C160" s="32" t="s">
        <v>49</v>
      </c>
      <c r="D160" s="23" t="s">
        <v>509</v>
      </c>
      <c r="E160" s="43" t="s">
        <v>495</v>
      </c>
      <c r="F160" s="90" t="s">
        <v>50</v>
      </c>
      <c r="G160" s="117" t="s">
        <v>463</v>
      </c>
      <c r="H160" s="117" t="s">
        <v>49</v>
      </c>
      <c r="I160" s="98">
        <v>38.4</v>
      </c>
      <c r="K160" s="110">
        <f t="shared" si="7"/>
        <v>76.8</v>
      </c>
      <c r="L160" s="107">
        <f t="shared" si="8"/>
        <v>38.4</v>
      </c>
      <c r="M160" s="183">
        <v>1665</v>
      </c>
      <c r="N160" s="129">
        <f t="shared" si="4"/>
        <v>-1588.2</v>
      </c>
    </row>
    <row r="161" spans="1:14" ht="19.7" hidden="1" customHeight="1" x14ac:dyDescent="0.25">
      <c r="A161" s="903"/>
      <c r="B161" s="70" t="s">
        <v>463</v>
      </c>
      <c r="C161" s="32" t="s">
        <v>51</v>
      </c>
      <c r="D161" s="23" t="s">
        <v>509</v>
      </c>
      <c r="E161" s="43" t="s">
        <v>495</v>
      </c>
      <c r="F161" s="90" t="s">
        <v>52</v>
      </c>
      <c r="G161" s="117" t="s">
        <v>463</v>
      </c>
      <c r="H161" s="117" t="s">
        <v>51</v>
      </c>
      <c r="I161" s="98">
        <v>692.57142857142856</v>
      </c>
      <c r="K161" s="110">
        <f t="shared" si="7"/>
        <v>1385.1428571428571</v>
      </c>
      <c r="L161" s="107">
        <f t="shared" si="8"/>
        <v>692.57142857142856</v>
      </c>
      <c r="M161" s="183">
        <v>1000</v>
      </c>
      <c r="N161" s="129">
        <f t="shared" si="4"/>
        <v>385.14285714285711</v>
      </c>
    </row>
    <row r="162" spans="1:14" ht="19.7" customHeight="1" x14ac:dyDescent="0.25">
      <c r="A162" s="903"/>
      <c r="B162" s="70" t="s">
        <v>479</v>
      </c>
      <c r="C162" s="32" t="s">
        <v>105</v>
      </c>
      <c r="D162" s="23" t="s">
        <v>509</v>
      </c>
      <c r="E162" s="43" t="s">
        <v>495</v>
      </c>
      <c r="F162" s="90" t="s">
        <v>106</v>
      </c>
      <c r="G162" s="117" t="s">
        <v>479</v>
      </c>
      <c r="H162" s="117" t="s">
        <v>105</v>
      </c>
      <c r="I162" s="98">
        <f>7470.85714285714+400</f>
        <v>7870.8571428571404</v>
      </c>
      <c r="K162" s="110">
        <f t="shared" si="7"/>
        <v>15741.714285714281</v>
      </c>
      <c r="L162" s="107">
        <f t="shared" si="8"/>
        <v>7870.8571428571404</v>
      </c>
      <c r="M162" s="183">
        <v>6000</v>
      </c>
      <c r="N162" s="129">
        <f t="shared" si="4"/>
        <v>9741.7142857142808</v>
      </c>
    </row>
    <row r="163" spans="1:14" ht="19.7" customHeight="1" x14ac:dyDescent="0.25">
      <c r="A163" s="903"/>
      <c r="B163" s="70" t="s">
        <v>479</v>
      </c>
      <c r="C163" s="32" t="s">
        <v>107</v>
      </c>
      <c r="D163" s="28" t="s">
        <v>509</v>
      </c>
      <c r="E163" s="60" t="s">
        <v>495</v>
      </c>
      <c r="F163" s="88" t="s">
        <v>108</v>
      </c>
      <c r="G163" s="118" t="s">
        <v>479</v>
      </c>
      <c r="H163" s="118" t="s">
        <v>107</v>
      </c>
      <c r="I163" s="96">
        <f>5576+296</f>
        <v>5872</v>
      </c>
      <c r="K163" s="59">
        <f t="shared" si="7"/>
        <v>11744</v>
      </c>
      <c r="L163" s="191">
        <f t="shared" si="8"/>
        <v>5872</v>
      </c>
      <c r="M163" s="186">
        <v>3000</v>
      </c>
      <c r="N163" s="192">
        <f t="shared" si="4"/>
        <v>8744</v>
      </c>
    </row>
    <row r="164" spans="1:14" ht="19.7" hidden="1" customHeight="1" x14ac:dyDescent="0.25">
      <c r="A164" s="903"/>
      <c r="B164" s="70" t="s">
        <v>458</v>
      </c>
      <c r="C164" s="90">
        <v>17</v>
      </c>
      <c r="D164" s="198" t="s">
        <v>511</v>
      </c>
      <c r="E164" s="46" t="s">
        <v>495</v>
      </c>
      <c r="F164" s="89" t="s">
        <v>355</v>
      </c>
      <c r="G164" s="116" t="s">
        <v>458</v>
      </c>
      <c r="H164" s="116">
        <v>17</v>
      </c>
      <c r="I164" s="95">
        <v>106.28571428571429</v>
      </c>
      <c r="J164" s="199"/>
      <c r="K164" s="124">
        <f t="shared" si="7"/>
        <v>212.57142857142858</v>
      </c>
      <c r="L164" s="106">
        <f t="shared" si="8"/>
        <v>106.28571428571429</v>
      </c>
      <c r="M164" s="200">
        <v>3000</v>
      </c>
      <c r="N164" s="201">
        <f t="shared" si="4"/>
        <v>-2787.4285714285716</v>
      </c>
    </row>
    <row r="165" spans="1:14" ht="19.7" hidden="1" customHeight="1" x14ac:dyDescent="0.25">
      <c r="A165" s="903"/>
      <c r="B165" s="70" t="s">
        <v>458</v>
      </c>
      <c r="C165" s="90">
        <v>18</v>
      </c>
      <c r="D165" s="202" t="s">
        <v>511</v>
      </c>
      <c r="E165" s="43" t="s">
        <v>495</v>
      </c>
      <c r="F165" s="90" t="s">
        <v>90</v>
      </c>
      <c r="G165" s="117" t="s">
        <v>458</v>
      </c>
      <c r="H165" s="117">
        <v>18</v>
      </c>
      <c r="I165" s="98">
        <v>48</v>
      </c>
      <c r="K165" s="50">
        <f t="shared" si="7"/>
        <v>96</v>
      </c>
      <c r="L165" s="107">
        <f t="shared" si="8"/>
        <v>48</v>
      </c>
      <c r="M165" s="183">
        <v>1100</v>
      </c>
      <c r="N165" s="129">
        <f t="shared" si="4"/>
        <v>-1004</v>
      </c>
    </row>
    <row r="166" spans="1:14" ht="19.7" hidden="1" customHeight="1" x14ac:dyDescent="0.25">
      <c r="A166" s="903"/>
      <c r="B166" s="70" t="s">
        <v>457</v>
      </c>
      <c r="C166" s="90">
        <v>14</v>
      </c>
      <c r="D166" s="202" t="s">
        <v>511</v>
      </c>
      <c r="E166" s="43" t="s">
        <v>495</v>
      </c>
      <c r="F166" s="90" t="s">
        <v>353</v>
      </c>
      <c r="G166" s="117" t="s">
        <v>457</v>
      </c>
      <c r="H166" s="117">
        <v>14</v>
      </c>
      <c r="I166" s="98">
        <v>72</v>
      </c>
      <c r="K166" s="50">
        <f t="shared" si="7"/>
        <v>144</v>
      </c>
      <c r="L166" s="107">
        <f t="shared" si="8"/>
        <v>72</v>
      </c>
      <c r="M166" s="183">
        <v>5250</v>
      </c>
      <c r="N166" s="129">
        <f t="shared" si="4"/>
        <v>-5106</v>
      </c>
    </row>
    <row r="167" spans="1:14" ht="19.7" hidden="1" customHeight="1" x14ac:dyDescent="0.25">
      <c r="A167" s="903"/>
      <c r="B167" s="70" t="s">
        <v>457</v>
      </c>
      <c r="C167" s="90">
        <v>15</v>
      </c>
      <c r="D167" s="202" t="s">
        <v>511</v>
      </c>
      <c r="E167" s="43" t="s">
        <v>495</v>
      </c>
      <c r="F167" s="90" t="s">
        <v>354</v>
      </c>
      <c r="G167" s="117" t="s">
        <v>457</v>
      </c>
      <c r="H167" s="117">
        <v>15</v>
      </c>
      <c r="I167" s="98">
        <v>216</v>
      </c>
      <c r="K167" s="50">
        <f t="shared" si="7"/>
        <v>432</v>
      </c>
      <c r="L167" s="107">
        <f t="shared" si="8"/>
        <v>216</v>
      </c>
      <c r="M167" s="183">
        <v>1250</v>
      </c>
      <c r="N167" s="129">
        <f t="shared" si="4"/>
        <v>-818</v>
      </c>
    </row>
    <row r="168" spans="1:14" ht="19.7" hidden="1" customHeight="1" x14ac:dyDescent="0.25">
      <c r="A168" s="903"/>
      <c r="B168" s="70" t="s">
        <v>456</v>
      </c>
      <c r="C168" s="90">
        <v>12</v>
      </c>
      <c r="D168" s="202" t="s">
        <v>511</v>
      </c>
      <c r="E168" s="43" t="s">
        <v>495</v>
      </c>
      <c r="F168" s="90" t="s">
        <v>351</v>
      </c>
      <c r="G168" s="117" t="s">
        <v>456</v>
      </c>
      <c r="H168" s="117">
        <v>12</v>
      </c>
      <c r="I168" s="98">
        <v>30</v>
      </c>
      <c r="K168" s="50">
        <f t="shared" si="7"/>
        <v>60</v>
      </c>
      <c r="L168" s="107">
        <f t="shared" si="8"/>
        <v>30</v>
      </c>
      <c r="M168" s="183">
        <v>4500</v>
      </c>
      <c r="N168" s="129">
        <f t="shared" si="4"/>
        <v>-4440</v>
      </c>
    </row>
    <row r="169" spans="1:14" ht="19.7" hidden="1" customHeight="1" x14ac:dyDescent="0.25">
      <c r="A169" s="903"/>
      <c r="B169" s="70" t="s">
        <v>456</v>
      </c>
      <c r="C169" s="90">
        <v>13</v>
      </c>
      <c r="D169" s="202" t="s">
        <v>511</v>
      </c>
      <c r="E169" s="43" t="s">
        <v>495</v>
      </c>
      <c r="F169" s="90" t="s">
        <v>352</v>
      </c>
      <c r="G169" s="117" t="s">
        <v>456</v>
      </c>
      <c r="H169" s="117">
        <v>13</v>
      </c>
      <c r="I169" s="98">
        <v>16</v>
      </c>
      <c r="K169" s="50">
        <f t="shared" si="7"/>
        <v>32</v>
      </c>
      <c r="L169" s="107">
        <f t="shared" si="8"/>
        <v>16</v>
      </c>
      <c r="M169" s="183">
        <v>3500</v>
      </c>
      <c r="N169" s="129">
        <f t="shared" si="4"/>
        <v>-3468</v>
      </c>
    </row>
    <row r="170" spans="1:14" ht="19.7" customHeight="1" x14ac:dyDescent="0.25">
      <c r="A170" s="903"/>
      <c r="B170" s="70" t="s">
        <v>456</v>
      </c>
      <c r="C170" s="90">
        <v>11</v>
      </c>
      <c r="D170" s="202" t="s">
        <v>511</v>
      </c>
      <c r="E170" s="43" t="s">
        <v>495</v>
      </c>
      <c r="F170" s="90" t="s">
        <v>350</v>
      </c>
      <c r="G170" s="117" t="s">
        <v>456</v>
      </c>
      <c r="H170" s="117">
        <v>11</v>
      </c>
      <c r="I170" s="98">
        <v>349.71428571428572</v>
      </c>
      <c r="K170" s="110">
        <f t="shared" si="7"/>
        <v>699.42857142857144</v>
      </c>
      <c r="L170" s="107">
        <f t="shared" si="8"/>
        <v>349.71428571428572</v>
      </c>
      <c r="M170" s="183">
        <v>0</v>
      </c>
      <c r="N170" s="129">
        <f t="shared" si="4"/>
        <v>699.42857142857144</v>
      </c>
    </row>
    <row r="171" spans="1:14" ht="19.7" hidden="1" customHeight="1" x14ac:dyDescent="0.25">
      <c r="A171" s="903"/>
      <c r="B171" s="70" t="s">
        <v>455</v>
      </c>
      <c r="C171" s="90">
        <v>6</v>
      </c>
      <c r="D171" s="202" t="s">
        <v>511</v>
      </c>
      <c r="E171" s="43" t="s">
        <v>495</v>
      </c>
      <c r="F171" s="90" t="s">
        <v>347</v>
      </c>
      <c r="G171" s="117" t="s">
        <v>455</v>
      </c>
      <c r="H171" s="117">
        <v>6</v>
      </c>
      <c r="I171" s="98">
        <v>30</v>
      </c>
      <c r="K171" s="50">
        <f t="shared" si="7"/>
        <v>60</v>
      </c>
      <c r="L171" s="107">
        <f t="shared" si="8"/>
        <v>30</v>
      </c>
      <c r="M171" s="183">
        <v>1200</v>
      </c>
      <c r="N171" s="129">
        <f t="shared" si="4"/>
        <v>-1140</v>
      </c>
    </row>
    <row r="172" spans="1:14" ht="19.7" hidden="1" customHeight="1" x14ac:dyDescent="0.25">
      <c r="A172" s="903"/>
      <c r="B172" s="70" t="s">
        <v>455</v>
      </c>
      <c r="C172" s="90">
        <v>7</v>
      </c>
      <c r="D172" s="202" t="s">
        <v>511</v>
      </c>
      <c r="E172" s="43" t="s">
        <v>495</v>
      </c>
      <c r="F172" s="90" t="s">
        <v>348</v>
      </c>
      <c r="G172" s="117" t="s">
        <v>455</v>
      </c>
      <c r="H172" s="117">
        <v>7</v>
      </c>
      <c r="I172" s="98">
        <v>36</v>
      </c>
      <c r="K172" s="50">
        <f t="shared" si="7"/>
        <v>72</v>
      </c>
      <c r="L172" s="107">
        <f t="shared" si="8"/>
        <v>36</v>
      </c>
      <c r="M172" s="183">
        <v>1000</v>
      </c>
      <c r="N172" s="129">
        <f t="shared" si="4"/>
        <v>-928</v>
      </c>
    </row>
    <row r="173" spans="1:14" ht="19.7" hidden="1" customHeight="1" x14ac:dyDescent="0.25">
      <c r="A173" s="903"/>
      <c r="B173" s="70" t="s">
        <v>455</v>
      </c>
      <c r="C173" s="90">
        <v>8</v>
      </c>
      <c r="D173" s="202" t="s">
        <v>511</v>
      </c>
      <c r="E173" s="43" t="s">
        <v>495</v>
      </c>
      <c r="F173" s="90" t="s">
        <v>349</v>
      </c>
      <c r="G173" s="117" t="s">
        <v>455</v>
      </c>
      <c r="H173" s="117">
        <v>8</v>
      </c>
      <c r="I173" s="98">
        <v>109.71428571428571</v>
      </c>
      <c r="K173" s="110">
        <f t="shared" si="7"/>
        <v>219.42857142857142</v>
      </c>
      <c r="L173" s="107">
        <f t="shared" si="8"/>
        <v>109.71428571428571</v>
      </c>
      <c r="M173" s="183">
        <v>1500</v>
      </c>
      <c r="N173" s="129">
        <f t="shared" si="4"/>
        <v>-1280.5714285714287</v>
      </c>
    </row>
    <row r="174" spans="1:14" ht="19.7" hidden="1" customHeight="1" x14ac:dyDescent="0.25">
      <c r="A174" s="903"/>
      <c r="B174" s="70" t="s">
        <v>454</v>
      </c>
      <c r="C174" s="90">
        <v>1</v>
      </c>
      <c r="D174" s="202" t="s">
        <v>511</v>
      </c>
      <c r="E174" s="43" t="s">
        <v>495</v>
      </c>
      <c r="F174" s="90" t="s">
        <v>342</v>
      </c>
      <c r="G174" s="117" t="s">
        <v>454</v>
      </c>
      <c r="H174" s="117">
        <v>1</v>
      </c>
      <c r="I174" s="98">
        <v>828</v>
      </c>
      <c r="K174" s="50">
        <f t="shared" si="7"/>
        <v>1656</v>
      </c>
      <c r="L174" s="107">
        <f t="shared" si="8"/>
        <v>828</v>
      </c>
      <c r="M174" s="183">
        <v>2000</v>
      </c>
      <c r="N174" s="129">
        <f t="shared" si="4"/>
        <v>-344</v>
      </c>
    </row>
    <row r="175" spans="1:14" ht="19.7" hidden="1" customHeight="1" x14ac:dyDescent="0.25">
      <c r="A175" s="903"/>
      <c r="B175" s="70" t="s">
        <v>454</v>
      </c>
      <c r="C175" s="90">
        <v>2</v>
      </c>
      <c r="D175" s="202" t="s">
        <v>511</v>
      </c>
      <c r="E175" s="43" t="s">
        <v>495</v>
      </c>
      <c r="F175" s="90" t="s">
        <v>343</v>
      </c>
      <c r="G175" s="117" t="s">
        <v>454</v>
      </c>
      <c r="H175" s="117">
        <v>2</v>
      </c>
      <c r="I175" s="98">
        <v>98</v>
      </c>
      <c r="K175" s="50">
        <f t="shared" si="7"/>
        <v>196</v>
      </c>
      <c r="L175" s="107">
        <f t="shared" si="8"/>
        <v>98</v>
      </c>
      <c r="M175" s="183">
        <v>750</v>
      </c>
      <c r="N175" s="129">
        <f t="shared" si="4"/>
        <v>-554</v>
      </c>
    </row>
    <row r="176" spans="1:14" ht="19.7" hidden="1" customHeight="1" x14ac:dyDescent="0.25">
      <c r="A176" s="903"/>
      <c r="B176" s="70" t="s">
        <v>454</v>
      </c>
      <c r="C176" s="90">
        <v>3</v>
      </c>
      <c r="D176" s="202" t="s">
        <v>511</v>
      </c>
      <c r="E176" s="43" t="s">
        <v>495</v>
      </c>
      <c r="F176" s="90" t="s">
        <v>344</v>
      </c>
      <c r="G176" s="117" t="s">
        <v>454</v>
      </c>
      <c r="H176" s="117">
        <v>3</v>
      </c>
      <c r="I176" s="98">
        <v>76</v>
      </c>
      <c r="K176" s="50">
        <f t="shared" si="7"/>
        <v>152</v>
      </c>
      <c r="L176" s="107">
        <f t="shared" si="8"/>
        <v>76</v>
      </c>
      <c r="M176" s="183">
        <v>7500</v>
      </c>
      <c r="N176" s="129">
        <f t="shared" si="4"/>
        <v>-7348</v>
      </c>
    </row>
    <row r="177" spans="1:14" ht="19.7" hidden="1" customHeight="1" x14ac:dyDescent="0.25">
      <c r="A177" s="903"/>
      <c r="B177" s="70" t="s">
        <v>454</v>
      </c>
      <c r="C177" s="90">
        <v>4</v>
      </c>
      <c r="D177" s="202" t="s">
        <v>511</v>
      </c>
      <c r="E177" s="43" t="s">
        <v>495</v>
      </c>
      <c r="F177" s="90" t="s">
        <v>345</v>
      </c>
      <c r="G177" s="117" t="s">
        <v>454</v>
      </c>
      <c r="H177" s="117">
        <v>4</v>
      </c>
      <c r="I177" s="98">
        <v>182.4</v>
      </c>
      <c r="K177" s="110">
        <f t="shared" si="7"/>
        <v>364.8</v>
      </c>
      <c r="L177" s="107">
        <f t="shared" si="8"/>
        <v>182.4</v>
      </c>
      <c r="M177" s="183">
        <v>2500</v>
      </c>
      <c r="N177" s="129">
        <f t="shared" si="4"/>
        <v>-2135.1999999999998</v>
      </c>
    </row>
    <row r="178" spans="1:14" ht="19.7" hidden="1" customHeight="1" thickBot="1" x14ac:dyDescent="0.3">
      <c r="A178" s="903"/>
      <c r="B178" s="70" t="s">
        <v>454</v>
      </c>
      <c r="C178" s="90">
        <v>5</v>
      </c>
      <c r="D178" s="203" t="s">
        <v>511</v>
      </c>
      <c r="E178" s="57" t="s">
        <v>495</v>
      </c>
      <c r="F178" s="113" t="s">
        <v>346</v>
      </c>
      <c r="G178" s="122" t="s">
        <v>454</v>
      </c>
      <c r="H178" s="122">
        <v>5</v>
      </c>
      <c r="I178" s="102">
        <v>70.285714285714292</v>
      </c>
      <c r="J178" s="204"/>
      <c r="K178" s="205">
        <f t="shared" si="7"/>
        <v>140.57142857142858</v>
      </c>
      <c r="L178" s="108">
        <f t="shared" si="8"/>
        <v>70.285714285714292</v>
      </c>
      <c r="M178" s="184">
        <v>5000</v>
      </c>
      <c r="N178" s="206">
        <f t="shared" si="4"/>
        <v>-4859.4285714285716</v>
      </c>
    </row>
    <row r="179" spans="1:14" ht="19.7" hidden="1" customHeight="1" x14ac:dyDescent="0.25">
      <c r="A179" s="903"/>
      <c r="B179" s="70" t="s">
        <v>485</v>
      </c>
      <c r="C179" s="90" t="s">
        <v>363</v>
      </c>
      <c r="D179" s="198" t="s">
        <v>452</v>
      </c>
      <c r="E179" s="46" t="s">
        <v>478</v>
      </c>
      <c r="F179" s="89" t="s">
        <v>369</v>
      </c>
      <c r="G179" s="116" t="s">
        <v>485</v>
      </c>
      <c r="H179" s="116" t="s">
        <v>363</v>
      </c>
      <c r="I179" s="95">
        <v>685.71428571428567</v>
      </c>
      <c r="J179" s="199"/>
      <c r="K179" s="124">
        <f t="shared" si="7"/>
        <v>1371.4285714285713</v>
      </c>
      <c r="L179" s="106">
        <f t="shared" si="8"/>
        <v>685.71428571428567</v>
      </c>
      <c r="M179" s="200">
        <v>3600</v>
      </c>
      <c r="N179" s="201">
        <f t="shared" si="4"/>
        <v>-2228.5714285714284</v>
      </c>
    </row>
    <row r="180" spans="1:14" ht="19.7" hidden="1" customHeight="1" x14ac:dyDescent="0.25">
      <c r="A180" s="903"/>
      <c r="B180" s="70" t="s">
        <v>486</v>
      </c>
      <c r="C180" s="90" t="s">
        <v>364</v>
      </c>
      <c r="D180" s="202" t="s">
        <v>452</v>
      </c>
      <c r="E180" s="43" t="s">
        <v>478</v>
      </c>
      <c r="F180" s="90" t="s">
        <v>370</v>
      </c>
      <c r="G180" s="117" t="s">
        <v>486</v>
      </c>
      <c r="H180" s="117" t="s">
        <v>364</v>
      </c>
      <c r="I180" s="98">
        <v>0</v>
      </c>
      <c r="K180" s="50">
        <f t="shared" si="7"/>
        <v>0</v>
      </c>
      <c r="L180" s="107">
        <f t="shared" si="8"/>
        <v>0</v>
      </c>
      <c r="M180" s="183">
        <v>18000</v>
      </c>
      <c r="N180" s="129">
        <f t="shared" si="4"/>
        <v>-18000</v>
      </c>
    </row>
    <row r="181" spans="1:14" ht="19.7" hidden="1" customHeight="1" x14ac:dyDescent="0.25">
      <c r="A181" s="903"/>
      <c r="B181" s="70" t="s">
        <v>487</v>
      </c>
      <c r="C181" s="90" t="s">
        <v>365</v>
      </c>
      <c r="D181" s="202" t="s">
        <v>452</v>
      </c>
      <c r="E181" s="43" t="s">
        <v>478</v>
      </c>
      <c r="F181" s="90" t="s">
        <v>371</v>
      </c>
      <c r="G181" s="117" t="s">
        <v>487</v>
      </c>
      <c r="H181" s="117" t="s">
        <v>365</v>
      </c>
      <c r="I181" s="98">
        <v>258</v>
      </c>
      <c r="K181" s="50">
        <f t="shared" si="7"/>
        <v>516</v>
      </c>
      <c r="L181" s="107">
        <f t="shared" si="8"/>
        <v>258</v>
      </c>
      <c r="M181" s="183">
        <v>2400</v>
      </c>
      <c r="N181" s="129">
        <f t="shared" si="4"/>
        <v>-1884</v>
      </c>
    </row>
    <row r="182" spans="1:14" ht="19.7" hidden="1" customHeight="1" thickBot="1" x14ac:dyDescent="0.3">
      <c r="A182" s="903"/>
      <c r="B182" s="70" t="s">
        <v>490</v>
      </c>
      <c r="C182" s="90" t="s">
        <v>366</v>
      </c>
      <c r="D182" s="203" t="s">
        <v>452</v>
      </c>
      <c r="E182" s="57" t="s">
        <v>341</v>
      </c>
      <c r="F182" s="113" t="s">
        <v>372</v>
      </c>
      <c r="G182" s="122" t="s">
        <v>490</v>
      </c>
      <c r="H182" s="122" t="s">
        <v>366</v>
      </c>
      <c r="I182" s="102">
        <v>459.42857142857144</v>
      </c>
      <c r="J182" s="204"/>
      <c r="K182" s="205">
        <f t="shared" si="7"/>
        <v>918.85714285714289</v>
      </c>
      <c r="L182" s="108">
        <f t="shared" si="8"/>
        <v>459.42857142857144</v>
      </c>
      <c r="M182" s="184">
        <v>4000</v>
      </c>
      <c r="N182" s="206">
        <f t="shared" si="4"/>
        <v>-3081.1428571428569</v>
      </c>
    </row>
    <row r="183" spans="1:14" ht="19.7" hidden="1" customHeight="1" x14ac:dyDescent="0.25">
      <c r="A183" s="903"/>
      <c r="B183" s="70"/>
      <c r="C183" s="32" t="s">
        <v>399</v>
      </c>
      <c r="D183" s="25" t="s">
        <v>509</v>
      </c>
      <c r="E183" s="193" t="s">
        <v>492</v>
      </c>
      <c r="F183" s="194" t="s">
        <v>401</v>
      </c>
      <c r="G183" s="195"/>
      <c r="H183" s="188" t="s">
        <v>399</v>
      </c>
      <c r="I183" s="196">
        <v>492</v>
      </c>
      <c r="K183" s="58">
        <f t="shared" si="7"/>
        <v>984</v>
      </c>
      <c r="L183" s="197">
        <f t="shared" si="8"/>
        <v>492</v>
      </c>
      <c r="M183" s="187"/>
      <c r="N183" s="185"/>
    </row>
    <row r="184" spans="1:14" ht="19.7" hidden="1" customHeight="1" x14ac:dyDescent="0.25">
      <c r="A184" s="903"/>
      <c r="B184" s="70"/>
      <c r="C184" s="79" t="s">
        <v>376</v>
      </c>
      <c r="D184" s="23" t="s">
        <v>509</v>
      </c>
      <c r="E184" s="43" t="s">
        <v>450</v>
      </c>
      <c r="F184" s="90" t="s">
        <v>381</v>
      </c>
      <c r="G184" s="115"/>
      <c r="H184" s="121" t="s">
        <v>376</v>
      </c>
      <c r="I184" s="98">
        <v>44</v>
      </c>
      <c r="K184" s="50">
        <f t="shared" si="7"/>
        <v>88</v>
      </c>
      <c r="L184" s="107">
        <f t="shared" si="8"/>
        <v>44</v>
      </c>
      <c r="M184" s="183"/>
      <c r="N184" s="128"/>
    </row>
    <row r="185" spans="1:14" ht="19.7" hidden="1" customHeight="1" x14ac:dyDescent="0.25">
      <c r="A185" s="903"/>
      <c r="B185" s="70"/>
      <c r="C185" s="79" t="s">
        <v>377</v>
      </c>
      <c r="D185" s="23" t="s">
        <v>509</v>
      </c>
      <c r="E185" s="43" t="s">
        <v>450</v>
      </c>
      <c r="F185" s="90" t="s">
        <v>382</v>
      </c>
      <c r="G185" s="115"/>
      <c r="H185" s="121" t="s">
        <v>377</v>
      </c>
      <c r="I185" s="98">
        <v>12</v>
      </c>
      <c r="K185" s="50">
        <f t="shared" si="7"/>
        <v>24</v>
      </c>
      <c r="L185" s="107">
        <f t="shared" si="8"/>
        <v>12</v>
      </c>
      <c r="M185" s="183"/>
      <c r="N185" s="128"/>
    </row>
    <row r="186" spans="1:14" ht="19.7" hidden="1" customHeight="1" x14ac:dyDescent="0.25">
      <c r="A186" s="903"/>
      <c r="B186" s="70"/>
      <c r="C186" s="32" t="s">
        <v>384</v>
      </c>
      <c r="D186" s="23" t="s">
        <v>509</v>
      </c>
      <c r="E186" s="43" t="s">
        <v>450</v>
      </c>
      <c r="F186" s="90" t="s">
        <v>392</v>
      </c>
      <c r="G186" s="115"/>
      <c r="H186" s="117" t="s">
        <v>384</v>
      </c>
      <c r="I186" s="98">
        <v>48</v>
      </c>
      <c r="K186" s="50">
        <f t="shared" si="7"/>
        <v>96</v>
      </c>
      <c r="L186" s="107">
        <f t="shared" si="8"/>
        <v>48</v>
      </c>
      <c r="M186" s="183"/>
      <c r="N186" s="128"/>
    </row>
    <row r="187" spans="1:14" ht="19.7" hidden="1" customHeight="1" x14ac:dyDescent="0.25">
      <c r="A187" s="903"/>
      <c r="B187" s="70"/>
      <c r="C187" s="32" t="s">
        <v>385</v>
      </c>
      <c r="D187" s="23" t="s">
        <v>509</v>
      </c>
      <c r="E187" s="43" t="s">
        <v>450</v>
      </c>
      <c r="F187" s="90" t="s">
        <v>393</v>
      </c>
      <c r="G187" s="115"/>
      <c r="H187" s="117" t="s">
        <v>385</v>
      </c>
      <c r="I187" s="98">
        <v>180</v>
      </c>
      <c r="K187" s="50">
        <f t="shared" si="7"/>
        <v>360</v>
      </c>
      <c r="L187" s="107">
        <f t="shared" si="8"/>
        <v>180</v>
      </c>
      <c r="M187" s="183"/>
      <c r="N187" s="128"/>
    </row>
    <row r="188" spans="1:14" ht="19.7" hidden="1" customHeight="1" x14ac:dyDescent="0.25">
      <c r="A188" s="903"/>
      <c r="B188" s="70"/>
      <c r="C188" s="32" t="s">
        <v>386</v>
      </c>
      <c r="D188" s="23" t="s">
        <v>509</v>
      </c>
      <c r="E188" s="43" t="s">
        <v>450</v>
      </c>
      <c r="F188" s="90" t="s">
        <v>394</v>
      </c>
      <c r="G188" s="115"/>
      <c r="H188" s="117" t="s">
        <v>386</v>
      </c>
      <c r="I188" s="98">
        <v>138.85714285714286</v>
      </c>
      <c r="K188" s="110">
        <f t="shared" si="7"/>
        <v>277.71428571428572</v>
      </c>
      <c r="L188" s="107">
        <f t="shared" si="8"/>
        <v>138.85714285714286</v>
      </c>
      <c r="M188" s="183"/>
      <c r="N188" s="128"/>
    </row>
    <row r="189" spans="1:14" ht="19.7" hidden="1" customHeight="1" x14ac:dyDescent="0.25">
      <c r="A189" s="903"/>
      <c r="B189" s="70"/>
      <c r="C189" s="78" t="s">
        <v>387</v>
      </c>
      <c r="D189" s="23" t="s">
        <v>509</v>
      </c>
      <c r="E189" s="43" t="s">
        <v>450</v>
      </c>
      <c r="F189" s="90" t="s">
        <v>395</v>
      </c>
      <c r="G189" s="115"/>
      <c r="H189" s="120" t="s">
        <v>387</v>
      </c>
      <c r="I189" s="98">
        <v>0</v>
      </c>
      <c r="K189" s="50">
        <f t="shared" si="7"/>
        <v>0</v>
      </c>
      <c r="L189" s="107">
        <f t="shared" si="8"/>
        <v>0</v>
      </c>
      <c r="M189" s="183"/>
      <c r="N189" s="128"/>
    </row>
    <row r="190" spans="1:14" ht="19.7" hidden="1" customHeight="1" thickBot="1" x14ac:dyDescent="0.3">
      <c r="A190" s="904"/>
      <c r="B190" s="71"/>
      <c r="C190" s="37" t="s">
        <v>412</v>
      </c>
      <c r="D190" s="29" t="s">
        <v>509</v>
      </c>
      <c r="E190" s="57" t="s">
        <v>450</v>
      </c>
      <c r="F190" s="113" t="s">
        <v>413</v>
      </c>
      <c r="G190" s="104"/>
      <c r="H190" s="122" t="s">
        <v>412</v>
      </c>
      <c r="I190" s="102">
        <v>483</v>
      </c>
      <c r="K190" s="56">
        <f t="shared" si="7"/>
        <v>966</v>
      </c>
      <c r="L190" s="108">
        <f t="shared" si="8"/>
        <v>483</v>
      </c>
      <c r="M190" s="184"/>
      <c r="N190" s="130"/>
    </row>
    <row r="191" spans="1:14" ht="19.7" hidden="1" customHeight="1" x14ac:dyDescent="0.25">
      <c r="A191" s="882" t="s">
        <v>506</v>
      </c>
      <c r="B191" s="81"/>
      <c r="C191" s="33" t="s">
        <v>439</v>
      </c>
      <c r="D191" s="27" t="s">
        <v>509</v>
      </c>
      <c r="E191" s="46" t="s">
        <v>477</v>
      </c>
      <c r="F191" s="89" t="s">
        <v>444</v>
      </c>
      <c r="G191" s="114"/>
      <c r="H191" s="116" t="s">
        <v>439</v>
      </c>
      <c r="I191" s="95">
        <v>90</v>
      </c>
      <c r="L191" s="67"/>
    </row>
    <row r="192" spans="1:14" ht="19.7" hidden="1" customHeight="1" x14ac:dyDescent="0.25">
      <c r="A192" s="883"/>
      <c r="B192" s="82"/>
      <c r="C192" s="32" t="s">
        <v>440</v>
      </c>
      <c r="D192" s="23" t="s">
        <v>509</v>
      </c>
      <c r="E192" s="43" t="s">
        <v>477</v>
      </c>
      <c r="F192" s="90" t="s">
        <v>445</v>
      </c>
      <c r="G192" s="115"/>
      <c r="H192" s="117" t="s">
        <v>440</v>
      </c>
      <c r="I192" s="98">
        <v>124</v>
      </c>
      <c r="L192" s="67"/>
    </row>
    <row r="193" spans="1:12" ht="19.7" hidden="1" customHeight="1" x14ac:dyDescent="0.25">
      <c r="A193" s="883"/>
      <c r="B193" s="82"/>
      <c r="C193" s="32" t="s">
        <v>441</v>
      </c>
      <c r="D193" s="23" t="s">
        <v>509</v>
      </c>
      <c r="E193" s="43" t="s">
        <v>477</v>
      </c>
      <c r="F193" s="90" t="s">
        <v>446</v>
      </c>
      <c r="G193" s="115"/>
      <c r="H193" s="117" t="s">
        <v>441</v>
      </c>
      <c r="I193" s="98">
        <v>236.57142857142858</v>
      </c>
      <c r="K193" s="111"/>
      <c r="L193" s="67"/>
    </row>
    <row r="194" spans="1:12" ht="19.7" hidden="1" customHeight="1" thickBot="1" x14ac:dyDescent="0.3">
      <c r="A194" s="884"/>
      <c r="B194" s="83"/>
      <c r="C194" s="84" t="s">
        <v>442</v>
      </c>
      <c r="D194" s="29" t="s">
        <v>509</v>
      </c>
      <c r="E194" s="57" t="s">
        <v>477</v>
      </c>
      <c r="F194" s="113" t="s">
        <v>447</v>
      </c>
      <c r="G194" s="104"/>
      <c r="H194" s="123" t="s">
        <v>442</v>
      </c>
      <c r="I194" s="102">
        <v>86.571428571428569</v>
      </c>
      <c r="K194" s="111"/>
      <c r="L194" s="67"/>
    </row>
    <row r="195" spans="1:12" x14ac:dyDescent="0.25">
      <c r="C195"/>
      <c r="F195" s="31"/>
      <c r="G195" s="8"/>
      <c r="H195" s="8"/>
      <c r="I195" s="31"/>
    </row>
    <row r="196" spans="1:12" x14ac:dyDescent="0.25">
      <c r="C196"/>
      <c r="F196" s="31"/>
      <c r="G196" s="8"/>
      <c r="H196" s="8"/>
      <c r="I196" s="31"/>
    </row>
    <row r="197" spans="1:12" x14ac:dyDescent="0.25">
      <c r="C197"/>
      <c r="F197" s="31"/>
      <c r="G197" s="8"/>
      <c r="H197" s="8"/>
      <c r="I197" s="31"/>
    </row>
    <row r="198" spans="1:12" x14ac:dyDescent="0.25">
      <c r="C198"/>
      <c r="F198" s="31"/>
      <c r="G198" s="8"/>
      <c r="H198" s="8"/>
      <c r="I198" s="31"/>
    </row>
    <row r="199" spans="1:12" x14ac:dyDescent="0.25">
      <c r="C199"/>
      <c r="F199" s="31"/>
      <c r="G199" s="8"/>
      <c r="H199" s="8"/>
      <c r="I199" s="31"/>
    </row>
    <row r="200" spans="1:12" x14ac:dyDescent="0.25">
      <c r="C200"/>
      <c r="F200" s="31"/>
      <c r="G200" s="8"/>
      <c r="H200" s="8"/>
    </row>
    <row r="201" spans="1:12" x14ac:dyDescent="0.25">
      <c r="C201"/>
      <c r="F201" s="31"/>
      <c r="G201" s="8"/>
      <c r="H201" s="8"/>
    </row>
    <row r="202" spans="1:12" x14ac:dyDescent="0.25">
      <c r="C202"/>
      <c r="F202" s="31"/>
      <c r="G202" s="8"/>
      <c r="H202" s="8"/>
    </row>
    <row r="203" spans="1:12" x14ac:dyDescent="0.25">
      <c r="C203"/>
      <c r="F203" s="31"/>
      <c r="G203" s="8"/>
      <c r="H203" s="8"/>
    </row>
    <row r="204" spans="1:12" x14ac:dyDescent="0.25">
      <c r="C204"/>
      <c r="F204" s="31"/>
      <c r="G204" s="8"/>
      <c r="H204" s="8"/>
    </row>
    <row r="205" spans="1:12" x14ac:dyDescent="0.25">
      <c r="C205"/>
      <c r="F205" s="31"/>
      <c r="G205" s="8"/>
      <c r="H205" s="8"/>
    </row>
    <row r="206" spans="1:12" x14ac:dyDescent="0.25">
      <c r="C206"/>
      <c r="F206" s="31"/>
      <c r="G206" s="8"/>
      <c r="H206" s="8"/>
    </row>
    <row r="207" spans="1:12" x14ac:dyDescent="0.25">
      <c r="C207"/>
      <c r="F207" s="31"/>
      <c r="G207" s="8"/>
      <c r="H207" s="8"/>
    </row>
    <row r="208" spans="1:12" x14ac:dyDescent="0.25">
      <c r="C208"/>
      <c r="F208" s="31"/>
      <c r="G208" s="8"/>
      <c r="H208" s="8"/>
    </row>
    <row r="209" spans="3:8" x14ac:dyDescent="0.25">
      <c r="C209"/>
      <c r="F209" s="31"/>
      <c r="G209" s="8"/>
      <c r="H209" s="8"/>
    </row>
    <row r="210" spans="3:8" x14ac:dyDescent="0.25">
      <c r="C210"/>
      <c r="F210" s="31"/>
      <c r="G210" s="8"/>
      <c r="H210" s="8"/>
    </row>
    <row r="211" spans="3:8" x14ac:dyDescent="0.25">
      <c r="C211"/>
      <c r="F211" s="31"/>
      <c r="G211" s="8"/>
      <c r="H211" s="8"/>
    </row>
    <row r="212" spans="3:8" x14ac:dyDescent="0.25">
      <c r="C212"/>
      <c r="F212" s="31"/>
      <c r="G212" s="8"/>
      <c r="H212" s="8"/>
    </row>
    <row r="213" spans="3:8" x14ac:dyDescent="0.25">
      <c r="C213"/>
      <c r="F213" s="31"/>
      <c r="G213" s="8"/>
      <c r="H213" s="8"/>
    </row>
    <row r="214" spans="3:8" x14ac:dyDescent="0.25">
      <c r="C214"/>
      <c r="F214" s="31"/>
      <c r="G214" s="8"/>
      <c r="H214" s="8"/>
    </row>
    <row r="215" spans="3:8" x14ac:dyDescent="0.25">
      <c r="C215"/>
      <c r="F215" s="31"/>
      <c r="G215" s="8"/>
      <c r="H215" s="8"/>
    </row>
    <row r="216" spans="3:8" x14ac:dyDescent="0.25">
      <c r="C216"/>
      <c r="F216" s="31"/>
      <c r="G216" s="8"/>
      <c r="H216" s="8"/>
    </row>
    <row r="217" spans="3:8" x14ac:dyDescent="0.25">
      <c r="C217"/>
      <c r="F217" s="31"/>
      <c r="G217" s="8"/>
      <c r="H217" s="8"/>
    </row>
    <row r="218" spans="3:8" x14ac:dyDescent="0.25">
      <c r="C218"/>
      <c r="F218" s="31"/>
      <c r="G218" s="8"/>
      <c r="H218" s="8"/>
    </row>
    <row r="219" spans="3:8" x14ac:dyDescent="0.25">
      <c r="C219"/>
      <c r="F219" s="31"/>
      <c r="G219" s="8"/>
      <c r="H219" s="8"/>
    </row>
    <row r="220" spans="3:8" x14ac:dyDescent="0.25">
      <c r="C220"/>
      <c r="F220" s="31"/>
      <c r="G220" s="8"/>
      <c r="H220" s="8"/>
    </row>
    <row r="221" spans="3:8" x14ac:dyDescent="0.25">
      <c r="C221"/>
      <c r="F221" s="31"/>
      <c r="G221" s="8"/>
      <c r="H221" s="8"/>
    </row>
    <row r="222" spans="3:8" x14ac:dyDescent="0.25">
      <c r="C222"/>
      <c r="F222" s="31"/>
      <c r="G222" s="8"/>
      <c r="H222" s="8"/>
    </row>
    <row r="223" spans="3:8" x14ac:dyDescent="0.25">
      <c r="C223"/>
      <c r="F223" s="31"/>
      <c r="G223" s="8"/>
      <c r="H223" s="8"/>
    </row>
    <row r="224" spans="3:8" x14ac:dyDescent="0.25">
      <c r="C224"/>
      <c r="F224" s="31"/>
      <c r="G224" s="8"/>
      <c r="H224" s="8"/>
    </row>
    <row r="225" spans="3:8" x14ac:dyDescent="0.25">
      <c r="C225"/>
      <c r="F225" s="31"/>
      <c r="G225" s="8"/>
      <c r="H225" s="8"/>
    </row>
    <row r="226" spans="3:8" x14ac:dyDescent="0.25">
      <c r="C226"/>
      <c r="F226" s="31"/>
      <c r="G226" s="8"/>
      <c r="H226" s="8"/>
    </row>
    <row r="227" spans="3:8" x14ac:dyDescent="0.25">
      <c r="C227"/>
      <c r="F227" s="31"/>
      <c r="G227" s="8"/>
      <c r="H227" s="8"/>
    </row>
    <row r="228" spans="3:8" x14ac:dyDescent="0.25">
      <c r="C228"/>
      <c r="F228" s="31"/>
      <c r="G228" s="8"/>
      <c r="H228" s="8"/>
    </row>
    <row r="229" spans="3:8" x14ac:dyDescent="0.25">
      <c r="C229"/>
      <c r="F229" s="31"/>
      <c r="G229" s="8"/>
      <c r="H229" s="8"/>
    </row>
    <row r="230" spans="3:8" x14ac:dyDescent="0.25">
      <c r="C230"/>
      <c r="F230" s="31"/>
      <c r="G230" s="8"/>
      <c r="H230" s="8"/>
    </row>
    <row r="231" spans="3:8" x14ac:dyDescent="0.25">
      <c r="C231"/>
      <c r="F231" s="31"/>
      <c r="G231" s="8"/>
      <c r="H231" s="8"/>
    </row>
    <row r="232" spans="3:8" x14ac:dyDescent="0.25">
      <c r="C232"/>
      <c r="F232" s="31"/>
      <c r="G232" s="8"/>
      <c r="H232" s="8"/>
    </row>
    <row r="233" spans="3:8" x14ac:dyDescent="0.25">
      <c r="C233"/>
      <c r="F233" s="31"/>
      <c r="G233" s="8"/>
      <c r="H233" s="8"/>
    </row>
    <row r="234" spans="3:8" x14ac:dyDescent="0.25">
      <c r="C234"/>
      <c r="F234" s="31"/>
      <c r="G234" s="8"/>
      <c r="H234" s="8"/>
    </row>
    <row r="235" spans="3:8" x14ac:dyDescent="0.25">
      <c r="C235"/>
      <c r="F235" s="31"/>
      <c r="G235" s="8"/>
      <c r="H235" s="8"/>
    </row>
    <row r="236" spans="3:8" x14ac:dyDescent="0.25">
      <c r="C236"/>
      <c r="F236" s="31"/>
      <c r="G236" s="8"/>
      <c r="H236" s="8"/>
    </row>
    <row r="237" spans="3:8" x14ac:dyDescent="0.25">
      <c r="C237"/>
      <c r="F237" s="31"/>
      <c r="G237" s="8"/>
      <c r="H237" s="8"/>
    </row>
    <row r="238" spans="3:8" x14ac:dyDescent="0.25">
      <c r="C238"/>
      <c r="F238" s="31"/>
      <c r="G238" s="8"/>
      <c r="H238" s="8"/>
    </row>
    <row r="239" spans="3:8" x14ac:dyDescent="0.25">
      <c r="C239"/>
      <c r="F239" s="31"/>
      <c r="G239" s="8"/>
      <c r="H239" s="8"/>
    </row>
    <row r="240" spans="3:8" x14ac:dyDescent="0.25">
      <c r="C240"/>
      <c r="F240" s="31"/>
      <c r="G240" s="8"/>
      <c r="H240" s="8"/>
    </row>
    <row r="241" spans="3:8" x14ac:dyDescent="0.25">
      <c r="C241"/>
      <c r="F241" s="31"/>
      <c r="G241" s="8"/>
      <c r="H241" s="8"/>
    </row>
    <row r="242" spans="3:8" x14ac:dyDescent="0.25">
      <c r="C242"/>
      <c r="F242" s="31"/>
      <c r="G242" s="8"/>
      <c r="H242" s="8"/>
    </row>
    <row r="243" spans="3:8" x14ac:dyDescent="0.25">
      <c r="C243"/>
      <c r="F243" s="31"/>
      <c r="G243" s="8"/>
      <c r="H243" s="8"/>
    </row>
    <row r="244" spans="3:8" x14ac:dyDescent="0.25">
      <c r="C244"/>
      <c r="F244" s="31"/>
      <c r="G244" s="8"/>
      <c r="H244" s="8"/>
    </row>
    <row r="245" spans="3:8" x14ac:dyDescent="0.25">
      <c r="C245"/>
      <c r="F245" s="31"/>
      <c r="G245" s="8"/>
      <c r="H245" s="8"/>
    </row>
    <row r="246" spans="3:8" x14ac:dyDescent="0.25">
      <c r="C246"/>
      <c r="F246" s="31"/>
      <c r="G246" s="8"/>
      <c r="H246" s="8"/>
    </row>
    <row r="247" spans="3:8" x14ac:dyDescent="0.25">
      <c r="C247"/>
      <c r="F247" s="31"/>
      <c r="G247" s="8"/>
      <c r="H247" s="8"/>
    </row>
    <row r="248" spans="3:8" x14ac:dyDescent="0.25">
      <c r="C248"/>
      <c r="F248" s="31"/>
      <c r="G248" s="8"/>
      <c r="H248" s="8"/>
    </row>
    <row r="249" spans="3:8" x14ac:dyDescent="0.25">
      <c r="C249"/>
      <c r="F249" s="31"/>
      <c r="G249" s="8"/>
      <c r="H249" s="8"/>
    </row>
    <row r="250" spans="3:8" x14ac:dyDescent="0.25">
      <c r="C250"/>
      <c r="F250" s="31"/>
      <c r="G250" s="8"/>
      <c r="H250" s="8"/>
    </row>
    <row r="251" spans="3:8" x14ac:dyDescent="0.25">
      <c r="C251"/>
      <c r="F251" s="31"/>
      <c r="G251" s="8"/>
      <c r="H251" s="8"/>
    </row>
    <row r="252" spans="3:8" x14ac:dyDescent="0.25">
      <c r="C252"/>
      <c r="F252" s="31"/>
      <c r="G252" s="8"/>
      <c r="H252" s="8"/>
    </row>
    <row r="253" spans="3:8" x14ac:dyDescent="0.25">
      <c r="C253"/>
      <c r="F253" s="31"/>
      <c r="G253" s="8"/>
      <c r="H253" s="8"/>
    </row>
    <row r="254" spans="3:8" x14ac:dyDescent="0.25">
      <c r="C254"/>
      <c r="F254" s="31"/>
      <c r="G254" s="8"/>
      <c r="H254" s="8"/>
    </row>
    <row r="255" spans="3:8" x14ac:dyDescent="0.25">
      <c r="C255"/>
      <c r="F255" s="31"/>
      <c r="G255" s="8"/>
      <c r="H255" s="8"/>
    </row>
    <row r="256" spans="3:8" x14ac:dyDescent="0.25">
      <c r="C256"/>
      <c r="F256" s="31"/>
      <c r="G256" s="8"/>
      <c r="H256" s="8"/>
    </row>
    <row r="257" spans="3:8" x14ac:dyDescent="0.25">
      <c r="C257"/>
      <c r="F257" s="31"/>
      <c r="G257" s="8"/>
      <c r="H257" s="8"/>
    </row>
    <row r="258" spans="3:8" x14ac:dyDescent="0.25">
      <c r="C258"/>
      <c r="F258" s="31"/>
      <c r="G258" s="8"/>
      <c r="H258" s="8"/>
    </row>
    <row r="259" spans="3:8" x14ac:dyDescent="0.25">
      <c r="C259"/>
      <c r="F259" s="31"/>
      <c r="G259" s="8"/>
      <c r="H259" s="8"/>
    </row>
    <row r="260" spans="3:8" x14ac:dyDescent="0.25">
      <c r="C260"/>
      <c r="F260" s="31"/>
      <c r="G260" s="8"/>
      <c r="H260" s="8"/>
    </row>
    <row r="261" spans="3:8" x14ac:dyDescent="0.25">
      <c r="C261"/>
      <c r="F261" s="31"/>
      <c r="G261" s="8"/>
      <c r="H261" s="8"/>
    </row>
    <row r="262" spans="3:8" x14ac:dyDescent="0.25">
      <c r="C262"/>
      <c r="F262" s="31"/>
      <c r="G262" s="8"/>
      <c r="H262" s="8"/>
    </row>
    <row r="263" spans="3:8" x14ac:dyDescent="0.25">
      <c r="C263"/>
      <c r="F263" s="31"/>
      <c r="G263" s="8"/>
      <c r="H263" s="8"/>
    </row>
    <row r="264" spans="3:8" x14ac:dyDescent="0.25">
      <c r="C264"/>
      <c r="F264" s="31"/>
      <c r="G264" s="8"/>
      <c r="H264" s="8"/>
    </row>
    <row r="265" spans="3:8" x14ac:dyDescent="0.25">
      <c r="C265"/>
      <c r="F265" s="31"/>
      <c r="G265" s="8"/>
      <c r="H265" s="8"/>
    </row>
    <row r="266" spans="3:8" x14ac:dyDescent="0.25">
      <c r="C266"/>
      <c r="F266" s="31"/>
      <c r="G266" s="8"/>
      <c r="H266" s="8"/>
    </row>
    <row r="267" spans="3:8" x14ac:dyDescent="0.25">
      <c r="C267"/>
      <c r="F267" s="31"/>
      <c r="G267" s="8"/>
      <c r="H267" s="8"/>
    </row>
    <row r="268" spans="3:8" x14ac:dyDescent="0.25">
      <c r="C268"/>
      <c r="F268" s="31"/>
      <c r="G268" s="8"/>
      <c r="H268" s="8"/>
    </row>
    <row r="269" spans="3:8" x14ac:dyDescent="0.25">
      <c r="C269"/>
      <c r="F269" s="31"/>
      <c r="G269" s="8"/>
      <c r="H269" s="8"/>
    </row>
    <row r="270" spans="3:8" x14ac:dyDescent="0.25">
      <c r="C270"/>
      <c r="F270" s="31"/>
      <c r="G270" s="8"/>
      <c r="H270" s="8"/>
    </row>
    <row r="271" spans="3:8" x14ac:dyDescent="0.25">
      <c r="C271"/>
      <c r="F271" s="31"/>
      <c r="G271" s="8"/>
      <c r="H271" s="8"/>
    </row>
    <row r="272" spans="3:8" x14ac:dyDescent="0.25">
      <c r="C272"/>
      <c r="F272" s="31"/>
      <c r="G272" s="8"/>
      <c r="H272" s="8"/>
    </row>
    <row r="273" spans="3:8" x14ac:dyDescent="0.25">
      <c r="C273"/>
      <c r="F273" s="31"/>
      <c r="G273" s="8"/>
      <c r="H273" s="8"/>
    </row>
    <row r="274" spans="3:8" x14ac:dyDescent="0.25">
      <c r="C274"/>
      <c r="F274" s="31"/>
      <c r="G274" s="8"/>
      <c r="H274" s="8"/>
    </row>
    <row r="275" spans="3:8" x14ac:dyDescent="0.25">
      <c r="C275"/>
      <c r="F275" s="31"/>
      <c r="G275" s="8"/>
      <c r="H275" s="8"/>
    </row>
    <row r="276" spans="3:8" x14ac:dyDescent="0.25">
      <c r="C276"/>
      <c r="F276" s="31"/>
      <c r="G276" s="8"/>
      <c r="H276" s="8"/>
    </row>
    <row r="277" spans="3:8" x14ac:dyDescent="0.25">
      <c r="C277"/>
      <c r="F277" s="31"/>
      <c r="G277" s="8"/>
      <c r="H277" s="8"/>
    </row>
    <row r="278" spans="3:8" x14ac:dyDescent="0.25">
      <c r="C278"/>
      <c r="F278" s="31"/>
      <c r="G278" s="8"/>
      <c r="H278" s="8"/>
    </row>
    <row r="279" spans="3:8" x14ac:dyDescent="0.25">
      <c r="C279"/>
      <c r="F279" s="31"/>
      <c r="G279" s="8"/>
      <c r="H279" s="8"/>
    </row>
    <row r="280" spans="3:8" x14ac:dyDescent="0.25">
      <c r="C280"/>
      <c r="F280" s="31"/>
      <c r="G280" s="8"/>
      <c r="H280" s="8"/>
    </row>
    <row r="281" spans="3:8" x14ac:dyDescent="0.25">
      <c r="C281"/>
      <c r="F281" s="31"/>
      <c r="G281" s="8"/>
      <c r="H281" s="8"/>
    </row>
    <row r="282" spans="3:8" x14ac:dyDescent="0.25">
      <c r="C282"/>
      <c r="F282" s="31"/>
      <c r="G282" s="8"/>
      <c r="H282" s="8"/>
    </row>
    <row r="283" spans="3:8" x14ac:dyDescent="0.25">
      <c r="C283"/>
      <c r="F283" s="31"/>
      <c r="G283" s="8"/>
      <c r="H283" s="8"/>
    </row>
    <row r="284" spans="3:8" x14ac:dyDescent="0.25">
      <c r="C284"/>
      <c r="F284" s="31"/>
      <c r="G284" s="8"/>
      <c r="H284" s="8"/>
    </row>
    <row r="285" spans="3:8" x14ac:dyDescent="0.25">
      <c r="C285"/>
      <c r="F285" s="31"/>
      <c r="G285" s="8"/>
      <c r="H285" s="8"/>
    </row>
    <row r="286" spans="3:8" x14ac:dyDescent="0.25">
      <c r="C286"/>
      <c r="F286" s="31"/>
      <c r="G286" s="8"/>
      <c r="H286" s="8"/>
    </row>
    <row r="287" spans="3:8" x14ac:dyDescent="0.25">
      <c r="C287"/>
      <c r="F287" s="31"/>
      <c r="G287" s="8"/>
      <c r="H287" s="8"/>
    </row>
    <row r="288" spans="3:8" x14ac:dyDescent="0.25">
      <c r="C288"/>
      <c r="F288" s="31"/>
      <c r="G288" s="8"/>
      <c r="H288" s="8"/>
    </row>
    <row r="289" spans="3:8" x14ac:dyDescent="0.25">
      <c r="C289"/>
      <c r="F289" s="31"/>
      <c r="G289" s="8"/>
      <c r="H289" s="8"/>
    </row>
    <row r="290" spans="3:8" x14ac:dyDescent="0.25">
      <c r="C290"/>
      <c r="F290" s="31"/>
      <c r="G290" s="8"/>
      <c r="H290" s="8"/>
    </row>
    <row r="291" spans="3:8" x14ac:dyDescent="0.25">
      <c r="C291"/>
      <c r="F291" s="31"/>
      <c r="G291" s="8"/>
      <c r="H291" s="8"/>
    </row>
    <row r="292" spans="3:8" x14ac:dyDescent="0.25">
      <c r="C292"/>
      <c r="F292" s="31"/>
      <c r="G292" s="8"/>
      <c r="H292" s="8"/>
    </row>
    <row r="293" spans="3:8" x14ac:dyDescent="0.25">
      <c r="C293"/>
      <c r="F293" s="31"/>
      <c r="G293" s="8"/>
      <c r="H293" s="8"/>
    </row>
    <row r="294" spans="3:8" x14ac:dyDescent="0.25">
      <c r="C294"/>
      <c r="F294" s="31"/>
      <c r="G294" s="8"/>
      <c r="H294" s="8"/>
    </row>
    <row r="295" spans="3:8" x14ac:dyDescent="0.25">
      <c r="C295"/>
      <c r="F295" s="31"/>
      <c r="G295" s="8"/>
      <c r="H295" s="8"/>
    </row>
    <row r="296" spans="3:8" x14ac:dyDescent="0.25">
      <c r="C296"/>
      <c r="F296" s="31"/>
      <c r="G296" s="8"/>
      <c r="H296" s="8"/>
    </row>
    <row r="297" spans="3:8" x14ac:dyDescent="0.25">
      <c r="C297"/>
      <c r="F297" s="31"/>
      <c r="G297" s="8"/>
      <c r="H297" s="8"/>
    </row>
    <row r="298" spans="3:8" x14ac:dyDescent="0.25">
      <c r="C298"/>
      <c r="F298" s="31"/>
      <c r="G298" s="8"/>
      <c r="H298" s="8"/>
    </row>
    <row r="299" spans="3:8" x14ac:dyDescent="0.25">
      <c r="C299"/>
      <c r="F299" s="31"/>
      <c r="G299" s="8"/>
      <c r="H299" s="8"/>
    </row>
    <row r="300" spans="3:8" x14ac:dyDescent="0.25">
      <c r="C300"/>
      <c r="F300" s="31"/>
      <c r="G300" s="8"/>
      <c r="H300" s="8"/>
    </row>
    <row r="301" spans="3:8" x14ac:dyDescent="0.25">
      <c r="C301"/>
      <c r="F301" s="31"/>
      <c r="G301" s="8"/>
      <c r="H301" s="8"/>
    </row>
    <row r="302" spans="3:8" x14ac:dyDescent="0.25">
      <c r="C302"/>
      <c r="F302" s="31"/>
      <c r="G302" s="8"/>
      <c r="H302" s="8"/>
    </row>
    <row r="303" spans="3:8" x14ac:dyDescent="0.25">
      <c r="C303"/>
      <c r="F303" s="31"/>
      <c r="G303" s="8"/>
      <c r="H303" s="8"/>
    </row>
    <row r="304" spans="3:8" x14ac:dyDescent="0.25">
      <c r="C304"/>
      <c r="F304" s="31"/>
      <c r="G304" s="8"/>
      <c r="H304" s="8"/>
    </row>
    <row r="305" spans="3:8" x14ac:dyDescent="0.25">
      <c r="C305"/>
      <c r="F305" s="31"/>
      <c r="G305" s="8"/>
      <c r="H305" s="8"/>
    </row>
    <row r="306" spans="3:8" x14ac:dyDescent="0.25">
      <c r="C306"/>
      <c r="F306" s="31"/>
      <c r="G306" s="8"/>
      <c r="H306" s="8"/>
    </row>
    <row r="307" spans="3:8" x14ac:dyDescent="0.25">
      <c r="C307"/>
      <c r="F307" s="31"/>
      <c r="G307" s="8"/>
      <c r="H307" s="8"/>
    </row>
    <row r="308" spans="3:8" x14ac:dyDescent="0.25">
      <c r="C308"/>
      <c r="F308" s="31"/>
      <c r="G308" s="8"/>
      <c r="H308" s="8"/>
    </row>
    <row r="309" spans="3:8" x14ac:dyDescent="0.25">
      <c r="C309"/>
      <c r="F309" s="31"/>
      <c r="G309" s="8"/>
      <c r="H309" s="8"/>
    </row>
    <row r="310" spans="3:8" x14ac:dyDescent="0.25">
      <c r="C310"/>
      <c r="F310" s="31"/>
      <c r="G310" s="8"/>
      <c r="H310" s="8"/>
    </row>
    <row r="311" spans="3:8" x14ac:dyDescent="0.25">
      <c r="C311"/>
      <c r="F311" s="31"/>
      <c r="G311" s="8"/>
      <c r="H311" s="8"/>
    </row>
    <row r="312" spans="3:8" x14ac:dyDescent="0.25">
      <c r="C312"/>
      <c r="F312" s="31"/>
      <c r="G312" s="8"/>
      <c r="H312" s="8"/>
    </row>
    <row r="313" spans="3:8" x14ac:dyDescent="0.25">
      <c r="C313"/>
      <c r="F313" s="31"/>
      <c r="G313" s="8"/>
      <c r="H313" s="8"/>
    </row>
    <row r="314" spans="3:8" x14ac:dyDescent="0.25">
      <c r="C314"/>
      <c r="F314" s="31"/>
      <c r="G314" s="8"/>
      <c r="H314" s="8"/>
    </row>
    <row r="315" spans="3:8" x14ac:dyDescent="0.25">
      <c r="C315"/>
      <c r="F315" s="31"/>
      <c r="G315" s="8"/>
      <c r="H315" s="8"/>
    </row>
    <row r="316" spans="3:8" x14ac:dyDescent="0.25">
      <c r="C316"/>
      <c r="F316" s="31"/>
      <c r="G316" s="8"/>
      <c r="H316" s="8"/>
    </row>
    <row r="317" spans="3:8" x14ac:dyDescent="0.25">
      <c r="C317"/>
      <c r="F317" s="31"/>
      <c r="G317" s="8"/>
      <c r="H317" s="8"/>
    </row>
    <row r="318" spans="3:8" x14ac:dyDescent="0.25">
      <c r="C318"/>
      <c r="F318" s="31"/>
      <c r="G318" s="8"/>
      <c r="H318" s="8"/>
    </row>
    <row r="319" spans="3:8" x14ac:dyDescent="0.25">
      <c r="C319"/>
      <c r="F319" s="31"/>
      <c r="G319" s="8"/>
      <c r="H319" s="8"/>
    </row>
    <row r="320" spans="3:8" x14ac:dyDescent="0.25">
      <c r="C320"/>
      <c r="F320" s="31"/>
      <c r="G320" s="8"/>
      <c r="H320" s="8"/>
    </row>
    <row r="321" spans="3:8" x14ac:dyDescent="0.25">
      <c r="C321"/>
      <c r="F321" s="31"/>
      <c r="G321" s="8"/>
      <c r="H321" s="8"/>
    </row>
    <row r="322" spans="3:8" x14ac:dyDescent="0.25">
      <c r="C322"/>
      <c r="F322" s="31"/>
      <c r="G322" s="8"/>
      <c r="H322" s="8"/>
    </row>
    <row r="323" spans="3:8" x14ac:dyDescent="0.25">
      <c r="C323"/>
      <c r="F323" s="31"/>
      <c r="G323" s="8"/>
      <c r="H323" s="8"/>
    </row>
    <row r="324" spans="3:8" x14ac:dyDescent="0.25">
      <c r="C324"/>
      <c r="F324" s="31"/>
      <c r="G324" s="8"/>
      <c r="H324" s="8"/>
    </row>
    <row r="325" spans="3:8" x14ac:dyDescent="0.25">
      <c r="C325"/>
      <c r="F325" s="31"/>
      <c r="G325" s="8"/>
      <c r="H325" s="8"/>
    </row>
    <row r="326" spans="3:8" x14ac:dyDescent="0.25">
      <c r="C326"/>
      <c r="F326" s="31"/>
      <c r="G326" s="8"/>
      <c r="H326" s="8"/>
    </row>
    <row r="327" spans="3:8" x14ac:dyDescent="0.25">
      <c r="C327"/>
      <c r="F327" s="31"/>
      <c r="G327" s="8"/>
      <c r="H327" s="8"/>
    </row>
  </sheetData>
  <autoFilter ref="A2:N194">
    <filterColumn colId="7">
      <filters blank="1">
        <filter val="029D"/>
        <filter val="030D"/>
        <filter val="030M"/>
        <filter val="031D"/>
        <filter val="11"/>
        <filter val="225D"/>
        <filter val="315D"/>
        <filter val="325D"/>
        <filter val="333D"/>
        <filter val="396D"/>
        <filter val="501D"/>
        <filter val="504D"/>
        <filter val="505D"/>
        <filter val="513D"/>
        <filter val="519D"/>
        <filter val="521D"/>
        <filter val="543D"/>
        <filter val="544D"/>
        <filter val="546D"/>
        <filter val="565D"/>
        <filter val="570D"/>
        <filter val="578D"/>
        <filter val="579D"/>
        <filter val="586D"/>
        <filter val="594D"/>
      </filters>
    </filterColumn>
    <filterColumn colId="13">
      <filters>
        <filter val="10050"/>
        <filter val="1049"/>
        <filter val="110"/>
        <filter val="1169"/>
        <filter val="12390"/>
        <filter val="141"/>
        <filter val="155"/>
        <filter val="16"/>
        <filter val="1657"/>
        <filter val="1715"/>
        <filter val="1827"/>
        <filter val="1851"/>
        <filter val="187"/>
        <filter val="1930"/>
        <filter val="199"/>
        <filter val="2513"/>
        <filter val="281"/>
        <filter val="29583"/>
        <filter val="2990"/>
        <filter val="3027"/>
        <filter val="3048"/>
        <filter val="3255"/>
        <filter val="3567"/>
        <filter val="385"/>
        <filter val="389"/>
        <filter val="416"/>
        <filter val="4370"/>
        <filter val="4935"/>
        <filter val="52"/>
        <filter val="52176"/>
        <filter val="547"/>
        <filter val="576"/>
        <filter val="617"/>
        <filter val="658"/>
        <filter val="699"/>
        <filter val="790"/>
        <filter val="799"/>
        <filter val="8022"/>
        <filter val="813"/>
        <filter val="855"/>
        <filter val="8744"/>
        <filter val="938"/>
        <filter val="9742"/>
      </filters>
    </filterColumn>
  </autoFilter>
  <mergeCells count="12">
    <mergeCell ref="N3:N6"/>
    <mergeCell ref="N48:N49"/>
    <mergeCell ref="A1:I1"/>
    <mergeCell ref="K1:M1"/>
    <mergeCell ref="A3:A6"/>
    <mergeCell ref="A7:A190"/>
    <mergeCell ref="A191:A194"/>
    <mergeCell ref="M3:M6"/>
    <mergeCell ref="H48:H49"/>
    <mergeCell ref="K48:K49"/>
    <mergeCell ref="M48:M49"/>
    <mergeCell ref="F48:F49"/>
  </mergeCells>
  <printOptions horizontalCentered="1" verticalCentered="1"/>
  <pageMargins left="0.31496062992125984" right="0.31496062992125984" top="0.59055118110236227" bottom="0.59055118110236227" header="0.31496062992125984" footer="0.31496062992125984"/>
  <pageSetup paperSize="9" scale="90" fitToHeight="0" orientation="portrait" r:id="rId1"/>
  <headerFooter>
    <oddHeader>&amp;R&amp;D</oddHeader>
    <oddFooter>&amp;C\\servidor\Documentos Compartidos\AAA Planimetria\Cartones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activeCell="F15" sqref="F15"/>
    </sheetView>
  </sheetViews>
  <sheetFormatPr baseColWidth="10" defaultColWidth="11.5703125" defaultRowHeight="12.75" x14ac:dyDescent="0.2"/>
  <cols>
    <col min="1" max="1" width="11.42578125" style="841" customWidth="1"/>
    <col min="2" max="2" width="6.140625" style="841" customWidth="1"/>
    <col min="3" max="3" width="22.28515625" style="841" customWidth="1"/>
    <col min="4" max="4" width="9.28515625" style="841" customWidth="1"/>
    <col min="5" max="5" width="8.28515625" style="841" customWidth="1"/>
    <col min="6" max="6" width="8.7109375" style="841" customWidth="1"/>
    <col min="7" max="7" width="9.7109375" style="841" customWidth="1"/>
    <col min="8" max="9" width="7.5703125" style="841" customWidth="1"/>
    <col min="10" max="10" width="7.7109375" style="841" customWidth="1"/>
    <col min="11" max="11" width="7" style="841" customWidth="1"/>
    <col min="12" max="12" width="7.7109375" style="841" customWidth="1"/>
    <col min="13" max="13" width="7" style="841" customWidth="1"/>
    <col min="14" max="256" width="11.5703125" style="841"/>
    <col min="257" max="257" width="11.42578125" style="841" customWidth="1"/>
    <col min="258" max="258" width="6.140625" style="841" customWidth="1"/>
    <col min="259" max="259" width="22.28515625" style="841" customWidth="1"/>
    <col min="260" max="260" width="9.28515625" style="841" customWidth="1"/>
    <col min="261" max="261" width="8.28515625" style="841" customWidth="1"/>
    <col min="262" max="262" width="7.7109375" style="841" customWidth="1"/>
    <col min="263" max="263" width="9.7109375" style="841" customWidth="1"/>
    <col min="264" max="264" width="7.28515625" style="841" customWidth="1"/>
    <col min="265" max="265" width="7.5703125" style="841" customWidth="1"/>
    <col min="266" max="266" width="7.7109375" style="841" customWidth="1"/>
    <col min="267" max="267" width="7" style="841" customWidth="1"/>
    <col min="268" max="268" width="7.7109375" style="841" customWidth="1"/>
    <col min="269" max="269" width="7" style="841" customWidth="1"/>
    <col min="270" max="512" width="11.5703125" style="841"/>
    <col min="513" max="513" width="11.42578125" style="841" customWidth="1"/>
    <col min="514" max="514" width="6.140625" style="841" customWidth="1"/>
    <col min="515" max="515" width="22.28515625" style="841" customWidth="1"/>
    <col min="516" max="516" width="9.28515625" style="841" customWidth="1"/>
    <col min="517" max="517" width="8.28515625" style="841" customWidth="1"/>
    <col min="518" max="518" width="7.7109375" style="841" customWidth="1"/>
    <col min="519" max="519" width="9.7109375" style="841" customWidth="1"/>
    <col min="520" max="520" width="7.28515625" style="841" customWidth="1"/>
    <col min="521" max="521" width="7.5703125" style="841" customWidth="1"/>
    <col min="522" max="522" width="7.7109375" style="841" customWidth="1"/>
    <col min="523" max="523" width="7" style="841" customWidth="1"/>
    <col min="524" max="524" width="7.7109375" style="841" customWidth="1"/>
    <col min="525" max="525" width="7" style="841" customWidth="1"/>
    <col min="526" max="768" width="11.5703125" style="841"/>
    <col min="769" max="769" width="11.42578125" style="841" customWidth="1"/>
    <col min="770" max="770" width="6.140625" style="841" customWidth="1"/>
    <col min="771" max="771" width="22.28515625" style="841" customWidth="1"/>
    <col min="772" max="772" width="9.28515625" style="841" customWidth="1"/>
    <col min="773" max="773" width="8.28515625" style="841" customWidth="1"/>
    <col min="774" max="774" width="7.7109375" style="841" customWidth="1"/>
    <col min="775" max="775" width="9.7109375" style="841" customWidth="1"/>
    <col min="776" max="776" width="7.28515625" style="841" customWidth="1"/>
    <col min="777" max="777" width="7.5703125" style="841" customWidth="1"/>
    <col min="778" max="778" width="7.7109375" style="841" customWidth="1"/>
    <col min="779" max="779" width="7" style="841" customWidth="1"/>
    <col min="780" max="780" width="7.7109375" style="841" customWidth="1"/>
    <col min="781" max="781" width="7" style="841" customWidth="1"/>
    <col min="782" max="1024" width="11.5703125" style="841"/>
    <col min="1025" max="1025" width="11.42578125" style="841" customWidth="1"/>
    <col min="1026" max="1026" width="6.140625" style="841" customWidth="1"/>
    <col min="1027" max="1027" width="22.28515625" style="841" customWidth="1"/>
    <col min="1028" max="1028" width="9.28515625" style="841" customWidth="1"/>
    <col min="1029" max="1029" width="8.28515625" style="841" customWidth="1"/>
    <col min="1030" max="1030" width="7.7109375" style="841" customWidth="1"/>
    <col min="1031" max="1031" width="9.7109375" style="841" customWidth="1"/>
    <col min="1032" max="1032" width="7.28515625" style="841" customWidth="1"/>
    <col min="1033" max="1033" width="7.5703125" style="841" customWidth="1"/>
    <col min="1034" max="1034" width="7.7109375" style="841" customWidth="1"/>
    <col min="1035" max="1035" width="7" style="841" customWidth="1"/>
    <col min="1036" max="1036" width="7.7109375" style="841" customWidth="1"/>
    <col min="1037" max="1037" width="7" style="841" customWidth="1"/>
    <col min="1038" max="1280" width="11.5703125" style="841"/>
    <col min="1281" max="1281" width="11.42578125" style="841" customWidth="1"/>
    <col min="1282" max="1282" width="6.140625" style="841" customWidth="1"/>
    <col min="1283" max="1283" width="22.28515625" style="841" customWidth="1"/>
    <col min="1284" max="1284" width="9.28515625" style="841" customWidth="1"/>
    <col min="1285" max="1285" width="8.28515625" style="841" customWidth="1"/>
    <col min="1286" max="1286" width="7.7109375" style="841" customWidth="1"/>
    <col min="1287" max="1287" width="9.7109375" style="841" customWidth="1"/>
    <col min="1288" max="1288" width="7.28515625" style="841" customWidth="1"/>
    <col min="1289" max="1289" width="7.5703125" style="841" customWidth="1"/>
    <col min="1290" max="1290" width="7.7109375" style="841" customWidth="1"/>
    <col min="1291" max="1291" width="7" style="841" customWidth="1"/>
    <col min="1292" max="1292" width="7.7109375" style="841" customWidth="1"/>
    <col min="1293" max="1293" width="7" style="841" customWidth="1"/>
    <col min="1294" max="1536" width="11.5703125" style="841"/>
    <col min="1537" max="1537" width="11.42578125" style="841" customWidth="1"/>
    <col min="1538" max="1538" width="6.140625" style="841" customWidth="1"/>
    <col min="1539" max="1539" width="22.28515625" style="841" customWidth="1"/>
    <col min="1540" max="1540" width="9.28515625" style="841" customWidth="1"/>
    <col min="1541" max="1541" width="8.28515625" style="841" customWidth="1"/>
    <col min="1542" max="1542" width="7.7109375" style="841" customWidth="1"/>
    <col min="1543" max="1543" width="9.7109375" style="841" customWidth="1"/>
    <col min="1544" max="1544" width="7.28515625" style="841" customWidth="1"/>
    <col min="1545" max="1545" width="7.5703125" style="841" customWidth="1"/>
    <col min="1546" max="1546" width="7.7109375" style="841" customWidth="1"/>
    <col min="1547" max="1547" width="7" style="841" customWidth="1"/>
    <col min="1548" max="1548" width="7.7109375" style="841" customWidth="1"/>
    <col min="1549" max="1549" width="7" style="841" customWidth="1"/>
    <col min="1550" max="1792" width="11.5703125" style="841"/>
    <col min="1793" max="1793" width="11.42578125" style="841" customWidth="1"/>
    <col min="1794" max="1794" width="6.140625" style="841" customWidth="1"/>
    <col min="1795" max="1795" width="22.28515625" style="841" customWidth="1"/>
    <col min="1796" max="1796" width="9.28515625" style="841" customWidth="1"/>
    <col min="1797" max="1797" width="8.28515625" style="841" customWidth="1"/>
    <col min="1798" max="1798" width="7.7109375" style="841" customWidth="1"/>
    <col min="1799" max="1799" width="9.7109375" style="841" customWidth="1"/>
    <col min="1800" max="1800" width="7.28515625" style="841" customWidth="1"/>
    <col min="1801" max="1801" width="7.5703125" style="841" customWidth="1"/>
    <col min="1802" max="1802" width="7.7109375" style="841" customWidth="1"/>
    <col min="1803" max="1803" width="7" style="841" customWidth="1"/>
    <col min="1804" max="1804" width="7.7109375" style="841" customWidth="1"/>
    <col min="1805" max="1805" width="7" style="841" customWidth="1"/>
    <col min="1806" max="2048" width="11.5703125" style="841"/>
    <col min="2049" max="2049" width="11.42578125" style="841" customWidth="1"/>
    <col min="2050" max="2050" width="6.140625" style="841" customWidth="1"/>
    <col min="2051" max="2051" width="22.28515625" style="841" customWidth="1"/>
    <col min="2052" max="2052" width="9.28515625" style="841" customWidth="1"/>
    <col min="2053" max="2053" width="8.28515625" style="841" customWidth="1"/>
    <col min="2054" max="2054" width="7.7109375" style="841" customWidth="1"/>
    <col min="2055" max="2055" width="9.7109375" style="841" customWidth="1"/>
    <col min="2056" max="2056" width="7.28515625" style="841" customWidth="1"/>
    <col min="2057" max="2057" width="7.5703125" style="841" customWidth="1"/>
    <col min="2058" max="2058" width="7.7109375" style="841" customWidth="1"/>
    <col min="2059" max="2059" width="7" style="841" customWidth="1"/>
    <col min="2060" max="2060" width="7.7109375" style="841" customWidth="1"/>
    <col min="2061" max="2061" width="7" style="841" customWidth="1"/>
    <col min="2062" max="2304" width="11.5703125" style="841"/>
    <col min="2305" max="2305" width="11.42578125" style="841" customWidth="1"/>
    <col min="2306" max="2306" width="6.140625" style="841" customWidth="1"/>
    <col min="2307" max="2307" width="22.28515625" style="841" customWidth="1"/>
    <col min="2308" max="2308" width="9.28515625" style="841" customWidth="1"/>
    <col min="2309" max="2309" width="8.28515625" style="841" customWidth="1"/>
    <col min="2310" max="2310" width="7.7109375" style="841" customWidth="1"/>
    <col min="2311" max="2311" width="9.7109375" style="841" customWidth="1"/>
    <col min="2312" max="2312" width="7.28515625" style="841" customWidth="1"/>
    <col min="2313" max="2313" width="7.5703125" style="841" customWidth="1"/>
    <col min="2314" max="2314" width="7.7109375" style="841" customWidth="1"/>
    <col min="2315" max="2315" width="7" style="841" customWidth="1"/>
    <col min="2316" max="2316" width="7.7109375" style="841" customWidth="1"/>
    <col min="2317" max="2317" width="7" style="841" customWidth="1"/>
    <col min="2318" max="2560" width="11.5703125" style="841"/>
    <col min="2561" max="2561" width="11.42578125" style="841" customWidth="1"/>
    <col min="2562" max="2562" width="6.140625" style="841" customWidth="1"/>
    <col min="2563" max="2563" width="22.28515625" style="841" customWidth="1"/>
    <col min="2564" max="2564" width="9.28515625" style="841" customWidth="1"/>
    <col min="2565" max="2565" width="8.28515625" style="841" customWidth="1"/>
    <col min="2566" max="2566" width="7.7109375" style="841" customWidth="1"/>
    <col min="2567" max="2567" width="9.7109375" style="841" customWidth="1"/>
    <col min="2568" max="2568" width="7.28515625" style="841" customWidth="1"/>
    <col min="2569" max="2569" width="7.5703125" style="841" customWidth="1"/>
    <col min="2570" max="2570" width="7.7109375" style="841" customWidth="1"/>
    <col min="2571" max="2571" width="7" style="841" customWidth="1"/>
    <col min="2572" max="2572" width="7.7109375" style="841" customWidth="1"/>
    <col min="2573" max="2573" width="7" style="841" customWidth="1"/>
    <col min="2574" max="2816" width="11.5703125" style="841"/>
    <col min="2817" max="2817" width="11.42578125" style="841" customWidth="1"/>
    <col min="2818" max="2818" width="6.140625" style="841" customWidth="1"/>
    <col min="2819" max="2819" width="22.28515625" style="841" customWidth="1"/>
    <col min="2820" max="2820" width="9.28515625" style="841" customWidth="1"/>
    <col min="2821" max="2821" width="8.28515625" style="841" customWidth="1"/>
    <col min="2822" max="2822" width="7.7109375" style="841" customWidth="1"/>
    <col min="2823" max="2823" width="9.7109375" style="841" customWidth="1"/>
    <col min="2824" max="2824" width="7.28515625" style="841" customWidth="1"/>
    <col min="2825" max="2825" width="7.5703125" style="841" customWidth="1"/>
    <col min="2826" max="2826" width="7.7109375" style="841" customWidth="1"/>
    <col min="2827" max="2827" width="7" style="841" customWidth="1"/>
    <col min="2828" max="2828" width="7.7109375" style="841" customWidth="1"/>
    <col min="2829" max="2829" width="7" style="841" customWidth="1"/>
    <col min="2830" max="3072" width="11.5703125" style="841"/>
    <col min="3073" max="3073" width="11.42578125" style="841" customWidth="1"/>
    <col min="3074" max="3074" width="6.140625" style="841" customWidth="1"/>
    <col min="3075" max="3075" width="22.28515625" style="841" customWidth="1"/>
    <col min="3076" max="3076" width="9.28515625" style="841" customWidth="1"/>
    <col min="3077" max="3077" width="8.28515625" style="841" customWidth="1"/>
    <col min="3078" max="3078" width="7.7109375" style="841" customWidth="1"/>
    <col min="3079" max="3079" width="9.7109375" style="841" customWidth="1"/>
    <col min="3080" max="3080" width="7.28515625" style="841" customWidth="1"/>
    <col min="3081" max="3081" width="7.5703125" style="841" customWidth="1"/>
    <col min="3082" max="3082" width="7.7109375" style="841" customWidth="1"/>
    <col min="3083" max="3083" width="7" style="841" customWidth="1"/>
    <col min="3084" max="3084" width="7.7109375" style="841" customWidth="1"/>
    <col min="3085" max="3085" width="7" style="841" customWidth="1"/>
    <col min="3086" max="3328" width="11.5703125" style="841"/>
    <col min="3329" max="3329" width="11.42578125" style="841" customWidth="1"/>
    <col min="3330" max="3330" width="6.140625" style="841" customWidth="1"/>
    <col min="3331" max="3331" width="22.28515625" style="841" customWidth="1"/>
    <col min="3332" max="3332" width="9.28515625" style="841" customWidth="1"/>
    <col min="3333" max="3333" width="8.28515625" style="841" customWidth="1"/>
    <col min="3334" max="3334" width="7.7109375" style="841" customWidth="1"/>
    <col min="3335" max="3335" width="9.7109375" style="841" customWidth="1"/>
    <col min="3336" max="3336" width="7.28515625" style="841" customWidth="1"/>
    <col min="3337" max="3337" width="7.5703125" style="841" customWidth="1"/>
    <col min="3338" max="3338" width="7.7109375" style="841" customWidth="1"/>
    <col min="3339" max="3339" width="7" style="841" customWidth="1"/>
    <col min="3340" max="3340" width="7.7109375" style="841" customWidth="1"/>
    <col min="3341" max="3341" width="7" style="841" customWidth="1"/>
    <col min="3342" max="3584" width="11.5703125" style="841"/>
    <col min="3585" max="3585" width="11.42578125" style="841" customWidth="1"/>
    <col min="3586" max="3586" width="6.140625" style="841" customWidth="1"/>
    <col min="3587" max="3587" width="22.28515625" style="841" customWidth="1"/>
    <col min="3588" max="3588" width="9.28515625" style="841" customWidth="1"/>
    <col min="3589" max="3589" width="8.28515625" style="841" customWidth="1"/>
    <col min="3590" max="3590" width="7.7109375" style="841" customWidth="1"/>
    <col min="3591" max="3591" width="9.7109375" style="841" customWidth="1"/>
    <col min="3592" max="3592" width="7.28515625" style="841" customWidth="1"/>
    <col min="3593" max="3593" width="7.5703125" style="841" customWidth="1"/>
    <col min="3594" max="3594" width="7.7109375" style="841" customWidth="1"/>
    <col min="3595" max="3595" width="7" style="841" customWidth="1"/>
    <col min="3596" max="3596" width="7.7109375" style="841" customWidth="1"/>
    <col min="3597" max="3597" width="7" style="841" customWidth="1"/>
    <col min="3598" max="3840" width="11.5703125" style="841"/>
    <col min="3841" max="3841" width="11.42578125" style="841" customWidth="1"/>
    <col min="3842" max="3842" width="6.140625" style="841" customWidth="1"/>
    <col min="3843" max="3843" width="22.28515625" style="841" customWidth="1"/>
    <col min="3844" max="3844" width="9.28515625" style="841" customWidth="1"/>
    <col min="3845" max="3845" width="8.28515625" style="841" customWidth="1"/>
    <col min="3846" max="3846" width="7.7109375" style="841" customWidth="1"/>
    <col min="3847" max="3847" width="9.7109375" style="841" customWidth="1"/>
    <col min="3848" max="3848" width="7.28515625" style="841" customWidth="1"/>
    <col min="3849" max="3849" width="7.5703125" style="841" customWidth="1"/>
    <col min="3850" max="3850" width="7.7109375" style="841" customWidth="1"/>
    <col min="3851" max="3851" width="7" style="841" customWidth="1"/>
    <col min="3852" max="3852" width="7.7109375" style="841" customWidth="1"/>
    <col min="3853" max="3853" width="7" style="841" customWidth="1"/>
    <col min="3854" max="4096" width="11.5703125" style="841"/>
    <col min="4097" max="4097" width="11.42578125" style="841" customWidth="1"/>
    <col min="4098" max="4098" width="6.140625" style="841" customWidth="1"/>
    <col min="4099" max="4099" width="22.28515625" style="841" customWidth="1"/>
    <col min="4100" max="4100" width="9.28515625" style="841" customWidth="1"/>
    <col min="4101" max="4101" width="8.28515625" style="841" customWidth="1"/>
    <col min="4102" max="4102" width="7.7109375" style="841" customWidth="1"/>
    <col min="4103" max="4103" width="9.7109375" style="841" customWidth="1"/>
    <col min="4104" max="4104" width="7.28515625" style="841" customWidth="1"/>
    <col min="4105" max="4105" width="7.5703125" style="841" customWidth="1"/>
    <col min="4106" max="4106" width="7.7109375" style="841" customWidth="1"/>
    <col min="4107" max="4107" width="7" style="841" customWidth="1"/>
    <col min="4108" max="4108" width="7.7109375" style="841" customWidth="1"/>
    <col min="4109" max="4109" width="7" style="841" customWidth="1"/>
    <col min="4110" max="4352" width="11.5703125" style="841"/>
    <col min="4353" max="4353" width="11.42578125" style="841" customWidth="1"/>
    <col min="4354" max="4354" width="6.140625" style="841" customWidth="1"/>
    <col min="4355" max="4355" width="22.28515625" style="841" customWidth="1"/>
    <col min="4356" max="4356" width="9.28515625" style="841" customWidth="1"/>
    <col min="4357" max="4357" width="8.28515625" style="841" customWidth="1"/>
    <col min="4358" max="4358" width="7.7109375" style="841" customWidth="1"/>
    <col min="4359" max="4359" width="9.7109375" style="841" customWidth="1"/>
    <col min="4360" max="4360" width="7.28515625" style="841" customWidth="1"/>
    <col min="4361" max="4361" width="7.5703125" style="841" customWidth="1"/>
    <col min="4362" max="4362" width="7.7109375" style="841" customWidth="1"/>
    <col min="4363" max="4363" width="7" style="841" customWidth="1"/>
    <col min="4364" max="4364" width="7.7109375" style="841" customWidth="1"/>
    <col min="4365" max="4365" width="7" style="841" customWidth="1"/>
    <col min="4366" max="4608" width="11.5703125" style="841"/>
    <col min="4609" max="4609" width="11.42578125" style="841" customWidth="1"/>
    <col min="4610" max="4610" width="6.140625" style="841" customWidth="1"/>
    <col min="4611" max="4611" width="22.28515625" style="841" customWidth="1"/>
    <col min="4612" max="4612" width="9.28515625" style="841" customWidth="1"/>
    <col min="4613" max="4613" width="8.28515625" style="841" customWidth="1"/>
    <col min="4614" max="4614" width="7.7109375" style="841" customWidth="1"/>
    <col min="4615" max="4615" width="9.7109375" style="841" customWidth="1"/>
    <col min="4616" max="4616" width="7.28515625" style="841" customWidth="1"/>
    <col min="4617" max="4617" width="7.5703125" style="841" customWidth="1"/>
    <col min="4618" max="4618" width="7.7109375" style="841" customWidth="1"/>
    <col min="4619" max="4619" width="7" style="841" customWidth="1"/>
    <col min="4620" max="4620" width="7.7109375" style="841" customWidth="1"/>
    <col min="4621" max="4621" width="7" style="841" customWidth="1"/>
    <col min="4622" max="4864" width="11.5703125" style="841"/>
    <col min="4865" max="4865" width="11.42578125" style="841" customWidth="1"/>
    <col min="4866" max="4866" width="6.140625" style="841" customWidth="1"/>
    <col min="4867" max="4867" width="22.28515625" style="841" customWidth="1"/>
    <col min="4868" max="4868" width="9.28515625" style="841" customWidth="1"/>
    <col min="4869" max="4869" width="8.28515625" style="841" customWidth="1"/>
    <col min="4870" max="4870" width="7.7109375" style="841" customWidth="1"/>
    <col min="4871" max="4871" width="9.7109375" style="841" customWidth="1"/>
    <col min="4872" max="4872" width="7.28515625" style="841" customWidth="1"/>
    <col min="4873" max="4873" width="7.5703125" style="841" customWidth="1"/>
    <col min="4874" max="4874" width="7.7109375" style="841" customWidth="1"/>
    <col min="4875" max="4875" width="7" style="841" customWidth="1"/>
    <col min="4876" max="4876" width="7.7109375" style="841" customWidth="1"/>
    <col min="4877" max="4877" width="7" style="841" customWidth="1"/>
    <col min="4878" max="5120" width="11.5703125" style="841"/>
    <col min="5121" max="5121" width="11.42578125" style="841" customWidth="1"/>
    <col min="5122" max="5122" width="6.140625" style="841" customWidth="1"/>
    <col min="5123" max="5123" width="22.28515625" style="841" customWidth="1"/>
    <col min="5124" max="5124" width="9.28515625" style="841" customWidth="1"/>
    <col min="5125" max="5125" width="8.28515625" style="841" customWidth="1"/>
    <col min="5126" max="5126" width="7.7109375" style="841" customWidth="1"/>
    <col min="5127" max="5127" width="9.7109375" style="841" customWidth="1"/>
    <col min="5128" max="5128" width="7.28515625" style="841" customWidth="1"/>
    <col min="5129" max="5129" width="7.5703125" style="841" customWidth="1"/>
    <col min="5130" max="5130" width="7.7109375" style="841" customWidth="1"/>
    <col min="5131" max="5131" width="7" style="841" customWidth="1"/>
    <col min="5132" max="5132" width="7.7109375" style="841" customWidth="1"/>
    <col min="5133" max="5133" width="7" style="841" customWidth="1"/>
    <col min="5134" max="5376" width="11.5703125" style="841"/>
    <col min="5377" max="5377" width="11.42578125" style="841" customWidth="1"/>
    <col min="5378" max="5378" width="6.140625" style="841" customWidth="1"/>
    <col min="5379" max="5379" width="22.28515625" style="841" customWidth="1"/>
    <col min="5380" max="5380" width="9.28515625" style="841" customWidth="1"/>
    <col min="5381" max="5381" width="8.28515625" style="841" customWidth="1"/>
    <col min="5382" max="5382" width="7.7109375" style="841" customWidth="1"/>
    <col min="5383" max="5383" width="9.7109375" style="841" customWidth="1"/>
    <col min="5384" max="5384" width="7.28515625" style="841" customWidth="1"/>
    <col min="5385" max="5385" width="7.5703125" style="841" customWidth="1"/>
    <col min="5386" max="5386" width="7.7109375" style="841" customWidth="1"/>
    <col min="5387" max="5387" width="7" style="841" customWidth="1"/>
    <col min="5388" max="5388" width="7.7109375" style="841" customWidth="1"/>
    <col min="5389" max="5389" width="7" style="841" customWidth="1"/>
    <col min="5390" max="5632" width="11.5703125" style="841"/>
    <col min="5633" max="5633" width="11.42578125" style="841" customWidth="1"/>
    <col min="5634" max="5634" width="6.140625" style="841" customWidth="1"/>
    <col min="5635" max="5635" width="22.28515625" style="841" customWidth="1"/>
    <col min="5636" max="5636" width="9.28515625" style="841" customWidth="1"/>
    <col min="5637" max="5637" width="8.28515625" style="841" customWidth="1"/>
    <col min="5638" max="5638" width="7.7109375" style="841" customWidth="1"/>
    <col min="5639" max="5639" width="9.7109375" style="841" customWidth="1"/>
    <col min="5640" max="5640" width="7.28515625" style="841" customWidth="1"/>
    <col min="5641" max="5641" width="7.5703125" style="841" customWidth="1"/>
    <col min="5642" max="5642" width="7.7109375" style="841" customWidth="1"/>
    <col min="5643" max="5643" width="7" style="841" customWidth="1"/>
    <col min="5644" max="5644" width="7.7109375" style="841" customWidth="1"/>
    <col min="5645" max="5645" width="7" style="841" customWidth="1"/>
    <col min="5646" max="5888" width="11.5703125" style="841"/>
    <col min="5889" max="5889" width="11.42578125" style="841" customWidth="1"/>
    <col min="5890" max="5890" width="6.140625" style="841" customWidth="1"/>
    <col min="5891" max="5891" width="22.28515625" style="841" customWidth="1"/>
    <col min="5892" max="5892" width="9.28515625" style="841" customWidth="1"/>
    <col min="5893" max="5893" width="8.28515625" style="841" customWidth="1"/>
    <col min="5894" max="5894" width="7.7109375" style="841" customWidth="1"/>
    <col min="5895" max="5895" width="9.7109375" style="841" customWidth="1"/>
    <col min="5896" max="5896" width="7.28515625" style="841" customWidth="1"/>
    <col min="5897" max="5897" width="7.5703125" style="841" customWidth="1"/>
    <col min="5898" max="5898" width="7.7109375" style="841" customWidth="1"/>
    <col min="5899" max="5899" width="7" style="841" customWidth="1"/>
    <col min="5900" max="5900" width="7.7109375" style="841" customWidth="1"/>
    <col min="5901" max="5901" width="7" style="841" customWidth="1"/>
    <col min="5902" max="6144" width="11.5703125" style="841"/>
    <col min="6145" max="6145" width="11.42578125" style="841" customWidth="1"/>
    <col min="6146" max="6146" width="6.140625" style="841" customWidth="1"/>
    <col min="6147" max="6147" width="22.28515625" style="841" customWidth="1"/>
    <col min="6148" max="6148" width="9.28515625" style="841" customWidth="1"/>
    <col min="6149" max="6149" width="8.28515625" style="841" customWidth="1"/>
    <col min="6150" max="6150" width="7.7109375" style="841" customWidth="1"/>
    <col min="6151" max="6151" width="9.7109375" style="841" customWidth="1"/>
    <col min="6152" max="6152" width="7.28515625" style="841" customWidth="1"/>
    <col min="6153" max="6153" width="7.5703125" style="841" customWidth="1"/>
    <col min="6154" max="6154" width="7.7109375" style="841" customWidth="1"/>
    <col min="6155" max="6155" width="7" style="841" customWidth="1"/>
    <col min="6156" max="6156" width="7.7109375" style="841" customWidth="1"/>
    <col min="6157" max="6157" width="7" style="841" customWidth="1"/>
    <col min="6158" max="6400" width="11.5703125" style="841"/>
    <col min="6401" max="6401" width="11.42578125" style="841" customWidth="1"/>
    <col min="6402" max="6402" width="6.140625" style="841" customWidth="1"/>
    <col min="6403" max="6403" width="22.28515625" style="841" customWidth="1"/>
    <col min="6404" max="6404" width="9.28515625" style="841" customWidth="1"/>
    <col min="6405" max="6405" width="8.28515625" style="841" customWidth="1"/>
    <col min="6406" max="6406" width="7.7109375" style="841" customWidth="1"/>
    <col min="6407" max="6407" width="9.7109375" style="841" customWidth="1"/>
    <col min="6408" max="6408" width="7.28515625" style="841" customWidth="1"/>
    <col min="6409" max="6409" width="7.5703125" style="841" customWidth="1"/>
    <col min="6410" max="6410" width="7.7109375" style="841" customWidth="1"/>
    <col min="6411" max="6411" width="7" style="841" customWidth="1"/>
    <col min="6412" max="6412" width="7.7109375" style="841" customWidth="1"/>
    <col min="6413" max="6413" width="7" style="841" customWidth="1"/>
    <col min="6414" max="6656" width="11.5703125" style="841"/>
    <col min="6657" max="6657" width="11.42578125" style="841" customWidth="1"/>
    <col min="6658" max="6658" width="6.140625" style="841" customWidth="1"/>
    <col min="6659" max="6659" width="22.28515625" style="841" customWidth="1"/>
    <col min="6660" max="6660" width="9.28515625" style="841" customWidth="1"/>
    <col min="6661" max="6661" width="8.28515625" style="841" customWidth="1"/>
    <col min="6662" max="6662" width="7.7109375" style="841" customWidth="1"/>
    <col min="6663" max="6663" width="9.7109375" style="841" customWidth="1"/>
    <col min="6664" max="6664" width="7.28515625" style="841" customWidth="1"/>
    <col min="6665" max="6665" width="7.5703125" style="841" customWidth="1"/>
    <col min="6666" max="6666" width="7.7109375" style="841" customWidth="1"/>
    <col min="6667" max="6667" width="7" style="841" customWidth="1"/>
    <col min="6668" max="6668" width="7.7109375" style="841" customWidth="1"/>
    <col min="6669" max="6669" width="7" style="841" customWidth="1"/>
    <col min="6670" max="6912" width="11.5703125" style="841"/>
    <col min="6913" max="6913" width="11.42578125" style="841" customWidth="1"/>
    <col min="6914" max="6914" width="6.140625" style="841" customWidth="1"/>
    <col min="6915" max="6915" width="22.28515625" style="841" customWidth="1"/>
    <col min="6916" max="6916" width="9.28515625" style="841" customWidth="1"/>
    <col min="6917" max="6917" width="8.28515625" style="841" customWidth="1"/>
    <col min="6918" max="6918" width="7.7109375" style="841" customWidth="1"/>
    <col min="6919" max="6919" width="9.7109375" style="841" customWidth="1"/>
    <col min="6920" max="6920" width="7.28515625" style="841" customWidth="1"/>
    <col min="6921" max="6921" width="7.5703125" style="841" customWidth="1"/>
    <col min="6922" max="6922" width="7.7109375" style="841" customWidth="1"/>
    <col min="6923" max="6923" width="7" style="841" customWidth="1"/>
    <col min="6924" max="6924" width="7.7109375" style="841" customWidth="1"/>
    <col min="6925" max="6925" width="7" style="841" customWidth="1"/>
    <col min="6926" max="7168" width="11.5703125" style="841"/>
    <col min="7169" max="7169" width="11.42578125" style="841" customWidth="1"/>
    <col min="7170" max="7170" width="6.140625" style="841" customWidth="1"/>
    <col min="7171" max="7171" width="22.28515625" style="841" customWidth="1"/>
    <col min="7172" max="7172" width="9.28515625" style="841" customWidth="1"/>
    <col min="7173" max="7173" width="8.28515625" style="841" customWidth="1"/>
    <col min="7174" max="7174" width="7.7109375" style="841" customWidth="1"/>
    <col min="7175" max="7175" width="9.7109375" style="841" customWidth="1"/>
    <col min="7176" max="7176" width="7.28515625" style="841" customWidth="1"/>
    <col min="7177" max="7177" width="7.5703125" style="841" customWidth="1"/>
    <col min="7178" max="7178" width="7.7109375" style="841" customWidth="1"/>
    <col min="7179" max="7179" width="7" style="841" customWidth="1"/>
    <col min="7180" max="7180" width="7.7109375" style="841" customWidth="1"/>
    <col min="7181" max="7181" width="7" style="841" customWidth="1"/>
    <col min="7182" max="7424" width="11.5703125" style="841"/>
    <col min="7425" max="7425" width="11.42578125" style="841" customWidth="1"/>
    <col min="7426" max="7426" width="6.140625" style="841" customWidth="1"/>
    <col min="7427" max="7427" width="22.28515625" style="841" customWidth="1"/>
    <col min="7428" max="7428" width="9.28515625" style="841" customWidth="1"/>
    <col min="7429" max="7429" width="8.28515625" style="841" customWidth="1"/>
    <col min="7430" max="7430" width="7.7109375" style="841" customWidth="1"/>
    <col min="7431" max="7431" width="9.7109375" style="841" customWidth="1"/>
    <col min="7432" max="7432" width="7.28515625" style="841" customWidth="1"/>
    <col min="7433" max="7433" width="7.5703125" style="841" customWidth="1"/>
    <col min="7434" max="7434" width="7.7109375" style="841" customWidth="1"/>
    <col min="7435" max="7435" width="7" style="841" customWidth="1"/>
    <col min="7436" max="7436" width="7.7109375" style="841" customWidth="1"/>
    <col min="7437" max="7437" width="7" style="841" customWidth="1"/>
    <col min="7438" max="7680" width="11.5703125" style="841"/>
    <col min="7681" max="7681" width="11.42578125" style="841" customWidth="1"/>
    <col min="7682" max="7682" width="6.140625" style="841" customWidth="1"/>
    <col min="7683" max="7683" width="22.28515625" style="841" customWidth="1"/>
    <col min="7684" max="7684" width="9.28515625" style="841" customWidth="1"/>
    <col min="7685" max="7685" width="8.28515625" style="841" customWidth="1"/>
    <col min="7686" max="7686" width="7.7109375" style="841" customWidth="1"/>
    <col min="7687" max="7687" width="9.7109375" style="841" customWidth="1"/>
    <col min="7688" max="7688" width="7.28515625" style="841" customWidth="1"/>
    <col min="7689" max="7689" width="7.5703125" style="841" customWidth="1"/>
    <col min="7690" max="7690" width="7.7109375" style="841" customWidth="1"/>
    <col min="7691" max="7691" width="7" style="841" customWidth="1"/>
    <col min="7692" max="7692" width="7.7109375" style="841" customWidth="1"/>
    <col min="7693" max="7693" width="7" style="841" customWidth="1"/>
    <col min="7694" max="7936" width="11.5703125" style="841"/>
    <col min="7937" max="7937" width="11.42578125" style="841" customWidth="1"/>
    <col min="7938" max="7938" width="6.140625" style="841" customWidth="1"/>
    <col min="7939" max="7939" width="22.28515625" style="841" customWidth="1"/>
    <col min="7940" max="7940" width="9.28515625" style="841" customWidth="1"/>
    <col min="7941" max="7941" width="8.28515625" style="841" customWidth="1"/>
    <col min="7942" max="7942" width="7.7109375" style="841" customWidth="1"/>
    <col min="7943" max="7943" width="9.7109375" style="841" customWidth="1"/>
    <col min="7944" max="7944" width="7.28515625" style="841" customWidth="1"/>
    <col min="7945" max="7945" width="7.5703125" style="841" customWidth="1"/>
    <col min="7946" max="7946" width="7.7109375" style="841" customWidth="1"/>
    <col min="7947" max="7947" width="7" style="841" customWidth="1"/>
    <col min="7948" max="7948" width="7.7109375" style="841" customWidth="1"/>
    <col min="7949" max="7949" width="7" style="841" customWidth="1"/>
    <col min="7950" max="8192" width="11.5703125" style="841"/>
    <col min="8193" max="8193" width="11.42578125" style="841" customWidth="1"/>
    <col min="8194" max="8194" width="6.140625" style="841" customWidth="1"/>
    <col min="8195" max="8195" width="22.28515625" style="841" customWidth="1"/>
    <col min="8196" max="8196" width="9.28515625" style="841" customWidth="1"/>
    <col min="8197" max="8197" width="8.28515625" style="841" customWidth="1"/>
    <col min="8198" max="8198" width="7.7109375" style="841" customWidth="1"/>
    <col min="8199" max="8199" width="9.7109375" style="841" customWidth="1"/>
    <col min="8200" max="8200" width="7.28515625" style="841" customWidth="1"/>
    <col min="8201" max="8201" width="7.5703125" style="841" customWidth="1"/>
    <col min="8202" max="8202" width="7.7109375" style="841" customWidth="1"/>
    <col min="8203" max="8203" width="7" style="841" customWidth="1"/>
    <col min="8204" max="8204" width="7.7109375" style="841" customWidth="1"/>
    <col min="8205" max="8205" width="7" style="841" customWidth="1"/>
    <col min="8206" max="8448" width="11.5703125" style="841"/>
    <col min="8449" max="8449" width="11.42578125" style="841" customWidth="1"/>
    <col min="8450" max="8450" width="6.140625" style="841" customWidth="1"/>
    <col min="8451" max="8451" width="22.28515625" style="841" customWidth="1"/>
    <col min="8452" max="8452" width="9.28515625" style="841" customWidth="1"/>
    <col min="8453" max="8453" width="8.28515625" style="841" customWidth="1"/>
    <col min="8454" max="8454" width="7.7109375" style="841" customWidth="1"/>
    <col min="8455" max="8455" width="9.7109375" style="841" customWidth="1"/>
    <col min="8456" max="8456" width="7.28515625" style="841" customWidth="1"/>
    <col min="8457" max="8457" width="7.5703125" style="841" customWidth="1"/>
    <col min="8458" max="8458" width="7.7109375" style="841" customWidth="1"/>
    <col min="8459" max="8459" width="7" style="841" customWidth="1"/>
    <col min="8460" max="8460" width="7.7109375" style="841" customWidth="1"/>
    <col min="8461" max="8461" width="7" style="841" customWidth="1"/>
    <col min="8462" max="8704" width="11.5703125" style="841"/>
    <col min="8705" max="8705" width="11.42578125" style="841" customWidth="1"/>
    <col min="8706" max="8706" width="6.140625" style="841" customWidth="1"/>
    <col min="8707" max="8707" width="22.28515625" style="841" customWidth="1"/>
    <col min="8708" max="8708" width="9.28515625" style="841" customWidth="1"/>
    <col min="8709" max="8709" width="8.28515625" style="841" customWidth="1"/>
    <col min="8710" max="8710" width="7.7109375" style="841" customWidth="1"/>
    <col min="8711" max="8711" width="9.7109375" style="841" customWidth="1"/>
    <col min="8712" max="8712" width="7.28515625" style="841" customWidth="1"/>
    <col min="8713" max="8713" width="7.5703125" style="841" customWidth="1"/>
    <col min="8714" max="8714" width="7.7109375" style="841" customWidth="1"/>
    <col min="8715" max="8715" width="7" style="841" customWidth="1"/>
    <col min="8716" max="8716" width="7.7109375" style="841" customWidth="1"/>
    <col min="8717" max="8717" width="7" style="841" customWidth="1"/>
    <col min="8718" max="8960" width="11.5703125" style="841"/>
    <col min="8961" max="8961" width="11.42578125" style="841" customWidth="1"/>
    <col min="8962" max="8962" width="6.140625" style="841" customWidth="1"/>
    <col min="8963" max="8963" width="22.28515625" style="841" customWidth="1"/>
    <col min="8964" max="8964" width="9.28515625" style="841" customWidth="1"/>
    <col min="8965" max="8965" width="8.28515625" style="841" customWidth="1"/>
    <col min="8966" max="8966" width="7.7109375" style="841" customWidth="1"/>
    <col min="8967" max="8967" width="9.7109375" style="841" customWidth="1"/>
    <col min="8968" max="8968" width="7.28515625" style="841" customWidth="1"/>
    <col min="8969" max="8969" width="7.5703125" style="841" customWidth="1"/>
    <col min="8970" max="8970" width="7.7109375" style="841" customWidth="1"/>
    <col min="8971" max="8971" width="7" style="841" customWidth="1"/>
    <col min="8972" max="8972" width="7.7109375" style="841" customWidth="1"/>
    <col min="8973" max="8973" width="7" style="841" customWidth="1"/>
    <col min="8974" max="9216" width="11.5703125" style="841"/>
    <col min="9217" max="9217" width="11.42578125" style="841" customWidth="1"/>
    <col min="9218" max="9218" width="6.140625" style="841" customWidth="1"/>
    <col min="9219" max="9219" width="22.28515625" style="841" customWidth="1"/>
    <col min="9220" max="9220" width="9.28515625" style="841" customWidth="1"/>
    <col min="9221" max="9221" width="8.28515625" style="841" customWidth="1"/>
    <col min="9222" max="9222" width="7.7109375" style="841" customWidth="1"/>
    <col min="9223" max="9223" width="9.7109375" style="841" customWidth="1"/>
    <col min="9224" max="9224" width="7.28515625" style="841" customWidth="1"/>
    <col min="9225" max="9225" width="7.5703125" style="841" customWidth="1"/>
    <col min="9226" max="9226" width="7.7109375" style="841" customWidth="1"/>
    <col min="9227" max="9227" width="7" style="841" customWidth="1"/>
    <col min="9228" max="9228" width="7.7109375" style="841" customWidth="1"/>
    <col min="9229" max="9229" width="7" style="841" customWidth="1"/>
    <col min="9230" max="9472" width="11.5703125" style="841"/>
    <col min="9473" max="9473" width="11.42578125" style="841" customWidth="1"/>
    <col min="9474" max="9474" width="6.140625" style="841" customWidth="1"/>
    <col min="9475" max="9475" width="22.28515625" style="841" customWidth="1"/>
    <col min="9476" max="9476" width="9.28515625" style="841" customWidth="1"/>
    <col min="9477" max="9477" width="8.28515625" style="841" customWidth="1"/>
    <col min="9478" max="9478" width="7.7109375" style="841" customWidth="1"/>
    <col min="9479" max="9479" width="9.7109375" style="841" customWidth="1"/>
    <col min="9480" max="9480" width="7.28515625" style="841" customWidth="1"/>
    <col min="9481" max="9481" width="7.5703125" style="841" customWidth="1"/>
    <col min="9482" max="9482" width="7.7109375" style="841" customWidth="1"/>
    <col min="9483" max="9483" width="7" style="841" customWidth="1"/>
    <col min="9484" max="9484" width="7.7109375" style="841" customWidth="1"/>
    <col min="9485" max="9485" width="7" style="841" customWidth="1"/>
    <col min="9486" max="9728" width="11.5703125" style="841"/>
    <col min="9729" max="9729" width="11.42578125" style="841" customWidth="1"/>
    <col min="9730" max="9730" width="6.140625" style="841" customWidth="1"/>
    <col min="9731" max="9731" width="22.28515625" style="841" customWidth="1"/>
    <col min="9732" max="9732" width="9.28515625" style="841" customWidth="1"/>
    <col min="9733" max="9733" width="8.28515625" style="841" customWidth="1"/>
    <col min="9734" max="9734" width="7.7109375" style="841" customWidth="1"/>
    <col min="9735" max="9735" width="9.7109375" style="841" customWidth="1"/>
    <col min="9736" max="9736" width="7.28515625" style="841" customWidth="1"/>
    <col min="9737" max="9737" width="7.5703125" style="841" customWidth="1"/>
    <col min="9738" max="9738" width="7.7109375" style="841" customWidth="1"/>
    <col min="9739" max="9739" width="7" style="841" customWidth="1"/>
    <col min="9740" max="9740" width="7.7109375" style="841" customWidth="1"/>
    <col min="9741" max="9741" width="7" style="841" customWidth="1"/>
    <col min="9742" max="9984" width="11.5703125" style="841"/>
    <col min="9985" max="9985" width="11.42578125" style="841" customWidth="1"/>
    <col min="9986" max="9986" width="6.140625" style="841" customWidth="1"/>
    <col min="9987" max="9987" width="22.28515625" style="841" customWidth="1"/>
    <col min="9988" max="9988" width="9.28515625" style="841" customWidth="1"/>
    <col min="9989" max="9989" width="8.28515625" style="841" customWidth="1"/>
    <col min="9990" max="9990" width="7.7109375" style="841" customWidth="1"/>
    <col min="9991" max="9991" width="9.7109375" style="841" customWidth="1"/>
    <col min="9992" max="9992" width="7.28515625" style="841" customWidth="1"/>
    <col min="9993" max="9993" width="7.5703125" style="841" customWidth="1"/>
    <col min="9994" max="9994" width="7.7109375" style="841" customWidth="1"/>
    <col min="9995" max="9995" width="7" style="841" customWidth="1"/>
    <col min="9996" max="9996" width="7.7109375" style="841" customWidth="1"/>
    <col min="9997" max="9997" width="7" style="841" customWidth="1"/>
    <col min="9998" max="10240" width="11.5703125" style="841"/>
    <col min="10241" max="10241" width="11.42578125" style="841" customWidth="1"/>
    <col min="10242" max="10242" width="6.140625" style="841" customWidth="1"/>
    <col min="10243" max="10243" width="22.28515625" style="841" customWidth="1"/>
    <col min="10244" max="10244" width="9.28515625" style="841" customWidth="1"/>
    <col min="10245" max="10245" width="8.28515625" style="841" customWidth="1"/>
    <col min="10246" max="10246" width="7.7109375" style="841" customWidth="1"/>
    <col min="10247" max="10247" width="9.7109375" style="841" customWidth="1"/>
    <col min="10248" max="10248" width="7.28515625" style="841" customWidth="1"/>
    <col min="10249" max="10249" width="7.5703125" style="841" customWidth="1"/>
    <col min="10250" max="10250" width="7.7109375" style="841" customWidth="1"/>
    <col min="10251" max="10251" width="7" style="841" customWidth="1"/>
    <col min="10252" max="10252" width="7.7109375" style="841" customWidth="1"/>
    <col min="10253" max="10253" width="7" style="841" customWidth="1"/>
    <col min="10254" max="10496" width="11.5703125" style="841"/>
    <col min="10497" max="10497" width="11.42578125" style="841" customWidth="1"/>
    <col min="10498" max="10498" width="6.140625" style="841" customWidth="1"/>
    <col min="10499" max="10499" width="22.28515625" style="841" customWidth="1"/>
    <col min="10500" max="10500" width="9.28515625" style="841" customWidth="1"/>
    <col min="10501" max="10501" width="8.28515625" style="841" customWidth="1"/>
    <col min="10502" max="10502" width="7.7109375" style="841" customWidth="1"/>
    <col min="10503" max="10503" width="9.7109375" style="841" customWidth="1"/>
    <col min="10504" max="10504" width="7.28515625" style="841" customWidth="1"/>
    <col min="10505" max="10505" width="7.5703125" style="841" customWidth="1"/>
    <col min="10506" max="10506" width="7.7109375" style="841" customWidth="1"/>
    <col min="10507" max="10507" width="7" style="841" customWidth="1"/>
    <col min="10508" max="10508" width="7.7109375" style="841" customWidth="1"/>
    <col min="10509" max="10509" width="7" style="841" customWidth="1"/>
    <col min="10510" max="10752" width="11.5703125" style="841"/>
    <col min="10753" max="10753" width="11.42578125" style="841" customWidth="1"/>
    <col min="10754" max="10754" width="6.140625" style="841" customWidth="1"/>
    <col min="10755" max="10755" width="22.28515625" style="841" customWidth="1"/>
    <col min="10756" max="10756" width="9.28515625" style="841" customWidth="1"/>
    <col min="10757" max="10757" width="8.28515625" style="841" customWidth="1"/>
    <col min="10758" max="10758" width="7.7109375" style="841" customWidth="1"/>
    <col min="10759" max="10759" width="9.7109375" style="841" customWidth="1"/>
    <col min="10760" max="10760" width="7.28515625" style="841" customWidth="1"/>
    <col min="10761" max="10761" width="7.5703125" style="841" customWidth="1"/>
    <col min="10762" max="10762" width="7.7109375" style="841" customWidth="1"/>
    <col min="10763" max="10763" width="7" style="841" customWidth="1"/>
    <col min="10764" max="10764" width="7.7109375" style="841" customWidth="1"/>
    <col min="10765" max="10765" width="7" style="841" customWidth="1"/>
    <col min="10766" max="11008" width="11.5703125" style="841"/>
    <col min="11009" max="11009" width="11.42578125" style="841" customWidth="1"/>
    <col min="11010" max="11010" width="6.140625" style="841" customWidth="1"/>
    <col min="11011" max="11011" width="22.28515625" style="841" customWidth="1"/>
    <col min="11012" max="11012" width="9.28515625" style="841" customWidth="1"/>
    <col min="11013" max="11013" width="8.28515625" style="841" customWidth="1"/>
    <col min="11014" max="11014" width="7.7109375" style="841" customWidth="1"/>
    <col min="11015" max="11015" width="9.7109375" style="841" customWidth="1"/>
    <col min="11016" max="11016" width="7.28515625" style="841" customWidth="1"/>
    <col min="11017" max="11017" width="7.5703125" style="841" customWidth="1"/>
    <col min="11018" max="11018" width="7.7109375" style="841" customWidth="1"/>
    <col min="11019" max="11019" width="7" style="841" customWidth="1"/>
    <col min="11020" max="11020" width="7.7109375" style="841" customWidth="1"/>
    <col min="11021" max="11021" width="7" style="841" customWidth="1"/>
    <col min="11022" max="11264" width="11.5703125" style="841"/>
    <col min="11265" max="11265" width="11.42578125" style="841" customWidth="1"/>
    <col min="11266" max="11266" width="6.140625" style="841" customWidth="1"/>
    <col min="11267" max="11267" width="22.28515625" style="841" customWidth="1"/>
    <col min="11268" max="11268" width="9.28515625" style="841" customWidth="1"/>
    <col min="11269" max="11269" width="8.28515625" style="841" customWidth="1"/>
    <col min="11270" max="11270" width="7.7109375" style="841" customWidth="1"/>
    <col min="11271" max="11271" width="9.7109375" style="841" customWidth="1"/>
    <col min="11272" max="11272" width="7.28515625" style="841" customWidth="1"/>
    <col min="11273" max="11273" width="7.5703125" style="841" customWidth="1"/>
    <col min="11274" max="11274" width="7.7109375" style="841" customWidth="1"/>
    <col min="11275" max="11275" width="7" style="841" customWidth="1"/>
    <col min="11276" max="11276" width="7.7109375" style="841" customWidth="1"/>
    <col min="11277" max="11277" width="7" style="841" customWidth="1"/>
    <col min="11278" max="11520" width="11.5703125" style="841"/>
    <col min="11521" max="11521" width="11.42578125" style="841" customWidth="1"/>
    <col min="11522" max="11522" width="6.140625" style="841" customWidth="1"/>
    <col min="11523" max="11523" width="22.28515625" style="841" customWidth="1"/>
    <col min="11524" max="11524" width="9.28515625" style="841" customWidth="1"/>
    <col min="11525" max="11525" width="8.28515625" style="841" customWidth="1"/>
    <col min="11526" max="11526" width="7.7109375" style="841" customWidth="1"/>
    <col min="11527" max="11527" width="9.7109375" style="841" customWidth="1"/>
    <col min="11528" max="11528" width="7.28515625" style="841" customWidth="1"/>
    <col min="11529" max="11529" width="7.5703125" style="841" customWidth="1"/>
    <col min="11530" max="11530" width="7.7109375" style="841" customWidth="1"/>
    <col min="11531" max="11531" width="7" style="841" customWidth="1"/>
    <col min="11532" max="11532" width="7.7109375" style="841" customWidth="1"/>
    <col min="11533" max="11533" width="7" style="841" customWidth="1"/>
    <col min="11534" max="11776" width="11.5703125" style="841"/>
    <col min="11777" max="11777" width="11.42578125" style="841" customWidth="1"/>
    <col min="11778" max="11778" width="6.140625" style="841" customWidth="1"/>
    <col min="11779" max="11779" width="22.28515625" style="841" customWidth="1"/>
    <col min="11780" max="11780" width="9.28515625" style="841" customWidth="1"/>
    <col min="11781" max="11781" width="8.28515625" style="841" customWidth="1"/>
    <col min="11782" max="11782" width="7.7109375" style="841" customWidth="1"/>
    <col min="11783" max="11783" width="9.7109375" style="841" customWidth="1"/>
    <col min="11784" max="11784" width="7.28515625" style="841" customWidth="1"/>
    <col min="11785" max="11785" width="7.5703125" style="841" customWidth="1"/>
    <col min="11786" max="11786" width="7.7109375" style="841" customWidth="1"/>
    <col min="11787" max="11787" width="7" style="841" customWidth="1"/>
    <col min="11788" max="11788" width="7.7109375" style="841" customWidth="1"/>
    <col min="11789" max="11789" width="7" style="841" customWidth="1"/>
    <col min="11790" max="12032" width="11.5703125" style="841"/>
    <col min="12033" max="12033" width="11.42578125" style="841" customWidth="1"/>
    <col min="12034" max="12034" width="6.140625" style="841" customWidth="1"/>
    <col min="12035" max="12035" width="22.28515625" style="841" customWidth="1"/>
    <col min="12036" max="12036" width="9.28515625" style="841" customWidth="1"/>
    <col min="12037" max="12037" width="8.28515625" style="841" customWidth="1"/>
    <col min="12038" max="12038" width="7.7109375" style="841" customWidth="1"/>
    <col min="12039" max="12039" width="9.7109375" style="841" customWidth="1"/>
    <col min="12040" max="12040" width="7.28515625" style="841" customWidth="1"/>
    <col min="12041" max="12041" width="7.5703125" style="841" customWidth="1"/>
    <col min="12042" max="12042" width="7.7109375" style="841" customWidth="1"/>
    <col min="12043" max="12043" width="7" style="841" customWidth="1"/>
    <col min="12044" max="12044" width="7.7109375" style="841" customWidth="1"/>
    <col min="12045" max="12045" width="7" style="841" customWidth="1"/>
    <col min="12046" max="12288" width="11.5703125" style="841"/>
    <col min="12289" max="12289" width="11.42578125" style="841" customWidth="1"/>
    <col min="12290" max="12290" width="6.140625" style="841" customWidth="1"/>
    <col min="12291" max="12291" width="22.28515625" style="841" customWidth="1"/>
    <col min="12292" max="12292" width="9.28515625" style="841" customWidth="1"/>
    <col min="12293" max="12293" width="8.28515625" style="841" customWidth="1"/>
    <col min="12294" max="12294" width="7.7109375" style="841" customWidth="1"/>
    <col min="12295" max="12295" width="9.7109375" style="841" customWidth="1"/>
    <col min="12296" max="12296" width="7.28515625" style="841" customWidth="1"/>
    <col min="12297" max="12297" width="7.5703125" style="841" customWidth="1"/>
    <col min="12298" max="12298" width="7.7109375" style="841" customWidth="1"/>
    <col min="12299" max="12299" width="7" style="841" customWidth="1"/>
    <col min="12300" max="12300" width="7.7109375" style="841" customWidth="1"/>
    <col min="12301" max="12301" width="7" style="841" customWidth="1"/>
    <col min="12302" max="12544" width="11.5703125" style="841"/>
    <col min="12545" max="12545" width="11.42578125" style="841" customWidth="1"/>
    <col min="12546" max="12546" width="6.140625" style="841" customWidth="1"/>
    <col min="12547" max="12547" width="22.28515625" style="841" customWidth="1"/>
    <col min="12548" max="12548" width="9.28515625" style="841" customWidth="1"/>
    <col min="12549" max="12549" width="8.28515625" style="841" customWidth="1"/>
    <col min="12550" max="12550" width="7.7109375" style="841" customWidth="1"/>
    <col min="12551" max="12551" width="9.7109375" style="841" customWidth="1"/>
    <col min="12552" max="12552" width="7.28515625" style="841" customWidth="1"/>
    <col min="12553" max="12553" width="7.5703125" style="841" customWidth="1"/>
    <col min="12554" max="12554" width="7.7109375" style="841" customWidth="1"/>
    <col min="12555" max="12555" width="7" style="841" customWidth="1"/>
    <col min="12556" max="12556" width="7.7109375" style="841" customWidth="1"/>
    <col min="12557" max="12557" width="7" style="841" customWidth="1"/>
    <col min="12558" max="12800" width="11.5703125" style="841"/>
    <col min="12801" max="12801" width="11.42578125" style="841" customWidth="1"/>
    <col min="12802" max="12802" width="6.140625" style="841" customWidth="1"/>
    <col min="12803" max="12803" width="22.28515625" style="841" customWidth="1"/>
    <col min="12804" max="12804" width="9.28515625" style="841" customWidth="1"/>
    <col min="12805" max="12805" width="8.28515625" style="841" customWidth="1"/>
    <col min="12806" max="12806" width="7.7109375" style="841" customWidth="1"/>
    <col min="12807" max="12807" width="9.7109375" style="841" customWidth="1"/>
    <col min="12808" max="12808" width="7.28515625" style="841" customWidth="1"/>
    <col min="12809" max="12809" width="7.5703125" style="841" customWidth="1"/>
    <col min="12810" max="12810" width="7.7109375" style="841" customWidth="1"/>
    <col min="12811" max="12811" width="7" style="841" customWidth="1"/>
    <col min="12812" max="12812" width="7.7109375" style="841" customWidth="1"/>
    <col min="12813" max="12813" width="7" style="841" customWidth="1"/>
    <col min="12814" max="13056" width="11.5703125" style="841"/>
    <col min="13057" max="13057" width="11.42578125" style="841" customWidth="1"/>
    <col min="13058" max="13058" width="6.140625" style="841" customWidth="1"/>
    <col min="13059" max="13059" width="22.28515625" style="841" customWidth="1"/>
    <col min="13060" max="13060" width="9.28515625" style="841" customWidth="1"/>
    <col min="13061" max="13061" width="8.28515625" style="841" customWidth="1"/>
    <col min="13062" max="13062" width="7.7109375" style="841" customWidth="1"/>
    <col min="13063" max="13063" width="9.7109375" style="841" customWidth="1"/>
    <col min="13064" max="13064" width="7.28515625" style="841" customWidth="1"/>
    <col min="13065" max="13065" width="7.5703125" style="841" customWidth="1"/>
    <col min="13066" max="13066" width="7.7109375" style="841" customWidth="1"/>
    <col min="13067" max="13067" width="7" style="841" customWidth="1"/>
    <col min="13068" max="13068" width="7.7109375" style="841" customWidth="1"/>
    <col min="13069" max="13069" width="7" style="841" customWidth="1"/>
    <col min="13070" max="13312" width="11.5703125" style="841"/>
    <col min="13313" max="13313" width="11.42578125" style="841" customWidth="1"/>
    <col min="13314" max="13314" width="6.140625" style="841" customWidth="1"/>
    <col min="13315" max="13315" width="22.28515625" style="841" customWidth="1"/>
    <col min="13316" max="13316" width="9.28515625" style="841" customWidth="1"/>
    <col min="13317" max="13317" width="8.28515625" style="841" customWidth="1"/>
    <col min="13318" max="13318" width="7.7109375" style="841" customWidth="1"/>
    <col min="13319" max="13319" width="9.7109375" style="841" customWidth="1"/>
    <col min="13320" max="13320" width="7.28515625" style="841" customWidth="1"/>
    <col min="13321" max="13321" width="7.5703125" style="841" customWidth="1"/>
    <col min="13322" max="13322" width="7.7109375" style="841" customWidth="1"/>
    <col min="13323" max="13323" width="7" style="841" customWidth="1"/>
    <col min="13324" max="13324" width="7.7109375" style="841" customWidth="1"/>
    <col min="13325" max="13325" width="7" style="841" customWidth="1"/>
    <col min="13326" max="13568" width="11.5703125" style="841"/>
    <col min="13569" max="13569" width="11.42578125" style="841" customWidth="1"/>
    <col min="13570" max="13570" width="6.140625" style="841" customWidth="1"/>
    <col min="13571" max="13571" width="22.28515625" style="841" customWidth="1"/>
    <col min="13572" max="13572" width="9.28515625" style="841" customWidth="1"/>
    <col min="13573" max="13573" width="8.28515625" style="841" customWidth="1"/>
    <col min="13574" max="13574" width="7.7109375" style="841" customWidth="1"/>
    <col min="13575" max="13575" width="9.7109375" style="841" customWidth="1"/>
    <col min="13576" max="13576" width="7.28515625" style="841" customWidth="1"/>
    <col min="13577" max="13577" width="7.5703125" style="841" customWidth="1"/>
    <col min="13578" max="13578" width="7.7109375" style="841" customWidth="1"/>
    <col min="13579" max="13579" width="7" style="841" customWidth="1"/>
    <col min="13580" max="13580" width="7.7109375" style="841" customWidth="1"/>
    <col min="13581" max="13581" width="7" style="841" customWidth="1"/>
    <col min="13582" max="13824" width="11.5703125" style="841"/>
    <col min="13825" max="13825" width="11.42578125" style="841" customWidth="1"/>
    <col min="13826" max="13826" width="6.140625" style="841" customWidth="1"/>
    <col min="13827" max="13827" width="22.28515625" style="841" customWidth="1"/>
    <col min="13828" max="13828" width="9.28515625" style="841" customWidth="1"/>
    <col min="13829" max="13829" width="8.28515625" style="841" customWidth="1"/>
    <col min="13830" max="13830" width="7.7109375" style="841" customWidth="1"/>
    <col min="13831" max="13831" width="9.7109375" style="841" customWidth="1"/>
    <col min="13832" max="13832" width="7.28515625" style="841" customWidth="1"/>
    <col min="13833" max="13833" width="7.5703125" style="841" customWidth="1"/>
    <col min="13834" max="13834" width="7.7109375" style="841" customWidth="1"/>
    <col min="13835" max="13835" width="7" style="841" customWidth="1"/>
    <col min="13836" max="13836" width="7.7109375" style="841" customWidth="1"/>
    <col min="13837" max="13837" width="7" style="841" customWidth="1"/>
    <col min="13838" max="14080" width="11.5703125" style="841"/>
    <col min="14081" max="14081" width="11.42578125" style="841" customWidth="1"/>
    <col min="14082" max="14082" width="6.140625" style="841" customWidth="1"/>
    <col min="14083" max="14083" width="22.28515625" style="841" customWidth="1"/>
    <col min="14084" max="14084" width="9.28515625" style="841" customWidth="1"/>
    <col min="14085" max="14085" width="8.28515625" style="841" customWidth="1"/>
    <col min="14086" max="14086" width="7.7109375" style="841" customWidth="1"/>
    <col min="14087" max="14087" width="9.7109375" style="841" customWidth="1"/>
    <col min="14088" max="14088" width="7.28515625" style="841" customWidth="1"/>
    <col min="14089" max="14089" width="7.5703125" style="841" customWidth="1"/>
    <col min="14090" max="14090" width="7.7109375" style="841" customWidth="1"/>
    <col min="14091" max="14091" width="7" style="841" customWidth="1"/>
    <col min="14092" max="14092" width="7.7109375" style="841" customWidth="1"/>
    <col min="14093" max="14093" width="7" style="841" customWidth="1"/>
    <col min="14094" max="14336" width="11.5703125" style="841"/>
    <col min="14337" max="14337" width="11.42578125" style="841" customWidth="1"/>
    <col min="14338" max="14338" width="6.140625" style="841" customWidth="1"/>
    <col min="14339" max="14339" width="22.28515625" style="841" customWidth="1"/>
    <col min="14340" max="14340" width="9.28515625" style="841" customWidth="1"/>
    <col min="14341" max="14341" width="8.28515625" style="841" customWidth="1"/>
    <col min="14342" max="14342" width="7.7109375" style="841" customWidth="1"/>
    <col min="14343" max="14343" width="9.7109375" style="841" customWidth="1"/>
    <col min="14344" max="14344" width="7.28515625" style="841" customWidth="1"/>
    <col min="14345" max="14345" width="7.5703125" style="841" customWidth="1"/>
    <col min="14346" max="14346" width="7.7109375" style="841" customWidth="1"/>
    <col min="14347" max="14347" width="7" style="841" customWidth="1"/>
    <col min="14348" max="14348" width="7.7109375" style="841" customWidth="1"/>
    <col min="14349" max="14349" width="7" style="841" customWidth="1"/>
    <col min="14350" max="14592" width="11.5703125" style="841"/>
    <col min="14593" max="14593" width="11.42578125" style="841" customWidth="1"/>
    <col min="14594" max="14594" width="6.140625" style="841" customWidth="1"/>
    <col min="14595" max="14595" width="22.28515625" style="841" customWidth="1"/>
    <col min="14596" max="14596" width="9.28515625" style="841" customWidth="1"/>
    <col min="14597" max="14597" width="8.28515625" style="841" customWidth="1"/>
    <col min="14598" max="14598" width="7.7109375" style="841" customWidth="1"/>
    <col min="14599" max="14599" width="9.7109375" style="841" customWidth="1"/>
    <col min="14600" max="14600" width="7.28515625" style="841" customWidth="1"/>
    <col min="14601" max="14601" width="7.5703125" style="841" customWidth="1"/>
    <col min="14602" max="14602" width="7.7109375" style="841" customWidth="1"/>
    <col min="14603" max="14603" width="7" style="841" customWidth="1"/>
    <col min="14604" max="14604" width="7.7109375" style="841" customWidth="1"/>
    <col min="14605" max="14605" width="7" style="841" customWidth="1"/>
    <col min="14606" max="14848" width="11.5703125" style="841"/>
    <col min="14849" max="14849" width="11.42578125" style="841" customWidth="1"/>
    <col min="14850" max="14850" width="6.140625" style="841" customWidth="1"/>
    <col min="14851" max="14851" width="22.28515625" style="841" customWidth="1"/>
    <col min="14852" max="14852" width="9.28515625" style="841" customWidth="1"/>
    <col min="14853" max="14853" width="8.28515625" style="841" customWidth="1"/>
    <col min="14854" max="14854" width="7.7109375" style="841" customWidth="1"/>
    <col min="14855" max="14855" width="9.7109375" style="841" customWidth="1"/>
    <col min="14856" max="14856" width="7.28515625" style="841" customWidth="1"/>
    <col min="14857" max="14857" width="7.5703125" style="841" customWidth="1"/>
    <col min="14858" max="14858" width="7.7109375" style="841" customWidth="1"/>
    <col min="14859" max="14859" width="7" style="841" customWidth="1"/>
    <col min="14860" max="14860" width="7.7109375" style="841" customWidth="1"/>
    <col min="14861" max="14861" width="7" style="841" customWidth="1"/>
    <col min="14862" max="15104" width="11.5703125" style="841"/>
    <col min="15105" max="15105" width="11.42578125" style="841" customWidth="1"/>
    <col min="15106" max="15106" width="6.140625" style="841" customWidth="1"/>
    <col min="15107" max="15107" width="22.28515625" style="841" customWidth="1"/>
    <col min="15108" max="15108" width="9.28515625" style="841" customWidth="1"/>
    <col min="15109" max="15109" width="8.28515625" style="841" customWidth="1"/>
    <col min="15110" max="15110" width="7.7109375" style="841" customWidth="1"/>
    <col min="15111" max="15111" width="9.7109375" style="841" customWidth="1"/>
    <col min="15112" max="15112" width="7.28515625" style="841" customWidth="1"/>
    <col min="15113" max="15113" width="7.5703125" style="841" customWidth="1"/>
    <col min="15114" max="15114" width="7.7109375" style="841" customWidth="1"/>
    <col min="15115" max="15115" width="7" style="841" customWidth="1"/>
    <col min="15116" max="15116" width="7.7109375" style="841" customWidth="1"/>
    <col min="15117" max="15117" width="7" style="841" customWidth="1"/>
    <col min="15118" max="15360" width="11.5703125" style="841"/>
    <col min="15361" max="15361" width="11.42578125" style="841" customWidth="1"/>
    <col min="15362" max="15362" width="6.140625" style="841" customWidth="1"/>
    <col min="15363" max="15363" width="22.28515625" style="841" customWidth="1"/>
    <col min="15364" max="15364" width="9.28515625" style="841" customWidth="1"/>
    <col min="15365" max="15365" width="8.28515625" style="841" customWidth="1"/>
    <col min="15366" max="15366" width="7.7109375" style="841" customWidth="1"/>
    <col min="15367" max="15367" width="9.7109375" style="841" customWidth="1"/>
    <col min="15368" max="15368" width="7.28515625" style="841" customWidth="1"/>
    <col min="15369" max="15369" width="7.5703125" style="841" customWidth="1"/>
    <col min="15370" max="15370" width="7.7109375" style="841" customWidth="1"/>
    <col min="15371" max="15371" width="7" style="841" customWidth="1"/>
    <col min="15372" max="15372" width="7.7109375" style="841" customWidth="1"/>
    <col min="15373" max="15373" width="7" style="841" customWidth="1"/>
    <col min="15374" max="15616" width="11.5703125" style="841"/>
    <col min="15617" max="15617" width="11.42578125" style="841" customWidth="1"/>
    <col min="15618" max="15618" width="6.140625" style="841" customWidth="1"/>
    <col min="15619" max="15619" width="22.28515625" style="841" customWidth="1"/>
    <col min="15620" max="15620" width="9.28515625" style="841" customWidth="1"/>
    <col min="15621" max="15621" width="8.28515625" style="841" customWidth="1"/>
    <col min="15622" max="15622" width="7.7109375" style="841" customWidth="1"/>
    <col min="15623" max="15623" width="9.7109375" style="841" customWidth="1"/>
    <col min="15624" max="15624" width="7.28515625" style="841" customWidth="1"/>
    <col min="15625" max="15625" width="7.5703125" style="841" customWidth="1"/>
    <col min="15626" max="15626" width="7.7109375" style="841" customWidth="1"/>
    <col min="15627" max="15627" width="7" style="841" customWidth="1"/>
    <col min="15628" max="15628" width="7.7109375" style="841" customWidth="1"/>
    <col min="15629" max="15629" width="7" style="841" customWidth="1"/>
    <col min="15630" max="15872" width="11.5703125" style="841"/>
    <col min="15873" max="15873" width="11.42578125" style="841" customWidth="1"/>
    <col min="15874" max="15874" width="6.140625" style="841" customWidth="1"/>
    <col min="15875" max="15875" width="22.28515625" style="841" customWidth="1"/>
    <col min="15876" max="15876" width="9.28515625" style="841" customWidth="1"/>
    <col min="15877" max="15877" width="8.28515625" style="841" customWidth="1"/>
    <col min="15878" max="15878" width="7.7109375" style="841" customWidth="1"/>
    <col min="15879" max="15879" width="9.7109375" style="841" customWidth="1"/>
    <col min="15880" max="15880" width="7.28515625" style="841" customWidth="1"/>
    <col min="15881" max="15881" width="7.5703125" style="841" customWidth="1"/>
    <col min="15882" max="15882" width="7.7109375" style="841" customWidth="1"/>
    <col min="15883" max="15883" width="7" style="841" customWidth="1"/>
    <col min="15884" max="15884" width="7.7109375" style="841" customWidth="1"/>
    <col min="15885" max="15885" width="7" style="841" customWidth="1"/>
    <col min="15886" max="16128" width="11.5703125" style="841"/>
    <col min="16129" max="16129" width="11.42578125" style="841" customWidth="1"/>
    <col min="16130" max="16130" width="6.140625" style="841" customWidth="1"/>
    <col min="16131" max="16131" width="22.28515625" style="841" customWidth="1"/>
    <col min="16132" max="16132" width="9.28515625" style="841" customWidth="1"/>
    <col min="16133" max="16133" width="8.28515625" style="841" customWidth="1"/>
    <col min="16134" max="16134" width="7.7109375" style="841" customWidth="1"/>
    <col min="16135" max="16135" width="9.7109375" style="841" customWidth="1"/>
    <col min="16136" max="16136" width="7.28515625" style="841" customWidth="1"/>
    <col min="16137" max="16137" width="7.5703125" style="841" customWidth="1"/>
    <col min="16138" max="16138" width="7.7109375" style="841" customWidth="1"/>
    <col min="16139" max="16139" width="7" style="841" customWidth="1"/>
    <col min="16140" max="16140" width="7.7109375" style="841" customWidth="1"/>
    <col min="16141" max="16141" width="7" style="841" customWidth="1"/>
    <col min="16142" max="16384" width="11.5703125" style="841"/>
  </cols>
  <sheetData>
    <row r="1" spans="1:15" ht="26.25" customHeight="1" x14ac:dyDescent="0.4">
      <c r="A1" s="909" t="s">
        <v>1667</v>
      </c>
      <c r="B1" s="910"/>
      <c r="C1" s="911"/>
      <c r="F1" s="912" t="s">
        <v>1815</v>
      </c>
      <c r="G1" s="913"/>
      <c r="H1" s="913"/>
      <c r="I1" s="913"/>
      <c r="J1" s="913"/>
      <c r="K1" s="913"/>
      <c r="L1" s="914"/>
    </row>
    <row r="2" spans="1:15" ht="21" customHeight="1" x14ac:dyDescent="0.35">
      <c r="A2" s="905" t="s">
        <v>1669</v>
      </c>
      <c r="B2" s="906"/>
      <c r="C2" s="842" t="s">
        <v>1670</v>
      </c>
      <c r="F2" s="905" t="s">
        <v>1669</v>
      </c>
      <c r="G2" s="906"/>
      <c r="H2" s="907" t="s">
        <v>1681</v>
      </c>
      <c r="I2" s="907"/>
      <c r="J2" s="907"/>
      <c r="K2" s="907"/>
      <c r="L2" s="908"/>
    </row>
    <row r="3" spans="1:15" ht="21.75" customHeight="1" x14ac:dyDescent="0.35">
      <c r="A3" s="905" t="s">
        <v>1671</v>
      </c>
      <c r="B3" s="906"/>
      <c r="C3" s="842" t="s">
        <v>1672</v>
      </c>
      <c r="F3" s="905" t="s">
        <v>1671</v>
      </c>
      <c r="G3" s="906"/>
      <c r="H3" s="907" t="s">
        <v>1682</v>
      </c>
      <c r="I3" s="907"/>
      <c r="J3" s="907"/>
      <c r="K3" s="907"/>
      <c r="L3" s="908"/>
    </row>
    <row r="4" spans="1:15" ht="21.75" thickBot="1" x14ac:dyDescent="0.4">
      <c r="A4" s="915" t="s">
        <v>1673</v>
      </c>
      <c r="B4" s="916"/>
      <c r="C4" s="843" t="s">
        <v>1674</v>
      </c>
      <c r="F4" s="915" t="s">
        <v>1673</v>
      </c>
      <c r="G4" s="916"/>
      <c r="H4" s="917" t="s">
        <v>1816</v>
      </c>
      <c r="I4" s="917"/>
      <c r="J4" s="917"/>
      <c r="K4" s="917"/>
      <c r="L4" s="918"/>
    </row>
    <row r="5" spans="1:15" ht="7.5" customHeight="1" thickBot="1" x14ac:dyDescent="0.4">
      <c r="A5" s="844"/>
      <c r="C5" s="844"/>
    </row>
    <row r="6" spans="1:15" ht="35.450000000000003" customHeight="1" thickBot="1" x14ac:dyDescent="0.25">
      <c r="A6" s="919" t="s">
        <v>1668</v>
      </c>
      <c r="B6" s="920"/>
      <c r="C6" s="921"/>
      <c r="F6" s="922" t="s">
        <v>1675</v>
      </c>
      <c r="G6" s="923"/>
      <c r="H6" s="924"/>
      <c r="I6" s="925">
        <f ca="1">+TODAY()</f>
        <v>46099</v>
      </c>
      <c r="J6" s="926"/>
      <c r="K6" s="926"/>
      <c r="L6" s="926"/>
      <c r="M6" s="927"/>
    </row>
    <row r="7" spans="1:15" ht="3" customHeight="1" thickBot="1" x14ac:dyDescent="0.25"/>
    <row r="8" spans="1:15" ht="42.75" customHeight="1" thickBot="1" x14ac:dyDescent="0.25">
      <c r="A8" s="935" t="s">
        <v>1829</v>
      </c>
      <c r="B8" s="936"/>
      <c r="C8" s="845" t="s">
        <v>1685</v>
      </c>
      <c r="D8" s="846" t="s">
        <v>1677</v>
      </c>
      <c r="E8" s="847">
        <v>3847</v>
      </c>
      <c r="F8" s="935" t="s">
        <v>1678</v>
      </c>
      <c r="G8" s="937"/>
      <c r="H8" s="936"/>
      <c r="I8" s="938" t="s">
        <v>1672</v>
      </c>
      <c r="J8" s="939"/>
      <c r="K8" s="939"/>
      <c r="L8" s="939"/>
      <c r="M8" s="940"/>
    </row>
    <row r="9" spans="1:15" ht="7.5" customHeight="1" thickBot="1" x14ac:dyDescent="0.4">
      <c r="A9" s="844"/>
      <c r="C9" s="844"/>
    </row>
    <row r="10" spans="1:15" ht="39.6" customHeight="1" thickBot="1" x14ac:dyDescent="0.25">
      <c r="A10" s="941" t="s">
        <v>1818</v>
      </c>
      <c r="B10" s="942"/>
      <c r="C10" s="942"/>
      <c r="D10" s="942"/>
      <c r="E10" s="942"/>
      <c r="F10" s="942"/>
      <c r="G10" s="942"/>
      <c r="H10" s="942"/>
      <c r="I10" s="942"/>
      <c r="J10" s="942"/>
      <c r="K10" s="942"/>
      <c r="L10" s="942"/>
      <c r="M10" s="943"/>
    </row>
    <row r="11" spans="1:15" ht="6" customHeight="1" thickBot="1" x14ac:dyDescent="0.4">
      <c r="A11" s="844"/>
      <c r="C11" s="844"/>
    </row>
    <row r="12" spans="1:15" ht="27" thickBot="1" x14ac:dyDescent="0.25">
      <c r="A12" s="944" t="s">
        <v>1679</v>
      </c>
      <c r="B12" s="945"/>
      <c r="C12" s="945"/>
      <c r="D12" s="945"/>
      <c r="E12" s="945"/>
      <c r="F12" s="945"/>
      <c r="G12" s="945"/>
      <c r="H12" s="945"/>
      <c r="I12" s="945"/>
      <c r="J12" s="945"/>
      <c r="K12" s="945"/>
      <c r="L12" s="945"/>
      <c r="M12" s="946"/>
    </row>
    <row r="13" spans="1:15" ht="38.25" thickBot="1" x14ac:dyDescent="0.25">
      <c r="A13" s="848" t="s">
        <v>1293</v>
      </c>
      <c r="B13" s="849" t="s">
        <v>1664</v>
      </c>
      <c r="C13" s="850" t="s">
        <v>1819</v>
      </c>
      <c r="D13" s="851" t="s">
        <v>1042</v>
      </c>
      <c r="E13" s="852" t="s">
        <v>1820</v>
      </c>
      <c r="F13" s="852" t="s">
        <v>1821</v>
      </c>
      <c r="G13" s="853" t="s">
        <v>1822</v>
      </c>
      <c r="H13" s="849" t="s">
        <v>1823</v>
      </c>
      <c r="I13" s="849" t="s">
        <v>1824</v>
      </c>
      <c r="J13" s="849" t="s">
        <v>1823</v>
      </c>
      <c r="K13" s="849" t="s">
        <v>1824</v>
      </c>
      <c r="L13" s="849" t="s">
        <v>1823</v>
      </c>
      <c r="M13" s="849" t="s">
        <v>1824</v>
      </c>
    </row>
    <row r="14" spans="1:15" ht="33.6" customHeight="1" x14ac:dyDescent="0.2">
      <c r="A14" s="928" t="str" cm="1">
        <f t="array" ref="A14">+IFERROR(INDEX('Pedido VACIO'!$B:$B,MATCH(1,('Pedido VACIO'!$H:$H=$B14)*('Pedido VACIO'!$A:$A="Roster"),0)),"")</f>
        <v/>
      </c>
      <c r="B14" s="930">
        <v>1</v>
      </c>
      <c r="C14" s="932" t="str" cm="1">
        <f t="array" ref="C14">+IFERROR(INDEX('Pedido VACIO'!$F:$F,MATCH(1,('Pedido VACIO'!$H:$H=$B14)*('Pedido VACIO'!$A:$A="Roster"),0)),"")</f>
        <v/>
      </c>
      <c r="D14" s="932" t="str" cm="1">
        <f t="array" ref="D14">+IFERROR(INDEX('Pedido VACIO'!$G:$G,MATCH(1,('Pedido VACIO'!$H:$H=$B14)*('Pedido VACIO'!$A:$A="Roster"),0)),"")</f>
        <v/>
      </c>
      <c r="E14" s="854" t="str">
        <f>+IF(E13="LK","CH",IF(D14="","",IF(D14&gt;0,"LK","CH")))</f>
        <v/>
      </c>
      <c r="F14" s="854" t="str">
        <f>+IF(OR(E14="LK"),ROUNDUP(D14*(VLOOKUP(B14,'Pedido VACIO'!$H:$AK,30,0))/70,0)*1,IF(E14="CH",D13-F13,""))</f>
        <v/>
      </c>
      <c r="G14" s="934"/>
      <c r="H14" s="856"/>
      <c r="I14" s="857"/>
      <c r="J14" s="856"/>
      <c r="K14" s="857"/>
      <c r="L14" s="856"/>
      <c r="M14" s="858"/>
      <c r="O14" s="859"/>
    </row>
    <row r="15" spans="1:15" ht="33.6" customHeight="1" x14ac:dyDescent="0.2">
      <c r="A15" s="929"/>
      <c r="B15" s="931"/>
      <c r="C15" s="933"/>
      <c r="D15" s="933"/>
      <c r="E15" s="860" t="str">
        <f t="shared" ref="E15:E43" si="0">+IF(E14="LK","CH",IF(D15="","",IF(D15&gt;0,"LK","CH")))</f>
        <v/>
      </c>
      <c r="F15" s="854" t="str">
        <f>+IF(OR(E15="LK"),ROUNDUP(D15*(VLOOKUP(B15,'Pedido VACIO'!$H:$AK,30,0))/70,0)*1,IF(E15="CH",D14-F14,""))</f>
        <v/>
      </c>
      <c r="G15" s="931"/>
      <c r="H15" s="861"/>
      <c r="I15" s="862"/>
      <c r="J15" s="861"/>
      <c r="K15" s="862"/>
      <c r="L15" s="861"/>
      <c r="M15" s="863"/>
    </row>
    <row r="16" spans="1:15" ht="33.6" customHeight="1" x14ac:dyDescent="0.2">
      <c r="A16" s="947" t="str" cm="1">
        <f t="array" ref="A16">+IFERROR(INDEX('Pedido VACIO'!$B:$B,MATCH(1,('Pedido VACIO'!$H:$H=$B16)*('Pedido VACIO'!$A:$A="Roster"),0)),"")</f>
        <v/>
      </c>
      <c r="B16" s="931">
        <f>+B14+1</f>
        <v>2</v>
      </c>
      <c r="C16" s="948" t="str" cm="1">
        <f t="array" ref="C16">+IFERROR(INDEX('Pedido VACIO'!$F:$F,MATCH(1,('Pedido VACIO'!$H:$H=$B16)*('Pedido VACIO'!$A:$A="Roster"),0)),"")</f>
        <v/>
      </c>
      <c r="D16" s="949" t="str" cm="1">
        <f t="array" ref="D16">+IFERROR(INDEX('Pedido VACIO'!$G:$G,MATCH(1,('Pedido VACIO'!$H:$H=$B16)*('Pedido VACIO'!$A:$A="Roster"),0)),"")</f>
        <v/>
      </c>
      <c r="E16" s="860" t="str">
        <f t="shared" si="0"/>
        <v/>
      </c>
      <c r="F16" s="854" t="str">
        <f>+IF(OR(E16="LK"),ROUNDUP(D16*(VLOOKUP(B16,'Pedido VACIO'!$H:$AK,30,0))/70,0)*1,IF(E16="CH",D15-F15,""))</f>
        <v/>
      </c>
      <c r="G16" s="931"/>
      <c r="H16" s="862"/>
      <c r="I16" s="862"/>
      <c r="J16" s="862"/>
      <c r="K16" s="862"/>
      <c r="L16" s="862"/>
      <c r="M16" s="863"/>
    </row>
    <row r="17" spans="1:13" ht="33.6" customHeight="1" x14ac:dyDescent="0.2">
      <c r="A17" s="947"/>
      <c r="B17" s="931"/>
      <c r="C17" s="948"/>
      <c r="D17" s="949"/>
      <c r="E17" s="860" t="str">
        <f t="shared" si="0"/>
        <v/>
      </c>
      <c r="F17" s="854" t="str">
        <f>+IF(OR(E17="LK"),ROUNDUP(D17*(VLOOKUP(B17,'Pedido VACIO'!$H:$AK,30,0))/70,0)*1,IF(E17="CH",D16-F16,""))</f>
        <v/>
      </c>
      <c r="G17" s="931"/>
      <c r="H17" s="862"/>
      <c r="I17" s="862"/>
      <c r="J17" s="862"/>
      <c r="K17" s="862"/>
      <c r="L17" s="862"/>
      <c r="M17" s="863"/>
    </row>
    <row r="18" spans="1:13" ht="33.6" customHeight="1" x14ac:dyDescent="0.2">
      <c r="A18" s="947" t="str" cm="1">
        <f t="array" ref="A18">+IFERROR(INDEX('Pedido VACIO'!$B:$B,MATCH(1,('Pedido VACIO'!$H:$H=$B18)*('Pedido VACIO'!$A:$A="Roster"),0)),"")</f>
        <v/>
      </c>
      <c r="B18" s="931">
        <f>+B16+1</f>
        <v>3</v>
      </c>
      <c r="C18" s="948" t="str" cm="1">
        <f t="array" ref="C18">+IFERROR(INDEX('Pedido VACIO'!$F:$F,MATCH(1,('Pedido VACIO'!$H:$H=$B18)*('Pedido VACIO'!$A:$A="Roster"),0)),"")</f>
        <v/>
      </c>
      <c r="D18" s="949" t="str" cm="1">
        <f t="array" ref="D18">+IFERROR(INDEX('Pedido VACIO'!$G:$G,MATCH(1,('Pedido VACIO'!$H:$H=$B18)*('Pedido VACIO'!$A:$A="Roster"),0)),"")</f>
        <v/>
      </c>
      <c r="E18" s="860" t="str">
        <f t="shared" si="0"/>
        <v/>
      </c>
      <c r="F18" s="854" t="str">
        <f>+IF(OR(E18="LK"),ROUNDUP(D18*(VLOOKUP(B18,'Pedido VACIO'!$H:$AK,30,0))/70,0)*1,IF(E18="CH",D17-F17,""))</f>
        <v/>
      </c>
      <c r="G18" s="931"/>
      <c r="H18" s="862"/>
      <c r="I18" s="862"/>
      <c r="J18" s="862"/>
      <c r="K18" s="862"/>
      <c r="L18" s="862"/>
      <c r="M18" s="863"/>
    </row>
    <row r="19" spans="1:13" ht="33.6" customHeight="1" x14ac:dyDescent="0.2">
      <c r="A19" s="947"/>
      <c r="B19" s="931"/>
      <c r="C19" s="948"/>
      <c r="D19" s="949"/>
      <c r="E19" s="860" t="str">
        <f t="shared" si="0"/>
        <v/>
      </c>
      <c r="F19" s="854" t="str">
        <f>+IF(OR(E19="LK"),ROUNDUP(D19*(VLOOKUP(B19,'Pedido VACIO'!$H:$AK,30,0))/70,0)*1,IF(E19="CH",D18-F18,""))</f>
        <v/>
      </c>
      <c r="G19" s="931"/>
      <c r="H19" s="862"/>
      <c r="I19" s="862"/>
      <c r="J19" s="862"/>
      <c r="K19" s="862"/>
      <c r="L19" s="862"/>
      <c r="M19" s="863"/>
    </row>
    <row r="20" spans="1:13" ht="33.6" customHeight="1" x14ac:dyDescent="0.2">
      <c r="A20" s="947" t="str" cm="1">
        <f t="array" ref="A20">+IFERROR(INDEX('Pedido VACIO'!$B:$B,MATCH(1,('Pedido VACIO'!$H:$H=$B20)*('Pedido VACIO'!$A:$A="Roster"),0)),"")</f>
        <v/>
      </c>
      <c r="B20" s="931">
        <f>+B18+1</f>
        <v>4</v>
      </c>
      <c r="C20" s="948" t="str" cm="1">
        <f t="array" ref="C20">+IFERROR(INDEX('Pedido VACIO'!$F:$F,MATCH(1,('Pedido VACIO'!$H:$H=$B20)*('Pedido VACIO'!$A:$A="Roster"),0)),"")</f>
        <v/>
      </c>
      <c r="D20" s="949" t="str" cm="1">
        <f t="array" ref="D20">+IFERROR(INDEX('Pedido VACIO'!$G:$G,MATCH(1,('Pedido VACIO'!$H:$H=$B20)*('Pedido VACIO'!$A:$A="Roster"),0)),"")</f>
        <v/>
      </c>
      <c r="E20" s="860" t="str">
        <f t="shared" si="0"/>
        <v/>
      </c>
      <c r="F20" s="854" t="str">
        <f>+IF(OR(E20="LK"),ROUNDUP(D20*(VLOOKUP(B20,'Pedido VACIO'!$H:$AK,30,0))/70,0)*1,IF(E20="CH",D19-F19,""))</f>
        <v/>
      </c>
      <c r="G20" s="931"/>
      <c r="H20" s="862"/>
      <c r="I20" s="862"/>
      <c r="J20" s="862"/>
      <c r="K20" s="862"/>
      <c r="L20" s="862"/>
      <c r="M20" s="863"/>
    </row>
    <row r="21" spans="1:13" ht="33.6" customHeight="1" x14ac:dyDescent="0.2">
      <c r="A21" s="947"/>
      <c r="B21" s="931"/>
      <c r="C21" s="948"/>
      <c r="D21" s="949"/>
      <c r="E21" s="860" t="str">
        <f t="shared" si="0"/>
        <v/>
      </c>
      <c r="F21" s="854" t="str">
        <f>+IF(OR(E21="LK"),ROUNDUP(D21*(VLOOKUP(B21,'Pedido VACIO'!$H:$AK,30,0))/70,0)*1,IF(E21="CH",D20-F20,""))</f>
        <v/>
      </c>
      <c r="G21" s="931"/>
      <c r="H21" s="862"/>
      <c r="I21" s="862"/>
      <c r="J21" s="862"/>
      <c r="K21" s="862"/>
      <c r="L21" s="862"/>
      <c r="M21" s="863"/>
    </row>
    <row r="22" spans="1:13" ht="33.6" customHeight="1" x14ac:dyDescent="0.2">
      <c r="A22" s="947" t="str" cm="1">
        <f t="array" ref="A22">+IFERROR(INDEX('Pedido VACIO'!$B:$B,MATCH(1,('Pedido VACIO'!$H:$H=$B22)*('Pedido VACIO'!$A:$A="Roster"),0)),"")</f>
        <v/>
      </c>
      <c r="B22" s="931">
        <f>+B20+1</f>
        <v>5</v>
      </c>
      <c r="C22" s="948" t="str" cm="1">
        <f t="array" ref="C22">+IFERROR(INDEX('Pedido VACIO'!$F:$F,MATCH(1,('Pedido VACIO'!$H:$H=$B22)*('Pedido VACIO'!$A:$A="Roster"),0)),"")</f>
        <v/>
      </c>
      <c r="D22" s="931" t="str" cm="1">
        <f t="array" ref="D22">+IFERROR(INDEX('Pedido VACIO'!$G:$G,MATCH(1,('Pedido VACIO'!$H:$H=$B22)*('Pedido VACIO'!$A:$A="Roster"),0)),"")</f>
        <v/>
      </c>
      <c r="E22" s="860" t="str">
        <f t="shared" si="0"/>
        <v/>
      </c>
      <c r="F22" s="854" t="str">
        <f>+IF(OR(E22="LK"),ROUNDUP(D22*(VLOOKUP(B22,'Pedido VACIO'!$H:$AK,30,0))/70,0)*1,IF(E22="CH",D21-F21,""))</f>
        <v/>
      </c>
      <c r="G22" s="931"/>
      <c r="H22" s="862"/>
      <c r="I22" s="862"/>
      <c r="J22" s="862"/>
      <c r="K22" s="862"/>
      <c r="L22" s="862"/>
      <c r="M22" s="863"/>
    </row>
    <row r="23" spans="1:13" ht="33.6" customHeight="1" x14ac:dyDescent="0.2">
      <c r="A23" s="947"/>
      <c r="B23" s="931"/>
      <c r="C23" s="948"/>
      <c r="D23" s="931"/>
      <c r="E23" s="860" t="str">
        <f t="shared" si="0"/>
        <v/>
      </c>
      <c r="F23" s="854" t="str">
        <f>+IF(OR(E23="LK"),ROUNDUP(D23*(VLOOKUP(B23,'Pedido VACIO'!$H:$AK,30,0))/70,0)*1,IF(E23="CH",D22-F22,""))</f>
        <v/>
      </c>
      <c r="G23" s="931"/>
      <c r="H23" s="862"/>
      <c r="I23" s="862"/>
      <c r="J23" s="862"/>
      <c r="K23" s="862"/>
      <c r="L23" s="862"/>
      <c r="M23" s="863"/>
    </row>
    <row r="24" spans="1:13" ht="33.6" customHeight="1" x14ac:dyDescent="0.2">
      <c r="A24" s="947" t="str" cm="1">
        <f t="array" ref="A24">+IFERROR(INDEX('Pedido VACIO'!$B:$B,MATCH(1,('Pedido VACIO'!$H:$H=$B24)*('Pedido VACIO'!$A:$A="Roster"),0)),"")</f>
        <v/>
      </c>
      <c r="B24" s="931">
        <f>+B22+1</f>
        <v>6</v>
      </c>
      <c r="C24" s="948" t="str" cm="1">
        <f t="array" ref="C24">+IFERROR(INDEX('Pedido VACIO'!$F:$F,MATCH(1,('Pedido VACIO'!$H:$H=$B24)*('Pedido VACIO'!$A:$A="Roster"),0)),"")</f>
        <v/>
      </c>
      <c r="D24" s="931" t="str" cm="1">
        <f t="array" ref="D24">+IFERROR(INDEX('Pedido VACIO'!$G:$G,MATCH(1,('Pedido VACIO'!$H:$H=$B24)*('Pedido VACIO'!$A:$A="Roster"),0)),"")</f>
        <v/>
      </c>
      <c r="E24" s="860" t="str">
        <f t="shared" si="0"/>
        <v/>
      </c>
      <c r="F24" s="854" t="str">
        <f>+IF(OR(E24="LK"),ROUNDUP(D24*(VLOOKUP(B24,'Pedido VACIO'!$H:$AK,30,0))/70,0)*1,IF(E24="CH",D23-F23,""))</f>
        <v/>
      </c>
      <c r="G24" s="931"/>
      <c r="H24" s="862"/>
      <c r="I24" s="862"/>
      <c r="J24" s="862"/>
      <c r="K24" s="862"/>
      <c r="L24" s="862"/>
      <c r="M24" s="863"/>
    </row>
    <row r="25" spans="1:13" ht="33.6" customHeight="1" x14ac:dyDescent="0.2">
      <c r="A25" s="947"/>
      <c r="B25" s="931"/>
      <c r="C25" s="948"/>
      <c r="D25" s="931"/>
      <c r="E25" s="860" t="str">
        <f t="shared" si="0"/>
        <v/>
      </c>
      <c r="F25" s="854" t="str">
        <f>+IF(OR(E25="LK"),ROUNDUP(D25*(VLOOKUP(B25,'Pedido VACIO'!$H:$AK,30,0))/70,0)*1,IF(E25="CH",D24-F24,""))</f>
        <v/>
      </c>
      <c r="G25" s="931"/>
      <c r="H25" s="862"/>
      <c r="I25" s="862"/>
      <c r="J25" s="862"/>
      <c r="K25" s="862"/>
      <c r="L25" s="862"/>
      <c r="M25" s="863"/>
    </row>
    <row r="26" spans="1:13" ht="33.6" customHeight="1" x14ac:dyDescent="0.2">
      <c r="A26" s="947" t="str" cm="1">
        <f t="array" ref="A26">+IFERROR(INDEX('Pedido VACIO'!$B:$B,MATCH(1,('Pedido VACIO'!$H:$H=$B26)*('Pedido VACIO'!$A:$A="Roster"),0)),"")</f>
        <v/>
      </c>
      <c r="B26" s="931">
        <f>+B24+1</f>
        <v>7</v>
      </c>
      <c r="C26" s="948" t="str" cm="1">
        <f t="array" ref="C26">+IFERROR(INDEX('Pedido VACIO'!$F:$F,MATCH(1,('Pedido VACIO'!$H:$H=$B26)*('Pedido VACIO'!$A:$A="Roster"),0)),"")</f>
        <v/>
      </c>
      <c r="D26" s="931" t="str" cm="1">
        <f t="array" ref="D26">+IFERROR(INDEX('Pedido VACIO'!$G:$G,MATCH(1,('Pedido VACIO'!$H:$H=$B26)*('Pedido VACIO'!$A:$A="Roster"),0)),"")</f>
        <v/>
      </c>
      <c r="E26" s="860" t="str">
        <f t="shared" si="0"/>
        <v/>
      </c>
      <c r="F26" s="854" t="str">
        <f>+IF(OR(E26="LK"),ROUNDUP(D26*(VLOOKUP(B26,'Pedido VACIO'!$H:$AK,30,0))/70,0)*1,IF(E26="CH",D25-F25,""))</f>
        <v/>
      </c>
      <c r="G26" s="931"/>
      <c r="H26" s="862"/>
      <c r="I26" s="862"/>
      <c r="J26" s="862"/>
      <c r="K26" s="862"/>
      <c r="L26" s="862"/>
      <c r="M26" s="863"/>
    </row>
    <row r="27" spans="1:13" ht="33.6" customHeight="1" x14ac:dyDescent="0.2">
      <c r="A27" s="947"/>
      <c r="B27" s="931"/>
      <c r="C27" s="948"/>
      <c r="D27" s="931"/>
      <c r="E27" s="860" t="str">
        <f t="shared" si="0"/>
        <v/>
      </c>
      <c r="F27" s="854" t="str">
        <f>+IF(OR(E27="LK"),ROUNDUP(D27*(VLOOKUP(B27,'Pedido VACIO'!$H:$AK,30,0))/70,0)*1,IF(E27="CH",D26-F26,""))</f>
        <v/>
      </c>
      <c r="G27" s="931"/>
      <c r="H27" s="862"/>
      <c r="I27" s="862"/>
      <c r="J27" s="862"/>
      <c r="K27" s="862"/>
      <c r="L27" s="862"/>
      <c r="M27" s="863"/>
    </row>
    <row r="28" spans="1:13" ht="33.6" customHeight="1" x14ac:dyDescent="0.2">
      <c r="A28" s="947" t="str" cm="1">
        <f t="array" ref="A28">+IFERROR(INDEX('Pedido VACIO'!$B:$B,MATCH(1,('Pedido VACIO'!$H:$H=$B28)*('Pedido VACIO'!$A:$A="Roster"),0)),"")</f>
        <v/>
      </c>
      <c r="B28" s="931">
        <f>+B26+1</f>
        <v>8</v>
      </c>
      <c r="C28" s="948" t="str" cm="1">
        <f t="array" ref="C28">+IFERROR(INDEX('Pedido VACIO'!$F:$F,MATCH(1,('Pedido VACIO'!$H:$H=$B28)*('Pedido VACIO'!$A:$A="Roster"),0)),"")</f>
        <v/>
      </c>
      <c r="D28" s="931" t="str" cm="1">
        <f t="array" ref="D28">+IFERROR(INDEX('Pedido VACIO'!$G:$G,MATCH(1,('Pedido VACIO'!$H:$H=$B28)*('Pedido VACIO'!$A:$A="Roster"),0)),"")</f>
        <v/>
      </c>
      <c r="E28" s="860" t="str">
        <f t="shared" si="0"/>
        <v/>
      </c>
      <c r="F28" s="854" t="str">
        <f>+IF(OR(E28="LK"),ROUNDUP(D28*(VLOOKUP(B28,'Pedido VACIO'!$H:$AK,30,0))/70,0)*1,IF(E28="CH",D27-F27,""))</f>
        <v/>
      </c>
      <c r="G28" s="931"/>
      <c r="H28" s="862"/>
      <c r="I28" s="862"/>
      <c r="J28" s="862"/>
      <c r="K28" s="862"/>
      <c r="L28" s="862"/>
      <c r="M28" s="863"/>
    </row>
    <row r="29" spans="1:13" ht="33.6" customHeight="1" x14ac:dyDescent="0.2">
      <c r="A29" s="947"/>
      <c r="B29" s="931"/>
      <c r="C29" s="948"/>
      <c r="D29" s="931"/>
      <c r="E29" s="860" t="str">
        <f t="shared" si="0"/>
        <v/>
      </c>
      <c r="F29" s="854" t="str">
        <f>+IF(OR(E29="LK"),ROUNDUP(D29*(VLOOKUP(B29,'Pedido VACIO'!$H:$AK,30,0))/70,0)*1,IF(E29="CH",D28-F28,""))</f>
        <v/>
      </c>
      <c r="G29" s="931"/>
      <c r="H29" s="862"/>
      <c r="I29" s="862"/>
      <c r="J29" s="862"/>
      <c r="K29" s="862"/>
      <c r="L29" s="862"/>
      <c r="M29" s="863"/>
    </row>
    <row r="30" spans="1:13" ht="33.6" customHeight="1" x14ac:dyDescent="0.2">
      <c r="A30" s="947" t="str" cm="1">
        <f t="array" ref="A30">+IFERROR(INDEX('Pedido VACIO'!$B:$B,MATCH(1,('Pedido VACIO'!$H:$H=$B30)*('Pedido VACIO'!$A:$A="Roster"),0)),"")</f>
        <v/>
      </c>
      <c r="B30" s="931">
        <f>+B28+1</f>
        <v>9</v>
      </c>
      <c r="C30" s="948" t="str" cm="1">
        <f t="array" ref="C30">+IFERROR(INDEX('Pedido VACIO'!$F:$F,MATCH(1,('Pedido VACIO'!$H:$H=$B30)*('Pedido VACIO'!$A:$A="Roster"),0)),"")</f>
        <v/>
      </c>
      <c r="D30" s="931" t="str" cm="1">
        <f t="array" ref="D30">+IFERROR(INDEX('Pedido VACIO'!$G:$G,MATCH(1,('Pedido VACIO'!$H:$H=$B30)*('Pedido VACIO'!$A:$A="Roster"),0)),"")</f>
        <v/>
      </c>
      <c r="E30" s="860" t="str">
        <f t="shared" si="0"/>
        <v/>
      </c>
      <c r="F30" s="854" t="str">
        <f>+IF(OR(E30="LK"),ROUNDUP(D30*(VLOOKUP(B30,'Pedido VACIO'!$H:$AK,30,0))/70,0)*1,IF(E30="CH",D29-F29,""))</f>
        <v/>
      </c>
      <c r="G30" s="931"/>
      <c r="H30" s="862"/>
      <c r="I30" s="862"/>
      <c r="J30" s="862"/>
      <c r="K30" s="862"/>
      <c r="L30" s="862"/>
      <c r="M30" s="863"/>
    </row>
    <row r="31" spans="1:13" ht="33.6" customHeight="1" x14ac:dyDescent="0.2">
      <c r="A31" s="947"/>
      <c r="B31" s="931"/>
      <c r="C31" s="948"/>
      <c r="D31" s="931"/>
      <c r="E31" s="860" t="str">
        <f t="shared" si="0"/>
        <v/>
      </c>
      <c r="F31" s="854" t="str">
        <f>+IF(OR(E31="LK"),ROUNDUP(D31*(VLOOKUP(B31,'Pedido VACIO'!$H:$AK,30,0))/70,0)*1,IF(E31="CH",D30-F30,""))</f>
        <v/>
      </c>
      <c r="G31" s="931"/>
      <c r="H31" s="862"/>
      <c r="I31" s="862"/>
      <c r="J31" s="862"/>
      <c r="K31" s="862"/>
      <c r="L31" s="862"/>
      <c r="M31" s="863"/>
    </row>
    <row r="32" spans="1:13" ht="33.6" customHeight="1" x14ac:dyDescent="0.2">
      <c r="A32" s="947" t="str" cm="1">
        <f t="array" ref="A32">+IFERROR(INDEX('Pedido VACIO'!$B:$B,MATCH(1,('Pedido VACIO'!$H:$H=$B32)*('Pedido VACIO'!$A:$A="Roster"),0)),"")</f>
        <v/>
      </c>
      <c r="B32" s="931">
        <f>+B30+1</f>
        <v>10</v>
      </c>
      <c r="C32" s="948" t="str" cm="1">
        <f t="array" ref="C32">+IFERROR(INDEX('Pedido VACIO'!$F:$F,MATCH(1,('Pedido VACIO'!$H:$H=$B32)*('Pedido VACIO'!$A:$A="Roster"),0)),"")</f>
        <v/>
      </c>
      <c r="D32" s="931" t="str" cm="1">
        <f t="array" ref="D32">+IFERROR(INDEX('Pedido VACIO'!$G:$G,MATCH(1,('Pedido VACIO'!$H:$H=$B32)*('Pedido VACIO'!$A:$A="Roster"),0)),"")</f>
        <v/>
      </c>
      <c r="E32" s="860" t="str">
        <f t="shared" si="0"/>
        <v/>
      </c>
      <c r="F32" s="854" t="str">
        <f>+IF(OR(E32="LK"),ROUNDUP(D32*(VLOOKUP(B32,'Pedido VACIO'!$H:$AK,30,0))/70,0)*1,IF(E32="CH",D31-F31,""))</f>
        <v/>
      </c>
      <c r="G32" s="931"/>
      <c r="H32" s="862"/>
      <c r="I32" s="862"/>
      <c r="J32" s="862"/>
      <c r="K32" s="862"/>
      <c r="L32" s="862"/>
      <c r="M32" s="863"/>
    </row>
    <row r="33" spans="1:13" ht="33.6" customHeight="1" x14ac:dyDescent="0.2">
      <c r="A33" s="947"/>
      <c r="B33" s="931"/>
      <c r="C33" s="948"/>
      <c r="D33" s="931"/>
      <c r="E33" s="860" t="str">
        <f t="shared" si="0"/>
        <v/>
      </c>
      <c r="F33" s="854" t="str">
        <f>+IF(OR(E33="LK"),ROUNDUP(D33*(VLOOKUP(B33,'Pedido VACIO'!$H:$AK,30,0))/70,0)*1,IF(E33="CH",D32-F32,""))</f>
        <v/>
      </c>
      <c r="G33" s="931"/>
      <c r="H33" s="862"/>
      <c r="I33" s="862"/>
      <c r="J33" s="862"/>
      <c r="K33" s="862"/>
      <c r="L33" s="862"/>
      <c r="M33" s="863"/>
    </row>
    <row r="34" spans="1:13" ht="33.6" customHeight="1" x14ac:dyDescent="0.2">
      <c r="A34" s="947" t="str" cm="1">
        <f t="array" ref="A34">+IFERROR(INDEX('Pedido VACIO'!$B:$B,MATCH(1,('Pedido VACIO'!$H:$H=$B34)*('Pedido VACIO'!$A:$A="Roster"),0)),"")</f>
        <v/>
      </c>
      <c r="B34" s="931">
        <f>+B32+1</f>
        <v>11</v>
      </c>
      <c r="C34" s="948" t="str" cm="1">
        <f t="array" ref="C34">+IFERROR(INDEX('Pedido VACIO'!$F:$F,MATCH(1,('Pedido VACIO'!$H:$H=$B34)*('Pedido VACIO'!$A:$A="Roster"),0)),"")</f>
        <v/>
      </c>
      <c r="D34" s="931" t="str" cm="1">
        <f t="array" ref="D34">+IFERROR(INDEX('Pedido VACIO'!$G:$G,MATCH(1,('Pedido VACIO'!$H:$H=$B34)*('Pedido VACIO'!$A:$A="Roster"),0)),"")</f>
        <v/>
      </c>
      <c r="E34" s="860" t="str">
        <f t="shared" si="0"/>
        <v/>
      </c>
      <c r="F34" s="854" t="str">
        <f>+IF(OR(E34="LK"),ROUNDUP(D34*(VLOOKUP(B34,'Pedido VACIO'!$H:$AK,30,0))/70,0)*1,IF(E34="CH",D33-F33,""))</f>
        <v/>
      </c>
      <c r="G34" s="931"/>
      <c r="H34" s="862"/>
      <c r="I34" s="862"/>
      <c r="J34" s="862"/>
      <c r="K34" s="862"/>
      <c r="L34" s="862"/>
      <c r="M34" s="863"/>
    </row>
    <row r="35" spans="1:13" ht="33.6" customHeight="1" thickBot="1" x14ac:dyDescent="0.25">
      <c r="A35" s="950"/>
      <c r="B35" s="951"/>
      <c r="C35" s="952"/>
      <c r="D35" s="951"/>
      <c r="E35" s="860" t="str">
        <f t="shared" si="0"/>
        <v/>
      </c>
      <c r="F35" s="854" t="str">
        <f>+IF(OR(E35="LK"),ROUNDUP(D35*(VLOOKUP(B35,'Pedido VACIO'!$H:$AK,30,0))/70,0)*1,IF(E35="CH",D34-F34,""))</f>
        <v/>
      </c>
      <c r="G35" s="951"/>
      <c r="H35" s="864"/>
      <c r="I35" s="864"/>
      <c r="J35" s="864"/>
      <c r="K35" s="864"/>
      <c r="L35" s="864"/>
      <c r="M35" s="865"/>
    </row>
    <row r="36" spans="1:13" ht="33.6" customHeight="1" x14ac:dyDescent="0.2">
      <c r="A36" s="953" t="str" cm="1">
        <f t="array" ref="A36">+IFERROR(INDEX('Pedido VACIO'!$B:$B,MATCH(1,('Pedido VACIO'!$H:$H=$B36)*('Pedido VACIO'!$A:$A="Roster"),0)),"")</f>
        <v/>
      </c>
      <c r="B36" s="934">
        <f>+B34+1</f>
        <v>12</v>
      </c>
      <c r="C36" s="933" t="str" cm="1">
        <f t="array" ref="C36">+IFERROR(INDEX('Pedido VACIO'!$F:$F,MATCH(1,('Pedido VACIO'!$H:$H=$B36)*('Pedido VACIO'!$A:$A="Roster"),0)),"")</f>
        <v/>
      </c>
      <c r="D36" s="934" t="str" cm="1">
        <f t="array" ref="D36">+IFERROR(INDEX('Pedido VACIO'!$G:$G,MATCH(1,('Pedido VACIO'!$H:$H=$B36)*('Pedido VACIO'!$A:$A="Roster"),0)),"")</f>
        <v/>
      </c>
      <c r="E36" s="860" t="str">
        <f t="shared" si="0"/>
        <v/>
      </c>
      <c r="F36" s="854" t="str">
        <f>+IF(OR(E36="LK"),ROUNDUP(D36*(VLOOKUP(B36,'Pedido VACIO'!$H:$AK,30,0))/70,0)*1,IF(E36="CH",D35-F35,""))</f>
        <v/>
      </c>
      <c r="G36" s="934"/>
      <c r="H36" s="866"/>
      <c r="I36" s="866"/>
      <c r="J36" s="866"/>
      <c r="K36" s="866"/>
      <c r="L36" s="866"/>
      <c r="M36" s="866"/>
    </row>
    <row r="37" spans="1:13" ht="33.6" customHeight="1" x14ac:dyDescent="0.2">
      <c r="A37" s="949"/>
      <c r="B37" s="931"/>
      <c r="C37" s="948"/>
      <c r="D37" s="931"/>
      <c r="E37" s="860" t="str">
        <f t="shared" si="0"/>
        <v/>
      </c>
      <c r="F37" s="854" t="str">
        <f>+IF(OR(E37="LK"),ROUNDUP(D37*(VLOOKUP(B37,'Pedido VACIO'!$H:$AK,30,0))/70,0)*1,IF(E37="CH",D36-F36,""))</f>
        <v/>
      </c>
      <c r="G37" s="931"/>
      <c r="H37" s="862"/>
      <c r="I37" s="862"/>
      <c r="J37" s="862"/>
      <c r="K37" s="862"/>
      <c r="L37" s="862"/>
      <c r="M37" s="862"/>
    </row>
    <row r="38" spans="1:13" ht="33.6" customHeight="1" x14ac:dyDescent="0.2">
      <c r="A38" s="949" t="str" cm="1">
        <f t="array" ref="A38">+IFERROR(INDEX('Pedido VACIO'!$B:$B,MATCH(1,('Pedido VACIO'!$H:$H=$B38)*('Pedido VACIO'!$A:$A="Roster"),0)),"")</f>
        <v/>
      </c>
      <c r="B38" s="931">
        <f>+B36+1</f>
        <v>13</v>
      </c>
      <c r="C38" s="948" t="str" cm="1">
        <f t="array" ref="C38">+IFERROR(INDEX('Pedido VACIO'!$F:$F,MATCH(1,('Pedido VACIO'!$H:$H=$B38)*('Pedido VACIO'!$A:$A="Roster"),0)),"")</f>
        <v/>
      </c>
      <c r="D38" s="931" t="str" cm="1">
        <f t="array" ref="D38">+IFERROR(INDEX('Pedido VACIO'!$G:$G,MATCH(1,('Pedido VACIO'!$H:$H=$B38)*('Pedido VACIO'!$A:$A="Roster"),0)),"")</f>
        <v/>
      </c>
      <c r="E38" s="860" t="str">
        <f t="shared" si="0"/>
        <v/>
      </c>
      <c r="F38" s="854" t="str">
        <f>+IF(OR(E38="LK"),ROUNDUP(D38*(VLOOKUP(B38,'Pedido VACIO'!$H:$AK,30,0))/70,0)*1,IF(E38="CH",D37-F37,""))</f>
        <v/>
      </c>
      <c r="G38" s="931"/>
      <c r="H38" s="862"/>
      <c r="I38" s="862"/>
      <c r="J38" s="862"/>
      <c r="K38" s="862"/>
      <c r="L38" s="862"/>
      <c r="M38" s="862"/>
    </row>
    <row r="39" spans="1:13" ht="33.6" customHeight="1" x14ac:dyDescent="0.2">
      <c r="A39" s="949"/>
      <c r="B39" s="931"/>
      <c r="C39" s="948"/>
      <c r="D39" s="931"/>
      <c r="E39" s="860" t="str">
        <f t="shared" si="0"/>
        <v/>
      </c>
      <c r="F39" s="854" t="str">
        <f>+IF(OR(E39="LK"),ROUNDUP(D39*(VLOOKUP(B39,'Pedido VACIO'!$H:$AK,30,0))/70,0)*1,IF(E39="CH",D38-F38,""))</f>
        <v/>
      </c>
      <c r="G39" s="931"/>
      <c r="H39" s="862"/>
      <c r="I39" s="862"/>
      <c r="J39" s="862"/>
      <c r="K39" s="862"/>
      <c r="L39" s="862"/>
      <c r="M39" s="862"/>
    </row>
    <row r="40" spans="1:13" ht="33.6" customHeight="1" x14ac:dyDescent="0.2">
      <c r="A40" s="949" t="str" cm="1">
        <f t="array" ref="A40">+IFERROR(INDEX('Pedido VACIO'!$B:$B,MATCH(1,('Pedido VACIO'!$H:$H=$B40)*('Pedido VACIO'!$A:$A="Roster"),0)),"")</f>
        <v/>
      </c>
      <c r="B40" s="931">
        <f>+B38+1</f>
        <v>14</v>
      </c>
      <c r="C40" s="948" t="str" cm="1">
        <f t="array" ref="C40">+IFERROR(INDEX('Pedido VACIO'!$F:$F,MATCH(1,('Pedido VACIO'!$H:$H=$B40)*('Pedido VACIO'!$A:$A="Roster"),0)),"")</f>
        <v/>
      </c>
      <c r="D40" s="931" t="str" cm="1">
        <f t="array" ref="D40">+IFERROR(INDEX('Pedido VACIO'!$G:$G,MATCH(1,('Pedido VACIO'!$H:$H=$B40)*('Pedido VACIO'!$A:$A="Roster"),0)),"")</f>
        <v/>
      </c>
      <c r="E40" s="860" t="str">
        <f t="shared" si="0"/>
        <v/>
      </c>
      <c r="F40" s="854" t="str">
        <f>+IF(OR(E40="LK"),ROUNDUP(D40*(VLOOKUP(B40,'Pedido VACIO'!$H:$AK,30,0))/70,0)*1,IF(E40="CH",D39-F39,""))</f>
        <v/>
      </c>
      <c r="G40" s="931"/>
      <c r="H40" s="862"/>
      <c r="I40" s="862"/>
      <c r="J40" s="862"/>
      <c r="K40" s="862"/>
      <c r="L40" s="862"/>
      <c r="M40" s="862"/>
    </row>
    <row r="41" spans="1:13" ht="33.6" customHeight="1" x14ac:dyDescent="0.2">
      <c r="A41" s="949"/>
      <c r="B41" s="931"/>
      <c r="C41" s="948"/>
      <c r="D41" s="931"/>
      <c r="E41" s="860" t="str">
        <f t="shared" si="0"/>
        <v/>
      </c>
      <c r="F41" s="854" t="str">
        <f>+IF(OR(E41="LK"),ROUNDUP(D41*(VLOOKUP(B41,'Pedido VACIO'!$H:$AK,30,0))/70,0)*1,IF(E41="CH",D40-F40,""))</f>
        <v/>
      </c>
      <c r="G41" s="931"/>
      <c r="H41" s="862"/>
      <c r="I41" s="862"/>
      <c r="J41" s="862"/>
      <c r="K41" s="862"/>
      <c r="L41" s="862"/>
      <c r="M41" s="862"/>
    </row>
    <row r="42" spans="1:13" ht="33.6" customHeight="1" x14ac:dyDescent="0.2">
      <c r="A42" s="949" t="str" cm="1">
        <f t="array" ref="A42">+IFERROR(INDEX('Pedido VACIO'!$B:$B,MATCH(1,('Pedido VACIO'!$H:$H=$B42)*('Pedido VACIO'!$A:$A="Roster"),0)),"")</f>
        <v/>
      </c>
      <c r="B42" s="931">
        <f>+B40+1</f>
        <v>15</v>
      </c>
      <c r="C42" s="948" t="str" cm="1">
        <f t="array" ref="C42">+IFERROR(INDEX('Pedido VACIO'!$F:$F,MATCH(1,('Pedido VACIO'!$H:$H=$B42)*('Pedido VACIO'!$A:$A="Roster"),0)),"")</f>
        <v/>
      </c>
      <c r="D42" s="931" t="str" cm="1">
        <f t="array" ref="D42">+IFERROR(INDEX('Pedido VACIO'!$G:$G,MATCH(1,('Pedido VACIO'!$H:$H=$B42)*('Pedido VACIO'!$A:$A="Roster"),0)),"")</f>
        <v/>
      </c>
      <c r="E42" s="860" t="str">
        <f t="shared" si="0"/>
        <v/>
      </c>
      <c r="F42" s="854" t="str">
        <f>+IF(OR(E42="LK"),ROUNDUP(D42*(VLOOKUP(B42,'Pedido VACIO'!$H:$AK,30,0))/70,0)*1,IF(E42="CH",D41-F41,""))</f>
        <v/>
      </c>
      <c r="G42" s="931"/>
      <c r="H42" s="862"/>
      <c r="I42" s="862"/>
      <c r="J42" s="862"/>
      <c r="K42" s="862"/>
      <c r="L42" s="862"/>
      <c r="M42" s="862"/>
    </row>
    <row r="43" spans="1:13" ht="33.6" customHeight="1" x14ac:dyDescent="0.2">
      <c r="A43" s="949"/>
      <c r="B43" s="931"/>
      <c r="C43" s="948"/>
      <c r="D43" s="931"/>
      <c r="E43" s="860" t="str">
        <f t="shared" si="0"/>
        <v/>
      </c>
      <c r="F43" s="854" t="str">
        <f>+IF(OR(E43="LK"),ROUNDUP(D43*(VLOOKUP(B43,'Pedido VACIO'!$H:$AK,30,0))/70,0)*1,IF(E43="CH",D42-F42,""))</f>
        <v/>
      </c>
      <c r="G43" s="931"/>
      <c r="H43" s="862"/>
      <c r="I43" s="862"/>
      <c r="J43" s="862"/>
      <c r="K43" s="862"/>
      <c r="L43" s="862"/>
      <c r="M43" s="862"/>
    </row>
  </sheetData>
  <mergeCells count="94"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A20:A21"/>
    <mergeCell ref="B20:B21"/>
    <mergeCell ref="C20:C21"/>
    <mergeCell ref="D20:D21"/>
    <mergeCell ref="G20:G21"/>
    <mergeCell ref="A22:A23"/>
    <mergeCell ref="B22:B23"/>
    <mergeCell ref="C22:C23"/>
    <mergeCell ref="D22:D23"/>
    <mergeCell ref="G22:G23"/>
    <mergeCell ref="A16:A17"/>
    <mergeCell ref="B16:B17"/>
    <mergeCell ref="C16:C17"/>
    <mergeCell ref="D16:D17"/>
    <mergeCell ref="G16:G17"/>
    <mergeCell ref="A18:A19"/>
    <mergeCell ref="B18:B19"/>
    <mergeCell ref="C18:C19"/>
    <mergeCell ref="D18:D19"/>
    <mergeCell ref="G18:G19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3:B3"/>
    <mergeCell ref="F3:G3"/>
    <mergeCell ref="H3:L3"/>
    <mergeCell ref="A1:C1"/>
    <mergeCell ref="F1:L1"/>
    <mergeCell ref="A2:B2"/>
    <mergeCell ref="F2:G2"/>
    <mergeCell ref="H2:L2"/>
  </mergeCells>
  <printOptions horizontalCentered="1"/>
  <pageMargins left="0" right="0" top="0" bottom="0" header="0" footer="0"/>
  <pageSetup paperSize="9" scale="6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activeCell="M15" sqref="A1:M15"/>
    </sheetView>
  </sheetViews>
  <sheetFormatPr baseColWidth="10" defaultColWidth="11.5703125" defaultRowHeight="12.75" x14ac:dyDescent="0.2"/>
  <cols>
    <col min="1" max="1" width="11.42578125" style="841" customWidth="1"/>
    <col min="2" max="2" width="6.140625" style="841" customWidth="1"/>
    <col min="3" max="3" width="22.28515625" style="841" customWidth="1"/>
    <col min="4" max="4" width="9.28515625" style="841" customWidth="1"/>
    <col min="5" max="5" width="8.28515625" style="841" customWidth="1"/>
    <col min="6" max="6" width="8.7109375" style="841" customWidth="1"/>
    <col min="7" max="7" width="9.7109375" style="841" customWidth="1"/>
    <col min="8" max="9" width="7.5703125" style="841" customWidth="1"/>
    <col min="10" max="10" width="7.7109375" style="841" customWidth="1"/>
    <col min="11" max="11" width="7" style="841" customWidth="1"/>
    <col min="12" max="12" width="7.7109375" style="841" customWidth="1"/>
    <col min="13" max="13" width="7" style="841" customWidth="1"/>
    <col min="14" max="256" width="11.5703125" style="841"/>
    <col min="257" max="257" width="11.42578125" style="841" customWidth="1"/>
    <col min="258" max="258" width="6.140625" style="841" customWidth="1"/>
    <col min="259" max="259" width="22.28515625" style="841" customWidth="1"/>
    <col min="260" max="260" width="9.28515625" style="841" customWidth="1"/>
    <col min="261" max="261" width="8.28515625" style="841" customWidth="1"/>
    <col min="262" max="262" width="7.7109375" style="841" customWidth="1"/>
    <col min="263" max="263" width="9.7109375" style="841" customWidth="1"/>
    <col min="264" max="264" width="7.28515625" style="841" customWidth="1"/>
    <col min="265" max="265" width="7.5703125" style="841" customWidth="1"/>
    <col min="266" max="266" width="7.7109375" style="841" customWidth="1"/>
    <col min="267" max="267" width="7" style="841" customWidth="1"/>
    <col min="268" max="268" width="7.7109375" style="841" customWidth="1"/>
    <col min="269" max="269" width="7" style="841" customWidth="1"/>
    <col min="270" max="512" width="11.5703125" style="841"/>
    <col min="513" max="513" width="11.42578125" style="841" customWidth="1"/>
    <col min="514" max="514" width="6.140625" style="841" customWidth="1"/>
    <col min="515" max="515" width="22.28515625" style="841" customWidth="1"/>
    <col min="516" max="516" width="9.28515625" style="841" customWidth="1"/>
    <col min="517" max="517" width="8.28515625" style="841" customWidth="1"/>
    <col min="518" max="518" width="7.7109375" style="841" customWidth="1"/>
    <col min="519" max="519" width="9.7109375" style="841" customWidth="1"/>
    <col min="520" max="520" width="7.28515625" style="841" customWidth="1"/>
    <col min="521" max="521" width="7.5703125" style="841" customWidth="1"/>
    <col min="522" max="522" width="7.7109375" style="841" customWidth="1"/>
    <col min="523" max="523" width="7" style="841" customWidth="1"/>
    <col min="524" max="524" width="7.7109375" style="841" customWidth="1"/>
    <col min="525" max="525" width="7" style="841" customWidth="1"/>
    <col min="526" max="768" width="11.5703125" style="841"/>
    <col min="769" max="769" width="11.42578125" style="841" customWidth="1"/>
    <col min="770" max="770" width="6.140625" style="841" customWidth="1"/>
    <col min="771" max="771" width="22.28515625" style="841" customWidth="1"/>
    <col min="772" max="772" width="9.28515625" style="841" customWidth="1"/>
    <col min="773" max="773" width="8.28515625" style="841" customWidth="1"/>
    <col min="774" max="774" width="7.7109375" style="841" customWidth="1"/>
    <col min="775" max="775" width="9.7109375" style="841" customWidth="1"/>
    <col min="776" max="776" width="7.28515625" style="841" customWidth="1"/>
    <col min="777" max="777" width="7.5703125" style="841" customWidth="1"/>
    <col min="778" max="778" width="7.7109375" style="841" customWidth="1"/>
    <col min="779" max="779" width="7" style="841" customWidth="1"/>
    <col min="780" max="780" width="7.7109375" style="841" customWidth="1"/>
    <col min="781" max="781" width="7" style="841" customWidth="1"/>
    <col min="782" max="1024" width="11.5703125" style="841"/>
    <col min="1025" max="1025" width="11.42578125" style="841" customWidth="1"/>
    <col min="1026" max="1026" width="6.140625" style="841" customWidth="1"/>
    <col min="1027" max="1027" width="22.28515625" style="841" customWidth="1"/>
    <col min="1028" max="1028" width="9.28515625" style="841" customWidth="1"/>
    <col min="1029" max="1029" width="8.28515625" style="841" customWidth="1"/>
    <col min="1030" max="1030" width="7.7109375" style="841" customWidth="1"/>
    <col min="1031" max="1031" width="9.7109375" style="841" customWidth="1"/>
    <col min="1032" max="1032" width="7.28515625" style="841" customWidth="1"/>
    <col min="1033" max="1033" width="7.5703125" style="841" customWidth="1"/>
    <col min="1034" max="1034" width="7.7109375" style="841" customWidth="1"/>
    <col min="1035" max="1035" width="7" style="841" customWidth="1"/>
    <col min="1036" max="1036" width="7.7109375" style="841" customWidth="1"/>
    <col min="1037" max="1037" width="7" style="841" customWidth="1"/>
    <col min="1038" max="1280" width="11.5703125" style="841"/>
    <col min="1281" max="1281" width="11.42578125" style="841" customWidth="1"/>
    <col min="1282" max="1282" width="6.140625" style="841" customWidth="1"/>
    <col min="1283" max="1283" width="22.28515625" style="841" customWidth="1"/>
    <col min="1284" max="1284" width="9.28515625" style="841" customWidth="1"/>
    <col min="1285" max="1285" width="8.28515625" style="841" customWidth="1"/>
    <col min="1286" max="1286" width="7.7109375" style="841" customWidth="1"/>
    <col min="1287" max="1287" width="9.7109375" style="841" customWidth="1"/>
    <col min="1288" max="1288" width="7.28515625" style="841" customWidth="1"/>
    <col min="1289" max="1289" width="7.5703125" style="841" customWidth="1"/>
    <col min="1290" max="1290" width="7.7109375" style="841" customWidth="1"/>
    <col min="1291" max="1291" width="7" style="841" customWidth="1"/>
    <col min="1292" max="1292" width="7.7109375" style="841" customWidth="1"/>
    <col min="1293" max="1293" width="7" style="841" customWidth="1"/>
    <col min="1294" max="1536" width="11.5703125" style="841"/>
    <col min="1537" max="1537" width="11.42578125" style="841" customWidth="1"/>
    <col min="1538" max="1538" width="6.140625" style="841" customWidth="1"/>
    <col min="1539" max="1539" width="22.28515625" style="841" customWidth="1"/>
    <col min="1540" max="1540" width="9.28515625" style="841" customWidth="1"/>
    <col min="1541" max="1541" width="8.28515625" style="841" customWidth="1"/>
    <col min="1542" max="1542" width="7.7109375" style="841" customWidth="1"/>
    <col min="1543" max="1543" width="9.7109375" style="841" customWidth="1"/>
    <col min="1544" max="1544" width="7.28515625" style="841" customWidth="1"/>
    <col min="1545" max="1545" width="7.5703125" style="841" customWidth="1"/>
    <col min="1546" max="1546" width="7.7109375" style="841" customWidth="1"/>
    <col min="1547" max="1547" width="7" style="841" customWidth="1"/>
    <col min="1548" max="1548" width="7.7109375" style="841" customWidth="1"/>
    <col min="1549" max="1549" width="7" style="841" customWidth="1"/>
    <col min="1550" max="1792" width="11.5703125" style="841"/>
    <col min="1793" max="1793" width="11.42578125" style="841" customWidth="1"/>
    <col min="1794" max="1794" width="6.140625" style="841" customWidth="1"/>
    <col min="1795" max="1795" width="22.28515625" style="841" customWidth="1"/>
    <col min="1796" max="1796" width="9.28515625" style="841" customWidth="1"/>
    <col min="1797" max="1797" width="8.28515625" style="841" customWidth="1"/>
    <col min="1798" max="1798" width="7.7109375" style="841" customWidth="1"/>
    <col min="1799" max="1799" width="9.7109375" style="841" customWidth="1"/>
    <col min="1800" max="1800" width="7.28515625" style="841" customWidth="1"/>
    <col min="1801" max="1801" width="7.5703125" style="841" customWidth="1"/>
    <col min="1802" max="1802" width="7.7109375" style="841" customWidth="1"/>
    <col min="1803" max="1803" width="7" style="841" customWidth="1"/>
    <col min="1804" max="1804" width="7.7109375" style="841" customWidth="1"/>
    <col min="1805" max="1805" width="7" style="841" customWidth="1"/>
    <col min="1806" max="2048" width="11.5703125" style="841"/>
    <col min="2049" max="2049" width="11.42578125" style="841" customWidth="1"/>
    <col min="2050" max="2050" width="6.140625" style="841" customWidth="1"/>
    <col min="2051" max="2051" width="22.28515625" style="841" customWidth="1"/>
    <col min="2052" max="2052" width="9.28515625" style="841" customWidth="1"/>
    <col min="2053" max="2053" width="8.28515625" style="841" customWidth="1"/>
    <col min="2054" max="2054" width="7.7109375" style="841" customWidth="1"/>
    <col min="2055" max="2055" width="9.7109375" style="841" customWidth="1"/>
    <col min="2056" max="2056" width="7.28515625" style="841" customWidth="1"/>
    <col min="2057" max="2057" width="7.5703125" style="841" customWidth="1"/>
    <col min="2058" max="2058" width="7.7109375" style="841" customWidth="1"/>
    <col min="2059" max="2059" width="7" style="841" customWidth="1"/>
    <col min="2060" max="2060" width="7.7109375" style="841" customWidth="1"/>
    <col min="2061" max="2061" width="7" style="841" customWidth="1"/>
    <col min="2062" max="2304" width="11.5703125" style="841"/>
    <col min="2305" max="2305" width="11.42578125" style="841" customWidth="1"/>
    <col min="2306" max="2306" width="6.140625" style="841" customWidth="1"/>
    <col min="2307" max="2307" width="22.28515625" style="841" customWidth="1"/>
    <col min="2308" max="2308" width="9.28515625" style="841" customWidth="1"/>
    <col min="2309" max="2309" width="8.28515625" style="841" customWidth="1"/>
    <col min="2310" max="2310" width="7.7109375" style="841" customWidth="1"/>
    <col min="2311" max="2311" width="9.7109375" style="841" customWidth="1"/>
    <col min="2312" max="2312" width="7.28515625" style="841" customWidth="1"/>
    <col min="2313" max="2313" width="7.5703125" style="841" customWidth="1"/>
    <col min="2314" max="2314" width="7.7109375" style="841" customWidth="1"/>
    <col min="2315" max="2315" width="7" style="841" customWidth="1"/>
    <col min="2316" max="2316" width="7.7109375" style="841" customWidth="1"/>
    <col min="2317" max="2317" width="7" style="841" customWidth="1"/>
    <col min="2318" max="2560" width="11.5703125" style="841"/>
    <col min="2561" max="2561" width="11.42578125" style="841" customWidth="1"/>
    <col min="2562" max="2562" width="6.140625" style="841" customWidth="1"/>
    <col min="2563" max="2563" width="22.28515625" style="841" customWidth="1"/>
    <col min="2564" max="2564" width="9.28515625" style="841" customWidth="1"/>
    <col min="2565" max="2565" width="8.28515625" style="841" customWidth="1"/>
    <col min="2566" max="2566" width="7.7109375" style="841" customWidth="1"/>
    <col min="2567" max="2567" width="9.7109375" style="841" customWidth="1"/>
    <col min="2568" max="2568" width="7.28515625" style="841" customWidth="1"/>
    <col min="2569" max="2569" width="7.5703125" style="841" customWidth="1"/>
    <col min="2570" max="2570" width="7.7109375" style="841" customWidth="1"/>
    <col min="2571" max="2571" width="7" style="841" customWidth="1"/>
    <col min="2572" max="2572" width="7.7109375" style="841" customWidth="1"/>
    <col min="2573" max="2573" width="7" style="841" customWidth="1"/>
    <col min="2574" max="2816" width="11.5703125" style="841"/>
    <col min="2817" max="2817" width="11.42578125" style="841" customWidth="1"/>
    <col min="2818" max="2818" width="6.140625" style="841" customWidth="1"/>
    <col min="2819" max="2819" width="22.28515625" style="841" customWidth="1"/>
    <col min="2820" max="2820" width="9.28515625" style="841" customWidth="1"/>
    <col min="2821" max="2821" width="8.28515625" style="841" customWidth="1"/>
    <col min="2822" max="2822" width="7.7109375" style="841" customWidth="1"/>
    <col min="2823" max="2823" width="9.7109375" style="841" customWidth="1"/>
    <col min="2824" max="2824" width="7.28515625" style="841" customWidth="1"/>
    <col min="2825" max="2825" width="7.5703125" style="841" customWidth="1"/>
    <col min="2826" max="2826" width="7.7109375" style="841" customWidth="1"/>
    <col min="2827" max="2827" width="7" style="841" customWidth="1"/>
    <col min="2828" max="2828" width="7.7109375" style="841" customWidth="1"/>
    <col min="2829" max="2829" width="7" style="841" customWidth="1"/>
    <col min="2830" max="3072" width="11.5703125" style="841"/>
    <col min="3073" max="3073" width="11.42578125" style="841" customWidth="1"/>
    <col min="3074" max="3074" width="6.140625" style="841" customWidth="1"/>
    <col min="3075" max="3075" width="22.28515625" style="841" customWidth="1"/>
    <col min="3076" max="3076" width="9.28515625" style="841" customWidth="1"/>
    <col min="3077" max="3077" width="8.28515625" style="841" customWidth="1"/>
    <col min="3078" max="3078" width="7.7109375" style="841" customWidth="1"/>
    <col min="3079" max="3079" width="9.7109375" style="841" customWidth="1"/>
    <col min="3080" max="3080" width="7.28515625" style="841" customWidth="1"/>
    <col min="3081" max="3081" width="7.5703125" style="841" customWidth="1"/>
    <col min="3082" max="3082" width="7.7109375" style="841" customWidth="1"/>
    <col min="3083" max="3083" width="7" style="841" customWidth="1"/>
    <col min="3084" max="3084" width="7.7109375" style="841" customWidth="1"/>
    <col min="3085" max="3085" width="7" style="841" customWidth="1"/>
    <col min="3086" max="3328" width="11.5703125" style="841"/>
    <col min="3329" max="3329" width="11.42578125" style="841" customWidth="1"/>
    <col min="3330" max="3330" width="6.140625" style="841" customWidth="1"/>
    <col min="3331" max="3331" width="22.28515625" style="841" customWidth="1"/>
    <col min="3332" max="3332" width="9.28515625" style="841" customWidth="1"/>
    <col min="3333" max="3333" width="8.28515625" style="841" customWidth="1"/>
    <col min="3334" max="3334" width="7.7109375" style="841" customWidth="1"/>
    <col min="3335" max="3335" width="9.7109375" style="841" customWidth="1"/>
    <col min="3336" max="3336" width="7.28515625" style="841" customWidth="1"/>
    <col min="3337" max="3337" width="7.5703125" style="841" customWidth="1"/>
    <col min="3338" max="3338" width="7.7109375" style="841" customWidth="1"/>
    <col min="3339" max="3339" width="7" style="841" customWidth="1"/>
    <col min="3340" max="3340" width="7.7109375" style="841" customWidth="1"/>
    <col min="3341" max="3341" width="7" style="841" customWidth="1"/>
    <col min="3342" max="3584" width="11.5703125" style="841"/>
    <col min="3585" max="3585" width="11.42578125" style="841" customWidth="1"/>
    <col min="3586" max="3586" width="6.140625" style="841" customWidth="1"/>
    <col min="3587" max="3587" width="22.28515625" style="841" customWidth="1"/>
    <col min="3588" max="3588" width="9.28515625" style="841" customWidth="1"/>
    <col min="3589" max="3589" width="8.28515625" style="841" customWidth="1"/>
    <col min="3590" max="3590" width="7.7109375" style="841" customWidth="1"/>
    <col min="3591" max="3591" width="9.7109375" style="841" customWidth="1"/>
    <col min="3592" max="3592" width="7.28515625" style="841" customWidth="1"/>
    <col min="3593" max="3593" width="7.5703125" style="841" customWidth="1"/>
    <col min="3594" max="3594" width="7.7109375" style="841" customWidth="1"/>
    <col min="3595" max="3595" width="7" style="841" customWidth="1"/>
    <col min="3596" max="3596" width="7.7109375" style="841" customWidth="1"/>
    <col min="3597" max="3597" width="7" style="841" customWidth="1"/>
    <col min="3598" max="3840" width="11.5703125" style="841"/>
    <col min="3841" max="3841" width="11.42578125" style="841" customWidth="1"/>
    <col min="3842" max="3842" width="6.140625" style="841" customWidth="1"/>
    <col min="3843" max="3843" width="22.28515625" style="841" customWidth="1"/>
    <col min="3844" max="3844" width="9.28515625" style="841" customWidth="1"/>
    <col min="3845" max="3845" width="8.28515625" style="841" customWidth="1"/>
    <col min="3846" max="3846" width="7.7109375" style="841" customWidth="1"/>
    <col min="3847" max="3847" width="9.7109375" style="841" customWidth="1"/>
    <col min="3848" max="3848" width="7.28515625" style="841" customWidth="1"/>
    <col min="3849" max="3849" width="7.5703125" style="841" customWidth="1"/>
    <col min="3850" max="3850" width="7.7109375" style="841" customWidth="1"/>
    <col min="3851" max="3851" width="7" style="841" customWidth="1"/>
    <col min="3852" max="3852" width="7.7109375" style="841" customWidth="1"/>
    <col min="3853" max="3853" width="7" style="841" customWidth="1"/>
    <col min="3854" max="4096" width="11.5703125" style="841"/>
    <col min="4097" max="4097" width="11.42578125" style="841" customWidth="1"/>
    <col min="4098" max="4098" width="6.140625" style="841" customWidth="1"/>
    <col min="4099" max="4099" width="22.28515625" style="841" customWidth="1"/>
    <col min="4100" max="4100" width="9.28515625" style="841" customWidth="1"/>
    <col min="4101" max="4101" width="8.28515625" style="841" customWidth="1"/>
    <col min="4102" max="4102" width="7.7109375" style="841" customWidth="1"/>
    <col min="4103" max="4103" width="9.7109375" style="841" customWidth="1"/>
    <col min="4104" max="4104" width="7.28515625" style="841" customWidth="1"/>
    <col min="4105" max="4105" width="7.5703125" style="841" customWidth="1"/>
    <col min="4106" max="4106" width="7.7109375" style="841" customWidth="1"/>
    <col min="4107" max="4107" width="7" style="841" customWidth="1"/>
    <col min="4108" max="4108" width="7.7109375" style="841" customWidth="1"/>
    <col min="4109" max="4109" width="7" style="841" customWidth="1"/>
    <col min="4110" max="4352" width="11.5703125" style="841"/>
    <col min="4353" max="4353" width="11.42578125" style="841" customWidth="1"/>
    <col min="4354" max="4354" width="6.140625" style="841" customWidth="1"/>
    <col min="4355" max="4355" width="22.28515625" style="841" customWidth="1"/>
    <col min="4356" max="4356" width="9.28515625" style="841" customWidth="1"/>
    <col min="4357" max="4357" width="8.28515625" style="841" customWidth="1"/>
    <col min="4358" max="4358" width="7.7109375" style="841" customWidth="1"/>
    <col min="4359" max="4359" width="9.7109375" style="841" customWidth="1"/>
    <col min="4360" max="4360" width="7.28515625" style="841" customWidth="1"/>
    <col min="4361" max="4361" width="7.5703125" style="841" customWidth="1"/>
    <col min="4362" max="4362" width="7.7109375" style="841" customWidth="1"/>
    <col min="4363" max="4363" width="7" style="841" customWidth="1"/>
    <col min="4364" max="4364" width="7.7109375" style="841" customWidth="1"/>
    <col min="4365" max="4365" width="7" style="841" customWidth="1"/>
    <col min="4366" max="4608" width="11.5703125" style="841"/>
    <col min="4609" max="4609" width="11.42578125" style="841" customWidth="1"/>
    <col min="4610" max="4610" width="6.140625" style="841" customWidth="1"/>
    <col min="4611" max="4611" width="22.28515625" style="841" customWidth="1"/>
    <col min="4612" max="4612" width="9.28515625" style="841" customWidth="1"/>
    <col min="4613" max="4613" width="8.28515625" style="841" customWidth="1"/>
    <col min="4614" max="4614" width="7.7109375" style="841" customWidth="1"/>
    <col min="4615" max="4615" width="9.7109375" style="841" customWidth="1"/>
    <col min="4616" max="4616" width="7.28515625" style="841" customWidth="1"/>
    <col min="4617" max="4617" width="7.5703125" style="841" customWidth="1"/>
    <col min="4618" max="4618" width="7.7109375" style="841" customWidth="1"/>
    <col min="4619" max="4619" width="7" style="841" customWidth="1"/>
    <col min="4620" max="4620" width="7.7109375" style="841" customWidth="1"/>
    <col min="4621" max="4621" width="7" style="841" customWidth="1"/>
    <col min="4622" max="4864" width="11.5703125" style="841"/>
    <col min="4865" max="4865" width="11.42578125" style="841" customWidth="1"/>
    <col min="4866" max="4866" width="6.140625" style="841" customWidth="1"/>
    <col min="4867" max="4867" width="22.28515625" style="841" customWidth="1"/>
    <col min="4868" max="4868" width="9.28515625" style="841" customWidth="1"/>
    <col min="4869" max="4869" width="8.28515625" style="841" customWidth="1"/>
    <col min="4870" max="4870" width="7.7109375" style="841" customWidth="1"/>
    <col min="4871" max="4871" width="9.7109375" style="841" customWidth="1"/>
    <col min="4872" max="4872" width="7.28515625" style="841" customWidth="1"/>
    <col min="4873" max="4873" width="7.5703125" style="841" customWidth="1"/>
    <col min="4874" max="4874" width="7.7109375" style="841" customWidth="1"/>
    <col min="4875" max="4875" width="7" style="841" customWidth="1"/>
    <col min="4876" max="4876" width="7.7109375" style="841" customWidth="1"/>
    <col min="4877" max="4877" width="7" style="841" customWidth="1"/>
    <col min="4878" max="5120" width="11.5703125" style="841"/>
    <col min="5121" max="5121" width="11.42578125" style="841" customWidth="1"/>
    <col min="5122" max="5122" width="6.140625" style="841" customWidth="1"/>
    <col min="5123" max="5123" width="22.28515625" style="841" customWidth="1"/>
    <col min="5124" max="5124" width="9.28515625" style="841" customWidth="1"/>
    <col min="5125" max="5125" width="8.28515625" style="841" customWidth="1"/>
    <col min="5126" max="5126" width="7.7109375" style="841" customWidth="1"/>
    <col min="5127" max="5127" width="9.7109375" style="841" customWidth="1"/>
    <col min="5128" max="5128" width="7.28515625" style="841" customWidth="1"/>
    <col min="5129" max="5129" width="7.5703125" style="841" customWidth="1"/>
    <col min="5130" max="5130" width="7.7109375" style="841" customWidth="1"/>
    <col min="5131" max="5131" width="7" style="841" customWidth="1"/>
    <col min="5132" max="5132" width="7.7109375" style="841" customWidth="1"/>
    <col min="5133" max="5133" width="7" style="841" customWidth="1"/>
    <col min="5134" max="5376" width="11.5703125" style="841"/>
    <col min="5377" max="5377" width="11.42578125" style="841" customWidth="1"/>
    <col min="5378" max="5378" width="6.140625" style="841" customWidth="1"/>
    <col min="5379" max="5379" width="22.28515625" style="841" customWidth="1"/>
    <col min="5380" max="5380" width="9.28515625" style="841" customWidth="1"/>
    <col min="5381" max="5381" width="8.28515625" style="841" customWidth="1"/>
    <col min="5382" max="5382" width="7.7109375" style="841" customWidth="1"/>
    <col min="5383" max="5383" width="9.7109375" style="841" customWidth="1"/>
    <col min="5384" max="5384" width="7.28515625" style="841" customWidth="1"/>
    <col min="5385" max="5385" width="7.5703125" style="841" customWidth="1"/>
    <col min="5386" max="5386" width="7.7109375" style="841" customWidth="1"/>
    <col min="5387" max="5387" width="7" style="841" customWidth="1"/>
    <col min="5388" max="5388" width="7.7109375" style="841" customWidth="1"/>
    <col min="5389" max="5389" width="7" style="841" customWidth="1"/>
    <col min="5390" max="5632" width="11.5703125" style="841"/>
    <col min="5633" max="5633" width="11.42578125" style="841" customWidth="1"/>
    <col min="5634" max="5634" width="6.140625" style="841" customWidth="1"/>
    <col min="5635" max="5635" width="22.28515625" style="841" customWidth="1"/>
    <col min="5636" max="5636" width="9.28515625" style="841" customWidth="1"/>
    <col min="5637" max="5637" width="8.28515625" style="841" customWidth="1"/>
    <col min="5638" max="5638" width="7.7109375" style="841" customWidth="1"/>
    <col min="5639" max="5639" width="9.7109375" style="841" customWidth="1"/>
    <col min="5640" max="5640" width="7.28515625" style="841" customWidth="1"/>
    <col min="5641" max="5641" width="7.5703125" style="841" customWidth="1"/>
    <col min="5642" max="5642" width="7.7109375" style="841" customWidth="1"/>
    <col min="5643" max="5643" width="7" style="841" customWidth="1"/>
    <col min="5644" max="5644" width="7.7109375" style="841" customWidth="1"/>
    <col min="5645" max="5645" width="7" style="841" customWidth="1"/>
    <col min="5646" max="5888" width="11.5703125" style="841"/>
    <col min="5889" max="5889" width="11.42578125" style="841" customWidth="1"/>
    <col min="5890" max="5890" width="6.140625" style="841" customWidth="1"/>
    <col min="5891" max="5891" width="22.28515625" style="841" customWidth="1"/>
    <col min="5892" max="5892" width="9.28515625" style="841" customWidth="1"/>
    <col min="5893" max="5893" width="8.28515625" style="841" customWidth="1"/>
    <col min="5894" max="5894" width="7.7109375" style="841" customWidth="1"/>
    <col min="5895" max="5895" width="9.7109375" style="841" customWidth="1"/>
    <col min="5896" max="5896" width="7.28515625" style="841" customWidth="1"/>
    <col min="5897" max="5897" width="7.5703125" style="841" customWidth="1"/>
    <col min="5898" max="5898" width="7.7109375" style="841" customWidth="1"/>
    <col min="5899" max="5899" width="7" style="841" customWidth="1"/>
    <col min="5900" max="5900" width="7.7109375" style="841" customWidth="1"/>
    <col min="5901" max="5901" width="7" style="841" customWidth="1"/>
    <col min="5902" max="6144" width="11.5703125" style="841"/>
    <col min="6145" max="6145" width="11.42578125" style="841" customWidth="1"/>
    <col min="6146" max="6146" width="6.140625" style="841" customWidth="1"/>
    <col min="6147" max="6147" width="22.28515625" style="841" customWidth="1"/>
    <col min="6148" max="6148" width="9.28515625" style="841" customWidth="1"/>
    <col min="6149" max="6149" width="8.28515625" style="841" customWidth="1"/>
    <col min="6150" max="6150" width="7.7109375" style="841" customWidth="1"/>
    <col min="6151" max="6151" width="9.7109375" style="841" customWidth="1"/>
    <col min="6152" max="6152" width="7.28515625" style="841" customWidth="1"/>
    <col min="6153" max="6153" width="7.5703125" style="841" customWidth="1"/>
    <col min="6154" max="6154" width="7.7109375" style="841" customWidth="1"/>
    <col min="6155" max="6155" width="7" style="841" customWidth="1"/>
    <col min="6156" max="6156" width="7.7109375" style="841" customWidth="1"/>
    <col min="6157" max="6157" width="7" style="841" customWidth="1"/>
    <col min="6158" max="6400" width="11.5703125" style="841"/>
    <col min="6401" max="6401" width="11.42578125" style="841" customWidth="1"/>
    <col min="6402" max="6402" width="6.140625" style="841" customWidth="1"/>
    <col min="6403" max="6403" width="22.28515625" style="841" customWidth="1"/>
    <col min="6404" max="6404" width="9.28515625" style="841" customWidth="1"/>
    <col min="6405" max="6405" width="8.28515625" style="841" customWidth="1"/>
    <col min="6406" max="6406" width="7.7109375" style="841" customWidth="1"/>
    <col min="6407" max="6407" width="9.7109375" style="841" customWidth="1"/>
    <col min="6408" max="6408" width="7.28515625" style="841" customWidth="1"/>
    <col min="6409" max="6409" width="7.5703125" style="841" customWidth="1"/>
    <col min="6410" max="6410" width="7.7109375" style="841" customWidth="1"/>
    <col min="6411" max="6411" width="7" style="841" customWidth="1"/>
    <col min="6412" max="6412" width="7.7109375" style="841" customWidth="1"/>
    <col min="6413" max="6413" width="7" style="841" customWidth="1"/>
    <col min="6414" max="6656" width="11.5703125" style="841"/>
    <col min="6657" max="6657" width="11.42578125" style="841" customWidth="1"/>
    <col min="6658" max="6658" width="6.140625" style="841" customWidth="1"/>
    <col min="6659" max="6659" width="22.28515625" style="841" customWidth="1"/>
    <col min="6660" max="6660" width="9.28515625" style="841" customWidth="1"/>
    <col min="6661" max="6661" width="8.28515625" style="841" customWidth="1"/>
    <col min="6662" max="6662" width="7.7109375" style="841" customWidth="1"/>
    <col min="6663" max="6663" width="9.7109375" style="841" customWidth="1"/>
    <col min="6664" max="6664" width="7.28515625" style="841" customWidth="1"/>
    <col min="6665" max="6665" width="7.5703125" style="841" customWidth="1"/>
    <col min="6666" max="6666" width="7.7109375" style="841" customWidth="1"/>
    <col min="6667" max="6667" width="7" style="841" customWidth="1"/>
    <col min="6668" max="6668" width="7.7109375" style="841" customWidth="1"/>
    <col min="6669" max="6669" width="7" style="841" customWidth="1"/>
    <col min="6670" max="6912" width="11.5703125" style="841"/>
    <col min="6913" max="6913" width="11.42578125" style="841" customWidth="1"/>
    <col min="6914" max="6914" width="6.140625" style="841" customWidth="1"/>
    <col min="6915" max="6915" width="22.28515625" style="841" customWidth="1"/>
    <col min="6916" max="6916" width="9.28515625" style="841" customWidth="1"/>
    <col min="6917" max="6917" width="8.28515625" style="841" customWidth="1"/>
    <col min="6918" max="6918" width="7.7109375" style="841" customWidth="1"/>
    <col min="6919" max="6919" width="9.7109375" style="841" customWidth="1"/>
    <col min="6920" max="6920" width="7.28515625" style="841" customWidth="1"/>
    <col min="6921" max="6921" width="7.5703125" style="841" customWidth="1"/>
    <col min="6922" max="6922" width="7.7109375" style="841" customWidth="1"/>
    <col min="6923" max="6923" width="7" style="841" customWidth="1"/>
    <col min="6924" max="6924" width="7.7109375" style="841" customWidth="1"/>
    <col min="6925" max="6925" width="7" style="841" customWidth="1"/>
    <col min="6926" max="7168" width="11.5703125" style="841"/>
    <col min="7169" max="7169" width="11.42578125" style="841" customWidth="1"/>
    <col min="7170" max="7170" width="6.140625" style="841" customWidth="1"/>
    <col min="7171" max="7171" width="22.28515625" style="841" customWidth="1"/>
    <col min="7172" max="7172" width="9.28515625" style="841" customWidth="1"/>
    <col min="7173" max="7173" width="8.28515625" style="841" customWidth="1"/>
    <col min="7174" max="7174" width="7.7109375" style="841" customWidth="1"/>
    <col min="7175" max="7175" width="9.7109375" style="841" customWidth="1"/>
    <col min="7176" max="7176" width="7.28515625" style="841" customWidth="1"/>
    <col min="7177" max="7177" width="7.5703125" style="841" customWidth="1"/>
    <col min="7178" max="7178" width="7.7109375" style="841" customWidth="1"/>
    <col min="7179" max="7179" width="7" style="841" customWidth="1"/>
    <col min="7180" max="7180" width="7.7109375" style="841" customWidth="1"/>
    <col min="7181" max="7181" width="7" style="841" customWidth="1"/>
    <col min="7182" max="7424" width="11.5703125" style="841"/>
    <col min="7425" max="7425" width="11.42578125" style="841" customWidth="1"/>
    <col min="7426" max="7426" width="6.140625" style="841" customWidth="1"/>
    <col min="7427" max="7427" width="22.28515625" style="841" customWidth="1"/>
    <col min="7428" max="7428" width="9.28515625" style="841" customWidth="1"/>
    <col min="7429" max="7429" width="8.28515625" style="841" customWidth="1"/>
    <col min="7430" max="7430" width="7.7109375" style="841" customWidth="1"/>
    <col min="7431" max="7431" width="9.7109375" style="841" customWidth="1"/>
    <col min="7432" max="7432" width="7.28515625" style="841" customWidth="1"/>
    <col min="7433" max="7433" width="7.5703125" style="841" customWidth="1"/>
    <col min="7434" max="7434" width="7.7109375" style="841" customWidth="1"/>
    <col min="7435" max="7435" width="7" style="841" customWidth="1"/>
    <col min="7436" max="7436" width="7.7109375" style="841" customWidth="1"/>
    <col min="7437" max="7437" width="7" style="841" customWidth="1"/>
    <col min="7438" max="7680" width="11.5703125" style="841"/>
    <col min="7681" max="7681" width="11.42578125" style="841" customWidth="1"/>
    <col min="7682" max="7682" width="6.140625" style="841" customWidth="1"/>
    <col min="7683" max="7683" width="22.28515625" style="841" customWidth="1"/>
    <col min="7684" max="7684" width="9.28515625" style="841" customWidth="1"/>
    <col min="7685" max="7685" width="8.28515625" style="841" customWidth="1"/>
    <col min="7686" max="7686" width="7.7109375" style="841" customWidth="1"/>
    <col min="7687" max="7687" width="9.7109375" style="841" customWidth="1"/>
    <col min="7688" max="7688" width="7.28515625" style="841" customWidth="1"/>
    <col min="7689" max="7689" width="7.5703125" style="841" customWidth="1"/>
    <col min="7690" max="7690" width="7.7109375" style="841" customWidth="1"/>
    <col min="7691" max="7691" width="7" style="841" customWidth="1"/>
    <col min="7692" max="7692" width="7.7109375" style="841" customWidth="1"/>
    <col min="7693" max="7693" width="7" style="841" customWidth="1"/>
    <col min="7694" max="7936" width="11.5703125" style="841"/>
    <col min="7937" max="7937" width="11.42578125" style="841" customWidth="1"/>
    <col min="7938" max="7938" width="6.140625" style="841" customWidth="1"/>
    <col min="7939" max="7939" width="22.28515625" style="841" customWidth="1"/>
    <col min="7940" max="7940" width="9.28515625" style="841" customWidth="1"/>
    <col min="7941" max="7941" width="8.28515625" style="841" customWidth="1"/>
    <col min="7942" max="7942" width="7.7109375" style="841" customWidth="1"/>
    <col min="7943" max="7943" width="9.7109375" style="841" customWidth="1"/>
    <col min="7944" max="7944" width="7.28515625" style="841" customWidth="1"/>
    <col min="7945" max="7945" width="7.5703125" style="841" customWidth="1"/>
    <col min="7946" max="7946" width="7.7109375" style="841" customWidth="1"/>
    <col min="7947" max="7947" width="7" style="841" customWidth="1"/>
    <col min="7948" max="7948" width="7.7109375" style="841" customWidth="1"/>
    <col min="7949" max="7949" width="7" style="841" customWidth="1"/>
    <col min="7950" max="8192" width="11.5703125" style="841"/>
    <col min="8193" max="8193" width="11.42578125" style="841" customWidth="1"/>
    <col min="8194" max="8194" width="6.140625" style="841" customWidth="1"/>
    <col min="8195" max="8195" width="22.28515625" style="841" customWidth="1"/>
    <col min="8196" max="8196" width="9.28515625" style="841" customWidth="1"/>
    <col min="8197" max="8197" width="8.28515625" style="841" customWidth="1"/>
    <col min="8198" max="8198" width="7.7109375" style="841" customWidth="1"/>
    <col min="8199" max="8199" width="9.7109375" style="841" customWidth="1"/>
    <col min="8200" max="8200" width="7.28515625" style="841" customWidth="1"/>
    <col min="8201" max="8201" width="7.5703125" style="841" customWidth="1"/>
    <col min="8202" max="8202" width="7.7109375" style="841" customWidth="1"/>
    <col min="8203" max="8203" width="7" style="841" customWidth="1"/>
    <col min="8204" max="8204" width="7.7109375" style="841" customWidth="1"/>
    <col min="8205" max="8205" width="7" style="841" customWidth="1"/>
    <col min="8206" max="8448" width="11.5703125" style="841"/>
    <col min="8449" max="8449" width="11.42578125" style="841" customWidth="1"/>
    <col min="8450" max="8450" width="6.140625" style="841" customWidth="1"/>
    <col min="8451" max="8451" width="22.28515625" style="841" customWidth="1"/>
    <col min="8452" max="8452" width="9.28515625" style="841" customWidth="1"/>
    <col min="8453" max="8453" width="8.28515625" style="841" customWidth="1"/>
    <col min="8454" max="8454" width="7.7109375" style="841" customWidth="1"/>
    <col min="8455" max="8455" width="9.7109375" style="841" customWidth="1"/>
    <col min="8456" max="8456" width="7.28515625" style="841" customWidth="1"/>
    <col min="8457" max="8457" width="7.5703125" style="841" customWidth="1"/>
    <col min="8458" max="8458" width="7.7109375" style="841" customWidth="1"/>
    <col min="8459" max="8459" width="7" style="841" customWidth="1"/>
    <col min="8460" max="8460" width="7.7109375" style="841" customWidth="1"/>
    <col min="8461" max="8461" width="7" style="841" customWidth="1"/>
    <col min="8462" max="8704" width="11.5703125" style="841"/>
    <col min="8705" max="8705" width="11.42578125" style="841" customWidth="1"/>
    <col min="8706" max="8706" width="6.140625" style="841" customWidth="1"/>
    <col min="8707" max="8707" width="22.28515625" style="841" customWidth="1"/>
    <col min="8708" max="8708" width="9.28515625" style="841" customWidth="1"/>
    <col min="8709" max="8709" width="8.28515625" style="841" customWidth="1"/>
    <col min="8710" max="8710" width="7.7109375" style="841" customWidth="1"/>
    <col min="8711" max="8711" width="9.7109375" style="841" customWidth="1"/>
    <col min="8712" max="8712" width="7.28515625" style="841" customWidth="1"/>
    <col min="8713" max="8713" width="7.5703125" style="841" customWidth="1"/>
    <col min="8714" max="8714" width="7.7109375" style="841" customWidth="1"/>
    <col min="8715" max="8715" width="7" style="841" customWidth="1"/>
    <col min="8716" max="8716" width="7.7109375" style="841" customWidth="1"/>
    <col min="8717" max="8717" width="7" style="841" customWidth="1"/>
    <col min="8718" max="8960" width="11.5703125" style="841"/>
    <col min="8961" max="8961" width="11.42578125" style="841" customWidth="1"/>
    <col min="8962" max="8962" width="6.140625" style="841" customWidth="1"/>
    <col min="8963" max="8963" width="22.28515625" style="841" customWidth="1"/>
    <col min="8964" max="8964" width="9.28515625" style="841" customWidth="1"/>
    <col min="8965" max="8965" width="8.28515625" style="841" customWidth="1"/>
    <col min="8966" max="8966" width="7.7109375" style="841" customWidth="1"/>
    <col min="8967" max="8967" width="9.7109375" style="841" customWidth="1"/>
    <col min="8968" max="8968" width="7.28515625" style="841" customWidth="1"/>
    <col min="8969" max="8969" width="7.5703125" style="841" customWidth="1"/>
    <col min="8970" max="8970" width="7.7109375" style="841" customWidth="1"/>
    <col min="8971" max="8971" width="7" style="841" customWidth="1"/>
    <col min="8972" max="8972" width="7.7109375" style="841" customWidth="1"/>
    <col min="8973" max="8973" width="7" style="841" customWidth="1"/>
    <col min="8974" max="9216" width="11.5703125" style="841"/>
    <col min="9217" max="9217" width="11.42578125" style="841" customWidth="1"/>
    <col min="9218" max="9218" width="6.140625" style="841" customWidth="1"/>
    <col min="9219" max="9219" width="22.28515625" style="841" customWidth="1"/>
    <col min="9220" max="9220" width="9.28515625" style="841" customWidth="1"/>
    <col min="9221" max="9221" width="8.28515625" style="841" customWidth="1"/>
    <col min="9222" max="9222" width="7.7109375" style="841" customWidth="1"/>
    <col min="9223" max="9223" width="9.7109375" style="841" customWidth="1"/>
    <col min="9224" max="9224" width="7.28515625" style="841" customWidth="1"/>
    <col min="9225" max="9225" width="7.5703125" style="841" customWidth="1"/>
    <col min="9226" max="9226" width="7.7109375" style="841" customWidth="1"/>
    <col min="9227" max="9227" width="7" style="841" customWidth="1"/>
    <col min="9228" max="9228" width="7.7109375" style="841" customWidth="1"/>
    <col min="9229" max="9229" width="7" style="841" customWidth="1"/>
    <col min="9230" max="9472" width="11.5703125" style="841"/>
    <col min="9473" max="9473" width="11.42578125" style="841" customWidth="1"/>
    <col min="9474" max="9474" width="6.140625" style="841" customWidth="1"/>
    <col min="9475" max="9475" width="22.28515625" style="841" customWidth="1"/>
    <col min="9476" max="9476" width="9.28515625" style="841" customWidth="1"/>
    <col min="9477" max="9477" width="8.28515625" style="841" customWidth="1"/>
    <col min="9478" max="9478" width="7.7109375" style="841" customWidth="1"/>
    <col min="9479" max="9479" width="9.7109375" style="841" customWidth="1"/>
    <col min="9480" max="9480" width="7.28515625" style="841" customWidth="1"/>
    <col min="9481" max="9481" width="7.5703125" style="841" customWidth="1"/>
    <col min="9482" max="9482" width="7.7109375" style="841" customWidth="1"/>
    <col min="9483" max="9483" width="7" style="841" customWidth="1"/>
    <col min="9484" max="9484" width="7.7109375" style="841" customWidth="1"/>
    <col min="9485" max="9485" width="7" style="841" customWidth="1"/>
    <col min="9486" max="9728" width="11.5703125" style="841"/>
    <col min="9729" max="9729" width="11.42578125" style="841" customWidth="1"/>
    <col min="9730" max="9730" width="6.140625" style="841" customWidth="1"/>
    <col min="9731" max="9731" width="22.28515625" style="841" customWidth="1"/>
    <col min="9732" max="9732" width="9.28515625" style="841" customWidth="1"/>
    <col min="9733" max="9733" width="8.28515625" style="841" customWidth="1"/>
    <col min="9734" max="9734" width="7.7109375" style="841" customWidth="1"/>
    <col min="9735" max="9735" width="9.7109375" style="841" customWidth="1"/>
    <col min="9736" max="9736" width="7.28515625" style="841" customWidth="1"/>
    <col min="9737" max="9737" width="7.5703125" style="841" customWidth="1"/>
    <col min="9738" max="9738" width="7.7109375" style="841" customWidth="1"/>
    <col min="9739" max="9739" width="7" style="841" customWidth="1"/>
    <col min="9740" max="9740" width="7.7109375" style="841" customWidth="1"/>
    <col min="9741" max="9741" width="7" style="841" customWidth="1"/>
    <col min="9742" max="9984" width="11.5703125" style="841"/>
    <col min="9985" max="9985" width="11.42578125" style="841" customWidth="1"/>
    <col min="9986" max="9986" width="6.140625" style="841" customWidth="1"/>
    <col min="9987" max="9987" width="22.28515625" style="841" customWidth="1"/>
    <col min="9988" max="9988" width="9.28515625" style="841" customWidth="1"/>
    <col min="9989" max="9989" width="8.28515625" style="841" customWidth="1"/>
    <col min="9990" max="9990" width="7.7109375" style="841" customWidth="1"/>
    <col min="9991" max="9991" width="9.7109375" style="841" customWidth="1"/>
    <col min="9992" max="9992" width="7.28515625" style="841" customWidth="1"/>
    <col min="9993" max="9993" width="7.5703125" style="841" customWidth="1"/>
    <col min="9994" max="9994" width="7.7109375" style="841" customWidth="1"/>
    <col min="9995" max="9995" width="7" style="841" customWidth="1"/>
    <col min="9996" max="9996" width="7.7109375" style="841" customWidth="1"/>
    <col min="9997" max="9997" width="7" style="841" customWidth="1"/>
    <col min="9998" max="10240" width="11.5703125" style="841"/>
    <col min="10241" max="10241" width="11.42578125" style="841" customWidth="1"/>
    <col min="10242" max="10242" width="6.140625" style="841" customWidth="1"/>
    <col min="10243" max="10243" width="22.28515625" style="841" customWidth="1"/>
    <col min="10244" max="10244" width="9.28515625" style="841" customWidth="1"/>
    <col min="10245" max="10245" width="8.28515625" style="841" customWidth="1"/>
    <col min="10246" max="10246" width="7.7109375" style="841" customWidth="1"/>
    <col min="10247" max="10247" width="9.7109375" style="841" customWidth="1"/>
    <col min="10248" max="10248" width="7.28515625" style="841" customWidth="1"/>
    <col min="10249" max="10249" width="7.5703125" style="841" customWidth="1"/>
    <col min="10250" max="10250" width="7.7109375" style="841" customWidth="1"/>
    <col min="10251" max="10251" width="7" style="841" customWidth="1"/>
    <col min="10252" max="10252" width="7.7109375" style="841" customWidth="1"/>
    <col min="10253" max="10253" width="7" style="841" customWidth="1"/>
    <col min="10254" max="10496" width="11.5703125" style="841"/>
    <col min="10497" max="10497" width="11.42578125" style="841" customWidth="1"/>
    <col min="10498" max="10498" width="6.140625" style="841" customWidth="1"/>
    <col min="10499" max="10499" width="22.28515625" style="841" customWidth="1"/>
    <col min="10500" max="10500" width="9.28515625" style="841" customWidth="1"/>
    <col min="10501" max="10501" width="8.28515625" style="841" customWidth="1"/>
    <col min="10502" max="10502" width="7.7109375" style="841" customWidth="1"/>
    <col min="10503" max="10503" width="9.7109375" style="841" customWidth="1"/>
    <col min="10504" max="10504" width="7.28515625" style="841" customWidth="1"/>
    <col min="10505" max="10505" width="7.5703125" style="841" customWidth="1"/>
    <col min="10506" max="10506" width="7.7109375" style="841" customWidth="1"/>
    <col min="10507" max="10507" width="7" style="841" customWidth="1"/>
    <col min="10508" max="10508" width="7.7109375" style="841" customWidth="1"/>
    <col min="10509" max="10509" width="7" style="841" customWidth="1"/>
    <col min="10510" max="10752" width="11.5703125" style="841"/>
    <col min="10753" max="10753" width="11.42578125" style="841" customWidth="1"/>
    <col min="10754" max="10754" width="6.140625" style="841" customWidth="1"/>
    <col min="10755" max="10755" width="22.28515625" style="841" customWidth="1"/>
    <col min="10756" max="10756" width="9.28515625" style="841" customWidth="1"/>
    <col min="10757" max="10757" width="8.28515625" style="841" customWidth="1"/>
    <col min="10758" max="10758" width="7.7109375" style="841" customWidth="1"/>
    <col min="10759" max="10759" width="9.7109375" style="841" customWidth="1"/>
    <col min="10760" max="10760" width="7.28515625" style="841" customWidth="1"/>
    <col min="10761" max="10761" width="7.5703125" style="841" customWidth="1"/>
    <col min="10762" max="10762" width="7.7109375" style="841" customWidth="1"/>
    <col min="10763" max="10763" width="7" style="841" customWidth="1"/>
    <col min="10764" max="10764" width="7.7109375" style="841" customWidth="1"/>
    <col min="10765" max="10765" width="7" style="841" customWidth="1"/>
    <col min="10766" max="11008" width="11.5703125" style="841"/>
    <col min="11009" max="11009" width="11.42578125" style="841" customWidth="1"/>
    <col min="11010" max="11010" width="6.140625" style="841" customWidth="1"/>
    <col min="11011" max="11011" width="22.28515625" style="841" customWidth="1"/>
    <col min="11012" max="11012" width="9.28515625" style="841" customWidth="1"/>
    <col min="11013" max="11013" width="8.28515625" style="841" customWidth="1"/>
    <col min="11014" max="11014" width="7.7109375" style="841" customWidth="1"/>
    <col min="11015" max="11015" width="9.7109375" style="841" customWidth="1"/>
    <col min="11016" max="11016" width="7.28515625" style="841" customWidth="1"/>
    <col min="11017" max="11017" width="7.5703125" style="841" customWidth="1"/>
    <col min="11018" max="11018" width="7.7109375" style="841" customWidth="1"/>
    <col min="11019" max="11019" width="7" style="841" customWidth="1"/>
    <col min="11020" max="11020" width="7.7109375" style="841" customWidth="1"/>
    <col min="11021" max="11021" width="7" style="841" customWidth="1"/>
    <col min="11022" max="11264" width="11.5703125" style="841"/>
    <col min="11265" max="11265" width="11.42578125" style="841" customWidth="1"/>
    <col min="11266" max="11266" width="6.140625" style="841" customWidth="1"/>
    <col min="11267" max="11267" width="22.28515625" style="841" customWidth="1"/>
    <col min="11268" max="11268" width="9.28515625" style="841" customWidth="1"/>
    <col min="11269" max="11269" width="8.28515625" style="841" customWidth="1"/>
    <col min="11270" max="11270" width="7.7109375" style="841" customWidth="1"/>
    <col min="11271" max="11271" width="9.7109375" style="841" customWidth="1"/>
    <col min="11272" max="11272" width="7.28515625" style="841" customWidth="1"/>
    <col min="11273" max="11273" width="7.5703125" style="841" customWidth="1"/>
    <col min="11274" max="11274" width="7.7109375" style="841" customWidth="1"/>
    <col min="11275" max="11275" width="7" style="841" customWidth="1"/>
    <col min="11276" max="11276" width="7.7109375" style="841" customWidth="1"/>
    <col min="11277" max="11277" width="7" style="841" customWidth="1"/>
    <col min="11278" max="11520" width="11.5703125" style="841"/>
    <col min="11521" max="11521" width="11.42578125" style="841" customWidth="1"/>
    <col min="11522" max="11522" width="6.140625" style="841" customWidth="1"/>
    <col min="11523" max="11523" width="22.28515625" style="841" customWidth="1"/>
    <col min="11524" max="11524" width="9.28515625" style="841" customWidth="1"/>
    <col min="11525" max="11525" width="8.28515625" style="841" customWidth="1"/>
    <col min="11526" max="11526" width="7.7109375" style="841" customWidth="1"/>
    <col min="11527" max="11527" width="9.7109375" style="841" customWidth="1"/>
    <col min="11528" max="11528" width="7.28515625" style="841" customWidth="1"/>
    <col min="11529" max="11529" width="7.5703125" style="841" customWidth="1"/>
    <col min="11530" max="11530" width="7.7109375" style="841" customWidth="1"/>
    <col min="11531" max="11531" width="7" style="841" customWidth="1"/>
    <col min="11532" max="11532" width="7.7109375" style="841" customWidth="1"/>
    <col min="11533" max="11533" width="7" style="841" customWidth="1"/>
    <col min="11534" max="11776" width="11.5703125" style="841"/>
    <col min="11777" max="11777" width="11.42578125" style="841" customWidth="1"/>
    <col min="11778" max="11778" width="6.140625" style="841" customWidth="1"/>
    <col min="11779" max="11779" width="22.28515625" style="841" customWidth="1"/>
    <col min="11780" max="11780" width="9.28515625" style="841" customWidth="1"/>
    <col min="11781" max="11781" width="8.28515625" style="841" customWidth="1"/>
    <col min="11782" max="11782" width="7.7109375" style="841" customWidth="1"/>
    <col min="11783" max="11783" width="9.7109375" style="841" customWidth="1"/>
    <col min="11784" max="11784" width="7.28515625" style="841" customWidth="1"/>
    <col min="11785" max="11785" width="7.5703125" style="841" customWidth="1"/>
    <col min="11786" max="11786" width="7.7109375" style="841" customWidth="1"/>
    <col min="11787" max="11787" width="7" style="841" customWidth="1"/>
    <col min="11788" max="11788" width="7.7109375" style="841" customWidth="1"/>
    <col min="11789" max="11789" width="7" style="841" customWidth="1"/>
    <col min="11790" max="12032" width="11.5703125" style="841"/>
    <col min="12033" max="12033" width="11.42578125" style="841" customWidth="1"/>
    <col min="12034" max="12034" width="6.140625" style="841" customWidth="1"/>
    <col min="12035" max="12035" width="22.28515625" style="841" customWidth="1"/>
    <col min="12036" max="12036" width="9.28515625" style="841" customWidth="1"/>
    <col min="12037" max="12037" width="8.28515625" style="841" customWidth="1"/>
    <col min="12038" max="12038" width="7.7109375" style="841" customWidth="1"/>
    <col min="12039" max="12039" width="9.7109375" style="841" customWidth="1"/>
    <col min="12040" max="12040" width="7.28515625" style="841" customWidth="1"/>
    <col min="12041" max="12041" width="7.5703125" style="841" customWidth="1"/>
    <col min="12042" max="12042" width="7.7109375" style="841" customWidth="1"/>
    <col min="12043" max="12043" width="7" style="841" customWidth="1"/>
    <col min="12044" max="12044" width="7.7109375" style="841" customWidth="1"/>
    <col min="12045" max="12045" width="7" style="841" customWidth="1"/>
    <col min="12046" max="12288" width="11.5703125" style="841"/>
    <col min="12289" max="12289" width="11.42578125" style="841" customWidth="1"/>
    <col min="12290" max="12290" width="6.140625" style="841" customWidth="1"/>
    <col min="12291" max="12291" width="22.28515625" style="841" customWidth="1"/>
    <col min="12292" max="12292" width="9.28515625" style="841" customWidth="1"/>
    <col min="12293" max="12293" width="8.28515625" style="841" customWidth="1"/>
    <col min="12294" max="12294" width="7.7109375" style="841" customWidth="1"/>
    <col min="12295" max="12295" width="9.7109375" style="841" customWidth="1"/>
    <col min="12296" max="12296" width="7.28515625" style="841" customWidth="1"/>
    <col min="12297" max="12297" width="7.5703125" style="841" customWidth="1"/>
    <col min="12298" max="12298" width="7.7109375" style="841" customWidth="1"/>
    <col min="12299" max="12299" width="7" style="841" customWidth="1"/>
    <col min="12300" max="12300" width="7.7109375" style="841" customWidth="1"/>
    <col min="12301" max="12301" width="7" style="841" customWidth="1"/>
    <col min="12302" max="12544" width="11.5703125" style="841"/>
    <col min="12545" max="12545" width="11.42578125" style="841" customWidth="1"/>
    <col min="12546" max="12546" width="6.140625" style="841" customWidth="1"/>
    <col min="12547" max="12547" width="22.28515625" style="841" customWidth="1"/>
    <col min="12548" max="12548" width="9.28515625" style="841" customWidth="1"/>
    <col min="12549" max="12549" width="8.28515625" style="841" customWidth="1"/>
    <col min="12550" max="12550" width="7.7109375" style="841" customWidth="1"/>
    <col min="12551" max="12551" width="9.7109375" style="841" customWidth="1"/>
    <col min="12552" max="12552" width="7.28515625" style="841" customWidth="1"/>
    <col min="12553" max="12553" width="7.5703125" style="841" customWidth="1"/>
    <col min="12554" max="12554" width="7.7109375" style="841" customWidth="1"/>
    <col min="12555" max="12555" width="7" style="841" customWidth="1"/>
    <col min="12556" max="12556" width="7.7109375" style="841" customWidth="1"/>
    <col min="12557" max="12557" width="7" style="841" customWidth="1"/>
    <col min="12558" max="12800" width="11.5703125" style="841"/>
    <col min="12801" max="12801" width="11.42578125" style="841" customWidth="1"/>
    <col min="12802" max="12802" width="6.140625" style="841" customWidth="1"/>
    <col min="12803" max="12803" width="22.28515625" style="841" customWidth="1"/>
    <col min="12804" max="12804" width="9.28515625" style="841" customWidth="1"/>
    <col min="12805" max="12805" width="8.28515625" style="841" customWidth="1"/>
    <col min="12806" max="12806" width="7.7109375" style="841" customWidth="1"/>
    <col min="12807" max="12807" width="9.7109375" style="841" customWidth="1"/>
    <col min="12808" max="12808" width="7.28515625" style="841" customWidth="1"/>
    <col min="12809" max="12809" width="7.5703125" style="841" customWidth="1"/>
    <col min="12810" max="12810" width="7.7109375" style="841" customWidth="1"/>
    <col min="12811" max="12811" width="7" style="841" customWidth="1"/>
    <col min="12812" max="12812" width="7.7109375" style="841" customWidth="1"/>
    <col min="12813" max="12813" width="7" style="841" customWidth="1"/>
    <col min="12814" max="13056" width="11.5703125" style="841"/>
    <col min="13057" max="13057" width="11.42578125" style="841" customWidth="1"/>
    <col min="13058" max="13058" width="6.140625" style="841" customWidth="1"/>
    <col min="13059" max="13059" width="22.28515625" style="841" customWidth="1"/>
    <col min="13060" max="13060" width="9.28515625" style="841" customWidth="1"/>
    <col min="13061" max="13061" width="8.28515625" style="841" customWidth="1"/>
    <col min="13062" max="13062" width="7.7109375" style="841" customWidth="1"/>
    <col min="13063" max="13063" width="9.7109375" style="841" customWidth="1"/>
    <col min="13064" max="13064" width="7.28515625" style="841" customWidth="1"/>
    <col min="13065" max="13065" width="7.5703125" style="841" customWidth="1"/>
    <col min="13066" max="13066" width="7.7109375" style="841" customWidth="1"/>
    <col min="13067" max="13067" width="7" style="841" customWidth="1"/>
    <col min="13068" max="13068" width="7.7109375" style="841" customWidth="1"/>
    <col min="13069" max="13069" width="7" style="841" customWidth="1"/>
    <col min="13070" max="13312" width="11.5703125" style="841"/>
    <col min="13313" max="13313" width="11.42578125" style="841" customWidth="1"/>
    <col min="13314" max="13314" width="6.140625" style="841" customWidth="1"/>
    <col min="13315" max="13315" width="22.28515625" style="841" customWidth="1"/>
    <col min="13316" max="13316" width="9.28515625" style="841" customWidth="1"/>
    <col min="13317" max="13317" width="8.28515625" style="841" customWidth="1"/>
    <col min="13318" max="13318" width="7.7109375" style="841" customWidth="1"/>
    <col min="13319" max="13319" width="9.7109375" style="841" customWidth="1"/>
    <col min="13320" max="13320" width="7.28515625" style="841" customWidth="1"/>
    <col min="13321" max="13321" width="7.5703125" style="841" customWidth="1"/>
    <col min="13322" max="13322" width="7.7109375" style="841" customWidth="1"/>
    <col min="13323" max="13323" width="7" style="841" customWidth="1"/>
    <col min="13324" max="13324" width="7.7109375" style="841" customWidth="1"/>
    <col min="13325" max="13325" width="7" style="841" customWidth="1"/>
    <col min="13326" max="13568" width="11.5703125" style="841"/>
    <col min="13569" max="13569" width="11.42578125" style="841" customWidth="1"/>
    <col min="13570" max="13570" width="6.140625" style="841" customWidth="1"/>
    <col min="13571" max="13571" width="22.28515625" style="841" customWidth="1"/>
    <col min="13572" max="13572" width="9.28515625" style="841" customWidth="1"/>
    <col min="13573" max="13573" width="8.28515625" style="841" customWidth="1"/>
    <col min="13574" max="13574" width="7.7109375" style="841" customWidth="1"/>
    <col min="13575" max="13575" width="9.7109375" style="841" customWidth="1"/>
    <col min="13576" max="13576" width="7.28515625" style="841" customWidth="1"/>
    <col min="13577" max="13577" width="7.5703125" style="841" customWidth="1"/>
    <col min="13578" max="13578" width="7.7109375" style="841" customWidth="1"/>
    <col min="13579" max="13579" width="7" style="841" customWidth="1"/>
    <col min="13580" max="13580" width="7.7109375" style="841" customWidth="1"/>
    <col min="13581" max="13581" width="7" style="841" customWidth="1"/>
    <col min="13582" max="13824" width="11.5703125" style="841"/>
    <col min="13825" max="13825" width="11.42578125" style="841" customWidth="1"/>
    <col min="13826" max="13826" width="6.140625" style="841" customWidth="1"/>
    <col min="13827" max="13827" width="22.28515625" style="841" customWidth="1"/>
    <col min="13828" max="13828" width="9.28515625" style="841" customWidth="1"/>
    <col min="13829" max="13829" width="8.28515625" style="841" customWidth="1"/>
    <col min="13830" max="13830" width="7.7109375" style="841" customWidth="1"/>
    <col min="13831" max="13831" width="9.7109375" style="841" customWidth="1"/>
    <col min="13832" max="13832" width="7.28515625" style="841" customWidth="1"/>
    <col min="13833" max="13833" width="7.5703125" style="841" customWidth="1"/>
    <col min="13834" max="13834" width="7.7109375" style="841" customWidth="1"/>
    <col min="13835" max="13835" width="7" style="841" customWidth="1"/>
    <col min="13836" max="13836" width="7.7109375" style="841" customWidth="1"/>
    <col min="13837" max="13837" width="7" style="841" customWidth="1"/>
    <col min="13838" max="14080" width="11.5703125" style="841"/>
    <col min="14081" max="14081" width="11.42578125" style="841" customWidth="1"/>
    <col min="14082" max="14082" width="6.140625" style="841" customWidth="1"/>
    <col min="14083" max="14083" width="22.28515625" style="841" customWidth="1"/>
    <col min="14084" max="14084" width="9.28515625" style="841" customWidth="1"/>
    <col min="14085" max="14085" width="8.28515625" style="841" customWidth="1"/>
    <col min="14086" max="14086" width="7.7109375" style="841" customWidth="1"/>
    <col min="14087" max="14087" width="9.7109375" style="841" customWidth="1"/>
    <col min="14088" max="14088" width="7.28515625" style="841" customWidth="1"/>
    <col min="14089" max="14089" width="7.5703125" style="841" customWidth="1"/>
    <col min="14090" max="14090" width="7.7109375" style="841" customWidth="1"/>
    <col min="14091" max="14091" width="7" style="841" customWidth="1"/>
    <col min="14092" max="14092" width="7.7109375" style="841" customWidth="1"/>
    <col min="14093" max="14093" width="7" style="841" customWidth="1"/>
    <col min="14094" max="14336" width="11.5703125" style="841"/>
    <col min="14337" max="14337" width="11.42578125" style="841" customWidth="1"/>
    <col min="14338" max="14338" width="6.140625" style="841" customWidth="1"/>
    <col min="14339" max="14339" width="22.28515625" style="841" customWidth="1"/>
    <col min="14340" max="14340" width="9.28515625" style="841" customWidth="1"/>
    <col min="14341" max="14341" width="8.28515625" style="841" customWidth="1"/>
    <col min="14342" max="14342" width="7.7109375" style="841" customWidth="1"/>
    <col min="14343" max="14343" width="9.7109375" style="841" customWidth="1"/>
    <col min="14344" max="14344" width="7.28515625" style="841" customWidth="1"/>
    <col min="14345" max="14345" width="7.5703125" style="841" customWidth="1"/>
    <col min="14346" max="14346" width="7.7109375" style="841" customWidth="1"/>
    <col min="14347" max="14347" width="7" style="841" customWidth="1"/>
    <col min="14348" max="14348" width="7.7109375" style="841" customWidth="1"/>
    <col min="14349" max="14349" width="7" style="841" customWidth="1"/>
    <col min="14350" max="14592" width="11.5703125" style="841"/>
    <col min="14593" max="14593" width="11.42578125" style="841" customWidth="1"/>
    <col min="14594" max="14594" width="6.140625" style="841" customWidth="1"/>
    <col min="14595" max="14595" width="22.28515625" style="841" customWidth="1"/>
    <col min="14596" max="14596" width="9.28515625" style="841" customWidth="1"/>
    <col min="14597" max="14597" width="8.28515625" style="841" customWidth="1"/>
    <col min="14598" max="14598" width="7.7109375" style="841" customWidth="1"/>
    <col min="14599" max="14599" width="9.7109375" style="841" customWidth="1"/>
    <col min="14600" max="14600" width="7.28515625" style="841" customWidth="1"/>
    <col min="14601" max="14601" width="7.5703125" style="841" customWidth="1"/>
    <col min="14602" max="14602" width="7.7109375" style="841" customWidth="1"/>
    <col min="14603" max="14603" width="7" style="841" customWidth="1"/>
    <col min="14604" max="14604" width="7.7109375" style="841" customWidth="1"/>
    <col min="14605" max="14605" width="7" style="841" customWidth="1"/>
    <col min="14606" max="14848" width="11.5703125" style="841"/>
    <col min="14849" max="14849" width="11.42578125" style="841" customWidth="1"/>
    <col min="14850" max="14850" width="6.140625" style="841" customWidth="1"/>
    <col min="14851" max="14851" width="22.28515625" style="841" customWidth="1"/>
    <col min="14852" max="14852" width="9.28515625" style="841" customWidth="1"/>
    <col min="14853" max="14853" width="8.28515625" style="841" customWidth="1"/>
    <col min="14854" max="14854" width="7.7109375" style="841" customWidth="1"/>
    <col min="14855" max="14855" width="9.7109375" style="841" customWidth="1"/>
    <col min="14856" max="14856" width="7.28515625" style="841" customWidth="1"/>
    <col min="14857" max="14857" width="7.5703125" style="841" customWidth="1"/>
    <col min="14858" max="14858" width="7.7109375" style="841" customWidth="1"/>
    <col min="14859" max="14859" width="7" style="841" customWidth="1"/>
    <col min="14860" max="14860" width="7.7109375" style="841" customWidth="1"/>
    <col min="14861" max="14861" width="7" style="841" customWidth="1"/>
    <col min="14862" max="15104" width="11.5703125" style="841"/>
    <col min="15105" max="15105" width="11.42578125" style="841" customWidth="1"/>
    <col min="15106" max="15106" width="6.140625" style="841" customWidth="1"/>
    <col min="15107" max="15107" width="22.28515625" style="841" customWidth="1"/>
    <col min="15108" max="15108" width="9.28515625" style="841" customWidth="1"/>
    <col min="15109" max="15109" width="8.28515625" style="841" customWidth="1"/>
    <col min="15110" max="15110" width="7.7109375" style="841" customWidth="1"/>
    <col min="15111" max="15111" width="9.7109375" style="841" customWidth="1"/>
    <col min="15112" max="15112" width="7.28515625" style="841" customWidth="1"/>
    <col min="15113" max="15113" width="7.5703125" style="841" customWidth="1"/>
    <col min="15114" max="15114" width="7.7109375" style="841" customWidth="1"/>
    <col min="15115" max="15115" width="7" style="841" customWidth="1"/>
    <col min="15116" max="15116" width="7.7109375" style="841" customWidth="1"/>
    <col min="15117" max="15117" width="7" style="841" customWidth="1"/>
    <col min="15118" max="15360" width="11.5703125" style="841"/>
    <col min="15361" max="15361" width="11.42578125" style="841" customWidth="1"/>
    <col min="15362" max="15362" width="6.140625" style="841" customWidth="1"/>
    <col min="15363" max="15363" width="22.28515625" style="841" customWidth="1"/>
    <col min="15364" max="15364" width="9.28515625" style="841" customWidth="1"/>
    <col min="15365" max="15365" width="8.28515625" style="841" customWidth="1"/>
    <col min="15366" max="15366" width="7.7109375" style="841" customWidth="1"/>
    <col min="15367" max="15367" width="9.7109375" style="841" customWidth="1"/>
    <col min="15368" max="15368" width="7.28515625" style="841" customWidth="1"/>
    <col min="15369" max="15369" width="7.5703125" style="841" customWidth="1"/>
    <col min="15370" max="15370" width="7.7109375" style="841" customWidth="1"/>
    <col min="15371" max="15371" width="7" style="841" customWidth="1"/>
    <col min="15372" max="15372" width="7.7109375" style="841" customWidth="1"/>
    <col min="15373" max="15373" width="7" style="841" customWidth="1"/>
    <col min="15374" max="15616" width="11.5703125" style="841"/>
    <col min="15617" max="15617" width="11.42578125" style="841" customWidth="1"/>
    <col min="15618" max="15618" width="6.140625" style="841" customWidth="1"/>
    <col min="15619" max="15619" width="22.28515625" style="841" customWidth="1"/>
    <col min="15620" max="15620" width="9.28515625" style="841" customWidth="1"/>
    <col min="15621" max="15621" width="8.28515625" style="841" customWidth="1"/>
    <col min="15622" max="15622" width="7.7109375" style="841" customWidth="1"/>
    <col min="15623" max="15623" width="9.7109375" style="841" customWidth="1"/>
    <col min="15624" max="15624" width="7.28515625" style="841" customWidth="1"/>
    <col min="15625" max="15625" width="7.5703125" style="841" customWidth="1"/>
    <col min="15626" max="15626" width="7.7109375" style="841" customWidth="1"/>
    <col min="15627" max="15627" width="7" style="841" customWidth="1"/>
    <col min="15628" max="15628" width="7.7109375" style="841" customWidth="1"/>
    <col min="15629" max="15629" width="7" style="841" customWidth="1"/>
    <col min="15630" max="15872" width="11.5703125" style="841"/>
    <col min="15873" max="15873" width="11.42578125" style="841" customWidth="1"/>
    <col min="15874" max="15874" width="6.140625" style="841" customWidth="1"/>
    <col min="15875" max="15875" width="22.28515625" style="841" customWidth="1"/>
    <col min="15876" max="15876" width="9.28515625" style="841" customWidth="1"/>
    <col min="15877" max="15877" width="8.28515625" style="841" customWidth="1"/>
    <col min="15878" max="15878" width="7.7109375" style="841" customWidth="1"/>
    <col min="15879" max="15879" width="9.7109375" style="841" customWidth="1"/>
    <col min="15880" max="15880" width="7.28515625" style="841" customWidth="1"/>
    <col min="15881" max="15881" width="7.5703125" style="841" customWidth="1"/>
    <col min="15882" max="15882" width="7.7109375" style="841" customWidth="1"/>
    <col min="15883" max="15883" width="7" style="841" customWidth="1"/>
    <col min="15884" max="15884" width="7.7109375" style="841" customWidth="1"/>
    <col min="15885" max="15885" width="7" style="841" customWidth="1"/>
    <col min="15886" max="16128" width="11.5703125" style="841"/>
    <col min="16129" max="16129" width="11.42578125" style="841" customWidth="1"/>
    <col min="16130" max="16130" width="6.140625" style="841" customWidth="1"/>
    <col min="16131" max="16131" width="22.28515625" style="841" customWidth="1"/>
    <col min="16132" max="16132" width="9.28515625" style="841" customWidth="1"/>
    <col min="16133" max="16133" width="8.28515625" style="841" customWidth="1"/>
    <col min="16134" max="16134" width="7.7109375" style="841" customWidth="1"/>
    <col min="16135" max="16135" width="9.7109375" style="841" customWidth="1"/>
    <col min="16136" max="16136" width="7.28515625" style="841" customWidth="1"/>
    <col min="16137" max="16137" width="7.5703125" style="841" customWidth="1"/>
    <col min="16138" max="16138" width="7.7109375" style="841" customWidth="1"/>
    <col min="16139" max="16139" width="7" style="841" customWidth="1"/>
    <col min="16140" max="16140" width="7.7109375" style="841" customWidth="1"/>
    <col min="16141" max="16141" width="7" style="841" customWidth="1"/>
    <col min="16142" max="16384" width="11.5703125" style="841"/>
  </cols>
  <sheetData>
    <row r="1" spans="1:15" ht="26.25" customHeight="1" x14ac:dyDescent="0.4">
      <c r="A1" s="909" t="s">
        <v>1667</v>
      </c>
      <c r="B1" s="910"/>
      <c r="C1" s="911"/>
      <c r="F1" s="912" t="s">
        <v>1815</v>
      </c>
      <c r="G1" s="913"/>
      <c r="H1" s="913"/>
      <c r="I1" s="913"/>
      <c r="J1" s="913"/>
      <c r="K1" s="913"/>
      <c r="L1" s="914"/>
    </row>
    <row r="2" spans="1:15" ht="21" customHeight="1" x14ac:dyDescent="0.35">
      <c r="A2" s="905" t="s">
        <v>1669</v>
      </c>
      <c r="B2" s="906"/>
      <c r="C2" s="842" t="s">
        <v>1670</v>
      </c>
      <c r="F2" s="905" t="s">
        <v>1669</v>
      </c>
      <c r="G2" s="906"/>
      <c r="H2" s="907" t="s">
        <v>1681</v>
      </c>
      <c r="I2" s="907"/>
      <c r="J2" s="907"/>
      <c r="K2" s="907"/>
      <c r="L2" s="908"/>
    </row>
    <row r="3" spans="1:15" ht="21.75" customHeight="1" x14ac:dyDescent="0.35">
      <c r="A3" s="905" t="s">
        <v>1671</v>
      </c>
      <c r="B3" s="906"/>
      <c r="C3" s="842" t="s">
        <v>1672</v>
      </c>
      <c r="F3" s="905" t="s">
        <v>1671</v>
      </c>
      <c r="G3" s="906"/>
      <c r="H3" s="907" t="s">
        <v>1682</v>
      </c>
      <c r="I3" s="907"/>
      <c r="J3" s="907"/>
      <c r="K3" s="907"/>
      <c r="L3" s="908"/>
    </row>
    <row r="4" spans="1:15" ht="21.75" thickBot="1" x14ac:dyDescent="0.4">
      <c r="A4" s="915" t="s">
        <v>1673</v>
      </c>
      <c r="B4" s="916"/>
      <c r="C4" s="843" t="s">
        <v>1674</v>
      </c>
      <c r="F4" s="915" t="s">
        <v>1673</v>
      </c>
      <c r="G4" s="916"/>
      <c r="H4" s="917" t="s">
        <v>1816</v>
      </c>
      <c r="I4" s="917"/>
      <c r="J4" s="917"/>
      <c r="K4" s="917"/>
      <c r="L4" s="918"/>
    </row>
    <row r="5" spans="1:15" ht="7.5" customHeight="1" thickBot="1" x14ac:dyDescent="0.4">
      <c r="A5" s="844"/>
      <c r="C5" s="844"/>
    </row>
    <row r="6" spans="1:15" ht="35.450000000000003" customHeight="1" thickBot="1" x14ac:dyDescent="0.25">
      <c r="A6" s="919" t="s">
        <v>1668</v>
      </c>
      <c r="B6" s="920"/>
      <c r="C6" s="921"/>
      <c r="F6" s="922" t="s">
        <v>1675</v>
      </c>
      <c r="G6" s="923"/>
      <c r="H6" s="924"/>
      <c r="I6" s="925">
        <f ca="1">+TODAY()</f>
        <v>46099</v>
      </c>
      <c r="J6" s="926"/>
      <c r="K6" s="926"/>
      <c r="L6" s="926"/>
      <c r="M6" s="927"/>
    </row>
    <row r="7" spans="1:15" ht="3" customHeight="1" thickBot="1" x14ac:dyDescent="0.25"/>
    <row r="8" spans="1:15" ht="42.75" customHeight="1" thickBot="1" x14ac:dyDescent="0.25">
      <c r="A8" s="935" t="s">
        <v>1676</v>
      </c>
      <c r="B8" s="936"/>
      <c r="C8" s="845" t="s">
        <v>1828</v>
      </c>
      <c r="D8" s="846" t="s">
        <v>1677</v>
      </c>
      <c r="E8" s="847">
        <v>3183</v>
      </c>
      <c r="F8" s="935" t="s">
        <v>1678</v>
      </c>
      <c r="G8" s="937"/>
      <c r="H8" s="936"/>
      <c r="I8" s="938" t="s">
        <v>1672</v>
      </c>
      <c r="J8" s="939"/>
      <c r="K8" s="939"/>
      <c r="L8" s="939"/>
      <c r="M8" s="940"/>
    </row>
    <row r="9" spans="1:15" ht="7.5" customHeight="1" thickBot="1" x14ac:dyDescent="0.4">
      <c r="A9" s="844"/>
      <c r="C9" s="844"/>
    </row>
    <row r="10" spans="1:15" ht="39.6" customHeight="1" thickBot="1" x14ac:dyDescent="0.25">
      <c r="A10" s="941" t="s">
        <v>1818</v>
      </c>
      <c r="B10" s="942"/>
      <c r="C10" s="942"/>
      <c r="D10" s="942"/>
      <c r="E10" s="942"/>
      <c r="F10" s="942"/>
      <c r="G10" s="942"/>
      <c r="H10" s="942"/>
      <c r="I10" s="942"/>
      <c r="J10" s="942"/>
      <c r="K10" s="942"/>
      <c r="L10" s="942"/>
      <c r="M10" s="943"/>
    </row>
    <row r="11" spans="1:15" ht="6" customHeight="1" thickBot="1" x14ac:dyDescent="0.4">
      <c r="A11" s="844"/>
      <c r="C11" s="844"/>
    </row>
    <row r="12" spans="1:15" ht="27" thickBot="1" x14ac:dyDescent="0.25">
      <c r="A12" s="944" t="s">
        <v>1679</v>
      </c>
      <c r="B12" s="945"/>
      <c r="C12" s="945"/>
      <c r="D12" s="945"/>
      <c r="E12" s="945"/>
      <c r="F12" s="945"/>
      <c r="G12" s="945"/>
      <c r="H12" s="945"/>
      <c r="I12" s="945"/>
      <c r="J12" s="945"/>
      <c r="K12" s="945"/>
      <c r="L12" s="945"/>
      <c r="M12" s="946"/>
    </row>
    <row r="13" spans="1:15" ht="38.25" thickBot="1" x14ac:dyDescent="0.25">
      <c r="A13" s="848" t="s">
        <v>1293</v>
      </c>
      <c r="B13" s="849" t="s">
        <v>1664</v>
      </c>
      <c r="C13" s="850" t="s">
        <v>1819</v>
      </c>
      <c r="D13" s="851" t="s">
        <v>1042</v>
      </c>
      <c r="E13" s="852" t="s">
        <v>1820</v>
      </c>
      <c r="F13" s="852" t="s">
        <v>1821</v>
      </c>
      <c r="G13" s="853" t="s">
        <v>1822</v>
      </c>
      <c r="H13" s="849" t="s">
        <v>1823</v>
      </c>
      <c r="I13" s="849" t="s">
        <v>1824</v>
      </c>
      <c r="J13" s="849" t="s">
        <v>1823</v>
      </c>
      <c r="K13" s="849" t="s">
        <v>1824</v>
      </c>
      <c r="L13" s="849" t="s">
        <v>1823</v>
      </c>
      <c r="M13" s="849" t="s">
        <v>1824</v>
      </c>
    </row>
    <row r="14" spans="1:15" ht="33.6" customHeight="1" x14ac:dyDescent="0.2">
      <c r="A14" s="928" t="str" cm="1">
        <f t="array" ref="A14">+IFERROR(INDEX('Pedido VACIO'!$B:$B,MATCH(1,('Pedido VACIO'!$H:$H=$B14)*('Pedido VACIO'!$A:$A="Cia"),0)),"")</f>
        <v/>
      </c>
      <c r="B14" s="930">
        <v>1</v>
      </c>
      <c r="C14" s="932" t="str" cm="1">
        <f t="array" ref="C14">+IFERROR(INDEX('Pedido VACIO'!$F:$F,MATCH(1,('Pedido VACIO'!$H:$H=$B14)*('Pedido VACIO'!$A:$A="Cia"),0)),"")</f>
        <v/>
      </c>
      <c r="D14" s="932" t="str" cm="1">
        <f t="array" ref="D14">+IFERROR(INDEX('Pedido VACIO'!$G:$G,MATCH(1,('Pedido VACIO'!$H:$H=$B14)*('Pedido VACIO'!$A:$A="Cia"),0)),"")</f>
        <v/>
      </c>
      <c r="E14" s="854" t="str">
        <f>+IF(E13="LK","CH",IF(D14="","",IF(D14&gt;0,"LK","CH")))</f>
        <v/>
      </c>
      <c r="F14" s="854" t="str">
        <f>+IF(OR(E14="LK"),ROUNDUP(D14*(VLOOKUP(B14,'Pedido VACIO'!$H:$AK,30,0))/70,0)*1,IF(E14="CH",D13-F13,""))</f>
        <v/>
      </c>
      <c r="G14" s="934"/>
      <c r="H14" s="856"/>
      <c r="I14" s="857"/>
      <c r="J14" s="856"/>
      <c r="K14" s="857"/>
      <c r="L14" s="856"/>
      <c r="M14" s="858"/>
      <c r="O14" s="859"/>
    </row>
    <row r="15" spans="1:15" ht="33.6" customHeight="1" x14ac:dyDescent="0.2">
      <c r="A15" s="929"/>
      <c r="B15" s="931"/>
      <c r="C15" s="933"/>
      <c r="D15" s="933"/>
      <c r="E15" s="860" t="str">
        <f t="shared" ref="E15:E43" si="0">+IF(E14="LK","CH",IF(D15="","",IF(D15&gt;0,"LK","CH")))</f>
        <v/>
      </c>
      <c r="F15" s="854" t="str">
        <f>+IF(OR(E15="LK"),ROUNDUP(D15*(VLOOKUP(B15,'Pedido VACIO'!$H:$AK,30,0))/70,0)*1,IF(E15="CH",D14-F14,""))</f>
        <v/>
      </c>
      <c r="G15" s="931"/>
      <c r="H15" s="861"/>
      <c r="I15" s="862"/>
      <c r="J15" s="861"/>
      <c r="K15" s="862"/>
      <c r="L15" s="861"/>
      <c r="M15" s="863"/>
    </row>
    <row r="16" spans="1:15" ht="33.6" customHeight="1" x14ac:dyDescent="0.2">
      <c r="A16" s="947" t="str" cm="1">
        <f t="array" ref="A16">+IFERROR(INDEX('Pedido VACIO'!$B:$B,MATCH(1,('Pedido VACIO'!$H:$H=$B16)*('Pedido VACIO'!$A:$A="Cia"),0)),"")</f>
        <v/>
      </c>
      <c r="B16" s="931">
        <f>+B14+1</f>
        <v>2</v>
      </c>
      <c r="C16" s="948" t="str" cm="1">
        <f t="array" ref="C16">+IFERROR(INDEX('Pedido VACIO'!$F:$F,MATCH(1,('Pedido VACIO'!$H:$H=$B16)*('Pedido VACIO'!$A:$A="Cia"),0)),"")</f>
        <v/>
      </c>
      <c r="D16" s="949" t="str" cm="1">
        <f t="array" ref="D16">+IFERROR(INDEX('Pedido VACIO'!$G:$G,MATCH(1,('Pedido VACIO'!$H:$H=$B16)*('Pedido VACIO'!$A:$A="Cia"),0)),"")</f>
        <v/>
      </c>
      <c r="E16" s="860" t="str">
        <f t="shared" si="0"/>
        <v/>
      </c>
      <c r="F16" s="854" t="str">
        <f>+IF(OR(E16="LK"),ROUNDUP(D16*(VLOOKUP(B16,'Pedido VACIO'!$H:$AK,30,0))/70,0)*1,IF(E16="CH",D15-F15,""))</f>
        <v/>
      </c>
      <c r="G16" s="931"/>
      <c r="H16" s="862"/>
      <c r="I16" s="862"/>
      <c r="J16" s="862"/>
      <c r="K16" s="862"/>
      <c r="L16" s="862"/>
      <c r="M16" s="863"/>
    </row>
    <row r="17" spans="1:13" ht="33.6" customHeight="1" x14ac:dyDescent="0.2">
      <c r="A17" s="947"/>
      <c r="B17" s="931"/>
      <c r="C17" s="948"/>
      <c r="D17" s="949"/>
      <c r="E17" s="860" t="str">
        <f t="shared" si="0"/>
        <v/>
      </c>
      <c r="F17" s="854" t="str">
        <f>+IF(OR(E17="LK"),ROUNDUP(D17*(VLOOKUP(B17,'Pedido VACIO'!$H:$AK,30,0))/70,0)*1,IF(E17="CH",D16-F16,""))</f>
        <v/>
      </c>
      <c r="G17" s="931"/>
      <c r="H17" s="862"/>
      <c r="I17" s="862"/>
      <c r="J17" s="862"/>
      <c r="K17" s="862"/>
      <c r="L17" s="862"/>
      <c r="M17" s="863"/>
    </row>
    <row r="18" spans="1:13" ht="33.6" customHeight="1" x14ac:dyDescent="0.2">
      <c r="A18" s="947" t="str" cm="1">
        <f t="array" ref="A18">+IFERROR(INDEX('Pedido VACIO'!$B:$B,MATCH(1,('Pedido VACIO'!$H:$H=$B18)*('Pedido VACIO'!$A:$A="Cia"),0)),"")</f>
        <v/>
      </c>
      <c r="B18" s="931">
        <f>+B16+1</f>
        <v>3</v>
      </c>
      <c r="C18" s="948" t="str" cm="1">
        <f t="array" ref="C18">+IFERROR(INDEX('Pedido VACIO'!$F:$F,MATCH(1,('Pedido VACIO'!$H:$H=$B18)*('Pedido VACIO'!$A:$A="Cia"),0)),"")</f>
        <v/>
      </c>
      <c r="D18" s="949" t="str" cm="1">
        <f t="array" ref="D18">+IFERROR(INDEX('Pedido VACIO'!$G:$G,MATCH(1,('Pedido VACIO'!$H:$H=$B18)*('Pedido VACIO'!$A:$A="Cia"),0)),"")</f>
        <v/>
      </c>
      <c r="E18" s="860" t="str">
        <f t="shared" si="0"/>
        <v/>
      </c>
      <c r="F18" s="854" t="str">
        <f>+IF(OR(E18="LK"),ROUNDUP(D18*(VLOOKUP(B18,'Pedido VACIO'!$H:$AK,30,0))/70,0)*1,IF(E18="CH",D17-F17,""))</f>
        <v/>
      </c>
      <c r="G18" s="931"/>
      <c r="H18" s="862"/>
      <c r="I18" s="862"/>
      <c r="J18" s="862"/>
      <c r="K18" s="862"/>
      <c r="L18" s="862"/>
      <c r="M18" s="863"/>
    </row>
    <row r="19" spans="1:13" ht="33.6" customHeight="1" x14ac:dyDescent="0.2">
      <c r="A19" s="947"/>
      <c r="B19" s="931"/>
      <c r="C19" s="948"/>
      <c r="D19" s="949"/>
      <c r="E19" s="860" t="str">
        <f t="shared" si="0"/>
        <v/>
      </c>
      <c r="F19" s="854" t="str">
        <f>+IF(OR(E19="LK"),ROUNDUP(D19*(VLOOKUP(B19,'Pedido VACIO'!$H:$AK,30,0))/70,0)*1,IF(E19="CH",D18-F18,""))</f>
        <v/>
      </c>
      <c r="G19" s="931"/>
      <c r="H19" s="862"/>
      <c r="I19" s="862"/>
      <c r="J19" s="862"/>
      <c r="K19" s="862"/>
      <c r="L19" s="862"/>
      <c r="M19" s="863"/>
    </row>
    <row r="20" spans="1:13" ht="33.6" customHeight="1" x14ac:dyDescent="0.2">
      <c r="A20" s="947" t="str" cm="1">
        <f t="array" ref="A20">+IFERROR(INDEX('Pedido VACIO'!$B:$B,MATCH(1,('Pedido VACIO'!$H:$H=$B20)*('Pedido VACIO'!$A:$A="Cia"),0)),"")</f>
        <v/>
      </c>
      <c r="B20" s="931">
        <f>+B18+1</f>
        <v>4</v>
      </c>
      <c r="C20" s="948" t="str" cm="1">
        <f t="array" ref="C20">+IFERROR(INDEX('Pedido VACIO'!$F:$F,MATCH(1,('Pedido VACIO'!$H:$H=$B20)*('Pedido VACIO'!$A:$A="Cia"),0)),"")</f>
        <v/>
      </c>
      <c r="D20" s="931" t="str" cm="1">
        <f t="array" ref="D20">+IFERROR(INDEX('Pedido VACIO'!$G:$G,MATCH(1,('Pedido VACIO'!$H:$H=$B20)*('Pedido VACIO'!$A:$A="Cia"),0)),"")</f>
        <v/>
      </c>
      <c r="E20" s="860" t="str">
        <f t="shared" si="0"/>
        <v/>
      </c>
      <c r="F20" s="854" t="str">
        <f>+IF(OR(E20="LK"),ROUNDUP(D20*(VLOOKUP(B20,'Pedido VACIO'!$H:$AK,30,0))/70,0)*1,IF(E20="CH",D19-F19,""))</f>
        <v/>
      </c>
      <c r="G20" s="931"/>
      <c r="H20" s="862"/>
      <c r="I20" s="862"/>
      <c r="J20" s="862"/>
      <c r="K20" s="862"/>
      <c r="L20" s="862"/>
      <c r="M20" s="863"/>
    </row>
    <row r="21" spans="1:13" ht="33.6" customHeight="1" x14ac:dyDescent="0.2">
      <c r="A21" s="947"/>
      <c r="B21" s="931"/>
      <c r="C21" s="948"/>
      <c r="D21" s="931"/>
      <c r="E21" s="860" t="str">
        <f t="shared" si="0"/>
        <v/>
      </c>
      <c r="F21" s="854" t="str">
        <f>+IF(OR(E21="LK"),ROUNDUP(D21*(VLOOKUP(B21,'Pedido VACIO'!$H:$AK,30,0))/70,0)*1,IF(E21="CH",D20-F20,""))</f>
        <v/>
      </c>
      <c r="G21" s="931"/>
      <c r="H21" s="862"/>
      <c r="I21" s="862"/>
      <c r="J21" s="862"/>
      <c r="K21" s="862"/>
      <c r="L21" s="862"/>
      <c r="M21" s="863"/>
    </row>
    <row r="22" spans="1:13" ht="33.6" customHeight="1" x14ac:dyDescent="0.2">
      <c r="A22" s="947" t="str" cm="1">
        <f t="array" ref="A22">+IFERROR(INDEX('Pedido VACIO'!$B:$B,MATCH(1,('Pedido VACIO'!$H:$H=$B22)*('Pedido VACIO'!$A:$A="Cia"),0)),"")</f>
        <v/>
      </c>
      <c r="B22" s="931">
        <f>+B20+1</f>
        <v>5</v>
      </c>
      <c r="C22" s="948" t="str" cm="1">
        <f t="array" ref="C22">+IFERROR(INDEX('Pedido VACIO'!$F:$F,MATCH(1,('Pedido VACIO'!$H:$H=$B22)*('Pedido VACIO'!$A:$A="Cia"),0)),"")</f>
        <v/>
      </c>
      <c r="D22" s="931" t="str" cm="1">
        <f t="array" ref="D22">+IFERROR(INDEX('Pedido VACIO'!$G:$G,MATCH(1,('Pedido VACIO'!$H:$H=$B22)*('Pedido VACIO'!$A:$A="Cia"),0)),"")</f>
        <v/>
      </c>
      <c r="E22" s="860" t="str">
        <f t="shared" si="0"/>
        <v/>
      </c>
      <c r="F22" s="854" t="str">
        <f>+IF(OR(E22="LK"),ROUNDUP(D22*(VLOOKUP(B22,'Pedido VACIO'!$H:$AK,30,0))/70,0)*1,IF(E22="CH",D21-F21,""))</f>
        <v/>
      </c>
      <c r="G22" s="931"/>
      <c r="H22" s="862"/>
      <c r="I22" s="862"/>
      <c r="J22" s="862"/>
      <c r="K22" s="862"/>
      <c r="L22" s="862"/>
      <c r="M22" s="863"/>
    </row>
    <row r="23" spans="1:13" ht="33.6" customHeight="1" x14ac:dyDescent="0.2">
      <c r="A23" s="947"/>
      <c r="B23" s="931"/>
      <c r="C23" s="948"/>
      <c r="D23" s="931"/>
      <c r="E23" s="860" t="str">
        <f t="shared" si="0"/>
        <v/>
      </c>
      <c r="F23" s="854" t="str">
        <f>+IF(OR(E23="LK"),ROUNDUP(D23*(VLOOKUP(B23,'Pedido VACIO'!$H:$AK,30,0))/70,0)*1,IF(E23="CH",D22-F22,""))</f>
        <v/>
      </c>
      <c r="G23" s="931"/>
      <c r="H23" s="862"/>
      <c r="I23" s="862"/>
      <c r="J23" s="862"/>
      <c r="K23" s="862"/>
      <c r="L23" s="862"/>
      <c r="M23" s="863"/>
    </row>
    <row r="24" spans="1:13" ht="33.6" customHeight="1" x14ac:dyDescent="0.2">
      <c r="A24" s="947" t="str" cm="1">
        <f t="array" ref="A24">+IFERROR(INDEX('Pedido VACIO'!$B:$B,MATCH(1,('Pedido VACIO'!$H:$H=$B24)*('Pedido VACIO'!$A:$A="Cia"),0)),"")</f>
        <v/>
      </c>
      <c r="B24" s="931">
        <f>+B22+1</f>
        <v>6</v>
      </c>
      <c r="C24" s="948" t="str" cm="1">
        <f t="array" ref="C24">+IFERROR(INDEX('Pedido VACIO'!$F:$F,MATCH(1,('Pedido VACIO'!$H:$H=$B24)*('Pedido VACIO'!$A:$A="Cia"),0)),"")</f>
        <v/>
      </c>
      <c r="D24" s="931" t="str" cm="1">
        <f t="array" ref="D24">+IFERROR(INDEX('Pedido VACIO'!$G:$G,MATCH(1,('Pedido VACIO'!$H:$H=$B24)*('Pedido VACIO'!$A:$A="Cia"),0)),"")</f>
        <v/>
      </c>
      <c r="E24" s="860" t="str">
        <f t="shared" si="0"/>
        <v/>
      </c>
      <c r="F24" s="854" t="str">
        <f>+IF(OR(E24="LK"),ROUNDUP(D24*(VLOOKUP(B24,'Pedido VACIO'!$H:$AK,30,0))/70,0)*1,IF(E24="CH",D23-F23,""))</f>
        <v/>
      </c>
      <c r="G24" s="931"/>
      <c r="H24" s="862"/>
      <c r="I24" s="862"/>
      <c r="J24" s="862"/>
      <c r="K24" s="862"/>
      <c r="L24" s="862"/>
      <c r="M24" s="863"/>
    </row>
    <row r="25" spans="1:13" ht="33.6" customHeight="1" x14ac:dyDescent="0.2">
      <c r="A25" s="947"/>
      <c r="B25" s="931"/>
      <c r="C25" s="948"/>
      <c r="D25" s="931"/>
      <c r="E25" s="860" t="str">
        <f t="shared" si="0"/>
        <v/>
      </c>
      <c r="F25" s="854" t="str">
        <f>+IF(OR(E25="LK"),ROUNDUP(D25*(VLOOKUP(B25,'Pedido VACIO'!$H:$AK,30,0))/70,0)*1,IF(E25="CH",D24-F24,""))</f>
        <v/>
      </c>
      <c r="G25" s="931"/>
      <c r="H25" s="862"/>
      <c r="I25" s="862"/>
      <c r="J25" s="862"/>
      <c r="K25" s="862"/>
      <c r="L25" s="862"/>
      <c r="M25" s="863"/>
    </row>
    <row r="26" spans="1:13" ht="33.6" customHeight="1" x14ac:dyDescent="0.2">
      <c r="A26" s="947" t="str" cm="1">
        <f t="array" ref="A26">+IFERROR(INDEX('Pedido VACIO'!$B:$B,MATCH(1,('Pedido VACIO'!$H:$H=$B26)*('Pedido VACIO'!$A:$A="Cia"),0)),"")</f>
        <v/>
      </c>
      <c r="B26" s="931">
        <f>+B24+1</f>
        <v>7</v>
      </c>
      <c r="C26" s="948" t="str" cm="1">
        <f t="array" ref="C26">+IFERROR(INDEX('Pedido VACIO'!$F:$F,MATCH(1,('Pedido VACIO'!$H:$H=$B26)*('Pedido VACIO'!$A:$A="Cia"),0)),"")</f>
        <v/>
      </c>
      <c r="D26" s="931" t="str" cm="1">
        <f t="array" ref="D26">+IFERROR(INDEX('Pedido VACIO'!$G:$G,MATCH(1,('Pedido VACIO'!$H:$H=$B26)*('Pedido VACIO'!$A:$A="Cia"),0)),"")</f>
        <v/>
      </c>
      <c r="E26" s="860" t="str">
        <f t="shared" si="0"/>
        <v/>
      </c>
      <c r="F26" s="854" t="str">
        <f>+IF(OR(E26="LK"),ROUNDUP(D26*(VLOOKUP(B26,'Pedido VACIO'!$H:$AK,30,0))/70,0)*1,IF(E26="CH",D25-F25,""))</f>
        <v/>
      </c>
      <c r="G26" s="931"/>
      <c r="H26" s="862"/>
      <c r="I26" s="862"/>
      <c r="J26" s="862"/>
      <c r="K26" s="862"/>
      <c r="L26" s="862"/>
      <c r="M26" s="863"/>
    </row>
    <row r="27" spans="1:13" ht="33.6" customHeight="1" x14ac:dyDescent="0.2">
      <c r="A27" s="947"/>
      <c r="B27" s="931"/>
      <c r="C27" s="948"/>
      <c r="D27" s="931"/>
      <c r="E27" s="860" t="str">
        <f t="shared" si="0"/>
        <v/>
      </c>
      <c r="F27" s="854" t="str">
        <f>+IF(OR(E27="LK"),ROUNDUP(D27*(VLOOKUP(B27,'Pedido VACIO'!$H:$AK,30,0))/70,0)*1,IF(E27="CH",D26-F26,""))</f>
        <v/>
      </c>
      <c r="G27" s="931"/>
      <c r="H27" s="862"/>
      <c r="I27" s="862"/>
      <c r="J27" s="862"/>
      <c r="K27" s="862"/>
      <c r="L27" s="862"/>
      <c r="M27" s="863"/>
    </row>
    <row r="28" spans="1:13" ht="33.6" customHeight="1" x14ac:dyDescent="0.2">
      <c r="A28" s="947" t="str" cm="1">
        <f t="array" ref="A28">+IFERROR(INDEX('Pedido VACIO'!$B:$B,MATCH(1,('Pedido VACIO'!$H:$H=$B28)*('Pedido VACIO'!$A:$A="Cia"),0)),"")</f>
        <v/>
      </c>
      <c r="B28" s="931">
        <f>+B26+1</f>
        <v>8</v>
      </c>
      <c r="C28" s="948" t="str" cm="1">
        <f t="array" ref="C28">+IFERROR(INDEX('Pedido VACIO'!$F:$F,MATCH(1,('Pedido VACIO'!$H:$H=$B28)*('Pedido VACIO'!$A:$A="Cia"),0)),"")</f>
        <v/>
      </c>
      <c r="D28" s="931" t="str" cm="1">
        <f t="array" ref="D28">+IFERROR(INDEX('Pedido VACIO'!$G:$G,MATCH(1,('Pedido VACIO'!$H:$H=$B28)*('Pedido VACIO'!$A:$A="Cia"),0)),"")</f>
        <v/>
      </c>
      <c r="E28" s="860" t="str">
        <f t="shared" si="0"/>
        <v/>
      </c>
      <c r="F28" s="854" t="str">
        <f>+IF(OR(E28="LK"),ROUNDUP(D28*(VLOOKUP(B28,'Pedido VACIO'!$H:$AK,30,0))/70,0)*1,IF(E28="CH",D27-F27,""))</f>
        <v/>
      </c>
      <c r="G28" s="931"/>
      <c r="H28" s="862"/>
      <c r="I28" s="862"/>
      <c r="J28" s="862"/>
      <c r="K28" s="862"/>
      <c r="L28" s="862"/>
      <c r="M28" s="863"/>
    </row>
    <row r="29" spans="1:13" ht="33.6" customHeight="1" x14ac:dyDescent="0.2">
      <c r="A29" s="947"/>
      <c r="B29" s="931"/>
      <c r="C29" s="948"/>
      <c r="D29" s="931"/>
      <c r="E29" s="860" t="str">
        <f t="shared" si="0"/>
        <v/>
      </c>
      <c r="F29" s="854" t="str">
        <f>+IF(OR(E29="LK"),ROUNDUP(D29*(VLOOKUP(B29,'Pedido VACIO'!$H:$AK,30,0))/70,0)*1,IF(E29="CH",D28-F28,""))</f>
        <v/>
      </c>
      <c r="G29" s="931"/>
      <c r="H29" s="862"/>
      <c r="I29" s="862"/>
      <c r="J29" s="862"/>
      <c r="K29" s="862"/>
      <c r="L29" s="862"/>
      <c r="M29" s="863"/>
    </row>
    <row r="30" spans="1:13" ht="33.6" customHeight="1" x14ac:dyDescent="0.2">
      <c r="A30" s="947" t="str" cm="1">
        <f t="array" ref="A30">+IFERROR(INDEX('Pedido VACIO'!$B:$B,MATCH(1,('Pedido VACIO'!$H:$H=$B30)*('Pedido VACIO'!$A:$A="Cia"),0)),"")</f>
        <v/>
      </c>
      <c r="B30" s="931">
        <f>+B28+1</f>
        <v>9</v>
      </c>
      <c r="C30" s="948" t="str" cm="1">
        <f t="array" ref="C30">+IFERROR(INDEX('Pedido VACIO'!$F:$F,MATCH(1,('Pedido VACIO'!$H:$H=$B30)*('Pedido VACIO'!$A:$A="Cia"),0)),"")</f>
        <v/>
      </c>
      <c r="D30" s="931" t="str" cm="1">
        <f t="array" ref="D30">+IFERROR(INDEX('Pedido VACIO'!$G:$G,MATCH(1,('Pedido VACIO'!$H:$H=$B30)*('Pedido VACIO'!$A:$A="Cia"),0)),"")</f>
        <v/>
      </c>
      <c r="E30" s="860" t="str">
        <f t="shared" si="0"/>
        <v/>
      </c>
      <c r="F30" s="854" t="str">
        <f>+IF(OR(E30="LK"),ROUNDUP(D30*(VLOOKUP(B30,'Pedido VACIO'!$H:$AK,30,0))/70,0)*1,IF(E30="CH",D29-F29,""))</f>
        <v/>
      </c>
      <c r="G30" s="931"/>
      <c r="H30" s="862"/>
      <c r="I30" s="862"/>
      <c r="J30" s="862"/>
      <c r="K30" s="862"/>
      <c r="L30" s="862"/>
      <c r="M30" s="863"/>
    </row>
    <row r="31" spans="1:13" ht="33.6" customHeight="1" x14ac:dyDescent="0.2">
      <c r="A31" s="947"/>
      <c r="B31" s="931"/>
      <c r="C31" s="948"/>
      <c r="D31" s="931"/>
      <c r="E31" s="860" t="str">
        <f t="shared" si="0"/>
        <v/>
      </c>
      <c r="F31" s="854" t="str">
        <f>+IF(OR(E31="LK"),ROUNDUP(D31*(VLOOKUP(B31,'Pedido VACIO'!$H:$AK,30,0))/70,0)*1,IF(E31="CH",D30-F30,""))</f>
        <v/>
      </c>
      <c r="G31" s="931"/>
      <c r="H31" s="862"/>
      <c r="I31" s="862"/>
      <c r="J31" s="862"/>
      <c r="K31" s="862"/>
      <c r="L31" s="862"/>
      <c r="M31" s="863"/>
    </row>
    <row r="32" spans="1:13" ht="33.6" customHeight="1" x14ac:dyDescent="0.2">
      <c r="A32" s="947" t="str" cm="1">
        <f t="array" ref="A32">+IFERROR(INDEX('Pedido VACIO'!$B:$B,MATCH(1,('Pedido VACIO'!$H:$H=$B32)*('Pedido VACIO'!$A:$A="Cia"),0)),"")</f>
        <v/>
      </c>
      <c r="B32" s="931">
        <f>+B30+1</f>
        <v>10</v>
      </c>
      <c r="C32" s="948" t="str" cm="1">
        <f t="array" ref="C32">+IFERROR(INDEX('Pedido VACIO'!$F:$F,MATCH(1,('Pedido VACIO'!$H:$H=$B32)*('Pedido VACIO'!$A:$A="Cia"),0)),"")</f>
        <v/>
      </c>
      <c r="D32" s="931" t="str" cm="1">
        <f t="array" ref="D32">+IFERROR(INDEX('Pedido VACIO'!$G:$G,MATCH(1,('Pedido VACIO'!$H:$H=$B32)*('Pedido VACIO'!$A:$A="Cia"),0)),"")</f>
        <v/>
      </c>
      <c r="E32" s="860" t="str">
        <f t="shared" si="0"/>
        <v/>
      </c>
      <c r="F32" s="854" t="str">
        <f>+IF(OR(E32="LK"),ROUNDUP(D32*(VLOOKUP(B32,'Pedido VACIO'!$H:$AK,30,0))/70,0)*1,IF(E32="CH",D31-F31,""))</f>
        <v/>
      </c>
      <c r="G32" s="931"/>
      <c r="H32" s="862"/>
      <c r="I32" s="862"/>
      <c r="J32" s="862"/>
      <c r="K32" s="862"/>
      <c r="L32" s="862"/>
      <c r="M32" s="863"/>
    </row>
    <row r="33" spans="1:13" ht="33.6" customHeight="1" x14ac:dyDescent="0.2">
      <c r="A33" s="947"/>
      <c r="B33" s="931"/>
      <c r="C33" s="948"/>
      <c r="D33" s="931"/>
      <c r="E33" s="860" t="str">
        <f t="shared" si="0"/>
        <v/>
      </c>
      <c r="F33" s="854" t="str">
        <f>+IF(OR(E33="LK"),ROUNDUP(D33*(VLOOKUP(B33,'Pedido VACIO'!$H:$AK,30,0))/70,0)*1,IF(E33="CH",D32-F32,""))</f>
        <v/>
      </c>
      <c r="G33" s="931"/>
      <c r="H33" s="862"/>
      <c r="I33" s="862"/>
      <c r="J33" s="862"/>
      <c r="K33" s="862"/>
      <c r="L33" s="862"/>
      <c r="M33" s="863"/>
    </row>
    <row r="34" spans="1:13" ht="33.6" customHeight="1" x14ac:dyDescent="0.2">
      <c r="A34" s="947" t="str" cm="1">
        <f t="array" ref="A34">+IFERROR(INDEX('Pedido VACIO'!$B:$B,MATCH(1,('Pedido VACIO'!$H:$H=$B34)*('Pedido VACIO'!$A:$A="Cia"),0)),"")</f>
        <v/>
      </c>
      <c r="B34" s="931">
        <f>+B32+1</f>
        <v>11</v>
      </c>
      <c r="C34" s="948" t="str" cm="1">
        <f t="array" ref="C34">+IFERROR(INDEX('Pedido VACIO'!$F:$F,MATCH(1,('Pedido VACIO'!$H:$H=$B34)*('Pedido VACIO'!$A:$A="Cia"),0)),"")</f>
        <v/>
      </c>
      <c r="D34" s="931" t="str" cm="1">
        <f t="array" ref="D34">+IFERROR(INDEX('Pedido VACIO'!$G:$G,MATCH(1,('Pedido VACIO'!$H:$H=$B34)*('Pedido VACIO'!$A:$A="Cia"),0)),"")</f>
        <v/>
      </c>
      <c r="E34" s="860" t="str">
        <f t="shared" si="0"/>
        <v/>
      </c>
      <c r="F34" s="854" t="str">
        <f>+IF(OR(E34="LK"),ROUNDUP(D34*(VLOOKUP(B34,'Pedido VACIO'!$H:$AK,30,0))/70,0)*1,IF(E34="CH",D33-F33,""))</f>
        <v/>
      </c>
      <c r="G34" s="931"/>
      <c r="H34" s="862"/>
      <c r="I34" s="862"/>
      <c r="J34" s="862"/>
      <c r="K34" s="862"/>
      <c r="L34" s="862"/>
      <c r="M34" s="863"/>
    </row>
    <row r="35" spans="1:13" ht="33.6" customHeight="1" thickBot="1" x14ac:dyDescent="0.25">
      <c r="A35" s="950"/>
      <c r="B35" s="951"/>
      <c r="C35" s="952"/>
      <c r="D35" s="951"/>
      <c r="E35" s="860" t="str">
        <f t="shared" si="0"/>
        <v/>
      </c>
      <c r="F35" s="854" t="str">
        <f>+IF(OR(E35="LK"),ROUNDUP(D35*(VLOOKUP(B35,'Pedido VACIO'!$H:$AK,30,0))/70,0)*1,IF(E35="CH",D34-F34,""))</f>
        <v/>
      </c>
      <c r="G35" s="951"/>
      <c r="H35" s="864"/>
      <c r="I35" s="864"/>
      <c r="J35" s="864"/>
      <c r="K35" s="864"/>
      <c r="L35" s="864"/>
      <c r="M35" s="865"/>
    </row>
    <row r="36" spans="1:13" ht="33.6" customHeight="1" x14ac:dyDescent="0.2">
      <c r="A36" s="953" t="str" cm="1">
        <f t="array" ref="A36">+IFERROR(INDEX('Pedido VACIO'!$B:$B,MATCH(1,('Pedido VACIO'!$H:$H=$B36)*('Pedido VACIO'!$A:$A="Cia"),0)),"")</f>
        <v/>
      </c>
      <c r="B36" s="934">
        <f>+B34+1</f>
        <v>12</v>
      </c>
      <c r="C36" s="933" t="str" cm="1">
        <f t="array" ref="C36">+IFERROR(INDEX('Pedido VACIO'!$F:$F,MATCH(1,('Pedido VACIO'!$H:$H=$B36)*('Pedido VACIO'!$A:$A="Cia"),0)),"")</f>
        <v/>
      </c>
      <c r="D36" s="934" t="str" cm="1">
        <f t="array" ref="D36">+IFERROR(INDEX('Pedido VACIO'!$G:$G,MATCH(1,('Pedido VACIO'!$H:$H=$B36)*('Pedido VACIO'!$A:$A="Cia"),0)),"")</f>
        <v/>
      </c>
      <c r="E36" s="860" t="str">
        <f t="shared" si="0"/>
        <v/>
      </c>
      <c r="F36" s="854" t="str">
        <f>+IF(OR(E36="LK"),ROUNDUP(D36*(VLOOKUP(B36,'Pedido VACIO'!$H:$AK,30,0))/70,0)*1,IF(E36="CH",D35-F35,""))</f>
        <v/>
      </c>
      <c r="G36" s="934"/>
      <c r="H36" s="866"/>
      <c r="I36" s="866"/>
      <c r="J36" s="866"/>
      <c r="K36" s="866"/>
      <c r="L36" s="866"/>
      <c r="M36" s="866"/>
    </row>
    <row r="37" spans="1:13" ht="33.6" customHeight="1" x14ac:dyDescent="0.2">
      <c r="A37" s="949"/>
      <c r="B37" s="931"/>
      <c r="C37" s="948"/>
      <c r="D37" s="931"/>
      <c r="E37" s="860" t="str">
        <f t="shared" si="0"/>
        <v/>
      </c>
      <c r="F37" s="854" t="str">
        <f>+IF(OR(E37="LK"),ROUNDUP(D37*(VLOOKUP(B37,'Pedido VACIO'!$H:$AK,30,0))/70,0)*1,IF(E37="CH",D36-F36,""))</f>
        <v/>
      </c>
      <c r="G37" s="931"/>
      <c r="H37" s="862"/>
      <c r="I37" s="862"/>
      <c r="J37" s="862"/>
      <c r="K37" s="862"/>
      <c r="L37" s="862"/>
      <c r="M37" s="862"/>
    </row>
    <row r="38" spans="1:13" ht="33.6" customHeight="1" x14ac:dyDescent="0.2">
      <c r="A38" s="949" t="str" cm="1">
        <f t="array" ref="A38">+IFERROR(INDEX('Pedido VACIO'!$B:$B,MATCH(1,('Pedido VACIO'!$H:$H=$B38)*('Pedido VACIO'!$A:$A="Cia"),0)),"")</f>
        <v/>
      </c>
      <c r="B38" s="931">
        <f>+B36+1</f>
        <v>13</v>
      </c>
      <c r="C38" s="948" t="str" cm="1">
        <f t="array" ref="C38">+IFERROR(INDEX('Pedido VACIO'!$F:$F,MATCH(1,('Pedido VACIO'!$H:$H=$B38)*('Pedido VACIO'!$A:$A="Cia"),0)),"")</f>
        <v/>
      </c>
      <c r="D38" s="931" t="str" cm="1">
        <f t="array" ref="D38">+IFERROR(INDEX('Pedido VACIO'!$G:$G,MATCH(1,('Pedido VACIO'!$H:$H=$B38)*('Pedido VACIO'!$A:$A="Cia"),0)),"")</f>
        <v/>
      </c>
      <c r="E38" s="860" t="str">
        <f t="shared" si="0"/>
        <v/>
      </c>
      <c r="F38" s="854" t="str">
        <f>+IF(OR(E38="LK"),ROUNDUP(D38*(VLOOKUP(B38,'Pedido VACIO'!$H:$AK,30,0))/70,0)*1,IF(E38="CH",D37-F37,""))</f>
        <v/>
      </c>
      <c r="G38" s="931"/>
      <c r="H38" s="862"/>
      <c r="I38" s="862"/>
      <c r="J38" s="862"/>
      <c r="K38" s="862"/>
      <c r="L38" s="862"/>
      <c r="M38" s="862"/>
    </row>
    <row r="39" spans="1:13" ht="33.6" customHeight="1" x14ac:dyDescent="0.2">
      <c r="A39" s="949"/>
      <c r="B39" s="931"/>
      <c r="C39" s="948"/>
      <c r="D39" s="931"/>
      <c r="E39" s="860" t="str">
        <f t="shared" si="0"/>
        <v/>
      </c>
      <c r="F39" s="854" t="str">
        <f>+IF(OR(E39="LK"),ROUNDUP(D39*(VLOOKUP(B39,'Pedido VACIO'!$H:$AK,30,0))/70,0)*1,IF(E39="CH",D38-F38,""))</f>
        <v/>
      </c>
      <c r="G39" s="931"/>
      <c r="H39" s="862"/>
      <c r="I39" s="862"/>
      <c r="J39" s="862"/>
      <c r="K39" s="862"/>
      <c r="L39" s="862"/>
      <c r="M39" s="862"/>
    </row>
    <row r="40" spans="1:13" ht="33.6" customHeight="1" x14ac:dyDescent="0.2">
      <c r="A40" s="949" t="str" cm="1">
        <f t="array" ref="A40">+IFERROR(INDEX('Pedido VACIO'!$B:$B,MATCH(1,('Pedido VACIO'!$H:$H=$B40)*('Pedido VACIO'!$A:$A="Cia"),0)),"")</f>
        <v/>
      </c>
      <c r="B40" s="931">
        <f>+B38+1</f>
        <v>14</v>
      </c>
      <c r="C40" s="948" t="str" cm="1">
        <f t="array" ref="C40">+IFERROR(INDEX('Pedido VACIO'!$F:$F,MATCH(1,('Pedido VACIO'!$H:$H=$B40)*('Pedido VACIO'!$A:$A="Cia"),0)),"")</f>
        <v/>
      </c>
      <c r="D40" s="931" t="str" cm="1">
        <f t="array" ref="D40">+IFERROR(INDEX('Pedido VACIO'!$G:$G,MATCH(1,('Pedido VACIO'!$H:$H=$B40)*('Pedido VACIO'!$A:$A="Cia"),0)),"")</f>
        <v/>
      </c>
      <c r="E40" s="860" t="str">
        <f t="shared" si="0"/>
        <v/>
      </c>
      <c r="F40" s="854" t="str">
        <f>+IF(OR(E40="LK"),ROUNDUP(D40*(VLOOKUP(B40,'Pedido VACIO'!$H:$AK,30,0))/70,0)*1,IF(E40="CH",D39-F39,""))</f>
        <v/>
      </c>
      <c r="G40" s="931"/>
      <c r="H40" s="862"/>
      <c r="I40" s="862"/>
      <c r="J40" s="862"/>
      <c r="K40" s="862"/>
      <c r="L40" s="862"/>
      <c r="M40" s="862"/>
    </row>
    <row r="41" spans="1:13" ht="33.6" customHeight="1" x14ac:dyDescent="0.2">
      <c r="A41" s="949"/>
      <c r="B41" s="931"/>
      <c r="C41" s="948"/>
      <c r="D41" s="931"/>
      <c r="E41" s="860" t="str">
        <f t="shared" si="0"/>
        <v/>
      </c>
      <c r="F41" s="854" t="str">
        <f>+IF(OR(E41="LK"),ROUNDUP(D41*(VLOOKUP(B41,'Pedido VACIO'!$H:$AK,30,0))/70,0)*1,IF(E41="CH",D40-F40,""))</f>
        <v/>
      </c>
      <c r="G41" s="931"/>
      <c r="H41" s="862"/>
      <c r="I41" s="862"/>
      <c r="J41" s="862"/>
      <c r="K41" s="862"/>
      <c r="L41" s="862"/>
      <c r="M41" s="862"/>
    </row>
    <row r="42" spans="1:13" ht="33.6" customHeight="1" x14ac:dyDescent="0.2">
      <c r="A42" s="949" t="str" cm="1">
        <f t="array" ref="A42">+IFERROR(INDEX('Pedido VACIO'!$B:$B,MATCH(1,('Pedido VACIO'!$H:$H=$B42)*('Pedido VACIO'!$A:$A="Cia"),0)),"")</f>
        <v/>
      </c>
      <c r="B42" s="931">
        <f>+B40+1</f>
        <v>15</v>
      </c>
      <c r="C42" s="948" t="str" cm="1">
        <f t="array" ref="C42">+IFERROR(INDEX('Pedido VACIO'!$F:$F,MATCH(1,('Pedido VACIO'!$H:$H=$B42)*('Pedido VACIO'!$A:$A="Cia"),0)),"")</f>
        <v/>
      </c>
      <c r="D42" s="931" t="str" cm="1">
        <f t="array" ref="D42">+IFERROR(INDEX('Pedido VACIO'!$G:$G,MATCH(1,('Pedido VACIO'!$H:$H=$B42)*('Pedido VACIO'!$A:$A="Cia"),0)),"")</f>
        <v/>
      </c>
      <c r="E42" s="860" t="str">
        <f t="shared" si="0"/>
        <v/>
      </c>
      <c r="F42" s="854" t="str">
        <f>+IF(OR(E42="LK"),ROUNDUP(D42*(VLOOKUP(B42,'Pedido VACIO'!$H:$AK,30,0))/70,0)*1,IF(E42="CH",D41-F41,""))</f>
        <v/>
      </c>
      <c r="G42" s="931"/>
      <c r="H42" s="862"/>
      <c r="I42" s="862"/>
      <c r="J42" s="862"/>
      <c r="K42" s="862"/>
      <c r="L42" s="862"/>
      <c r="M42" s="862"/>
    </row>
    <row r="43" spans="1:13" ht="33.6" customHeight="1" x14ac:dyDescent="0.2">
      <c r="A43" s="949"/>
      <c r="B43" s="931"/>
      <c r="C43" s="948"/>
      <c r="D43" s="931"/>
      <c r="E43" s="860" t="str">
        <f t="shared" si="0"/>
        <v/>
      </c>
      <c r="F43" s="854" t="str">
        <f>+IF(OR(E43="LK"),ROUNDUP(D43*(VLOOKUP(B43,'Pedido VACIO'!$H:$AK,30,0))/70,0)*1,IF(E43="CH",D42-F42,""))</f>
        <v/>
      </c>
      <c r="G43" s="931"/>
      <c r="H43" s="862"/>
      <c r="I43" s="862"/>
      <c r="J43" s="862"/>
      <c r="K43" s="862"/>
      <c r="L43" s="862"/>
      <c r="M43" s="862"/>
    </row>
  </sheetData>
  <mergeCells count="94"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A20:A21"/>
    <mergeCell ref="B20:B21"/>
    <mergeCell ref="C20:C21"/>
    <mergeCell ref="D20:D21"/>
    <mergeCell ref="G20:G21"/>
    <mergeCell ref="A22:A23"/>
    <mergeCell ref="B22:B23"/>
    <mergeCell ref="C22:C23"/>
    <mergeCell ref="D22:D23"/>
    <mergeCell ref="G22:G23"/>
    <mergeCell ref="A16:A17"/>
    <mergeCell ref="B16:B17"/>
    <mergeCell ref="C16:C17"/>
    <mergeCell ref="D16:D17"/>
    <mergeCell ref="G16:G17"/>
    <mergeCell ref="A18:A19"/>
    <mergeCell ref="B18:B19"/>
    <mergeCell ref="C18:C19"/>
    <mergeCell ref="D18:D19"/>
    <mergeCell ref="G18:G19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3:B3"/>
    <mergeCell ref="F3:G3"/>
    <mergeCell ref="H3:L3"/>
    <mergeCell ref="A1:C1"/>
    <mergeCell ref="F1:L1"/>
    <mergeCell ref="A2:B2"/>
    <mergeCell ref="F2:G2"/>
    <mergeCell ref="H2:L2"/>
  </mergeCells>
  <printOptions horizontalCentered="1"/>
  <pageMargins left="0" right="0" top="0" bottom="0" header="0" footer="0"/>
  <pageSetup paperSize="9" scale="6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sqref="A1:XFD1048576"/>
    </sheetView>
  </sheetViews>
  <sheetFormatPr baseColWidth="10" defaultColWidth="11.5703125" defaultRowHeight="12.75" x14ac:dyDescent="0.2"/>
  <cols>
    <col min="1" max="1" width="11.42578125" style="841" customWidth="1"/>
    <col min="2" max="2" width="6.140625" style="841" customWidth="1"/>
    <col min="3" max="3" width="22.28515625" style="841" customWidth="1"/>
    <col min="4" max="4" width="9.28515625" style="841" customWidth="1"/>
    <col min="5" max="5" width="8.28515625" style="841" customWidth="1"/>
    <col min="6" max="6" width="7.7109375" style="841" customWidth="1"/>
    <col min="7" max="7" width="9.7109375" style="841" customWidth="1"/>
    <col min="8" max="9" width="7.5703125" style="841" customWidth="1"/>
    <col min="10" max="10" width="7.7109375" style="841" customWidth="1"/>
    <col min="11" max="11" width="7" style="841" customWidth="1"/>
    <col min="12" max="12" width="7.7109375" style="841" customWidth="1"/>
    <col min="13" max="13" width="7" style="841" customWidth="1"/>
    <col min="14" max="256" width="11.5703125" style="841"/>
    <col min="257" max="257" width="11.42578125" style="841" customWidth="1"/>
    <col min="258" max="258" width="6.140625" style="841" customWidth="1"/>
    <col min="259" max="259" width="22.28515625" style="841" customWidth="1"/>
    <col min="260" max="260" width="9.28515625" style="841" customWidth="1"/>
    <col min="261" max="261" width="8.28515625" style="841" customWidth="1"/>
    <col min="262" max="262" width="7.7109375" style="841" customWidth="1"/>
    <col min="263" max="263" width="9.7109375" style="841" customWidth="1"/>
    <col min="264" max="264" width="7.28515625" style="841" customWidth="1"/>
    <col min="265" max="265" width="7.5703125" style="841" customWidth="1"/>
    <col min="266" max="266" width="7.7109375" style="841" customWidth="1"/>
    <col min="267" max="267" width="7" style="841" customWidth="1"/>
    <col min="268" max="268" width="7.7109375" style="841" customWidth="1"/>
    <col min="269" max="269" width="7" style="841" customWidth="1"/>
    <col min="270" max="512" width="11.5703125" style="841"/>
    <col min="513" max="513" width="11.42578125" style="841" customWidth="1"/>
    <col min="514" max="514" width="6.140625" style="841" customWidth="1"/>
    <col min="515" max="515" width="22.28515625" style="841" customWidth="1"/>
    <col min="516" max="516" width="9.28515625" style="841" customWidth="1"/>
    <col min="517" max="517" width="8.28515625" style="841" customWidth="1"/>
    <col min="518" max="518" width="7.7109375" style="841" customWidth="1"/>
    <col min="519" max="519" width="9.7109375" style="841" customWidth="1"/>
    <col min="520" max="520" width="7.28515625" style="841" customWidth="1"/>
    <col min="521" max="521" width="7.5703125" style="841" customWidth="1"/>
    <col min="522" max="522" width="7.7109375" style="841" customWidth="1"/>
    <col min="523" max="523" width="7" style="841" customWidth="1"/>
    <col min="524" max="524" width="7.7109375" style="841" customWidth="1"/>
    <col min="525" max="525" width="7" style="841" customWidth="1"/>
    <col min="526" max="768" width="11.5703125" style="841"/>
    <col min="769" max="769" width="11.42578125" style="841" customWidth="1"/>
    <col min="770" max="770" width="6.140625" style="841" customWidth="1"/>
    <col min="771" max="771" width="22.28515625" style="841" customWidth="1"/>
    <col min="772" max="772" width="9.28515625" style="841" customWidth="1"/>
    <col min="773" max="773" width="8.28515625" style="841" customWidth="1"/>
    <col min="774" max="774" width="7.7109375" style="841" customWidth="1"/>
    <col min="775" max="775" width="9.7109375" style="841" customWidth="1"/>
    <col min="776" max="776" width="7.28515625" style="841" customWidth="1"/>
    <col min="777" max="777" width="7.5703125" style="841" customWidth="1"/>
    <col min="778" max="778" width="7.7109375" style="841" customWidth="1"/>
    <col min="779" max="779" width="7" style="841" customWidth="1"/>
    <col min="780" max="780" width="7.7109375" style="841" customWidth="1"/>
    <col min="781" max="781" width="7" style="841" customWidth="1"/>
    <col min="782" max="1024" width="11.5703125" style="841"/>
    <col min="1025" max="1025" width="11.42578125" style="841" customWidth="1"/>
    <col min="1026" max="1026" width="6.140625" style="841" customWidth="1"/>
    <col min="1027" max="1027" width="22.28515625" style="841" customWidth="1"/>
    <col min="1028" max="1028" width="9.28515625" style="841" customWidth="1"/>
    <col min="1029" max="1029" width="8.28515625" style="841" customWidth="1"/>
    <col min="1030" max="1030" width="7.7109375" style="841" customWidth="1"/>
    <col min="1031" max="1031" width="9.7109375" style="841" customWidth="1"/>
    <col min="1032" max="1032" width="7.28515625" style="841" customWidth="1"/>
    <col min="1033" max="1033" width="7.5703125" style="841" customWidth="1"/>
    <col min="1034" max="1034" width="7.7109375" style="841" customWidth="1"/>
    <col min="1035" max="1035" width="7" style="841" customWidth="1"/>
    <col min="1036" max="1036" width="7.7109375" style="841" customWidth="1"/>
    <col min="1037" max="1037" width="7" style="841" customWidth="1"/>
    <col min="1038" max="1280" width="11.5703125" style="841"/>
    <col min="1281" max="1281" width="11.42578125" style="841" customWidth="1"/>
    <col min="1282" max="1282" width="6.140625" style="841" customWidth="1"/>
    <col min="1283" max="1283" width="22.28515625" style="841" customWidth="1"/>
    <col min="1284" max="1284" width="9.28515625" style="841" customWidth="1"/>
    <col min="1285" max="1285" width="8.28515625" style="841" customWidth="1"/>
    <col min="1286" max="1286" width="7.7109375" style="841" customWidth="1"/>
    <col min="1287" max="1287" width="9.7109375" style="841" customWidth="1"/>
    <col min="1288" max="1288" width="7.28515625" style="841" customWidth="1"/>
    <col min="1289" max="1289" width="7.5703125" style="841" customWidth="1"/>
    <col min="1290" max="1290" width="7.7109375" style="841" customWidth="1"/>
    <col min="1291" max="1291" width="7" style="841" customWidth="1"/>
    <col min="1292" max="1292" width="7.7109375" style="841" customWidth="1"/>
    <col min="1293" max="1293" width="7" style="841" customWidth="1"/>
    <col min="1294" max="1536" width="11.5703125" style="841"/>
    <col min="1537" max="1537" width="11.42578125" style="841" customWidth="1"/>
    <col min="1538" max="1538" width="6.140625" style="841" customWidth="1"/>
    <col min="1539" max="1539" width="22.28515625" style="841" customWidth="1"/>
    <col min="1540" max="1540" width="9.28515625" style="841" customWidth="1"/>
    <col min="1541" max="1541" width="8.28515625" style="841" customWidth="1"/>
    <col min="1542" max="1542" width="7.7109375" style="841" customWidth="1"/>
    <col min="1543" max="1543" width="9.7109375" style="841" customWidth="1"/>
    <col min="1544" max="1544" width="7.28515625" style="841" customWidth="1"/>
    <col min="1545" max="1545" width="7.5703125" style="841" customWidth="1"/>
    <col min="1546" max="1546" width="7.7109375" style="841" customWidth="1"/>
    <col min="1547" max="1547" width="7" style="841" customWidth="1"/>
    <col min="1548" max="1548" width="7.7109375" style="841" customWidth="1"/>
    <col min="1549" max="1549" width="7" style="841" customWidth="1"/>
    <col min="1550" max="1792" width="11.5703125" style="841"/>
    <col min="1793" max="1793" width="11.42578125" style="841" customWidth="1"/>
    <col min="1794" max="1794" width="6.140625" style="841" customWidth="1"/>
    <col min="1795" max="1795" width="22.28515625" style="841" customWidth="1"/>
    <col min="1796" max="1796" width="9.28515625" style="841" customWidth="1"/>
    <col min="1797" max="1797" width="8.28515625" style="841" customWidth="1"/>
    <col min="1798" max="1798" width="7.7109375" style="841" customWidth="1"/>
    <col min="1799" max="1799" width="9.7109375" style="841" customWidth="1"/>
    <col min="1800" max="1800" width="7.28515625" style="841" customWidth="1"/>
    <col min="1801" max="1801" width="7.5703125" style="841" customWidth="1"/>
    <col min="1802" max="1802" width="7.7109375" style="841" customWidth="1"/>
    <col min="1803" max="1803" width="7" style="841" customWidth="1"/>
    <col min="1804" max="1804" width="7.7109375" style="841" customWidth="1"/>
    <col min="1805" max="1805" width="7" style="841" customWidth="1"/>
    <col min="1806" max="2048" width="11.5703125" style="841"/>
    <col min="2049" max="2049" width="11.42578125" style="841" customWidth="1"/>
    <col min="2050" max="2050" width="6.140625" style="841" customWidth="1"/>
    <col min="2051" max="2051" width="22.28515625" style="841" customWidth="1"/>
    <col min="2052" max="2052" width="9.28515625" style="841" customWidth="1"/>
    <col min="2053" max="2053" width="8.28515625" style="841" customWidth="1"/>
    <col min="2054" max="2054" width="7.7109375" style="841" customWidth="1"/>
    <col min="2055" max="2055" width="9.7109375" style="841" customWidth="1"/>
    <col min="2056" max="2056" width="7.28515625" style="841" customWidth="1"/>
    <col min="2057" max="2057" width="7.5703125" style="841" customWidth="1"/>
    <col min="2058" max="2058" width="7.7109375" style="841" customWidth="1"/>
    <col min="2059" max="2059" width="7" style="841" customWidth="1"/>
    <col min="2060" max="2060" width="7.7109375" style="841" customWidth="1"/>
    <col min="2061" max="2061" width="7" style="841" customWidth="1"/>
    <col min="2062" max="2304" width="11.5703125" style="841"/>
    <col min="2305" max="2305" width="11.42578125" style="841" customWidth="1"/>
    <col min="2306" max="2306" width="6.140625" style="841" customWidth="1"/>
    <col min="2307" max="2307" width="22.28515625" style="841" customWidth="1"/>
    <col min="2308" max="2308" width="9.28515625" style="841" customWidth="1"/>
    <col min="2309" max="2309" width="8.28515625" style="841" customWidth="1"/>
    <col min="2310" max="2310" width="7.7109375" style="841" customWidth="1"/>
    <col min="2311" max="2311" width="9.7109375" style="841" customWidth="1"/>
    <col min="2312" max="2312" width="7.28515625" style="841" customWidth="1"/>
    <col min="2313" max="2313" width="7.5703125" style="841" customWidth="1"/>
    <col min="2314" max="2314" width="7.7109375" style="841" customWidth="1"/>
    <col min="2315" max="2315" width="7" style="841" customWidth="1"/>
    <col min="2316" max="2316" width="7.7109375" style="841" customWidth="1"/>
    <col min="2317" max="2317" width="7" style="841" customWidth="1"/>
    <col min="2318" max="2560" width="11.5703125" style="841"/>
    <col min="2561" max="2561" width="11.42578125" style="841" customWidth="1"/>
    <col min="2562" max="2562" width="6.140625" style="841" customWidth="1"/>
    <col min="2563" max="2563" width="22.28515625" style="841" customWidth="1"/>
    <col min="2564" max="2564" width="9.28515625" style="841" customWidth="1"/>
    <col min="2565" max="2565" width="8.28515625" style="841" customWidth="1"/>
    <col min="2566" max="2566" width="7.7109375" style="841" customWidth="1"/>
    <col min="2567" max="2567" width="9.7109375" style="841" customWidth="1"/>
    <col min="2568" max="2568" width="7.28515625" style="841" customWidth="1"/>
    <col min="2569" max="2569" width="7.5703125" style="841" customWidth="1"/>
    <col min="2570" max="2570" width="7.7109375" style="841" customWidth="1"/>
    <col min="2571" max="2571" width="7" style="841" customWidth="1"/>
    <col min="2572" max="2572" width="7.7109375" style="841" customWidth="1"/>
    <col min="2573" max="2573" width="7" style="841" customWidth="1"/>
    <col min="2574" max="2816" width="11.5703125" style="841"/>
    <col min="2817" max="2817" width="11.42578125" style="841" customWidth="1"/>
    <col min="2818" max="2818" width="6.140625" style="841" customWidth="1"/>
    <col min="2819" max="2819" width="22.28515625" style="841" customWidth="1"/>
    <col min="2820" max="2820" width="9.28515625" style="841" customWidth="1"/>
    <col min="2821" max="2821" width="8.28515625" style="841" customWidth="1"/>
    <col min="2822" max="2822" width="7.7109375" style="841" customWidth="1"/>
    <col min="2823" max="2823" width="9.7109375" style="841" customWidth="1"/>
    <col min="2824" max="2824" width="7.28515625" style="841" customWidth="1"/>
    <col min="2825" max="2825" width="7.5703125" style="841" customWidth="1"/>
    <col min="2826" max="2826" width="7.7109375" style="841" customWidth="1"/>
    <col min="2827" max="2827" width="7" style="841" customWidth="1"/>
    <col min="2828" max="2828" width="7.7109375" style="841" customWidth="1"/>
    <col min="2829" max="2829" width="7" style="841" customWidth="1"/>
    <col min="2830" max="3072" width="11.5703125" style="841"/>
    <col min="3073" max="3073" width="11.42578125" style="841" customWidth="1"/>
    <col min="3074" max="3074" width="6.140625" style="841" customWidth="1"/>
    <col min="3075" max="3075" width="22.28515625" style="841" customWidth="1"/>
    <col min="3076" max="3076" width="9.28515625" style="841" customWidth="1"/>
    <col min="3077" max="3077" width="8.28515625" style="841" customWidth="1"/>
    <col min="3078" max="3078" width="7.7109375" style="841" customWidth="1"/>
    <col min="3079" max="3079" width="9.7109375" style="841" customWidth="1"/>
    <col min="3080" max="3080" width="7.28515625" style="841" customWidth="1"/>
    <col min="3081" max="3081" width="7.5703125" style="841" customWidth="1"/>
    <col min="3082" max="3082" width="7.7109375" style="841" customWidth="1"/>
    <col min="3083" max="3083" width="7" style="841" customWidth="1"/>
    <col min="3084" max="3084" width="7.7109375" style="841" customWidth="1"/>
    <col min="3085" max="3085" width="7" style="841" customWidth="1"/>
    <col min="3086" max="3328" width="11.5703125" style="841"/>
    <col min="3329" max="3329" width="11.42578125" style="841" customWidth="1"/>
    <col min="3330" max="3330" width="6.140625" style="841" customWidth="1"/>
    <col min="3331" max="3331" width="22.28515625" style="841" customWidth="1"/>
    <col min="3332" max="3332" width="9.28515625" style="841" customWidth="1"/>
    <col min="3333" max="3333" width="8.28515625" style="841" customWidth="1"/>
    <col min="3334" max="3334" width="7.7109375" style="841" customWidth="1"/>
    <col min="3335" max="3335" width="9.7109375" style="841" customWidth="1"/>
    <col min="3336" max="3336" width="7.28515625" style="841" customWidth="1"/>
    <col min="3337" max="3337" width="7.5703125" style="841" customWidth="1"/>
    <col min="3338" max="3338" width="7.7109375" style="841" customWidth="1"/>
    <col min="3339" max="3339" width="7" style="841" customWidth="1"/>
    <col min="3340" max="3340" width="7.7109375" style="841" customWidth="1"/>
    <col min="3341" max="3341" width="7" style="841" customWidth="1"/>
    <col min="3342" max="3584" width="11.5703125" style="841"/>
    <col min="3585" max="3585" width="11.42578125" style="841" customWidth="1"/>
    <col min="3586" max="3586" width="6.140625" style="841" customWidth="1"/>
    <col min="3587" max="3587" width="22.28515625" style="841" customWidth="1"/>
    <col min="3588" max="3588" width="9.28515625" style="841" customWidth="1"/>
    <col min="3589" max="3589" width="8.28515625" style="841" customWidth="1"/>
    <col min="3590" max="3590" width="7.7109375" style="841" customWidth="1"/>
    <col min="3591" max="3591" width="9.7109375" style="841" customWidth="1"/>
    <col min="3592" max="3592" width="7.28515625" style="841" customWidth="1"/>
    <col min="3593" max="3593" width="7.5703125" style="841" customWidth="1"/>
    <col min="3594" max="3594" width="7.7109375" style="841" customWidth="1"/>
    <col min="3595" max="3595" width="7" style="841" customWidth="1"/>
    <col min="3596" max="3596" width="7.7109375" style="841" customWidth="1"/>
    <col min="3597" max="3597" width="7" style="841" customWidth="1"/>
    <col min="3598" max="3840" width="11.5703125" style="841"/>
    <col min="3841" max="3841" width="11.42578125" style="841" customWidth="1"/>
    <col min="3842" max="3842" width="6.140625" style="841" customWidth="1"/>
    <col min="3843" max="3843" width="22.28515625" style="841" customWidth="1"/>
    <col min="3844" max="3844" width="9.28515625" style="841" customWidth="1"/>
    <col min="3845" max="3845" width="8.28515625" style="841" customWidth="1"/>
    <col min="3846" max="3846" width="7.7109375" style="841" customWidth="1"/>
    <col min="3847" max="3847" width="9.7109375" style="841" customWidth="1"/>
    <col min="3848" max="3848" width="7.28515625" style="841" customWidth="1"/>
    <col min="3849" max="3849" width="7.5703125" style="841" customWidth="1"/>
    <col min="3850" max="3850" width="7.7109375" style="841" customWidth="1"/>
    <col min="3851" max="3851" width="7" style="841" customWidth="1"/>
    <col min="3852" max="3852" width="7.7109375" style="841" customWidth="1"/>
    <col min="3853" max="3853" width="7" style="841" customWidth="1"/>
    <col min="3854" max="4096" width="11.5703125" style="841"/>
    <col min="4097" max="4097" width="11.42578125" style="841" customWidth="1"/>
    <col min="4098" max="4098" width="6.140625" style="841" customWidth="1"/>
    <col min="4099" max="4099" width="22.28515625" style="841" customWidth="1"/>
    <col min="4100" max="4100" width="9.28515625" style="841" customWidth="1"/>
    <col min="4101" max="4101" width="8.28515625" style="841" customWidth="1"/>
    <col min="4102" max="4102" width="7.7109375" style="841" customWidth="1"/>
    <col min="4103" max="4103" width="9.7109375" style="841" customWidth="1"/>
    <col min="4104" max="4104" width="7.28515625" style="841" customWidth="1"/>
    <col min="4105" max="4105" width="7.5703125" style="841" customWidth="1"/>
    <col min="4106" max="4106" width="7.7109375" style="841" customWidth="1"/>
    <col min="4107" max="4107" width="7" style="841" customWidth="1"/>
    <col min="4108" max="4108" width="7.7109375" style="841" customWidth="1"/>
    <col min="4109" max="4109" width="7" style="841" customWidth="1"/>
    <col min="4110" max="4352" width="11.5703125" style="841"/>
    <col min="4353" max="4353" width="11.42578125" style="841" customWidth="1"/>
    <col min="4354" max="4354" width="6.140625" style="841" customWidth="1"/>
    <col min="4355" max="4355" width="22.28515625" style="841" customWidth="1"/>
    <col min="4356" max="4356" width="9.28515625" style="841" customWidth="1"/>
    <col min="4357" max="4357" width="8.28515625" style="841" customWidth="1"/>
    <col min="4358" max="4358" width="7.7109375" style="841" customWidth="1"/>
    <col min="4359" max="4359" width="9.7109375" style="841" customWidth="1"/>
    <col min="4360" max="4360" width="7.28515625" style="841" customWidth="1"/>
    <col min="4361" max="4361" width="7.5703125" style="841" customWidth="1"/>
    <col min="4362" max="4362" width="7.7109375" style="841" customWidth="1"/>
    <col min="4363" max="4363" width="7" style="841" customWidth="1"/>
    <col min="4364" max="4364" width="7.7109375" style="841" customWidth="1"/>
    <col min="4365" max="4365" width="7" style="841" customWidth="1"/>
    <col min="4366" max="4608" width="11.5703125" style="841"/>
    <col min="4609" max="4609" width="11.42578125" style="841" customWidth="1"/>
    <col min="4610" max="4610" width="6.140625" style="841" customWidth="1"/>
    <col min="4611" max="4611" width="22.28515625" style="841" customWidth="1"/>
    <col min="4612" max="4612" width="9.28515625" style="841" customWidth="1"/>
    <col min="4613" max="4613" width="8.28515625" style="841" customWidth="1"/>
    <col min="4614" max="4614" width="7.7109375" style="841" customWidth="1"/>
    <col min="4615" max="4615" width="9.7109375" style="841" customWidth="1"/>
    <col min="4616" max="4616" width="7.28515625" style="841" customWidth="1"/>
    <col min="4617" max="4617" width="7.5703125" style="841" customWidth="1"/>
    <col min="4618" max="4618" width="7.7109375" style="841" customWidth="1"/>
    <col min="4619" max="4619" width="7" style="841" customWidth="1"/>
    <col min="4620" max="4620" width="7.7109375" style="841" customWidth="1"/>
    <col min="4621" max="4621" width="7" style="841" customWidth="1"/>
    <col min="4622" max="4864" width="11.5703125" style="841"/>
    <col min="4865" max="4865" width="11.42578125" style="841" customWidth="1"/>
    <col min="4866" max="4866" width="6.140625" style="841" customWidth="1"/>
    <col min="4867" max="4867" width="22.28515625" style="841" customWidth="1"/>
    <col min="4868" max="4868" width="9.28515625" style="841" customWidth="1"/>
    <col min="4869" max="4869" width="8.28515625" style="841" customWidth="1"/>
    <col min="4870" max="4870" width="7.7109375" style="841" customWidth="1"/>
    <col min="4871" max="4871" width="9.7109375" style="841" customWidth="1"/>
    <col min="4872" max="4872" width="7.28515625" style="841" customWidth="1"/>
    <col min="4873" max="4873" width="7.5703125" style="841" customWidth="1"/>
    <col min="4874" max="4874" width="7.7109375" style="841" customWidth="1"/>
    <col min="4875" max="4875" width="7" style="841" customWidth="1"/>
    <col min="4876" max="4876" width="7.7109375" style="841" customWidth="1"/>
    <col min="4877" max="4877" width="7" style="841" customWidth="1"/>
    <col min="4878" max="5120" width="11.5703125" style="841"/>
    <col min="5121" max="5121" width="11.42578125" style="841" customWidth="1"/>
    <col min="5122" max="5122" width="6.140625" style="841" customWidth="1"/>
    <col min="5123" max="5123" width="22.28515625" style="841" customWidth="1"/>
    <col min="5124" max="5124" width="9.28515625" style="841" customWidth="1"/>
    <col min="5125" max="5125" width="8.28515625" style="841" customWidth="1"/>
    <col min="5126" max="5126" width="7.7109375" style="841" customWidth="1"/>
    <col min="5127" max="5127" width="9.7109375" style="841" customWidth="1"/>
    <col min="5128" max="5128" width="7.28515625" style="841" customWidth="1"/>
    <col min="5129" max="5129" width="7.5703125" style="841" customWidth="1"/>
    <col min="5130" max="5130" width="7.7109375" style="841" customWidth="1"/>
    <col min="5131" max="5131" width="7" style="841" customWidth="1"/>
    <col min="5132" max="5132" width="7.7109375" style="841" customWidth="1"/>
    <col min="5133" max="5133" width="7" style="841" customWidth="1"/>
    <col min="5134" max="5376" width="11.5703125" style="841"/>
    <col min="5377" max="5377" width="11.42578125" style="841" customWidth="1"/>
    <col min="5378" max="5378" width="6.140625" style="841" customWidth="1"/>
    <col min="5379" max="5379" width="22.28515625" style="841" customWidth="1"/>
    <col min="5380" max="5380" width="9.28515625" style="841" customWidth="1"/>
    <col min="5381" max="5381" width="8.28515625" style="841" customWidth="1"/>
    <col min="5382" max="5382" width="7.7109375" style="841" customWidth="1"/>
    <col min="5383" max="5383" width="9.7109375" style="841" customWidth="1"/>
    <col min="5384" max="5384" width="7.28515625" style="841" customWidth="1"/>
    <col min="5385" max="5385" width="7.5703125" style="841" customWidth="1"/>
    <col min="5386" max="5386" width="7.7109375" style="841" customWidth="1"/>
    <col min="5387" max="5387" width="7" style="841" customWidth="1"/>
    <col min="5388" max="5388" width="7.7109375" style="841" customWidth="1"/>
    <col min="5389" max="5389" width="7" style="841" customWidth="1"/>
    <col min="5390" max="5632" width="11.5703125" style="841"/>
    <col min="5633" max="5633" width="11.42578125" style="841" customWidth="1"/>
    <col min="5634" max="5634" width="6.140625" style="841" customWidth="1"/>
    <col min="5635" max="5635" width="22.28515625" style="841" customWidth="1"/>
    <col min="5636" max="5636" width="9.28515625" style="841" customWidth="1"/>
    <col min="5637" max="5637" width="8.28515625" style="841" customWidth="1"/>
    <col min="5638" max="5638" width="7.7109375" style="841" customWidth="1"/>
    <col min="5639" max="5639" width="9.7109375" style="841" customWidth="1"/>
    <col min="5640" max="5640" width="7.28515625" style="841" customWidth="1"/>
    <col min="5641" max="5641" width="7.5703125" style="841" customWidth="1"/>
    <col min="5642" max="5642" width="7.7109375" style="841" customWidth="1"/>
    <col min="5643" max="5643" width="7" style="841" customWidth="1"/>
    <col min="5644" max="5644" width="7.7109375" style="841" customWidth="1"/>
    <col min="5645" max="5645" width="7" style="841" customWidth="1"/>
    <col min="5646" max="5888" width="11.5703125" style="841"/>
    <col min="5889" max="5889" width="11.42578125" style="841" customWidth="1"/>
    <col min="5890" max="5890" width="6.140625" style="841" customWidth="1"/>
    <col min="5891" max="5891" width="22.28515625" style="841" customWidth="1"/>
    <col min="5892" max="5892" width="9.28515625" style="841" customWidth="1"/>
    <col min="5893" max="5893" width="8.28515625" style="841" customWidth="1"/>
    <col min="5894" max="5894" width="7.7109375" style="841" customWidth="1"/>
    <col min="5895" max="5895" width="9.7109375" style="841" customWidth="1"/>
    <col min="5896" max="5896" width="7.28515625" style="841" customWidth="1"/>
    <col min="5897" max="5897" width="7.5703125" style="841" customWidth="1"/>
    <col min="5898" max="5898" width="7.7109375" style="841" customWidth="1"/>
    <col min="5899" max="5899" width="7" style="841" customWidth="1"/>
    <col min="5900" max="5900" width="7.7109375" style="841" customWidth="1"/>
    <col min="5901" max="5901" width="7" style="841" customWidth="1"/>
    <col min="5902" max="6144" width="11.5703125" style="841"/>
    <col min="6145" max="6145" width="11.42578125" style="841" customWidth="1"/>
    <col min="6146" max="6146" width="6.140625" style="841" customWidth="1"/>
    <col min="6147" max="6147" width="22.28515625" style="841" customWidth="1"/>
    <col min="6148" max="6148" width="9.28515625" style="841" customWidth="1"/>
    <col min="6149" max="6149" width="8.28515625" style="841" customWidth="1"/>
    <col min="6150" max="6150" width="7.7109375" style="841" customWidth="1"/>
    <col min="6151" max="6151" width="9.7109375" style="841" customWidth="1"/>
    <col min="6152" max="6152" width="7.28515625" style="841" customWidth="1"/>
    <col min="6153" max="6153" width="7.5703125" style="841" customWidth="1"/>
    <col min="6154" max="6154" width="7.7109375" style="841" customWidth="1"/>
    <col min="6155" max="6155" width="7" style="841" customWidth="1"/>
    <col min="6156" max="6156" width="7.7109375" style="841" customWidth="1"/>
    <col min="6157" max="6157" width="7" style="841" customWidth="1"/>
    <col min="6158" max="6400" width="11.5703125" style="841"/>
    <col min="6401" max="6401" width="11.42578125" style="841" customWidth="1"/>
    <col min="6402" max="6402" width="6.140625" style="841" customWidth="1"/>
    <col min="6403" max="6403" width="22.28515625" style="841" customWidth="1"/>
    <col min="6404" max="6404" width="9.28515625" style="841" customWidth="1"/>
    <col min="6405" max="6405" width="8.28515625" style="841" customWidth="1"/>
    <col min="6406" max="6406" width="7.7109375" style="841" customWidth="1"/>
    <col min="6407" max="6407" width="9.7109375" style="841" customWidth="1"/>
    <col min="6408" max="6408" width="7.28515625" style="841" customWidth="1"/>
    <col min="6409" max="6409" width="7.5703125" style="841" customWidth="1"/>
    <col min="6410" max="6410" width="7.7109375" style="841" customWidth="1"/>
    <col min="6411" max="6411" width="7" style="841" customWidth="1"/>
    <col min="6412" max="6412" width="7.7109375" style="841" customWidth="1"/>
    <col min="6413" max="6413" width="7" style="841" customWidth="1"/>
    <col min="6414" max="6656" width="11.5703125" style="841"/>
    <col min="6657" max="6657" width="11.42578125" style="841" customWidth="1"/>
    <col min="6658" max="6658" width="6.140625" style="841" customWidth="1"/>
    <col min="6659" max="6659" width="22.28515625" style="841" customWidth="1"/>
    <col min="6660" max="6660" width="9.28515625" style="841" customWidth="1"/>
    <col min="6661" max="6661" width="8.28515625" style="841" customWidth="1"/>
    <col min="6662" max="6662" width="7.7109375" style="841" customWidth="1"/>
    <col min="6663" max="6663" width="9.7109375" style="841" customWidth="1"/>
    <col min="6664" max="6664" width="7.28515625" style="841" customWidth="1"/>
    <col min="6665" max="6665" width="7.5703125" style="841" customWidth="1"/>
    <col min="6666" max="6666" width="7.7109375" style="841" customWidth="1"/>
    <col min="6667" max="6667" width="7" style="841" customWidth="1"/>
    <col min="6668" max="6668" width="7.7109375" style="841" customWidth="1"/>
    <col min="6669" max="6669" width="7" style="841" customWidth="1"/>
    <col min="6670" max="6912" width="11.5703125" style="841"/>
    <col min="6913" max="6913" width="11.42578125" style="841" customWidth="1"/>
    <col min="6914" max="6914" width="6.140625" style="841" customWidth="1"/>
    <col min="6915" max="6915" width="22.28515625" style="841" customWidth="1"/>
    <col min="6916" max="6916" width="9.28515625" style="841" customWidth="1"/>
    <col min="6917" max="6917" width="8.28515625" style="841" customWidth="1"/>
    <col min="6918" max="6918" width="7.7109375" style="841" customWidth="1"/>
    <col min="6919" max="6919" width="9.7109375" style="841" customWidth="1"/>
    <col min="6920" max="6920" width="7.28515625" style="841" customWidth="1"/>
    <col min="6921" max="6921" width="7.5703125" style="841" customWidth="1"/>
    <col min="6922" max="6922" width="7.7109375" style="841" customWidth="1"/>
    <col min="6923" max="6923" width="7" style="841" customWidth="1"/>
    <col min="6924" max="6924" width="7.7109375" style="841" customWidth="1"/>
    <col min="6925" max="6925" width="7" style="841" customWidth="1"/>
    <col min="6926" max="7168" width="11.5703125" style="841"/>
    <col min="7169" max="7169" width="11.42578125" style="841" customWidth="1"/>
    <col min="7170" max="7170" width="6.140625" style="841" customWidth="1"/>
    <col min="7171" max="7171" width="22.28515625" style="841" customWidth="1"/>
    <col min="7172" max="7172" width="9.28515625" style="841" customWidth="1"/>
    <col min="7173" max="7173" width="8.28515625" style="841" customWidth="1"/>
    <col min="7174" max="7174" width="7.7109375" style="841" customWidth="1"/>
    <col min="7175" max="7175" width="9.7109375" style="841" customWidth="1"/>
    <col min="7176" max="7176" width="7.28515625" style="841" customWidth="1"/>
    <col min="7177" max="7177" width="7.5703125" style="841" customWidth="1"/>
    <col min="7178" max="7178" width="7.7109375" style="841" customWidth="1"/>
    <col min="7179" max="7179" width="7" style="841" customWidth="1"/>
    <col min="7180" max="7180" width="7.7109375" style="841" customWidth="1"/>
    <col min="7181" max="7181" width="7" style="841" customWidth="1"/>
    <col min="7182" max="7424" width="11.5703125" style="841"/>
    <col min="7425" max="7425" width="11.42578125" style="841" customWidth="1"/>
    <col min="7426" max="7426" width="6.140625" style="841" customWidth="1"/>
    <col min="7427" max="7427" width="22.28515625" style="841" customWidth="1"/>
    <col min="7428" max="7428" width="9.28515625" style="841" customWidth="1"/>
    <col min="7429" max="7429" width="8.28515625" style="841" customWidth="1"/>
    <col min="7430" max="7430" width="7.7109375" style="841" customWidth="1"/>
    <col min="7431" max="7431" width="9.7109375" style="841" customWidth="1"/>
    <col min="7432" max="7432" width="7.28515625" style="841" customWidth="1"/>
    <col min="7433" max="7433" width="7.5703125" style="841" customWidth="1"/>
    <col min="7434" max="7434" width="7.7109375" style="841" customWidth="1"/>
    <col min="7435" max="7435" width="7" style="841" customWidth="1"/>
    <col min="7436" max="7436" width="7.7109375" style="841" customWidth="1"/>
    <col min="7437" max="7437" width="7" style="841" customWidth="1"/>
    <col min="7438" max="7680" width="11.5703125" style="841"/>
    <col min="7681" max="7681" width="11.42578125" style="841" customWidth="1"/>
    <col min="7682" max="7682" width="6.140625" style="841" customWidth="1"/>
    <col min="7683" max="7683" width="22.28515625" style="841" customWidth="1"/>
    <col min="7684" max="7684" width="9.28515625" style="841" customWidth="1"/>
    <col min="7685" max="7685" width="8.28515625" style="841" customWidth="1"/>
    <col min="7686" max="7686" width="7.7109375" style="841" customWidth="1"/>
    <col min="7687" max="7687" width="9.7109375" style="841" customWidth="1"/>
    <col min="7688" max="7688" width="7.28515625" style="841" customWidth="1"/>
    <col min="7689" max="7689" width="7.5703125" style="841" customWidth="1"/>
    <col min="7690" max="7690" width="7.7109375" style="841" customWidth="1"/>
    <col min="7691" max="7691" width="7" style="841" customWidth="1"/>
    <col min="7692" max="7692" width="7.7109375" style="841" customWidth="1"/>
    <col min="7693" max="7693" width="7" style="841" customWidth="1"/>
    <col min="7694" max="7936" width="11.5703125" style="841"/>
    <col min="7937" max="7937" width="11.42578125" style="841" customWidth="1"/>
    <col min="7938" max="7938" width="6.140625" style="841" customWidth="1"/>
    <col min="7939" max="7939" width="22.28515625" style="841" customWidth="1"/>
    <col min="7940" max="7940" width="9.28515625" style="841" customWidth="1"/>
    <col min="7941" max="7941" width="8.28515625" style="841" customWidth="1"/>
    <col min="7942" max="7942" width="7.7109375" style="841" customWidth="1"/>
    <col min="7943" max="7943" width="9.7109375" style="841" customWidth="1"/>
    <col min="7944" max="7944" width="7.28515625" style="841" customWidth="1"/>
    <col min="7945" max="7945" width="7.5703125" style="841" customWidth="1"/>
    <col min="7946" max="7946" width="7.7109375" style="841" customWidth="1"/>
    <col min="7947" max="7947" width="7" style="841" customWidth="1"/>
    <col min="7948" max="7948" width="7.7109375" style="841" customWidth="1"/>
    <col min="7949" max="7949" width="7" style="841" customWidth="1"/>
    <col min="7950" max="8192" width="11.5703125" style="841"/>
    <col min="8193" max="8193" width="11.42578125" style="841" customWidth="1"/>
    <col min="8194" max="8194" width="6.140625" style="841" customWidth="1"/>
    <col min="8195" max="8195" width="22.28515625" style="841" customWidth="1"/>
    <col min="8196" max="8196" width="9.28515625" style="841" customWidth="1"/>
    <col min="8197" max="8197" width="8.28515625" style="841" customWidth="1"/>
    <col min="8198" max="8198" width="7.7109375" style="841" customWidth="1"/>
    <col min="8199" max="8199" width="9.7109375" style="841" customWidth="1"/>
    <col min="8200" max="8200" width="7.28515625" style="841" customWidth="1"/>
    <col min="8201" max="8201" width="7.5703125" style="841" customWidth="1"/>
    <col min="8202" max="8202" width="7.7109375" style="841" customWidth="1"/>
    <col min="8203" max="8203" width="7" style="841" customWidth="1"/>
    <col min="8204" max="8204" width="7.7109375" style="841" customWidth="1"/>
    <col min="8205" max="8205" width="7" style="841" customWidth="1"/>
    <col min="8206" max="8448" width="11.5703125" style="841"/>
    <col min="8449" max="8449" width="11.42578125" style="841" customWidth="1"/>
    <col min="8450" max="8450" width="6.140625" style="841" customWidth="1"/>
    <col min="8451" max="8451" width="22.28515625" style="841" customWidth="1"/>
    <col min="8452" max="8452" width="9.28515625" style="841" customWidth="1"/>
    <col min="8453" max="8453" width="8.28515625" style="841" customWidth="1"/>
    <col min="8454" max="8454" width="7.7109375" style="841" customWidth="1"/>
    <col min="8455" max="8455" width="9.7109375" style="841" customWidth="1"/>
    <col min="8456" max="8456" width="7.28515625" style="841" customWidth="1"/>
    <col min="8457" max="8457" width="7.5703125" style="841" customWidth="1"/>
    <col min="8458" max="8458" width="7.7109375" style="841" customWidth="1"/>
    <col min="8459" max="8459" width="7" style="841" customWidth="1"/>
    <col min="8460" max="8460" width="7.7109375" style="841" customWidth="1"/>
    <col min="8461" max="8461" width="7" style="841" customWidth="1"/>
    <col min="8462" max="8704" width="11.5703125" style="841"/>
    <col min="8705" max="8705" width="11.42578125" style="841" customWidth="1"/>
    <col min="8706" max="8706" width="6.140625" style="841" customWidth="1"/>
    <col min="8707" max="8707" width="22.28515625" style="841" customWidth="1"/>
    <col min="8708" max="8708" width="9.28515625" style="841" customWidth="1"/>
    <col min="8709" max="8709" width="8.28515625" style="841" customWidth="1"/>
    <col min="8710" max="8710" width="7.7109375" style="841" customWidth="1"/>
    <col min="8711" max="8711" width="9.7109375" style="841" customWidth="1"/>
    <col min="8712" max="8712" width="7.28515625" style="841" customWidth="1"/>
    <col min="8713" max="8713" width="7.5703125" style="841" customWidth="1"/>
    <col min="8714" max="8714" width="7.7109375" style="841" customWidth="1"/>
    <col min="8715" max="8715" width="7" style="841" customWidth="1"/>
    <col min="8716" max="8716" width="7.7109375" style="841" customWidth="1"/>
    <col min="8717" max="8717" width="7" style="841" customWidth="1"/>
    <col min="8718" max="8960" width="11.5703125" style="841"/>
    <col min="8961" max="8961" width="11.42578125" style="841" customWidth="1"/>
    <col min="8962" max="8962" width="6.140625" style="841" customWidth="1"/>
    <col min="8963" max="8963" width="22.28515625" style="841" customWidth="1"/>
    <col min="8964" max="8964" width="9.28515625" style="841" customWidth="1"/>
    <col min="8965" max="8965" width="8.28515625" style="841" customWidth="1"/>
    <col min="8966" max="8966" width="7.7109375" style="841" customWidth="1"/>
    <col min="8967" max="8967" width="9.7109375" style="841" customWidth="1"/>
    <col min="8968" max="8968" width="7.28515625" style="841" customWidth="1"/>
    <col min="8969" max="8969" width="7.5703125" style="841" customWidth="1"/>
    <col min="8970" max="8970" width="7.7109375" style="841" customWidth="1"/>
    <col min="8971" max="8971" width="7" style="841" customWidth="1"/>
    <col min="8972" max="8972" width="7.7109375" style="841" customWidth="1"/>
    <col min="8973" max="8973" width="7" style="841" customWidth="1"/>
    <col min="8974" max="9216" width="11.5703125" style="841"/>
    <col min="9217" max="9217" width="11.42578125" style="841" customWidth="1"/>
    <col min="9218" max="9218" width="6.140625" style="841" customWidth="1"/>
    <col min="9219" max="9219" width="22.28515625" style="841" customWidth="1"/>
    <col min="9220" max="9220" width="9.28515625" style="841" customWidth="1"/>
    <col min="9221" max="9221" width="8.28515625" style="841" customWidth="1"/>
    <col min="9222" max="9222" width="7.7109375" style="841" customWidth="1"/>
    <col min="9223" max="9223" width="9.7109375" style="841" customWidth="1"/>
    <col min="9224" max="9224" width="7.28515625" style="841" customWidth="1"/>
    <col min="9225" max="9225" width="7.5703125" style="841" customWidth="1"/>
    <col min="9226" max="9226" width="7.7109375" style="841" customWidth="1"/>
    <col min="9227" max="9227" width="7" style="841" customWidth="1"/>
    <col min="9228" max="9228" width="7.7109375" style="841" customWidth="1"/>
    <col min="9229" max="9229" width="7" style="841" customWidth="1"/>
    <col min="9230" max="9472" width="11.5703125" style="841"/>
    <col min="9473" max="9473" width="11.42578125" style="841" customWidth="1"/>
    <col min="9474" max="9474" width="6.140625" style="841" customWidth="1"/>
    <col min="9475" max="9475" width="22.28515625" style="841" customWidth="1"/>
    <col min="9476" max="9476" width="9.28515625" style="841" customWidth="1"/>
    <col min="9477" max="9477" width="8.28515625" style="841" customWidth="1"/>
    <col min="9478" max="9478" width="7.7109375" style="841" customWidth="1"/>
    <col min="9479" max="9479" width="9.7109375" style="841" customWidth="1"/>
    <col min="9480" max="9480" width="7.28515625" style="841" customWidth="1"/>
    <col min="9481" max="9481" width="7.5703125" style="841" customWidth="1"/>
    <col min="9482" max="9482" width="7.7109375" style="841" customWidth="1"/>
    <col min="9483" max="9483" width="7" style="841" customWidth="1"/>
    <col min="9484" max="9484" width="7.7109375" style="841" customWidth="1"/>
    <col min="9485" max="9485" width="7" style="841" customWidth="1"/>
    <col min="9486" max="9728" width="11.5703125" style="841"/>
    <col min="9729" max="9729" width="11.42578125" style="841" customWidth="1"/>
    <col min="9730" max="9730" width="6.140625" style="841" customWidth="1"/>
    <col min="9731" max="9731" width="22.28515625" style="841" customWidth="1"/>
    <col min="9732" max="9732" width="9.28515625" style="841" customWidth="1"/>
    <col min="9733" max="9733" width="8.28515625" style="841" customWidth="1"/>
    <col min="9734" max="9734" width="7.7109375" style="841" customWidth="1"/>
    <col min="9735" max="9735" width="9.7109375" style="841" customWidth="1"/>
    <col min="9736" max="9736" width="7.28515625" style="841" customWidth="1"/>
    <col min="9737" max="9737" width="7.5703125" style="841" customWidth="1"/>
    <col min="9738" max="9738" width="7.7109375" style="841" customWidth="1"/>
    <col min="9739" max="9739" width="7" style="841" customWidth="1"/>
    <col min="9740" max="9740" width="7.7109375" style="841" customWidth="1"/>
    <col min="9741" max="9741" width="7" style="841" customWidth="1"/>
    <col min="9742" max="9984" width="11.5703125" style="841"/>
    <col min="9985" max="9985" width="11.42578125" style="841" customWidth="1"/>
    <col min="9986" max="9986" width="6.140625" style="841" customWidth="1"/>
    <col min="9987" max="9987" width="22.28515625" style="841" customWidth="1"/>
    <col min="9988" max="9988" width="9.28515625" style="841" customWidth="1"/>
    <col min="9989" max="9989" width="8.28515625" style="841" customWidth="1"/>
    <col min="9990" max="9990" width="7.7109375" style="841" customWidth="1"/>
    <col min="9991" max="9991" width="9.7109375" style="841" customWidth="1"/>
    <col min="9992" max="9992" width="7.28515625" style="841" customWidth="1"/>
    <col min="9993" max="9993" width="7.5703125" style="841" customWidth="1"/>
    <col min="9994" max="9994" width="7.7109375" style="841" customWidth="1"/>
    <col min="9995" max="9995" width="7" style="841" customWidth="1"/>
    <col min="9996" max="9996" width="7.7109375" style="841" customWidth="1"/>
    <col min="9997" max="9997" width="7" style="841" customWidth="1"/>
    <col min="9998" max="10240" width="11.5703125" style="841"/>
    <col min="10241" max="10241" width="11.42578125" style="841" customWidth="1"/>
    <col min="10242" max="10242" width="6.140625" style="841" customWidth="1"/>
    <col min="10243" max="10243" width="22.28515625" style="841" customWidth="1"/>
    <col min="10244" max="10244" width="9.28515625" style="841" customWidth="1"/>
    <col min="10245" max="10245" width="8.28515625" style="841" customWidth="1"/>
    <col min="10246" max="10246" width="7.7109375" style="841" customWidth="1"/>
    <col min="10247" max="10247" width="9.7109375" style="841" customWidth="1"/>
    <col min="10248" max="10248" width="7.28515625" style="841" customWidth="1"/>
    <col min="10249" max="10249" width="7.5703125" style="841" customWidth="1"/>
    <col min="10250" max="10250" width="7.7109375" style="841" customWidth="1"/>
    <col min="10251" max="10251" width="7" style="841" customWidth="1"/>
    <col min="10252" max="10252" width="7.7109375" style="841" customWidth="1"/>
    <col min="10253" max="10253" width="7" style="841" customWidth="1"/>
    <col min="10254" max="10496" width="11.5703125" style="841"/>
    <col min="10497" max="10497" width="11.42578125" style="841" customWidth="1"/>
    <col min="10498" max="10498" width="6.140625" style="841" customWidth="1"/>
    <col min="10499" max="10499" width="22.28515625" style="841" customWidth="1"/>
    <col min="10500" max="10500" width="9.28515625" style="841" customWidth="1"/>
    <col min="10501" max="10501" width="8.28515625" style="841" customWidth="1"/>
    <col min="10502" max="10502" width="7.7109375" style="841" customWidth="1"/>
    <col min="10503" max="10503" width="9.7109375" style="841" customWidth="1"/>
    <col min="10504" max="10504" width="7.28515625" style="841" customWidth="1"/>
    <col min="10505" max="10505" width="7.5703125" style="841" customWidth="1"/>
    <col min="10506" max="10506" width="7.7109375" style="841" customWidth="1"/>
    <col min="10507" max="10507" width="7" style="841" customWidth="1"/>
    <col min="10508" max="10508" width="7.7109375" style="841" customWidth="1"/>
    <col min="10509" max="10509" width="7" style="841" customWidth="1"/>
    <col min="10510" max="10752" width="11.5703125" style="841"/>
    <col min="10753" max="10753" width="11.42578125" style="841" customWidth="1"/>
    <col min="10754" max="10754" width="6.140625" style="841" customWidth="1"/>
    <col min="10755" max="10755" width="22.28515625" style="841" customWidth="1"/>
    <col min="10756" max="10756" width="9.28515625" style="841" customWidth="1"/>
    <col min="10757" max="10757" width="8.28515625" style="841" customWidth="1"/>
    <col min="10758" max="10758" width="7.7109375" style="841" customWidth="1"/>
    <col min="10759" max="10759" width="9.7109375" style="841" customWidth="1"/>
    <col min="10760" max="10760" width="7.28515625" style="841" customWidth="1"/>
    <col min="10761" max="10761" width="7.5703125" style="841" customWidth="1"/>
    <col min="10762" max="10762" width="7.7109375" style="841" customWidth="1"/>
    <col min="10763" max="10763" width="7" style="841" customWidth="1"/>
    <col min="10764" max="10764" width="7.7109375" style="841" customWidth="1"/>
    <col min="10765" max="10765" width="7" style="841" customWidth="1"/>
    <col min="10766" max="11008" width="11.5703125" style="841"/>
    <col min="11009" max="11009" width="11.42578125" style="841" customWidth="1"/>
    <col min="11010" max="11010" width="6.140625" style="841" customWidth="1"/>
    <col min="11011" max="11011" width="22.28515625" style="841" customWidth="1"/>
    <col min="11012" max="11012" width="9.28515625" style="841" customWidth="1"/>
    <col min="11013" max="11013" width="8.28515625" style="841" customWidth="1"/>
    <col min="11014" max="11014" width="7.7109375" style="841" customWidth="1"/>
    <col min="11015" max="11015" width="9.7109375" style="841" customWidth="1"/>
    <col min="11016" max="11016" width="7.28515625" style="841" customWidth="1"/>
    <col min="11017" max="11017" width="7.5703125" style="841" customWidth="1"/>
    <col min="11018" max="11018" width="7.7109375" style="841" customWidth="1"/>
    <col min="11019" max="11019" width="7" style="841" customWidth="1"/>
    <col min="11020" max="11020" width="7.7109375" style="841" customWidth="1"/>
    <col min="11021" max="11021" width="7" style="841" customWidth="1"/>
    <col min="11022" max="11264" width="11.5703125" style="841"/>
    <col min="11265" max="11265" width="11.42578125" style="841" customWidth="1"/>
    <col min="11266" max="11266" width="6.140625" style="841" customWidth="1"/>
    <col min="11267" max="11267" width="22.28515625" style="841" customWidth="1"/>
    <col min="11268" max="11268" width="9.28515625" style="841" customWidth="1"/>
    <col min="11269" max="11269" width="8.28515625" style="841" customWidth="1"/>
    <col min="11270" max="11270" width="7.7109375" style="841" customWidth="1"/>
    <col min="11271" max="11271" width="9.7109375" style="841" customWidth="1"/>
    <col min="11272" max="11272" width="7.28515625" style="841" customWidth="1"/>
    <col min="11273" max="11273" width="7.5703125" style="841" customWidth="1"/>
    <col min="11274" max="11274" width="7.7109375" style="841" customWidth="1"/>
    <col min="11275" max="11275" width="7" style="841" customWidth="1"/>
    <col min="11276" max="11276" width="7.7109375" style="841" customWidth="1"/>
    <col min="11277" max="11277" width="7" style="841" customWidth="1"/>
    <col min="11278" max="11520" width="11.5703125" style="841"/>
    <col min="11521" max="11521" width="11.42578125" style="841" customWidth="1"/>
    <col min="11522" max="11522" width="6.140625" style="841" customWidth="1"/>
    <col min="11523" max="11523" width="22.28515625" style="841" customWidth="1"/>
    <col min="11524" max="11524" width="9.28515625" style="841" customWidth="1"/>
    <col min="11525" max="11525" width="8.28515625" style="841" customWidth="1"/>
    <col min="11526" max="11526" width="7.7109375" style="841" customWidth="1"/>
    <col min="11527" max="11527" width="9.7109375" style="841" customWidth="1"/>
    <col min="11528" max="11528" width="7.28515625" style="841" customWidth="1"/>
    <col min="11529" max="11529" width="7.5703125" style="841" customWidth="1"/>
    <col min="11530" max="11530" width="7.7109375" style="841" customWidth="1"/>
    <col min="11531" max="11531" width="7" style="841" customWidth="1"/>
    <col min="11532" max="11532" width="7.7109375" style="841" customWidth="1"/>
    <col min="11533" max="11533" width="7" style="841" customWidth="1"/>
    <col min="11534" max="11776" width="11.5703125" style="841"/>
    <col min="11777" max="11777" width="11.42578125" style="841" customWidth="1"/>
    <col min="11778" max="11778" width="6.140625" style="841" customWidth="1"/>
    <col min="11779" max="11779" width="22.28515625" style="841" customWidth="1"/>
    <col min="11780" max="11780" width="9.28515625" style="841" customWidth="1"/>
    <col min="11781" max="11781" width="8.28515625" style="841" customWidth="1"/>
    <col min="11782" max="11782" width="7.7109375" style="841" customWidth="1"/>
    <col min="11783" max="11783" width="9.7109375" style="841" customWidth="1"/>
    <col min="11784" max="11784" width="7.28515625" style="841" customWidth="1"/>
    <col min="11785" max="11785" width="7.5703125" style="841" customWidth="1"/>
    <col min="11786" max="11786" width="7.7109375" style="841" customWidth="1"/>
    <col min="11787" max="11787" width="7" style="841" customWidth="1"/>
    <col min="11788" max="11788" width="7.7109375" style="841" customWidth="1"/>
    <col min="11789" max="11789" width="7" style="841" customWidth="1"/>
    <col min="11790" max="12032" width="11.5703125" style="841"/>
    <col min="12033" max="12033" width="11.42578125" style="841" customWidth="1"/>
    <col min="12034" max="12034" width="6.140625" style="841" customWidth="1"/>
    <col min="12035" max="12035" width="22.28515625" style="841" customWidth="1"/>
    <col min="12036" max="12036" width="9.28515625" style="841" customWidth="1"/>
    <col min="12037" max="12037" width="8.28515625" style="841" customWidth="1"/>
    <col min="12038" max="12038" width="7.7109375" style="841" customWidth="1"/>
    <col min="12039" max="12039" width="9.7109375" style="841" customWidth="1"/>
    <col min="12040" max="12040" width="7.28515625" style="841" customWidth="1"/>
    <col min="12041" max="12041" width="7.5703125" style="841" customWidth="1"/>
    <col min="12042" max="12042" width="7.7109375" style="841" customWidth="1"/>
    <col min="12043" max="12043" width="7" style="841" customWidth="1"/>
    <col min="12044" max="12044" width="7.7109375" style="841" customWidth="1"/>
    <col min="12045" max="12045" width="7" style="841" customWidth="1"/>
    <col min="12046" max="12288" width="11.5703125" style="841"/>
    <col min="12289" max="12289" width="11.42578125" style="841" customWidth="1"/>
    <col min="12290" max="12290" width="6.140625" style="841" customWidth="1"/>
    <col min="12291" max="12291" width="22.28515625" style="841" customWidth="1"/>
    <col min="12292" max="12292" width="9.28515625" style="841" customWidth="1"/>
    <col min="12293" max="12293" width="8.28515625" style="841" customWidth="1"/>
    <col min="12294" max="12294" width="7.7109375" style="841" customWidth="1"/>
    <col min="12295" max="12295" width="9.7109375" style="841" customWidth="1"/>
    <col min="12296" max="12296" width="7.28515625" style="841" customWidth="1"/>
    <col min="12297" max="12297" width="7.5703125" style="841" customWidth="1"/>
    <col min="12298" max="12298" width="7.7109375" style="841" customWidth="1"/>
    <col min="12299" max="12299" width="7" style="841" customWidth="1"/>
    <col min="12300" max="12300" width="7.7109375" style="841" customWidth="1"/>
    <col min="12301" max="12301" width="7" style="841" customWidth="1"/>
    <col min="12302" max="12544" width="11.5703125" style="841"/>
    <col min="12545" max="12545" width="11.42578125" style="841" customWidth="1"/>
    <col min="12546" max="12546" width="6.140625" style="841" customWidth="1"/>
    <col min="12547" max="12547" width="22.28515625" style="841" customWidth="1"/>
    <col min="12548" max="12548" width="9.28515625" style="841" customWidth="1"/>
    <col min="12549" max="12549" width="8.28515625" style="841" customWidth="1"/>
    <col min="12550" max="12550" width="7.7109375" style="841" customWidth="1"/>
    <col min="12551" max="12551" width="9.7109375" style="841" customWidth="1"/>
    <col min="12552" max="12552" width="7.28515625" style="841" customWidth="1"/>
    <col min="12553" max="12553" width="7.5703125" style="841" customWidth="1"/>
    <col min="12554" max="12554" width="7.7109375" style="841" customWidth="1"/>
    <col min="12555" max="12555" width="7" style="841" customWidth="1"/>
    <col min="12556" max="12556" width="7.7109375" style="841" customWidth="1"/>
    <col min="12557" max="12557" width="7" style="841" customWidth="1"/>
    <col min="12558" max="12800" width="11.5703125" style="841"/>
    <col min="12801" max="12801" width="11.42578125" style="841" customWidth="1"/>
    <col min="12802" max="12802" width="6.140625" style="841" customWidth="1"/>
    <col min="12803" max="12803" width="22.28515625" style="841" customWidth="1"/>
    <col min="12804" max="12804" width="9.28515625" style="841" customWidth="1"/>
    <col min="12805" max="12805" width="8.28515625" style="841" customWidth="1"/>
    <col min="12806" max="12806" width="7.7109375" style="841" customWidth="1"/>
    <col min="12807" max="12807" width="9.7109375" style="841" customWidth="1"/>
    <col min="12808" max="12808" width="7.28515625" style="841" customWidth="1"/>
    <col min="12809" max="12809" width="7.5703125" style="841" customWidth="1"/>
    <col min="12810" max="12810" width="7.7109375" style="841" customWidth="1"/>
    <col min="12811" max="12811" width="7" style="841" customWidth="1"/>
    <col min="12812" max="12812" width="7.7109375" style="841" customWidth="1"/>
    <col min="12813" max="12813" width="7" style="841" customWidth="1"/>
    <col min="12814" max="13056" width="11.5703125" style="841"/>
    <col min="13057" max="13057" width="11.42578125" style="841" customWidth="1"/>
    <col min="13058" max="13058" width="6.140625" style="841" customWidth="1"/>
    <col min="13059" max="13059" width="22.28515625" style="841" customWidth="1"/>
    <col min="13060" max="13060" width="9.28515625" style="841" customWidth="1"/>
    <col min="13061" max="13061" width="8.28515625" style="841" customWidth="1"/>
    <col min="13062" max="13062" width="7.7109375" style="841" customWidth="1"/>
    <col min="13063" max="13063" width="9.7109375" style="841" customWidth="1"/>
    <col min="13064" max="13064" width="7.28515625" style="841" customWidth="1"/>
    <col min="13065" max="13065" width="7.5703125" style="841" customWidth="1"/>
    <col min="13066" max="13066" width="7.7109375" style="841" customWidth="1"/>
    <col min="13067" max="13067" width="7" style="841" customWidth="1"/>
    <col min="13068" max="13068" width="7.7109375" style="841" customWidth="1"/>
    <col min="13069" max="13069" width="7" style="841" customWidth="1"/>
    <col min="13070" max="13312" width="11.5703125" style="841"/>
    <col min="13313" max="13313" width="11.42578125" style="841" customWidth="1"/>
    <col min="13314" max="13314" width="6.140625" style="841" customWidth="1"/>
    <col min="13315" max="13315" width="22.28515625" style="841" customWidth="1"/>
    <col min="13316" max="13316" width="9.28515625" style="841" customWidth="1"/>
    <col min="13317" max="13317" width="8.28515625" style="841" customWidth="1"/>
    <col min="13318" max="13318" width="7.7109375" style="841" customWidth="1"/>
    <col min="13319" max="13319" width="9.7109375" style="841" customWidth="1"/>
    <col min="13320" max="13320" width="7.28515625" style="841" customWidth="1"/>
    <col min="13321" max="13321" width="7.5703125" style="841" customWidth="1"/>
    <col min="13322" max="13322" width="7.7109375" style="841" customWidth="1"/>
    <col min="13323" max="13323" width="7" style="841" customWidth="1"/>
    <col min="13324" max="13324" width="7.7109375" style="841" customWidth="1"/>
    <col min="13325" max="13325" width="7" style="841" customWidth="1"/>
    <col min="13326" max="13568" width="11.5703125" style="841"/>
    <col min="13569" max="13569" width="11.42578125" style="841" customWidth="1"/>
    <col min="13570" max="13570" width="6.140625" style="841" customWidth="1"/>
    <col min="13571" max="13571" width="22.28515625" style="841" customWidth="1"/>
    <col min="13572" max="13572" width="9.28515625" style="841" customWidth="1"/>
    <col min="13573" max="13573" width="8.28515625" style="841" customWidth="1"/>
    <col min="13574" max="13574" width="7.7109375" style="841" customWidth="1"/>
    <col min="13575" max="13575" width="9.7109375" style="841" customWidth="1"/>
    <col min="13576" max="13576" width="7.28515625" style="841" customWidth="1"/>
    <col min="13577" max="13577" width="7.5703125" style="841" customWidth="1"/>
    <col min="13578" max="13578" width="7.7109375" style="841" customWidth="1"/>
    <col min="13579" max="13579" width="7" style="841" customWidth="1"/>
    <col min="13580" max="13580" width="7.7109375" style="841" customWidth="1"/>
    <col min="13581" max="13581" width="7" style="841" customWidth="1"/>
    <col min="13582" max="13824" width="11.5703125" style="841"/>
    <col min="13825" max="13825" width="11.42578125" style="841" customWidth="1"/>
    <col min="13826" max="13826" width="6.140625" style="841" customWidth="1"/>
    <col min="13827" max="13827" width="22.28515625" style="841" customWidth="1"/>
    <col min="13828" max="13828" width="9.28515625" style="841" customWidth="1"/>
    <col min="13829" max="13829" width="8.28515625" style="841" customWidth="1"/>
    <col min="13830" max="13830" width="7.7109375" style="841" customWidth="1"/>
    <col min="13831" max="13831" width="9.7109375" style="841" customWidth="1"/>
    <col min="13832" max="13832" width="7.28515625" style="841" customWidth="1"/>
    <col min="13833" max="13833" width="7.5703125" style="841" customWidth="1"/>
    <col min="13834" max="13834" width="7.7109375" style="841" customWidth="1"/>
    <col min="13835" max="13835" width="7" style="841" customWidth="1"/>
    <col min="13836" max="13836" width="7.7109375" style="841" customWidth="1"/>
    <col min="13837" max="13837" width="7" style="841" customWidth="1"/>
    <col min="13838" max="14080" width="11.5703125" style="841"/>
    <col min="14081" max="14081" width="11.42578125" style="841" customWidth="1"/>
    <col min="14082" max="14082" width="6.140625" style="841" customWidth="1"/>
    <col min="14083" max="14083" width="22.28515625" style="841" customWidth="1"/>
    <col min="14084" max="14084" width="9.28515625" style="841" customWidth="1"/>
    <col min="14085" max="14085" width="8.28515625" style="841" customWidth="1"/>
    <col min="14086" max="14086" width="7.7109375" style="841" customWidth="1"/>
    <col min="14087" max="14087" width="9.7109375" style="841" customWidth="1"/>
    <col min="14088" max="14088" width="7.28515625" style="841" customWidth="1"/>
    <col min="14089" max="14089" width="7.5703125" style="841" customWidth="1"/>
    <col min="14090" max="14090" width="7.7109375" style="841" customWidth="1"/>
    <col min="14091" max="14091" width="7" style="841" customWidth="1"/>
    <col min="14092" max="14092" width="7.7109375" style="841" customWidth="1"/>
    <col min="14093" max="14093" width="7" style="841" customWidth="1"/>
    <col min="14094" max="14336" width="11.5703125" style="841"/>
    <col min="14337" max="14337" width="11.42578125" style="841" customWidth="1"/>
    <col min="14338" max="14338" width="6.140625" style="841" customWidth="1"/>
    <col min="14339" max="14339" width="22.28515625" style="841" customWidth="1"/>
    <col min="14340" max="14340" width="9.28515625" style="841" customWidth="1"/>
    <col min="14341" max="14341" width="8.28515625" style="841" customWidth="1"/>
    <col min="14342" max="14342" width="7.7109375" style="841" customWidth="1"/>
    <col min="14343" max="14343" width="9.7109375" style="841" customWidth="1"/>
    <col min="14344" max="14344" width="7.28515625" style="841" customWidth="1"/>
    <col min="14345" max="14345" width="7.5703125" style="841" customWidth="1"/>
    <col min="14346" max="14346" width="7.7109375" style="841" customWidth="1"/>
    <col min="14347" max="14347" width="7" style="841" customWidth="1"/>
    <col min="14348" max="14348" width="7.7109375" style="841" customWidth="1"/>
    <col min="14349" max="14349" width="7" style="841" customWidth="1"/>
    <col min="14350" max="14592" width="11.5703125" style="841"/>
    <col min="14593" max="14593" width="11.42578125" style="841" customWidth="1"/>
    <col min="14594" max="14594" width="6.140625" style="841" customWidth="1"/>
    <col min="14595" max="14595" width="22.28515625" style="841" customWidth="1"/>
    <col min="14596" max="14596" width="9.28515625" style="841" customWidth="1"/>
    <col min="14597" max="14597" width="8.28515625" style="841" customWidth="1"/>
    <col min="14598" max="14598" width="7.7109375" style="841" customWidth="1"/>
    <col min="14599" max="14599" width="9.7109375" style="841" customWidth="1"/>
    <col min="14600" max="14600" width="7.28515625" style="841" customWidth="1"/>
    <col min="14601" max="14601" width="7.5703125" style="841" customWidth="1"/>
    <col min="14602" max="14602" width="7.7109375" style="841" customWidth="1"/>
    <col min="14603" max="14603" width="7" style="841" customWidth="1"/>
    <col min="14604" max="14604" width="7.7109375" style="841" customWidth="1"/>
    <col min="14605" max="14605" width="7" style="841" customWidth="1"/>
    <col min="14606" max="14848" width="11.5703125" style="841"/>
    <col min="14849" max="14849" width="11.42578125" style="841" customWidth="1"/>
    <col min="14850" max="14850" width="6.140625" style="841" customWidth="1"/>
    <col min="14851" max="14851" width="22.28515625" style="841" customWidth="1"/>
    <col min="14852" max="14852" width="9.28515625" style="841" customWidth="1"/>
    <col min="14853" max="14853" width="8.28515625" style="841" customWidth="1"/>
    <col min="14854" max="14854" width="7.7109375" style="841" customWidth="1"/>
    <col min="14855" max="14855" width="9.7109375" style="841" customWidth="1"/>
    <col min="14856" max="14856" width="7.28515625" style="841" customWidth="1"/>
    <col min="14857" max="14857" width="7.5703125" style="841" customWidth="1"/>
    <col min="14858" max="14858" width="7.7109375" style="841" customWidth="1"/>
    <col min="14859" max="14859" width="7" style="841" customWidth="1"/>
    <col min="14860" max="14860" width="7.7109375" style="841" customWidth="1"/>
    <col min="14861" max="14861" width="7" style="841" customWidth="1"/>
    <col min="14862" max="15104" width="11.5703125" style="841"/>
    <col min="15105" max="15105" width="11.42578125" style="841" customWidth="1"/>
    <col min="15106" max="15106" width="6.140625" style="841" customWidth="1"/>
    <col min="15107" max="15107" width="22.28515625" style="841" customWidth="1"/>
    <col min="15108" max="15108" width="9.28515625" style="841" customWidth="1"/>
    <col min="15109" max="15109" width="8.28515625" style="841" customWidth="1"/>
    <col min="15110" max="15110" width="7.7109375" style="841" customWidth="1"/>
    <col min="15111" max="15111" width="9.7109375" style="841" customWidth="1"/>
    <col min="15112" max="15112" width="7.28515625" style="841" customWidth="1"/>
    <col min="15113" max="15113" width="7.5703125" style="841" customWidth="1"/>
    <col min="15114" max="15114" width="7.7109375" style="841" customWidth="1"/>
    <col min="15115" max="15115" width="7" style="841" customWidth="1"/>
    <col min="15116" max="15116" width="7.7109375" style="841" customWidth="1"/>
    <col min="15117" max="15117" width="7" style="841" customWidth="1"/>
    <col min="15118" max="15360" width="11.5703125" style="841"/>
    <col min="15361" max="15361" width="11.42578125" style="841" customWidth="1"/>
    <col min="15362" max="15362" width="6.140625" style="841" customWidth="1"/>
    <col min="15363" max="15363" width="22.28515625" style="841" customWidth="1"/>
    <col min="15364" max="15364" width="9.28515625" style="841" customWidth="1"/>
    <col min="15365" max="15365" width="8.28515625" style="841" customWidth="1"/>
    <col min="15366" max="15366" width="7.7109375" style="841" customWidth="1"/>
    <col min="15367" max="15367" width="9.7109375" style="841" customWidth="1"/>
    <col min="15368" max="15368" width="7.28515625" style="841" customWidth="1"/>
    <col min="15369" max="15369" width="7.5703125" style="841" customWidth="1"/>
    <col min="15370" max="15370" width="7.7109375" style="841" customWidth="1"/>
    <col min="15371" max="15371" width="7" style="841" customWidth="1"/>
    <col min="15372" max="15372" width="7.7109375" style="841" customWidth="1"/>
    <col min="15373" max="15373" width="7" style="841" customWidth="1"/>
    <col min="15374" max="15616" width="11.5703125" style="841"/>
    <col min="15617" max="15617" width="11.42578125" style="841" customWidth="1"/>
    <col min="15618" max="15618" width="6.140625" style="841" customWidth="1"/>
    <col min="15619" max="15619" width="22.28515625" style="841" customWidth="1"/>
    <col min="15620" max="15620" width="9.28515625" style="841" customWidth="1"/>
    <col min="15621" max="15621" width="8.28515625" style="841" customWidth="1"/>
    <col min="15622" max="15622" width="7.7109375" style="841" customWidth="1"/>
    <col min="15623" max="15623" width="9.7109375" style="841" customWidth="1"/>
    <col min="15624" max="15624" width="7.28515625" style="841" customWidth="1"/>
    <col min="15625" max="15625" width="7.5703125" style="841" customWidth="1"/>
    <col min="15626" max="15626" width="7.7109375" style="841" customWidth="1"/>
    <col min="15627" max="15627" width="7" style="841" customWidth="1"/>
    <col min="15628" max="15628" width="7.7109375" style="841" customWidth="1"/>
    <col min="15629" max="15629" width="7" style="841" customWidth="1"/>
    <col min="15630" max="15872" width="11.5703125" style="841"/>
    <col min="15873" max="15873" width="11.42578125" style="841" customWidth="1"/>
    <col min="15874" max="15874" width="6.140625" style="841" customWidth="1"/>
    <col min="15875" max="15875" width="22.28515625" style="841" customWidth="1"/>
    <col min="15876" max="15876" width="9.28515625" style="841" customWidth="1"/>
    <col min="15877" max="15877" width="8.28515625" style="841" customWidth="1"/>
    <col min="15878" max="15878" width="7.7109375" style="841" customWidth="1"/>
    <col min="15879" max="15879" width="9.7109375" style="841" customWidth="1"/>
    <col min="15880" max="15880" width="7.28515625" style="841" customWidth="1"/>
    <col min="15881" max="15881" width="7.5703125" style="841" customWidth="1"/>
    <col min="15882" max="15882" width="7.7109375" style="841" customWidth="1"/>
    <col min="15883" max="15883" width="7" style="841" customWidth="1"/>
    <col min="15884" max="15884" width="7.7109375" style="841" customWidth="1"/>
    <col min="15885" max="15885" width="7" style="841" customWidth="1"/>
    <col min="15886" max="16128" width="11.5703125" style="841"/>
    <col min="16129" max="16129" width="11.42578125" style="841" customWidth="1"/>
    <col min="16130" max="16130" width="6.140625" style="841" customWidth="1"/>
    <col min="16131" max="16131" width="22.28515625" style="841" customWidth="1"/>
    <col min="16132" max="16132" width="9.28515625" style="841" customWidth="1"/>
    <col min="16133" max="16133" width="8.28515625" style="841" customWidth="1"/>
    <col min="16134" max="16134" width="7.7109375" style="841" customWidth="1"/>
    <col min="16135" max="16135" width="9.7109375" style="841" customWidth="1"/>
    <col min="16136" max="16136" width="7.28515625" style="841" customWidth="1"/>
    <col min="16137" max="16137" width="7.5703125" style="841" customWidth="1"/>
    <col min="16138" max="16138" width="7.7109375" style="841" customWidth="1"/>
    <col min="16139" max="16139" width="7" style="841" customWidth="1"/>
    <col min="16140" max="16140" width="7.7109375" style="841" customWidth="1"/>
    <col min="16141" max="16141" width="7" style="841" customWidth="1"/>
    <col min="16142" max="16384" width="11.5703125" style="841"/>
  </cols>
  <sheetData>
    <row r="1" spans="1:15" ht="26.25" customHeight="1" x14ac:dyDescent="0.4">
      <c r="A1" s="909" t="s">
        <v>1667</v>
      </c>
      <c r="B1" s="910"/>
      <c r="C1" s="911"/>
      <c r="F1" s="912" t="s">
        <v>1815</v>
      </c>
      <c r="G1" s="913"/>
      <c r="H1" s="913"/>
      <c r="I1" s="913"/>
      <c r="J1" s="913"/>
      <c r="K1" s="913"/>
      <c r="L1" s="914"/>
    </row>
    <row r="2" spans="1:15" ht="21" customHeight="1" x14ac:dyDescent="0.35">
      <c r="A2" s="905" t="s">
        <v>1669</v>
      </c>
      <c r="B2" s="906"/>
      <c r="C2" s="842" t="s">
        <v>1670</v>
      </c>
      <c r="F2" s="905" t="s">
        <v>1669</v>
      </c>
      <c r="G2" s="906"/>
      <c r="H2" s="907" t="s">
        <v>1681</v>
      </c>
      <c r="I2" s="907"/>
      <c r="J2" s="907"/>
      <c r="K2" s="907"/>
      <c r="L2" s="908"/>
    </row>
    <row r="3" spans="1:15" ht="21.75" customHeight="1" x14ac:dyDescent="0.35">
      <c r="A3" s="905" t="s">
        <v>1671</v>
      </c>
      <c r="B3" s="906"/>
      <c r="C3" s="842" t="s">
        <v>1672</v>
      </c>
      <c r="F3" s="905" t="s">
        <v>1671</v>
      </c>
      <c r="G3" s="906"/>
      <c r="H3" s="907" t="s">
        <v>1682</v>
      </c>
      <c r="I3" s="907"/>
      <c r="J3" s="907"/>
      <c r="K3" s="907"/>
      <c r="L3" s="908"/>
    </row>
    <row r="4" spans="1:15" ht="21.75" thickBot="1" x14ac:dyDescent="0.4">
      <c r="A4" s="915" t="s">
        <v>1673</v>
      </c>
      <c r="B4" s="916"/>
      <c r="C4" s="843" t="s">
        <v>1674</v>
      </c>
      <c r="F4" s="915" t="s">
        <v>1673</v>
      </c>
      <c r="G4" s="916"/>
      <c r="H4" s="917" t="s">
        <v>1816</v>
      </c>
      <c r="I4" s="917"/>
      <c r="J4" s="917"/>
      <c r="K4" s="917"/>
      <c r="L4" s="918"/>
    </row>
    <row r="5" spans="1:15" ht="7.5" customHeight="1" thickBot="1" x14ac:dyDescent="0.4">
      <c r="A5" s="844"/>
      <c r="C5" s="844"/>
    </row>
    <row r="6" spans="1:15" ht="35.450000000000003" customHeight="1" thickBot="1" x14ac:dyDescent="0.25">
      <c r="A6" s="919" t="s">
        <v>1668</v>
      </c>
      <c r="B6" s="920"/>
      <c r="C6" s="921"/>
      <c r="F6" s="922" t="s">
        <v>1675</v>
      </c>
      <c r="G6" s="923"/>
      <c r="H6" s="924"/>
      <c r="I6" s="925">
        <f ca="1">+TODAY()</f>
        <v>46099</v>
      </c>
      <c r="J6" s="926"/>
      <c r="K6" s="926"/>
      <c r="L6" s="926"/>
      <c r="M6" s="927"/>
    </row>
    <row r="7" spans="1:15" ht="3" customHeight="1" thickBot="1" x14ac:dyDescent="0.25"/>
    <row r="8" spans="1:15" ht="42.75" customHeight="1" thickBot="1" x14ac:dyDescent="0.25">
      <c r="A8" s="935" t="s">
        <v>1676</v>
      </c>
      <c r="B8" s="936"/>
      <c r="C8" s="845" t="s">
        <v>1684</v>
      </c>
      <c r="D8" s="846" t="s">
        <v>1677</v>
      </c>
      <c r="E8" s="847"/>
      <c r="F8" s="935" t="s">
        <v>1678</v>
      </c>
      <c r="G8" s="937"/>
      <c r="H8" s="936"/>
      <c r="I8" s="938" t="s">
        <v>1672</v>
      </c>
      <c r="J8" s="939"/>
      <c r="K8" s="939"/>
      <c r="L8" s="939"/>
      <c r="M8" s="940"/>
    </row>
    <row r="9" spans="1:15" ht="7.5" customHeight="1" thickBot="1" x14ac:dyDescent="0.4">
      <c r="A9" s="844"/>
      <c r="C9" s="844"/>
    </row>
    <row r="10" spans="1:15" ht="39.6" customHeight="1" thickBot="1" x14ac:dyDescent="0.25">
      <c r="A10" s="941" t="s">
        <v>1818</v>
      </c>
      <c r="B10" s="942"/>
      <c r="C10" s="942"/>
      <c r="D10" s="942"/>
      <c r="E10" s="942"/>
      <c r="F10" s="942"/>
      <c r="G10" s="942"/>
      <c r="H10" s="942"/>
      <c r="I10" s="942"/>
      <c r="J10" s="942"/>
      <c r="K10" s="942"/>
      <c r="L10" s="942"/>
      <c r="M10" s="943"/>
    </row>
    <row r="11" spans="1:15" ht="6" customHeight="1" thickBot="1" x14ac:dyDescent="0.4">
      <c r="A11" s="844"/>
      <c r="C11" s="844"/>
    </row>
    <row r="12" spans="1:15" ht="27" thickBot="1" x14ac:dyDescent="0.25">
      <c r="A12" s="944" t="s">
        <v>1679</v>
      </c>
      <c r="B12" s="945"/>
      <c r="C12" s="945"/>
      <c r="D12" s="945"/>
      <c r="E12" s="945"/>
      <c r="F12" s="945"/>
      <c r="G12" s="945"/>
      <c r="H12" s="945"/>
      <c r="I12" s="945"/>
      <c r="J12" s="945"/>
      <c r="K12" s="945"/>
      <c r="L12" s="945"/>
      <c r="M12" s="946"/>
    </row>
    <row r="13" spans="1:15" ht="38.25" thickBot="1" x14ac:dyDescent="0.25">
      <c r="A13" s="848" t="s">
        <v>1293</v>
      </c>
      <c r="B13" s="849" t="s">
        <v>1664</v>
      </c>
      <c r="C13" s="850" t="s">
        <v>1819</v>
      </c>
      <c r="D13" s="851" t="s">
        <v>1401</v>
      </c>
      <c r="E13" s="852" t="s">
        <v>1820</v>
      </c>
      <c r="F13" s="852" t="s">
        <v>1826</v>
      </c>
      <c r="G13" s="853" t="s">
        <v>1822</v>
      </c>
      <c r="H13" s="849" t="s">
        <v>1823</v>
      </c>
      <c r="I13" s="849" t="s">
        <v>1827</v>
      </c>
      <c r="J13" s="849" t="s">
        <v>1823</v>
      </c>
      <c r="K13" s="849" t="s">
        <v>1827</v>
      </c>
      <c r="L13" s="849" t="s">
        <v>1823</v>
      </c>
      <c r="M13" s="849" t="s">
        <v>1827</v>
      </c>
    </row>
    <row r="14" spans="1:15" ht="33.6" customHeight="1" x14ac:dyDescent="0.2">
      <c r="A14" s="928" t="str" cm="1">
        <f t="array" ref="A14">+IFERROR(INDEX('Pedido VACIO'!$B:$B,MATCH(1,('Pedido VACIO'!$H:$H=$B14)*('Pedido VACIO'!$A:$A="Sumatik"),0)),"")</f>
        <v/>
      </c>
      <c r="B14" s="930">
        <v>1</v>
      </c>
      <c r="C14" s="932" t="str" cm="1">
        <f t="array" ref="C14">+IFERROR(INDEX('Pedido VACIO'!$F:$F,MATCH(1,('Pedido VACIO'!$H:$H=$B14)*('Pedido VACIO'!$A:$A="Sumatik"),0)),"")</f>
        <v/>
      </c>
      <c r="D14" s="932" t="str" cm="1">
        <f t="array" ref="D14">+IFERROR(INDEX('Pedido VACIO'!$G:$G,MATCH(1,('Pedido VACIO'!$H:$H=$B14)*('Pedido VACIO'!$A:$A="Sumatik"),0)),"")</f>
        <v/>
      </c>
      <c r="E14" s="854" t="str">
        <f>+IF(E13="LK","CH",IF(D14="","",IF(D14&gt;0,"LK","CH")))</f>
        <v/>
      </c>
      <c r="F14" s="854" t="str">
        <f>+IF(OR(E14="LK"),ROUNDUP(D14*0.7/25,0)*25,IF(E14="CH",D13-F13,""))</f>
        <v/>
      </c>
      <c r="G14" s="934"/>
      <c r="H14" s="856"/>
      <c r="I14" s="857"/>
      <c r="J14" s="856"/>
      <c r="K14" s="857"/>
      <c r="L14" s="856"/>
      <c r="M14" s="858"/>
      <c r="O14" s="859"/>
    </row>
    <row r="15" spans="1:15" ht="33.6" customHeight="1" x14ac:dyDescent="0.2">
      <c r="A15" s="929"/>
      <c r="B15" s="931"/>
      <c r="C15" s="933"/>
      <c r="D15" s="933"/>
      <c r="E15" s="860" t="str">
        <f t="shared" ref="E15:E43" si="0">+IF(E14="LK","CH",IF(D15="","",IF(D15&gt;0,"LK","CH")))</f>
        <v/>
      </c>
      <c r="F15" s="854" t="str">
        <f>+IF(OR(E15="LK"),ROUNDUP(D15*0.7/25,0)*25,IF(E15="CH",D14-F14,""))</f>
        <v/>
      </c>
      <c r="G15" s="931"/>
      <c r="H15" s="861"/>
      <c r="I15" s="862"/>
      <c r="J15" s="861"/>
      <c r="K15" s="862"/>
      <c r="L15" s="861"/>
      <c r="M15" s="863"/>
    </row>
    <row r="16" spans="1:15" ht="33.6" customHeight="1" x14ac:dyDescent="0.2">
      <c r="A16" s="947" t="str" cm="1">
        <f t="array" ref="A16">+IFERROR(INDEX('Pedido VACIO'!$B:$B,MATCH(1,('Pedido VACIO'!$H:$H=$B16)*('Pedido VACIO'!$A:$A="Sumatik"),0)),"")</f>
        <v/>
      </c>
      <c r="B16" s="931">
        <f>+B14+1</f>
        <v>2</v>
      </c>
      <c r="C16" s="948" t="str" cm="1">
        <f t="array" ref="C16">+IFERROR(INDEX('Pedido VACIO'!$F:$F,MATCH(1,('Pedido VACIO'!$H:$H=$B16)*('Pedido VACIO'!$A:$A="Sumatik"),0)),"")</f>
        <v/>
      </c>
      <c r="D16" s="949" t="str" cm="1">
        <f t="array" ref="D16">+IFERROR(INDEX('Pedido VACIO'!$G:$G,MATCH(1,('Pedido VACIO'!$H:$H=$B16)*('Pedido VACIO'!$A:$A="Sumatik"),0)),"")</f>
        <v/>
      </c>
      <c r="E16" s="860" t="str">
        <f t="shared" si="0"/>
        <v/>
      </c>
      <c r="F16" s="854" t="str">
        <f t="shared" ref="F16:F43" si="1">+IF(OR(E16="LK"),ROUNDUP(D16*0.7/25,0)*25,IF(E16="CH",D15-F15,""))</f>
        <v/>
      </c>
      <c r="G16" s="931"/>
      <c r="H16" s="862"/>
      <c r="I16" s="862"/>
      <c r="J16" s="862"/>
      <c r="K16" s="862"/>
      <c r="L16" s="862"/>
      <c r="M16" s="863"/>
    </row>
    <row r="17" spans="1:13" ht="33.6" customHeight="1" x14ac:dyDescent="0.2">
      <c r="A17" s="947"/>
      <c r="B17" s="931"/>
      <c r="C17" s="948"/>
      <c r="D17" s="949"/>
      <c r="E17" s="860" t="str">
        <f t="shared" si="0"/>
        <v/>
      </c>
      <c r="F17" s="854" t="str">
        <f t="shared" si="1"/>
        <v/>
      </c>
      <c r="G17" s="931"/>
      <c r="H17" s="862"/>
      <c r="I17" s="862"/>
      <c r="J17" s="862"/>
      <c r="K17" s="862"/>
      <c r="L17" s="862"/>
      <c r="M17" s="863"/>
    </row>
    <row r="18" spans="1:13" ht="33.6" customHeight="1" x14ac:dyDescent="0.2">
      <c r="A18" s="947" t="str" cm="1">
        <f t="array" ref="A18">+IFERROR(INDEX('Pedido VACIO'!$B:$B,MATCH(1,('Pedido VACIO'!$H:$H=$B18)*('Pedido VACIO'!$A:$A="Sumatik"),0)),"")</f>
        <v/>
      </c>
      <c r="B18" s="931">
        <f>+B16+1</f>
        <v>3</v>
      </c>
      <c r="C18" s="948" t="str" cm="1">
        <f t="array" ref="C18">+IFERROR(INDEX('Pedido VACIO'!$F:$F,MATCH(1,('Pedido VACIO'!$H:$H=$B18)*('Pedido VACIO'!$A:$A="Sumatik"),0)),"")</f>
        <v/>
      </c>
      <c r="D18" s="931" t="str" cm="1">
        <f t="array" ref="D18">+IFERROR(INDEX('Pedido VACIO'!$G:$G,MATCH(1,('Pedido VACIO'!$H:$H=$B18)*('Pedido VACIO'!$A:$A="Sumatik"),0)),"")</f>
        <v/>
      </c>
      <c r="E18" s="860" t="str">
        <f t="shared" si="0"/>
        <v/>
      </c>
      <c r="F18" s="854" t="str">
        <f t="shared" si="1"/>
        <v/>
      </c>
      <c r="G18" s="931"/>
      <c r="H18" s="862"/>
      <c r="I18" s="862"/>
      <c r="J18" s="862"/>
      <c r="K18" s="862"/>
      <c r="L18" s="862"/>
      <c r="M18" s="863"/>
    </row>
    <row r="19" spans="1:13" ht="33.6" customHeight="1" x14ac:dyDescent="0.2">
      <c r="A19" s="947"/>
      <c r="B19" s="931"/>
      <c r="C19" s="948"/>
      <c r="D19" s="931"/>
      <c r="E19" s="860" t="str">
        <f t="shared" si="0"/>
        <v/>
      </c>
      <c r="F19" s="854" t="str">
        <f t="shared" si="1"/>
        <v/>
      </c>
      <c r="G19" s="931"/>
      <c r="H19" s="862"/>
      <c r="I19" s="862"/>
      <c r="J19" s="862"/>
      <c r="K19" s="862"/>
      <c r="L19" s="862"/>
      <c r="M19" s="863"/>
    </row>
    <row r="20" spans="1:13" ht="33.6" customHeight="1" x14ac:dyDescent="0.2">
      <c r="A20" s="947" t="str" cm="1">
        <f t="array" ref="A20">+IFERROR(INDEX('Pedido VACIO'!$B:$B,MATCH(1,('Pedido VACIO'!$H:$H=$B20)*('Pedido VACIO'!$A:$A="Sumatik"),0)),"")</f>
        <v/>
      </c>
      <c r="B20" s="931">
        <f>+B18+1</f>
        <v>4</v>
      </c>
      <c r="C20" s="948" t="str" cm="1">
        <f t="array" ref="C20">+IFERROR(INDEX('Pedido VACIO'!$F:$F,MATCH(1,('Pedido VACIO'!$H:$H=$B20)*('Pedido VACIO'!$A:$A="Sumatik"),0)),"")</f>
        <v/>
      </c>
      <c r="D20" s="931" t="str" cm="1">
        <f t="array" ref="D20">+IFERROR(INDEX('Pedido VACIO'!$G:$G,MATCH(1,('Pedido VACIO'!$H:$H=$B20)*('Pedido VACIO'!$A:$A="Sumatik"),0)),"")</f>
        <v/>
      </c>
      <c r="E20" s="860" t="str">
        <f t="shared" si="0"/>
        <v/>
      </c>
      <c r="F20" s="854" t="str">
        <f t="shared" si="1"/>
        <v/>
      </c>
      <c r="G20" s="931"/>
      <c r="H20" s="862"/>
      <c r="I20" s="862"/>
      <c r="J20" s="862"/>
      <c r="K20" s="862"/>
      <c r="L20" s="862"/>
      <c r="M20" s="863"/>
    </row>
    <row r="21" spans="1:13" ht="33.6" customHeight="1" x14ac:dyDescent="0.2">
      <c r="A21" s="947"/>
      <c r="B21" s="931"/>
      <c r="C21" s="948"/>
      <c r="D21" s="931"/>
      <c r="E21" s="860" t="str">
        <f t="shared" si="0"/>
        <v/>
      </c>
      <c r="F21" s="854" t="str">
        <f t="shared" si="1"/>
        <v/>
      </c>
      <c r="G21" s="931"/>
      <c r="H21" s="862"/>
      <c r="I21" s="862"/>
      <c r="J21" s="862"/>
      <c r="K21" s="862"/>
      <c r="L21" s="862"/>
      <c r="M21" s="863"/>
    </row>
    <row r="22" spans="1:13" ht="33.6" customHeight="1" x14ac:dyDescent="0.2">
      <c r="A22" s="947" t="str" cm="1">
        <f t="array" ref="A22">+IFERROR(INDEX('Pedido VACIO'!$B:$B,MATCH(1,('Pedido VACIO'!$H:$H=$B22)*('Pedido VACIO'!$A:$A="Sumatik"),0)),"")</f>
        <v/>
      </c>
      <c r="B22" s="931">
        <f>+B20+1</f>
        <v>5</v>
      </c>
      <c r="C22" s="948" t="str" cm="1">
        <f t="array" ref="C22">+IFERROR(INDEX('Pedido VACIO'!$F:$F,MATCH(1,('Pedido VACIO'!$H:$H=$B22)*('Pedido VACIO'!$A:$A="Sumatik"),0)),"")</f>
        <v/>
      </c>
      <c r="D22" s="931" t="str" cm="1">
        <f t="array" ref="D22">+IFERROR(INDEX('Pedido VACIO'!$G:$G,MATCH(1,('Pedido VACIO'!$H:$H=$B22)*('Pedido VACIO'!$A:$A="Sumatik"),0)),"")</f>
        <v/>
      </c>
      <c r="E22" s="860" t="str">
        <f t="shared" si="0"/>
        <v/>
      </c>
      <c r="F22" s="854" t="str">
        <f t="shared" si="1"/>
        <v/>
      </c>
      <c r="G22" s="931"/>
      <c r="H22" s="862"/>
      <c r="I22" s="862"/>
      <c r="J22" s="862"/>
      <c r="K22" s="862"/>
      <c r="L22" s="862"/>
      <c r="M22" s="863"/>
    </row>
    <row r="23" spans="1:13" ht="33.6" customHeight="1" x14ac:dyDescent="0.2">
      <c r="A23" s="947"/>
      <c r="B23" s="931"/>
      <c r="C23" s="948"/>
      <c r="D23" s="931"/>
      <c r="E23" s="860" t="str">
        <f t="shared" si="0"/>
        <v/>
      </c>
      <c r="F23" s="854" t="str">
        <f t="shared" si="1"/>
        <v/>
      </c>
      <c r="G23" s="931"/>
      <c r="H23" s="862"/>
      <c r="I23" s="862"/>
      <c r="J23" s="862"/>
      <c r="K23" s="862"/>
      <c r="L23" s="862"/>
      <c r="M23" s="863"/>
    </row>
    <row r="24" spans="1:13" ht="33.6" customHeight="1" x14ac:dyDescent="0.2">
      <c r="A24" s="947" t="str" cm="1">
        <f t="array" ref="A24">+IFERROR(INDEX('Pedido VACIO'!$B:$B,MATCH(1,('Pedido VACIO'!$H:$H=$B24)*('Pedido VACIO'!$A:$A="Sumatik"),0)),"")</f>
        <v/>
      </c>
      <c r="B24" s="931">
        <f>+B22+1</f>
        <v>6</v>
      </c>
      <c r="C24" s="948" t="str" cm="1">
        <f t="array" ref="C24">+IFERROR(INDEX('Pedido VACIO'!$F:$F,MATCH(1,('Pedido VACIO'!$H:$H=$B24)*('Pedido VACIO'!$A:$A="Sumatik"),0)),"")</f>
        <v/>
      </c>
      <c r="D24" s="931" t="str" cm="1">
        <f t="array" ref="D24">+IFERROR(INDEX('Pedido VACIO'!$G:$G,MATCH(1,('Pedido VACIO'!$H:$H=$B24)*('Pedido VACIO'!$A:$A="Sumatik"),0)),"")</f>
        <v/>
      </c>
      <c r="E24" s="860" t="str">
        <f t="shared" si="0"/>
        <v/>
      </c>
      <c r="F24" s="854" t="str">
        <f t="shared" si="1"/>
        <v/>
      </c>
      <c r="G24" s="931"/>
      <c r="H24" s="862"/>
      <c r="I24" s="862"/>
      <c r="J24" s="862"/>
      <c r="K24" s="862"/>
      <c r="L24" s="862"/>
      <c r="M24" s="863"/>
    </row>
    <row r="25" spans="1:13" ht="33.6" customHeight="1" x14ac:dyDescent="0.2">
      <c r="A25" s="947"/>
      <c r="B25" s="931"/>
      <c r="C25" s="948"/>
      <c r="D25" s="931"/>
      <c r="E25" s="860" t="str">
        <f t="shared" si="0"/>
        <v/>
      </c>
      <c r="F25" s="854" t="str">
        <f t="shared" si="1"/>
        <v/>
      </c>
      <c r="G25" s="931"/>
      <c r="H25" s="862"/>
      <c r="I25" s="862"/>
      <c r="J25" s="862"/>
      <c r="K25" s="862"/>
      <c r="L25" s="862"/>
      <c r="M25" s="863"/>
    </row>
    <row r="26" spans="1:13" ht="33.6" customHeight="1" x14ac:dyDescent="0.2">
      <c r="A26" s="947" t="str" cm="1">
        <f t="array" ref="A26">+IFERROR(INDEX('Pedido VACIO'!$B:$B,MATCH(1,('Pedido VACIO'!$H:$H=$B26)*('Pedido VACIO'!$A:$A="Sumatik"),0)),"")</f>
        <v/>
      </c>
      <c r="B26" s="931">
        <f>+B24+1</f>
        <v>7</v>
      </c>
      <c r="C26" s="948" t="str" cm="1">
        <f t="array" ref="C26">+IFERROR(INDEX('Pedido VACIO'!$F:$F,MATCH(1,('Pedido VACIO'!$H:$H=$B26)*('Pedido VACIO'!$A:$A="Sumatik"),0)),"")</f>
        <v/>
      </c>
      <c r="D26" s="931" t="str" cm="1">
        <f t="array" ref="D26">+IFERROR(INDEX('Pedido VACIO'!$G:$G,MATCH(1,('Pedido VACIO'!$H:$H=$B26)*('Pedido VACIO'!$A:$A="Sumatik"),0)),"")</f>
        <v/>
      </c>
      <c r="E26" s="860" t="str">
        <f t="shared" si="0"/>
        <v/>
      </c>
      <c r="F26" s="854" t="str">
        <f t="shared" si="1"/>
        <v/>
      </c>
      <c r="G26" s="931"/>
      <c r="H26" s="862"/>
      <c r="I26" s="862"/>
      <c r="J26" s="862"/>
      <c r="K26" s="862"/>
      <c r="L26" s="862"/>
      <c r="M26" s="863"/>
    </row>
    <row r="27" spans="1:13" ht="33.6" customHeight="1" x14ac:dyDescent="0.2">
      <c r="A27" s="947"/>
      <c r="B27" s="931"/>
      <c r="C27" s="948"/>
      <c r="D27" s="931"/>
      <c r="E27" s="860" t="str">
        <f t="shared" si="0"/>
        <v/>
      </c>
      <c r="F27" s="854" t="str">
        <f t="shared" si="1"/>
        <v/>
      </c>
      <c r="G27" s="931"/>
      <c r="H27" s="862"/>
      <c r="I27" s="862"/>
      <c r="J27" s="862"/>
      <c r="K27" s="862"/>
      <c r="L27" s="862"/>
      <c r="M27" s="863"/>
    </row>
    <row r="28" spans="1:13" ht="33.6" customHeight="1" x14ac:dyDescent="0.2">
      <c r="A28" s="947" t="str" cm="1">
        <f t="array" ref="A28">+IFERROR(INDEX('Pedido VACIO'!$B:$B,MATCH(1,('Pedido VACIO'!$H:$H=$B28)*('Pedido VACIO'!$A:$A="Sumatik"),0)),"")</f>
        <v/>
      </c>
      <c r="B28" s="931">
        <f>+B26+1</f>
        <v>8</v>
      </c>
      <c r="C28" s="948" t="str" cm="1">
        <f t="array" ref="C28">+IFERROR(INDEX('Pedido VACIO'!$F:$F,MATCH(1,('Pedido VACIO'!$H:$H=$B28)*('Pedido VACIO'!$A:$A="Sumatik"),0)),"")</f>
        <v/>
      </c>
      <c r="D28" s="931" t="str" cm="1">
        <f t="array" ref="D28">+IFERROR(INDEX('Pedido VACIO'!$G:$G,MATCH(1,('Pedido VACIO'!$H:$H=$B28)*('Pedido VACIO'!$A:$A="Sumatik"),0)),"")</f>
        <v/>
      </c>
      <c r="E28" s="860" t="str">
        <f t="shared" si="0"/>
        <v/>
      </c>
      <c r="F28" s="854" t="str">
        <f t="shared" si="1"/>
        <v/>
      </c>
      <c r="G28" s="931"/>
      <c r="H28" s="862"/>
      <c r="I28" s="862"/>
      <c r="J28" s="862"/>
      <c r="K28" s="862"/>
      <c r="L28" s="862"/>
      <c r="M28" s="863"/>
    </row>
    <row r="29" spans="1:13" ht="33.6" customHeight="1" x14ac:dyDescent="0.2">
      <c r="A29" s="947"/>
      <c r="B29" s="931"/>
      <c r="C29" s="948"/>
      <c r="D29" s="931"/>
      <c r="E29" s="860" t="str">
        <f t="shared" si="0"/>
        <v/>
      </c>
      <c r="F29" s="854" t="str">
        <f t="shared" si="1"/>
        <v/>
      </c>
      <c r="G29" s="931"/>
      <c r="H29" s="862"/>
      <c r="I29" s="862"/>
      <c r="J29" s="862"/>
      <c r="K29" s="862"/>
      <c r="L29" s="862"/>
      <c r="M29" s="863"/>
    </row>
    <row r="30" spans="1:13" ht="33.6" customHeight="1" x14ac:dyDescent="0.2">
      <c r="A30" s="947" t="str" cm="1">
        <f t="array" ref="A30">+IFERROR(INDEX('Pedido VACIO'!$B:$B,MATCH(1,('Pedido VACIO'!$H:$H=$B30)*('Pedido VACIO'!$A:$A="Sumatik"),0)),"")</f>
        <v/>
      </c>
      <c r="B30" s="931">
        <f>+B28+1</f>
        <v>9</v>
      </c>
      <c r="C30" s="948" t="str" cm="1">
        <f t="array" ref="C30">+IFERROR(INDEX('Pedido VACIO'!$F:$F,MATCH(1,('Pedido VACIO'!$H:$H=$B30)*('Pedido VACIO'!$A:$A="Sumatik"),0)),"")</f>
        <v/>
      </c>
      <c r="D30" s="931" t="str" cm="1">
        <f t="array" ref="D30">+IFERROR(INDEX('Pedido VACIO'!$G:$G,MATCH(1,('Pedido VACIO'!$H:$H=$B30)*('Pedido VACIO'!$A:$A="Sumatik"),0)),"")</f>
        <v/>
      </c>
      <c r="E30" s="860" t="str">
        <f t="shared" si="0"/>
        <v/>
      </c>
      <c r="F30" s="854" t="str">
        <f t="shared" si="1"/>
        <v/>
      </c>
      <c r="G30" s="931"/>
      <c r="H30" s="862"/>
      <c r="I30" s="862"/>
      <c r="J30" s="862"/>
      <c r="K30" s="862"/>
      <c r="L30" s="862"/>
      <c r="M30" s="863"/>
    </row>
    <row r="31" spans="1:13" ht="33.6" customHeight="1" x14ac:dyDescent="0.2">
      <c r="A31" s="947"/>
      <c r="B31" s="931"/>
      <c r="C31" s="948"/>
      <c r="D31" s="931"/>
      <c r="E31" s="860" t="str">
        <f t="shared" si="0"/>
        <v/>
      </c>
      <c r="F31" s="854" t="str">
        <f t="shared" si="1"/>
        <v/>
      </c>
      <c r="G31" s="931"/>
      <c r="H31" s="862"/>
      <c r="I31" s="862"/>
      <c r="J31" s="862"/>
      <c r="K31" s="862"/>
      <c r="L31" s="862"/>
      <c r="M31" s="863"/>
    </row>
    <row r="32" spans="1:13" ht="33.6" customHeight="1" x14ac:dyDescent="0.2">
      <c r="A32" s="947" t="str" cm="1">
        <f t="array" ref="A32">+IFERROR(INDEX('Pedido VACIO'!$B:$B,MATCH(1,('Pedido VACIO'!$H:$H=$B32)*('Pedido VACIO'!$A:$A="Sumatik"),0)),"")</f>
        <v/>
      </c>
      <c r="B32" s="931">
        <f>+B30+1</f>
        <v>10</v>
      </c>
      <c r="C32" s="948" t="str" cm="1">
        <f t="array" ref="C32">+IFERROR(INDEX('Pedido VACIO'!$F:$F,MATCH(1,('Pedido VACIO'!$H:$H=$B32)*('Pedido VACIO'!$A:$A="Sumatik"),0)),"")</f>
        <v/>
      </c>
      <c r="D32" s="931" t="str" cm="1">
        <f t="array" ref="D32">+IFERROR(INDEX('Pedido VACIO'!$G:$G,MATCH(1,('Pedido VACIO'!$H:$H=$B32)*('Pedido VACIO'!$A:$A="Sumatik"),0)),"")</f>
        <v/>
      </c>
      <c r="E32" s="860" t="str">
        <f t="shared" si="0"/>
        <v/>
      </c>
      <c r="F32" s="854" t="str">
        <f t="shared" si="1"/>
        <v/>
      </c>
      <c r="G32" s="931"/>
      <c r="H32" s="862"/>
      <c r="I32" s="862"/>
      <c r="J32" s="862"/>
      <c r="K32" s="862"/>
      <c r="L32" s="862"/>
      <c r="M32" s="863"/>
    </row>
    <row r="33" spans="1:13" ht="33.6" customHeight="1" x14ac:dyDescent="0.2">
      <c r="A33" s="947"/>
      <c r="B33" s="931"/>
      <c r="C33" s="948"/>
      <c r="D33" s="931"/>
      <c r="E33" s="860" t="str">
        <f t="shared" si="0"/>
        <v/>
      </c>
      <c r="F33" s="854" t="str">
        <f t="shared" si="1"/>
        <v/>
      </c>
      <c r="G33" s="931"/>
      <c r="H33" s="862"/>
      <c r="I33" s="862"/>
      <c r="J33" s="862"/>
      <c r="K33" s="862"/>
      <c r="L33" s="862"/>
      <c r="M33" s="863"/>
    </row>
    <row r="34" spans="1:13" ht="33.6" customHeight="1" x14ac:dyDescent="0.2">
      <c r="A34" s="947" t="str" cm="1">
        <f t="array" ref="A34">+IFERROR(INDEX('Pedido VACIO'!$B:$B,MATCH(1,('Pedido VACIO'!$H:$H=$B34)*('Pedido VACIO'!$A:$A="Sumatik"),0)),"")</f>
        <v/>
      </c>
      <c r="B34" s="931">
        <f>+B32+1</f>
        <v>11</v>
      </c>
      <c r="C34" s="948" t="str" cm="1">
        <f t="array" ref="C34">+IFERROR(INDEX('Pedido VACIO'!$F:$F,MATCH(1,('Pedido VACIO'!$H:$H=$B34)*('Pedido VACIO'!$A:$A="Sumatik"),0)),"")</f>
        <v/>
      </c>
      <c r="D34" s="931" t="str" cm="1">
        <f t="array" ref="D34">+IFERROR(INDEX('Pedido VACIO'!$G:$G,MATCH(1,('Pedido VACIO'!$H:$H=$B34)*('Pedido VACIO'!$A:$A="Sumatik"),0)),"")</f>
        <v/>
      </c>
      <c r="E34" s="860" t="str">
        <f t="shared" si="0"/>
        <v/>
      </c>
      <c r="F34" s="854" t="str">
        <f t="shared" si="1"/>
        <v/>
      </c>
      <c r="G34" s="931"/>
      <c r="H34" s="862"/>
      <c r="I34" s="862"/>
      <c r="J34" s="862"/>
      <c r="K34" s="862"/>
      <c r="L34" s="862"/>
      <c r="M34" s="863"/>
    </row>
    <row r="35" spans="1:13" ht="33.6" customHeight="1" thickBot="1" x14ac:dyDescent="0.25">
      <c r="A35" s="950"/>
      <c r="B35" s="951"/>
      <c r="C35" s="952"/>
      <c r="D35" s="951"/>
      <c r="E35" s="860" t="str">
        <f t="shared" si="0"/>
        <v/>
      </c>
      <c r="F35" s="854" t="str">
        <f t="shared" si="1"/>
        <v/>
      </c>
      <c r="G35" s="951"/>
      <c r="H35" s="864"/>
      <c r="I35" s="864"/>
      <c r="J35" s="864"/>
      <c r="K35" s="864"/>
      <c r="L35" s="864"/>
      <c r="M35" s="865"/>
    </row>
    <row r="36" spans="1:13" ht="33.6" customHeight="1" x14ac:dyDescent="0.2">
      <c r="A36" s="953" t="str" cm="1">
        <f t="array" ref="A36">+IFERROR(INDEX('Pedido VACIO'!$B:$B,MATCH(1,('Pedido VACIO'!$H:$H=$B36)*('Pedido VACIO'!$A:$A="Sumatik"),0)),"")</f>
        <v/>
      </c>
      <c r="B36" s="934">
        <f>+B34+1</f>
        <v>12</v>
      </c>
      <c r="C36" s="933" t="str" cm="1">
        <f t="array" ref="C36">+IFERROR(INDEX('Pedido VACIO'!$F:$F,MATCH(1,('Pedido VACIO'!$H:$H=$B36)*('Pedido VACIO'!$A:$A="Sumatik"),0)),"")</f>
        <v/>
      </c>
      <c r="D36" s="934" t="str" cm="1">
        <f t="array" ref="D36">+IFERROR(INDEX('Pedido VACIO'!$G:$G,MATCH(1,('Pedido VACIO'!$H:$H=$B36)*('Pedido VACIO'!$A:$A="Sumatik"),0)),"")</f>
        <v/>
      </c>
      <c r="E36" s="860" t="str">
        <f t="shared" si="0"/>
        <v/>
      </c>
      <c r="F36" s="854" t="str">
        <f t="shared" si="1"/>
        <v/>
      </c>
      <c r="G36" s="934"/>
      <c r="H36" s="866"/>
      <c r="I36" s="866"/>
      <c r="J36" s="866"/>
      <c r="K36" s="866"/>
      <c r="L36" s="866"/>
      <c r="M36" s="866"/>
    </row>
    <row r="37" spans="1:13" ht="33.6" customHeight="1" x14ac:dyDescent="0.2">
      <c r="A37" s="949"/>
      <c r="B37" s="931"/>
      <c r="C37" s="948"/>
      <c r="D37" s="931"/>
      <c r="E37" s="860" t="str">
        <f t="shared" si="0"/>
        <v/>
      </c>
      <c r="F37" s="854" t="str">
        <f t="shared" si="1"/>
        <v/>
      </c>
      <c r="G37" s="931"/>
      <c r="H37" s="862"/>
      <c r="I37" s="862"/>
      <c r="J37" s="862"/>
      <c r="K37" s="862"/>
      <c r="L37" s="862"/>
      <c r="M37" s="862"/>
    </row>
    <row r="38" spans="1:13" ht="33.6" customHeight="1" x14ac:dyDescent="0.2">
      <c r="A38" s="949" t="str" cm="1">
        <f t="array" ref="A38">+IFERROR(INDEX('Pedido VACIO'!$B:$B,MATCH(1,('Pedido VACIO'!$H:$H=$B38)*('Pedido VACIO'!$A:$A="Sumatik"),0)),"")</f>
        <v/>
      </c>
      <c r="B38" s="931">
        <f>+B36+1</f>
        <v>13</v>
      </c>
      <c r="C38" s="948" t="str" cm="1">
        <f t="array" ref="C38">+IFERROR(INDEX('Pedido VACIO'!$F:$F,MATCH(1,('Pedido VACIO'!$H:$H=$B38)*('Pedido VACIO'!$A:$A="Sumatik"),0)),"")</f>
        <v/>
      </c>
      <c r="D38" s="931" t="str" cm="1">
        <f t="array" ref="D38">+IFERROR(INDEX('Pedido VACIO'!$G:$G,MATCH(1,('Pedido VACIO'!$H:$H=$B38)*('Pedido VACIO'!$A:$A="Sumatik"),0)),"")</f>
        <v/>
      </c>
      <c r="E38" s="860" t="str">
        <f t="shared" si="0"/>
        <v/>
      </c>
      <c r="F38" s="854" t="str">
        <f t="shared" si="1"/>
        <v/>
      </c>
      <c r="G38" s="931"/>
      <c r="H38" s="862"/>
      <c r="I38" s="862"/>
      <c r="J38" s="862"/>
      <c r="K38" s="862"/>
      <c r="L38" s="862"/>
      <c r="M38" s="862"/>
    </row>
    <row r="39" spans="1:13" ht="33.6" customHeight="1" x14ac:dyDescent="0.2">
      <c r="A39" s="949"/>
      <c r="B39" s="931"/>
      <c r="C39" s="948"/>
      <c r="D39" s="931"/>
      <c r="E39" s="860" t="str">
        <f t="shared" si="0"/>
        <v/>
      </c>
      <c r="F39" s="854" t="str">
        <f t="shared" si="1"/>
        <v/>
      </c>
      <c r="G39" s="931"/>
      <c r="H39" s="862"/>
      <c r="I39" s="862"/>
      <c r="J39" s="862"/>
      <c r="K39" s="862"/>
      <c r="L39" s="862"/>
      <c r="M39" s="862"/>
    </row>
    <row r="40" spans="1:13" ht="33.6" customHeight="1" x14ac:dyDescent="0.2">
      <c r="A40" s="949" t="str" cm="1">
        <f t="array" ref="A40">+IFERROR(INDEX('Pedido VACIO'!$B:$B,MATCH(1,('Pedido VACIO'!$H:$H=$B40)*('Pedido VACIO'!$A:$A="Sumatik"),0)),"")</f>
        <v/>
      </c>
      <c r="B40" s="931">
        <f>+B38+1</f>
        <v>14</v>
      </c>
      <c r="C40" s="948" t="str" cm="1">
        <f t="array" ref="C40">+IFERROR(INDEX('Pedido VACIO'!$F:$F,MATCH(1,('Pedido VACIO'!$H:$H=$B40)*('Pedido VACIO'!$A:$A="Sumatik"),0)),"")</f>
        <v/>
      </c>
      <c r="D40" s="931" t="str" cm="1">
        <f t="array" ref="D40">+IFERROR(INDEX('Pedido VACIO'!$G:$G,MATCH(1,('Pedido VACIO'!$H:$H=$B40)*('Pedido VACIO'!$A:$A="Sumatik"),0)),"")</f>
        <v/>
      </c>
      <c r="E40" s="860" t="str">
        <f t="shared" si="0"/>
        <v/>
      </c>
      <c r="F40" s="854" t="str">
        <f t="shared" si="1"/>
        <v/>
      </c>
      <c r="G40" s="931"/>
      <c r="H40" s="862"/>
      <c r="I40" s="862"/>
      <c r="J40" s="862"/>
      <c r="K40" s="862"/>
      <c r="L40" s="862"/>
      <c r="M40" s="862"/>
    </row>
    <row r="41" spans="1:13" ht="33.6" customHeight="1" x14ac:dyDescent="0.2">
      <c r="A41" s="949"/>
      <c r="B41" s="931"/>
      <c r="C41" s="948"/>
      <c r="D41" s="931"/>
      <c r="E41" s="860" t="str">
        <f t="shared" si="0"/>
        <v/>
      </c>
      <c r="F41" s="854" t="str">
        <f t="shared" si="1"/>
        <v/>
      </c>
      <c r="G41" s="931"/>
      <c r="H41" s="862"/>
      <c r="I41" s="862"/>
      <c r="J41" s="862"/>
      <c r="K41" s="862"/>
      <c r="L41" s="862"/>
      <c r="M41" s="862"/>
    </row>
    <row r="42" spans="1:13" ht="33.6" customHeight="1" x14ac:dyDescent="0.2">
      <c r="A42" s="949" t="str" cm="1">
        <f t="array" ref="A42">+IFERROR(INDEX('Pedido VACIO'!$B:$B,MATCH(1,('Pedido VACIO'!$H:$H=$B42)*('Pedido VACIO'!$A:$A="Sumatik"),0)),"")</f>
        <v/>
      </c>
      <c r="B42" s="931">
        <f>+B40+1</f>
        <v>15</v>
      </c>
      <c r="C42" s="948" t="str" cm="1">
        <f t="array" ref="C42">+IFERROR(INDEX('Pedido VACIO'!$F:$F,MATCH(1,('Pedido VACIO'!$H:$H=$B42)*('Pedido VACIO'!$A:$A="Sumatik"),0)),"")</f>
        <v/>
      </c>
      <c r="D42" s="931" t="str" cm="1">
        <f t="array" ref="D42">+IFERROR(INDEX('Pedido VACIO'!$G:$G,MATCH(1,('Pedido VACIO'!$H:$H=$B42)*('Pedido VACIO'!$A:$A="Sumatik"),0)),"")</f>
        <v/>
      </c>
      <c r="E42" s="860" t="str">
        <f t="shared" si="0"/>
        <v/>
      </c>
      <c r="F42" s="854" t="str">
        <f t="shared" si="1"/>
        <v/>
      </c>
      <c r="G42" s="931"/>
      <c r="H42" s="862"/>
      <c r="I42" s="862"/>
      <c r="J42" s="862"/>
      <c r="K42" s="862"/>
      <c r="L42" s="862"/>
      <c r="M42" s="862"/>
    </row>
    <row r="43" spans="1:13" ht="33.6" customHeight="1" x14ac:dyDescent="0.2">
      <c r="A43" s="949"/>
      <c r="B43" s="931"/>
      <c r="C43" s="948"/>
      <c r="D43" s="931"/>
      <c r="E43" s="860" t="str">
        <f t="shared" si="0"/>
        <v/>
      </c>
      <c r="F43" s="854" t="str">
        <f t="shared" si="1"/>
        <v/>
      </c>
      <c r="G43" s="931"/>
      <c r="H43" s="862"/>
      <c r="I43" s="862"/>
      <c r="J43" s="862"/>
      <c r="K43" s="862"/>
      <c r="L43" s="862"/>
      <c r="M43" s="862"/>
    </row>
  </sheetData>
  <mergeCells count="94"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A20:A21"/>
    <mergeCell ref="B20:B21"/>
    <mergeCell ref="C20:C21"/>
    <mergeCell ref="D20:D21"/>
    <mergeCell ref="G20:G21"/>
    <mergeCell ref="A22:A23"/>
    <mergeCell ref="B22:B23"/>
    <mergeCell ref="C22:C23"/>
    <mergeCell ref="D22:D23"/>
    <mergeCell ref="G22:G23"/>
    <mergeCell ref="A16:A17"/>
    <mergeCell ref="B16:B17"/>
    <mergeCell ref="C16:C17"/>
    <mergeCell ref="D16:D17"/>
    <mergeCell ref="G16:G17"/>
    <mergeCell ref="A18:A19"/>
    <mergeCell ref="B18:B19"/>
    <mergeCell ref="C18:C19"/>
    <mergeCell ref="D18:D19"/>
    <mergeCell ref="G18:G19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3:B3"/>
    <mergeCell ref="F3:G3"/>
    <mergeCell ref="H3:L3"/>
    <mergeCell ref="A1:C1"/>
    <mergeCell ref="F1:L1"/>
    <mergeCell ref="A2:B2"/>
    <mergeCell ref="F2:G2"/>
    <mergeCell ref="H2:L2"/>
  </mergeCells>
  <printOptions horizontalCentered="1"/>
  <pageMargins left="0" right="0" top="0" bottom="0" header="0" footer="0"/>
  <pageSetup paperSize="9" scale="6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activeCell="M17" sqref="A1:M17"/>
    </sheetView>
  </sheetViews>
  <sheetFormatPr baseColWidth="10" defaultColWidth="11.5703125" defaultRowHeight="12.75" x14ac:dyDescent="0.2"/>
  <cols>
    <col min="1" max="1" width="11.42578125" style="841" customWidth="1"/>
    <col min="2" max="2" width="6.140625" style="841" customWidth="1"/>
    <col min="3" max="3" width="22.28515625" style="841" customWidth="1"/>
    <col min="4" max="4" width="9.28515625" style="841" customWidth="1"/>
    <col min="5" max="5" width="8.28515625" style="841" customWidth="1"/>
    <col min="6" max="6" width="7.7109375" style="841" customWidth="1"/>
    <col min="7" max="7" width="9.7109375" style="841" customWidth="1"/>
    <col min="8" max="9" width="7.5703125" style="841" customWidth="1"/>
    <col min="10" max="10" width="7.7109375" style="841" customWidth="1"/>
    <col min="11" max="11" width="7" style="841" customWidth="1"/>
    <col min="12" max="12" width="7.7109375" style="841" customWidth="1"/>
    <col min="13" max="13" width="7" style="841" customWidth="1"/>
    <col min="14" max="256" width="11.5703125" style="841"/>
    <col min="257" max="257" width="11.42578125" style="841" customWidth="1"/>
    <col min="258" max="258" width="6.140625" style="841" customWidth="1"/>
    <col min="259" max="259" width="22.28515625" style="841" customWidth="1"/>
    <col min="260" max="260" width="9.28515625" style="841" customWidth="1"/>
    <col min="261" max="261" width="8.28515625" style="841" customWidth="1"/>
    <col min="262" max="262" width="7.7109375" style="841" customWidth="1"/>
    <col min="263" max="263" width="9.7109375" style="841" customWidth="1"/>
    <col min="264" max="264" width="7.28515625" style="841" customWidth="1"/>
    <col min="265" max="265" width="7.5703125" style="841" customWidth="1"/>
    <col min="266" max="266" width="7.7109375" style="841" customWidth="1"/>
    <col min="267" max="267" width="7" style="841" customWidth="1"/>
    <col min="268" max="268" width="7.7109375" style="841" customWidth="1"/>
    <col min="269" max="269" width="7" style="841" customWidth="1"/>
    <col min="270" max="512" width="11.5703125" style="841"/>
    <col min="513" max="513" width="11.42578125" style="841" customWidth="1"/>
    <col min="514" max="514" width="6.140625" style="841" customWidth="1"/>
    <col min="515" max="515" width="22.28515625" style="841" customWidth="1"/>
    <col min="516" max="516" width="9.28515625" style="841" customWidth="1"/>
    <col min="517" max="517" width="8.28515625" style="841" customWidth="1"/>
    <col min="518" max="518" width="7.7109375" style="841" customWidth="1"/>
    <col min="519" max="519" width="9.7109375" style="841" customWidth="1"/>
    <col min="520" max="520" width="7.28515625" style="841" customWidth="1"/>
    <col min="521" max="521" width="7.5703125" style="841" customWidth="1"/>
    <col min="522" max="522" width="7.7109375" style="841" customWidth="1"/>
    <col min="523" max="523" width="7" style="841" customWidth="1"/>
    <col min="524" max="524" width="7.7109375" style="841" customWidth="1"/>
    <col min="525" max="525" width="7" style="841" customWidth="1"/>
    <col min="526" max="768" width="11.5703125" style="841"/>
    <col min="769" max="769" width="11.42578125" style="841" customWidth="1"/>
    <col min="770" max="770" width="6.140625" style="841" customWidth="1"/>
    <col min="771" max="771" width="22.28515625" style="841" customWidth="1"/>
    <col min="772" max="772" width="9.28515625" style="841" customWidth="1"/>
    <col min="773" max="773" width="8.28515625" style="841" customWidth="1"/>
    <col min="774" max="774" width="7.7109375" style="841" customWidth="1"/>
    <col min="775" max="775" width="9.7109375" style="841" customWidth="1"/>
    <col min="776" max="776" width="7.28515625" style="841" customWidth="1"/>
    <col min="777" max="777" width="7.5703125" style="841" customWidth="1"/>
    <col min="778" max="778" width="7.7109375" style="841" customWidth="1"/>
    <col min="779" max="779" width="7" style="841" customWidth="1"/>
    <col min="780" max="780" width="7.7109375" style="841" customWidth="1"/>
    <col min="781" max="781" width="7" style="841" customWidth="1"/>
    <col min="782" max="1024" width="11.5703125" style="841"/>
    <col min="1025" max="1025" width="11.42578125" style="841" customWidth="1"/>
    <col min="1026" max="1026" width="6.140625" style="841" customWidth="1"/>
    <col min="1027" max="1027" width="22.28515625" style="841" customWidth="1"/>
    <col min="1028" max="1028" width="9.28515625" style="841" customWidth="1"/>
    <col min="1029" max="1029" width="8.28515625" style="841" customWidth="1"/>
    <col min="1030" max="1030" width="7.7109375" style="841" customWidth="1"/>
    <col min="1031" max="1031" width="9.7109375" style="841" customWidth="1"/>
    <col min="1032" max="1032" width="7.28515625" style="841" customWidth="1"/>
    <col min="1033" max="1033" width="7.5703125" style="841" customWidth="1"/>
    <col min="1034" max="1034" width="7.7109375" style="841" customWidth="1"/>
    <col min="1035" max="1035" width="7" style="841" customWidth="1"/>
    <col min="1036" max="1036" width="7.7109375" style="841" customWidth="1"/>
    <col min="1037" max="1037" width="7" style="841" customWidth="1"/>
    <col min="1038" max="1280" width="11.5703125" style="841"/>
    <col min="1281" max="1281" width="11.42578125" style="841" customWidth="1"/>
    <col min="1282" max="1282" width="6.140625" style="841" customWidth="1"/>
    <col min="1283" max="1283" width="22.28515625" style="841" customWidth="1"/>
    <col min="1284" max="1284" width="9.28515625" style="841" customWidth="1"/>
    <col min="1285" max="1285" width="8.28515625" style="841" customWidth="1"/>
    <col min="1286" max="1286" width="7.7109375" style="841" customWidth="1"/>
    <col min="1287" max="1287" width="9.7109375" style="841" customWidth="1"/>
    <col min="1288" max="1288" width="7.28515625" style="841" customWidth="1"/>
    <col min="1289" max="1289" width="7.5703125" style="841" customWidth="1"/>
    <col min="1290" max="1290" width="7.7109375" style="841" customWidth="1"/>
    <col min="1291" max="1291" width="7" style="841" customWidth="1"/>
    <col min="1292" max="1292" width="7.7109375" style="841" customWidth="1"/>
    <col min="1293" max="1293" width="7" style="841" customWidth="1"/>
    <col min="1294" max="1536" width="11.5703125" style="841"/>
    <col min="1537" max="1537" width="11.42578125" style="841" customWidth="1"/>
    <col min="1538" max="1538" width="6.140625" style="841" customWidth="1"/>
    <col min="1539" max="1539" width="22.28515625" style="841" customWidth="1"/>
    <col min="1540" max="1540" width="9.28515625" style="841" customWidth="1"/>
    <col min="1541" max="1541" width="8.28515625" style="841" customWidth="1"/>
    <col min="1542" max="1542" width="7.7109375" style="841" customWidth="1"/>
    <col min="1543" max="1543" width="9.7109375" style="841" customWidth="1"/>
    <col min="1544" max="1544" width="7.28515625" style="841" customWidth="1"/>
    <col min="1545" max="1545" width="7.5703125" style="841" customWidth="1"/>
    <col min="1546" max="1546" width="7.7109375" style="841" customWidth="1"/>
    <col min="1547" max="1547" width="7" style="841" customWidth="1"/>
    <col min="1548" max="1548" width="7.7109375" style="841" customWidth="1"/>
    <col min="1549" max="1549" width="7" style="841" customWidth="1"/>
    <col min="1550" max="1792" width="11.5703125" style="841"/>
    <col min="1793" max="1793" width="11.42578125" style="841" customWidth="1"/>
    <col min="1794" max="1794" width="6.140625" style="841" customWidth="1"/>
    <col min="1795" max="1795" width="22.28515625" style="841" customWidth="1"/>
    <col min="1796" max="1796" width="9.28515625" style="841" customWidth="1"/>
    <col min="1797" max="1797" width="8.28515625" style="841" customWidth="1"/>
    <col min="1798" max="1798" width="7.7109375" style="841" customWidth="1"/>
    <col min="1799" max="1799" width="9.7109375" style="841" customWidth="1"/>
    <col min="1800" max="1800" width="7.28515625" style="841" customWidth="1"/>
    <col min="1801" max="1801" width="7.5703125" style="841" customWidth="1"/>
    <col min="1802" max="1802" width="7.7109375" style="841" customWidth="1"/>
    <col min="1803" max="1803" width="7" style="841" customWidth="1"/>
    <col min="1804" max="1804" width="7.7109375" style="841" customWidth="1"/>
    <col min="1805" max="1805" width="7" style="841" customWidth="1"/>
    <col min="1806" max="2048" width="11.5703125" style="841"/>
    <col min="2049" max="2049" width="11.42578125" style="841" customWidth="1"/>
    <col min="2050" max="2050" width="6.140625" style="841" customWidth="1"/>
    <col min="2051" max="2051" width="22.28515625" style="841" customWidth="1"/>
    <col min="2052" max="2052" width="9.28515625" style="841" customWidth="1"/>
    <col min="2053" max="2053" width="8.28515625" style="841" customWidth="1"/>
    <col min="2054" max="2054" width="7.7109375" style="841" customWidth="1"/>
    <col min="2055" max="2055" width="9.7109375" style="841" customWidth="1"/>
    <col min="2056" max="2056" width="7.28515625" style="841" customWidth="1"/>
    <col min="2057" max="2057" width="7.5703125" style="841" customWidth="1"/>
    <col min="2058" max="2058" width="7.7109375" style="841" customWidth="1"/>
    <col min="2059" max="2059" width="7" style="841" customWidth="1"/>
    <col min="2060" max="2060" width="7.7109375" style="841" customWidth="1"/>
    <col min="2061" max="2061" width="7" style="841" customWidth="1"/>
    <col min="2062" max="2304" width="11.5703125" style="841"/>
    <col min="2305" max="2305" width="11.42578125" style="841" customWidth="1"/>
    <col min="2306" max="2306" width="6.140625" style="841" customWidth="1"/>
    <col min="2307" max="2307" width="22.28515625" style="841" customWidth="1"/>
    <col min="2308" max="2308" width="9.28515625" style="841" customWidth="1"/>
    <col min="2309" max="2309" width="8.28515625" style="841" customWidth="1"/>
    <col min="2310" max="2310" width="7.7109375" style="841" customWidth="1"/>
    <col min="2311" max="2311" width="9.7109375" style="841" customWidth="1"/>
    <col min="2312" max="2312" width="7.28515625" style="841" customWidth="1"/>
    <col min="2313" max="2313" width="7.5703125" style="841" customWidth="1"/>
    <col min="2314" max="2314" width="7.7109375" style="841" customWidth="1"/>
    <col min="2315" max="2315" width="7" style="841" customWidth="1"/>
    <col min="2316" max="2316" width="7.7109375" style="841" customWidth="1"/>
    <col min="2317" max="2317" width="7" style="841" customWidth="1"/>
    <col min="2318" max="2560" width="11.5703125" style="841"/>
    <col min="2561" max="2561" width="11.42578125" style="841" customWidth="1"/>
    <col min="2562" max="2562" width="6.140625" style="841" customWidth="1"/>
    <col min="2563" max="2563" width="22.28515625" style="841" customWidth="1"/>
    <col min="2564" max="2564" width="9.28515625" style="841" customWidth="1"/>
    <col min="2565" max="2565" width="8.28515625" style="841" customWidth="1"/>
    <col min="2566" max="2566" width="7.7109375" style="841" customWidth="1"/>
    <col min="2567" max="2567" width="9.7109375" style="841" customWidth="1"/>
    <col min="2568" max="2568" width="7.28515625" style="841" customWidth="1"/>
    <col min="2569" max="2569" width="7.5703125" style="841" customWidth="1"/>
    <col min="2570" max="2570" width="7.7109375" style="841" customWidth="1"/>
    <col min="2571" max="2571" width="7" style="841" customWidth="1"/>
    <col min="2572" max="2572" width="7.7109375" style="841" customWidth="1"/>
    <col min="2573" max="2573" width="7" style="841" customWidth="1"/>
    <col min="2574" max="2816" width="11.5703125" style="841"/>
    <col min="2817" max="2817" width="11.42578125" style="841" customWidth="1"/>
    <col min="2818" max="2818" width="6.140625" style="841" customWidth="1"/>
    <col min="2819" max="2819" width="22.28515625" style="841" customWidth="1"/>
    <col min="2820" max="2820" width="9.28515625" style="841" customWidth="1"/>
    <col min="2821" max="2821" width="8.28515625" style="841" customWidth="1"/>
    <col min="2822" max="2822" width="7.7109375" style="841" customWidth="1"/>
    <col min="2823" max="2823" width="9.7109375" style="841" customWidth="1"/>
    <col min="2824" max="2824" width="7.28515625" style="841" customWidth="1"/>
    <col min="2825" max="2825" width="7.5703125" style="841" customWidth="1"/>
    <col min="2826" max="2826" width="7.7109375" style="841" customWidth="1"/>
    <col min="2827" max="2827" width="7" style="841" customWidth="1"/>
    <col min="2828" max="2828" width="7.7109375" style="841" customWidth="1"/>
    <col min="2829" max="2829" width="7" style="841" customWidth="1"/>
    <col min="2830" max="3072" width="11.5703125" style="841"/>
    <col min="3073" max="3073" width="11.42578125" style="841" customWidth="1"/>
    <col min="3074" max="3074" width="6.140625" style="841" customWidth="1"/>
    <col min="3075" max="3075" width="22.28515625" style="841" customWidth="1"/>
    <col min="3076" max="3076" width="9.28515625" style="841" customWidth="1"/>
    <col min="3077" max="3077" width="8.28515625" style="841" customWidth="1"/>
    <col min="3078" max="3078" width="7.7109375" style="841" customWidth="1"/>
    <col min="3079" max="3079" width="9.7109375" style="841" customWidth="1"/>
    <col min="3080" max="3080" width="7.28515625" style="841" customWidth="1"/>
    <col min="3081" max="3081" width="7.5703125" style="841" customWidth="1"/>
    <col min="3082" max="3082" width="7.7109375" style="841" customWidth="1"/>
    <col min="3083" max="3083" width="7" style="841" customWidth="1"/>
    <col min="3084" max="3084" width="7.7109375" style="841" customWidth="1"/>
    <col min="3085" max="3085" width="7" style="841" customWidth="1"/>
    <col min="3086" max="3328" width="11.5703125" style="841"/>
    <col min="3329" max="3329" width="11.42578125" style="841" customWidth="1"/>
    <col min="3330" max="3330" width="6.140625" style="841" customWidth="1"/>
    <col min="3331" max="3331" width="22.28515625" style="841" customWidth="1"/>
    <col min="3332" max="3332" width="9.28515625" style="841" customWidth="1"/>
    <col min="3333" max="3333" width="8.28515625" style="841" customWidth="1"/>
    <col min="3334" max="3334" width="7.7109375" style="841" customWidth="1"/>
    <col min="3335" max="3335" width="9.7109375" style="841" customWidth="1"/>
    <col min="3336" max="3336" width="7.28515625" style="841" customWidth="1"/>
    <col min="3337" max="3337" width="7.5703125" style="841" customWidth="1"/>
    <col min="3338" max="3338" width="7.7109375" style="841" customWidth="1"/>
    <col min="3339" max="3339" width="7" style="841" customWidth="1"/>
    <col min="3340" max="3340" width="7.7109375" style="841" customWidth="1"/>
    <col min="3341" max="3341" width="7" style="841" customWidth="1"/>
    <col min="3342" max="3584" width="11.5703125" style="841"/>
    <col min="3585" max="3585" width="11.42578125" style="841" customWidth="1"/>
    <col min="3586" max="3586" width="6.140625" style="841" customWidth="1"/>
    <col min="3587" max="3587" width="22.28515625" style="841" customWidth="1"/>
    <col min="3588" max="3588" width="9.28515625" style="841" customWidth="1"/>
    <col min="3589" max="3589" width="8.28515625" style="841" customWidth="1"/>
    <col min="3590" max="3590" width="7.7109375" style="841" customWidth="1"/>
    <col min="3591" max="3591" width="9.7109375" style="841" customWidth="1"/>
    <col min="3592" max="3592" width="7.28515625" style="841" customWidth="1"/>
    <col min="3593" max="3593" width="7.5703125" style="841" customWidth="1"/>
    <col min="3594" max="3594" width="7.7109375" style="841" customWidth="1"/>
    <col min="3595" max="3595" width="7" style="841" customWidth="1"/>
    <col min="3596" max="3596" width="7.7109375" style="841" customWidth="1"/>
    <col min="3597" max="3597" width="7" style="841" customWidth="1"/>
    <col min="3598" max="3840" width="11.5703125" style="841"/>
    <col min="3841" max="3841" width="11.42578125" style="841" customWidth="1"/>
    <col min="3842" max="3842" width="6.140625" style="841" customWidth="1"/>
    <col min="3843" max="3843" width="22.28515625" style="841" customWidth="1"/>
    <col min="3844" max="3844" width="9.28515625" style="841" customWidth="1"/>
    <col min="3845" max="3845" width="8.28515625" style="841" customWidth="1"/>
    <col min="3846" max="3846" width="7.7109375" style="841" customWidth="1"/>
    <col min="3847" max="3847" width="9.7109375" style="841" customWidth="1"/>
    <col min="3848" max="3848" width="7.28515625" style="841" customWidth="1"/>
    <col min="3849" max="3849" width="7.5703125" style="841" customWidth="1"/>
    <col min="3850" max="3850" width="7.7109375" style="841" customWidth="1"/>
    <col min="3851" max="3851" width="7" style="841" customWidth="1"/>
    <col min="3852" max="3852" width="7.7109375" style="841" customWidth="1"/>
    <col min="3853" max="3853" width="7" style="841" customWidth="1"/>
    <col min="3854" max="4096" width="11.5703125" style="841"/>
    <col min="4097" max="4097" width="11.42578125" style="841" customWidth="1"/>
    <col min="4098" max="4098" width="6.140625" style="841" customWidth="1"/>
    <col min="4099" max="4099" width="22.28515625" style="841" customWidth="1"/>
    <col min="4100" max="4100" width="9.28515625" style="841" customWidth="1"/>
    <col min="4101" max="4101" width="8.28515625" style="841" customWidth="1"/>
    <col min="4102" max="4102" width="7.7109375" style="841" customWidth="1"/>
    <col min="4103" max="4103" width="9.7109375" style="841" customWidth="1"/>
    <col min="4104" max="4104" width="7.28515625" style="841" customWidth="1"/>
    <col min="4105" max="4105" width="7.5703125" style="841" customWidth="1"/>
    <col min="4106" max="4106" width="7.7109375" style="841" customWidth="1"/>
    <col min="4107" max="4107" width="7" style="841" customWidth="1"/>
    <col min="4108" max="4108" width="7.7109375" style="841" customWidth="1"/>
    <col min="4109" max="4109" width="7" style="841" customWidth="1"/>
    <col min="4110" max="4352" width="11.5703125" style="841"/>
    <col min="4353" max="4353" width="11.42578125" style="841" customWidth="1"/>
    <col min="4354" max="4354" width="6.140625" style="841" customWidth="1"/>
    <col min="4355" max="4355" width="22.28515625" style="841" customWidth="1"/>
    <col min="4356" max="4356" width="9.28515625" style="841" customWidth="1"/>
    <col min="4357" max="4357" width="8.28515625" style="841" customWidth="1"/>
    <col min="4358" max="4358" width="7.7109375" style="841" customWidth="1"/>
    <col min="4359" max="4359" width="9.7109375" style="841" customWidth="1"/>
    <col min="4360" max="4360" width="7.28515625" style="841" customWidth="1"/>
    <col min="4361" max="4361" width="7.5703125" style="841" customWidth="1"/>
    <col min="4362" max="4362" width="7.7109375" style="841" customWidth="1"/>
    <col min="4363" max="4363" width="7" style="841" customWidth="1"/>
    <col min="4364" max="4364" width="7.7109375" style="841" customWidth="1"/>
    <col min="4365" max="4365" width="7" style="841" customWidth="1"/>
    <col min="4366" max="4608" width="11.5703125" style="841"/>
    <col min="4609" max="4609" width="11.42578125" style="841" customWidth="1"/>
    <col min="4610" max="4610" width="6.140625" style="841" customWidth="1"/>
    <col min="4611" max="4611" width="22.28515625" style="841" customWidth="1"/>
    <col min="4612" max="4612" width="9.28515625" style="841" customWidth="1"/>
    <col min="4613" max="4613" width="8.28515625" style="841" customWidth="1"/>
    <col min="4614" max="4614" width="7.7109375" style="841" customWidth="1"/>
    <col min="4615" max="4615" width="9.7109375" style="841" customWidth="1"/>
    <col min="4616" max="4616" width="7.28515625" style="841" customWidth="1"/>
    <col min="4617" max="4617" width="7.5703125" style="841" customWidth="1"/>
    <col min="4618" max="4618" width="7.7109375" style="841" customWidth="1"/>
    <col min="4619" max="4619" width="7" style="841" customWidth="1"/>
    <col min="4620" max="4620" width="7.7109375" style="841" customWidth="1"/>
    <col min="4621" max="4621" width="7" style="841" customWidth="1"/>
    <col min="4622" max="4864" width="11.5703125" style="841"/>
    <col min="4865" max="4865" width="11.42578125" style="841" customWidth="1"/>
    <col min="4866" max="4866" width="6.140625" style="841" customWidth="1"/>
    <col min="4867" max="4867" width="22.28515625" style="841" customWidth="1"/>
    <col min="4868" max="4868" width="9.28515625" style="841" customWidth="1"/>
    <col min="4869" max="4869" width="8.28515625" style="841" customWidth="1"/>
    <col min="4870" max="4870" width="7.7109375" style="841" customWidth="1"/>
    <col min="4871" max="4871" width="9.7109375" style="841" customWidth="1"/>
    <col min="4872" max="4872" width="7.28515625" style="841" customWidth="1"/>
    <col min="4873" max="4873" width="7.5703125" style="841" customWidth="1"/>
    <col min="4874" max="4874" width="7.7109375" style="841" customWidth="1"/>
    <col min="4875" max="4875" width="7" style="841" customWidth="1"/>
    <col min="4876" max="4876" width="7.7109375" style="841" customWidth="1"/>
    <col min="4877" max="4877" width="7" style="841" customWidth="1"/>
    <col min="4878" max="5120" width="11.5703125" style="841"/>
    <col min="5121" max="5121" width="11.42578125" style="841" customWidth="1"/>
    <col min="5122" max="5122" width="6.140625" style="841" customWidth="1"/>
    <col min="5123" max="5123" width="22.28515625" style="841" customWidth="1"/>
    <col min="5124" max="5124" width="9.28515625" style="841" customWidth="1"/>
    <col min="5125" max="5125" width="8.28515625" style="841" customWidth="1"/>
    <col min="5126" max="5126" width="7.7109375" style="841" customWidth="1"/>
    <col min="5127" max="5127" width="9.7109375" style="841" customWidth="1"/>
    <col min="5128" max="5128" width="7.28515625" style="841" customWidth="1"/>
    <col min="5129" max="5129" width="7.5703125" style="841" customWidth="1"/>
    <col min="5130" max="5130" width="7.7109375" style="841" customWidth="1"/>
    <col min="5131" max="5131" width="7" style="841" customWidth="1"/>
    <col min="5132" max="5132" width="7.7109375" style="841" customWidth="1"/>
    <col min="5133" max="5133" width="7" style="841" customWidth="1"/>
    <col min="5134" max="5376" width="11.5703125" style="841"/>
    <col min="5377" max="5377" width="11.42578125" style="841" customWidth="1"/>
    <col min="5378" max="5378" width="6.140625" style="841" customWidth="1"/>
    <col min="5379" max="5379" width="22.28515625" style="841" customWidth="1"/>
    <col min="5380" max="5380" width="9.28515625" style="841" customWidth="1"/>
    <col min="5381" max="5381" width="8.28515625" style="841" customWidth="1"/>
    <col min="5382" max="5382" width="7.7109375" style="841" customWidth="1"/>
    <col min="5383" max="5383" width="9.7109375" style="841" customWidth="1"/>
    <col min="5384" max="5384" width="7.28515625" style="841" customWidth="1"/>
    <col min="5385" max="5385" width="7.5703125" style="841" customWidth="1"/>
    <col min="5386" max="5386" width="7.7109375" style="841" customWidth="1"/>
    <col min="5387" max="5387" width="7" style="841" customWidth="1"/>
    <col min="5388" max="5388" width="7.7109375" style="841" customWidth="1"/>
    <col min="5389" max="5389" width="7" style="841" customWidth="1"/>
    <col min="5390" max="5632" width="11.5703125" style="841"/>
    <col min="5633" max="5633" width="11.42578125" style="841" customWidth="1"/>
    <col min="5634" max="5634" width="6.140625" style="841" customWidth="1"/>
    <col min="5635" max="5635" width="22.28515625" style="841" customWidth="1"/>
    <col min="5636" max="5636" width="9.28515625" style="841" customWidth="1"/>
    <col min="5637" max="5637" width="8.28515625" style="841" customWidth="1"/>
    <col min="5638" max="5638" width="7.7109375" style="841" customWidth="1"/>
    <col min="5639" max="5639" width="9.7109375" style="841" customWidth="1"/>
    <col min="5640" max="5640" width="7.28515625" style="841" customWidth="1"/>
    <col min="5641" max="5641" width="7.5703125" style="841" customWidth="1"/>
    <col min="5642" max="5642" width="7.7109375" style="841" customWidth="1"/>
    <col min="5643" max="5643" width="7" style="841" customWidth="1"/>
    <col min="5644" max="5644" width="7.7109375" style="841" customWidth="1"/>
    <col min="5645" max="5645" width="7" style="841" customWidth="1"/>
    <col min="5646" max="5888" width="11.5703125" style="841"/>
    <col min="5889" max="5889" width="11.42578125" style="841" customWidth="1"/>
    <col min="5890" max="5890" width="6.140625" style="841" customWidth="1"/>
    <col min="5891" max="5891" width="22.28515625" style="841" customWidth="1"/>
    <col min="5892" max="5892" width="9.28515625" style="841" customWidth="1"/>
    <col min="5893" max="5893" width="8.28515625" style="841" customWidth="1"/>
    <col min="5894" max="5894" width="7.7109375" style="841" customWidth="1"/>
    <col min="5895" max="5895" width="9.7109375" style="841" customWidth="1"/>
    <col min="5896" max="5896" width="7.28515625" style="841" customWidth="1"/>
    <col min="5897" max="5897" width="7.5703125" style="841" customWidth="1"/>
    <col min="5898" max="5898" width="7.7109375" style="841" customWidth="1"/>
    <col min="5899" max="5899" width="7" style="841" customWidth="1"/>
    <col min="5900" max="5900" width="7.7109375" style="841" customWidth="1"/>
    <col min="5901" max="5901" width="7" style="841" customWidth="1"/>
    <col min="5902" max="6144" width="11.5703125" style="841"/>
    <col min="6145" max="6145" width="11.42578125" style="841" customWidth="1"/>
    <col min="6146" max="6146" width="6.140625" style="841" customWidth="1"/>
    <col min="6147" max="6147" width="22.28515625" style="841" customWidth="1"/>
    <col min="6148" max="6148" width="9.28515625" style="841" customWidth="1"/>
    <col min="6149" max="6149" width="8.28515625" style="841" customWidth="1"/>
    <col min="6150" max="6150" width="7.7109375" style="841" customWidth="1"/>
    <col min="6151" max="6151" width="9.7109375" style="841" customWidth="1"/>
    <col min="6152" max="6152" width="7.28515625" style="841" customWidth="1"/>
    <col min="6153" max="6153" width="7.5703125" style="841" customWidth="1"/>
    <col min="6154" max="6154" width="7.7109375" style="841" customWidth="1"/>
    <col min="6155" max="6155" width="7" style="841" customWidth="1"/>
    <col min="6156" max="6156" width="7.7109375" style="841" customWidth="1"/>
    <col min="6157" max="6157" width="7" style="841" customWidth="1"/>
    <col min="6158" max="6400" width="11.5703125" style="841"/>
    <col min="6401" max="6401" width="11.42578125" style="841" customWidth="1"/>
    <col min="6402" max="6402" width="6.140625" style="841" customWidth="1"/>
    <col min="6403" max="6403" width="22.28515625" style="841" customWidth="1"/>
    <col min="6404" max="6404" width="9.28515625" style="841" customWidth="1"/>
    <col min="6405" max="6405" width="8.28515625" style="841" customWidth="1"/>
    <col min="6406" max="6406" width="7.7109375" style="841" customWidth="1"/>
    <col min="6407" max="6407" width="9.7109375" style="841" customWidth="1"/>
    <col min="6408" max="6408" width="7.28515625" style="841" customWidth="1"/>
    <col min="6409" max="6409" width="7.5703125" style="841" customWidth="1"/>
    <col min="6410" max="6410" width="7.7109375" style="841" customWidth="1"/>
    <col min="6411" max="6411" width="7" style="841" customWidth="1"/>
    <col min="6412" max="6412" width="7.7109375" style="841" customWidth="1"/>
    <col min="6413" max="6413" width="7" style="841" customWidth="1"/>
    <col min="6414" max="6656" width="11.5703125" style="841"/>
    <col min="6657" max="6657" width="11.42578125" style="841" customWidth="1"/>
    <col min="6658" max="6658" width="6.140625" style="841" customWidth="1"/>
    <col min="6659" max="6659" width="22.28515625" style="841" customWidth="1"/>
    <col min="6660" max="6660" width="9.28515625" style="841" customWidth="1"/>
    <col min="6661" max="6661" width="8.28515625" style="841" customWidth="1"/>
    <col min="6662" max="6662" width="7.7109375" style="841" customWidth="1"/>
    <col min="6663" max="6663" width="9.7109375" style="841" customWidth="1"/>
    <col min="6664" max="6664" width="7.28515625" style="841" customWidth="1"/>
    <col min="6665" max="6665" width="7.5703125" style="841" customWidth="1"/>
    <col min="6666" max="6666" width="7.7109375" style="841" customWidth="1"/>
    <col min="6667" max="6667" width="7" style="841" customWidth="1"/>
    <col min="6668" max="6668" width="7.7109375" style="841" customWidth="1"/>
    <col min="6669" max="6669" width="7" style="841" customWidth="1"/>
    <col min="6670" max="6912" width="11.5703125" style="841"/>
    <col min="6913" max="6913" width="11.42578125" style="841" customWidth="1"/>
    <col min="6914" max="6914" width="6.140625" style="841" customWidth="1"/>
    <col min="6915" max="6915" width="22.28515625" style="841" customWidth="1"/>
    <col min="6916" max="6916" width="9.28515625" style="841" customWidth="1"/>
    <col min="6917" max="6917" width="8.28515625" style="841" customWidth="1"/>
    <col min="6918" max="6918" width="7.7109375" style="841" customWidth="1"/>
    <col min="6919" max="6919" width="9.7109375" style="841" customWidth="1"/>
    <col min="6920" max="6920" width="7.28515625" style="841" customWidth="1"/>
    <col min="6921" max="6921" width="7.5703125" style="841" customWidth="1"/>
    <col min="6922" max="6922" width="7.7109375" style="841" customWidth="1"/>
    <col min="6923" max="6923" width="7" style="841" customWidth="1"/>
    <col min="6924" max="6924" width="7.7109375" style="841" customWidth="1"/>
    <col min="6925" max="6925" width="7" style="841" customWidth="1"/>
    <col min="6926" max="7168" width="11.5703125" style="841"/>
    <col min="7169" max="7169" width="11.42578125" style="841" customWidth="1"/>
    <col min="7170" max="7170" width="6.140625" style="841" customWidth="1"/>
    <col min="7171" max="7171" width="22.28515625" style="841" customWidth="1"/>
    <col min="7172" max="7172" width="9.28515625" style="841" customWidth="1"/>
    <col min="7173" max="7173" width="8.28515625" style="841" customWidth="1"/>
    <col min="7174" max="7174" width="7.7109375" style="841" customWidth="1"/>
    <col min="7175" max="7175" width="9.7109375" style="841" customWidth="1"/>
    <col min="7176" max="7176" width="7.28515625" style="841" customWidth="1"/>
    <col min="7177" max="7177" width="7.5703125" style="841" customWidth="1"/>
    <col min="7178" max="7178" width="7.7109375" style="841" customWidth="1"/>
    <col min="7179" max="7179" width="7" style="841" customWidth="1"/>
    <col min="7180" max="7180" width="7.7109375" style="841" customWidth="1"/>
    <col min="7181" max="7181" width="7" style="841" customWidth="1"/>
    <col min="7182" max="7424" width="11.5703125" style="841"/>
    <col min="7425" max="7425" width="11.42578125" style="841" customWidth="1"/>
    <col min="7426" max="7426" width="6.140625" style="841" customWidth="1"/>
    <col min="7427" max="7427" width="22.28515625" style="841" customWidth="1"/>
    <col min="7428" max="7428" width="9.28515625" style="841" customWidth="1"/>
    <col min="7429" max="7429" width="8.28515625" style="841" customWidth="1"/>
    <col min="7430" max="7430" width="7.7109375" style="841" customWidth="1"/>
    <col min="7431" max="7431" width="9.7109375" style="841" customWidth="1"/>
    <col min="7432" max="7432" width="7.28515625" style="841" customWidth="1"/>
    <col min="7433" max="7433" width="7.5703125" style="841" customWidth="1"/>
    <col min="7434" max="7434" width="7.7109375" style="841" customWidth="1"/>
    <col min="7435" max="7435" width="7" style="841" customWidth="1"/>
    <col min="7436" max="7436" width="7.7109375" style="841" customWidth="1"/>
    <col min="7437" max="7437" width="7" style="841" customWidth="1"/>
    <col min="7438" max="7680" width="11.5703125" style="841"/>
    <col min="7681" max="7681" width="11.42578125" style="841" customWidth="1"/>
    <col min="7682" max="7682" width="6.140625" style="841" customWidth="1"/>
    <col min="7683" max="7683" width="22.28515625" style="841" customWidth="1"/>
    <col min="7684" max="7684" width="9.28515625" style="841" customWidth="1"/>
    <col min="7685" max="7685" width="8.28515625" style="841" customWidth="1"/>
    <col min="7686" max="7686" width="7.7109375" style="841" customWidth="1"/>
    <col min="7687" max="7687" width="9.7109375" style="841" customWidth="1"/>
    <col min="7688" max="7688" width="7.28515625" style="841" customWidth="1"/>
    <col min="7689" max="7689" width="7.5703125" style="841" customWidth="1"/>
    <col min="7690" max="7690" width="7.7109375" style="841" customWidth="1"/>
    <col min="7691" max="7691" width="7" style="841" customWidth="1"/>
    <col min="7692" max="7692" width="7.7109375" style="841" customWidth="1"/>
    <col min="7693" max="7693" width="7" style="841" customWidth="1"/>
    <col min="7694" max="7936" width="11.5703125" style="841"/>
    <col min="7937" max="7937" width="11.42578125" style="841" customWidth="1"/>
    <col min="7938" max="7938" width="6.140625" style="841" customWidth="1"/>
    <col min="7939" max="7939" width="22.28515625" style="841" customWidth="1"/>
    <col min="7940" max="7940" width="9.28515625" style="841" customWidth="1"/>
    <col min="7941" max="7941" width="8.28515625" style="841" customWidth="1"/>
    <col min="7942" max="7942" width="7.7109375" style="841" customWidth="1"/>
    <col min="7943" max="7943" width="9.7109375" style="841" customWidth="1"/>
    <col min="7944" max="7944" width="7.28515625" style="841" customWidth="1"/>
    <col min="7945" max="7945" width="7.5703125" style="841" customWidth="1"/>
    <col min="7946" max="7946" width="7.7109375" style="841" customWidth="1"/>
    <col min="7947" max="7947" width="7" style="841" customWidth="1"/>
    <col min="7948" max="7948" width="7.7109375" style="841" customWidth="1"/>
    <col min="7949" max="7949" width="7" style="841" customWidth="1"/>
    <col min="7950" max="8192" width="11.5703125" style="841"/>
    <col min="8193" max="8193" width="11.42578125" style="841" customWidth="1"/>
    <col min="8194" max="8194" width="6.140625" style="841" customWidth="1"/>
    <col min="8195" max="8195" width="22.28515625" style="841" customWidth="1"/>
    <col min="8196" max="8196" width="9.28515625" style="841" customWidth="1"/>
    <col min="8197" max="8197" width="8.28515625" style="841" customWidth="1"/>
    <col min="8198" max="8198" width="7.7109375" style="841" customWidth="1"/>
    <col min="8199" max="8199" width="9.7109375" style="841" customWidth="1"/>
    <col min="8200" max="8200" width="7.28515625" style="841" customWidth="1"/>
    <col min="8201" max="8201" width="7.5703125" style="841" customWidth="1"/>
    <col min="8202" max="8202" width="7.7109375" style="841" customWidth="1"/>
    <col min="8203" max="8203" width="7" style="841" customWidth="1"/>
    <col min="8204" max="8204" width="7.7109375" style="841" customWidth="1"/>
    <col min="8205" max="8205" width="7" style="841" customWidth="1"/>
    <col min="8206" max="8448" width="11.5703125" style="841"/>
    <col min="8449" max="8449" width="11.42578125" style="841" customWidth="1"/>
    <col min="8450" max="8450" width="6.140625" style="841" customWidth="1"/>
    <col min="8451" max="8451" width="22.28515625" style="841" customWidth="1"/>
    <col min="8452" max="8452" width="9.28515625" style="841" customWidth="1"/>
    <col min="8453" max="8453" width="8.28515625" style="841" customWidth="1"/>
    <col min="8454" max="8454" width="7.7109375" style="841" customWidth="1"/>
    <col min="8455" max="8455" width="9.7109375" style="841" customWidth="1"/>
    <col min="8456" max="8456" width="7.28515625" style="841" customWidth="1"/>
    <col min="8457" max="8457" width="7.5703125" style="841" customWidth="1"/>
    <col min="8458" max="8458" width="7.7109375" style="841" customWidth="1"/>
    <col min="8459" max="8459" width="7" style="841" customWidth="1"/>
    <col min="8460" max="8460" width="7.7109375" style="841" customWidth="1"/>
    <col min="8461" max="8461" width="7" style="841" customWidth="1"/>
    <col min="8462" max="8704" width="11.5703125" style="841"/>
    <col min="8705" max="8705" width="11.42578125" style="841" customWidth="1"/>
    <col min="8706" max="8706" width="6.140625" style="841" customWidth="1"/>
    <col min="8707" max="8707" width="22.28515625" style="841" customWidth="1"/>
    <col min="8708" max="8708" width="9.28515625" style="841" customWidth="1"/>
    <col min="8709" max="8709" width="8.28515625" style="841" customWidth="1"/>
    <col min="8710" max="8710" width="7.7109375" style="841" customWidth="1"/>
    <col min="8711" max="8711" width="9.7109375" style="841" customWidth="1"/>
    <col min="8712" max="8712" width="7.28515625" style="841" customWidth="1"/>
    <col min="8713" max="8713" width="7.5703125" style="841" customWidth="1"/>
    <col min="8714" max="8714" width="7.7109375" style="841" customWidth="1"/>
    <col min="8715" max="8715" width="7" style="841" customWidth="1"/>
    <col min="8716" max="8716" width="7.7109375" style="841" customWidth="1"/>
    <col min="8717" max="8717" width="7" style="841" customWidth="1"/>
    <col min="8718" max="8960" width="11.5703125" style="841"/>
    <col min="8961" max="8961" width="11.42578125" style="841" customWidth="1"/>
    <col min="8962" max="8962" width="6.140625" style="841" customWidth="1"/>
    <col min="8963" max="8963" width="22.28515625" style="841" customWidth="1"/>
    <col min="8964" max="8964" width="9.28515625" style="841" customWidth="1"/>
    <col min="8965" max="8965" width="8.28515625" style="841" customWidth="1"/>
    <col min="8966" max="8966" width="7.7109375" style="841" customWidth="1"/>
    <col min="8967" max="8967" width="9.7109375" style="841" customWidth="1"/>
    <col min="8968" max="8968" width="7.28515625" style="841" customWidth="1"/>
    <col min="8969" max="8969" width="7.5703125" style="841" customWidth="1"/>
    <col min="8970" max="8970" width="7.7109375" style="841" customWidth="1"/>
    <col min="8971" max="8971" width="7" style="841" customWidth="1"/>
    <col min="8972" max="8972" width="7.7109375" style="841" customWidth="1"/>
    <col min="8973" max="8973" width="7" style="841" customWidth="1"/>
    <col min="8974" max="9216" width="11.5703125" style="841"/>
    <col min="9217" max="9217" width="11.42578125" style="841" customWidth="1"/>
    <col min="9218" max="9218" width="6.140625" style="841" customWidth="1"/>
    <col min="9219" max="9219" width="22.28515625" style="841" customWidth="1"/>
    <col min="9220" max="9220" width="9.28515625" style="841" customWidth="1"/>
    <col min="9221" max="9221" width="8.28515625" style="841" customWidth="1"/>
    <col min="9222" max="9222" width="7.7109375" style="841" customWidth="1"/>
    <col min="9223" max="9223" width="9.7109375" style="841" customWidth="1"/>
    <col min="9224" max="9224" width="7.28515625" style="841" customWidth="1"/>
    <col min="9225" max="9225" width="7.5703125" style="841" customWidth="1"/>
    <col min="9226" max="9226" width="7.7109375" style="841" customWidth="1"/>
    <col min="9227" max="9227" width="7" style="841" customWidth="1"/>
    <col min="9228" max="9228" width="7.7109375" style="841" customWidth="1"/>
    <col min="9229" max="9229" width="7" style="841" customWidth="1"/>
    <col min="9230" max="9472" width="11.5703125" style="841"/>
    <col min="9473" max="9473" width="11.42578125" style="841" customWidth="1"/>
    <col min="9474" max="9474" width="6.140625" style="841" customWidth="1"/>
    <col min="9475" max="9475" width="22.28515625" style="841" customWidth="1"/>
    <col min="9476" max="9476" width="9.28515625" style="841" customWidth="1"/>
    <col min="9477" max="9477" width="8.28515625" style="841" customWidth="1"/>
    <col min="9478" max="9478" width="7.7109375" style="841" customWidth="1"/>
    <col min="9479" max="9479" width="9.7109375" style="841" customWidth="1"/>
    <col min="9480" max="9480" width="7.28515625" style="841" customWidth="1"/>
    <col min="9481" max="9481" width="7.5703125" style="841" customWidth="1"/>
    <col min="9482" max="9482" width="7.7109375" style="841" customWidth="1"/>
    <col min="9483" max="9483" width="7" style="841" customWidth="1"/>
    <col min="9484" max="9484" width="7.7109375" style="841" customWidth="1"/>
    <col min="9485" max="9485" width="7" style="841" customWidth="1"/>
    <col min="9486" max="9728" width="11.5703125" style="841"/>
    <col min="9729" max="9729" width="11.42578125" style="841" customWidth="1"/>
    <col min="9730" max="9730" width="6.140625" style="841" customWidth="1"/>
    <col min="9731" max="9731" width="22.28515625" style="841" customWidth="1"/>
    <col min="9732" max="9732" width="9.28515625" style="841" customWidth="1"/>
    <col min="9733" max="9733" width="8.28515625" style="841" customWidth="1"/>
    <col min="9734" max="9734" width="7.7109375" style="841" customWidth="1"/>
    <col min="9735" max="9735" width="9.7109375" style="841" customWidth="1"/>
    <col min="9736" max="9736" width="7.28515625" style="841" customWidth="1"/>
    <col min="9737" max="9737" width="7.5703125" style="841" customWidth="1"/>
    <col min="9738" max="9738" width="7.7109375" style="841" customWidth="1"/>
    <col min="9739" max="9739" width="7" style="841" customWidth="1"/>
    <col min="9740" max="9740" width="7.7109375" style="841" customWidth="1"/>
    <col min="9741" max="9741" width="7" style="841" customWidth="1"/>
    <col min="9742" max="9984" width="11.5703125" style="841"/>
    <col min="9985" max="9985" width="11.42578125" style="841" customWidth="1"/>
    <col min="9986" max="9986" width="6.140625" style="841" customWidth="1"/>
    <col min="9987" max="9987" width="22.28515625" style="841" customWidth="1"/>
    <col min="9988" max="9988" width="9.28515625" style="841" customWidth="1"/>
    <col min="9989" max="9989" width="8.28515625" style="841" customWidth="1"/>
    <col min="9990" max="9990" width="7.7109375" style="841" customWidth="1"/>
    <col min="9991" max="9991" width="9.7109375" style="841" customWidth="1"/>
    <col min="9992" max="9992" width="7.28515625" style="841" customWidth="1"/>
    <col min="9993" max="9993" width="7.5703125" style="841" customWidth="1"/>
    <col min="9994" max="9994" width="7.7109375" style="841" customWidth="1"/>
    <col min="9995" max="9995" width="7" style="841" customWidth="1"/>
    <col min="9996" max="9996" width="7.7109375" style="841" customWidth="1"/>
    <col min="9997" max="9997" width="7" style="841" customWidth="1"/>
    <col min="9998" max="10240" width="11.5703125" style="841"/>
    <col min="10241" max="10241" width="11.42578125" style="841" customWidth="1"/>
    <col min="10242" max="10242" width="6.140625" style="841" customWidth="1"/>
    <col min="10243" max="10243" width="22.28515625" style="841" customWidth="1"/>
    <col min="10244" max="10244" width="9.28515625" style="841" customWidth="1"/>
    <col min="10245" max="10245" width="8.28515625" style="841" customWidth="1"/>
    <col min="10246" max="10246" width="7.7109375" style="841" customWidth="1"/>
    <col min="10247" max="10247" width="9.7109375" style="841" customWidth="1"/>
    <col min="10248" max="10248" width="7.28515625" style="841" customWidth="1"/>
    <col min="10249" max="10249" width="7.5703125" style="841" customWidth="1"/>
    <col min="10250" max="10250" width="7.7109375" style="841" customWidth="1"/>
    <col min="10251" max="10251" width="7" style="841" customWidth="1"/>
    <col min="10252" max="10252" width="7.7109375" style="841" customWidth="1"/>
    <col min="10253" max="10253" width="7" style="841" customWidth="1"/>
    <col min="10254" max="10496" width="11.5703125" style="841"/>
    <col min="10497" max="10497" width="11.42578125" style="841" customWidth="1"/>
    <col min="10498" max="10498" width="6.140625" style="841" customWidth="1"/>
    <col min="10499" max="10499" width="22.28515625" style="841" customWidth="1"/>
    <col min="10500" max="10500" width="9.28515625" style="841" customWidth="1"/>
    <col min="10501" max="10501" width="8.28515625" style="841" customWidth="1"/>
    <col min="10502" max="10502" width="7.7109375" style="841" customWidth="1"/>
    <col min="10503" max="10503" width="9.7109375" style="841" customWidth="1"/>
    <col min="10504" max="10504" width="7.28515625" style="841" customWidth="1"/>
    <col min="10505" max="10505" width="7.5703125" style="841" customWidth="1"/>
    <col min="10506" max="10506" width="7.7109375" style="841" customWidth="1"/>
    <col min="10507" max="10507" width="7" style="841" customWidth="1"/>
    <col min="10508" max="10508" width="7.7109375" style="841" customWidth="1"/>
    <col min="10509" max="10509" width="7" style="841" customWidth="1"/>
    <col min="10510" max="10752" width="11.5703125" style="841"/>
    <col min="10753" max="10753" width="11.42578125" style="841" customWidth="1"/>
    <col min="10754" max="10754" width="6.140625" style="841" customWidth="1"/>
    <col min="10755" max="10755" width="22.28515625" style="841" customWidth="1"/>
    <col min="10756" max="10756" width="9.28515625" style="841" customWidth="1"/>
    <col min="10757" max="10757" width="8.28515625" style="841" customWidth="1"/>
    <col min="10758" max="10758" width="7.7109375" style="841" customWidth="1"/>
    <col min="10759" max="10759" width="9.7109375" style="841" customWidth="1"/>
    <col min="10760" max="10760" width="7.28515625" style="841" customWidth="1"/>
    <col min="10761" max="10761" width="7.5703125" style="841" customWidth="1"/>
    <col min="10762" max="10762" width="7.7109375" style="841" customWidth="1"/>
    <col min="10763" max="10763" width="7" style="841" customWidth="1"/>
    <col min="10764" max="10764" width="7.7109375" style="841" customWidth="1"/>
    <col min="10765" max="10765" width="7" style="841" customWidth="1"/>
    <col min="10766" max="11008" width="11.5703125" style="841"/>
    <col min="11009" max="11009" width="11.42578125" style="841" customWidth="1"/>
    <col min="11010" max="11010" width="6.140625" style="841" customWidth="1"/>
    <col min="11011" max="11011" width="22.28515625" style="841" customWidth="1"/>
    <col min="11012" max="11012" width="9.28515625" style="841" customWidth="1"/>
    <col min="11013" max="11013" width="8.28515625" style="841" customWidth="1"/>
    <col min="11014" max="11014" width="7.7109375" style="841" customWidth="1"/>
    <col min="11015" max="11015" width="9.7109375" style="841" customWidth="1"/>
    <col min="11016" max="11016" width="7.28515625" style="841" customWidth="1"/>
    <col min="11017" max="11017" width="7.5703125" style="841" customWidth="1"/>
    <col min="11018" max="11018" width="7.7109375" style="841" customWidth="1"/>
    <col min="11019" max="11019" width="7" style="841" customWidth="1"/>
    <col min="11020" max="11020" width="7.7109375" style="841" customWidth="1"/>
    <col min="11021" max="11021" width="7" style="841" customWidth="1"/>
    <col min="11022" max="11264" width="11.5703125" style="841"/>
    <col min="11265" max="11265" width="11.42578125" style="841" customWidth="1"/>
    <col min="11266" max="11266" width="6.140625" style="841" customWidth="1"/>
    <col min="11267" max="11267" width="22.28515625" style="841" customWidth="1"/>
    <col min="11268" max="11268" width="9.28515625" style="841" customWidth="1"/>
    <col min="11269" max="11269" width="8.28515625" style="841" customWidth="1"/>
    <col min="11270" max="11270" width="7.7109375" style="841" customWidth="1"/>
    <col min="11271" max="11271" width="9.7109375" style="841" customWidth="1"/>
    <col min="11272" max="11272" width="7.28515625" style="841" customWidth="1"/>
    <col min="11273" max="11273" width="7.5703125" style="841" customWidth="1"/>
    <col min="11274" max="11274" width="7.7109375" style="841" customWidth="1"/>
    <col min="11275" max="11275" width="7" style="841" customWidth="1"/>
    <col min="11276" max="11276" width="7.7109375" style="841" customWidth="1"/>
    <col min="11277" max="11277" width="7" style="841" customWidth="1"/>
    <col min="11278" max="11520" width="11.5703125" style="841"/>
    <col min="11521" max="11521" width="11.42578125" style="841" customWidth="1"/>
    <col min="11522" max="11522" width="6.140625" style="841" customWidth="1"/>
    <col min="11523" max="11523" width="22.28515625" style="841" customWidth="1"/>
    <col min="11524" max="11524" width="9.28515625" style="841" customWidth="1"/>
    <col min="11525" max="11525" width="8.28515625" style="841" customWidth="1"/>
    <col min="11526" max="11526" width="7.7109375" style="841" customWidth="1"/>
    <col min="11527" max="11527" width="9.7109375" style="841" customWidth="1"/>
    <col min="11528" max="11528" width="7.28515625" style="841" customWidth="1"/>
    <col min="11529" max="11529" width="7.5703125" style="841" customWidth="1"/>
    <col min="11530" max="11530" width="7.7109375" style="841" customWidth="1"/>
    <col min="11531" max="11531" width="7" style="841" customWidth="1"/>
    <col min="11532" max="11532" width="7.7109375" style="841" customWidth="1"/>
    <col min="11533" max="11533" width="7" style="841" customWidth="1"/>
    <col min="11534" max="11776" width="11.5703125" style="841"/>
    <col min="11777" max="11777" width="11.42578125" style="841" customWidth="1"/>
    <col min="11778" max="11778" width="6.140625" style="841" customWidth="1"/>
    <col min="11779" max="11779" width="22.28515625" style="841" customWidth="1"/>
    <col min="11780" max="11780" width="9.28515625" style="841" customWidth="1"/>
    <col min="11781" max="11781" width="8.28515625" style="841" customWidth="1"/>
    <col min="11782" max="11782" width="7.7109375" style="841" customWidth="1"/>
    <col min="11783" max="11783" width="9.7109375" style="841" customWidth="1"/>
    <col min="11784" max="11784" width="7.28515625" style="841" customWidth="1"/>
    <col min="11785" max="11785" width="7.5703125" style="841" customWidth="1"/>
    <col min="11786" max="11786" width="7.7109375" style="841" customWidth="1"/>
    <col min="11787" max="11787" width="7" style="841" customWidth="1"/>
    <col min="11788" max="11788" width="7.7109375" style="841" customWidth="1"/>
    <col min="11789" max="11789" width="7" style="841" customWidth="1"/>
    <col min="11790" max="12032" width="11.5703125" style="841"/>
    <col min="12033" max="12033" width="11.42578125" style="841" customWidth="1"/>
    <col min="12034" max="12034" width="6.140625" style="841" customWidth="1"/>
    <col min="12035" max="12035" width="22.28515625" style="841" customWidth="1"/>
    <col min="12036" max="12036" width="9.28515625" style="841" customWidth="1"/>
    <col min="12037" max="12037" width="8.28515625" style="841" customWidth="1"/>
    <col min="12038" max="12038" width="7.7109375" style="841" customWidth="1"/>
    <col min="12039" max="12039" width="9.7109375" style="841" customWidth="1"/>
    <col min="12040" max="12040" width="7.28515625" style="841" customWidth="1"/>
    <col min="12041" max="12041" width="7.5703125" style="841" customWidth="1"/>
    <col min="12042" max="12042" width="7.7109375" style="841" customWidth="1"/>
    <col min="12043" max="12043" width="7" style="841" customWidth="1"/>
    <col min="12044" max="12044" width="7.7109375" style="841" customWidth="1"/>
    <col min="12045" max="12045" width="7" style="841" customWidth="1"/>
    <col min="12046" max="12288" width="11.5703125" style="841"/>
    <col min="12289" max="12289" width="11.42578125" style="841" customWidth="1"/>
    <col min="12290" max="12290" width="6.140625" style="841" customWidth="1"/>
    <col min="12291" max="12291" width="22.28515625" style="841" customWidth="1"/>
    <col min="12292" max="12292" width="9.28515625" style="841" customWidth="1"/>
    <col min="12293" max="12293" width="8.28515625" style="841" customWidth="1"/>
    <col min="12294" max="12294" width="7.7109375" style="841" customWidth="1"/>
    <col min="12295" max="12295" width="9.7109375" style="841" customWidth="1"/>
    <col min="12296" max="12296" width="7.28515625" style="841" customWidth="1"/>
    <col min="12297" max="12297" width="7.5703125" style="841" customWidth="1"/>
    <col min="12298" max="12298" width="7.7109375" style="841" customWidth="1"/>
    <col min="12299" max="12299" width="7" style="841" customWidth="1"/>
    <col min="12300" max="12300" width="7.7109375" style="841" customWidth="1"/>
    <col min="12301" max="12301" width="7" style="841" customWidth="1"/>
    <col min="12302" max="12544" width="11.5703125" style="841"/>
    <col min="12545" max="12545" width="11.42578125" style="841" customWidth="1"/>
    <col min="12546" max="12546" width="6.140625" style="841" customWidth="1"/>
    <col min="12547" max="12547" width="22.28515625" style="841" customWidth="1"/>
    <col min="12548" max="12548" width="9.28515625" style="841" customWidth="1"/>
    <col min="12549" max="12549" width="8.28515625" style="841" customWidth="1"/>
    <col min="12550" max="12550" width="7.7109375" style="841" customWidth="1"/>
    <col min="12551" max="12551" width="9.7109375" style="841" customWidth="1"/>
    <col min="12552" max="12552" width="7.28515625" style="841" customWidth="1"/>
    <col min="12553" max="12553" width="7.5703125" style="841" customWidth="1"/>
    <col min="12554" max="12554" width="7.7109375" style="841" customWidth="1"/>
    <col min="12555" max="12555" width="7" style="841" customWidth="1"/>
    <col min="12556" max="12556" width="7.7109375" style="841" customWidth="1"/>
    <col min="12557" max="12557" width="7" style="841" customWidth="1"/>
    <col min="12558" max="12800" width="11.5703125" style="841"/>
    <col min="12801" max="12801" width="11.42578125" style="841" customWidth="1"/>
    <col min="12802" max="12802" width="6.140625" style="841" customWidth="1"/>
    <col min="12803" max="12803" width="22.28515625" style="841" customWidth="1"/>
    <col min="12804" max="12804" width="9.28515625" style="841" customWidth="1"/>
    <col min="12805" max="12805" width="8.28515625" style="841" customWidth="1"/>
    <col min="12806" max="12806" width="7.7109375" style="841" customWidth="1"/>
    <col min="12807" max="12807" width="9.7109375" style="841" customWidth="1"/>
    <col min="12808" max="12808" width="7.28515625" style="841" customWidth="1"/>
    <col min="12809" max="12809" width="7.5703125" style="841" customWidth="1"/>
    <col min="12810" max="12810" width="7.7109375" style="841" customWidth="1"/>
    <col min="12811" max="12811" width="7" style="841" customWidth="1"/>
    <col min="12812" max="12812" width="7.7109375" style="841" customWidth="1"/>
    <col min="12813" max="12813" width="7" style="841" customWidth="1"/>
    <col min="12814" max="13056" width="11.5703125" style="841"/>
    <col min="13057" max="13057" width="11.42578125" style="841" customWidth="1"/>
    <col min="13058" max="13058" width="6.140625" style="841" customWidth="1"/>
    <col min="13059" max="13059" width="22.28515625" style="841" customWidth="1"/>
    <col min="13060" max="13060" width="9.28515625" style="841" customWidth="1"/>
    <col min="13061" max="13061" width="8.28515625" style="841" customWidth="1"/>
    <col min="13062" max="13062" width="7.7109375" style="841" customWidth="1"/>
    <col min="13063" max="13063" width="9.7109375" style="841" customWidth="1"/>
    <col min="13064" max="13064" width="7.28515625" style="841" customWidth="1"/>
    <col min="13065" max="13065" width="7.5703125" style="841" customWidth="1"/>
    <col min="13066" max="13066" width="7.7109375" style="841" customWidth="1"/>
    <col min="13067" max="13067" width="7" style="841" customWidth="1"/>
    <col min="13068" max="13068" width="7.7109375" style="841" customWidth="1"/>
    <col min="13069" max="13069" width="7" style="841" customWidth="1"/>
    <col min="13070" max="13312" width="11.5703125" style="841"/>
    <col min="13313" max="13313" width="11.42578125" style="841" customWidth="1"/>
    <col min="13314" max="13314" width="6.140625" style="841" customWidth="1"/>
    <col min="13315" max="13315" width="22.28515625" style="841" customWidth="1"/>
    <col min="13316" max="13316" width="9.28515625" style="841" customWidth="1"/>
    <col min="13317" max="13317" width="8.28515625" style="841" customWidth="1"/>
    <col min="13318" max="13318" width="7.7109375" style="841" customWidth="1"/>
    <col min="13319" max="13319" width="9.7109375" style="841" customWidth="1"/>
    <col min="13320" max="13320" width="7.28515625" style="841" customWidth="1"/>
    <col min="13321" max="13321" width="7.5703125" style="841" customWidth="1"/>
    <col min="13322" max="13322" width="7.7109375" style="841" customWidth="1"/>
    <col min="13323" max="13323" width="7" style="841" customWidth="1"/>
    <col min="13324" max="13324" width="7.7109375" style="841" customWidth="1"/>
    <col min="13325" max="13325" width="7" style="841" customWidth="1"/>
    <col min="13326" max="13568" width="11.5703125" style="841"/>
    <col min="13569" max="13569" width="11.42578125" style="841" customWidth="1"/>
    <col min="13570" max="13570" width="6.140625" style="841" customWidth="1"/>
    <col min="13571" max="13571" width="22.28515625" style="841" customWidth="1"/>
    <col min="13572" max="13572" width="9.28515625" style="841" customWidth="1"/>
    <col min="13573" max="13573" width="8.28515625" style="841" customWidth="1"/>
    <col min="13574" max="13574" width="7.7109375" style="841" customWidth="1"/>
    <col min="13575" max="13575" width="9.7109375" style="841" customWidth="1"/>
    <col min="13576" max="13576" width="7.28515625" style="841" customWidth="1"/>
    <col min="13577" max="13577" width="7.5703125" style="841" customWidth="1"/>
    <col min="13578" max="13578" width="7.7109375" style="841" customWidth="1"/>
    <col min="13579" max="13579" width="7" style="841" customWidth="1"/>
    <col min="13580" max="13580" width="7.7109375" style="841" customWidth="1"/>
    <col min="13581" max="13581" width="7" style="841" customWidth="1"/>
    <col min="13582" max="13824" width="11.5703125" style="841"/>
    <col min="13825" max="13825" width="11.42578125" style="841" customWidth="1"/>
    <col min="13826" max="13826" width="6.140625" style="841" customWidth="1"/>
    <col min="13827" max="13827" width="22.28515625" style="841" customWidth="1"/>
    <col min="13828" max="13828" width="9.28515625" style="841" customWidth="1"/>
    <col min="13829" max="13829" width="8.28515625" style="841" customWidth="1"/>
    <col min="13830" max="13830" width="7.7109375" style="841" customWidth="1"/>
    <col min="13831" max="13831" width="9.7109375" style="841" customWidth="1"/>
    <col min="13832" max="13832" width="7.28515625" style="841" customWidth="1"/>
    <col min="13833" max="13833" width="7.5703125" style="841" customWidth="1"/>
    <col min="13834" max="13834" width="7.7109375" style="841" customWidth="1"/>
    <col min="13835" max="13835" width="7" style="841" customWidth="1"/>
    <col min="13836" max="13836" width="7.7109375" style="841" customWidth="1"/>
    <col min="13837" max="13837" width="7" style="841" customWidth="1"/>
    <col min="13838" max="14080" width="11.5703125" style="841"/>
    <col min="14081" max="14081" width="11.42578125" style="841" customWidth="1"/>
    <col min="14082" max="14082" width="6.140625" style="841" customWidth="1"/>
    <col min="14083" max="14083" width="22.28515625" style="841" customWidth="1"/>
    <col min="14084" max="14084" width="9.28515625" style="841" customWidth="1"/>
    <col min="14085" max="14085" width="8.28515625" style="841" customWidth="1"/>
    <col min="14086" max="14086" width="7.7109375" style="841" customWidth="1"/>
    <col min="14087" max="14087" width="9.7109375" style="841" customWidth="1"/>
    <col min="14088" max="14088" width="7.28515625" style="841" customWidth="1"/>
    <col min="14089" max="14089" width="7.5703125" style="841" customWidth="1"/>
    <col min="14090" max="14090" width="7.7109375" style="841" customWidth="1"/>
    <col min="14091" max="14091" width="7" style="841" customWidth="1"/>
    <col min="14092" max="14092" width="7.7109375" style="841" customWidth="1"/>
    <col min="14093" max="14093" width="7" style="841" customWidth="1"/>
    <col min="14094" max="14336" width="11.5703125" style="841"/>
    <col min="14337" max="14337" width="11.42578125" style="841" customWidth="1"/>
    <col min="14338" max="14338" width="6.140625" style="841" customWidth="1"/>
    <col min="14339" max="14339" width="22.28515625" style="841" customWidth="1"/>
    <col min="14340" max="14340" width="9.28515625" style="841" customWidth="1"/>
    <col min="14341" max="14341" width="8.28515625" style="841" customWidth="1"/>
    <col min="14342" max="14342" width="7.7109375" style="841" customWidth="1"/>
    <col min="14343" max="14343" width="9.7109375" style="841" customWidth="1"/>
    <col min="14344" max="14344" width="7.28515625" style="841" customWidth="1"/>
    <col min="14345" max="14345" width="7.5703125" style="841" customWidth="1"/>
    <col min="14346" max="14346" width="7.7109375" style="841" customWidth="1"/>
    <col min="14347" max="14347" width="7" style="841" customWidth="1"/>
    <col min="14348" max="14348" width="7.7109375" style="841" customWidth="1"/>
    <col min="14349" max="14349" width="7" style="841" customWidth="1"/>
    <col min="14350" max="14592" width="11.5703125" style="841"/>
    <col min="14593" max="14593" width="11.42578125" style="841" customWidth="1"/>
    <col min="14594" max="14594" width="6.140625" style="841" customWidth="1"/>
    <col min="14595" max="14595" width="22.28515625" style="841" customWidth="1"/>
    <col min="14596" max="14596" width="9.28515625" style="841" customWidth="1"/>
    <col min="14597" max="14597" width="8.28515625" style="841" customWidth="1"/>
    <col min="14598" max="14598" width="7.7109375" style="841" customWidth="1"/>
    <col min="14599" max="14599" width="9.7109375" style="841" customWidth="1"/>
    <col min="14600" max="14600" width="7.28515625" style="841" customWidth="1"/>
    <col min="14601" max="14601" width="7.5703125" style="841" customWidth="1"/>
    <col min="14602" max="14602" width="7.7109375" style="841" customWidth="1"/>
    <col min="14603" max="14603" width="7" style="841" customWidth="1"/>
    <col min="14604" max="14604" width="7.7109375" style="841" customWidth="1"/>
    <col min="14605" max="14605" width="7" style="841" customWidth="1"/>
    <col min="14606" max="14848" width="11.5703125" style="841"/>
    <col min="14849" max="14849" width="11.42578125" style="841" customWidth="1"/>
    <col min="14850" max="14850" width="6.140625" style="841" customWidth="1"/>
    <col min="14851" max="14851" width="22.28515625" style="841" customWidth="1"/>
    <col min="14852" max="14852" width="9.28515625" style="841" customWidth="1"/>
    <col min="14853" max="14853" width="8.28515625" style="841" customWidth="1"/>
    <col min="14854" max="14854" width="7.7109375" style="841" customWidth="1"/>
    <col min="14855" max="14855" width="9.7109375" style="841" customWidth="1"/>
    <col min="14856" max="14856" width="7.28515625" style="841" customWidth="1"/>
    <col min="14857" max="14857" width="7.5703125" style="841" customWidth="1"/>
    <col min="14858" max="14858" width="7.7109375" style="841" customWidth="1"/>
    <col min="14859" max="14859" width="7" style="841" customWidth="1"/>
    <col min="14860" max="14860" width="7.7109375" style="841" customWidth="1"/>
    <col min="14861" max="14861" width="7" style="841" customWidth="1"/>
    <col min="14862" max="15104" width="11.5703125" style="841"/>
    <col min="15105" max="15105" width="11.42578125" style="841" customWidth="1"/>
    <col min="15106" max="15106" width="6.140625" style="841" customWidth="1"/>
    <col min="15107" max="15107" width="22.28515625" style="841" customWidth="1"/>
    <col min="15108" max="15108" width="9.28515625" style="841" customWidth="1"/>
    <col min="15109" max="15109" width="8.28515625" style="841" customWidth="1"/>
    <col min="15110" max="15110" width="7.7109375" style="841" customWidth="1"/>
    <col min="15111" max="15111" width="9.7109375" style="841" customWidth="1"/>
    <col min="15112" max="15112" width="7.28515625" style="841" customWidth="1"/>
    <col min="15113" max="15113" width="7.5703125" style="841" customWidth="1"/>
    <col min="15114" max="15114" width="7.7109375" style="841" customWidth="1"/>
    <col min="15115" max="15115" width="7" style="841" customWidth="1"/>
    <col min="15116" max="15116" width="7.7109375" style="841" customWidth="1"/>
    <col min="15117" max="15117" width="7" style="841" customWidth="1"/>
    <col min="15118" max="15360" width="11.5703125" style="841"/>
    <col min="15361" max="15361" width="11.42578125" style="841" customWidth="1"/>
    <col min="15362" max="15362" width="6.140625" style="841" customWidth="1"/>
    <col min="15363" max="15363" width="22.28515625" style="841" customWidth="1"/>
    <col min="15364" max="15364" width="9.28515625" style="841" customWidth="1"/>
    <col min="15365" max="15365" width="8.28515625" style="841" customWidth="1"/>
    <col min="15366" max="15366" width="7.7109375" style="841" customWidth="1"/>
    <col min="15367" max="15367" width="9.7109375" style="841" customWidth="1"/>
    <col min="15368" max="15368" width="7.28515625" style="841" customWidth="1"/>
    <col min="15369" max="15369" width="7.5703125" style="841" customWidth="1"/>
    <col min="15370" max="15370" width="7.7109375" style="841" customWidth="1"/>
    <col min="15371" max="15371" width="7" style="841" customWidth="1"/>
    <col min="15372" max="15372" width="7.7109375" style="841" customWidth="1"/>
    <col min="15373" max="15373" width="7" style="841" customWidth="1"/>
    <col min="15374" max="15616" width="11.5703125" style="841"/>
    <col min="15617" max="15617" width="11.42578125" style="841" customWidth="1"/>
    <col min="15618" max="15618" width="6.140625" style="841" customWidth="1"/>
    <col min="15619" max="15619" width="22.28515625" style="841" customWidth="1"/>
    <col min="15620" max="15620" width="9.28515625" style="841" customWidth="1"/>
    <col min="15621" max="15621" width="8.28515625" style="841" customWidth="1"/>
    <col min="15622" max="15622" width="7.7109375" style="841" customWidth="1"/>
    <col min="15623" max="15623" width="9.7109375" style="841" customWidth="1"/>
    <col min="15624" max="15624" width="7.28515625" style="841" customWidth="1"/>
    <col min="15625" max="15625" width="7.5703125" style="841" customWidth="1"/>
    <col min="15626" max="15626" width="7.7109375" style="841" customWidth="1"/>
    <col min="15627" max="15627" width="7" style="841" customWidth="1"/>
    <col min="15628" max="15628" width="7.7109375" style="841" customWidth="1"/>
    <col min="15629" max="15629" width="7" style="841" customWidth="1"/>
    <col min="15630" max="15872" width="11.5703125" style="841"/>
    <col min="15873" max="15873" width="11.42578125" style="841" customWidth="1"/>
    <col min="15874" max="15874" width="6.140625" style="841" customWidth="1"/>
    <col min="15875" max="15875" width="22.28515625" style="841" customWidth="1"/>
    <col min="15876" max="15876" width="9.28515625" style="841" customWidth="1"/>
    <col min="15877" max="15877" width="8.28515625" style="841" customWidth="1"/>
    <col min="15878" max="15878" width="7.7109375" style="841" customWidth="1"/>
    <col min="15879" max="15879" width="9.7109375" style="841" customWidth="1"/>
    <col min="15880" max="15880" width="7.28515625" style="841" customWidth="1"/>
    <col min="15881" max="15881" width="7.5703125" style="841" customWidth="1"/>
    <col min="15882" max="15882" width="7.7109375" style="841" customWidth="1"/>
    <col min="15883" max="15883" width="7" style="841" customWidth="1"/>
    <col min="15884" max="15884" width="7.7109375" style="841" customWidth="1"/>
    <col min="15885" max="15885" width="7" style="841" customWidth="1"/>
    <col min="15886" max="16128" width="11.5703125" style="841"/>
    <col min="16129" max="16129" width="11.42578125" style="841" customWidth="1"/>
    <col min="16130" max="16130" width="6.140625" style="841" customWidth="1"/>
    <col min="16131" max="16131" width="22.28515625" style="841" customWidth="1"/>
    <col min="16132" max="16132" width="9.28515625" style="841" customWidth="1"/>
    <col min="16133" max="16133" width="8.28515625" style="841" customWidth="1"/>
    <col min="16134" max="16134" width="7.7109375" style="841" customWidth="1"/>
    <col min="16135" max="16135" width="9.7109375" style="841" customWidth="1"/>
    <col min="16136" max="16136" width="7.28515625" style="841" customWidth="1"/>
    <col min="16137" max="16137" width="7.5703125" style="841" customWidth="1"/>
    <col min="16138" max="16138" width="7.7109375" style="841" customWidth="1"/>
    <col min="16139" max="16139" width="7" style="841" customWidth="1"/>
    <col min="16140" max="16140" width="7.7109375" style="841" customWidth="1"/>
    <col min="16141" max="16141" width="7" style="841" customWidth="1"/>
    <col min="16142" max="16384" width="11.5703125" style="841"/>
  </cols>
  <sheetData>
    <row r="1" spans="1:15" ht="26.25" customHeight="1" x14ac:dyDescent="0.4">
      <c r="A1" s="909" t="s">
        <v>1667</v>
      </c>
      <c r="B1" s="910"/>
      <c r="C1" s="911"/>
      <c r="F1" s="912" t="s">
        <v>1815</v>
      </c>
      <c r="G1" s="913"/>
      <c r="H1" s="913"/>
      <c r="I1" s="913"/>
      <c r="J1" s="913"/>
      <c r="K1" s="913"/>
      <c r="L1" s="914"/>
    </row>
    <row r="2" spans="1:15" ht="21" customHeight="1" x14ac:dyDescent="0.35">
      <c r="A2" s="905" t="s">
        <v>1669</v>
      </c>
      <c r="B2" s="906"/>
      <c r="C2" s="842" t="s">
        <v>1670</v>
      </c>
      <c r="F2" s="905" t="s">
        <v>1669</v>
      </c>
      <c r="G2" s="906"/>
      <c r="H2" s="907" t="s">
        <v>1681</v>
      </c>
      <c r="I2" s="907"/>
      <c r="J2" s="907"/>
      <c r="K2" s="907"/>
      <c r="L2" s="908"/>
    </row>
    <row r="3" spans="1:15" ht="21.75" customHeight="1" x14ac:dyDescent="0.35">
      <c r="A3" s="905" t="s">
        <v>1671</v>
      </c>
      <c r="B3" s="906"/>
      <c r="C3" s="842" t="s">
        <v>1672</v>
      </c>
      <c r="F3" s="905" t="s">
        <v>1671</v>
      </c>
      <c r="G3" s="906"/>
      <c r="H3" s="907" t="s">
        <v>1682</v>
      </c>
      <c r="I3" s="907"/>
      <c r="J3" s="907"/>
      <c r="K3" s="907"/>
      <c r="L3" s="908"/>
    </row>
    <row r="4" spans="1:15" ht="21.75" thickBot="1" x14ac:dyDescent="0.4">
      <c r="A4" s="915" t="s">
        <v>1673</v>
      </c>
      <c r="B4" s="916"/>
      <c r="C4" s="843" t="s">
        <v>1674</v>
      </c>
      <c r="F4" s="915" t="s">
        <v>1673</v>
      </c>
      <c r="G4" s="916"/>
      <c r="H4" s="917" t="s">
        <v>1816</v>
      </c>
      <c r="I4" s="917"/>
      <c r="J4" s="917"/>
      <c r="K4" s="917"/>
      <c r="L4" s="918"/>
    </row>
    <row r="5" spans="1:15" ht="7.5" customHeight="1" thickBot="1" x14ac:dyDescent="0.4">
      <c r="A5" s="844"/>
      <c r="C5" s="844"/>
    </row>
    <row r="6" spans="1:15" ht="35.450000000000003" customHeight="1" thickBot="1" x14ac:dyDescent="0.25">
      <c r="A6" s="919" t="s">
        <v>1668</v>
      </c>
      <c r="B6" s="920"/>
      <c r="C6" s="921"/>
      <c r="F6" s="922" t="s">
        <v>1675</v>
      </c>
      <c r="G6" s="923"/>
      <c r="H6" s="924"/>
      <c r="I6" s="925">
        <f ca="1">+TODAY()</f>
        <v>46099</v>
      </c>
      <c r="J6" s="926"/>
      <c r="K6" s="926"/>
      <c r="L6" s="926"/>
      <c r="M6" s="927"/>
    </row>
    <row r="7" spans="1:15" ht="3" customHeight="1" thickBot="1" x14ac:dyDescent="0.25"/>
    <row r="8" spans="1:15" ht="42.75" customHeight="1" thickBot="1" x14ac:dyDescent="0.25">
      <c r="A8" s="935" t="s">
        <v>1676</v>
      </c>
      <c r="B8" s="936"/>
      <c r="C8" s="845" t="s">
        <v>1817</v>
      </c>
      <c r="D8" s="846" t="s">
        <v>1677</v>
      </c>
      <c r="E8" s="847">
        <v>2983</v>
      </c>
      <c r="F8" s="935" t="s">
        <v>1678</v>
      </c>
      <c r="G8" s="937"/>
      <c r="H8" s="936"/>
      <c r="I8" s="938" t="s">
        <v>1682</v>
      </c>
      <c r="J8" s="939"/>
      <c r="K8" s="939"/>
      <c r="L8" s="939"/>
      <c r="M8" s="940"/>
    </row>
    <row r="9" spans="1:15" ht="7.5" customHeight="1" thickBot="1" x14ac:dyDescent="0.4">
      <c r="A9" s="844"/>
      <c r="C9" s="844"/>
    </row>
    <row r="10" spans="1:15" ht="39.6" customHeight="1" thickBot="1" x14ac:dyDescent="0.25">
      <c r="A10" s="941" t="s">
        <v>1818</v>
      </c>
      <c r="B10" s="942"/>
      <c r="C10" s="942"/>
      <c r="D10" s="942"/>
      <c r="E10" s="942"/>
      <c r="F10" s="942"/>
      <c r="G10" s="942"/>
      <c r="H10" s="942"/>
      <c r="I10" s="942"/>
      <c r="J10" s="942"/>
      <c r="K10" s="942"/>
      <c r="L10" s="942"/>
      <c r="M10" s="943"/>
    </row>
    <row r="11" spans="1:15" ht="6" customHeight="1" thickBot="1" x14ac:dyDescent="0.4">
      <c r="A11" s="844"/>
      <c r="C11" s="844"/>
    </row>
    <row r="12" spans="1:15" ht="27" thickBot="1" x14ac:dyDescent="0.25">
      <c r="A12" s="944" t="s">
        <v>1679</v>
      </c>
      <c r="B12" s="945"/>
      <c r="C12" s="945"/>
      <c r="D12" s="945"/>
      <c r="E12" s="945"/>
      <c r="F12" s="945"/>
      <c r="G12" s="945"/>
      <c r="H12" s="945"/>
      <c r="I12" s="945"/>
      <c r="J12" s="945"/>
      <c r="K12" s="945"/>
      <c r="L12" s="945"/>
      <c r="M12" s="946"/>
    </row>
    <row r="13" spans="1:15" ht="38.25" thickBot="1" x14ac:dyDescent="0.25">
      <c r="A13" s="848" t="s">
        <v>1293</v>
      </c>
      <c r="B13" s="849" t="s">
        <v>1664</v>
      </c>
      <c r="C13" s="850" t="s">
        <v>1819</v>
      </c>
      <c r="D13" s="851" t="s">
        <v>1401</v>
      </c>
      <c r="E13" s="852" t="s">
        <v>1820</v>
      </c>
      <c r="F13" s="852" t="s">
        <v>1826</v>
      </c>
      <c r="G13" s="853" t="s">
        <v>1822</v>
      </c>
      <c r="H13" s="849" t="s">
        <v>1823</v>
      </c>
      <c r="I13" s="849" t="s">
        <v>1827</v>
      </c>
      <c r="J13" s="849" t="s">
        <v>1823</v>
      </c>
      <c r="K13" s="849" t="s">
        <v>1827</v>
      </c>
      <c r="L13" s="849" t="s">
        <v>1823</v>
      </c>
      <c r="M13" s="849" t="s">
        <v>1827</v>
      </c>
    </row>
    <row r="14" spans="1:15" ht="33.6" customHeight="1" x14ac:dyDescent="0.2">
      <c r="A14" s="928" t="str" cm="1">
        <f t="array" ref="A14">+IFERROR(INDEX('Pedido VACIO'!$B:$B,MATCH(1,('Pedido VACIO'!$H:$H=$B14)*('Pedido VACIO'!$A:$A="Packaging y Serv"),0)),"")</f>
        <v/>
      </c>
      <c r="B14" s="930">
        <v>1</v>
      </c>
      <c r="C14" s="932" t="str" cm="1">
        <f t="array" ref="C14">+IFERROR(INDEX('Pedido VACIO'!$F:$F,MATCH(1,('Pedido VACIO'!$H:$H=$B14)*('Pedido VACIO'!$A:$A="Packaging y Serv"),0)),"")</f>
        <v/>
      </c>
      <c r="D14" s="932" t="str" cm="1">
        <f t="array" ref="D14">+IFERROR(INDEX('Pedido VACIO'!$G:$G,MATCH(1,('Pedido VACIO'!$H:$H=$B14)*('Pedido VACIO'!$A:$A="Packaging y Serv"),0)),"")</f>
        <v/>
      </c>
      <c r="E14" s="854" t="str">
        <f>+IF(E13="LK","CH",IF(D14="","",IF(D14&gt;0,"LK","CH")))</f>
        <v/>
      </c>
      <c r="F14" s="854" t="str">
        <f>+IF(OR(E14="LK"),ROUNDUP(D14*0.7/25,0)*25,IF(E14="CH",D13-F13,""))</f>
        <v/>
      </c>
      <c r="G14" s="934"/>
      <c r="H14" s="856"/>
      <c r="I14" s="857"/>
      <c r="J14" s="856"/>
      <c r="K14" s="857"/>
      <c r="L14" s="856"/>
      <c r="M14" s="858"/>
      <c r="O14" s="859"/>
    </row>
    <row r="15" spans="1:15" ht="33.6" customHeight="1" x14ac:dyDescent="0.2">
      <c r="A15" s="929"/>
      <c r="B15" s="931"/>
      <c r="C15" s="933"/>
      <c r="D15" s="933"/>
      <c r="E15" s="860" t="str">
        <f t="shared" ref="E15:E43" si="0">+IF(E14="LK","CH",IF(D15="","",IF(D15&gt;0,"LK","CH")))</f>
        <v/>
      </c>
      <c r="F15" s="854" t="str">
        <f>+IF(OR(E15="LK"),ROUNDUP(D15*0.7/25,0)*25,IF(E15="CH",D14-F14,""))</f>
        <v/>
      </c>
      <c r="G15" s="931"/>
      <c r="H15" s="861"/>
      <c r="I15" s="862"/>
      <c r="J15" s="861"/>
      <c r="K15" s="862"/>
      <c r="L15" s="861"/>
      <c r="M15" s="863"/>
    </row>
    <row r="16" spans="1:15" ht="33.6" customHeight="1" x14ac:dyDescent="0.2">
      <c r="A16" s="947" t="str" cm="1">
        <f t="array" ref="A16">+IFERROR(INDEX('Pedido VACIO'!$B:$B,MATCH(1,('Pedido VACIO'!$H:$H=$B16)*('Pedido VACIO'!$A:$A="Packaging y Serv"),0)),"")</f>
        <v/>
      </c>
      <c r="B16" s="931">
        <f>+B14+1</f>
        <v>2</v>
      </c>
      <c r="C16" s="948" t="str" cm="1">
        <f t="array" ref="C16">+IFERROR(INDEX('Pedido VACIO'!$F:$F,MATCH(1,('Pedido VACIO'!$H:$H=$B16)*('Pedido VACIO'!$A:$A="Packaging y Serv"),0)),"")</f>
        <v/>
      </c>
      <c r="D16" s="949" t="str" cm="1">
        <f t="array" ref="D16">+IFERROR(INDEX('Pedido VACIO'!$G:$G,MATCH(1,('Pedido VACIO'!$H:$H=$B16)*('Pedido VACIO'!$A:$A="Packaging y Serv"),0)),"")</f>
        <v/>
      </c>
      <c r="E16" s="860" t="str">
        <f t="shared" si="0"/>
        <v/>
      </c>
      <c r="F16" s="854" t="str">
        <f t="shared" ref="F16:F43" si="1">+IF(OR(E16="LK"),ROUNDUP(D16*0.7/25,0)*25,IF(E16="CH",D15-F15,""))</f>
        <v/>
      </c>
      <c r="G16" s="931"/>
      <c r="H16" s="862"/>
      <c r="I16" s="862"/>
      <c r="J16" s="862"/>
      <c r="K16" s="862"/>
      <c r="L16" s="862"/>
      <c r="M16" s="863"/>
    </row>
    <row r="17" spans="1:13" ht="33.6" customHeight="1" x14ac:dyDescent="0.2">
      <c r="A17" s="947"/>
      <c r="B17" s="931"/>
      <c r="C17" s="948"/>
      <c r="D17" s="949"/>
      <c r="E17" s="860" t="str">
        <f t="shared" si="0"/>
        <v/>
      </c>
      <c r="F17" s="854" t="str">
        <f t="shared" si="1"/>
        <v/>
      </c>
      <c r="G17" s="931"/>
      <c r="H17" s="862"/>
      <c r="I17" s="862"/>
      <c r="J17" s="862"/>
      <c r="K17" s="862"/>
      <c r="L17" s="862"/>
      <c r="M17" s="863"/>
    </row>
    <row r="18" spans="1:13" ht="33.6" customHeight="1" x14ac:dyDescent="0.2">
      <c r="A18" s="947" t="str" cm="1">
        <f t="array" ref="A18">+IFERROR(INDEX('Pedido VACIO'!$B:$B,MATCH(1,('Pedido VACIO'!$H:$H=$B18)*('Pedido VACIO'!$A:$A="Packaging y Serv"),0)),"")</f>
        <v/>
      </c>
      <c r="B18" s="931">
        <f>+B16+1</f>
        <v>3</v>
      </c>
      <c r="C18" s="948" t="str" cm="1">
        <f t="array" ref="C18">+IFERROR(INDEX('Pedido VACIO'!$F:$F,MATCH(1,('Pedido VACIO'!$H:$H=$B18)*('Pedido VACIO'!$A:$A="Packaging y Serv"),0)),"")</f>
        <v/>
      </c>
      <c r="D18" s="931" t="str" cm="1">
        <f t="array" ref="D18">+IFERROR(INDEX('Pedido VACIO'!$G:$G,MATCH(1,('Pedido VACIO'!$H:$H=$B18)*('Pedido VACIO'!$A:$A="Packaging y Serv"),0)),"")</f>
        <v/>
      </c>
      <c r="E18" s="860" t="str">
        <f t="shared" si="0"/>
        <v/>
      </c>
      <c r="F18" s="854" t="str">
        <f t="shared" si="1"/>
        <v/>
      </c>
      <c r="G18" s="931"/>
      <c r="H18" s="862"/>
      <c r="I18" s="862"/>
      <c r="J18" s="862"/>
      <c r="K18" s="862"/>
      <c r="L18" s="862"/>
      <c r="M18" s="863"/>
    </row>
    <row r="19" spans="1:13" ht="33.6" customHeight="1" x14ac:dyDescent="0.2">
      <c r="A19" s="947"/>
      <c r="B19" s="931"/>
      <c r="C19" s="948"/>
      <c r="D19" s="931"/>
      <c r="E19" s="860" t="str">
        <f t="shared" si="0"/>
        <v/>
      </c>
      <c r="F19" s="854" t="str">
        <f t="shared" si="1"/>
        <v/>
      </c>
      <c r="G19" s="931"/>
      <c r="H19" s="862"/>
      <c r="I19" s="862"/>
      <c r="J19" s="862"/>
      <c r="K19" s="862"/>
      <c r="L19" s="862"/>
      <c r="M19" s="863"/>
    </row>
    <row r="20" spans="1:13" ht="33.6" customHeight="1" x14ac:dyDescent="0.2">
      <c r="A20" s="947" t="str" cm="1">
        <f t="array" ref="A20">+IFERROR(INDEX('Pedido VACIO'!$B:$B,MATCH(1,('Pedido VACIO'!$H:$H=$B20)*('Pedido VACIO'!$A:$A="Packaging y Serv"),0)),"")</f>
        <v/>
      </c>
      <c r="B20" s="931">
        <f>+B18+1</f>
        <v>4</v>
      </c>
      <c r="C20" s="948" t="str" cm="1">
        <f t="array" ref="C20">+IFERROR(INDEX('Pedido VACIO'!$F:$F,MATCH(1,('Pedido VACIO'!$H:$H=$B20)*('Pedido VACIO'!$A:$A="Packaging y Serv"),0)),"")</f>
        <v/>
      </c>
      <c r="D20" s="931" t="str" cm="1">
        <f t="array" ref="D20">+IFERROR(INDEX('Pedido VACIO'!$G:$G,MATCH(1,('Pedido VACIO'!$H:$H=$B20)*('Pedido VACIO'!$A:$A="Packaging y Serv"),0)),"")</f>
        <v/>
      </c>
      <c r="E20" s="860" t="str">
        <f t="shared" si="0"/>
        <v/>
      </c>
      <c r="F20" s="854" t="str">
        <f t="shared" si="1"/>
        <v/>
      </c>
      <c r="G20" s="931"/>
      <c r="H20" s="862"/>
      <c r="I20" s="862"/>
      <c r="J20" s="862"/>
      <c r="K20" s="862"/>
      <c r="L20" s="862"/>
      <c r="M20" s="863"/>
    </row>
    <row r="21" spans="1:13" ht="33.6" customHeight="1" x14ac:dyDescent="0.2">
      <c r="A21" s="947"/>
      <c r="B21" s="931"/>
      <c r="C21" s="948"/>
      <c r="D21" s="931"/>
      <c r="E21" s="860" t="str">
        <f t="shared" si="0"/>
        <v/>
      </c>
      <c r="F21" s="854" t="str">
        <f t="shared" si="1"/>
        <v/>
      </c>
      <c r="G21" s="931"/>
      <c r="H21" s="862"/>
      <c r="I21" s="862"/>
      <c r="J21" s="862"/>
      <c r="K21" s="862"/>
      <c r="L21" s="862"/>
      <c r="M21" s="863"/>
    </row>
    <row r="22" spans="1:13" ht="33.6" customHeight="1" x14ac:dyDescent="0.2">
      <c r="A22" s="947" t="str" cm="1">
        <f t="array" ref="A22">+IFERROR(INDEX('Pedido VACIO'!$B:$B,MATCH(1,('Pedido VACIO'!$H:$H=$B22)*('Pedido VACIO'!$A:$A="Packaging y Serv"),0)),"")</f>
        <v/>
      </c>
      <c r="B22" s="931">
        <f>+B20+1</f>
        <v>5</v>
      </c>
      <c r="C22" s="948" t="str" cm="1">
        <f t="array" ref="C22">+IFERROR(INDEX('Pedido VACIO'!$F:$F,MATCH(1,('Pedido VACIO'!$H:$H=$B22)*('Pedido VACIO'!$A:$A="Packaging y Serv"),0)),"")</f>
        <v/>
      </c>
      <c r="D22" s="931" t="str" cm="1">
        <f t="array" ref="D22">+IFERROR(INDEX('Pedido VACIO'!$G:$G,MATCH(1,('Pedido VACIO'!$H:$H=$B22)*('Pedido VACIO'!$A:$A="Packaging y Serv"),0)),"")</f>
        <v/>
      </c>
      <c r="E22" s="860" t="str">
        <f t="shared" si="0"/>
        <v/>
      </c>
      <c r="F22" s="854" t="str">
        <f t="shared" si="1"/>
        <v/>
      </c>
      <c r="G22" s="931"/>
      <c r="H22" s="862"/>
      <c r="I22" s="862"/>
      <c r="J22" s="862"/>
      <c r="K22" s="862"/>
      <c r="L22" s="862"/>
      <c r="M22" s="863"/>
    </row>
    <row r="23" spans="1:13" ht="33.6" customHeight="1" x14ac:dyDescent="0.2">
      <c r="A23" s="947"/>
      <c r="B23" s="931"/>
      <c r="C23" s="948"/>
      <c r="D23" s="931"/>
      <c r="E23" s="860" t="str">
        <f t="shared" si="0"/>
        <v/>
      </c>
      <c r="F23" s="854" t="str">
        <f t="shared" si="1"/>
        <v/>
      </c>
      <c r="G23" s="931"/>
      <c r="H23" s="862"/>
      <c r="I23" s="862"/>
      <c r="J23" s="862"/>
      <c r="K23" s="862"/>
      <c r="L23" s="862"/>
      <c r="M23" s="863"/>
    </row>
    <row r="24" spans="1:13" ht="33.6" customHeight="1" x14ac:dyDescent="0.2">
      <c r="A24" s="947" t="str" cm="1">
        <f t="array" ref="A24">+IFERROR(INDEX('Pedido VACIO'!$B:$B,MATCH(1,('Pedido VACIO'!$H:$H=$B24)*('Pedido VACIO'!$A:$A="Packaging y Serv"),0)),"")</f>
        <v/>
      </c>
      <c r="B24" s="931">
        <f>+B22+1</f>
        <v>6</v>
      </c>
      <c r="C24" s="948" t="str" cm="1">
        <f t="array" ref="C24">+IFERROR(INDEX('Pedido VACIO'!$F:$F,MATCH(1,('Pedido VACIO'!$H:$H=$B24)*('Pedido VACIO'!$A:$A="Packaging y Serv"),0)),"")</f>
        <v/>
      </c>
      <c r="D24" s="931" t="str" cm="1">
        <f t="array" ref="D24">+IFERROR(INDEX('Pedido VACIO'!$G:$G,MATCH(1,('Pedido VACIO'!$H:$H=$B24)*('Pedido VACIO'!$A:$A="Packaging y Serv"),0)),"")</f>
        <v/>
      </c>
      <c r="E24" s="860" t="str">
        <f t="shared" si="0"/>
        <v/>
      </c>
      <c r="F24" s="854" t="str">
        <f t="shared" si="1"/>
        <v/>
      </c>
      <c r="G24" s="931"/>
      <c r="H24" s="862"/>
      <c r="I24" s="862"/>
      <c r="J24" s="862"/>
      <c r="K24" s="862"/>
      <c r="L24" s="862"/>
      <c r="M24" s="863"/>
    </row>
    <row r="25" spans="1:13" ht="33.6" customHeight="1" x14ac:dyDescent="0.2">
      <c r="A25" s="947"/>
      <c r="B25" s="931"/>
      <c r="C25" s="948"/>
      <c r="D25" s="931"/>
      <c r="E25" s="860" t="str">
        <f t="shared" si="0"/>
        <v/>
      </c>
      <c r="F25" s="854" t="str">
        <f t="shared" si="1"/>
        <v/>
      </c>
      <c r="G25" s="931"/>
      <c r="H25" s="862"/>
      <c r="I25" s="862"/>
      <c r="J25" s="862"/>
      <c r="K25" s="862"/>
      <c r="L25" s="862"/>
      <c r="M25" s="863"/>
    </row>
    <row r="26" spans="1:13" ht="33.6" customHeight="1" x14ac:dyDescent="0.2">
      <c r="A26" s="947" t="str" cm="1">
        <f t="array" ref="A26">+IFERROR(INDEX('Pedido VACIO'!$B:$B,MATCH(1,('Pedido VACIO'!$H:$H=$B26)*('Pedido VACIO'!$A:$A="Packaging y Serv"),0)),"")</f>
        <v/>
      </c>
      <c r="B26" s="931">
        <f>+B24+1</f>
        <v>7</v>
      </c>
      <c r="C26" s="948" t="str" cm="1">
        <f t="array" ref="C26">+IFERROR(INDEX('Pedido VACIO'!$F:$F,MATCH(1,('Pedido VACIO'!$H:$H=$B26)*('Pedido VACIO'!$A:$A="Packaging y Serv"),0)),"")</f>
        <v/>
      </c>
      <c r="D26" s="931" t="str" cm="1">
        <f t="array" ref="D26">+IFERROR(INDEX('Pedido VACIO'!$G:$G,MATCH(1,('Pedido VACIO'!$H:$H=$B26)*('Pedido VACIO'!$A:$A="Packaging y Serv"),0)),"")</f>
        <v/>
      </c>
      <c r="E26" s="860" t="str">
        <f t="shared" si="0"/>
        <v/>
      </c>
      <c r="F26" s="854" t="str">
        <f t="shared" si="1"/>
        <v/>
      </c>
      <c r="G26" s="931"/>
      <c r="H26" s="862"/>
      <c r="I26" s="862"/>
      <c r="J26" s="862"/>
      <c r="K26" s="862"/>
      <c r="L26" s="862"/>
      <c r="M26" s="863"/>
    </row>
    <row r="27" spans="1:13" ht="33.6" customHeight="1" x14ac:dyDescent="0.2">
      <c r="A27" s="947"/>
      <c r="B27" s="931"/>
      <c r="C27" s="948"/>
      <c r="D27" s="931"/>
      <c r="E27" s="860" t="str">
        <f t="shared" si="0"/>
        <v/>
      </c>
      <c r="F27" s="854" t="str">
        <f t="shared" si="1"/>
        <v/>
      </c>
      <c r="G27" s="931"/>
      <c r="H27" s="862"/>
      <c r="I27" s="862"/>
      <c r="J27" s="862"/>
      <c r="K27" s="862"/>
      <c r="L27" s="862"/>
      <c r="M27" s="863"/>
    </row>
    <row r="28" spans="1:13" ht="33.6" customHeight="1" x14ac:dyDescent="0.2">
      <c r="A28" s="947" t="str" cm="1">
        <f t="array" ref="A28">+IFERROR(INDEX('Pedido VACIO'!$B:$B,MATCH(1,('Pedido VACIO'!$H:$H=$B28)*('Pedido VACIO'!$A:$A="Packaging y Serv"),0)),"")</f>
        <v/>
      </c>
      <c r="B28" s="931">
        <f>+B26+1</f>
        <v>8</v>
      </c>
      <c r="C28" s="948" t="str" cm="1">
        <f t="array" ref="C28">+IFERROR(INDEX('Pedido VACIO'!$F:$F,MATCH(1,('Pedido VACIO'!$H:$H=$B28)*('Pedido VACIO'!$A:$A="Packaging y Serv"),0)),"")</f>
        <v/>
      </c>
      <c r="D28" s="931" t="str" cm="1">
        <f t="array" ref="D28">+IFERROR(INDEX('Pedido VACIO'!$G:$G,MATCH(1,('Pedido VACIO'!$H:$H=$B28)*('Pedido VACIO'!$A:$A="Packaging y Serv"),0)),"")</f>
        <v/>
      </c>
      <c r="E28" s="860" t="str">
        <f t="shared" si="0"/>
        <v/>
      </c>
      <c r="F28" s="854" t="str">
        <f t="shared" si="1"/>
        <v/>
      </c>
      <c r="G28" s="931"/>
      <c r="H28" s="862"/>
      <c r="I28" s="862"/>
      <c r="J28" s="862"/>
      <c r="K28" s="862"/>
      <c r="L28" s="862"/>
      <c r="M28" s="863"/>
    </row>
    <row r="29" spans="1:13" ht="33.6" customHeight="1" x14ac:dyDescent="0.2">
      <c r="A29" s="947"/>
      <c r="B29" s="931"/>
      <c r="C29" s="948"/>
      <c r="D29" s="931"/>
      <c r="E29" s="860" t="str">
        <f t="shared" si="0"/>
        <v/>
      </c>
      <c r="F29" s="854" t="str">
        <f t="shared" si="1"/>
        <v/>
      </c>
      <c r="G29" s="931"/>
      <c r="H29" s="862"/>
      <c r="I29" s="862"/>
      <c r="J29" s="862"/>
      <c r="K29" s="862"/>
      <c r="L29" s="862"/>
      <c r="M29" s="863"/>
    </row>
    <row r="30" spans="1:13" ht="33.6" customHeight="1" x14ac:dyDescent="0.2">
      <c r="A30" s="947" t="str" cm="1">
        <f t="array" ref="A30">+IFERROR(INDEX('Pedido VACIO'!$B:$B,MATCH(1,('Pedido VACIO'!$H:$H=$B30)*('Pedido VACIO'!$A:$A="Packaging y Serv"),0)),"")</f>
        <v/>
      </c>
      <c r="B30" s="931">
        <f>+B28+1</f>
        <v>9</v>
      </c>
      <c r="C30" s="948" t="str" cm="1">
        <f t="array" ref="C30">+IFERROR(INDEX('Pedido VACIO'!$F:$F,MATCH(1,('Pedido VACIO'!$H:$H=$B30)*('Pedido VACIO'!$A:$A="Packaging y Serv"),0)),"")</f>
        <v/>
      </c>
      <c r="D30" s="931" t="str" cm="1">
        <f t="array" ref="D30">+IFERROR(INDEX('Pedido VACIO'!$G:$G,MATCH(1,('Pedido VACIO'!$H:$H=$B30)*('Pedido VACIO'!$A:$A="Packaging y Serv"),0)),"")</f>
        <v/>
      </c>
      <c r="E30" s="860" t="str">
        <f t="shared" si="0"/>
        <v/>
      </c>
      <c r="F30" s="854" t="str">
        <f t="shared" si="1"/>
        <v/>
      </c>
      <c r="G30" s="931"/>
      <c r="H30" s="862"/>
      <c r="I30" s="862"/>
      <c r="J30" s="862"/>
      <c r="K30" s="862"/>
      <c r="L30" s="862"/>
      <c r="M30" s="863"/>
    </row>
    <row r="31" spans="1:13" ht="33.6" customHeight="1" x14ac:dyDescent="0.2">
      <c r="A31" s="947"/>
      <c r="B31" s="931"/>
      <c r="C31" s="948"/>
      <c r="D31" s="931"/>
      <c r="E31" s="860" t="str">
        <f t="shared" si="0"/>
        <v/>
      </c>
      <c r="F31" s="854" t="str">
        <f t="shared" si="1"/>
        <v/>
      </c>
      <c r="G31" s="931"/>
      <c r="H31" s="862"/>
      <c r="I31" s="862"/>
      <c r="J31" s="862"/>
      <c r="K31" s="862"/>
      <c r="L31" s="862"/>
      <c r="M31" s="863"/>
    </row>
    <row r="32" spans="1:13" ht="33.6" customHeight="1" x14ac:dyDescent="0.2">
      <c r="A32" s="947" t="str" cm="1">
        <f t="array" ref="A32">+IFERROR(INDEX('Pedido VACIO'!$B:$B,MATCH(1,('Pedido VACIO'!$H:$H=$B32)*('Pedido VACIO'!$A:$A="Packaging y Serv"),0)),"")</f>
        <v/>
      </c>
      <c r="B32" s="931">
        <f>+B30+1</f>
        <v>10</v>
      </c>
      <c r="C32" s="948" t="str" cm="1">
        <f t="array" ref="C32">+IFERROR(INDEX('Pedido VACIO'!$F:$F,MATCH(1,('Pedido VACIO'!$H:$H=$B32)*('Pedido VACIO'!$A:$A="Packaging y Serv"),0)),"")</f>
        <v/>
      </c>
      <c r="D32" s="931" t="str" cm="1">
        <f t="array" ref="D32">+IFERROR(INDEX('Pedido VACIO'!$G:$G,MATCH(1,('Pedido VACIO'!$H:$H=$B32)*('Pedido VACIO'!$A:$A="Packaging y Serv"),0)),"")</f>
        <v/>
      </c>
      <c r="E32" s="860" t="str">
        <f t="shared" si="0"/>
        <v/>
      </c>
      <c r="F32" s="854" t="str">
        <f t="shared" si="1"/>
        <v/>
      </c>
      <c r="G32" s="931"/>
      <c r="H32" s="862"/>
      <c r="I32" s="862"/>
      <c r="J32" s="862"/>
      <c r="K32" s="862"/>
      <c r="L32" s="862"/>
      <c r="M32" s="863"/>
    </row>
    <row r="33" spans="1:13" ht="33.6" customHeight="1" x14ac:dyDescent="0.2">
      <c r="A33" s="947"/>
      <c r="B33" s="931"/>
      <c r="C33" s="948"/>
      <c r="D33" s="931"/>
      <c r="E33" s="860" t="str">
        <f t="shared" si="0"/>
        <v/>
      </c>
      <c r="F33" s="854" t="str">
        <f t="shared" si="1"/>
        <v/>
      </c>
      <c r="G33" s="931"/>
      <c r="H33" s="862"/>
      <c r="I33" s="862"/>
      <c r="J33" s="862"/>
      <c r="K33" s="862"/>
      <c r="L33" s="862"/>
      <c r="M33" s="863"/>
    </row>
    <row r="34" spans="1:13" ht="33.6" customHeight="1" x14ac:dyDescent="0.2">
      <c r="A34" s="947" t="str" cm="1">
        <f t="array" ref="A34">+IFERROR(INDEX('Pedido VACIO'!$B:$B,MATCH(1,('Pedido VACIO'!$H:$H=$B34)*('Pedido VACIO'!$A:$A="Packaging y Serv"),0)),"")</f>
        <v/>
      </c>
      <c r="B34" s="931">
        <f>+B32+1</f>
        <v>11</v>
      </c>
      <c r="C34" s="948" t="str" cm="1">
        <f t="array" ref="C34">+IFERROR(INDEX('Pedido VACIO'!$F:$F,MATCH(1,('Pedido VACIO'!$H:$H=$B34)*('Pedido VACIO'!$A:$A="Packaging y Serv"),0)),"")</f>
        <v/>
      </c>
      <c r="D34" s="931" t="str" cm="1">
        <f t="array" ref="D34">+IFERROR(INDEX('Pedido VACIO'!$G:$G,MATCH(1,('Pedido VACIO'!$H:$H=$B34)*('Pedido VACIO'!$A:$A="Packaging y Serv"),0)),"")</f>
        <v/>
      </c>
      <c r="E34" s="860" t="str">
        <f t="shared" si="0"/>
        <v/>
      </c>
      <c r="F34" s="854" t="str">
        <f t="shared" si="1"/>
        <v/>
      </c>
      <c r="G34" s="931"/>
      <c r="H34" s="862"/>
      <c r="I34" s="862"/>
      <c r="J34" s="862"/>
      <c r="K34" s="862"/>
      <c r="L34" s="862"/>
      <c r="M34" s="863"/>
    </row>
    <row r="35" spans="1:13" ht="33.6" customHeight="1" thickBot="1" x14ac:dyDescent="0.25">
      <c r="A35" s="950"/>
      <c r="B35" s="951"/>
      <c r="C35" s="952"/>
      <c r="D35" s="951"/>
      <c r="E35" s="860" t="str">
        <f t="shared" si="0"/>
        <v/>
      </c>
      <c r="F35" s="854" t="str">
        <f t="shared" si="1"/>
        <v/>
      </c>
      <c r="G35" s="951"/>
      <c r="H35" s="864"/>
      <c r="I35" s="864"/>
      <c r="J35" s="864"/>
      <c r="K35" s="864"/>
      <c r="L35" s="864"/>
      <c r="M35" s="865"/>
    </row>
    <row r="36" spans="1:13" ht="33.6" customHeight="1" x14ac:dyDescent="0.2">
      <c r="A36" s="953" t="str" cm="1">
        <f t="array" ref="A36">+IFERROR(INDEX('Pedido VACIO'!$B:$B,MATCH(1,('Pedido VACIO'!$H:$H=$B36)*('Pedido VACIO'!$A:$A="Packaging y Serv"),0)),"")</f>
        <v/>
      </c>
      <c r="B36" s="934">
        <f>+B34+1</f>
        <v>12</v>
      </c>
      <c r="C36" s="933" t="str" cm="1">
        <f t="array" ref="C36">+IFERROR(INDEX('Pedido VACIO'!$F:$F,MATCH(1,('Pedido VACIO'!$H:$H=$B36)*('Pedido VACIO'!$A:$A="Packaging y Serv"),0)),"")</f>
        <v/>
      </c>
      <c r="D36" s="934" t="str" cm="1">
        <f t="array" ref="D36">+IFERROR(INDEX('Pedido VACIO'!$G:$G,MATCH(1,('Pedido VACIO'!$H:$H=$B36)*('Pedido VACIO'!$A:$A="Packaging y Serv"),0)),"")</f>
        <v/>
      </c>
      <c r="E36" s="860" t="str">
        <f t="shared" si="0"/>
        <v/>
      </c>
      <c r="F36" s="854" t="str">
        <f t="shared" si="1"/>
        <v/>
      </c>
      <c r="G36" s="934"/>
      <c r="H36" s="866"/>
      <c r="I36" s="866"/>
      <c r="J36" s="866"/>
      <c r="K36" s="866"/>
      <c r="L36" s="866"/>
      <c r="M36" s="866"/>
    </row>
    <row r="37" spans="1:13" ht="33.6" customHeight="1" x14ac:dyDescent="0.2">
      <c r="A37" s="949"/>
      <c r="B37" s="931"/>
      <c r="C37" s="948"/>
      <c r="D37" s="931"/>
      <c r="E37" s="860" t="str">
        <f t="shared" si="0"/>
        <v/>
      </c>
      <c r="F37" s="854" t="str">
        <f t="shared" si="1"/>
        <v/>
      </c>
      <c r="G37" s="931"/>
      <c r="H37" s="862"/>
      <c r="I37" s="862"/>
      <c r="J37" s="862"/>
      <c r="K37" s="862"/>
      <c r="L37" s="862"/>
      <c r="M37" s="862"/>
    </row>
    <row r="38" spans="1:13" ht="33.6" customHeight="1" x14ac:dyDescent="0.2">
      <c r="A38" s="949" t="str" cm="1">
        <f t="array" ref="A38">+IFERROR(INDEX('Pedido VACIO'!$B:$B,MATCH(1,('Pedido VACIO'!$H:$H=$B38)*('Pedido VACIO'!$A:$A="Packaging y Serv"),0)),"")</f>
        <v/>
      </c>
      <c r="B38" s="931">
        <f>+B36+1</f>
        <v>13</v>
      </c>
      <c r="C38" s="948" t="str" cm="1">
        <f t="array" ref="C38">+IFERROR(INDEX('Pedido VACIO'!$F:$F,MATCH(1,('Pedido VACIO'!$H:$H=$B38)*('Pedido VACIO'!$A:$A="Packaging y Serv"),0)),"")</f>
        <v/>
      </c>
      <c r="D38" s="931" t="str" cm="1">
        <f t="array" ref="D38">+IFERROR(INDEX('Pedido VACIO'!$G:$G,MATCH(1,('Pedido VACIO'!$H:$H=$B38)*('Pedido VACIO'!$A:$A="Packaging y Serv"),0)),"")</f>
        <v/>
      </c>
      <c r="E38" s="860" t="str">
        <f t="shared" si="0"/>
        <v/>
      </c>
      <c r="F38" s="854" t="str">
        <f t="shared" si="1"/>
        <v/>
      </c>
      <c r="G38" s="931"/>
      <c r="H38" s="862"/>
      <c r="I38" s="862"/>
      <c r="J38" s="862"/>
      <c r="K38" s="862"/>
      <c r="L38" s="862"/>
      <c r="M38" s="862"/>
    </row>
    <row r="39" spans="1:13" ht="33.6" customHeight="1" x14ac:dyDescent="0.2">
      <c r="A39" s="949"/>
      <c r="B39" s="931"/>
      <c r="C39" s="948"/>
      <c r="D39" s="931"/>
      <c r="E39" s="860" t="str">
        <f t="shared" si="0"/>
        <v/>
      </c>
      <c r="F39" s="854" t="str">
        <f t="shared" si="1"/>
        <v/>
      </c>
      <c r="G39" s="931"/>
      <c r="H39" s="862"/>
      <c r="I39" s="862"/>
      <c r="J39" s="862"/>
      <c r="K39" s="862"/>
      <c r="L39" s="862"/>
      <c r="M39" s="862"/>
    </row>
    <row r="40" spans="1:13" ht="33.6" customHeight="1" x14ac:dyDescent="0.2">
      <c r="A40" s="949" t="str" cm="1">
        <f t="array" ref="A40">+IFERROR(INDEX('Pedido VACIO'!$B:$B,MATCH(1,('Pedido VACIO'!$H:$H=$B40)*('Pedido VACIO'!$A:$A="Packaging y Serv"),0)),"")</f>
        <v/>
      </c>
      <c r="B40" s="931">
        <f>+B38+1</f>
        <v>14</v>
      </c>
      <c r="C40" s="948" t="str" cm="1">
        <f t="array" ref="C40">+IFERROR(INDEX('Pedido VACIO'!$F:$F,MATCH(1,('Pedido VACIO'!$H:$H=$B40)*('Pedido VACIO'!$A:$A="Packaging y Serv"),0)),"")</f>
        <v/>
      </c>
      <c r="D40" s="931" t="str" cm="1">
        <f t="array" ref="D40">+IFERROR(INDEX('Pedido VACIO'!$G:$G,MATCH(1,('Pedido VACIO'!$H:$H=$B40)*('Pedido VACIO'!$A:$A="Packaging y Serv"),0)),"")</f>
        <v/>
      </c>
      <c r="E40" s="860" t="str">
        <f t="shared" si="0"/>
        <v/>
      </c>
      <c r="F40" s="854" t="str">
        <f t="shared" si="1"/>
        <v/>
      </c>
      <c r="G40" s="931"/>
      <c r="H40" s="862"/>
      <c r="I40" s="862"/>
      <c r="J40" s="862"/>
      <c r="K40" s="862"/>
      <c r="L40" s="862"/>
      <c r="M40" s="862"/>
    </row>
    <row r="41" spans="1:13" ht="33.6" customHeight="1" x14ac:dyDescent="0.2">
      <c r="A41" s="949"/>
      <c r="B41" s="931"/>
      <c r="C41" s="948"/>
      <c r="D41" s="931"/>
      <c r="E41" s="860" t="str">
        <f t="shared" si="0"/>
        <v/>
      </c>
      <c r="F41" s="854" t="str">
        <f t="shared" si="1"/>
        <v/>
      </c>
      <c r="G41" s="931"/>
      <c r="H41" s="862"/>
      <c r="I41" s="862"/>
      <c r="J41" s="862"/>
      <c r="K41" s="862"/>
      <c r="L41" s="862"/>
      <c r="M41" s="862"/>
    </row>
    <row r="42" spans="1:13" ht="33.6" customHeight="1" x14ac:dyDescent="0.2">
      <c r="A42" s="949" t="str" cm="1">
        <f t="array" ref="A42">+IFERROR(INDEX('Pedido VACIO'!$B:$B,MATCH(1,('Pedido VACIO'!$H:$H=$B42)*('Pedido VACIO'!$A:$A="Packaging y Serv"),0)),"")</f>
        <v/>
      </c>
      <c r="B42" s="931">
        <f>+B40+1</f>
        <v>15</v>
      </c>
      <c r="C42" s="948" t="str" cm="1">
        <f t="array" ref="C42">+IFERROR(INDEX('Pedido VACIO'!$F:$F,MATCH(1,('Pedido VACIO'!$H:$H=$B42)*('Pedido VACIO'!$A:$A="Packaging y Serv"),0)),"")</f>
        <v/>
      </c>
      <c r="D42" s="931" t="str" cm="1">
        <f t="array" ref="D42">+IFERROR(INDEX('Pedido VACIO'!$G:$G,MATCH(1,('Pedido VACIO'!$H:$H=$B42)*('Pedido VACIO'!$A:$A="Packaging y Serv"),0)),"")</f>
        <v/>
      </c>
      <c r="E42" s="860" t="str">
        <f t="shared" si="0"/>
        <v/>
      </c>
      <c r="F42" s="854" t="str">
        <f t="shared" si="1"/>
        <v/>
      </c>
      <c r="G42" s="931"/>
      <c r="H42" s="862"/>
      <c r="I42" s="862"/>
      <c r="J42" s="862"/>
      <c r="K42" s="862"/>
      <c r="L42" s="862"/>
      <c r="M42" s="862"/>
    </row>
    <row r="43" spans="1:13" ht="33.6" customHeight="1" x14ac:dyDescent="0.2">
      <c r="A43" s="949"/>
      <c r="B43" s="931"/>
      <c r="C43" s="948"/>
      <c r="D43" s="931"/>
      <c r="E43" s="860" t="str">
        <f t="shared" si="0"/>
        <v/>
      </c>
      <c r="F43" s="854" t="str">
        <f t="shared" si="1"/>
        <v/>
      </c>
      <c r="G43" s="931"/>
      <c r="H43" s="862"/>
      <c r="I43" s="862"/>
      <c r="J43" s="862"/>
      <c r="K43" s="862"/>
      <c r="L43" s="862"/>
      <c r="M43" s="862"/>
    </row>
  </sheetData>
  <mergeCells count="94"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A20:A21"/>
    <mergeCell ref="B20:B21"/>
    <mergeCell ref="C20:C21"/>
    <mergeCell ref="D20:D21"/>
    <mergeCell ref="G20:G21"/>
    <mergeCell ref="A22:A23"/>
    <mergeCell ref="B22:B23"/>
    <mergeCell ref="C22:C23"/>
    <mergeCell ref="D22:D23"/>
    <mergeCell ref="G22:G23"/>
    <mergeCell ref="A16:A17"/>
    <mergeCell ref="B16:B17"/>
    <mergeCell ref="C16:C17"/>
    <mergeCell ref="D16:D17"/>
    <mergeCell ref="G16:G17"/>
    <mergeCell ref="A18:A19"/>
    <mergeCell ref="B18:B19"/>
    <mergeCell ref="C18:C19"/>
    <mergeCell ref="D18:D19"/>
    <mergeCell ref="G18:G19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3:B3"/>
    <mergeCell ref="F3:G3"/>
    <mergeCell ref="H3:L3"/>
    <mergeCell ref="A1:C1"/>
    <mergeCell ref="F1:L1"/>
    <mergeCell ref="A2:B2"/>
    <mergeCell ref="F2:G2"/>
    <mergeCell ref="H2:L2"/>
  </mergeCells>
  <printOptions horizontalCentered="1"/>
  <pageMargins left="0" right="0" top="0" bottom="0" header="0" footer="0"/>
  <pageSetup paperSize="9" scale="6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activeCell="M19" sqref="A1:M19"/>
    </sheetView>
  </sheetViews>
  <sheetFormatPr baseColWidth="10" defaultColWidth="11.5703125" defaultRowHeight="12.75" x14ac:dyDescent="0.2"/>
  <cols>
    <col min="1" max="1" width="11.42578125" style="841" customWidth="1"/>
    <col min="2" max="2" width="6.140625" style="841" customWidth="1"/>
    <col min="3" max="3" width="22.28515625" style="841" customWidth="1"/>
    <col min="4" max="4" width="9.28515625" style="841" customWidth="1"/>
    <col min="5" max="5" width="8.28515625" style="841" customWidth="1"/>
    <col min="6" max="6" width="7.7109375" style="841" customWidth="1"/>
    <col min="7" max="7" width="9.7109375" style="841" customWidth="1"/>
    <col min="8" max="9" width="7.5703125" style="841" customWidth="1"/>
    <col min="10" max="10" width="7.7109375" style="841" customWidth="1"/>
    <col min="11" max="11" width="7" style="841" customWidth="1"/>
    <col min="12" max="12" width="7.7109375" style="841" customWidth="1"/>
    <col min="13" max="13" width="7" style="841" customWidth="1"/>
    <col min="14" max="256" width="11.5703125" style="841"/>
    <col min="257" max="257" width="11.42578125" style="841" customWidth="1"/>
    <col min="258" max="258" width="6.140625" style="841" customWidth="1"/>
    <col min="259" max="259" width="22.28515625" style="841" customWidth="1"/>
    <col min="260" max="260" width="9.28515625" style="841" customWidth="1"/>
    <col min="261" max="261" width="8.28515625" style="841" customWidth="1"/>
    <col min="262" max="262" width="7.7109375" style="841" customWidth="1"/>
    <col min="263" max="263" width="9.7109375" style="841" customWidth="1"/>
    <col min="264" max="264" width="7.28515625" style="841" customWidth="1"/>
    <col min="265" max="265" width="7.5703125" style="841" customWidth="1"/>
    <col min="266" max="266" width="7.7109375" style="841" customWidth="1"/>
    <col min="267" max="267" width="7" style="841" customWidth="1"/>
    <col min="268" max="268" width="7.7109375" style="841" customWidth="1"/>
    <col min="269" max="269" width="7" style="841" customWidth="1"/>
    <col min="270" max="512" width="11.5703125" style="841"/>
    <col min="513" max="513" width="11.42578125" style="841" customWidth="1"/>
    <col min="514" max="514" width="6.140625" style="841" customWidth="1"/>
    <col min="515" max="515" width="22.28515625" style="841" customWidth="1"/>
    <col min="516" max="516" width="9.28515625" style="841" customWidth="1"/>
    <col min="517" max="517" width="8.28515625" style="841" customWidth="1"/>
    <col min="518" max="518" width="7.7109375" style="841" customWidth="1"/>
    <col min="519" max="519" width="9.7109375" style="841" customWidth="1"/>
    <col min="520" max="520" width="7.28515625" style="841" customWidth="1"/>
    <col min="521" max="521" width="7.5703125" style="841" customWidth="1"/>
    <col min="522" max="522" width="7.7109375" style="841" customWidth="1"/>
    <col min="523" max="523" width="7" style="841" customWidth="1"/>
    <col min="524" max="524" width="7.7109375" style="841" customWidth="1"/>
    <col min="525" max="525" width="7" style="841" customWidth="1"/>
    <col min="526" max="768" width="11.5703125" style="841"/>
    <col min="769" max="769" width="11.42578125" style="841" customWidth="1"/>
    <col min="770" max="770" width="6.140625" style="841" customWidth="1"/>
    <col min="771" max="771" width="22.28515625" style="841" customWidth="1"/>
    <col min="772" max="772" width="9.28515625" style="841" customWidth="1"/>
    <col min="773" max="773" width="8.28515625" style="841" customWidth="1"/>
    <col min="774" max="774" width="7.7109375" style="841" customWidth="1"/>
    <col min="775" max="775" width="9.7109375" style="841" customWidth="1"/>
    <col min="776" max="776" width="7.28515625" style="841" customWidth="1"/>
    <col min="777" max="777" width="7.5703125" style="841" customWidth="1"/>
    <col min="778" max="778" width="7.7109375" style="841" customWidth="1"/>
    <col min="779" max="779" width="7" style="841" customWidth="1"/>
    <col min="780" max="780" width="7.7109375" style="841" customWidth="1"/>
    <col min="781" max="781" width="7" style="841" customWidth="1"/>
    <col min="782" max="1024" width="11.5703125" style="841"/>
    <col min="1025" max="1025" width="11.42578125" style="841" customWidth="1"/>
    <col min="1026" max="1026" width="6.140625" style="841" customWidth="1"/>
    <col min="1027" max="1027" width="22.28515625" style="841" customWidth="1"/>
    <col min="1028" max="1028" width="9.28515625" style="841" customWidth="1"/>
    <col min="1029" max="1029" width="8.28515625" style="841" customWidth="1"/>
    <col min="1030" max="1030" width="7.7109375" style="841" customWidth="1"/>
    <col min="1031" max="1031" width="9.7109375" style="841" customWidth="1"/>
    <col min="1032" max="1032" width="7.28515625" style="841" customWidth="1"/>
    <col min="1033" max="1033" width="7.5703125" style="841" customWidth="1"/>
    <col min="1034" max="1034" width="7.7109375" style="841" customWidth="1"/>
    <col min="1035" max="1035" width="7" style="841" customWidth="1"/>
    <col min="1036" max="1036" width="7.7109375" style="841" customWidth="1"/>
    <col min="1037" max="1037" width="7" style="841" customWidth="1"/>
    <col min="1038" max="1280" width="11.5703125" style="841"/>
    <col min="1281" max="1281" width="11.42578125" style="841" customWidth="1"/>
    <col min="1282" max="1282" width="6.140625" style="841" customWidth="1"/>
    <col min="1283" max="1283" width="22.28515625" style="841" customWidth="1"/>
    <col min="1284" max="1284" width="9.28515625" style="841" customWidth="1"/>
    <col min="1285" max="1285" width="8.28515625" style="841" customWidth="1"/>
    <col min="1286" max="1286" width="7.7109375" style="841" customWidth="1"/>
    <col min="1287" max="1287" width="9.7109375" style="841" customWidth="1"/>
    <col min="1288" max="1288" width="7.28515625" style="841" customWidth="1"/>
    <col min="1289" max="1289" width="7.5703125" style="841" customWidth="1"/>
    <col min="1290" max="1290" width="7.7109375" style="841" customWidth="1"/>
    <col min="1291" max="1291" width="7" style="841" customWidth="1"/>
    <col min="1292" max="1292" width="7.7109375" style="841" customWidth="1"/>
    <col min="1293" max="1293" width="7" style="841" customWidth="1"/>
    <col min="1294" max="1536" width="11.5703125" style="841"/>
    <col min="1537" max="1537" width="11.42578125" style="841" customWidth="1"/>
    <col min="1538" max="1538" width="6.140625" style="841" customWidth="1"/>
    <col min="1539" max="1539" width="22.28515625" style="841" customWidth="1"/>
    <col min="1540" max="1540" width="9.28515625" style="841" customWidth="1"/>
    <col min="1541" max="1541" width="8.28515625" style="841" customWidth="1"/>
    <col min="1542" max="1542" width="7.7109375" style="841" customWidth="1"/>
    <col min="1543" max="1543" width="9.7109375" style="841" customWidth="1"/>
    <col min="1544" max="1544" width="7.28515625" style="841" customWidth="1"/>
    <col min="1545" max="1545" width="7.5703125" style="841" customWidth="1"/>
    <col min="1546" max="1546" width="7.7109375" style="841" customWidth="1"/>
    <col min="1547" max="1547" width="7" style="841" customWidth="1"/>
    <col min="1548" max="1548" width="7.7109375" style="841" customWidth="1"/>
    <col min="1549" max="1549" width="7" style="841" customWidth="1"/>
    <col min="1550" max="1792" width="11.5703125" style="841"/>
    <col min="1793" max="1793" width="11.42578125" style="841" customWidth="1"/>
    <col min="1794" max="1794" width="6.140625" style="841" customWidth="1"/>
    <col min="1795" max="1795" width="22.28515625" style="841" customWidth="1"/>
    <col min="1796" max="1796" width="9.28515625" style="841" customWidth="1"/>
    <col min="1797" max="1797" width="8.28515625" style="841" customWidth="1"/>
    <col min="1798" max="1798" width="7.7109375" style="841" customWidth="1"/>
    <col min="1799" max="1799" width="9.7109375" style="841" customWidth="1"/>
    <col min="1800" max="1800" width="7.28515625" style="841" customWidth="1"/>
    <col min="1801" max="1801" width="7.5703125" style="841" customWidth="1"/>
    <col min="1802" max="1802" width="7.7109375" style="841" customWidth="1"/>
    <col min="1803" max="1803" width="7" style="841" customWidth="1"/>
    <col min="1804" max="1804" width="7.7109375" style="841" customWidth="1"/>
    <col min="1805" max="1805" width="7" style="841" customWidth="1"/>
    <col min="1806" max="2048" width="11.5703125" style="841"/>
    <col min="2049" max="2049" width="11.42578125" style="841" customWidth="1"/>
    <col min="2050" max="2050" width="6.140625" style="841" customWidth="1"/>
    <col min="2051" max="2051" width="22.28515625" style="841" customWidth="1"/>
    <col min="2052" max="2052" width="9.28515625" style="841" customWidth="1"/>
    <col min="2053" max="2053" width="8.28515625" style="841" customWidth="1"/>
    <col min="2054" max="2054" width="7.7109375" style="841" customWidth="1"/>
    <col min="2055" max="2055" width="9.7109375" style="841" customWidth="1"/>
    <col min="2056" max="2056" width="7.28515625" style="841" customWidth="1"/>
    <col min="2057" max="2057" width="7.5703125" style="841" customWidth="1"/>
    <col min="2058" max="2058" width="7.7109375" style="841" customWidth="1"/>
    <col min="2059" max="2059" width="7" style="841" customWidth="1"/>
    <col min="2060" max="2060" width="7.7109375" style="841" customWidth="1"/>
    <col min="2061" max="2061" width="7" style="841" customWidth="1"/>
    <col min="2062" max="2304" width="11.5703125" style="841"/>
    <col min="2305" max="2305" width="11.42578125" style="841" customWidth="1"/>
    <col min="2306" max="2306" width="6.140625" style="841" customWidth="1"/>
    <col min="2307" max="2307" width="22.28515625" style="841" customWidth="1"/>
    <col min="2308" max="2308" width="9.28515625" style="841" customWidth="1"/>
    <col min="2309" max="2309" width="8.28515625" style="841" customWidth="1"/>
    <col min="2310" max="2310" width="7.7109375" style="841" customWidth="1"/>
    <col min="2311" max="2311" width="9.7109375" style="841" customWidth="1"/>
    <col min="2312" max="2312" width="7.28515625" style="841" customWidth="1"/>
    <col min="2313" max="2313" width="7.5703125" style="841" customWidth="1"/>
    <col min="2314" max="2314" width="7.7109375" style="841" customWidth="1"/>
    <col min="2315" max="2315" width="7" style="841" customWidth="1"/>
    <col min="2316" max="2316" width="7.7109375" style="841" customWidth="1"/>
    <col min="2317" max="2317" width="7" style="841" customWidth="1"/>
    <col min="2318" max="2560" width="11.5703125" style="841"/>
    <col min="2561" max="2561" width="11.42578125" style="841" customWidth="1"/>
    <col min="2562" max="2562" width="6.140625" style="841" customWidth="1"/>
    <col min="2563" max="2563" width="22.28515625" style="841" customWidth="1"/>
    <col min="2564" max="2564" width="9.28515625" style="841" customWidth="1"/>
    <col min="2565" max="2565" width="8.28515625" style="841" customWidth="1"/>
    <col min="2566" max="2566" width="7.7109375" style="841" customWidth="1"/>
    <col min="2567" max="2567" width="9.7109375" style="841" customWidth="1"/>
    <col min="2568" max="2568" width="7.28515625" style="841" customWidth="1"/>
    <col min="2569" max="2569" width="7.5703125" style="841" customWidth="1"/>
    <col min="2570" max="2570" width="7.7109375" style="841" customWidth="1"/>
    <col min="2571" max="2571" width="7" style="841" customWidth="1"/>
    <col min="2572" max="2572" width="7.7109375" style="841" customWidth="1"/>
    <col min="2573" max="2573" width="7" style="841" customWidth="1"/>
    <col min="2574" max="2816" width="11.5703125" style="841"/>
    <col min="2817" max="2817" width="11.42578125" style="841" customWidth="1"/>
    <col min="2818" max="2818" width="6.140625" style="841" customWidth="1"/>
    <col min="2819" max="2819" width="22.28515625" style="841" customWidth="1"/>
    <col min="2820" max="2820" width="9.28515625" style="841" customWidth="1"/>
    <col min="2821" max="2821" width="8.28515625" style="841" customWidth="1"/>
    <col min="2822" max="2822" width="7.7109375" style="841" customWidth="1"/>
    <col min="2823" max="2823" width="9.7109375" style="841" customWidth="1"/>
    <col min="2824" max="2824" width="7.28515625" style="841" customWidth="1"/>
    <col min="2825" max="2825" width="7.5703125" style="841" customWidth="1"/>
    <col min="2826" max="2826" width="7.7109375" style="841" customWidth="1"/>
    <col min="2827" max="2827" width="7" style="841" customWidth="1"/>
    <col min="2828" max="2828" width="7.7109375" style="841" customWidth="1"/>
    <col min="2829" max="2829" width="7" style="841" customWidth="1"/>
    <col min="2830" max="3072" width="11.5703125" style="841"/>
    <col min="3073" max="3073" width="11.42578125" style="841" customWidth="1"/>
    <col min="3074" max="3074" width="6.140625" style="841" customWidth="1"/>
    <col min="3075" max="3075" width="22.28515625" style="841" customWidth="1"/>
    <col min="3076" max="3076" width="9.28515625" style="841" customWidth="1"/>
    <col min="3077" max="3077" width="8.28515625" style="841" customWidth="1"/>
    <col min="3078" max="3078" width="7.7109375" style="841" customWidth="1"/>
    <col min="3079" max="3079" width="9.7109375" style="841" customWidth="1"/>
    <col min="3080" max="3080" width="7.28515625" style="841" customWidth="1"/>
    <col min="3081" max="3081" width="7.5703125" style="841" customWidth="1"/>
    <col min="3082" max="3082" width="7.7109375" style="841" customWidth="1"/>
    <col min="3083" max="3083" width="7" style="841" customWidth="1"/>
    <col min="3084" max="3084" width="7.7109375" style="841" customWidth="1"/>
    <col min="3085" max="3085" width="7" style="841" customWidth="1"/>
    <col min="3086" max="3328" width="11.5703125" style="841"/>
    <col min="3329" max="3329" width="11.42578125" style="841" customWidth="1"/>
    <col min="3330" max="3330" width="6.140625" style="841" customWidth="1"/>
    <col min="3331" max="3331" width="22.28515625" style="841" customWidth="1"/>
    <col min="3332" max="3332" width="9.28515625" style="841" customWidth="1"/>
    <col min="3333" max="3333" width="8.28515625" style="841" customWidth="1"/>
    <col min="3334" max="3334" width="7.7109375" style="841" customWidth="1"/>
    <col min="3335" max="3335" width="9.7109375" style="841" customWidth="1"/>
    <col min="3336" max="3336" width="7.28515625" style="841" customWidth="1"/>
    <col min="3337" max="3337" width="7.5703125" style="841" customWidth="1"/>
    <col min="3338" max="3338" width="7.7109375" style="841" customWidth="1"/>
    <col min="3339" max="3339" width="7" style="841" customWidth="1"/>
    <col min="3340" max="3340" width="7.7109375" style="841" customWidth="1"/>
    <col min="3341" max="3341" width="7" style="841" customWidth="1"/>
    <col min="3342" max="3584" width="11.5703125" style="841"/>
    <col min="3585" max="3585" width="11.42578125" style="841" customWidth="1"/>
    <col min="3586" max="3586" width="6.140625" style="841" customWidth="1"/>
    <col min="3587" max="3587" width="22.28515625" style="841" customWidth="1"/>
    <col min="3588" max="3588" width="9.28515625" style="841" customWidth="1"/>
    <col min="3589" max="3589" width="8.28515625" style="841" customWidth="1"/>
    <col min="3590" max="3590" width="7.7109375" style="841" customWidth="1"/>
    <col min="3591" max="3591" width="9.7109375" style="841" customWidth="1"/>
    <col min="3592" max="3592" width="7.28515625" style="841" customWidth="1"/>
    <col min="3593" max="3593" width="7.5703125" style="841" customWidth="1"/>
    <col min="3594" max="3594" width="7.7109375" style="841" customWidth="1"/>
    <col min="3595" max="3595" width="7" style="841" customWidth="1"/>
    <col min="3596" max="3596" width="7.7109375" style="841" customWidth="1"/>
    <col min="3597" max="3597" width="7" style="841" customWidth="1"/>
    <col min="3598" max="3840" width="11.5703125" style="841"/>
    <col min="3841" max="3841" width="11.42578125" style="841" customWidth="1"/>
    <col min="3842" max="3842" width="6.140625" style="841" customWidth="1"/>
    <col min="3843" max="3843" width="22.28515625" style="841" customWidth="1"/>
    <col min="3844" max="3844" width="9.28515625" style="841" customWidth="1"/>
    <col min="3845" max="3845" width="8.28515625" style="841" customWidth="1"/>
    <col min="3846" max="3846" width="7.7109375" style="841" customWidth="1"/>
    <col min="3847" max="3847" width="9.7109375" style="841" customWidth="1"/>
    <col min="3848" max="3848" width="7.28515625" style="841" customWidth="1"/>
    <col min="3849" max="3849" width="7.5703125" style="841" customWidth="1"/>
    <col min="3850" max="3850" width="7.7109375" style="841" customWidth="1"/>
    <col min="3851" max="3851" width="7" style="841" customWidth="1"/>
    <col min="3852" max="3852" width="7.7109375" style="841" customWidth="1"/>
    <col min="3853" max="3853" width="7" style="841" customWidth="1"/>
    <col min="3854" max="4096" width="11.5703125" style="841"/>
    <col min="4097" max="4097" width="11.42578125" style="841" customWidth="1"/>
    <col min="4098" max="4098" width="6.140625" style="841" customWidth="1"/>
    <col min="4099" max="4099" width="22.28515625" style="841" customWidth="1"/>
    <col min="4100" max="4100" width="9.28515625" style="841" customWidth="1"/>
    <col min="4101" max="4101" width="8.28515625" style="841" customWidth="1"/>
    <col min="4102" max="4102" width="7.7109375" style="841" customWidth="1"/>
    <col min="4103" max="4103" width="9.7109375" style="841" customWidth="1"/>
    <col min="4104" max="4104" width="7.28515625" style="841" customWidth="1"/>
    <col min="4105" max="4105" width="7.5703125" style="841" customWidth="1"/>
    <col min="4106" max="4106" width="7.7109375" style="841" customWidth="1"/>
    <col min="4107" max="4107" width="7" style="841" customWidth="1"/>
    <col min="4108" max="4108" width="7.7109375" style="841" customWidth="1"/>
    <col min="4109" max="4109" width="7" style="841" customWidth="1"/>
    <col min="4110" max="4352" width="11.5703125" style="841"/>
    <col min="4353" max="4353" width="11.42578125" style="841" customWidth="1"/>
    <col min="4354" max="4354" width="6.140625" style="841" customWidth="1"/>
    <col min="4355" max="4355" width="22.28515625" style="841" customWidth="1"/>
    <col min="4356" max="4356" width="9.28515625" style="841" customWidth="1"/>
    <col min="4357" max="4357" width="8.28515625" style="841" customWidth="1"/>
    <col min="4358" max="4358" width="7.7109375" style="841" customWidth="1"/>
    <col min="4359" max="4359" width="9.7109375" style="841" customWidth="1"/>
    <col min="4360" max="4360" width="7.28515625" style="841" customWidth="1"/>
    <col min="4361" max="4361" width="7.5703125" style="841" customWidth="1"/>
    <col min="4362" max="4362" width="7.7109375" style="841" customWidth="1"/>
    <col min="4363" max="4363" width="7" style="841" customWidth="1"/>
    <col min="4364" max="4364" width="7.7109375" style="841" customWidth="1"/>
    <col min="4365" max="4365" width="7" style="841" customWidth="1"/>
    <col min="4366" max="4608" width="11.5703125" style="841"/>
    <col min="4609" max="4609" width="11.42578125" style="841" customWidth="1"/>
    <col min="4610" max="4610" width="6.140625" style="841" customWidth="1"/>
    <col min="4611" max="4611" width="22.28515625" style="841" customWidth="1"/>
    <col min="4612" max="4612" width="9.28515625" style="841" customWidth="1"/>
    <col min="4613" max="4613" width="8.28515625" style="841" customWidth="1"/>
    <col min="4614" max="4614" width="7.7109375" style="841" customWidth="1"/>
    <col min="4615" max="4615" width="9.7109375" style="841" customWidth="1"/>
    <col min="4616" max="4616" width="7.28515625" style="841" customWidth="1"/>
    <col min="4617" max="4617" width="7.5703125" style="841" customWidth="1"/>
    <col min="4618" max="4618" width="7.7109375" style="841" customWidth="1"/>
    <col min="4619" max="4619" width="7" style="841" customWidth="1"/>
    <col min="4620" max="4620" width="7.7109375" style="841" customWidth="1"/>
    <col min="4621" max="4621" width="7" style="841" customWidth="1"/>
    <col min="4622" max="4864" width="11.5703125" style="841"/>
    <col min="4865" max="4865" width="11.42578125" style="841" customWidth="1"/>
    <col min="4866" max="4866" width="6.140625" style="841" customWidth="1"/>
    <col min="4867" max="4867" width="22.28515625" style="841" customWidth="1"/>
    <col min="4868" max="4868" width="9.28515625" style="841" customWidth="1"/>
    <col min="4869" max="4869" width="8.28515625" style="841" customWidth="1"/>
    <col min="4870" max="4870" width="7.7109375" style="841" customWidth="1"/>
    <col min="4871" max="4871" width="9.7109375" style="841" customWidth="1"/>
    <col min="4872" max="4872" width="7.28515625" style="841" customWidth="1"/>
    <col min="4873" max="4873" width="7.5703125" style="841" customWidth="1"/>
    <col min="4874" max="4874" width="7.7109375" style="841" customWidth="1"/>
    <col min="4875" max="4875" width="7" style="841" customWidth="1"/>
    <col min="4876" max="4876" width="7.7109375" style="841" customWidth="1"/>
    <col min="4877" max="4877" width="7" style="841" customWidth="1"/>
    <col min="4878" max="5120" width="11.5703125" style="841"/>
    <col min="5121" max="5121" width="11.42578125" style="841" customWidth="1"/>
    <col min="5122" max="5122" width="6.140625" style="841" customWidth="1"/>
    <col min="5123" max="5123" width="22.28515625" style="841" customWidth="1"/>
    <col min="5124" max="5124" width="9.28515625" style="841" customWidth="1"/>
    <col min="5125" max="5125" width="8.28515625" style="841" customWidth="1"/>
    <col min="5126" max="5126" width="7.7109375" style="841" customWidth="1"/>
    <col min="5127" max="5127" width="9.7109375" style="841" customWidth="1"/>
    <col min="5128" max="5128" width="7.28515625" style="841" customWidth="1"/>
    <col min="5129" max="5129" width="7.5703125" style="841" customWidth="1"/>
    <col min="5130" max="5130" width="7.7109375" style="841" customWidth="1"/>
    <col min="5131" max="5131" width="7" style="841" customWidth="1"/>
    <col min="5132" max="5132" width="7.7109375" style="841" customWidth="1"/>
    <col min="5133" max="5133" width="7" style="841" customWidth="1"/>
    <col min="5134" max="5376" width="11.5703125" style="841"/>
    <col min="5377" max="5377" width="11.42578125" style="841" customWidth="1"/>
    <col min="5378" max="5378" width="6.140625" style="841" customWidth="1"/>
    <col min="5379" max="5379" width="22.28515625" style="841" customWidth="1"/>
    <col min="5380" max="5380" width="9.28515625" style="841" customWidth="1"/>
    <col min="5381" max="5381" width="8.28515625" style="841" customWidth="1"/>
    <col min="5382" max="5382" width="7.7109375" style="841" customWidth="1"/>
    <col min="5383" max="5383" width="9.7109375" style="841" customWidth="1"/>
    <col min="5384" max="5384" width="7.28515625" style="841" customWidth="1"/>
    <col min="5385" max="5385" width="7.5703125" style="841" customWidth="1"/>
    <col min="5386" max="5386" width="7.7109375" style="841" customWidth="1"/>
    <col min="5387" max="5387" width="7" style="841" customWidth="1"/>
    <col min="5388" max="5388" width="7.7109375" style="841" customWidth="1"/>
    <col min="5389" max="5389" width="7" style="841" customWidth="1"/>
    <col min="5390" max="5632" width="11.5703125" style="841"/>
    <col min="5633" max="5633" width="11.42578125" style="841" customWidth="1"/>
    <col min="5634" max="5634" width="6.140625" style="841" customWidth="1"/>
    <col min="5635" max="5635" width="22.28515625" style="841" customWidth="1"/>
    <col min="5636" max="5636" width="9.28515625" style="841" customWidth="1"/>
    <col min="5637" max="5637" width="8.28515625" style="841" customWidth="1"/>
    <col min="5638" max="5638" width="7.7109375" style="841" customWidth="1"/>
    <col min="5639" max="5639" width="9.7109375" style="841" customWidth="1"/>
    <col min="5640" max="5640" width="7.28515625" style="841" customWidth="1"/>
    <col min="5641" max="5641" width="7.5703125" style="841" customWidth="1"/>
    <col min="5642" max="5642" width="7.7109375" style="841" customWidth="1"/>
    <col min="5643" max="5643" width="7" style="841" customWidth="1"/>
    <col min="5644" max="5644" width="7.7109375" style="841" customWidth="1"/>
    <col min="5645" max="5645" width="7" style="841" customWidth="1"/>
    <col min="5646" max="5888" width="11.5703125" style="841"/>
    <col min="5889" max="5889" width="11.42578125" style="841" customWidth="1"/>
    <col min="5890" max="5890" width="6.140625" style="841" customWidth="1"/>
    <col min="5891" max="5891" width="22.28515625" style="841" customWidth="1"/>
    <col min="5892" max="5892" width="9.28515625" style="841" customWidth="1"/>
    <col min="5893" max="5893" width="8.28515625" style="841" customWidth="1"/>
    <col min="5894" max="5894" width="7.7109375" style="841" customWidth="1"/>
    <col min="5895" max="5895" width="9.7109375" style="841" customWidth="1"/>
    <col min="5896" max="5896" width="7.28515625" style="841" customWidth="1"/>
    <col min="5897" max="5897" width="7.5703125" style="841" customWidth="1"/>
    <col min="5898" max="5898" width="7.7109375" style="841" customWidth="1"/>
    <col min="5899" max="5899" width="7" style="841" customWidth="1"/>
    <col min="5900" max="5900" width="7.7109375" style="841" customWidth="1"/>
    <col min="5901" max="5901" width="7" style="841" customWidth="1"/>
    <col min="5902" max="6144" width="11.5703125" style="841"/>
    <col min="6145" max="6145" width="11.42578125" style="841" customWidth="1"/>
    <col min="6146" max="6146" width="6.140625" style="841" customWidth="1"/>
    <col min="6147" max="6147" width="22.28515625" style="841" customWidth="1"/>
    <col min="6148" max="6148" width="9.28515625" style="841" customWidth="1"/>
    <col min="6149" max="6149" width="8.28515625" style="841" customWidth="1"/>
    <col min="6150" max="6150" width="7.7109375" style="841" customWidth="1"/>
    <col min="6151" max="6151" width="9.7109375" style="841" customWidth="1"/>
    <col min="6152" max="6152" width="7.28515625" style="841" customWidth="1"/>
    <col min="6153" max="6153" width="7.5703125" style="841" customWidth="1"/>
    <col min="6154" max="6154" width="7.7109375" style="841" customWidth="1"/>
    <col min="6155" max="6155" width="7" style="841" customWidth="1"/>
    <col min="6156" max="6156" width="7.7109375" style="841" customWidth="1"/>
    <col min="6157" max="6157" width="7" style="841" customWidth="1"/>
    <col min="6158" max="6400" width="11.5703125" style="841"/>
    <col min="6401" max="6401" width="11.42578125" style="841" customWidth="1"/>
    <col min="6402" max="6402" width="6.140625" style="841" customWidth="1"/>
    <col min="6403" max="6403" width="22.28515625" style="841" customWidth="1"/>
    <col min="6404" max="6404" width="9.28515625" style="841" customWidth="1"/>
    <col min="6405" max="6405" width="8.28515625" style="841" customWidth="1"/>
    <col min="6406" max="6406" width="7.7109375" style="841" customWidth="1"/>
    <col min="6407" max="6407" width="9.7109375" style="841" customWidth="1"/>
    <col min="6408" max="6408" width="7.28515625" style="841" customWidth="1"/>
    <col min="6409" max="6409" width="7.5703125" style="841" customWidth="1"/>
    <col min="6410" max="6410" width="7.7109375" style="841" customWidth="1"/>
    <col min="6411" max="6411" width="7" style="841" customWidth="1"/>
    <col min="6412" max="6412" width="7.7109375" style="841" customWidth="1"/>
    <col min="6413" max="6413" width="7" style="841" customWidth="1"/>
    <col min="6414" max="6656" width="11.5703125" style="841"/>
    <col min="6657" max="6657" width="11.42578125" style="841" customWidth="1"/>
    <col min="6658" max="6658" width="6.140625" style="841" customWidth="1"/>
    <col min="6659" max="6659" width="22.28515625" style="841" customWidth="1"/>
    <col min="6660" max="6660" width="9.28515625" style="841" customWidth="1"/>
    <col min="6661" max="6661" width="8.28515625" style="841" customWidth="1"/>
    <col min="6662" max="6662" width="7.7109375" style="841" customWidth="1"/>
    <col min="6663" max="6663" width="9.7109375" style="841" customWidth="1"/>
    <col min="6664" max="6664" width="7.28515625" style="841" customWidth="1"/>
    <col min="6665" max="6665" width="7.5703125" style="841" customWidth="1"/>
    <col min="6666" max="6666" width="7.7109375" style="841" customWidth="1"/>
    <col min="6667" max="6667" width="7" style="841" customWidth="1"/>
    <col min="6668" max="6668" width="7.7109375" style="841" customWidth="1"/>
    <col min="6669" max="6669" width="7" style="841" customWidth="1"/>
    <col min="6670" max="6912" width="11.5703125" style="841"/>
    <col min="6913" max="6913" width="11.42578125" style="841" customWidth="1"/>
    <col min="6914" max="6914" width="6.140625" style="841" customWidth="1"/>
    <col min="6915" max="6915" width="22.28515625" style="841" customWidth="1"/>
    <col min="6916" max="6916" width="9.28515625" style="841" customWidth="1"/>
    <col min="6917" max="6917" width="8.28515625" style="841" customWidth="1"/>
    <col min="6918" max="6918" width="7.7109375" style="841" customWidth="1"/>
    <col min="6919" max="6919" width="9.7109375" style="841" customWidth="1"/>
    <col min="6920" max="6920" width="7.28515625" style="841" customWidth="1"/>
    <col min="6921" max="6921" width="7.5703125" style="841" customWidth="1"/>
    <col min="6922" max="6922" width="7.7109375" style="841" customWidth="1"/>
    <col min="6923" max="6923" width="7" style="841" customWidth="1"/>
    <col min="6924" max="6924" width="7.7109375" style="841" customWidth="1"/>
    <col min="6925" max="6925" width="7" style="841" customWidth="1"/>
    <col min="6926" max="7168" width="11.5703125" style="841"/>
    <col min="7169" max="7169" width="11.42578125" style="841" customWidth="1"/>
    <col min="7170" max="7170" width="6.140625" style="841" customWidth="1"/>
    <col min="7171" max="7171" width="22.28515625" style="841" customWidth="1"/>
    <col min="7172" max="7172" width="9.28515625" style="841" customWidth="1"/>
    <col min="7173" max="7173" width="8.28515625" style="841" customWidth="1"/>
    <col min="7174" max="7174" width="7.7109375" style="841" customWidth="1"/>
    <col min="7175" max="7175" width="9.7109375" style="841" customWidth="1"/>
    <col min="7176" max="7176" width="7.28515625" style="841" customWidth="1"/>
    <col min="7177" max="7177" width="7.5703125" style="841" customWidth="1"/>
    <col min="7178" max="7178" width="7.7109375" style="841" customWidth="1"/>
    <col min="7179" max="7179" width="7" style="841" customWidth="1"/>
    <col min="7180" max="7180" width="7.7109375" style="841" customWidth="1"/>
    <col min="7181" max="7181" width="7" style="841" customWidth="1"/>
    <col min="7182" max="7424" width="11.5703125" style="841"/>
    <col min="7425" max="7425" width="11.42578125" style="841" customWidth="1"/>
    <col min="7426" max="7426" width="6.140625" style="841" customWidth="1"/>
    <col min="7427" max="7427" width="22.28515625" style="841" customWidth="1"/>
    <col min="7428" max="7428" width="9.28515625" style="841" customWidth="1"/>
    <col min="7429" max="7429" width="8.28515625" style="841" customWidth="1"/>
    <col min="7430" max="7430" width="7.7109375" style="841" customWidth="1"/>
    <col min="7431" max="7431" width="9.7109375" style="841" customWidth="1"/>
    <col min="7432" max="7432" width="7.28515625" style="841" customWidth="1"/>
    <col min="7433" max="7433" width="7.5703125" style="841" customWidth="1"/>
    <col min="7434" max="7434" width="7.7109375" style="841" customWidth="1"/>
    <col min="7435" max="7435" width="7" style="841" customWidth="1"/>
    <col min="7436" max="7436" width="7.7109375" style="841" customWidth="1"/>
    <col min="7437" max="7437" width="7" style="841" customWidth="1"/>
    <col min="7438" max="7680" width="11.5703125" style="841"/>
    <col min="7681" max="7681" width="11.42578125" style="841" customWidth="1"/>
    <col min="7682" max="7682" width="6.140625" style="841" customWidth="1"/>
    <col min="7683" max="7683" width="22.28515625" style="841" customWidth="1"/>
    <col min="7684" max="7684" width="9.28515625" style="841" customWidth="1"/>
    <col min="7685" max="7685" width="8.28515625" style="841" customWidth="1"/>
    <col min="7686" max="7686" width="7.7109375" style="841" customWidth="1"/>
    <col min="7687" max="7687" width="9.7109375" style="841" customWidth="1"/>
    <col min="7688" max="7688" width="7.28515625" style="841" customWidth="1"/>
    <col min="7689" max="7689" width="7.5703125" style="841" customWidth="1"/>
    <col min="7690" max="7690" width="7.7109375" style="841" customWidth="1"/>
    <col min="7691" max="7691" width="7" style="841" customWidth="1"/>
    <col min="7692" max="7692" width="7.7109375" style="841" customWidth="1"/>
    <col min="7693" max="7693" width="7" style="841" customWidth="1"/>
    <col min="7694" max="7936" width="11.5703125" style="841"/>
    <col min="7937" max="7937" width="11.42578125" style="841" customWidth="1"/>
    <col min="7938" max="7938" width="6.140625" style="841" customWidth="1"/>
    <col min="7939" max="7939" width="22.28515625" style="841" customWidth="1"/>
    <col min="7940" max="7940" width="9.28515625" style="841" customWidth="1"/>
    <col min="7941" max="7941" width="8.28515625" style="841" customWidth="1"/>
    <col min="7942" max="7942" width="7.7109375" style="841" customWidth="1"/>
    <col min="7943" max="7943" width="9.7109375" style="841" customWidth="1"/>
    <col min="7944" max="7944" width="7.28515625" style="841" customWidth="1"/>
    <col min="7945" max="7945" width="7.5703125" style="841" customWidth="1"/>
    <col min="7946" max="7946" width="7.7109375" style="841" customWidth="1"/>
    <col min="7947" max="7947" width="7" style="841" customWidth="1"/>
    <col min="7948" max="7948" width="7.7109375" style="841" customWidth="1"/>
    <col min="7949" max="7949" width="7" style="841" customWidth="1"/>
    <col min="7950" max="8192" width="11.5703125" style="841"/>
    <col min="8193" max="8193" width="11.42578125" style="841" customWidth="1"/>
    <col min="8194" max="8194" width="6.140625" style="841" customWidth="1"/>
    <col min="8195" max="8195" width="22.28515625" style="841" customWidth="1"/>
    <col min="8196" max="8196" width="9.28515625" style="841" customWidth="1"/>
    <col min="8197" max="8197" width="8.28515625" style="841" customWidth="1"/>
    <col min="8198" max="8198" width="7.7109375" style="841" customWidth="1"/>
    <col min="8199" max="8199" width="9.7109375" style="841" customWidth="1"/>
    <col min="8200" max="8200" width="7.28515625" style="841" customWidth="1"/>
    <col min="8201" max="8201" width="7.5703125" style="841" customWidth="1"/>
    <col min="8202" max="8202" width="7.7109375" style="841" customWidth="1"/>
    <col min="8203" max="8203" width="7" style="841" customWidth="1"/>
    <col min="8204" max="8204" width="7.7109375" style="841" customWidth="1"/>
    <col min="8205" max="8205" width="7" style="841" customWidth="1"/>
    <col min="8206" max="8448" width="11.5703125" style="841"/>
    <col min="8449" max="8449" width="11.42578125" style="841" customWidth="1"/>
    <col min="8450" max="8450" width="6.140625" style="841" customWidth="1"/>
    <col min="8451" max="8451" width="22.28515625" style="841" customWidth="1"/>
    <col min="8452" max="8452" width="9.28515625" style="841" customWidth="1"/>
    <col min="8453" max="8453" width="8.28515625" style="841" customWidth="1"/>
    <col min="8454" max="8454" width="7.7109375" style="841" customWidth="1"/>
    <col min="8455" max="8455" width="9.7109375" style="841" customWidth="1"/>
    <col min="8456" max="8456" width="7.28515625" style="841" customWidth="1"/>
    <col min="8457" max="8457" width="7.5703125" style="841" customWidth="1"/>
    <col min="8458" max="8458" width="7.7109375" style="841" customWidth="1"/>
    <col min="8459" max="8459" width="7" style="841" customWidth="1"/>
    <col min="8460" max="8460" width="7.7109375" style="841" customWidth="1"/>
    <col min="8461" max="8461" width="7" style="841" customWidth="1"/>
    <col min="8462" max="8704" width="11.5703125" style="841"/>
    <col min="8705" max="8705" width="11.42578125" style="841" customWidth="1"/>
    <col min="8706" max="8706" width="6.140625" style="841" customWidth="1"/>
    <col min="8707" max="8707" width="22.28515625" style="841" customWidth="1"/>
    <col min="8708" max="8708" width="9.28515625" style="841" customWidth="1"/>
    <col min="8709" max="8709" width="8.28515625" style="841" customWidth="1"/>
    <col min="8710" max="8710" width="7.7109375" style="841" customWidth="1"/>
    <col min="8711" max="8711" width="9.7109375" style="841" customWidth="1"/>
    <col min="8712" max="8712" width="7.28515625" style="841" customWidth="1"/>
    <col min="8713" max="8713" width="7.5703125" style="841" customWidth="1"/>
    <col min="8714" max="8714" width="7.7109375" style="841" customWidth="1"/>
    <col min="8715" max="8715" width="7" style="841" customWidth="1"/>
    <col min="8716" max="8716" width="7.7109375" style="841" customWidth="1"/>
    <col min="8717" max="8717" width="7" style="841" customWidth="1"/>
    <col min="8718" max="8960" width="11.5703125" style="841"/>
    <col min="8961" max="8961" width="11.42578125" style="841" customWidth="1"/>
    <col min="8962" max="8962" width="6.140625" style="841" customWidth="1"/>
    <col min="8963" max="8963" width="22.28515625" style="841" customWidth="1"/>
    <col min="8964" max="8964" width="9.28515625" style="841" customWidth="1"/>
    <col min="8965" max="8965" width="8.28515625" style="841" customWidth="1"/>
    <col min="8966" max="8966" width="7.7109375" style="841" customWidth="1"/>
    <col min="8967" max="8967" width="9.7109375" style="841" customWidth="1"/>
    <col min="8968" max="8968" width="7.28515625" style="841" customWidth="1"/>
    <col min="8969" max="8969" width="7.5703125" style="841" customWidth="1"/>
    <col min="8970" max="8970" width="7.7109375" style="841" customWidth="1"/>
    <col min="8971" max="8971" width="7" style="841" customWidth="1"/>
    <col min="8972" max="8972" width="7.7109375" style="841" customWidth="1"/>
    <col min="8973" max="8973" width="7" style="841" customWidth="1"/>
    <col min="8974" max="9216" width="11.5703125" style="841"/>
    <col min="9217" max="9217" width="11.42578125" style="841" customWidth="1"/>
    <col min="9218" max="9218" width="6.140625" style="841" customWidth="1"/>
    <col min="9219" max="9219" width="22.28515625" style="841" customWidth="1"/>
    <col min="9220" max="9220" width="9.28515625" style="841" customWidth="1"/>
    <col min="9221" max="9221" width="8.28515625" style="841" customWidth="1"/>
    <col min="9222" max="9222" width="7.7109375" style="841" customWidth="1"/>
    <col min="9223" max="9223" width="9.7109375" style="841" customWidth="1"/>
    <col min="9224" max="9224" width="7.28515625" style="841" customWidth="1"/>
    <col min="9225" max="9225" width="7.5703125" style="841" customWidth="1"/>
    <col min="9226" max="9226" width="7.7109375" style="841" customWidth="1"/>
    <col min="9227" max="9227" width="7" style="841" customWidth="1"/>
    <col min="9228" max="9228" width="7.7109375" style="841" customWidth="1"/>
    <col min="9229" max="9229" width="7" style="841" customWidth="1"/>
    <col min="9230" max="9472" width="11.5703125" style="841"/>
    <col min="9473" max="9473" width="11.42578125" style="841" customWidth="1"/>
    <col min="9474" max="9474" width="6.140625" style="841" customWidth="1"/>
    <col min="9475" max="9475" width="22.28515625" style="841" customWidth="1"/>
    <col min="9476" max="9476" width="9.28515625" style="841" customWidth="1"/>
    <col min="9477" max="9477" width="8.28515625" style="841" customWidth="1"/>
    <col min="9478" max="9478" width="7.7109375" style="841" customWidth="1"/>
    <col min="9479" max="9479" width="9.7109375" style="841" customWidth="1"/>
    <col min="9480" max="9480" width="7.28515625" style="841" customWidth="1"/>
    <col min="9481" max="9481" width="7.5703125" style="841" customWidth="1"/>
    <col min="9482" max="9482" width="7.7109375" style="841" customWidth="1"/>
    <col min="9483" max="9483" width="7" style="841" customWidth="1"/>
    <col min="9484" max="9484" width="7.7109375" style="841" customWidth="1"/>
    <col min="9485" max="9485" width="7" style="841" customWidth="1"/>
    <col min="9486" max="9728" width="11.5703125" style="841"/>
    <col min="9729" max="9729" width="11.42578125" style="841" customWidth="1"/>
    <col min="9730" max="9730" width="6.140625" style="841" customWidth="1"/>
    <col min="9731" max="9731" width="22.28515625" style="841" customWidth="1"/>
    <col min="9732" max="9732" width="9.28515625" style="841" customWidth="1"/>
    <col min="9733" max="9733" width="8.28515625" style="841" customWidth="1"/>
    <col min="9734" max="9734" width="7.7109375" style="841" customWidth="1"/>
    <col min="9735" max="9735" width="9.7109375" style="841" customWidth="1"/>
    <col min="9736" max="9736" width="7.28515625" style="841" customWidth="1"/>
    <col min="9737" max="9737" width="7.5703125" style="841" customWidth="1"/>
    <col min="9738" max="9738" width="7.7109375" style="841" customWidth="1"/>
    <col min="9739" max="9739" width="7" style="841" customWidth="1"/>
    <col min="9740" max="9740" width="7.7109375" style="841" customWidth="1"/>
    <col min="9741" max="9741" width="7" style="841" customWidth="1"/>
    <col min="9742" max="9984" width="11.5703125" style="841"/>
    <col min="9985" max="9985" width="11.42578125" style="841" customWidth="1"/>
    <col min="9986" max="9986" width="6.140625" style="841" customWidth="1"/>
    <col min="9987" max="9987" width="22.28515625" style="841" customWidth="1"/>
    <col min="9988" max="9988" width="9.28515625" style="841" customWidth="1"/>
    <col min="9989" max="9989" width="8.28515625" style="841" customWidth="1"/>
    <col min="9990" max="9990" width="7.7109375" style="841" customWidth="1"/>
    <col min="9991" max="9991" width="9.7109375" style="841" customWidth="1"/>
    <col min="9992" max="9992" width="7.28515625" style="841" customWidth="1"/>
    <col min="9993" max="9993" width="7.5703125" style="841" customWidth="1"/>
    <col min="9994" max="9994" width="7.7109375" style="841" customWidth="1"/>
    <col min="9995" max="9995" width="7" style="841" customWidth="1"/>
    <col min="9996" max="9996" width="7.7109375" style="841" customWidth="1"/>
    <col min="9997" max="9997" width="7" style="841" customWidth="1"/>
    <col min="9998" max="10240" width="11.5703125" style="841"/>
    <col min="10241" max="10241" width="11.42578125" style="841" customWidth="1"/>
    <col min="10242" max="10242" width="6.140625" style="841" customWidth="1"/>
    <col min="10243" max="10243" width="22.28515625" style="841" customWidth="1"/>
    <col min="10244" max="10244" width="9.28515625" style="841" customWidth="1"/>
    <col min="10245" max="10245" width="8.28515625" style="841" customWidth="1"/>
    <col min="10246" max="10246" width="7.7109375" style="841" customWidth="1"/>
    <col min="10247" max="10247" width="9.7109375" style="841" customWidth="1"/>
    <col min="10248" max="10248" width="7.28515625" style="841" customWidth="1"/>
    <col min="10249" max="10249" width="7.5703125" style="841" customWidth="1"/>
    <col min="10250" max="10250" width="7.7109375" style="841" customWidth="1"/>
    <col min="10251" max="10251" width="7" style="841" customWidth="1"/>
    <col min="10252" max="10252" width="7.7109375" style="841" customWidth="1"/>
    <col min="10253" max="10253" width="7" style="841" customWidth="1"/>
    <col min="10254" max="10496" width="11.5703125" style="841"/>
    <col min="10497" max="10497" width="11.42578125" style="841" customWidth="1"/>
    <col min="10498" max="10498" width="6.140625" style="841" customWidth="1"/>
    <col min="10499" max="10499" width="22.28515625" style="841" customWidth="1"/>
    <col min="10500" max="10500" width="9.28515625" style="841" customWidth="1"/>
    <col min="10501" max="10501" width="8.28515625" style="841" customWidth="1"/>
    <col min="10502" max="10502" width="7.7109375" style="841" customWidth="1"/>
    <col min="10503" max="10503" width="9.7109375" style="841" customWidth="1"/>
    <col min="10504" max="10504" width="7.28515625" style="841" customWidth="1"/>
    <col min="10505" max="10505" width="7.5703125" style="841" customWidth="1"/>
    <col min="10506" max="10506" width="7.7109375" style="841" customWidth="1"/>
    <col min="10507" max="10507" width="7" style="841" customWidth="1"/>
    <col min="10508" max="10508" width="7.7109375" style="841" customWidth="1"/>
    <col min="10509" max="10509" width="7" style="841" customWidth="1"/>
    <col min="10510" max="10752" width="11.5703125" style="841"/>
    <col min="10753" max="10753" width="11.42578125" style="841" customWidth="1"/>
    <col min="10754" max="10754" width="6.140625" style="841" customWidth="1"/>
    <col min="10755" max="10755" width="22.28515625" style="841" customWidth="1"/>
    <col min="10756" max="10756" width="9.28515625" style="841" customWidth="1"/>
    <col min="10757" max="10757" width="8.28515625" style="841" customWidth="1"/>
    <col min="10758" max="10758" width="7.7109375" style="841" customWidth="1"/>
    <col min="10759" max="10759" width="9.7109375" style="841" customWidth="1"/>
    <col min="10760" max="10760" width="7.28515625" style="841" customWidth="1"/>
    <col min="10761" max="10761" width="7.5703125" style="841" customWidth="1"/>
    <col min="10762" max="10762" width="7.7109375" style="841" customWidth="1"/>
    <col min="10763" max="10763" width="7" style="841" customWidth="1"/>
    <col min="10764" max="10764" width="7.7109375" style="841" customWidth="1"/>
    <col min="10765" max="10765" width="7" style="841" customWidth="1"/>
    <col min="10766" max="11008" width="11.5703125" style="841"/>
    <col min="11009" max="11009" width="11.42578125" style="841" customWidth="1"/>
    <col min="11010" max="11010" width="6.140625" style="841" customWidth="1"/>
    <col min="11011" max="11011" width="22.28515625" style="841" customWidth="1"/>
    <col min="11012" max="11012" width="9.28515625" style="841" customWidth="1"/>
    <col min="11013" max="11013" width="8.28515625" style="841" customWidth="1"/>
    <col min="11014" max="11014" width="7.7109375" style="841" customWidth="1"/>
    <col min="11015" max="11015" width="9.7109375" style="841" customWidth="1"/>
    <col min="11016" max="11016" width="7.28515625" style="841" customWidth="1"/>
    <col min="11017" max="11017" width="7.5703125" style="841" customWidth="1"/>
    <col min="11018" max="11018" width="7.7109375" style="841" customWidth="1"/>
    <col min="11019" max="11019" width="7" style="841" customWidth="1"/>
    <col min="11020" max="11020" width="7.7109375" style="841" customWidth="1"/>
    <col min="11021" max="11021" width="7" style="841" customWidth="1"/>
    <col min="11022" max="11264" width="11.5703125" style="841"/>
    <col min="11265" max="11265" width="11.42578125" style="841" customWidth="1"/>
    <col min="11266" max="11266" width="6.140625" style="841" customWidth="1"/>
    <col min="11267" max="11267" width="22.28515625" style="841" customWidth="1"/>
    <col min="11268" max="11268" width="9.28515625" style="841" customWidth="1"/>
    <col min="11269" max="11269" width="8.28515625" style="841" customWidth="1"/>
    <col min="11270" max="11270" width="7.7109375" style="841" customWidth="1"/>
    <col min="11271" max="11271" width="9.7109375" style="841" customWidth="1"/>
    <col min="11272" max="11272" width="7.28515625" style="841" customWidth="1"/>
    <col min="11273" max="11273" width="7.5703125" style="841" customWidth="1"/>
    <col min="11274" max="11274" width="7.7109375" style="841" customWidth="1"/>
    <col min="11275" max="11275" width="7" style="841" customWidth="1"/>
    <col min="11276" max="11276" width="7.7109375" style="841" customWidth="1"/>
    <col min="11277" max="11277" width="7" style="841" customWidth="1"/>
    <col min="11278" max="11520" width="11.5703125" style="841"/>
    <col min="11521" max="11521" width="11.42578125" style="841" customWidth="1"/>
    <col min="11522" max="11522" width="6.140625" style="841" customWidth="1"/>
    <col min="11523" max="11523" width="22.28515625" style="841" customWidth="1"/>
    <col min="11524" max="11524" width="9.28515625" style="841" customWidth="1"/>
    <col min="11525" max="11525" width="8.28515625" style="841" customWidth="1"/>
    <col min="11526" max="11526" width="7.7109375" style="841" customWidth="1"/>
    <col min="11527" max="11527" width="9.7109375" style="841" customWidth="1"/>
    <col min="11528" max="11528" width="7.28515625" style="841" customWidth="1"/>
    <col min="11529" max="11529" width="7.5703125" style="841" customWidth="1"/>
    <col min="11530" max="11530" width="7.7109375" style="841" customWidth="1"/>
    <col min="11531" max="11531" width="7" style="841" customWidth="1"/>
    <col min="11532" max="11532" width="7.7109375" style="841" customWidth="1"/>
    <col min="11533" max="11533" width="7" style="841" customWidth="1"/>
    <col min="11534" max="11776" width="11.5703125" style="841"/>
    <col min="11777" max="11777" width="11.42578125" style="841" customWidth="1"/>
    <col min="11778" max="11778" width="6.140625" style="841" customWidth="1"/>
    <col min="11779" max="11779" width="22.28515625" style="841" customWidth="1"/>
    <col min="11780" max="11780" width="9.28515625" style="841" customWidth="1"/>
    <col min="11781" max="11781" width="8.28515625" style="841" customWidth="1"/>
    <col min="11782" max="11782" width="7.7109375" style="841" customWidth="1"/>
    <col min="11783" max="11783" width="9.7109375" style="841" customWidth="1"/>
    <col min="11784" max="11784" width="7.28515625" style="841" customWidth="1"/>
    <col min="11785" max="11785" width="7.5703125" style="841" customWidth="1"/>
    <col min="11786" max="11786" width="7.7109375" style="841" customWidth="1"/>
    <col min="11787" max="11787" width="7" style="841" customWidth="1"/>
    <col min="11788" max="11788" width="7.7109375" style="841" customWidth="1"/>
    <col min="11789" max="11789" width="7" style="841" customWidth="1"/>
    <col min="11790" max="12032" width="11.5703125" style="841"/>
    <col min="12033" max="12033" width="11.42578125" style="841" customWidth="1"/>
    <col min="12034" max="12034" width="6.140625" style="841" customWidth="1"/>
    <col min="12035" max="12035" width="22.28515625" style="841" customWidth="1"/>
    <col min="12036" max="12036" width="9.28515625" style="841" customWidth="1"/>
    <col min="12037" max="12037" width="8.28515625" style="841" customWidth="1"/>
    <col min="12038" max="12038" width="7.7109375" style="841" customWidth="1"/>
    <col min="12039" max="12039" width="9.7109375" style="841" customWidth="1"/>
    <col min="12040" max="12040" width="7.28515625" style="841" customWidth="1"/>
    <col min="12041" max="12041" width="7.5703125" style="841" customWidth="1"/>
    <col min="12042" max="12042" width="7.7109375" style="841" customWidth="1"/>
    <col min="12043" max="12043" width="7" style="841" customWidth="1"/>
    <col min="12044" max="12044" width="7.7109375" style="841" customWidth="1"/>
    <col min="12045" max="12045" width="7" style="841" customWidth="1"/>
    <col min="12046" max="12288" width="11.5703125" style="841"/>
    <col min="12289" max="12289" width="11.42578125" style="841" customWidth="1"/>
    <col min="12290" max="12290" width="6.140625" style="841" customWidth="1"/>
    <col min="12291" max="12291" width="22.28515625" style="841" customWidth="1"/>
    <col min="12292" max="12292" width="9.28515625" style="841" customWidth="1"/>
    <col min="12293" max="12293" width="8.28515625" style="841" customWidth="1"/>
    <col min="12294" max="12294" width="7.7109375" style="841" customWidth="1"/>
    <col min="12295" max="12295" width="9.7109375" style="841" customWidth="1"/>
    <col min="12296" max="12296" width="7.28515625" style="841" customWidth="1"/>
    <col min="12297" max="12297" width="7.5703125" style="841" customWidth="1"/>
    <col min="12298" max="12298" width="7.7109375" style="841" customWidth="1"/>
    <col min="12299" max="12299" width="7" style="841" customWidth="1"/>
    <col min="12300" max="12300" width="7.7109375" style="841" customWidth="1"/>
    <col min="12301" max="12301" width="7" style="841" customWidth="1"/>
    <col min="12302" max="12544" width="11.5703125" style="841"/>
    <col min="12545" max="12545" width="11.42578125" style="841" customWidth="1"/>
    <col min="12546" max="12546" width="6.140625" style="841" customWidth="1"/>
    <col min="12547" max="12547" width="22.28515625" style="841" customWidth="1"/>
    <col min="12548" max="12548" width="9.28515625" style="841" customWidth="1"/>
    <col min="12549" max="12549" width="8.28515625" style="841" customWidth="1"/>
    <col min="12550" max="12550" width="7.7109375" style="841" customWidth="1"/>
    <col min="12551" max="12551" width="9.7109375" style="841" customWidth="1"/>
    <col min="12552" max="12552" width="7.28515625" style="841" customWidth="1"/>
    <col min="12553" max="12553" width="7.5703125" style="841" customWidth="1"/>
    <col min="12554" max="12554" width="7.7109375" style="841" customWidth="1"/>
    <col min="12555" max="12555" width="7" style="841" customWidth="1"/>
    <col min="12556" max="12556" width="7.7109375" style="841" customWidth="1"/>
    <col min="12557" max="12557" width="7" style="841" customWidth="1"/>
    <col min="12558" max="12800" width="11.5703125" style="841"/>
    <col min="12801" max="12801" width="11.42578125" style="841" customWidth="1"/>
    <col min="12802" max="12802" width="6.140625" style="841" customWidth="1"/>
    <col min="12803" max="12803" width="22.28515625" style="841" customWidth="1"/>
    <col min="12804" max="12804" width="9.28515625" style="841" customWidth="1"/>
    <col min="12805" max="12805" width="8.28515625" style="841" customWidth="1"/>
    <col min="12806" max="12806" width="7.7109375" style="841" customWidth="1"/>
    <col min="12807" max="12807" width="9.7109375" style="841" customWidth="1"/>
    <col min="12808" max="12808" width="7.28515625" style="841" customWidth="1"/>
    <col min="12809" max="12809" width="7.5703125" style="841" customWidth="1"/>
    <col min="12810" max="12810" width="7.7109375" style="841" customWidth="1"/>
    <col min="12811" max="12811" width="7" style="841" customWidth="1"/>
    <col min="12812" max="12812" width="7.7109375" style="841" customWidth="1"/>
    <col min="12813" max="12813" width="7" style="841" customWidth="1"/>
    <col min="12814" max="13056" width="11.5703125" style="841"/>
    <col min="13057" max="13057" width="11.42578125" style="841" customWidth="1"/>
    <col min="13058" max="13058" width="6.140625" style="841" customWidth="1"/>
    <col min="13059" max="13059" width="22.28515625" style="841" customWidth="1"/>
    <col min="13060" max="13060" width="9.28515625" style="841" customWidth="1"/>
    <col min="13061" max="13061" width="8.28515625" style="841" customWidth="1"/>
    <col min="13062" max="13062" width="7.7109375" style="841" customWidth="1"/>
    <col min="13063" max="13063" width="9.7109375" style="841" customWidth="1"/>
    <col min="13064" max="13064" width="7.28515625" style="841" customWidth="1"/>
    <col min="13065" max="13065" width="7.5703125" style="841" customWidth="1"/>
    <col min="13066" max="13066" width="7.7109375" style="841" customWidth="1"/>
    <col min="13067" max="13067" width="7" style="841" customWidth="1"/>
    <col min="13068" max="13068" width="7.7109375" style="841" customWidth="1"/>
    <col min="13069" max="13069" width="7" style="841" customWidth="1"/>
    <col min="13070" max="13312" width="11.5703125" style="841"/>
    <col min="13313" max="13313" width="11.42578125" style="841" customWidth="1"/>
    <col min="13314" max="13314" width="6.140625" style="841" customWidth="1"/>
    <col min="13315" max="13315" width="22.28515625" style="841" customWidth="1"/>
    <col min="13316" max="13316" width="9.28515625" style="841" customWidth="1"/>
    <col min="13317" max="13317" width="8.28515625" style="841" customWidth="1"/>
    <col min="13318" max="13318" width="7.7109375" style="841" customWidth="1"/>
    <col min="13319" max="13319" width="9.7109375" style="841" customWidth="1"/>
    <col min="13320" max="13320" width="7.28515625" style="841" customWidth="1"/>
    <col min="13321" max="13321" width="7.5703125" style="841" customWidth="1"/>
    <col min="13322" max="13322" width="7.7109375" style="841" customWidth="1"/>
    <col min="13323" max="13323" width="7" style="841" customWidth="1"/>
    <col min="13324" max="13324" width="7.7109375" style="841" customWidth="1"/>
    <col min="13325" max="13325" width="7" style="841" customWidth="1"/>
    <col min="13326" max="13568" width="11.5703125" style="841"/>
    <col min="13569" max="13569" width="11.42578125" style="841" customWidth="1"/>
    <col min="13570" max="13570" width="6.140625" style="841" customWidth="1"/>
    <col min="13571" max="13571" width="22.28515625" style="841" customWidth="1"/>
    <col min="13572" max="13572" width="9.28515625" style="841" customWidth="1"/>
    <col min="13573" max="13573" width="8.28515625" style="841" customWidth="1"/>
    <col min="13574" max="13574" width="7.7109375" style="841" customWidth="1"/>
    <col min="13575" max="13575" width="9.7109375" style="841" customWidth="1"/>
    <col min="13576" max="13576" width="7.28515625" style="841" customWidth="1"/>
    <col min="13577" max="13577" width="7.5703125" style="841" customWidth="1"/>
    <col min="13578" max="13578" width="7.7109375" style="841" customWidth="1"/>
    <col min="13579" max="13579" width="7" style="841" customWidth="1"/>
    <col min="13580" max="13580" width="7.7109375" style="841" customWidth="1"/>
    <col min="13581" max="13581" width="7" style="841" customWidth="1"/>
    <col min="13582" max="13824" width="11.5703125" style="841"/>
    <col min="13825" max="13825" width="11.42578125" style="841" customWidth="1"/>
    <col min="13826" max="13826" width="6.140625" style="841" customWidth="1"/>
    <col min="13827" max="13827" width="22.28515625" style="841" customWidth="1"/>
    <col min="13828" max="13828" width="9.28515625" style="841" customWidth="1"/>
    <col min="13829" max="13829" width="8.28515625" style="841" customWidth="1"/>
    <col min="13830" max="13830" width="7.7109375" style="841" customWidth="1"/>
    <col min="13831" max="13831" width="9.7109375" style="841" customWidth="1"/>
    <col min="13832" max="13832" width="7.28515625" style="841" customWidth="1"/>
    <col min="13833" max="13833" width="7.5703125" style="841" customWidth="1"/>
    <col min="13834" max="13834" width="7.7109375" style="841" customWidth="1"/>
    <col min="13835" max="13835" width="7" style="841" customWidth="1"/>
    <col min="13836" max="13836" width="7.7109375" style="841" customWidth="1"/>
    <col min="13837" max="13837" width="7" style="841" customWidth="1"/>
    <col min="13838" max="14080" width="11.5703125" style="841"/>
    <col min="14081" max="14081" width="11.42578125" style="841" customWidth="1"/>
    <col min="14082" max="14082" width="6.140625" style="841" customWidth="1"/>
    <col min="14083" max="14083" width="22.28515625" style="841" customWidth="1"/>
    <col min="14084" max="14084" width="9.28515625" style="841" customWidth="1"/>
    <col min="14085" max="14085" width="8.28515625" style="841" customWidth="1"/>
    <col min="14086" max="14086" width="7.7109375" style="841" customWidth="1"/>
    <col min="14087" max="14087" width="9.7109375" style="841" customWidth="1"/>
    <col min="14088" max="14088" width="7.28515625" style="841" customWidth="1"/>
    <col min="14089" max="14089" width="7.5703125" style="841" customWidth="1"/>
    <col min="14090" max="14090" width="7.7109375" style="841" customWidth="1"/>
    <col min="14091" max="14091" width="7" style="841" customWidth="1"/>
    <col min="14092" max="14092" width="7.7109375" style="841" customWidth="1"/>
    <col min="14093" max="14093" width="7" style="841" customWidth="1"/>
    <col min="14094" max="14336" width="11.5703125" style="841"/>
    <col min="14337" max="14337" width="11.42578125" style="841" customWidth="1"/>
    <col min="14338" max="14338" width="6.140625" style="841" customWidth="1"/>
    <col min="14339" max="14339" width="22.28515625" style="841" customWidth="1"/>
    <col min="14340" max="14340" width="9.28515625" style="841" customWidth="1"/>
    <col min="14341" max="14341" width="8.28515625" style="841" customWidth="1"/>
    <col min="14342" max="14342" width="7.7109375" style="841" customWidth="1"/>
    <col min="14343" max="14343" width="9.7109375" style="841" customWidth="1"/>
    <col min="14344" max="14344" width="7.28515625" style="841" customWidth="1"/>
    <col min="14345" max="14345" width="7.5703125" style="841" customWidth="1"/>
    <col min="14346" max="14346" width="7.7109375" style="841" customWidth="1"/>
    <col min="14347" max="14347" width="7" style="841" customWidth="1"/>
    <col min="14348" max="14348" width="7.7109375" style="841" customWidth="1"/>
    <col min="14349" max="14349" width="7" style="841" customWidth="1"/>
    <col min="14350" max="14592" width="11.5703125" style="841"/>
    <col min="14593" max="14593" width="11.42578125" style="841" customWidth="1"/>
    <col min="14594" max="14594" width="6.140625" style="841" customWidth="1"/>
    <col min="14595" max="14595" width="22.28515625" style="841" customWidth="1"/>
    <col min="14596" max="14596" width="9.28515625" style="841" customWidth="1"/>
    <col min="14597" max="14597" width="8.28515625" style="841" customWidth="1"/>
    <col min="14598" max="14598" width="7.7109375" style="841" customWidth="1"/>
    <col min="14599" max="14599" width="9.7109375" style="841" customWidth="1"/>
    <col min="14600" max="14600" width="7.28515625" style="841" customWidth="1"/>
    <col min="14601" max="14601" width="7.5703125" style="841" customWidth="1"/>
    <col min="14602" max="14602" width="7.7109375" style="841" customWidth="1"/>
    <col min="14603" max="14603" width="7" style="841" customWidth="1"/>
    <col min="14604" max="14604" width="7.7109375" style="841" customWidth="1"/>
    <col min="14605" max="14605" width="7" style="841" customWidth="1"/>
    <col min="14606" max="14848" width="11.5703125" style="841"/>
    <col min="14849" max="14849" width="11.42578125" style="841" customWidth="1"/>
    <col min="14850" max="14850" width="6.140625" style="841" customWidth="1"/>
    <col min="14851" max="14851" width="22.28515625" style="841" customWidth="1"/>
    <col min="14852" max="14852" width="9.28515625" style="841" customWidth="1"/>
    <col min="14853" max="14853" width="8.28515625" style="841" customWidth="1"/>
    <col min="14854" max="14854" width="7.7109375" style="841" customWidth="1"/>
    <col min="14855" max="14855" width="9.7109375" style="841" customWidth="1"/>
    <col min="14856" max="14856" width="7.28515625" style="841" customWidth="1"/>
    <col min="14857" max="14857" width="7.5703125" style="841" customWidth="1"/>
    <col min="14858" max="14858" width="7.7109375" style="841" customWidth="1"/>
    <col min="14859" max="14859" width="7" style="841" customWidth="1"/>
    <col min="14860" max="14860" width="7.7109375" style="841" customWidth="1"/>
    <col min="14861" max="14861" width="7" style="841" customWidth="1"/>
    <col min="14862" max="15104" width="11.5703125" style="841"/>
    <col min="15105" max="15105" width="11.42578125" style="841" customWidth="1"/>
    <col min="15106" max="15106" width="6.140625" style="841" customWidth="1"/>
    <col min="15107" max="15107" width="22.28515625" style="841" customWidth="1"/>
    <col min="15108" max="15108" width="9.28515625" style="841" customWidth="1"/>
    <col min="15109" max="15109" width="8.28515625" style="841" customWidth="1"/>
    <col min="15110" max="15110" width="7.7109375" style="841" customWidth="1"/>
    <col min="15111" max="15111" width="9.7109375" style="841" customWidth="1"/>
    <col min="15112" max="15112" width="7.28515625" style="841" customWidth="1"/>
    <col min="15113" max="15113" width="7.5703125" style="841" customWidth="1"/>
    <col min="15114" max="15114" width="7.7109375" style="841" customWidth="1"/>
    <col min="15115" max="15115" width="7" style="841" customWidth="1"/>
    <col min="15116" max="15116" width="7.7109375" style="841" customWidth="1"/>
    <col min="15117" max="15117" width="7" style="841" customWidth="1"/>
    <col min="15118" max="15360" width="11.5703125" style="841"/>
    <col min="15361" max="15361" width="11.42578125" style="841" customWidth="1"/>
    <col min="15362" max="15362" width="6.140625" style="841" customWidth="1"/>
    <col min="15363" max="15363" width="22.28515625" style="841" customWidth="1"/>
    <col min="15364" max="15364" width="9.28515625" style="841" customWidth="1"/>
    <col min="15365" max="15365" width="8.28515625" style="841" customWidth="1"/>
    <col min="15366" max="15366" width="7.7109375" style="841" customWidth="1"/>
    <col min="15367" max="15367" width="9.7109375" style="841" customWidth="1"/>
    <col min="15368" max="15368" width="7.28515625" style="841" customWidth="1"/>
    <col min="15369" max="15369" width="7.5703125" style="841" customWidth="1"/>
    <col min="15370" max="15370" width="7.7109375" style="841" customWidth="1"/>
    <col min="15371" max="15371" width="7" style="841" customWidth="1"/>
    <col min="15372" max="15372" width="7.7109375" style="841" customWidth="1"/>
    <col min="15373" max="15373" width="7" style="841" customWidth="1"/>
    <col min="15374" max="15616" width="11.5703125" style="841"/>
    <col min="15617" max="15617" width="11.42578125" style="841" customWidth="1"/>
    <col min="15618" max="15618" width="6.140625" style="841" customWidth="1"/>
    <col min="15619" max="15619" width="22.28515625" style="841" customWidth="1"/>
    <col min="15620" max="15620" width="9.28515625" style="841" customWidth="1"/>
    <col min="15621" max="15621" width="8.28515625" style="841" customWidth="1"/>
    <col min="15622" max="15622" width="7.7109375" style="841" customWidth="1"/>
    <col min="15623" max="15623" width="9.7109375" style="841" customWidth="1"/>
    <col min="15624" max="15624" width="7.28515625" style="841" customWidth="1"/>
    <col min="15625" max="15625" width="7.5703125" style="841" customWidth="1"/>
    <col min="15626" max="15626" width="7.7109375" style="841" customWidth="1"/>
    <col min="15627" max="15627" width="7" style="841" customWidth="1"/>
    <col min="15628" max="15628" width="7.7109375" style="841" customWidth="1"/>
    <col min="15629" max="15629" width="7" style="841" customWidth="1"/>
    <col min="15630" max="15872" width="11.5703125" style="841"/>
    <col min="15873" max="15873" width="11.42578125" style="841" customWidth="1"/>
    <col min="15874" max="15874" width="6.140625" style="841" customWidth="1"/>
    <col min="15875" max="15875" width="22.28515625" style="841" customWidth="1"/>
    <col min="15876" max="15876" width="9.28515625" style="841" customWidth="1"/>
    <col min="15877" max="15877" width="8.28515625" style="841" customWidth="1"/>
    <col min="15878" max="15878" width="7.7109375" style="841" customWidth="1"/>
    <col min="15879" max="15879" width="9.7109375" style="841" customWidth="1"/>
    <col min="15880" max="15880" width="7.28515625" style="841" customWidth="1"/>
    <col min="15881" max="15881" width="7.5703125" style="841" customWidth="1"/>
    <col min="15882" max="15882" width="7.7109375" style="841" customWidth="1"/>
    <col min="15883" max="15883" width="7" style="841" customWidth="1"/>
    <col min="15884" max="15884" width="7.7109375" style="841" customWidth="1"/>
    <col min="15885" max="15885" width="7" style="841" customWidth="1"/>
    <col min="15886" max="16128" width="11.5703125" style="841"/>
    <col min="16129" max="16129" width="11.42578125" style="841" customWidth="1"/>
    <col min="16130" max="16130" width="6.140625" style="841" customWidth="1"/>
    <col min="16131" max="16131" width="22.28515625" style="841" customWidth="1"/>
    <col min="16132" max="16132" width="9.28515625" style="841" customWidth="1"/>
    <col min="16133" max="16133" width="8.28515625" style="841" customWidth="1"/>
    <col min="16134" max="16134" width="7.7109375" style="841" customWidth="1"/>
    <col min="16135" max="16135" width="9.7109375" style="841" customWidth="1"/>
    <col min="16136" max="16136" width="7.28515625" style="841" customWidth="1"/>
    <col min="16137" max="16137" width="7.5703125" style="841" customWidth="1"/>
    <col min="16138" max="16138" width="7.7109375" style="841" customWidth="1"/>
    <col min="16139" max="16139" width="7" style="841" customWidth="1"/>
    <col min="16140" max="16140" width="7.7109375" style="841" customWidth="1"/>
    <col min="16141" max="16141" width="7" style="841" customWidth="1"/>
    <col min="16142" max="16384" width="11.5703125" style="841"/>
  </cols>
  <sheetData>
    <row r="1" spans="1:15" ht="26.25" customHeight="1" x14ac:dyDescent="0.4">
      <c r="A1" s="909" t="s">
        <v>1667</v>
      </c>
      <c r="B1" s="910"/>
      <c r="C1" s="911"/>
      <c r="F1" s="912" t="s">
        <v>1815</v>
      </c>
      <c r="G1" s="913"/>
      <c r="H1" s="913"/>
      <c r="I1" s="913"/>
      <c r="J1" s="913"/>
      <c r="K1" s="913"/>
      <c r="L1" s="914"/>
    </row>
    <row r="2" spans="1:15" ht="21" customHeight="1" x14ac:dyDescent="0.35">
      <c r="A2" s="905" t="s">
        <v>1669</v>
      </c>
      <c r="B2" s="906"/>
      <c r="C2" s="842" t="s">
        <v>1670</v>
      </c>
      <c r="F2" s="905" t="s">
        <v>1669</v>
      </c>
      <c r="G2" s="906"/>
      <c r="H2" s="907" t="s">
        <v>1681</v>
      </c>
      <c r="I2" s="907"/>
      <c r="J2" s="907"/>
      <c r="K2" s="907"/>
      <c r="L2" s="908"/>
    </row>
    <row r="3" spans="1:15" ht="21.75" customHeight="1" x14ac:dyDescent="0.35">
      <c r="A3" s="905" t="s">
        <v>1671</v>
      </c>
      <c r="B3" s="906"/>
      <c r="C3" s="842" t="s">
        <v>1672</v>
      </c>
      <c r="F3" s="905" t="s">
        <v>1671</v>
      </c>
      <c r="G3" s="906"/>
      <c r="H3" s="907" t="s">
        <v>1682</v>
      </c>
      <c r="I3" s="907"/>
      <c r="J3" s="907"/>
      <c r="K3" s="907"/>
      <c r="L3" s="908"/>
    </row>
    <row r="4" spans="1:15" ht="21.75" thickBot="1" x14ac:dyDescent="0.4">
      <c r="A4" s="915" t="s">
        <v>1673</v>
      </c>
      <c r="B4" s="916"/>
      <c r="C4" s="843" t="s">
        <v>1674</v>
      </c>
      <c r="F4" s="915" t="s">
        <v>1673</v>
      </c>
      <c r="G4" s="916"/>
      <c r="H4" s="917" t="s">
        <v>1816</v>
      </c>
      <c r="I4" s="917"/>
      <c r="J4" s="917"/>
      <c r="K4" s="917"/>
      <c r="L4" s="918"/>
    </row>
    <row r="5" spans="1:15" ht="7.5" customHeight="1" thickBot="1" x14ac:dyDescent="0.4">
      <c r="A5" s="844"/>
      <c r="C5" s="844"/>
    </row>
    <row r="6" spans="1:15" ht="35.450000000000003" customHeight="1" thickBot="1" x14ac:dyDescent="0.25">
      <c r="A6" s="919" t="s">
        <v>1668</v>
      </c>
      <c r="B6" s="920"/>
      <c r="C6" s="921"/>
      <c r="F6" s="922" t="s">
        <v>1675</v>
      </c>
      <c r="G6" s="923"/>
      <c r="H6" s="924"/>
      <c r="I6" s="925">
        <f ca="1">+TODAY()</f>
        <v>46099</v>
      </c>
      <c r="J6" s="926"/>
      <c r="K6" s="926"/>
      <c r="L6" s="926"/>
      <c r="M6" s="927"/>
    </row>
    <row r="7" spans="1:15" ht="3" customHeight="1" thickBot="1" x14ac:dyDescent="0.25"/>
    <row r="8" spans="1:15" ht="42.75" customHeight="1" thickBot="1" x14ac:dyDescent="0.25">
      <c r="A8" s="935" t="s">
        <v>1676</v>
      </c>
      <c r="B8" s="936"/>
      <c r="C8" s="845" t="s">
        <v>1683</v>
      </c>
      <c r="D8" s="846" t="s">
        <v>1677</v>
      </c>
      <c r="E8" s="847">
        <v>4227</v>
      </c>
      <c r="F8" s="935" t="s">
        <v>1678</v>
      </c>
      <c r="G8" s="937"/>
      <c r="H8" s="936"/>
      <c r="I8" s="938" t="s">
        <v>1672</v>
      </c>
      <c r="J8" s="939"/>
      <c r="K8" s="939"/>
      <c r="L8" s="939"/>
      <c r="M8" s="940"/>
    </row>
    <row r="9" spans="1:15" ht="7.5" customHeight="1" thickBot="1" x14ac:dyDescent="0.4">
      <c r="A9" s="844"/>
      <c r="C9" s="844"/>
    </row>
    <row r="10" spans="1:15" ht="39.6" customHeight="1" thickBot="1" x14ac:dyDescent="0.25">
      <c r="A10" s="941" t="s">
        <v>1818</v>
      </c>
      <c r="B10" s="942"/>
      <c r="C10" s="942"/>
      <c r="D10" s="942"/>
      <c r="E10" s="942"/>
      <c r="F10" s="942"/>
      <c r="G10" s="942"/>
      <c r="H10" s="942"/>
      <c r="I10" s="942"/>
      <c r="J10" s="942"/>
      <c r="K10" s="942"/>
      <c r="L10" s="942"/>
      <c r="M10" s="943"/>
    </row>
    <row r="11" spans="1:15" ht="6" customHeight="1" thickBot="1" x14ac:dyDescent="0.4">
      <c r="A11" s="844"/>
      <c r="C11" s="844"/>
    </row>
    <row r="12" spans="1:15" ht="27" thickBot="1" x14ac:dyDescent="0.25">
      <c r="A12" s="944" t="s">
        <v>1679</v>
      </c>
      <c r="B12" s="945"/>
      <c r="C12" s="945"/>
      <c r="D12" s="945"/>
      <c r="E12" s="945"/>
      <c r="F12" s="945"/>
      <c r="G12" s="945"/>
      <c r="H12" s="945"/>
      <c r="I12" s="945"/>
      <c r="J12" s="945"/>
      <c r="K12" s="945"/>
      <c r="L12" s="945"/>
      <c r="M12" s="946"/>
    </row>
    <row r="13" spans="1:15" ht="38.25" thickBot="1" x14ac:dyDescent="0.25">
      <c r="A13" s="848" t="s">
        <v>1293</v>
      </c>
      <c r="B13" s="849" t="s">
        <v>1664</v>
      </c>
      <c r="C13" s="850" t="s">
        <v>1819</v>
      </c>
      <c r="D13" s="851" t="s">
        <v>1042</v>
      </c>
      <c r="E13" s="852" t="s">
        <v>1820</v>
      </c>
      <c r="F13" s="852" t="s">
        <v>1821</v>
      </c>
      <c r="G13" s="853" t="s">
        <v>1822</v>
      </c>
      <c r="H13" s="849" t="s">
        <v>1823</v>
      </c>
      <c r="I13" s="849" t="s">
        <v>1824</v>
      </c>
      <c r="J13" s="849" t="s">
        <v>1823</v>
      </c>
      <c r="K13" s="849" t="s">
        <v>1824</v>
      </c>
      <c r="L13" s="849" t="s">
        <v>1823</v>
      </c>
      <c r="M13" s="849" t="s">
        <v>1824</v>
      </c>
    </row>
    <row r="14" spans="1:15" ht="33.6" customHeight="1" x14ac:dyDescent="0.2">
      <c r="A14" s="928" t="str" cm="1">
        <f t="array" ref="A14">+IFERROR(INDEX('Pedido VACIO'!$B:$B,MATCH(1,('Pedido VACIO'!$H:$H=$B14)*('Pedido VACIO'!$A:$A="Precinter"),0)),"")</f>
        <v/>
      </c>
      <c r="B14" s="930">
        <v>1</v>
      </c>
      <c r="C14" s="932" t="str" cm="1">
        <f t="array" ref="C14">+IFERROR(INDEX('Pedido VACIO'!$F:$F,MATCH(1,('Pedido VACIO'!$H:$H=$B14)*('Pedido VACIO'!$A:$A="Precinter"),0)),"")</f>
        <v/>
      </c>
      <c r="D14" s="932" t="str" cm="1">
        <f t="array" ref="D14">+IFERROR(INDEX('Pedido VACIO'!$G:$G,MATCH(1,('Pedido VACIO'!$H:$H=$B14)*('Pedido VACIO'!$A:$A="Precinter"),0)),"")</f>
        <v/>
      </c>
      <c r="E14" s="854" t="str">
        <f>+IF(E13="LK","CH",IF(D14="","",IF(D14&gt;0,"LK","CH")))</f>
        <v/>
      </c>
      <c r="F14" s="854" t="str">
        <f>+IF(OR(E14="LK"),ROUNDUP(D14*0.7/25,0)*25,IF(E14="CH",D13-F13,""))</f>
        <v/>
      </c>
      <c r="G14" s="934"/>
      <c r="H14" s="856"/>
      <c r="I14" s="857"/>
      <c r="J14" s="856"/>
      <c r="K14" s="857"/>
      <c r="L14" s="856"/>
      <c r="M14" s="858"/>
      <c r="O14" s="859"/>
    </row>
    <row r="15" spans="1:15" ht="33.6" customHeight="1" x14ac:dyDescent="0.2">
      <c r="A15" s="929"/>
      <c r="B15" s="931"/>
      <c r="C15" s="933"/>
      <c r="D15" s="933"/>
      <c r="E15" s="860" t="str">
        <f t="shared" ref="E15:E43" si="0">+IF(E14="LK","CH",IF(D15="","",IF(D15&gt;0,"LK","CH")))</f>
        <v/>
      </c>
      <c r="F15" s="854" t="str">
        <f>+IF(OR(E15="LK"),ROUNDUP(D15*0.7/25,0)*25,IF(E15="CH",D14-F14,""))</f>
        <v/>
      </c>
      <c r="G15" s="931"/>
      <c r="H15" s="861"/>
      <c r="I15" s="862"/>
      <c r="J15" s="861"/>
      <c r="K15" s="862"/>
      <c r="L15" s="861"/>
      <c r="M15" s="863"/>
    </row>
    <row r="16" spans="1:15" ht="33.6" customHeight="1" x14ac:dyDescent="0.2">
      <c r="A16" s="947" t="str" cm="1">
        <f t="array" ref="A16">+IFERROR(INDEX('Pedido VACIO'!$B:$B,MATCH(1,('Pedido VACIO'!$H:$H=$B16)*('Pedido VACIO'!$A:$A="Precinter"),0)),"")</f>
        <v/>
      </c>
      <c r="B16" s="931">
        <f>+B14+1</f>
        <v>2</v>
      </c>
      <c r="C16" s="948" t="str" cm="1">
        <f t="array" ref="C16">+IFERROR(INDEX('Pedido VACIO'!$F:$F,MATCH(1,('Pedido VACIO'!$H:$H=$B16)*('Pedido VACIO'!$A:$A="Precinter"),0)),"")</f>
        <v/>
      </c>
      <c r="D16" s="949" t="str" cm="1">
        <f t="array" ref="D16">+IFERROR(INDEX('Pedido VACIO'!$G:$G,MATCH(1,('Pedido VACIO'!$H:$H=$B16)*('Pedido VACIO'!$A:$A="Precinter"),0)),"")</f>
        <v/>
      </c>
      <c r="E16" s="860" t="str">
        <f t="shared" si="0"/>
        <v/>
      </c>
      <c r="F16" s="854" t="str">
        <f t="shared" ref="F16:F43" si="1">+IF(OR(E16="LK"),ROUNDUP(D16*0.7/25,0)*25,IF(E16="CH",D15-F15,""))</f>
        <v/>
      </c>
      <c r="G16" s="931"/>
      <c r="H16" s="862"/>
      <c r="I16" s="862"/>
      <c r="J16" s="862"/>
      <c r="K16" s="862"/>
      <c r="L16" s="862"/>
      <c r="M16" s="863"/>
    </row>
    <row r="17" spans="1:13" ht="33.6" customHeight="1" x14ac:dyDescent="0.2">
      <c r="A17" s="947"/>
      <c r="B17" s="931"/>
      <c r="C17" s="948"/>
      <c r="D17" s="949"/>
      <c r="E17" s="860" t="str">
        <f t="shared" si="0"/>
        <v/>
      </c>
      <c r="F17" s="854" t="str">
        <f t="shared" si="1"/>
        <v/>
      </c>
      <c r="G17" s="931"/>
      <c r="H17" s="862"/>
      <c r="I17" s="862"/>
      <c r="J17" s="862"/>
      <c r="K17" s="862"/>
      <c r="L17" s="862"/>
      <c r="M17" s="863"/>
    </row>
    <row r="18" spans="1:13" ht="33.6" customHeight="1" x14ac:dyDescent="0.2">
      <c r="A18" s="947" t="str" cm="1">
        <f t="array" ref="A18">+IFERROR(INDEX('Pedido VACIO'!$B:$B,MATCH(1,('Pedido VACIO'!$H:$H=$B18)*('Pedido VACIO'!$A:$A="Precinter"),0)),"")</f>
        <v/>
      </c>
      <c r="B18" s="931">
        <f>+B16+1</f>
        <v>3</v>
      </c>
      <c r="C18" s="948" t="str" cm="1">
        <f t="array" ref="C18">+IFERROR(INDEX('Pedido VACIO'!$F:$F,MATCH(1,('Pedido VACIO'!$H:$H=$B18)*('Pedido VACIO'!$A:$A="Precinter"),0)),"")</f>
        <v/>
      </c>
      <c r="D18" s="949" t="str" cm="1">
        <f t="array" ref="D18">+IFERROR(INDEX('Pedido VACIO'!$G:$G,MATCH(1,('Pedido VACIO'!$H:$H=$B18)*('Pedido VACIO'!$A:$A="Precinter"),0)),"")</f>
        <v/>
      </c>
      <c r="E18" s="860" t="str">
        <f t="shared" si="0"/>
        <v/>
      </c>
      <c r="F18" s="854" t="str">
        <f t="shared" si="1"/>
        <v/>
      </c>
      <c r="G18" s="931"/>
      <c r="H18" s="862"/>
      <c r="I18" s="862"/>
      <c r="J18" s="862"/>
      <c r="K18" s="862"/>
      <c r="L18" s="862"/>
      <c r="M18" s="863"/>
    </row>
    <row r="19" spans="1:13" ht="33.6" customHeight="1" x14ac:dyDescent="0.2">
      <c r="A19" s="947"/>
      <c r="B19" s="931"/>
      <c r="C19" s="948"/>
      <c r="D19" s="949"/>
      <c r="E19" s="860" t="str">
        <f t="shared" si="0"/>
        <v/>
      </c>
      <c r="F19" s="854" t="str">
        <f t="shared" si="1"/>
        <v/>
      </c>
      <c r="G19" s="931"/>
      <c r="H19" s="862"/>
      <c r="I19" s="862"/>
      <c r="J19" s="862"/>
      <c r="K19" s="862"/>
      <c r="L19" s="862"/>
      <c r="M19" s="863"/>
    </row>
    <row r="20" spans="1:13" ht="33.6" customHeight="1" x14ac:dyDescent="0.2">
      <c r="A20" s="947" t="str" cm="1">
        <f t="array" ref="A20">+IFERROR(INDEX('Pedido VACIO'!$B:$B,MATCH(1,('Pedido VACIO'!$H:$H=$B20)*('Pedido VACIO'!$A:$A="Precinter"),0)),"")</f>
        <v/>
      </c>
      <c r="B20" s="931">
        <f>+B18+1</f>
        <v>4</v>
      </c>
      <c r="C20" s="948" t="str" cm="1">
        <f t="array" ref="C20">+IFERROR(INDEX('Pedido VACIO'!$F:$F,MATCH(1,('Pedido VACIO'!$H:$H=$B20)*('Pedido VACIO'!$A:$A="Precinter"),0)),"")</f>
        <v/>
      </c>
      <c r="D20" s="931" t="str" cm="1">
        <f t="array" ref="D20">+IFERROR(INDEX('Pedido VACIO'!$G:$G,MATCH(1,('Pedido VACIO'!$H:$H=$B20)*('Pedido VACIO'!$A:$A="Precinter"),0)),"")</f>
        <v/>
      </c>
      <c r="E20" s="860" t="str">
        <f t="shared" si="0"/>
        <v/>
      </c>
      <c r="F20" s="854" t="str">
        <f t="shared" si="1"/>
        <v/>
      </c>
      <c r="G20" s="931"/>
      <c r="H20" s="862"/>
      <c r="I20" s="862"/>
      <c r="J20" s="862"/>
      <c r="K20" s="862"/>
      <c r="L20" s="862"/>
      <c r="M20" s="863"/>
    </row>
    <row r="21" spans="1:13" ht="33.6" customHeight="1" x14ac:dyDescent="0.2">
      <c r="A21" s="947"/>
      <c r="B21" s="931"/>
      <c r="C21" s="948"/>
      <c r="D21" s="931"/>
      <c r="E21" s="860" t="str">
        <f t="shared" si="0"/>
        <v/>
      </c>
      <c r="F21" s="854" t="str">
        <f t="shared" si="1"/>
        <v/>
      </c>
      <c r="G21" s="931"/>
      <c r="H21" s="862"/>
      <c r="I21" s="862"/>
      <c r="J21" s="862"/>
      <c r="K21" s="862"/>
      <c r="L21" s="862"/>
      <c r="M21" s="863"/>
    </row>
    <row r="22" spans="1:13" ht="33.6" customHeight="1" x14ac:dyDescent="0.2">
      <c r="A22" s="947" t="str" cm="1">
        <f t="array" ref="A22">+IFERROR(INDEX('Pedido VACIO'!$B:$B,MATCH(1,('Pedido VACIO'!$H:$H=$B22)*('Pedido VACIO'!$A:$A="Precinter"),0)),"")</f>
        <v/>
      </c>
      <c r="B22" s="931">
        <f>+B20+1</f>
        <v>5</v>
      </c>
      <c r="C22" s="948" t="str" cm="1">
        <f t="array" ref="C22">+IFERROR(INDEX('Pedido VACIO'!$F:$F,MATCH(1,('Pedido VACIO'!$H:$H=$B22)*('Pedido VACIO'!$A:$A="Precinter"),0)),"")</f>
        <v/>
      </c>
      <c r="D22" s="931" t="str" cm="1">
        <f t="array" ref="D22">+IFERROR(INDEX('Pedido VACIO'!$G:$G,MATCH(1,('Pedido VACIO'!$H:$H=$B22)*('Pedido VACIO'!$A:$A="Precinter"),0)),"")</f>
        <v/>
      </c>
      <c r="E22" s="860" t="str">
        <f t="shared" si="0"/>
        <v/>
      </c>
      <c r="F22" s="854" t="str">
        <f t="shared" si="1"/>
        <v/>
      </c>
      <c r="G22" s="931"/>
      <c r="H22" s="862"/>
      <c r="I22" s="862"/>
      <c r="J22" s="862"/>
      <c r="K22" s="862"/>
      <c r="L22" s="862"/>
      <c r="M22" s="863"/>
    </row>
    <row r="23" spans="1:13" ht="33.6" customHeight="1" x14ac:dyDescent="0.2">
      <c r="A23" s="947"/>
      <c r="B23" s="931"/>
      <c r="C23" s="948"/>
      <c r="D23" s="931"/>
      <c r="E23" s="860" t="str">
        <f t="shared" si="0"/>
        <v/>
      </c>
      <c r="F23" s="854" t="str">
        <f t="shared" si="1"/>
        <v/>
      </c>
      <c r="G23" s="931"/>
      <c r="H23" s="862"/>
      <c r="I23" s="862"/>
      <c r="J23" s="862"/>
      <c r="K23" s="862"/>
      <c r="L23" s="862"/>
      <c r="M23" s="863"/>
    </row>
    <row r="24" spans="1:13" ht="33.6" customHeight="1" x14ac:dyDescent="0.2">
      <c r="A24" s="947" t="str" cm="1">
        <f t="array" ref="A24">+IFERROR(INDEX('Pedido VACIO'!$B:$B,MATCH(1,('Pedido VACIO'!$H:$H=$B24)*('Pedido VACIO'!$A:$A="Precinter"),0)),"")</f>
        <v/>
      </c>
      <c r="B24" s="931">
        <f>+B22+1</f>
        <v>6</v>
      </c>
      <c r="C24" s="948" t="str" cm="1">
        <f t="array" ref="C24">+IFERROR(INDEX('Pedido VACIO'!$F:$F,MATCH(1,('Pedido VACIO'!$H:$H=$B24)*('Pedido VACIO'!$A:$A="Precinter"),0)),"")</f>
        <v/>
      </c>
      <c r="D24" s="931" t="str" cm="1">
        <f t="array" ref="D24">+IFERROR(INDEX('Pedido VACIO'!$G:$G,MATCH(1,('Pedido VACIO'!$H:$H=$B24)*('Pedido VACIO'!$A:$A="Precinter"),0)),"")</f>
        <v/>
      </c>
      <c r="E24" s="860" t="str">
        <f t="shared" si="0"/>
        <v/>
      </c>
      <c r="F24" s="854" t="str">
        <f t="shared" si="1"/>
        <v/>
      </c>
      <c r="G24" s="931"/>
      <c r="H24" s="862"/>
      <c r="I24" s="862"/>
      <c r="J24" s="862"/>
      <c r="K24" s="862"/>
      <c r="L24" s="862"/>
      <c r="M24" s="863"/>
    </row>
    <row r="25" spans="1:13" ht="33.6" customHeight="1" x14ac:dyDescent="0.2">
      <c r="A25" s="947"/>
      <c r="B25" s="931"/>
      <c r="C25" s="948"/>
      <c r="D25" s="931"/>
      <c r="E25" s="860" t="str">
        <f t="shared" si="0"/>
        <v/>
      </c>
      <c r="F25" s="854" t="str">
        <f t="shared" si="1"/>
        <v/>
      </c>
      <c r="G25" s="931"/>
      <c r="H25" s="862"/>
      <c r="I25" s="862"/>
      <c r="J25" s="862"/>
      <c r="K25" s="862"/>
      <c r="L25" s="862"/>
      <c r="M25" s="863"/>
    </row>
    <row r="26" spans="1:13" ht="33.6" customHeight="1" x14ac:dyDescent="0.2">
      <c r="A26" s="947" t="str" cm="1">
        <f t="array" ref="A26">+IFERROR(INDEX('Pedido VACIO'!$B:$B,MATCH(1,('Pedido VACIO'!$H:$H=$B26)*('Pedido VACIO'!$A:$A="Precinter"),0)),"")</f>
        <v/>
      </c>
      <c r="B26" s="931">
        <f>+B24+1</f>
        <v>7</v>
      </c>
      <c r="C26" s="948" t="str" cm="1">
        <f t="array" ref="C26">+IFERROR(INDEX('Pedido VACIO'!$F:$F,MATCH(1,('Pedido VACIO'!$H:$H=$B26)*('Pedido VACIO'!$A:$A="Precinter"),0)),"")</f>
        <v/>
      </c>
      <c r="D26" s="931" t="str" cm="1">
        <f t="array" ref="D26">+IFERROR(INDEX('Pedido VACIO'!$G:$G,MATCH(1,('Pedido VACIO'!$H:$H=$B26)*('Pedido VACIO'!$A:$A="Precinter"),0)),"")</f>
        <v/>
      </c>
      <c r="E26" s="860" t="str">
        <f t="shared" si="0"/>
        <v/>
      </c>
      <c r="F26" s="854" t="str">
        <f t="shared" si="1"/>
        <v/>
      </c>
      <c r="G26" s="931"/>
      <c r="H26" s="862"/>
      <c r="I26" s="862"/>
      <c r="J26" s="862"/>
      <c r="K26" s="862"/>
      <c r="L26" s="862"/>
      <c r="M26" s="863"/>
    </row>
    <row r="27" spans="1:13" ht="33.6" customHeight="1" x14ac:dyDescent="0.2">
      <c r="A27" s="947"/>
      <c r="B27" s="931"/>
      <c r="C27" s="948"/>
      <c r="D27" s="931"/>
      <c r="E27" s="860" t="str">
        <f t="shared" si="0"/>
        <v/>
      </c>
      <c r="F27" s="854" t="str">
        <f t="shared" si="1"/>
        <v/>
      </c>
      <c r="G27" s="931"/>
      <c r="H27" s="862"/>
      <c r="I27" s="862"/>
      <c r="J27" s="862"/>
      <c r="K27" s="862"/>
      <c r="L27" s="862"/>
      <c r="M27" s="863"/>
    </row>
    <row r="28" spans="1:13" ht="33.6" customHeight="1" x14ac:dyDescent="0.2">
      <c r="A28" s="947" t="str" cm="1">
        <f t="array" ref="A28">+IFERROR(INDEX('Pedido VACIO'!$B:$B,MATCH(1,('Pedido VACIO'!$H:$H=$B28)*('Pedido VACIO'!$A:$A="Precinter"),0)),"")</f>
        <v/>
      </c>
      <c r="B28" s="931">
        <f>+B26+1</f>
        <v>8</v>
      </c>
      <c r="C28" s="948" t="str" cm="1">
        <f t="array" ref="C28">+IFERROR(INDEX('Pedido VACIO'!$F:$F,MATCH(1,('Pedido VACIO'!$H:$H=$B28)*('Pedido VACIO'!$A:$A="Precinter"),0)),"")</f>
        <v/>
      </c>
      <c r="D28" s="931" t="str" cm="1">
        <f t="array" ref="D28">+IFERROR(INDEX('Pedido VACIO'!$G:$G,MATCH(1,('Pedido VACIO'!$H:$H=$B28)*('Pedido VACIO'!$A:$A="Precinter"),0)),"")</f>
        <v/>
      </c>
      <c r="E28" s="860" t="str">
        <f t="shared" si="0"/>
        <v/>
      </c>
      <c r="F28" s="854" t="str">
        <f t="shared" si="1"/>
        <v/>
      </c>
      <c r="G28" s="931"/>
      <c r="H28" s="862"/>
      <c r="I28" s="862"/>
      <c r="J28" s="862"/>
      <c r="K28" s="862"/>
      <c r="L28" s="862"/>
      <c r="M28" s="863"/>
    </row>
    <row r="29" spans="1:13" ht="33.6" customHeight="1" x14ac:dyDescent="0.2">
      <c r="A29" s="947"/>
      <c r="B29" s="931"/>
      <c r="C29" s="948"/>
      <c r="D29" s="931"/>
      <c r="E29" s="860" t="str">
        <f t="shared" si="0"/>
        <v/>
      </c>
      <c r="F29" s="854" t="str">
        <f t="shared" si="1"/>
        <v/>
      </c>
      <c r="G29" s="931"/>
      <c r="H29" s="862"/>
      <c r="I29" s="862"/>
      <c r="J29" s="862"/>
      <c r="K29" s="862"/>
      <c r="L29" s="862"/>
      <c r="M29" s="863"/>
    </row>
    <row r="30" spans="1:13" ht="33.6" customHeight="1" x14ac:dyDescent="0.2">
      <c r="A30" s="947" t="str" cm="1">
        <f t="array" ref="A30">+IFERROR(INDEX('Pedido VACIO'!$B:$B,MATCH(1,('Pedido VACIO'!$H:$H=$B30)*('Pedido VACIO'!$A:$A="Precinter"),0)),"")</f>
        <v/>
      </c>
      <c r="B30" s="931">
        <f>+B28+1</f>
        <v>9</v>
      </c>
      <c r="C30" s="948" t="str" cm="1">
        <f t="array" ref="C30">+IFERROR(INDEX('Pedido VACIO'!$F:$F,MATCH(1,('Pedido VACIO'!$H:$H=$B30)*('Pedido VACIO'!$A:$A="Precinter"),0)),"")</f>
        <v/>
      </c>
      <c r="D30" s="931" t="str" cm="1">
        <f t="array" ref="D30">+IFERROR(INDEX('Pedido VACIO'!$G:$G,MATCH(1,('Pedido VACIO'!$H:$H=$B30)*('Pedido VACIO'!$A:$A="Precinter"),0)),"")</f>
        <v/>
      </c>
      <c r="E30" s="860" t="str">
        <f t="shared" si="0"/>
        <v/>
      </c>
      <c r="F30" s="854" t="str">
        <f t="shared" si="1"/>
        <v/>
      </c>
      <c r="G30" s="931"/>
      <c r="H30" s="862"/>
      <c r="I30" s="862"/>
      <c r="J30" s="862"/>
      <c r="K30" s="862"/>
      <c r="L30" s="862"/>
      <c r="M30" s="863"/>
    </row>
    <row r="31" spans="1:13" ht="33.6" customHeight="1" x14ac:dyDescent="0.2">
      <c r="A31" s="947"/>
      <c r="B31" s="931"/>
      <c r="C31" s="948"/>
      <c r="D31" s="931"/>
      <c r="E31" s="860" t="str">
        <f t="shared" si="0"/>
        <v/>
      </c>
      <c r="F31" s="854" t="str">
        <f t="shared" si="1"/>
        <v/>
      </c>
      <c r="G31" s="931"/>
      <c r="H31" s="862"/>
      <c r="I31" s="862"/>
      <c r="J31" s="862"/>
      <c r="K31" s="862"/>
      <c r="L31" s="862"/>
      <c r="M31" s="863"/>
    </row>
    <row r="32" spans="1:13" ht="33.6" customHeight="1" x14ac:dyDescent="0.2">
      <c r="A32" s="947" t="str" cm="1">
        <f t="array" ref="A32">+IFERROR(INDEX('Pedido VACIO'!$B:$B,MATCH(1,('Pedido VACIO'!$H:$H=$B32)*('Pedido VACIO'!$A:$A="Precinter"),0)),"")</f>
        <v/>
      </c>
      <c r="B32" s="931">
        <f>+B30+1</f>
        <v>10</v>
      </c>
      <c r="C32" s="948" t="str" cm="1">
        <f t="array" ref="C32">+IFERROR(INDEX('Pedido VACIO'!$F:$F,MATCH(1,('Pedido VACIO'!$H:$H=$B32)*('Pedido VACIO'!$A:$A="Precinter"),0)),"")</f>
        <v/>
      </c>
      <c r="D32" s="931" t="str" cm="1">
        <f t="array" ref="D32">+IFERROR(INDEX('Pedido VACIO'!$G:$G,MATCH(1,('Pedido VACIO'!$H:$H=$B32)*('Pedido VACIO'!$A:$A="Precinter"),0)),"")</f>
        <v/>
      </c>
      <c r="E32" s="860" t="str">
        <f t="shared" si="0"/>
        <v/>
      </c>
      <c r="F32" s="854" t="str">
        <f t="shared" si="1"/>
        <v/>
      </c>
      <c r="G32" s="931"/>
      <c r="H32" s="862"/>
      <c r="I32" s="862"/>
      <c r="J32" s="862"/>
      <c r="K32" s="862"/>
      <c r="L32" s="862"/>
      <c r="M32" s="863"/>
    </row>
    <row r="33" spans="1:13" ht="33.6" customHeight="1" x14ac:dyDescent="0.2">
      <c r="A33" s="947"/>
      <c r="B33" s="931"/>
      <c r="C33" s="948"/>
      <c r="D33" s="931"/>
      <c r="E33" s="860" t="str">
        <f t="shared" si="0"/>
        <v/>
      </c>
      <c r="F33" s="854" t="str">
        <f t="shared" si="1"/>
        <v/>
      </c>
      <c r="G33" s="931"/>
      <c r="H33" s="862"/>
      <c r="I33" s="862"/>
      <c r="J33" s="862"/>
      <c r="K33" s="862"/>
      <c r="L33" s="862"/>
      <c r="M33" s="863"/>
    </row>
    <row r="34" spans="1:13" ht="33.6" customHeight="1" x14ac:dyDescent="0.2">
      <c r="A34" s="947" t="str" cm="1">
        <f t="array" ref="A34">+IFERROR(INDEX('Pedido VACIO'!$B:$B,MATCH(1,('Pedido VACIO'!$H:$H=$B34)*('Pedido VACIO'!$A:$A="Precinter"),0)),"")</f>
        <v/>
      </c>
      <c r="B34" s="931">
        <f>+B32+1</f>
        <v>11</v>
      </c>
      <c r="C34" s="948" t="str" cm="1">
        <f t="array" ref="C34">+IFERROR(INDEX('Pedido VACIO'!$F:$F,MATCH(1,('Pedido VACIO'!$H:$H=$B34)*('Pedido VACIO'!$A:$A="Precinter"),0)),"")</f>
        <v/>
      </c>
      <c r="D34" s="931" t="str" cm="1">
        <f t="array" ref="D34">+IFERROR(INDEX('Pedido VACIO'!$G:$G,MATCH(1,('Pedido VACIO'!$H:$H=$B34)*('Pedido VACIO'!$A:$A="Precinter"),0)),"")</f>
        <v/>
      </c>
      <c r="E34" s="860" t="str">
        <f t="shared" si="0"/>
        <v/>
      </c>
      <c r="F34" s="854" t="str">
        <f t="shared" si="1"/>
        <v/>
      </c>
      <c r="G34" s="931"/>
      <c r="H34" s="862"/>
      <c r="I34" s="862"/>
      <c r="J34" s="862"/>
      <c r="K34" s="862"/>
      <c r="L34" s="862"/>
      <c r="M34" s="863"/>
    </row>
    <row r="35" spans="1:13" ht="33.6" customHeight="1" thickBot="1" x14ac:dyDescent="0.25">
      <c r="A35" s="950"/>
      <c r="B35" s="951"/>
      <c r="C35" s="952"/>
      <c r="D35" s="951"/>
      <c r="E35" s="860" t="str">
        <f t="shared" si="0"/>
        <v/>
      </c>
      <c r="F35" s="854" t="str">
        <f t="shared" si="1"/>
        <v/>
      </c>
      <c r="G35" s="951"/>
      <c r="H35" s="864"/>
      <c r="I35" s="864"/>
      <c r="J35" s="864"/>
      <c r="K35" s="864"/>
      <c r="L35" s="864"/>
      <c r="M35" s="865"/>
    </row>
    <row r="36" spans="1:13" ht="33.6" customHeight="1" x14ac:dyDescent="0.2">
      <c r="A36" s="953" t="str" cm="1">
        <f t="array" ref="A36">+IFERROR(INDEX('Pedido VACIO'!$B:$B,MATCH(1,('Pedido VACIO'!$H:$H=$B36)*('Pedido VACIO'!$A:$A="Precinter"),0)),"")</f>
        <v/>
      </c>
      <c r="B36" s="934">
        <f>+B34+1</f>
        <v>12</v>
      </c>
      <c r="C36" s="933" t="str" cm="1">
        <f t="array" ref="C36">+IFERROR(INDEX('Pedido VACIO'!$F:$F,MATCH(1,('Pedido VACIO'!$H:$H=$B36)*('Pedido VACIO'!$A:$A="Precinter"),0)),"")</f>
        <v/>
      </c>
      <c r="D36" s="934" t="str" cm="1">
        <f t="array" ref="D36">+IFERROR(INDEX('Pedido VACIO'!$G:$G,MATCH(1,('Pedido VACIO'!$H:$H=$B36)*('Pedido VACIO'!$A:$A="Precinter"),0)),"")</f>
        <v/>
      </c>
      <c r="E36" s="860" t="str">
        <f t="shared" si="0"/>
        <v/>
      </c>
      <c r="F36" s="854" t="str">
        <f t="shared" si="1"/>
        <v/>
      </c>
      <c r="G36" s="934"/>
      <c r="H36" s="866"/>
      <c r="I36" s="866"/>
      <c r="J36" s="866"/>
      <c r="K36" s="866"/>
      <c r="L36" s="866"/>
      <c r="M36" s="866"/>
    </row>
    <row r="37" spans="1:13" ht="33.6" customHeight="1" x14ac:dyDescent="0.2">
      <c r="A37" s="949"/>
      <c r="B37" s="931"/>
      <c r="C37" s="948"/>
      <c r="D37" s="931"/>
      <c r="E37" s="860" t="str">
        <f t="shared" si="0"/>
        <v/>
      </c>
      <c r="F37" s="854" t="str">
        <f t="shared" si="1"/>
        <v/>
      </c>
      <c r="G37" s="931"/>
      <c r="H37" s="862"/>
      <c r="I37" s="862"/>
      <c r="J37" s="862"/>
      <c r="K37" s="862"/>
      <c r="L37" s="862"/>
      <c r="M37" s="862"/>
    </row>
    <row r="38" spans="1:13" ht="33.6" customHeight="1" x14ac:dyDescent="0.2">
      <c r="A38" s="949" t="str" cm="1">
        <f t="array" ref="A38">+IFERROR(INDEX('Pedido VACIO'!$B:$B,MATCH(1,('Pedido VACIO'!$H:$H=$B38)*('Pedido VACIO'!$A:$A="Precinter"),0)),"")</f>
        <v/>
      </c>
      <c r="B38" s="931">
        <f>+B36+1</f>
        <v>13</v>
      </c>
      <c r="C38" s="948" t="str" cm="1">
        <f t="array" ref="C38">+IFERROR(INDEX('Pedido VACIO'!$F:$F,MATCH(1,('Pedido VACIO'!$H:$H=$B38)*('Pedido VACIO'!$A:$A="Precinter"),0)),"")</f>
        <v/>
      </c>
      <c r="D38" s="931" t="str" cm="1">
        <f t="array" ref="D38">+IFERROR(INDEX('Pedido VACIO'!$G:$G,MATCH(1,('Pedido VACIO'!$H:$H=$B38)*('Pedido VACIO'!$A:$A="Precinter"),0)),"")</f>
        <v/>
      </c>
      <c r="E38" s="860" t="str">
        <f t="shared" si="0"/>
        <v/>
      </c>
      <c r="F38" s="854" t="str">
        <f t="shared" si="1"/>
        <v/>
      </c>
      <c r="G38" s="931"/>
      <c r="H38" s="862"/>
      <c r="I38" s="862"/>
      <c r="J38" s="862"/>
      <c r="K38" s="862"/>
      <c r="L38" s="862"/>
      <c r="M38" s="862"/>
    </row>
    <row r="39" spans="1:13" ht="33.6" customHeight="1" x14ac:dyDescent="0.2">
      <c r="A39" s="949"/>
      <c r="B39" s="931"/>
      <c r="C39" s="948"/>
      <c r="D39" s="931"/>
      <c r="E39" s="860" t="str">
        <f t="shared" si="0"/>
        <v/>
      </c>
      <c r="F39" s="854" t="str">
        <f t="shared" si="1"/>
        <v/>
      </c>
      <c r="G39" s="931"/>
      <c r="H39" s="862"/>
      <c r="I39" s="862"/>
      <c r="J39" s="862"/>
      <c r="K39" s="862"/>
      <c r="L39" s="862"/>
      <c r="M39" s="862"/>
    </row>
    <row r="40" spans="1:13" ht="33.6" customHeight="1" x14ac:dyDescent="0.2">
      <c r="A40" s="949" t="str" cm="1">
        <f t="array" ref="A40">+IFERROR(INDEX('Pedido VACIO'!$B:$B,MATCH(1,('Pedido VACIO'!$H:$H=$B40)*('Pedido VACIO'!$A:$A="Precinter"),0)),"")</f>
        <v/>
      </c>
      <c r="B40" s="931">
        <f>+B38+1</f>
        <v>14</v>
      </c>
      <c r="C40" s="948" t="str" cm="1">
        <f t="array" ref="C40">+IFERROR(INDEX('Pedido VACIO'!$F:$F,MATCH(1,('Pedido VACIO'!$H:$H=$B40)*('Pedido VACIO'!$A:$A="Precinter"),0)),"")</f>
        <v/>
      </c>
      <c r="D40" s="931" t="str" cm="1">
        <f t="array" ref="D40">+IFERROR(INDEX('Pedido VACIO'!$G:$G,MATCH(1,('Pedido VACIO'!$H:$H=$B40)*('Pedido VACIO'!$A:$A="Precinter"),0)),"")</f>
        <v/>
      </c>
      <c r="E40" s="860" t="str">
        <f t="shared" si="0"/>
        <v/>
      </c>
      <c r="F40" s="854" t="str">
        <f t="shared" si="1"/>
        <v/>
      </c>
      <c r="G40" s="931"/>
      <c r="H40" s="862"/>
      <c r="I40" s="862"/>
      <c r="J40" s="862"/>
      <c r="K40" s="862"/>
      <c r="L40" s="862"/>
      <c r="M40" s="862"/>
    </row>
    <row r="41" spans="1:13" ht="33.6" customHeight="1" x14ac:dyDescent="0.2">
      <c r="A41" s="949"/>
      <c r="B41" s="931"/>
      <c r="C41" s="948"/>
      <c r="D41" s="931"/>
      <c r="E41" s="860" t="str">
        <f t="shared" si="0"/>
        <v/>
      </c>
      <c r="F41" s="854" t="str">
        <f t="shared" si="1"/>
        <v/>
      </c>
      <c r="G41" s="931"/>
      <c r="H41" s="862"/>
      <c r="I41" s="862"/>
      <c r="J41" s="862"/>
      <c r="K41" s="862"/>
      <c r="L41" s="862"/>
      <c r="M41" s="862"/>
    </row>
    <row r="42" spans="1:13" ht="33.6" customHeight="1" x14ac:dyDescent="0.2">
      <c r="A42" s="949" t="str" cm="1">
        <f t="array" ref="A42">+IFERROR(INDEX('Pedido VACIO'!$B:$B,MATCH(1,('Pedido VACIO'!$H:$H=$B42)*('Pedido VACIO'!$A:$A="Precinter"),0)),"")</f>
        <v/>
      </c>
      <c r="B42" s="931">
        <f>+B40+1</f>
        <v>15</v>
      </c>
      <c r="C42" s="948" t="str" cm="1">
        <f t="array" ref="C42">+IFERROR(INDEX('Pedido VACIO'!$F:$F,MATCH(1,('Pedido VACIO'!$H:$H=$B42)*('Pedido VACIO'!$A:$A="Precinter"),0)),"")</f>
        <v/>
      </c>
      <c r="D42" s="931" t="str" cm="1">
        <f t="array" ref="D42">+IFERROR(INDEX('Pedido VACIO'!$G:$G,MATCH(1,('Pedido VACIO'!$H:$H=$B42)*('Pedido VACIO'!$A:$A="Precinter"),0)),"")</f>
        <v/>
      </c>
      <c r="E42" s="860" t="str">
        <f t="shared" si="0"/>
        <v/>
      </c>
      <c r="F42" s="854" t="str">
        <f t="shared" si="1"/>
        <v/>
      </c>
      <c r="G42" s="931"/>
      <c r="H42" s="862"/>
      <c r="I42" s="862"/>
      <c r="J42" s="862"/>
      <c r="K42" s="862"/>
      <c r="L42" s="862"/>
      <c r="M42" s="862"/>
    </row>
    <row r="43" spans="1:13" ht="33.6" customHeight="1" x14ac:dyDescent="0.2">
      <c r="A43" s="949"/>
      <c r="B43" s="931"/>
      <c r="C43" s="948"/>
      <c r="D43" s="931"/>
      <c r="E43" s="860" t="str">
        <f t="shared" si="0"/>
        <v/>
      </c>
      <c r="F43" s="854" t="str">
        <f t="shared" si="1"/>
        <v/>
      </c>
      <c r="G43" s="931"/>
      <c r="H43" s="862"/>
      <c r="I43" s="862"/>
      <c r="J43" s="862"/>
      <c r="K43" s="862"/>
      <c r="L43" s="862"/>
      <c r="M43" s="862"/>
    </row>
  </sheetData>
  <mergeCells count="94"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A20:A21"/>
    <mergeCell ref="B20:B21"/>
    <mergeCell ref="C20:C21"/>
    <mergeCell ref="D20:D21"/>
    <mergeCell ref="G20:G21"/>
    <mergeCell ref="A22:A23"/>
    <mergeCell ref="B22:B23"/>
    <mergeCell ref="C22:C23"/>
    <mergeCell ref="D22:D23"/>
    <mergeCell ref="G22:G23"/>
    <mergeCell ref="A16:A17"/>
    <mergeCell ref="B16:B17"/>
    <mergeCell ref="C16:C17"/>
    <mergeCell ref="D16:D17"/>
    <mergeCell ref="G16:G17"/>
    <mergeCell ref="A18:A19"/>
    <mergeCell ref="B18:B19"/>
    <mergeCell ref="C18:C19"/>
    <mergeCell ref="D18:D19"/>
    <mergeCell ref="G18:G19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3:B3"/>
    <mergeCell ref="F3:G3"/>
    <mergeCell ref="H3:L3"/>
    <mergeCell ref="A1:C1"/>
    <mergeCell ref="F1:L1"/>
    <mergeCell ref="A2:B2"/>
    <mergeCell ref="F2:G2"/>
    <mergeCell ref="H2:L2"/>
  </mergeCells>
  <printOptions horizontalCentered="1"/>
  <pageMargins left="0" right="0" top="0" bottom="0" header="0" footer="0"/>
  <pageSetup paperSize="9" scale="6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activeCell="F14" sqref="F14"/>
    </sheetView>
  </sheetViews>
  <sheetFormatPr baseColWidth="10" defaultColWidth="11.5703125" defaultRowHeight="12.75" x14ac:dyDescent="0.2"/>
  <cols>
    <col min="1" max="1" width="11.42578125" style="841" customWidth="1"/>
    <col min="2" max="2" width="6.140625" style="841" customWidth="1"/>
    <col min="3" max="3" width="22.28515625" style="841" customWidth="1"/>
    <col min="4" max="4" width="9.28515625" style="841" customWidth="1"/>
    <col min="5" max="5" width="8.28515625" style="841" customWidth="1"/>
    <col min="6" max="6" width="7.7109375" style="841" customWidth="1"/>
    <col min="7" max="7" width="9.7109375" style="841" customWidth="1"/>
    <col min="8" max="9" width="7.5703125" style="841" customWidth="1"/>
    <col min="10" max="10" width="7.7109375" style="841" customWidth="1"/>
    <col min="11" max="11" width="7" style="841" customWidth="1"/>
    <col min="12" max="12" width="7.7109375" style="841" customWidth="1"/>
    <col min="13" max="13" width="7" style="841" customWidth="1"/>
    <col min="14" max="256" width="11.5703125" style="841"/>
    <col min="257" max="257" width="11.42578125" style="841" customWidth="1"/>
    <col min="258" max="258" width="6.140625" style="841" customWidth="1"/>
    <col min="259" max="259" width="22.28515625" style="841" customWidth="1"/>
    <col min="260" max="260" width="9.28515625" style="841" customWidth="1"/>
    <col min="261" max="261" width="8.28515625" style="841" customWidth="1"/>
    <col min="262" max="262" width="7.7109375" style="841" customWidth="1"/>
    <col min="263" max="263" width="9.7109375" style="841" customWidth="1"/>
    <col min="264" max="264" width="7.28515625" style="841" customWidth="1"/>
    <col min="265" max="265" width="7.5703125" style="841" customWidth="1"/>
    <col min="266" max="266" width="7.7109375" style="841" customWidth="1"/>
    <col min="267" max="267" width="7" style="841" customWidth="1"/>
    <col min="268" max="268" width="7.7109375" style="841" customWidth="1"/>
    <col min="269" max="269" width="7" style="841" customWidth="1"/>
    <col min="270" max="512" width="11.5703125" style="841"/>
    <col min="513" max="513" width="11.42578125" style="841" customWidth="1"/>
    <col min="514" max="514" width="6.140625" style="841" customWidth="1"/>
    <col min="515" max="515" width="22.28515625" style="841" customWidth="1"/>
    <col min="516" max="516" width="9.28515625" style="841" customWidth="1"/>
    <col min="517" max="517" width="8.28515625" style="841" customWidth="1"/>
    <col min="518" max="518" width="7.7109375" style="841" customWidth="1"/>
    <col min="519" max="519" width="9.7109375" style="841" customWidth="1"/>
    <col min="520" max="520" width="7.28515625" style="841" customWidth="1"/>
    <col min="521" max="521" width="7.5703125" style="841" customWidth="1"/>
    <col min="522" max="522" width="7.7109375" style="841" customWidth="1"/>
    <col min="523" max="523" width="7" style="841" customWidth="1"/>
    <col min="524" max="524" width="7.7109375" style="841" customWidth="1"/>
    <col min="525" max="525" width="7" style="841" customWidth="1"/>
    <col min="526" max="768" width="11.5703125" style="841"/>
    <col min="769" max="769" width="11.42578125" style="841" customWidth="1"/>
    <col min="770" max="770" width="6.140625" style="841" customWidth="1"/>
    <col min="771" max="771" width="22.28515625" style="841" customWidth="1"/>
    <col min="772" max="772" width="9.28515625" style="841" customWidth="1"/>
    <col min="773" max="773" width="8.28515625" style="841" customWidth="1"/>
    <col min="774" max="774" width="7.7109375" style="841" customWidth="1"/>
    <col min="775" max="775" width="9.7109375" style="841" customWidth="1"/>
    <col min="776" max="776" width="7.28515625" style="841" customWidth="1"/>
    <col min="777" max="777" width="7.5703125" style="841" customWidth="1"/>
    <col min="778" max="778" width="7.7109375" style="841" customWidth="1"/>
    <col min="779" max="779" width="7" style="841" customWidth="1"/>
    <col min="780" max="780" width="7.7109375" style="841" customWidth="1"/>
    <col min="781" max="781" width="7" style="841" customWidth="1"/>
    <col min="782" max="1024" width="11.5703125" style="841"/>
    <col min="1025" max="1025" width="11.42578125" style="841" customWidth="1"/>
    <col min="1026" max="1026" width="6.140625" style="841" customWidth="1"/>
    <col min="1027" max="1027" width="22.28515625" style="841" customWidth="1"/>
    <col min="1028" max="1028" width="9.28515625" style="841" customWidth="1"/>
    <col min="1029" max="1029" width="8.28515625" style="841" customWidth="1"/>
    <col min="1030" max="1030" width="7.7109375" style="841" customWidth="1"/>
    <col min="1031" max="1031" width="9.7109375" style="841" customWidth="1"/>
    <col min="1032" max="1032" width="7.28515625" style="841" customWidth="1"/>
    <col min="1033" max="1033" width="7.5703125" style="841" customWidth="1"/>
    <col min="1034" max="1034" width="7.7109375" style="841" customWidth="1"/>
    <col min="1035" max="1035" width="7" style="841" customWidth="1"/>
    <col min="1036" max="1036" width="7.7109375" style="841" customWidth="1"/>
    <col min="1037" max="1037" width="7" style="841" customWidth="1"/>
    <col min="1038" max="1280" width="11.5703125" style="841"/>
    <col min="1281" max="1281" width="11.42578125" style="841" customWidth="1"/>
    <col min="1282" max="1282" width="6.140625" style="841" customWidth="1"/>
    <col min="1283" max="1283" width="22.28515625" style="841" customWidth="1"/>
    <col min="1284" max="1284" width="9.28515625" style="841" customWidth="1"/>
    <col min="1285" max="1285" width="8.28515625" style="841" customWidth="1"/>
    <col min="1286" max="1286" width="7.7109375" style="841" customWidth="1"/>
    <col min="1287" max="1287" width="9.7109375" style="841" customWidth="1"/>
    <col min="1288" max="1288" width="7.28515625" style="841" customWidth="1"/>
    <col min="1289" max="1289" width="7.5703125" style="841" customWidth="1"/>
    <col min="1290" max="1290" width="7.7109375" style="841" customWidth="1"/>
    <col min="1291" max="1291" width="7" style="841" customWidth="1"/>
    <col min="1292" max="1292" width="7.7109375" style="841" customWidth="1"/>
    <col min="1293" max="1293" width="7" style="841" customWidth="1"/>
    <col min="1294" max="1536" width="11.5703125" style="841"/>
    <col min="1537" max="1537" width="11.42578125" style="841" customWidth="1"/>
    <col min="1538" max="1538" width="6.140625" style="841" customWidth="1"/>
    <col min="1539" max="1539" width="22.28515625" style="841" customWidth="1"/>
    <col min="1540" max="1540" width="9.28515625" style="841" customWidth="1"/>
    <col min="1541" max="1541" width="8.28515625" style="841" customWidth="1"/>
    <col min="1542" max="1542" width="7.7109375" style="841" customWidth="1"/>
    <col min="1543" max="1543" width="9.7109375" style="841" customWidth="1"/>
    <col min="1544" max="1544" width="7.28515625" style="841" customWidth="1"/>
    <col min="1545" max="1545" width="7.5703125" style="841" customWidth="1"/>
    <col min="1546" max="1546" width="7.7109375" style="841" customWidth="1"/>
    <col min="1547" max="1547" width="7" style="841" customWidth="1"/>
    <col min="1548" max="1548" width="7.7109375" style="841" customWidth="1"/>
    <col min="1549" max="1549" width="7" style="841" customWidth="1"/>
    <col min="1550" max="1792" width="11.5703125" style="841"/>
    <col min="1793" max="1793" width="11.42578125" style="841" customWidth="1"/>
    <col min="1794" max="1794" width="6.140625" style="841" customWidth="1"/>
    <col min="1795" max="1795" width="22.28515625" style="841" customWidth="1"/>
    <col min="1796" max="1796" width="9.28515625" style="841" customWidth="1"/>
    <col min="1797" max="1797" width="8.28515625" style="841" customWidth="1"/>
    <col min="1798" max="1798" width="7.7109375" style="841" customWidth="1"/>
    <col min="1799" max="1799" width="9.7109375" style="841" customWidth="1"/>
    <col min="1800" max="1800" width="7.28515625" style="841" customWidth="1"/>
    <col min="1801" max="1801" width="7.5703125" style="841" customWidth="1"/>
    <col min="1802" max="1802" width="7.7109375" style="841" customWidth="1"/>
    <col min="1803" max="1803" width="7" style="841" customWidth="1"/>
    <col min="1804" max="1804" width="7.7109375" style="841" customWidth="1"/>
    <col min="1805" max="1805" width="7" style="841" customWidth="1"/>
    <col min="1806" max="2048" width="11.5703125" style="841"/>
    <col min="2049" max="2049" width="11.42578125" style="841" customWidth="1"/>
    <col min="2050" max="2050" width="6.140625" style="841" customWidth="1"/>
    <col min="2051" max="2051" width="22.28515625" style="841" customWidth="1"/>
    <col min="2052" max="2052" width="9.28515625" style="841" customWidth="1"/>
    <col min="2053" max="2053" width="8.28515625" style="841" customWidth="1"/>
    <col min="2054" max="2054" width="7.7109375" style="841" customWidth="1"/>
    <col min="2055" max="2055" width="9.7109375" style="841" customWidth="1"/>
    <col min="2056" max="2056" width="7.28515625" style="841" customWidth="1"/>
    <col min="2057" max="2057" width="7.5703125" style="841" customWidth="1"/>
    <col min="2058" max="2058" width="7.7109375" style="841" customWidth="1"/>
    <col min="2059" max="2059" width="7" style="841" customWidth="1"/>
    <col min="2060" max="2060" width="7.7109375" style="841" customWidth="1"/>
    <col min="2061" max="2061" width="7" style="841" customWidth="1"/>
    <col min="2062" max="2304" width="11.5703125" style="841"/>
    <col min="2305" max="2305" width="11.42578125" style="841" customWidth="1"/>
    <col min="2306" max="2306" width="6.140625" style="841" customWidth="1"/>
    <col min="2307" max="2307" width="22.28515625" style="841" customWidth="1"/>
    <col min="2308" max="2308" width="9.28515625" style="841" customWidth="1"/>
    <col min="2309" max="2309" width="8.28515625" style="841" customWidth="1"/>
    <col min="2310" max="2310" width="7.7109375" style="841" customWidth="1"/>
    <col min="2311" max="2311" width="9.7109375" style="841" customWidth="1"/>
    <col min="2312" max="2312" width="7.28515625" style="841" customWidth="1"/>
    <col min="2313" max="2313" width="7.5703125" style="841" customWidth="1"/>
    <col min="2314" max="2314" width="7.7109375" style="841" customWidth="1"/>
    <col min="2315" max="2315" width="7" style="841" customWidth="1"/>
    <col min="2316" max="2316" width="7.7109375" style="841" customWidth="1"/>
    <col min="2317" max="2317" width="7" style="841" customWidth="1"/>
    <col min="2318" max="2560" width="11.5703125" style="841"/>
    <col min="2561" max="2561" width="11.42578125" style="841" customWidth="1"/>
    <col min="2562" max="2562" width="6.140625" style="841" customWidth="1"/>
    <col min="2563" max="2563" width="22.28515625" style="841" customWidth="1"/>
    <col min="2564" max="2564" width="9.28515625" style="841" customWidth="1"/>
    <col min="2565" max="2565" width="8.28515625" style="841" customWidth="1"/>
    <col min="2566" max="2566" width="7.7109375" style="841" customWidth="1"/>
    <col min="2567" max="2567" width="9.7109375" style="841" customWidth="1"/>
    <col min="2568" max="2568" width="7.28515625" style="841" customWidth="1"/>
    <col min="2569" max="2569" width="7.5703125" style="841" customWidth="1"/>
    <col min="2570" max="2570" width="7.7109375" style="841" customWidth="1"/>
    <col min="2571" max="2571" width="7" style="841" customWidth="1"/>
    <col min="2572" max="2572" width="7.7109375" style="841" customWidth="1"/>
    <col min="2573" max="2573" width="7" style="841" customWidth="1"/>
    <col min="2574" max="2816" width="11.5703125" style="841"/>
    <col min="2817" max="2817" width="11.42578125" style="841" customWidth="1"/>
    <col min="2818" max="2818" width="6.140625" style="841" customWidth="1"/>
    <col min="2819" max="2819" width="22.28515625" style="841" customWidth="1"/>
    <col min="2820" max="2820" width="9.28515625" style="841" customWidth="1"/>
    <col min="2821" max="2821" width="8.28515625" style="841" customWidth="1"/>
    <col min="2822" max="2822" width="7.7109375" style="841" customWidth="1"/>
    <col min="2823" max="2823" width="9.7109375" style="841" customWidth="1"/>
    <col min="2824" max="2824" width="7.28515625" style="841" customWidth="1"/>
    <col min="2825" max="2825" width="7.5703125" style="841" customWidth="1"/>
    <col min="2826" max="2826" width="7.7109375" style="841" customWidth="1"/>
    <col min="2827" max="2827" width="7" style="841" customWidth="1"/>
    <col min="2828" max="2828" width="7.7109375" style="841" customWidth="1"/>
    <col min="2829" max="2829" width="7" style="841" customWidth="1"/>
    <col min="2830" max="3072" width="11.5703125" style="841"/>
    <col min="3073" max="3073" width="11.42578125" style="841" customWidth="1"/>
    <col min="3074" max="3074" width="6.140625" style="841" customWidth="1"/>
    <col min="3075" max="3075" width="22.28515625" style="841" customWidth="1"/>
    <col min="3076" max="3076" width="9.28515625" style="841" customWidth="1"/>
    <col min="3077" max="3077" width="8.28515625" style="841" customWidth="1"/>
    <col min="3078" max="3078" width="7.7109375" style="841" customWidth="1"/>
    <col min="3079" max="3079" width="9.7109375" style="841" customWidth="1"/>
    <col min="3080" max="3080" width="7.28515625" style="841" customWidth="1"/>
    <col min="3081" max="3081" width="7.5703125" style="841" customWidth="1"/>
    <col min="3082" max="3082" width="7.7109375" style="841" customWidth="1"/>
    <col min="3083" max="3083" width="7" style="841" customWidth="1"/>
    <col min="3084" max="3084" width="7.7109375" style="841" customWidth="1"/>
    <col min="3085" max="3085" width="7" style="841" customWidth="1"/>
    <col min="3086" max="3328" width="11.5703125" style="841"/>
    <col min="3329" max="3329" width="11.42578125" style="841" customWidth="1"/>
    <col min="3330" max="3330" width="6.140625" style="841" customWidth="1"/>
    <col min="3331" max="3331" width="22.28515625" style="841" customWidth="1"/>
    <col min="3332" max="3332" width="9.28515625" style="841" customWidth="1"/>
    <col min="3333" max="3333" width="8.28515625" style="841" customWidth="1"/>
    <col min="3334" max="3334" width="7.7109375" style="841" customWidth="1"/>
    <col min="3335" max="3335" width="9.7109375" style="841" customWidth="1"/>
    <col min="3336" max="3336" width="7.28515625" style="841" customWidth="1"/>
    <col min="3337" max="3337" width="7.5703125" style="841" customWidth="1"/>
    <col min="3338" max="3338" width="7.7109375" style="841" customWidth="1"/>
    <col min="3339" max="3339" width="7" style="841" customWidth="1"/>
    <col min="3340" max="3340" width="7.7109375" style="841" customWidth="1"/>
    <col min="3341" max="3341" width="7" style="841" customWidth="1"/>
    <col min="3342" max="3584" width="11.5703125" style="841"/>
    <col min="3585" max="3585" width="11.42578125" style="841" customWidth="1"/>
    <col min="3586" max="3586" width="6.140625" style="841" customWidth="1"/>
    <col min="3587" max="3587" width="22.28515625" style="841" customWidth="1"/>
    <col min="3588" max="3588" width="9.28515625" style="841" customWidth="1"/>
    <col min="3589" max="3589" width="8.28515625" style="841" customWidth="1"/>
    <col min="3590" max="3590" width="7.7109375" style="841" customWidth="1"/>
    <col min="3591" max="3591" width="9.7109375" style="841" customWidth="1"/>
    <col min="3592" max="3592" width="7.28515625" style="841" customWidth="1"/>
    <col min="3593" max="3593" width="7.5703125" style="841" customWidth="1"/>
    <col min="3594" max="3594" width="7.7109375" style="841" customWidth="1"/>
    <col min="3595" max="3595" width="7" style="841" customWidth="1"/>
    <col min="3596" max="3596" width="7.7109375" style="841" customWidth="1"/>
    <col min="3597" max="3597" width="7" style="841" customWidth="1"/>
    <col min="3598" max="3840" width="11.5703125" style="841"/>
    <col min="3841" max="3841" width="11.42578125" style="841" customWidth="1"/>
    <col min="3842" max="3842" width="6.140625" style="841" customWidth="1"/>
    <col min="3843" max="3843" width="22.28515625" style="841" customWidth="1"/>
    <col min="3844" max="3844" width="9.28515625" style="841" customWidth="1"/>
    <col min="3845" max="3845" width="8.28515625" style="841" customWidth="1"/>
    <col min="3846" max="3846" width="7.7109375" style="841" customWidth="1"/>
    <col min="3847" max="3847" width="9.7109375" style="841" customWidth="1"/>
    <col min="3848" max="3848" width="7.28515625" style="841" customWidth="1"/>
    <col min="3849" max="3849" width="7.5703125" style="841" customWidth="1"/>
    <col min="3850" max="3850" width="7.7109375" style="841" customWidth="1"/>
    <col min="3851" max="3851" width="7" style="841" customWidth="1"/>
    <col min="3852" max="3852" width="7.7109375" style="841" customWidth="1"/>
    <col min="3853" max="3853" width="7" style="841" customWidth="1"/>
    <col min="3854" max="4096" width="11.5703125" style="841"/>
    <col min="4097" max="4097" width="11.42578125" style="841" customWidth="1"/>
    <col min="4098" max="4098" width="6.140625" style="841" customWidth="1"/>
    <col min="4099" max="4099" width="22.28515625" style="841" customWidth="1"/>
    <col min="4100" max="4100" width="9.28515625" style="841" customWidth="1"/>
    <col min="4101" max="4101" width="8.28515625" style="841" customWidth="1"/>
    <col min="4102" max="4102" width="7.7109375" style="841" customWidth="1"/>
    <col min="4103" max="4103" width="9.7109375" style="841" customWidth="1"/>
    <col min="4104" max="4104" width="7.28515625" style="841" customWidth="1"/>
    <col min="4105" max="4105" width="7.5703125" style="841" customWidth="1"/>
    <col min="4106" max="4106" width="7.7109375" style="841" customWidth="1"/>
    <col min="4107" max="4107" width="7" style="841" customWidth="1"/>
    <col min="4108" max="4108" width="7.7109375" style="841" customWidth="1"/>
    <col min="4109" max="4109" width="7" style="841" customWidth="1"/>
    <col min="4110" max="4352" width="11.5703125" style="841"/>
    <col min="4353" max="4353" width="11.42578125" style="841" customWidth="1"/>
    <col min="4354" max="4354" width="6.140625" style="841" customWidth="1"/>
    <col min="4355" max="4355" width="22.28515625" style="841" customWidth="1"/>
    <col min="4356" max="4356" width="9.28515625" style="841" customWidth="1"/>
    <col min="4357" max="4357" width="8.28515625" style="841" customWidth="1"/>
    <col min="4358" max="4358" width="7.7109375" style="841" customWidth="1"/>
    <col min="4359" max="4359" width="9.7109375" style="841" customWidth="1"/>
    <col min="4360" max="4360" width="7.28515625" style="841" customWidth="1"/>
    <col min="4361" max="4361" width="7.5703125" style="841" customWidth="1"/>
    <col min="4362" max="4362" width="7.7109375" style="841" customWidth="1"/>
    <col min="4363" max="4363" width="7" style="841" customWidth="1"/>
    <col min="4364" max="4364" width="7.7109375" style="841" customWidth="1"/>
    <col min="4365" max="4365" width="7" style="841" customWidth="1"/>
    <col min="4366" max="4608" width="11.5703125" style="841"/>
    <col min="4609" max="4609" width="11.42578125" style="841" customWidth="1"/>
    <col min="4610" max="4610" width="6.140625" style="841" customWidth="1"/>
    <col min="4611" max="4611" width="22.28515625" style="841" customWidth="1"/>
    <col min="4612" max="4612" width="9.28515625" style="841" customWidth="1"/>
    <col min="4613" max="4613" width="8.28515625" style="841" customWidth="1"/>
    <col min="4614" max="4614" width="7.7109375" style="841" customWidth="1"/>
    <col min="4615" max="4615" width="9.7109375" style="841" customWidth="1"/>
    <col min="4616" max="4616" width="7.28515625" style="841" customWidth="1"/>
    <col min="4617" max="4617" width="7.5703125" style="841" customWidth="1"/>
    <col min="4618" max="4618" width="7.7109375" style="841" customWidth="1"/>
    <col min="4619" max="4619" width="7" style="841" customWidth="1"/>
    <col min="4620" max="4620" width="7.7109375" style="841" customWidth="1"/>
    <col min="4621" max="4621" width="7" style="841" customWidth="1"/>
    <col min="4622" max="4864" width="11.5703125" style="841"/>
    <col min="4865" max="4865" width="11.42578125" style="841" customWidth="1"/>
    <col min="4866" max="4866" width="6.140625" style="841" customWidth="1"/>
    <col min="4867" max="4867" width="22.28515625" style="841" customWidth="1"/>
    <col min="4868" max="4868" width="9.28515625" style="841" customWidth="1"/>
    <col min="4869" max="4869" width="8.28515625" style="841" customWidth="1"/>
    <col min="4870" max="4870" width="7.7109375" style="841" customWidth="1"/>
    <col min="4871" max="4871" width="9.7109375" style="841" customWidth="1"/>
    <col min="4872" max="4872" width="7.28515625" style="841" customWidth="1"/>
    <col min="4873" max="4873" width="7.5703125" style="841" customWidth="1"/>
    <col min="4874" max="4874" width="7.7109375" style="841" customWidth="1"/>
    <col min="4875" max="4875" width="7" style="841" customWidth="1"/>
    <col min="4876" max="4876" width="7.7109375" style="841" customWidth="1"/>
    <col min="4877" max="4877" width="7" style="841" customWidth="1"/>
    <col min="4878" max="5120" width="11.5703125" style="841"/>
    <col min="5121" max="5121" width="11.42578125" style="841" customWidth="1"/>
    <col min="5122" max="5122" width="6.140625" style="841" customWidth="1"/>
    <col min="5123" max="5123" width="22.28515625" style="841" customWidth="1"/>
    <col min="5124" max="5124" width="9.28515625" style="841" customWidth="1"/>
    <col min="5125" max="5125" width="8.28515625" style="841" customWidth="1"/>
    <col min="5126" max="5126" width="7.7109375" style="841" customWidth="1"/>
    <col min="5127" max="5127" width="9.7109375" style="841" customWidth="1"/>
    <col min="5128" max="5128" width="7.28515625" style="841" customWidth="1"/>
    <col min="5129" max="5129" width="7.5703125" style="841" customWidth="1"/>
    <col min="5130" max="5130" width="7.7109375" style="841" customWidth="1"/>
    <col min="5131" max="5131" width="7" style="841" customWidth="1"/>
    <col min="5132" max="5132" width="7.7109375" style="841" customWidth="1"/>
    <col min="5133" max="5133" width="7" style="841" customWidth="1"/>
    <col min="5134" max="5376" width="11.5703125" style="841"/>
    <col min="5377" max="5377" width="11.42578125" style="841" customWidth="1"/>
    <col min="5378" max="5378" width="6.140625" style="841" customWidth="1"/>
    <col min="5379" max="5379" width="22.28515625" style="841" customWidth="1"/>
    <col min="5380" max="5380" width="9.28515625" style="841" customWidth="1"/>
    <col min="5381" max="5381" width="8.28515625" style="841" customWidth="1"/>
    <col min="5382" max="5382" width="7.7109375" style="841" customWidth="1"/>
    <col min="5383" max="5383" width="9.7109375" style="841" customWidth="1"/>
    <col min="5384" max="5384" width="7.28515625" style="841" customWidth="1"/>
    <col min="5385" max="5385" width="7.5703125" style="841" customWidth="1"/>
    <col min="5386" max="5386" width="7.7109375" style="841" customWidth="1"/>
    <col min="5387" max="5387" width="7" style="841" customWidth="1"/>
    <col min="5388" max="5388" width="7.7109375" style="841" customWidth="1"/>
    <col min="5389" max="5389" width="7" style="841" customWidth="1"/>
    <col min="5390" max="5632" width="11.5703125" style="841"/>
    <col min="5633" max="5633" width="11.42578125" style="841" customWidth="1"/>
    <col min="5634" max="5634" width="6.140625" style="841" customWidth="1"/>
    <col min="5635" max="5635" width="22.28515625" style="841" customWidth="1"/>
    <col min="5636" max="5636" width="9.28515625" style="841" customWidth="1"/>
    <col min="5637" max="5637" width="8.28515625" style="841" customWidth="1"/>
    <col min="5638" max="5638" width="7.7109375" style="841" customWidth="1"/>
    <col min="5639" max="5639" width="9.7109375" style="841" customWidth="1"/>
    <col min="5640" max="5640" width="7.28515625" style="841" customWidth="1"/>
    <col min="5641" max="5641" width="7.5703125" style="841" customWidth="1"/>
    <col min="5642" max="5642" width="7.7109375" style="841" customWidth="1"/>
    <col min="5643" max="5643" width="7" style="841" customWidth="1"/>
    <col min="5644" max="5644" width="7.7109375" style="841" customWidth="1"/>
    <col min="5645" max="5645" width="7" style="841" customWidth="1"/>
    <col min="5646" max="5888" width="11.5703125" style="841"/>
    <col min="5889" max="5889" width="11.42578125" style="841" customWidth="1"/>
    <col min="5890" max="5890" width="6.140625" style="841" customWidth="1"/>
    <col min="5891" max="5891" width="22.28515625" style="841" customWidth="1"/>
    <col min="5892" max="5892" width="9.28515625" style="841" customWidth="1"/>
    <col min="5893" max="5893" width="8.28515625" style="841" customWidth="1"/>
    <col min="5894" max="5894" width="7.7109375" style="841" customWidth="1"/>
    <col min="5895" max="5895" width="9.7109375" style="841" customWidth="1"/>
    <col min="5896" max="5896" width="7.28515625" style="841" customWidth="1"/>
    <col min="5897" max="5897" width="7.5703125" style="841" customWidth="1"/>
    <col min="5898" max="5898" width="7.7109375" style="841" customWidth="1"/>
    <col min="5899" max="5899" width="7" style="841" customWidth="1"/>
    <col min="5900" max="5900" width="7.7109375" style="841" customWidth="1"/>
    <col min="5901" max="5901" width="7" style="841" customWidth="1"/>
    <col min="5902" max="6144" width="11.5703125" style="841"/>
    <col min="6145" max="6145" width="11.42578125" style="841" customWidth="1"/>
    <col min="6146" max="6146" width="6.140625" style="841" customWidth="1"/>
    <col min="6147" max="6147" width="22.28515625" style="841" customWidth="1"/>
    <col min="6148" max="6148" width="9.28515625" style="841" customWidth="1"/>
    <col min="6149" max="6149" width="8.28515625" style="841" customWidth="1"/>
    <col min="6150" max="6150" width="7.7109375" style="841" customWidth="1"/>
    <col min="6151" max="6151" width="9.7109375" style="841" customWidth="1"/>
    <col min="6152" max="6152" width="7.28515625" style="841" customWidth="1"/>
    <col min="6153" max="6153" width="7.5703125" style="841" customWidth="1"/>
    <col min="6154" max="6154" width="7.7109375" style="841" customWidth="1"/>
    <col min="6155" max="6155" width="7" style="841" customWidth="1"/>
    <col min="6156" max="6156" width="7.7109375" style="841" customWidth="1"/>
    <col min="6157" max="6157" width="7" style="841" customWidth="1"/>
    <col min="6158" max="6400" width="11.5703125" style="841"/>
    <col min="6401" max="6401" width="11.42578125" style="841" customWidth="1"/>
    <col min="6402" max="6402" width="6.140625" style="841" customWidth="1"/>
    <col min="6403" max="6403" width="22.28515625" style="841" customWidth="1"/>
    <col min="6404" max="6404" width="9.28515625" style="841" customWidth="1"/>
    <col min="6405" max="6405" width="8.28515625" style="841" customWidth="1"/>
    <col min="6406" max="6406" width="7.7109375" style="841" customWidth="1"/>
    <col min="6407" max="6407" width="9.7109375" style="841" customWidth="1"/>
    <col min="6408" max="6408" width="7.28515625" style="841" customWidth="1"/>
    <col min="6409" max="6409" width="7.5703125" style="841" customWidth="1"/>
    <col min="6410" max="6410" width="7.7109375" style="841" customWidth="1"/>
    <col min="6411" max="6411" width="7" style="841" customWidth="1"/>
    <col min="6412" max="6412" width="7.7109375" style="841" customWidth="1"/>
    <col min="6413" max="6413" width="7" style="841" customWidth="1"/>
    <col min="6414" max="6656" width="11.5703125" style="841"/>
    <col min="6657" max="6657" width="11.42578125" style="841" customWidth="1"/>
    <col min="6658" max="6658" width="6.140625" style="841" customWidth="1"/>
    <col min="6659" max="6659" width="22.28515625" style="841" customWidth="1"/>
    <col min="6660" max="6660" width="9.28515625" style="841" customWidth="1"/>
    <col min="6661" max="6661" width="8.28515625" style="841" customWidth="1"/>
    <col min="6662" max="6662" width="7.7109375" style="841" customWidth="1"/>
    <col min="6663" max="6663" width="9.7109375" style="841" customWidth="1"/>
    <col min="6664" max="6664" width="7.28515625" style="841" customWidth="1"/>
    <col min="6665" max="6665" width="7.5703125" style="841" customWidth="1"/>
    <col min="6666" max="6666" width="7.7109375" style="841" customWidth="1"/>
    <col min="6667" max="6667" width="7" style="841" customWidth="1"/>
    <col min="6668" max="6668" width="7.7109375" style="841" customWidth="1"/>
    <col min="6669" max="6669" width="7" style="841" customWidth="1"/>
    <col min="6670" max="6912" width="11.5703125" style="841"/>
    <col min="6913" max="6913" width="11.42578125" style="841" customWidth="1"/>
    <col min="6914" max="6914" width="6.140625" style="841" customWidth="1"/>
    <col min="6915" max="6915" width="22.28515625" style="841" customWidth="1"/>
    <col min="6916" max="6916" width="9.28515625" style="841" customWidth="1"/>
    <col min="6917" max="6917" width="8.28515625" style="841" customWidth="1"/>
    <col min="6918" max="6918" width="7.7109375" style="841" customWidth="1"/>
    <col min="6919" max="6919" width="9.7109375" style="841" customWidth="1"/>
    <col min="6920" max="6920" width="7.28515625" style="841" customWidth="1"/>
    <col min="6921" max="6921" width="7.5703125" style="841" customWidth="1"/>
    <col min="6922" max="6922" width="7.7109375" style="841" customWidth="1"/>
    <col min="6923" max="6923" width="7" style="841" customWidth="1"/>
    <col min="6924" max="6924" width="7.7109375" style="841" customWidth="1"/>
    <col min="6925" max="6925" width="7" style="841" customWidth="1"/>
    <col min="6926" max="7168" width="11.5703125" style="841"/>
    <col min="7169" max="7169" width="11.42578125" style="841" customWidth="1"/>
    <col min="7170" max="7170" width="6.140625" style="841" customWidth="1"/>
    <col min="7171" max="7171" width="22.28515625" style="841" customWidth="1"/>
    <col min="7172" max="7172" width="9.28515625" style="841" customWidth="1"/>
    <col min="7173" max="7173" width="8.28515625" style="841" customWidth="1"/>
    <col min="7174" max="7174" width="7.7109375" style="841" customWidth="1"/>
    <col min="7175" max="7175" width="9.7109375" style="841" customWidth="1"/>
    <col min="7176" max="7176" width="7.28515625" style="841" customWidth="1"/>
    <col min="7177" max="7177" width="7.5703125" style="841" customWidth="1"/>
    <col min="7178" max="7178" width="7.7109375" style="841" customWidth="1"/>
    <col min="7179" max="7179" width="7" style="841" customWidth="1"/>
    <col min="7180" max="7180" width="7.7109375" style="841" customWidth="1"/>
    <col min="7181" max="7181" width="7" style="841" customWidth="1"/>
    <col min="7182" max="7424" width="11.5703125" style="841"/>
    <col min="7425" max="7425" width="11.42578125" style="841" customWidth="1"/>
    <col min="7426" max="7426" width="6.140625" style="841" customWidth="1"/>
    <col min="7427" max="7427" width="22.28515625" style="841" customWidth="1"/>
    <col min="7428" max="7428" width="9.28515625" style="841" customWidth="1"/>
    <col min="7429" max="7429" width="8.28515625" style="841" customWidth="1"/>
    <col min="7430" max="7430" width="7.7109375" style="841" customWidth="1"/>
    <col min="7431" max="7431" width="9.7109375" style="841" customWidth="1"/>
    <col min="7432" max="7432" width="7.28515625" style="841" customWidth="1"/>
    <col min="7433" max="7433" width="7.5703125" style="841" customWidth="1"/>
    <col min="7434" max="7434" width="7.7109375" style="841" customWidth="1"/>
    <col min="7435" max="7435" width="7" style="841" customWidth="1"/>
    <col min="7436" max="7436" width="7.7109375" style="841" customWidth="1"/>
    <col min="7437" max="7437" width="7" style="841" customWidth="1"/>
    <col min="7438" max="7680" width="11.5703125" style="841"/>
    <col min="7681" max="7681" width="11.42578125" style="841" customWidth="1"/>
    <col min="7682" max="7682" width="6.140625" style="841" customWidth="1"/>
    <col min="7683" max="7683" width="22.28515625" style="841" customWidth="1"/>
    <col min="7684" max="7684" width="9.28515625" style="841" customWidth="1"/>
    <col min="7685" max="7685" width="8.28515625" style="841" customWidth="1"/>
    <col min="7686" max="7686" width="7.7109375" style="841" customWidth="1"/>
    <col min="7687" max="7687" width="9.7109375" style="841" customWidth="1"/>
    <col min="7688" max="7688" width="7.28515625" style="841" customWidth="1"/>
    <col min="7689" max="7689" width="7.5703125" style="841" customWidth="1"/>
    <col min="7690" max="7690" width="7.7109375" style="841" customWidth="1"/>
    <col min="7691" max="7691" width="7" style="841" customWidth="1"/>
    <col min="7692" max="7692" width="7.7109375" style="841" customWidth="1"/>
    <col min="7693" max="7693" width="7" style="841" customWidth="1"/>
    <col min="7694" max="7936" width="11.5703125" style="841"/>
    <col min="7937" max="7937" width="11.42578125" style="841" customWidth="1"/>
    <col min="7938" max="7938" width="6.140625" style="841" customWidth="1"/>
    <col min="7939" max="7939" width="22.28515625" style="841" customWidth="1"/>
    <col min="7940" max="7940" width="9.28515625" style="841" customWidth="1"/>
    <col min="7941" max="7941" width="8.28515625" style="841" customWidth="1"/>
    <col min="7942" max="7942" width="7.7109375" style="841" customWidth="1"/>
    <col min="7943" max="7943" width="9.7109375" style="841" customWidth="1"/>
    <col min="7944" max="7944" width="7.28515625" style="841" customWidth="1"/>
    <col min="7945" max="7945" width="7.5703125" style="841" customWidth="1"/>
    <col min="7946" max="7946" width="7.7109375" style="841" customWidth="1"/>
    <col min="7947" max="7947" width="7" style="841" customWidth="1"/>
    <col min="7948" max="7948" width="7.7109375" style="841" customWidth="1"/>
    <col min="7949" max="7949" width="7" style="841" customWidth="1"/>
    <col min="7950" max="8192" width="11.5703125" style="841"/>
    <col min="8193" max="8193" width="11.42578125" style="841" customWidth="1"/>
    <col min="8194" max="8194" width="6.140625" style="841" customWidth="1"/>
    <col min="8195" max="8195" width="22.28515625" style="841" customWidth="1"/>
    <col min="8196" max="8196" width="9.28515625" style="841" customWidth="1"/>
    <col min="8197" max="8197" width="8.28515625" style="841" customWidth="1"/>
    <col min="8198" max="8198" width="7.7109375" style="841" customWidth="1"/>
    <col min="8199" max="8199" width="9.7109375" style="841" customWidth="1"/>
    <col min="8200" max="8200" width="7.28515625" style="841" customWidth="1"/>
    <col min="8201" max="8201" width="7.5703125" style="841" customWidth="1"/>
    <col min="8202" max="8202" width="7.7109375" style="841" customWidth="1"/>
    <col min="8203" max="8203" width="7" style="841" customWidth="1"/>
    <col min="8204" max="8204" width="7.7109375" style="841" customWidth="1"/>
    <col min="8205" max="8205" width="7" style="841" customWidth="1"/>
    <col min="8206" max="8448" width="11.5703125" style="841"/>
    <col min="8449" max="8449" width="11.42578125" style="841" customWidth="1"/>
    <col min="8450" max="8450" width="6.140625" style="841" customWidth="1"/>
    <col min="8451" max="8451" width="22.28515625" style="841" customWidth="1"/>
    <col min="8452" max="8452" width="9.28515625" style="841" customWidth="1"/>
    <col min="8453" max="8453" width="8.28515625" style="841" customWidth="1"/>
    <col min="8454" max="8454" width="7.7109375" style="841" customWidth="1"/>
    <col min="8455" max="8455" width="9.7109375" style="841" customWidth="1"/>
    <col min="8456" max="8456" width="7.28515625" style="841" customWidth="1"/>
    <col min="8457" max="8457" width="7.5703125" style="841" customWidth="1"/>
    <col min="8458" max="8458" width="7.7109375" style="841" customWidth="1"/>
    <col min="8459" max="8459" width="7" style="841" customWidth="1"/>
    <col min="8460" max="8460" width="7.7109375" style="841" customWidth="1"/>
    <col min="8461" max="8461" width="7" style="841" customWidth="1"/>
    <col min="8462" max="8704" width="11.5703125" style="841"/>
    <col min="8705" max="8705" width="11.42578125" style="841" customWidth="1"/>
    <col min="8706" max="8706" width="6.140625" style="841" customWidth="1"/>
    <col min="8707" max="8707" width="22.28515625" style="841" customWidth="1"/>
    <col min="8708" max="8708" width="9.28515625" style="841" customWidth="1"/>
    <col min="8709" max="8709" width="8.28515625" style="841" customWidth="1"/>
    <col min="8710" max="8710" width="7.7109375" style="841" customWidth="1"/>
    <col min="8711" max="8711" width="9.7109375" style="841" customWidth="1"/>
    <col min="8712" max="8712" width="7.28515625" style="841" customWidth="1"/>
    <col min="8713" max="8713" width="7.5703125" style="841" customWidth="1"/>
    <col min="8714" max="8714" width="7.7109375" style="841" customWidth="1"/>
    <col min="8715" max="8715" width="7" style="841" customWidth="1"/>
    <col min="8716" max="8716" width="7.7109375" style="841" customWidth="1"/>
    <col min="8717" max="8717" width="7" style="841" customWidth="1"/>
    <col min="8718" max="8960" width="11.5703125" style="841"/>
    <col min="8961" max="8961" width="11.42578125" style="841" customWidth="1"/>
    <col min="8962" max="8962" width="6.140625" style="841" customWidth="1"/>
    <col min="8963" max="8963" width="22.28515625" style="841" customWidth="1"/>
    <col min="8964" max="8964" width="9.28515625" style="841" customWidth="1"/>
    <col min="8965" max="8965" width="8.28515625" style="841" customWidth="1"/>
    <col min="8966" max="8966" width="7.7109375" style="841" customWidth="1"/>
    <col min="8967" max="8967" width="9.7109375" style="841" customWidth="1"/>
    <col min="8968" max="8968" width="7.28515625" style="841" customWidth="1"/>
    <col min="8969" max="8969" width="7.5703125" style="841" customWidth="1"/>
    <col min="8970" max="8970" width="7.7109375" style="841" customWidth="1"/>
    <col min="8971" max="8971" width="7" style="841" customWidth="1"/>
    <col min="8972" max="8972" width="7.7109375" style="841" customWidth="1"/>
    <col min="8973" max="8973" width="7" style="841" customWidth="1"/>
    <col min="8974" max="9216" width="11.5703125" style="841"/>
    <col min="9217" max="9217" width="11.42578125" style="841" customWidth="1"/>
    <col min="9218" max="9218" width="6.140625" style="841" customWidth="1"/>
    <col min="9219" max="9219" width="22.28515625" style="841" customWidth="1"/>
    <col min="9220" max="9220" width="9.28515625" style="841" customWidth="1"/>
    <col min="9221" max="9221" width="8.28515625" style="841" customWidth="1"/>
    <col min="9222" max="9222" width="7.7109375" style="841" customWidth="1"/>
    <col min="9223" max="9223" width="9.7109375" style="841" customWidth="1"/>
    <col min="9224" max="9224" width="7.28515625" style="841" customWidth="1"/>
    <col min="9225" max="9225" width="7.5703125" style="841" customWidth="1"/>
    <col min="9226" max="9226" width="7.7109375" style="841" customWidth="1"/>
    <col min="9227" max="9227" width="7" style="841" customWidth="1"/>
    <col min="9228" max="9228" width="7.7109375" style="841" customWidth="1"/>
    <col min="9229" max="9229" width="7" style="841" customWidth="1"/>
    <col min="9230" max="9472" width="11.5703125" style="841"/>
    <col min="9473" max="9473" width="11.42578125" style="841" customWidth="1"/>
    <col min="9474" max="9474" width="6.140625" style="841" customWidth="1"/>
    <col min="9475" max="9475" width="22.28515625" style="841" customWidth="1"/>
    <col min="9476" max="9476" width="9.28515625" style="841" customWidth="1"/>
    <col min="9477" max="9477" width="8.28515625" style="841" customWidth="1"/>
    <col min="9478" max="9478" width="7.7109375" style="841" customWidth="1"/>
    <col min="9479" max="9479" width="9.7109375" style="841" customWidth="1"/>
    <col min="9480" max="9480" width="7.28515625" style="841" customWidth="1"/>
    <col min="9481" max="9481" width="7.5703125" style="841" customWidth="1"/>
    <col min="9482" max="9482" width="7.7109375" style="841" customWidth="1"/>
    <col min="9483" max="9483" width="7" style="841" customWidth="1"/>
    <col min="9484" max="9484" width="7.7109375" style="841" customWidth="1"/>
    <col min="9485" max="9485" width="7" style="841" customWidth="1"/>
    <col min="9486" max="9728" width="11.5703125" style="841"/>
    <col min="9729" max="9729" width="11.42578125" style="841" customWidth="1"/>
    <col min="9730" max="9730" width="6.140625" style="841" customWidth="1"/>
    <col min="9731" max="9731" width="22.28515625" style="841" customWidth="1"/>
    <col min="9732" max="9732" width="9.28515625" style="841" customWidth="1"/>
    <col min="9733" max="9733" width="8.28515625" style="841" customWidth="1"/>
    <col min="9734" max="9734" width="7.7109375" style="841" customWidth="1"/>
    <col min="9735" max="9735" width="9.7109375" style="841" customWidth="1"/>
    <col min="9736" max="9736" width="7.28515625" style="841" customWidth="1"/>
    <col min="9737" max="9737" width="7.5703125" style="841" customWidth="1"/>
    <col min="9738" max="9738" width="7.7109375" style="841" customWidth="1"/>
    <col min="9739" max="9739" width="7" style="841" customWidth="1"/>
    <col min="9740" max="9740" width="7.7109375" style="841" customWidth="1"/>
    <col min="9741" max="9741" width="7" style="841" customWidth="1"/>
    <col min="9742" max="9984" width="11.5703125" style="841"/>
    <col min="9985" max="9985" width="11.42578125" style="841" customWidth="1"/>
    <col min="9986" max="9986" width="6.140625" style="841" customWidth="1"/>
    <col min="9987" max="9987" width="22.28515625" style="841" customWidth="1"/>
    <col min="9988" max="9988" width="9.28515625" style="841" customWidth="1"/>
    <col min="9989" max="9989" width="8.28515625" style="841" customWidth="1"/>
    <col min="9990" max="9990" width="7.7109375" style="841" customWidth="1"/>
    <col min="9991" max="9991" width="9.7109375" style="841" customWidth="1"/>
    <col min="9992" max="9992" width="7.28515625" style="841" customWidth="1"/>
    <col min="9993" max="9993" width="7.5703125" style="841" customWidth="1"/>
    <col min="9994" max="9994" width="7.7109375" style="841" customWidth="1"/>
    <col min="9995" max="9995" width="7" style="841" customWidth="1"/>
    <col min="9996" max="9996" width="7.7109375" style="841" customWidth="1"/>
    <col min="9997" max="9997" width="7" style="841" customWidth="1"/>
    <col min="9998" max="10240" width="11.5703125" style="841"/>
    <col min="10241" max="10241" width="11.42578125" style="841" customWidth="1"/>
    <col min="10242" max="10242" width="6.140625" style="841" customWidth="1"/>
    <col min="10243" max="10243" width="22.28515625" style="841" customWidth="1"/>
    <col min="10244" max="10244" width="9.28515625" style="841" customWidth="1"/>
    <col min="10245" max="10245" width="8.28515625" style="841" customWidth="1"/>
    <col min="10246" max="10246" width="7.7109375" style="841" customWidth="1"/>
    <col min="10247" max="10247" width="9.7109375" style="841" customWidth="1"/>
    <col min="10248" max="10248" width="7.28515625" style="841" customWidth="1"/>
    <col min="10249" max="10249" width="7.5703125" style="841" customWidth="1"/>
    <col min="10250" max="10250" width="7.7109375" style="841" customWidth="1"/>
    <col min="10251" max="10251" width="7" style="841" customWidth="1"/>
    <col min="10252" max="10252" width="7.7109375" style="841" customWidth="1"/>
    <col min="10253" max="10253" width="7" style="841" customWidth="1"/>
    <col min="10254" max="10496" width="11.5703125" style="841"/>
    <col min="10497" max="10497" width="11.42578125" style="841" customWidth="1"/>
    <col min="10498" max="10498" width="6.140625" style="841" customWidth="1"/>
    <col min="10499" max="10499" width="22.28515625" style="841" customWidth="1"/>
    <col min="10500" max="10500" width="9.28515625" style="841" customWidth="1"/>
    <col min="10501" max="10501" width="8.28515625" style="841" customWidth="1"/>
    <col min="10502" max="10502" width="7.7109375" style="841" customWidth="1"/>
    <col min="10503" max="10503" width="9.7109375" style="841" customWidth="1"/>
    <col min="10504" max="10504" width="7.28515625" style="841" customWidth="1"/>
    <col min="10505" max="10505" width="7.5703125" style="841" customWidth="1"/>
    <col min="10506" max="10506" width="7.7109375" style="841" customWidth="1"/>
    <col min="10507" max="10507" width="7" style="841" customWidth="1"/>
    <col min="10508" max="10508" width="7.7109375" style="841" customWidth="1"/>
    <col min="10509" max="10509" width="7" style="841" customWidth="1"/>
    <col min="10510" max="10752" width="11.5703125" style="841"/>
    <col min="10753" max="10753" width="11.42578125" style="841" customWidth="1"/>
    <col min="10754" max="10754" width="6.140625" style="841" customWidth="1"/>
    <col min="10755" max="10755" width="22.28515625" style="841" customWidth="1"/>
    <col min="10756" max="10756" width="9.28515625" style="841" customWidth="1"/>
    <col min="10757" max="10757" width="8.28515625" style="841" customWidth="1"/>
    <col min="10758" max="10758" width="7.7109375" style="841" customWidth="1"/>
    <col min="10759" max="10759" width="9.7109375" style="841" customWidth="1"/>
    <col min="10760" max="10760" width="7.28515625" style="841" customWidth="1"/>
    <col min="10761" max="10761" width="7.5703125" style="841" customWidth="1"/>
    <col min="10762" max="10762" width="7.7109375" style="841" customWidth="1"/>
    <col min="10763" max="10763" width="7" style="841" customWidth="1"/>
    <col min="10764" max="10764" width="7.7109375" style="841" customWidth="1"/>
    <col min="10765" max="10765" width="7" style="841" customWidth="1"/>
    <col min="10766" max="11008" width="11.5703125" style="841"/>
    <col min="11009" max="11009" width="11.42578125" style="841" customWidth="1"/>
    <col min="11010" max="11010" width="6.140625" style="841" customWidth="1"/>
    <col min="11011" max="11011" width="22.28515625" style="841" customWidth="1"/>
    <col min="11012" max="11012" width="9.28515625" style="841" customWidth="1"/>
    <col min="11013" max="11013" width="8.28515625" style="841" customWidth="1"/>
    <col min="11014" max="11014" width="7.7109375" style="841" customWidth="1"/>
    <col min="11015" max="11015" width="9.7109375" style="841" customWidth="1"/>
    <col min="11016" max="11016" width="7.28515625" style="841" customWidth="1"/>
    <col min="11017" max="11017" width="7.5703125" style="841" customWidth="1"/>
    <col min="11018" max="11018" width="7.7109375" style="841" customWidth="1"/>
    <col min="11019" max="11019" width="7" style="841" customWidth="1"/>
    <col min="11020" max="11020" width="7.7109375" style="841" customWidth="1"/>
    <col min="11021" max="11021" width="7" style="841" customWidth="1"/>
    <col min="11022" max="11264" width="11.5703125" style="841"/>
    <col min="11265" max="11265" width="11.42578125" style="841" customWidth="1"/>
    <col min="11266" max="11266" width="6.140625" style="841" customWidth="1"/>
    <col min="11267" max="11267" width="22.28515625" style="841" customWidth="1"/>
    <col min="11268" max="11268" width="9.28515625" style="841" customWidth="1"/>
    <col min="11269" max="11269" width="8.28515625" style="841" customWidth="1"/>
    <col min="11270" max="11270" width="7.7109375" style="841" customWidth="1"/>
    <col min="11271" max="11271" width="9.7109375" style="841" customWidth="1"/>
    <col min="11272" max="11272" width="7.28515625" style="841" customWidth="1"/>
    <col min="11273" max="11273" width="7.5703125" style="841" customWidth="1"/>
    <col min="11274" max="11274" width="7.7109375" style="841" customWidth="1"/>
    <col min="11275" max="11275" width="7" style="841" customWidth="1"/>
    <col min="11276" max="11276" width="7.7109375" style="841" customWidth="1"/>
    <col min="11277" max="11277" width="7" style="841" customWidth="1"/>
    <col min="11278" max="11520" width="11.5703125" style="841"/>
    <col min="11521" max="11521" width="11.42578125" style="841" customWidth="1"/>
    <col min="11522" max="11522" width="6.140625" style="841" customWidth="1"/>
    <col min="11523" max="11523" width="22.28515625" style="841" customWidth="1"/>
    <col min="11524" max="11524" width="9.28515625" style="841" customWidth="1"/>
    <col min="11525" max="11525" width="8.28515625" style="841" customWidth="1"/>
    <col min="11526" max="11526" width="7.7109375" style="841" customWidth="1"/>
    <col min="11527" max="11527" width="9.7109375" style="841" customWidth="1"/>
    <col min="11528" max="11528" width="7.28515625" style="841" customWidth="1"/>
    <col min="11529" max="11529" width="7.5703125" style="841" customWidth="1"/>
    <col min="11530" max="11530" width="7.7109375" style="841" customWidth="1"/>
    <col min="11531" max="11531" width="7" style="841" customWidth="1"/>
    <col min="11532" max="11532" width="7.7109375" style="841" customWidth="1"/>
    <col min="11533" max="11533" width="7" style="841" customWidth="1"/>
    <col min="11534" max="11776" width="11.5703125" style="841"/>
    <col min="11777" max="11777" width="11.42578125" style="841" customWidth="1"/>
    <col min="11778" max="11778" width="6.140625" style="841" customWidth="1"/>
    <col min="11779" max="11779" width="22.28515625" style="841" customWidth="1"/>
    <col min="11780" max="11780" width="9.28515625" style="841" customWidth="1"/>
    <col min="11781" max="11781" width="8.28515625" style="841" customWidth="1"/>
    <col min="11782" max="11782" width="7.7109375" style="841" customWidth="1"/>
    <col min="11783" max="11783" width="9.7109375" style="841" customWidth="1"/>
    <col min="11784" max="11784" width="7.28515625" style="841" customWidth="1"/>
    <col min="11785" max="11785" width="7.5703125" style="841" customWidth="1"/>
    <col min="11786" max="11786" width="7.7109375" style="841" customWidth="1"/>
    <col min="11787" max="11787" width="7" style="841" customWidth="1"/>
    <col min="11788" max="11788" width="7.7109375" style="841" customWidth="1"/>
    <col min="11789" max="11789" width="7" style="841" customWidth="1"/>
    <col min="11790" max="12032" width="11.5703125" style="841"/>
    <col min="12033" max="12033" width="11.42578125" style="841" customWidth="1"/>
    <col min="12034" max="12034" width="6.140625" style="841" customWidth="1"/>
    <col min="12035" max="12035" width="22.28515625" style="841" customWidth="1"/>
    <col min="12036" max="12036" width="9.28515625" style="841" customWidth="1"/>
    <col min="12037" max="12037" width="8.28515625" style="841" customWidth="1"/>
    <col min="12038" max="12038" width="7.7109375" style="841" customWidth="1"/>
    <col min="12039" max="12039" width="9.7109375" style="841" customWidth="1"/>
    <col min="12040" max="12040" width="7.28515625" style="841" customWidth="1"/>
    <col min="12041" max="12041" width="7.5703125" style="841" customWidth="1"/>
    <col min="12042" max="12042" width="7.7109375" style="841" customWidth="1"/>
    <col min="12043" max="12043" width="7" style="841" customWidth="1"/>
    <col min="12044" max="12044" width="7.7109375" style="841" customWidth="1"/>
    <col min="12045" max="12045" width="7" style="841" customWidth="1"/>
    <col min="12046" max="12288" width="11.5703125" style="841"/>
    <col min="12289" max="12289" width="11.42578125" style="841" customWidth="1"/>
    <col min="12290" max="12290" width="6.140625" style="841" customWidth="1"/>
    <col min="12291" max="12291" width="22.28515625" style="841" customWidth="1"/>
    <col min="12292" max="12292" width="9.28515625" style="841" customWidth="1"/>
    <col min="12293" max="12293" width="8.28515625" style="841" customWidth="1"/>
    <col min="12294" max="12294" width="7.7109375" style="841" customWidth="1"/>
    <col min="12295" max="12295" width="9.7109375" style="841" customWidth="1"/>
    <col min="12296" max="12296" width="7.28515625" style="841" customWidth="1"/>
    <col min="12297" max="12297" width="7.5703125" style="841" customWidth="1"/>
    <col min="12298" max="12298" width="7.7109375" style="841" customWidth="1"/>
    <col min="12299" max="12299" width="7" style="841" customWidth="1"/>
    <col min="12300" max="12300" width="7.7109375" style="841" customWidth="1"/>
    <col min="12301" max="12301" width="7" style="841" customWidth="1"/>
    <col min="12302" max="12544" width="11.5703125" style="841"/>
    <col min="12545" max="12545" width="11.42578125" style="841" customWidth="1"/>
    <col min="12546" max="12546" width="6.140625" style="841" customWidth="1"/>
    <col min="12547" max="12547" width="22.28515625" style="841" customWidth="1"/>
    <col min="12548" max="12548" width="9.28515625" style="841" customWidth="1"/>
    <col min="12549" max="12549" width="8.28515625" style="841" customWidth="1"/>
    <col min="12550" max="12550" width="7.7109375" style="841" customWidth="1"/>
    <col min="12551" max="12551" width="9.7109375" style="841" customWidth="1"/>
    <col min="12552" max="12552" width="7.28515625" style="841" customWidth="1"/>
    <col min="12553" max="12553" width="7.5703125" style="841" customWidth="1"/>
    <col min="12554" max="12554" width="7.7109375" style="841" customWidth="1"/>
    <col min="12555" max="12555" width="7" style="841" customWidth="1"/>
    <col min="12556" max="12556" width="7.7109375" style="841" customWidth="1"/>
    <col min="12557" max="12557" width="7" style="841" customWidth="1"/>
    <col min="12558" max="12800" width="11.5703125" style="841"/>
    <col min="12801" max="12801" width="11.42578125" style="841" customWidth="1"/>
    <col min="12802" max="12802" width="6.140625" style="841" customWidth="1"/>
    <col min="12803" max="12803" width="22.28515625" style="841" customWidth="1"/>
    <col min="12804" max="12804" width="9.28515625" style="841" customWidth="1"/>
    <col min="12805" max="12805" width="8.28515625" style="841" customWidth="1"/>
    <col min="12806" max="12806" width="7.7109375" style="841" customWidth="1"/>
    <col min="12807" max="12807" width="9.7109375" style="841" customWidth="1"/>
    <col min="12808" max="12808" width="7.28515625" style="841" customWidth="1"/>
    <col min="12809" max="12809" width="7.5703125" style="841" customWidth="1"/>
    <col min="12810" max="12810" width="7.7109375" style="841" customWidth="1"/>
    <col min="12811" max="12811" width="7" style="841" customWidth="1"/>
    <col min="12812" max="12812" width="7.7109375" style="841" customWidth="1"/>
    <col min="12813" max="12813" width="7" style="841" customWidth="1"/>
    <col min="12814" max="13056" width="11.5703125" style="841"/>
    <col min="13057" max="13057" width="11.42578125" style="841" customWidth="1"/>
    <col min="13058" max="13058" width="6.140625" style="841" customWidth="1"/>
    <col min="13059" max="13059" width="22.28515625" style="841" customWidth="1"/>
    <col min="13060" max="13060" width="9.28515625" style="841" customWidth="1"/>
    <col min="13061" max="13061" width="8.28515625" style="841" customWidth="1"/>
    <col min="13062" max="13062" width="7.7109375" style="841" customWidth="1"/>
    <col min="13063" max="13063" width="9.7109375" style="841" customWidth="1"/>
    <col min="13064" max="13064" width="7.28515625" style="841" customWidth="1"/>
    <col min="13065" max="13065" width="7.5703125" style="841" customWidth="1"/>
    <col min="13066" max="13066" width="7.7109375" style="841" customWidth="1"/>
    <col min="13067" max="13067" width="7" style="841" customWidth="1"/>
    <col min="13068" max="13068" width="7.7109375" style="841" customWidth="1"/>
    <col min="13069" max="13069" width="7" style="841" customWidth="1"/>
    <col min="13070" max="13312" width="11.5703125" style="841"/>
    <col min="13313" max="13313" width="11.42578125" style="841" customWidth="1"/>
    <col min="13314" max="13314" width="6.140625" style="841" customWidth="1"/>
    <col min="13315" max="13315" width="22.28515625" style="841" customWidth="1"/>
    <col min="13316" max="13316" width="9.28515625" style="841" customWidth="1"/>
    <col min="13317" max="13317" width="8.28515625" style="841" customWidth="1"/>
    <col min="13318" max="13318" width="7.7109375" style="841" customWidth="1"/>
    <col min="13319" max="13319" width="9.7109375" style="841" customWidth="1"/>
    <col min="13320" max="13320" width="7.28515625" style="841" customWidth="1"/>
    <col min="13321" max="13321" width="7.5703125" style="841" customWidth="1"/>
    <col min="13322" max="13322" width="7.7109375" style="841" customWidth="1"/>
    <col min="13323" max="13323" width="7" style="841" customWidth="1"/>
    <col min="13324" max="13324" width="7.7109375" style="841" customWidth="1"/>
    <col min="13325" max="13325" width="7" style="841" customWidth="1"/>
    <col min="13326" max="13568" width="11.5703125" style="841"/>
    <col min="13569" max="13569" width="11.42578125" style="841" customWidth="1"/>
    <col min="13570" max="13570" width="6.140625" style="841" customWidth="1"/>
    <col min="13571" max="13571" width="22.28515625" style="841" customWidth="1"/>
    <col min="13572" max="13572" width="9.28515625" style="841" customWidth="1"/>
    <col min="13573" max="13573" width="8.28515625" style="841" customWidth="1"/>
    <col min="13574" max="13574" width="7.7109375" style="841" customWidth="1"/>
    <col min="13575" max="13575" width="9.7109375" style="841" customWidth="1"/>
    <col min="13576" max="13576" width="7.28515625" style="841" customWidth="1"/>
    <col min="13577" max="13577" width="7.5703125" style="841" customWidth="1"/>
    <col min="13578" max="13578" width="7.7109375" style="841" customWidth="1"/>
    <col min="13579" max="13579" width="7" style="841" customWidth="1"/>
    <col min="13580" max="13580" width="7.7109375" style="841" customWidth="1"/>
    <col min="13581" max="13581" width="7" style="841" customWidth="1"/>
    <col min="13582" max="13824" width="11.5703125" style="841"/>
    <col min="13825" max="13825" width="11.42578125" style="841" customWidth="1"/>
    <col min="13826" max="13826" width="6.140625" style="841" customWidth="1"/>
    <col min="13827" max="13827" width="22.28515625" style="841" customWidth="1"/>
    <col min="13828" max="13828" width="9.28515625" style="841" customWidth="1"/>
    <col min="13829" max="13829" width="8.28515625" style="841" customWidth="1"/>
    <col min="13830" max="13830" width="7.7109375" style="841" customWidth="1"/>
    <col min="13831" max="13831" width="9.7109375" style="841" customWidth="1"/>
    <col min="13832" max="13832" width="7.28515625" style="841" customWidth="1"/>
    <col min="13833" max="13833" width="7.5703125" style="841" customWidth="1"/>
    <col min="13834" max="13834" width="7.7109375" style="841" customWidth="1"/>
    <col min="13835" max="13835" width="7" style="841" customWidth="1"/>
    <col min="13836" max="13836" width="7.7109375" style="841" customWidth="1"/>
    <col min="13837" max="13837" width="7" style="841" customWidth="1"/>
    <col min="13838" max="14080" width="11.5703125" style="841"/>
    <col min="14081" max="14081" width="11.42578125" style="841" customWidth="1"/>
    <col min="14082" max="14082" width="6.140625" style="841" customWidth="1"/>
    <col min="14083" max="14083" width="22.28515625" style="841" customWidth="1"/>
    <col min="14084" max="14084" width="9.28515625" style="841" customWidth="1"/>
    <col min="14085" max="14085" width="8.28515625" style="841" customWidth="1"/>
    <col min="14086" max="14086" width="7.7109375" style="841" customWidth="1"/>
    <col min="14087" max="14087" width="9.7109375" style="841" customWidth="1"/>
    <col min="14088" max="14088" width="7.28515625" style="841" customWidth="1"/>
    <col min="14089" max="14089" width="7.5703125" style="841" customWidth="1"/>
    <col min="14090" max="14090" width="7.7109375" style="841" customWidth="1"/>
    <col min="14091" max="14091" width="7" style="841" customWidth="1"/>
    <col min="14092" max="14092" width="7.7109375" style="841" customWidth="1"/>
    <col min="14093" max="14093" width="7" style="841" customWidth="1"/>
    <col min="14094" max="14336" width="11.5703125" style="841"/>
    <col min="14337" max="14337" width="11.42578125" style="841" customWidth="1"/>
    <col min="14338" max="14338" width="6.140625" style="841" customWidth="1"/>
    <col min="14339" max="14339" width="22.28515625" style="841" customWidth="1"/>
    <col min="14340" max="14340" width="9.28515625" style="841" customWidth="1"/>
    <col min="14341" max="14341" width="8.28515625" style="841" customWidth="1"/>
    <col min="14342" max="14342" width="7.7109375" style="841" customWidth="1"/>
    <col min="14343" max="14343" width="9.7109375" style="841" customWidth="1"/>
    <col min="14344" max="14344" width="7.28515625" style="841" customWidth="1"/>
    <col min="14345" max="14345" width="7.5703125" style="841" customWidth="1"/>
    <col min="14346" max="14346" width="7.7109375" style="841" customWidth="1"/>
    <col min="14347" max="14347" width="7" style="841" customWidth="1"/>
    <col min="14348" max="14348" width="7.7109375" style="841" customWidth="1"/>
    <col min="14349" max="14349" width="7" style="841" customWidth="1"/>
    <col min="14350" max="14592" width="11.5703125" style="841"/>
    <col min="14593" max="14593" width="11.42578125" style="841" customWidth="1"/>
    <col min="14594" max="14594" width="6.140625" style="841" customWidth="1"/>
    <col min="14595" max="14595" width="22.28515625" style="841" customWidth="1"/>
    <col min="14596" max="14596" width="9.28515625" style="841" customWidth="1"/>
    <col min="14597" max="14597" width="8.28515625" style="841" customWidth="1"/>
    <col min="14598" max="14598" width="7.7109375" style="841" customWidth="1"/>
    <col min="14599" max="14599" width="9.7109375" style="841" customWidth="1"/>
    <col min="14600" max="14600" width="7.28515625" style="841" customWidth="1"/>
    <col min="14601" max="14601" width="7.5703125" style="841" customWidth="1"/>
    <col min="14602" max="14602" width="7.7109375" style="841" customWidth="1"/>
    <col min="14603" max="14603" width="7" style="841" customWidth="1"/>
    <col min="14604" max="14604" width="7.7109375" style="841" customWidth="1"/>
    <col min="14605" max="14605" width="7" style="841" customWidth="1"/>
    <col min="14606" max="14848" width="11.5703125" style="841"/>
    <col min="14849" max="14849" width="11.42578125" style="841" customWidth="1"/>
    <col min="14850" max="14850" width="6.140625" style="841" customWidth="1"/>
    <col min="14851" max="14851" width="22.28515625" style="841" customWidth="1"/>
    <col min="14852" max="14852" width="9.28515625" style="841" customWidth="1"/>
    <col min="14853" max="14853" width="8.28515625" style="841" customWidth="1"/>
    <col min="14854" max="14854" width="7.7109375" style="841" customWidth="1"/>
    <col min="14855" max="14855" width="9.7109375" style="841" customWidth="1"/>
    <col min="14856" max="14856" width="7.28515625" style="841" customWidth="1"/>
    <col min="14857" max="14857" width="7.5703125" style="841" customWidth="1"/>
    <col min="14858" max="14858" width="7.7109375" style="841" customWidth="1"/>
    <col min="14859" max="14859" width="7" style="841" customWidth="1"/>
    <col min="14860" max="14860" width="7.7109375" style="841" customWidth="1"/>
    <col min="14861" max="14861" width="7" style="841" customWidth="1"/>
    <col min="14862" max="15104" width="11.5703125" style="841"/>
    <col min="15105" max="15105" width="11.42578125" style="841" customWidth="1"/>
    <col min="15106" max="15106" width="6.140625" style="841" customWidth="1"/>
    <col min="15107" max="15107" width="22.28515625" style="841" customWidth="1"/>
    <col min="15108" max="15108" width="9.28515625" style="841" customWidth="1"/>
    <col min="15109" max="15109" width="8.28515625" style="841" customWidth="1"/>
    <col min="15110" max="15110" width="7.7109375" style="841" customWidth="1"/>
    <col min="15111" max="15111" width="9.7109375" style="841" customWidth="1"/>
    <col min="15112" max="15112" width="7.28515625" style="841" customWidth="1"/>
    <col min="15113" max="15113" width="7.5703125" style="841" customWidth="1"/>
    <col min="15114" max="15114" width="7.7109375" style="841" customWidth="1"/>
    <col min="15115" max="15115" width="7" style="841" customWidth="1"/>
    <col min="15116" max="15116" width="7.7109375" style="841" customWidth="1"/>
    <col min="15117" max="15117" width="7" style="841" customWidth="1"/>
    <col min="15118" max="15360" width="11.5703125" style="841"/>
    <col min="15361" max="15361" width="11.42578125" style="841" customWidth="1"/>
    <col min="15362" max="15362" width="6.140625" style="841" customWidth="1"/>
    <col min="15363" max="15363" width="22.28515625" style="841" customWidth="1"/>
    <col min="15364" max="15364" width="9.28515625" style="841" customWidth="1"/>
    <col min="15365" max="15365" width="8.28515625" style="841" customWidth="1"/>
    <col min="15366" max="15366" width="7.7109375" style="841" customWidth="1"/>
    <col min="15367" max="15367" width="9.7109375" style="841" customWidth="1"/>
    <col min="15368" max="15368" width="7.28515625" style="841" customWidth="1"/>
    <col min="15369" max="15369" width="7.5703125" style="841" customWidth="1"/>
    <col min="15370" max="15370" width="7.7109375" style="841" customWidth="1"/>
    <col min="15371" max="15371" width="7" style="841" customWidth="1"/>
    <col min="15372" max="15372" width="7.7109375" style="841" customWidth="1"/>
    <col min="15373" max="15373" width="7" style="841" customWidth="1"/>
    <col min="15374" max="15616" width="11.5703125" style="841"/>
    <col min="15617" max="15617" width="11.42578125" style="841" customWidth="1"/>
    <col min="15618" max="15618" width="6.140625" style="841" customWidth="1"/>
    <col min="15619" max="15619" width="22.28515625" style="841" customWidth="1"/>
    <col min="15620" max="15620" width="9.28515625" style="841" customWidth="1"/>
    <col min="15621" max="15621" width="8.28515625" style="841" customWidth="1"/>
    <col min="15622" max="15622" width="7.7109375" style="841" customWidth="1"/>
    <col min="15623" max="15623" width="9.7109375" style="841" customWidth="1"/>
    <col min="15624" max="15624" width="7.28515625" style="841" customWidth="1"/>
    <col min="15625" max="15625" width="7.5703125" style="841" customWidth="1"/>
    <col min="15626" max="15626" width="7.7109375" style="841" customWidth="1"/>
    <col min="15627" max="15627" width="7" style="841" customWidth="1"/>
    <col min="15628" max="15628" width="7.7109375" style="841" customWidth="1"/>
    <col min="15629" max="15629" width="7" style="841" customWidth="1"/>
    <col min="15630" max="15872" width="11.5703125" style="841"/>
    <col min="15873" max="15873" width="11.42578125" style="841" customWidth="1"/>
    <col min="15874" max="15874" width="6.140625" style="841" customWidth="1"/>
    <col min="15875" max="15875" width="22.28515625" style="841" customWidth="1"/>
    <col min="15876" max="15876" width="9.28515625" style="841" customWidth="1"/>
    <col min="15877" max="15877" width="8.28515625" style="841" customWidth="1"/>
    <col min="15878" max="15878" width="7.7109375" style="841" customWidth="1"/>
    <col min="15879" max="15879" width="9.7109375" style="841" customWidth="1"/>
    <col min="15880" max="15880" width="7.28515625" style="841" customWidth="1"/>
    <col min="15881" max="15881" width="7.5703125" style="841" customWidth="1"/>
    <col min="15882" max="15882" width="7.7109375" style="841" customWidth="1"/>
    <col min="15883" max="15883" width="7" style="841" customWidth="1"/>
    <col min="15884" max="15884" width="7.7109375" style="841" customWidth="1"/>
    <col min="15885" max="15885" width="7" style="841" customWidth="1"/>
    <col min="15886" max="16128" width="11.5703125" style="841"/>
    <col min="16129" max="16129" width="11.42578125" style="841" customWidth="1"/>
    <col min="16130" max="16130" width="6.140625" style="841" customWidth="1"/>
    <col min="16131" max="16131" width="22.28515625" style="841" customWidth="1"/>
    <col min="16132" max="16132" width="9.28515625" style="841" customWidth="1"/>
    <col min="16133" max="16133" width="8.28515625" style="841" customWidth="1"/>
    <col min="16134" max="16134" width="7.7109375" style="841" customWidth="1"/>
    <col min="16135" max="16135" width="9.7109375" style="841" customWidth="1"/>
    <col min="16136" max="16136" width="7.28515625" style="841" customWidth="1"/>
    <col min="16137" max="16137" width="7.5703125" style="841" customWidth="1"/>
    <col min="16138" max="16138" width="7.7109375" style="841" customWidth="1"/>
    <col min="16139" max="16139" width="7" style="841" customWidth="1"/>
    <col min="16140" max="16140" width="7.7109375" style="841" customWidth="1"/>
    <col min="16141" max="16141" width="7" style="841" customWidth="1"/>
    <col min="16142" max="16384" width="11.5703125" style="841"/>
  </cols>
  <sheetData>
    <row r="1" spans="1:15" ht="26.25" customHeight="1" x14ac:dyDescent="0.4">
      <c r="A1" s="909" t="s">
        <v>1667</v>
      </c>
      <c r="B1" s="910"/>
      <c r="C1" s="911"/>
      <c r="F1" s="912" t="s">
        <v>1815</v>
      </c>
      <c r="G1" s="913"/>
      <c r="H1" s="913"/>
      <c r="I1" s="913"/>
      <c r="J1" s="913"/>
      <c r="K1" s="913"/>
      <c r="L1" s="914"/>
    </row>
    <row r="2" spans="1:15" ht="21" customHeight="1" x14ac:dyDescent="0.35">
      <c r="A2" s="905" t="s">
        <v>1669</v>
      </c>
      <c r="B2" s="906"/>
      <c r="C2" s="842" t="s">
        <v>1670</v>
      </c>
      <c r="F2" s="905" t="s">
        <v>1669</v>
      </c>
      <c r="G2" s="906"/>
      <c r="H2" s="907" t="s">
        <v>1681</v>
      </c>
      <c r="I2" s="907"/>
      <c r="J2" s="907"/>
      <c r="K2" s="907"/>
      <c r="L2" s="908"/>
    </row>
    <row r="3" spans="1:15" ht="21.75" customHeight="1" x14ac:dyDescent="0.35">
      <c r="A3" s="905" t="s">
        <v>1671</v>
      </c>
      <c r="B3" s="906"/>
      <c r="C3" s="842" t="s">
        <v>1672</v>
      </c>
      <c r="F3" s="905" t="s">
        <v>1671</v>
      </c>
      <c r="G3" s="906"/>
      <c r="H3" s="907" t="s">
        <v>1682</v>
      </c>
      <c r="I3" s="907"/>
      <c r="J3" s="907"/>
      <c r="K3" s="907"/>
      <c r="L3" s="908"/>
    </row>
    <row r="4" spans="1:15" ht="21.75" thickBot="1" x14ac:dyDescent="0.4">
      <c r="A4" s="915" t="s">
        <v>1673</v>
      </c>
      <c r="B4" s="916"/>
      <c r="C4" s="843" t="s">
        <v>1674</v>
      </c>
      <c r="F4" s="915" t="s">
        <v>1673</v>
      </c>
      <c r="G4" s="916"/>
      <c r="H4" s="917" t="s">
        <v>1816</v>
      </c>
      <c r="I4" s="917"/>
      <c r="J4" s="917"/>
      <c r="K4" s="917"/>
      <c r="L4" s="918"/>
    </row>
    <row r="5" spans="1:15" ht="7.5" customHeight="1" thickBot="1" x14ac:dyDescent="0.4">
      <c r="A5" s="844"/>
      <c r="C5" s="844"/>
    </row>
    <row r="6" spans="1:15" ht="35.450000000000003" customHeight="1" thickBot="1" x14ac:dyDescent="0.25">
      <c r="A6" s="919" t="s">
        <v>1668</v>
      </c>
      <c r="B6" s="920"/>
      <c r="C6" s="921"/>
      <c r="F6" s="922" t="s">
        <v>1675</v>
      </c>
      <c r="G6" s="923"/>
      <c r="H6" s="924"/>
      <c r="I6" s="925">
        <f ca="1">+TODAY()</f>
        <v>46099</v>
      </c>
      <c r="J6" s="926"/>
      <c r="K6" s="926"/>
      <c r="L6" s="926"/>
      <c r="M6" s="927"/>
    </row>
    <row r="7" spans="1:15" ht="3" customHeight="1" thickBot="1" x14ac:dyDescent="0.25"/>
    <row r="8" spans="1:15" ht="42.75" customHeight="1" thickBot="1" x14ac:dyDescent="0.25">
      <c r="A8" s="935" t="s">
        <v>1676</v>
      </c>
      <c r="B8" s="936"/>
      <c r="C8" s="845" t="s">
        <v>1834</v>
      </c>
      <c r="D8" s="846" t="s">
        <v>1677</v>
      </c>
      <c r="E8" s="847">
        <v>1218</v>
      </c>
      <c r="F8" s="935" t="s">
        <v>1678</v>
      </c>
      <c r="G8" s="937"/>
      <c r="H8" s="936"/>
      <c r="I8" s="938" t="s">
        <v>1672</v>
      </c>
      <c r="J8" s="939"/>
      <c r="K8" s="939"/>
      <c r="L8" s="939"/>
      <c r="M8" s="940"/>
    </row>
    <row r="9" spans="1:15" ht="7.5" customHeight="1" thickBot="1" x14ac:dyDescent="0.4">
      <c r="A9" s="844"/>
      <c r="C9" s="844"/>
    </row>
    <row r="10" spans="1:15" ht="39.6" customHeight="1" thickBot="1" x14ac:dyDescent="0.25">
      <c r="A10" s="941" t="s">
        <v>1818</v>
      </c>
      <c r="B10" s="942"/>
      <c r="C10" s="942"/>
      <c r="D10" s="942"/>
      <c r="E10" s="942"/>
      <c r="F10" s="942"/>
      <c r="G10" s="942"/>
      <c r="H10" s="942"/>
      <c r="I10" s="942"/>
      <c r="J10" s="942"/>
      <c r="K10" s="942"/>
      <c r="L10" s="942"/>
      <c r="M10" s="943"/>
    </row>
    <row r="11" spans="1:15" ht="6" customHeight="1" thickBot="1" x14ac:dyDescent="0.4">
      <c r="A11" s="844"/>
      <c r="C11" s="844"/>
    </row>
    <row r="12" spans="1:15" ht="27" thickBot="1" x14ac:dyDescent="0.25">
      <c r="A12" s="944" t="s">
        <v>1679</v>
      </c>
      <c r="B12" s="945"/>
      <c r="C12" s="945"/>
      <c r="D12" s="945"/>
      <c r="E12" s="945"/>
      <c r="F12" s="945"/>
      <c r="G12" s="945"/>
      <c r="H12" s="945"/>
      <c r="I12" s="945"/>
      <c r="J12" s="945"/>
      <c r="K12" s="945"/>
      <c r="L12" s="945"/>
      <c r="M12" s="946"/>
    </row>
    <row r="13" spans="1:15" ht="38.25" thickBot="1" x14ac:dyDescent="0.25">
      <c r="A13" s="848" t="s">
        <v>1293</v>
      </c>
      <c r="B13" s="849" t="s">
        <v>1664</v>
      </c>
      <c r="C13" s="850" t="s">
        <v>1819</v>
      </c>
      <c r="D13" s="851" t="s">
        <v>1042</v>
      </c>
      <c r="E13" s="852" t="s">
        <v>1820</v>
      </c>
      <c r="F13" s="852" t="s">
        <v>1821</v>
      </c>
      <c r="G13" s="853" t="s">
        <v>1822</v>
      </c>
      <c r="H13" s="849" t="s">
        <v>1823</v>
      </c>
      <c r="I13" s="849" t="s">
        <v>1824</v>
      </c>
      <c r="J13" s="849" t="s">
        <v>1823</v>
      </c>
      <c r="K13" s="849" t="s">
        <v>1824</v>
      </c>
      <c r="L13" s="849" t="s">
        <v>1823</v>
      </c>
      <c r="M13" s="849" t="s">
        <v>1824</v>
      </c>
    </row>
    <row r="14" spans="1:15" ht="33.6" customHeight="1" x14ac:dyDescent="0.2">
      <c r="A14" s="928" t="str" cm="1">
        <f t="array" ref="A14">+IFERROR(INDEX('Pedido VACIO'!$B:$B,MATCH(1,('Pedido VACIO'!$H:$H=$B14)*('Pedido VACIO'!$A:$A="Vihal"),0)),"")</f>
        <v/>
      </c>
      <c r="B14" s="930">
        <v>1</v>
      </c>
      <c r="C14" s="932" t="str" cm="1">
        <f t="array" ref="C14">+IFERROR(INDEX('Pedido VACIO'!$F:$F,MATCH(1,('Pedido VACIO'!$H:$H=$B14)*('Pedido VACIO'!$A:$A="Vihal"),0)),"")</f>
        <v/>
      </c>
      <c r="D14" s="932" t="str" cm="1">
        <f t="array" ref="D14">+IFERROR(INDEX('Pedido VACIO'!$G:$G,MATCH(1,('Pedido VACIO'!$H:$H=$B14)*('Pedido VACIO'!$A:$A="Vihal"),0)),"")</f>
        <v/>
      </c>
      <c r="E14" s="854" t="str">
        <f>+IF(E13="LK","CH",IF(D14="","",IF(D14&gt;0,"LK","CH")))</f>
        <v/>
      </c>
      <c r="F14" s="854" t="str">
        <f>+IF(OR(E14="LK"),ROUNDUP(D14*0.7/25,0)*25,IF(E14="CH",D13-F13,""))</f>
        <v/>
      </c>
      <c r="G14" s="934"/>
      <c r="H14" s="856"/>
      <c r="I14" s="857"/>
      <c r="J14" s="856"/>
      <c r="K14" s="857"/>
      <c r="L14" s="856"/>
      <c r="M14" s="858"/>
      <c r="O14" s="859"/>
    </row>
    <row r="15" spans="1:15" ht="33.6" customHeight="1" x14ac:dyDescent="0.2">
      <c r="A15" s="929"/>
      <c r="B15" s="931"/>
      <c r="C15" s="933"/>
      <c r="D15" s="933"/>
      <c r="E15" s="860" t="str">
        <f t="shared" ref="E15:E43" si="0">+IF(E14="LK","CH",IF(D15="","",IF(D15&gt;0,"LK","CH")))</f>
        <v/>
      </c>
      <c r="F15" s="854" t="str">
        <f>+IF(OR(E15="LK"),ROUNDUP(D15*0.7/25,0)*25,IF(E15="CH",D14-F14,""))</f>
        <v/>
      </c>
      <c r="G15" s="931"/>
      <c r="H15" s="861"/>
      <c r="I15" s="862"/>
      <c r="J15" s="861"/>
      <c r="K15" s="862"/>
      <c r="L15" s="861"/>
      <c r="M15" s="863"/>
    </row>
    <row r="16" spans="1:15" ht="33.6" customHeight="1" x14ac:dyDescent="0.2">
      <c r="A16" s="947" t="str" cm="1">
        <f t="array" ref="A16">+IFERROR(INDEX('Pedido VACIO'!$B:$B,MATCH(1,('Pedido VACIO'!$H:$H=$B16)*('Pedido VACIO'!$A:$A="Vihal"),0)),"")</f>
        <v/>
      </c>
      <c r="B16" s="931">
        <f>+B14+1</f>
        <v>2</v>
      </c>
      <c r="C16" s="948" t="str" cm="1">
        <f t="array" ref="C16">+IFERROR(INDEX('Pedido VACIO'!$F:$F,MATCH(1,('Pedido VACIO'!$H:$H=$B16)*('Pedido VACIO'!$A:$A="Vihal"),0)),"")</f>
        <v/>
      </c>
      <c r="D16" s="949" t="str" cm="1">
        <f t="array" ref="D16">+IFERROR(INDEX('Pedido VACIO'!$G:$G,MATCH(1,('Pedido VACIO'!$H:$H=$B16)*('Pedido VACIO'!$A:$A="Vihal"),0)),"")</f>
        <v/>
      </c>
      <c r="E16" s="860" t="str">
        <f t="shared" si="0"/>
        <v/>
      </c>
      <c r="F16" s="854" t="str">
        <f t="shared" ref="F16:F43" si="1">+IF(OR(E16="LK"),ROUNDUP(D16*0.7/25,0)*25,IF(E16="CH",D15-F15,""))</f>
        <v/>
      </c>
      <c r="G16" s="931"/>
      <c r="H16" s="862"/>
      <c r="I16" s="862"/>
      <c r="J16" s="862"/>
      <c r="K16" s="862"/>
      <c r="L16" s="862"/>
      <c r="M16" s="863"/>
    </row>
    <row r="17" spans="1:13" ht="33.6" customHeight="1" x14ac:dyDescent="0.2">
      <c r="A17" s="947"/>
      <c r="B17" s="931"/>
      <c r="C17" s="948"/>
      <c r="D17" s="949"/>
      <c r="E17" s="860" t="str">
        <f t="shared" si="0"/>
        <v/>
      </c>
      <c r="F17" s="854" t="str">
        <f t="shared" si="1"/>
        <v/>
      </c>
      <c r="G17" s="931"/>
      <c r="H17" s="862"/>
      <c r="I17" s="862"/>
      <c r="J17" s="862"/>
      <c r="K17" s="862"/>
      <c r="L17" s="862"/>
      <c r="M17" s="863"/>
    </row>
    <row r="18" spans="1:13" ht="33.6" customHeight="1" x14ac:dyDescent="0.2">
      <c r="A18" s="947" t="str" cm="1">
        <f t="array" ref="A18">+IFERROR(INDEX('Pedido VACIO'!$B:$B,MATCH(1,('Pedido VACIO'!$H:$H=$B18)*('Pedido VACIO'!$A:$A="Vihal"),0)),"")</f>
        <v/>
      </c>
      <c r="B18" s="931">
        <f>+B16+1</f>
        <v>3</v>
      </c>
      <c r="C18" s="948" t="str" cm="1">
        <f t="array" ref="C18">+IFERROR(INDEX('Pedido VACIO'!$F:$F,MATCH(1,('Pedido VACIO'!$H:$H=$B18)*('Pedido VACIO'!$A:$A="Vihal"),0)),"")</f>
        <v/>
      </c>
      <c r="D18" s="949" t="str" cm="1">
        <f t="array" ref="D18">+IFERROR(INDEX('Pedido VACIO'!$G:$G,MATCH(1,('Pedido VACIO'!$H:$H=$B18)*('Pedido VACIO'!$A:$A="Vihal"),0)),"")</f>
        <v/>
      </c>
      <c r="E18" s="860" t="str">
        <f t="shared" si="0"/>
        <v/>
      </c>
      <c r="F18" s="854" t="str">
        <f t="shared" si="1"/>
        <v/>
      </c>
      <c r="G18" s="931"/>
      <c r="H18" s="862"/>
      <c r="I18" s="862"/>
      <c r="J18" s="862"/>
      <c r="K18" s="862"/>
      <c r="L18" s="862"/>
      <c r="M18" s="863"/>
    </row>
    <row r="19" spans="1:13" ht="33.6" customHeight="1" x14ac:dyDescent="0.2">
      <c r="A19" s="947"/>
      <c r="B19" s="931"/>
      <c r="C19" s="948"/>
      <c r="D19" s="949"/>
      <c r="E19" s="860" t="str">
        <f t="shared" si="0"/>
        <v/>
      </c>
      <c r="F19" s="854" t="str">
        <f t="shared" si="1"/>
        <v/>
      </c>
      <c r="G19" s="931"/>
      <c r="H19" s="862"/>
      <c r="I19" s="862"/>
      <c r="J19" s="862"/>
      <c r="K19" s="862"/>
      <c r="L19" s="862"/>
      <c r="M19" s="863"/>
    </row>
    <row r="20" spans="1:13" ht="33.6" customHeight="1" x14ac:dyDescent="0.2">
      <c r="A20" s="947" t="str" cm="1">
        <f t="array" ref="A20">+IFERROR(INDEX('Pedido VACIO'!$B:$B,MATCH(1,('Pedido VACIO'!$H:$H=$B20)*('Pedido VACIO'!$A:$A="Vihal"),0)),"")</f>
        <v/>
      </c>
      <c r="B20" s="931">
        <f>+B18+1</f>
        <v>4</v>
      </c>
      <c r="C20" s="948" t="str" cm="1">
        <f t="array" ref="C20">+IFERROR(INDEX('Pedido VACIO'!$F:$F,MATCH(1,('Pedido VACIO'!$H:$H=$B20)*('Pedido VACIO'!$A:$A="Vihal"),0)),"")</f>
        <v/>
      </c>
      <c r="D20" s="931" t="str" cm="1">
        <f t="array" ref="D20">+IFERROR(INDEX('Pedido VACIO'!$G:$G,MATCH(1,('Pedido VACIO'!$H:$H=$B20)*('Pedido VACIO'!$A:$A="Vihal"),0)),"")</f>
        <v/>
      </c>
      <c r="E20" s="860" t="str">
        <f t="shared" si="0"/>
        <v/>
      </c>
      <c r="F20" s="854" t="str">
        <f t="shared" si="1"/>
        <v/>
      </c>
      <c r="G20" s="931"/>
      <c r="H20" s="862"/>
      <c r="I20" s="862"/>
      <c r="J20" s="862"/>
      <c r="K20" s="862"/>
      <c r="L20" s="862"/>
      <c r="M20" s="863"/>
    </row>
    <row r="21" spans="1:13" ht="33.6" customHeight="1" x14ac:dyDescent="0.2">
      <c r="A21" s="947"/>
      <c r="B21" s="931"/>
      <c r="C21" s="948"/>
      <c r="D21" s="931"/>
      <c r="E21" s="860" t="str">
        <f t="shared" si="0"/>
        <v/>
      </c>
      <c r="F21" s="854" t="str">
        <f t="shared" si="1"/>
        <v/>
      </c>
      <c r="G21" s="931"/>
      <c r="H21" s="862"/>
      <c r="I21" s="862"/>
      <c r="J21" s="862"/>
      <c r="K21" s="862"/>
      <c r="L21" s="862"/>
      <c r="M21" s="863"/>
    </row>
    <row r="22" spans="1:13" ht="33.6" customHeight="1" x14ac:dyDescent="0.2">
      <c r="A22" s="947" t="str" cm="1">
        <f t="array" ref="A22">+IFERROR(INDEX('Pedido VACIO'!$B:$B,MATCH(1,('Pedido VACIO'!$H:$H=$B22)*('Pedido VACIO'!$A:$A="Vihal"),0)),"")</f>
        <v/>
      </c>
      <c r="B22" s="931">
        <f>+B20+1</f>
        <v>5</v>
      </c>
      <c r="C22" s="948" t="str" cm="1">
        <f t="array" ref="C22">+IFERROR(INDEX('Pedido VACIO'!$F:$F,MATCH(1,('Pedido VACIO'!$H:$H=$B22)*('Pedido VACIO'!$A:$A="Vihal"),0)),"")</f>
        <v/>
      </c>
      <c r="D22" s="931" t="str" cm="1">
        <f t="array" ref="D22">+IFERROR(INDEX('Pedido VACIO'!$G:$G,MATCH(1,('Pedido VACIO'!$H:$H=$B22)*('Pedido VACIO'!$A:$A="Vihal"),0)),"")</f>
        <v/>
      </c>
      <c r="E22" s="860" t="str">
        <f t="shared" si="0"/>
        <v/>
      </c>
      <c r="F22" s="854" t="str">
        <f t="shared" si="1"/>
        <v/>
      </c>
      <c r="G22" s="931"/>
      <c r="H22" s="862"/>
      <c r="I22" s="862"/>
      <c r="J22" s="862"/>
      <c r="K22" s="862"/>
      <c r="L22" s="862"/>
      <c r="M22" s="863"/>
    </row>
    <row r="23" spans="1:13" ht="33.6" customHeight="1" x14ac:dyDescent="0.2">
      <c r="A23" s="947"/>
      <c r="B23" s="931"/>
      <c r="C23" s="948"/>
      <c r="D23" s="931"/>
      <c r="E23" s="860" t="str">
        <f t="shared" si="0"/>
        <v/>
      </c>
      <c r="F23" s="854" t="str">
        <f t="shared" si="1"/>
        <v/>
      </c>
      <c r="G23" s="931"/>
      <c r="H23" s="862"/>
      <c r="I23" s="862"/>
      <c r="J23" s="862"/>
      <c r="K23" s="862"/>
      <c r="L23" s="862"/>
      <c r="M23" s="863"/>
    </row>
    <row r="24" spans="1:13" ht="33.6" customHeight="1" x14ac:dyDescent="0.2">
      <c r="A24" s="947" t="str" cm="1">
        <f t="array" ref="A24">+IFERROR(INDEX('Pedido VACIO'!$B:$B,MATCH(1,('Pedido VACIO'!$H:$H=$B24)*('Pedido VACIO'!$A:$A="Vihal"),0)),"")</f>
        <v/>
      </c>
      <c r="B24" s="931">
        <f>+B22+1</f>
        <v>6</v>
      </c>
      <c r="C24" s="948" t="str" cm="1">
        <f t="array" ref="C24">+IFERROR(INDEX('Pedido VACIO'!$F:$F,MATCH(1,('Pedido VACIO'!$H:$H=$B24)*('Pedido VACIO'!$A:$A="Vihal"),0)),"")</f>
        <v/>
      </c>
      <c r="D24" s="931" t="str" cm="1">
        <f t="array" ref="D24">+IFERROR(INDEX('Pedido VACIO'!$G:$G,MATCH(1,('Pedido VACIO'!$H:$H=$B24)*('Pedido VACIO'!$A:$A="Vihal"),0)),"")</f>
        <v/>
      </c>
      <c r="E24" s="860" t="str">
        <f t="shared" si="0"/>
        <v/>
      </c>
      <c r="F24" s="854" t="str">
        <f t="shared" si="1"/>
        <v/>
      </c>
      <c r="G24" s="931"/>
      <c r="H24" s="862"/>
      <c r="I24" s="862"/>
      <c r="J24" s="862"/>
      <c r="K24" s="862"/>
      <c r="L24" s="862"/>
      <c r="M24" s="863"/>
    </row>
    <row r="25" spans="1:13" ht="33.6" customHeight="1" x14ac:dyDescent="0.2">
      <c r="A25" s="947"/>
      <c r="B25" s="931"/>
      <c r="C25" s="948"/>
      <c r="D25" s="931"/>
      <c r="E25" s="860" t="str">
        <f t="shared" si="0"/>
        <v/>
      </c>
      <c r="F25" s="854" t="str">
        <f t="shared" si="1"/>
        <v/>
      </c>
      <c r="G25" s="931"/>
      <c r="H25" s="862"/>
      <c r="I25" s="862"/>
      <c r="J25" s="862"/>
      <c r="K25" s="862"/>
      <c r="L25" s="862"/>
      <c r="M25" s="863"/>
    </row>
    <row r="26" spans="1:13" ht="33.6" customHeight="1" x14ac:dyDescent="0.2">
      <c r="A26" s="947" t="str" cm="1">
        <f t="array" ref="A26">+IFERROR(INDEX('Pedido VACIO'!$B:$B,MATCH(1,('Pedido VACIO'!$H:$H=$B26)*('Pedido VACIO'!$A:$A="Vihal"),0)),"")</f>
        <v/>
      </c>
      <c r="B26" s="931">
        <f>+B24+1</f>
        <v>7</v>
      </c>
      <c r="C26" s="948" t="str" cm="1">
        <f t="array" ref="C26">+IFERROR(INDEX('Pedido VACIO'!$F:$F,MATCH(1,('Pedido VACIO'!$H:$H=$B26)*('Pedido VACIO'!$A:$A="Vihal"),0)),"")</f>
        <v/>
      </c>
      <c r="D26" s="931" t="str" cm="1">
        <f t="array" ref="D26">+IFERROR(INDEX('Pedido VACIO'!$G:$G,MATCH(1,('Pedido VACIO'!$H:$H=$B26)*('Pedido VACIO'!$A:$A="Vihal"),0)),"")</f>
        <v/>
      </c>
      <c r="E26" s="860" t="str">
        <f t="shared" si="0"/>
        <v/>
      </c>
      <c r="F26" s="854" t="str">
        <f t="shared" si="1"/>
        <v/>
      </c>
      <c r="G26" s="931"/>
      <c r="H26" s="862"/>
      <c r="I26" s="862"/>
      <c r="J26" s="862"/>
      <c r="K26" s="862"/>
      <c r="L26" s="862"/>
      <c r="M26" s="863"/>
    </row>
    <row r="27" spans="1:13" ht="33.6" customHeight="1" x14ac:dyDescent="0.2">
      <c r="A27" s="947"/>
      <c r="B27" s="931"/>
      <c r="C27" s="948"/>
      <c r="D27" s="931"/>
      <c r="E27" s="860" t="str">
        <f t="shared" si="0"/>
        <v/>
      </c>
      <c r="F27" s="854" t="str">
        <f t="shared" si="1"/>
        <v/>
      </c>
      <c r="G27" s="931"/>
      <c r="H27" s="862"/>
      <c r="I27" s="862"/>
      <c r="J27" s="862"/>
      <c r="K27" s="862"/>
      <c r="L27" s="862"/>
      <c r="M27" s="863"/>
    </row>
    <row r="28" spans="1:13" ht="33.6" customHeight="1" x14ac:dyDescent="0.2">
      <c r="A28" s="947" t="str" cm="1">
        <f t="array" ref="A28">+IFERROR(INDEX('Pedido VACIO'!$B:$B,MATCH(1,('Pedido VACIO'!$H:$H=$B28)*('Pedido VACIO'!$A:$A="Vihal"),0)),"")</f>
        <v/>
      </c>
      <c r="B28" s="931">
        <f>+B26+1</f>
        <v>8</v>
      </c>
      <c r="C28" s="948" t="str" cm="1">
        <f t="array" ref="C28">+IFERROR(INDEX('Pedido VACIO'!$F:$F,MATCH(1,('Pedido VACIO'!$H:$H=$B28)*('Pedido VACIO'!$A:$A="Vihal"),0)),"")</f>
        <v/>
      </c>
      <c r="D28" s="931" t="str" cm="1">
        <f t="array" ref="D28">+IFERROR(INDEX('Pedido VACIO'!$G:$G,MATCH(1,('Pedido VACIO'!$H:$H=$B28)*('Pedido VACIO'!$A:$A="Vihal"),0)),"")</f>
        <v/>
      </c>
      <c r="E28" s="860" t="str">
        <f t="shared" si="0"/>
        <v/>
      </c>
      <c r="F28" s="854" t="str">
        <f t="shared" si="1"/>
        <v/>
      </c>
      <c r="G28" s="931"/>
      <c r="H28" s="862"/>
      <c r="I28" s="862"/>
      <c r="J28" s="862"/>
      <c r="K28" s="862"/>
      <c r="L28" s="862"/>
      <c r="M28" s="863"/>
    </row>
    <row r="29" spans="1:13" ht="33.6" customHeight="1" x14ac:dyDescent="0.2">
      <c r="A29" s="947"/>
      <c r="B29" s="931"/>
      <c r="C29" s="948"/>
      <c r="D29" s="931"/>
      <c r="E29" s="860" t="str">
        <f t="shared" si="0"/>
        <v/>
      </c>
      <c r="F29" s="854" t="str">
        <f t="shared" si="1"/>
        <v/>
      </c>
      <c r="G29" s="931"/>
      <c r="H29" s="862"/>
      <c r="I29" s="862"/>
      <c r="J29" s="862"/>
      <c r="K29" s="862"/>
      <c r="L29" s="862"/>
      <c r="M29" s="863"/>
    </row>
    <row r="30" spans="1:13" ht="33.6" customHeight="1" x14ac:dyDescent="0.2">
      <c r="A30" s="947" t="str" cm="1">
        <f t="array" ref="A30">+IFERROR(INDEX('Pedido VACIO'!$B:$B,MATCH(1,('Pedido VACIO'!$H:$H=$B30)*('Pedido VACIO'!$A:$A="Vihal"),0)),"")</f>
        <v/>
      </c>
      <c r="B30" s="931">
        <f>+B28+1</f>
        <v>9</v>
      </c>
      <c r="C30" s="948" t="str" cm="1">
        <f t="array" ref="C30">+IFERROR(INDEX('Pedido VACIO'!$F:$F,MATCH(1,('Pedido VACIO'!$H:$H=$B30)*('Pedido VACIO'!$A:$A="Vihal"),0)),"")</f>
        <v/>
      </c>
      <c r="D30" s="931" t="str" cm="1">
        <f t="array" ref="D30">+IFERROR(INDEX('Pedido VACIO'!$G:$G,MATCH(1,('Pedido VACIO'!$H:$H=$B30)*('Pedido VACIO'!$A:$A="Vihal"),0)),"")</f>
        <v/>
      </c>
      <c r="E30" s="860" t="str">
        <f t="shared" si="0"/>
        <v/>
      </c>
      <c r="F30" s="854" t="str">
        <f t="shared" si="1"/>
        <v/>
      </c>
      <c r="G30" s="931"/>
      <c r="H30" s="862"/>
      <c r="I30" s="862"/>
      <c r="J30" s="862"/>
      <c r="K30" s="862"/>
      <c r="L30" s="862"/>
      <c r="M30" s="863"/>
    </row>
    <row r="31" spans="1:13" ht="33.6" customHeight="1" x14ac:dyDescent="0.2">
      <c r="A31" s="947"/>
      <c r="B31" s="931"/>
      <c r="C31" s="948"/>
      <c r="D31" s="931"/>
      <c r="E31" s="860" t="str">
        <f t="shared" si="0"/>
        <v/>
      </c>
      <c r="F31" s="854" t="str">
        <f t="shared" si="1"/>
        <v/>
      </c>
      <c r="G31" s="931"/>
      <c r="H31" s="862"/>
      <c r="I31" s="862"/>
      <c r="J31" s="862"/>
      <c r="K31" s="862"/>
      <c r="L31" s="862"/>
      <c r="M31" s="863"/>
    </row>
    <row r="32" spans="1:13" ht="33.6" customHeight="1" x14ac:dyDescent="0.2">
      <c r="A32" s="947" t="str" cm="1">
        <f t="array" ref="A32">+IFERROR(INDEX('Pedido VACIO'!$B:$B,MATCH(1,('Pedido VACIO'!$H:$H=$B32)*('Pedido VACIO'!$A:$A="Vihal"),0)),"")</f>
        <v/>
      </c>
      <c r="B32" s="931">
        <f>+B30+1</f>
        <v>10</v>
      </c>
      <c r="C32" s="948" t="str" cm="1">
        <f t="array" ref="C32">+IFERROR(INDEX('Pedido VACIO'!$F:$F,MATCH(1,('Pedido VACIO'!$H:$H=$B32)*('Pedido VACIO'!$A:$A="Vihal"),0)),"")</f>
        <v/>
      </c>
      <c r="D32" s="931" t="str" cm="1">
        <f t="array" ref="D32">+IFERROR(INDEX('Pedido VACIO'!$G:$G,MATCH(1,('Pedido VACIO'!$H:$H=$B32)*('Pedido VACIO'!$A:$A="Vihal"),0)),"")</f>
        <v/>
      </c>
      <c r="E32" s="860" t="str">
        <f t="shared" si="0"/>
        <v/>
      </c>
      <c r="F32" s="854" t="str">
        <f t="shared" si="1"/>
        <v/>
      </c>
      <c r="G32" s="931"/>
      <c r="H32" s="862"/>
      <c r="I32" s="862"/>
      <c r="J32" s="862"/>
      <c r="K32" s="862"/>
      <c r="L32" s="862"/>
      <c r="M32" s="863"/>
    </row>
    <row r="33" spans="1:13" ht="33.6" customHeight="1" x14ac:dyDescent="0.2">
      <c r="A33" s="947"/>
      <c r="B33" s="931"/>
      <c r="C33" s="948"/>
      <c r="D33" s="931"/>
      <c r="E33" s="860" t="str">
        <f t="shared" si="0"/>
        <v/>
      </c>
      <c r="F33" s="854" t="str">
        <f t="shared" si="1"/>
        <v/>
      </c>
      <c r="G33" s="931"/>
      <c r="H33" s="862"/>
      <c r="I33" s="862"/>
      <c r="J33" s="862"/>
      <c r="K33" s="862"/>
      <c r="L33" s="862"/>
      <c r="M33" s="863"/>
    </row>
    <row r="34" spans="1:13" ht="33.6" customHeight="1" x14ac:dyDescent="0.2">
      <c r="A34" s="947" t="str" cm="1">
        <f t="array" ref="A34">+IFERROR(INDEX('Pedido VACIO'!$B:$B,MATCH(1,('Pedido VACIO'!$H:$H=$B34)*('Pedido VACIO'!$A:$A="Vihal"),0)),"")</f>
        <v/>
      </c>
      <c r="B34" s="931">
        <f>+B32+1</f>
        <v>11</v>
      </c>
      <c r="C34" s="948" t="str" cm="1">
        <f t="array" ref="C34">+IFERROR(INDEX('Pedido VACIO'!$F:$F,MATCH(1,('Pedido VACIO'!$H:$H=$B34)*('Pedido VACIO'!$A:$A="Vihal"),0)),"")</f>
        <v/>
      </c>
      <c r="D34" s="931" t="str" cm="1">
        <f t="array" ref="D34">+IFERROR(INDEX('Pedido VACIO'!$G:$G,MATCH(1,('Pedido VACIO'!$H:$H=$B34)*('Pedido VACIO'!$A:$A="Vihal"),0)),"")</f>
        <v/>
      </c>
      <c r="E34" s="860" t="str">
        <f t="shared" si="0"/>
        <v/>
      </c>
      <c r="F34" s="854" t="str">
        <f t="shared" si="1"/>
        <v/>
      </c>
      <c r="G34" s="931"/>
      <c r="H34" s="862"/>
      <c r="I34" s="862"/>
      <c r="J34" s="862"/>
      <c r="K34" s="862"/>
      <c r="L34" s="862"/>
      <c r="M34" s="863"/>
    </row>
    <row r="35" spans="1:13" ht="33.6" customHeight="1" thickBot="1" x14ac:dyDescent="0.25">
      <c r="A35" s="950"/>
      <c r="B35" s="951"/>
      <c r="C35" s="952"/>
      <c r="D35" s="951"/>
      <c r="E35" s="860" t="str">
        <f t="shared" si="0"/>
        <v/>
      </c>
      <c r="F35" s="854" t="str">
        <f t="shared" si="1"/>
        <v/>
      </c>
      <c r="G35" s="951"/>
      <c r="H35" s="864"/>
      <c r="I35" s="864"/>
      <c r="J35" s="864"/>
      <c r="K35" s="864"/>
      <c r="L35" s="864"/>
      <c r="M35" s="865"/>
    </row>
    <row r="36" spans="1:13" ht="33.6" customHeight="1" x14ac:dyDescent="0.2">
      <c r="A36" s="953" t="str" cm="1">
        <f t="array" ref="A36">+IFERROR(INDEX('Pedido VACIO'!$B:$B,MATCH(1,('Pedido VACIO'!$H:$H=$B36)*('Pedido VACIO'!$A:$A="Vihal"),0)),"")</f>
        <v/>
      </c>
      <c r="B36" s="934">
        <f>+B34+1</f>
        <v>12</v>
      </c>
      <c r="C36" s="933" t="str" cm="1">
        <f t="array" ref="C36">+IFERROR(INDEX('Pedido VACIO'!$F:$F,MATCH(1,('Pedido VACIO'!$H:$H=$B36)*('Pedido VACIO'!$A:$A="Vihal"),0)),"")</f>
        <v/>
      </c>
      <c r="D36" s="934" t="str" cm="1">
        <f t="array" ref="D36">+IFERROR(INDEX('Pedido VACIO'!$G:$G,MATCH(1,('Pedido VACIO'!$H:$H=$B36)*('Pedido VACIO'!$A:$A="Vihal"),0)),"")</f>
        <v/>
      </c>
      <c r="E36" s="860" t="str">
        <f t="shared" si="0"/>
        <v/>
      </c>
      <c r="F36" s="854" t="str">
        <f t="shared" si="1"/>
        <v/>
      </c>
      <c r="G36" s="934"/>
      <c r="H36" s="866"/>
      <c r="I36" s="866"/>
      <c r="J36" s="866"/>
      <c r="K36" s="866"/>
      <c r="L36" s="866"/>
      <c r="M36" s="866"/>
    </row>
    <row r="37" spans="1:13" ht="33.6" customHeight="1" x14ac:dyDescent="0.2">
      <c r="A37" s="949"/>
      <c r="B37" s="931"/>
      <c r="C37" s="948"/>
      <c r="D37" s="931"/>
      <c r="E37" s="860" t="str">
        <f t="shared" si="0"/>
        <v/>
      </c>
      <c r="F37" s="854" t="str">
        <f t="shared" si="1"/>
        <v/>
      </c>
      <c r="G37" s="931"/>
      <c r="H37" s="862"/>
      <c r="I37" s="862"/>
      <c r="J37" s="862"/>
      <c r="K37" s="862"/>
      <c r="L37" s="862"/>
      <c r="M37" s="862"/>
    </row>
    <row r="38" spans="1:13" ht="33.6" customHeight="1" x14ac:dyDescent="0.2">
      <c r="A38" s="949" t="str" cm="1">
        <f t="array" ref="A38">+IFERROR(INDEX('Pedido VACIO'!$B:$B,MATCH(1,('Pedido VACIO'!$H:$H=$B38)*('Pedido VACIO'!$A:$A="Vihal"),0)),"")</f>
        <v/>
      </c>
      <c r="B38" s="931">
        <f>+B36+1</f>
        <v>13</v>
      </c>
      <c r="C38" s="948" t="str" cm="1">
        <f t="array" ref="C38">+IFERROR(INDEX('Pedido VACIO'!$F:$F,MATCH(1,('Pedido VACIO'!$H:$H=$B38)*('Pedido VACIO'!$A:$A="Vihal"),0)),"")</f>
        <v/>
      </c>
      <c r="D38" s="931" t="str" cm="1">
        <f t="array" ref="D38">+IFERROR(INDEX('Pedido VACIO'!$G:$G,MATCH(1,('Pedido VACIO'!$H:$H=$B38)*('Pedido VACIO'!$A:$A="Vihal"),0)),"")</f>
        <v/>
      </c>
      <c r="E38" s="860" t="str">
        <f t="shared" si="0"/>
        <v/>
      </c>
      <c r="F38" s="854" t="str">
        <f t="shared" si="1"/>
        <v/>
      </c>
      <c r="G38" s="931"/>
      <c r="H38" s="862"/>
      <c r="I38" s="862"/>
      <c r="J38" s="862"/>
      <c r="K38" s="862"/>
      <c r="L38" s="862"/>
      <c r="M38" s="862"/>
    </row>
    <row r="39" spans="1:13" ht="33.6" customHeight="1" x14ac:dyDescent="0.2">
      <c r="A39" s="949"/>
      <c r="B39" s="931"/>
      <c r="C39" s="948"/>
      <c r="D39" s="931"/>
      <c r="E39" s="860" t="str">
        <f t="shared" si="0"/>
        <v/>
      </c>
      <c r="F39" s="854" t="str">
        <f t="shared" si="1"/>
        <v/>
      </c>
      <c r="G39" s="931"/>
      <c r="H39" s="862"/>
      <c r="I39" s="862"/>
      <c r="J39" s="862"/>
      <c r="K39" s="862"/>
      <c r="L39" s="862"/>
      <c r="M39" s="862"/>
    </row>
    <row r="40" spans="1:13" ht="33.6" customHeight="1" x14ac:dyDescent="0.2">
      <c r="A40" s="949" t="str" cm="1">
        <f t="array" ref="A40">+IFERROR(INDEX('Pedido VACIO'!$B:$B,MATCH(1,('Pedido VACIO'!$H:$H=$B40)*('Pedido VACIO'!$A:$A="Vihal"),0)),"")</f>
        <v/>
      </c>
      <c r="B40" s="931">
        <f>+B38+1</f>
        <v>14</v>
      </c>
      <c r="C40" s="948" t="str" cm="1">
        <f t="array" ref="C40">+IFERROR(INDEX('Pedido VACIO'!$F:$F,MATCH(1,('Pedido VACIO'!$H:$H=$B40)*('Pedido VACIO'!$A:$A="Vihal"),0)),"")</f>
        <v/>
      </c>
      <c r="D40" s="931" t="str" cm="1">
        <f t="array" ref="D40">+IFERROR(INDEX('Pedido VACIO'!$G:$G,MATCH(1,('Pedido VACIO'!$H:$H=$B40)*('Pedido VACIO'!$A:$A="Vihal"),0)),"")</f>
        <v/>
      </c>
      <c r="E40" s="860" t="str">
        <f t="shared" si="0"/>
        <v/>
      </c>
      <c r="F40" s="854" t="str">
        <f t="shared" si="1"/>
        <v/>
      </c>
      <c r="G40" s="931"/>
      <c r="H40" s="862"/>
      <c r="I40" s="862"/>
      <c r="J40" s="862"/>
      <c r="K40" s="862"/>
      <c r="L40" s="862"/>
      <c r="M40" s="862"/>
    </row>
    <row r="41" spans="1:13" ht="33.6" customHeight="1" x14ac:dyDescent="0.2">
      <c r="A41" s="949"/>
      <c r="B41" s="931"/>
      <c r="C41" s="948"/>
      <c r="D41" s="931"/>
      <c r="E41" s="860" t="str">
        <f t="shared" si="0"/>
        <v/>
      </c>
      <c r="F41" s="854" t="str">
        <f t="shared" si="1"/>
        <v/>
      </c>
      <c r="G41" s="931"/>
      <c r="H41" s="862"/>
      <c r="I41" s="862"/>
      <c r="J41" s="862"/>
      <c r="K41" s="862"/>
      <c r="L41" s="862"/>
      <c r="M41" s="862"/>
    </row>
    <row r="42" spans="1:13" ht="33.6" customHeight="1" x14ac:dyDescent="0.2">
      <c r="A42" s="949" t="str" cm="1">
        <f t="array" ref="A42">+IFERROR(INDEX('Pedido VACIO'!$B:$B,MATCH(1,('Pedido VACIO'!$H:$H=$B42)*('Pedido VACIO'!$A:$A="Vihal"),0)),"")</f>
        <v/>
      </c>
      <c r="B42" s="931">
        <f>+B40+1</f>
        <v>15</v>
      </c>
      <c r="C42" s="948" t="str" cm="1">
        <f t="array" ref="C42">+IFERROR(INDEX('Pedido VACIO'!$F:$F,MATCH(1,('Pedido VACIO'!$H:$H=$B42)*('Pedido VACIO'!$A:$A="Vihal"),0)),"")</f>
        <v/>
      </c>
      <c r="D42" s="931" t="str" cm="1">
        <f t="array" ref="D42">+IFERROR(INDEX('Pedido VACIO'!$G:$G,MATCH(1,('Pedido VACIO'!$H:$H=$B42)*('Pedido VACIO'!$A:$A="Vihal"),0)),"")</f>
        <v/>
      </c>
      <c r="E42" s="860" t="str">
        <f t="shared" si="0"/>
        <v/>
      </c>
      <c r="F42" s="854" t="str">
        <f t="shared" si="1"/>
        <v/>
      </c>
      <c r="G42" s="931"/>
      <c r="H42" s="862"/>
      <c r="I42" s="862"/>
      <c r="J42" s="862"/>
      <c r="K42" s="862"/>
      <c r="L42" s="862"/>
      <c r="M42" s="862"/>
    </row>
    <row r="43" spans="1:13" ht="33.6" customHeight="1" x14ac:dyDescent="0.2">
      <c r="A43" s="949"/>
      <c r="B43" s="931"/>
      <c r="C43" s="948"/>
      <c r="D43" s="931"/>
      <c r="E43" s="860" t="str">
        <f t="shared" si="0"/>
        <v/>
      </c>
      <c r="F43" s="854" t="str">
        <f t="shared" si="1"/>
        <v/>
      </c>
      <c r="G43" s="931"/>
      <c r="H43" s="862"/>
      <c r="I43" s="862"/>
      <c r="J43" s="862"/>
      <c r="K43" s="862"/>
      <c r="L43" s="862"/>
      <c r="M43" s="862"/>
    </row>
  </sheetData>
  <mergeCells count="94"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A20:A21"/>
    <mergeCell ref="B20:B21"/>
    <mergeCell ref="C20:C21"/>
    <mergeCell ref="D20:D21"/>
    <mergeCell ref="G20:G21"/>
    <mergeCell ref="A22:A23"/>
    <mergeCell ref="B22:B23"/>
    <mergeCell ref="C22:C23"/>
    <mergeCell ref="D22:D23"/>
    <mergeCell ref="G22:G23"/>
    <mergeCell ref="A16:A17"/>
    <mergeCell ref="B16:B17"/>
    <mergeCell ref="C16:C17"/>
    <mergeCell ref="D16:D17"/>
    <mergeCell ref="G16:G17"/>
    <mergeCell ref="A18:A19"/>
    <mergeCell ref="B18:B19"/>
    <mergeCell ref="C18:C19"/>
    <mergeCell ref="D18:D19"/>
    <mergeCell ref="G18:G19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3:B3"/>
    <mergeCell ref="F3:G3"/>
    <mergeCell ref="H3:L3"/>
    <mergeCell ref="A1:C1"/>
    <mergeCell ref="F1:L1"/>
    <mergeCell ref="A2:B2"/>
    <mergeCell ref="F2:G2"/>
    <mergeCell ref="H2:L2"/>
  </mergeCells>
  <printOptions horizontalCentered="1"/>
  <pageMargins left="0" right="0" top="0" bottom="0" header="0" footer="0"/>
  <pageSetup paperSize="9" scale="6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activeCell="F14" sqref="F14"/>
    </sheetView>
  </sheetViews>
  <sheetFormatPr baseColWidth="10" defaultColWidth="11.5703125" defaultRowHeight="12.75" x14ac:dyDescent="0.2"/>
  <cols>
    <col min="1" max="1" width="11.42578125" style="841" customWidth="1"/>
    <col min="2" max="2" width="6.140625" style="841" customWidth="1"/>
    <col min="3" max="3" width="22.28515625" style="841" customWidth="1"/>
    <col min="4" max="4" width="9.28515625" style="841" customWidth="1"/>
    <col min="5" max="5" width="8.28515625" style="841" customWidth="1"/>
    <col min="6" max="6" width="7.7109375" style="841" customWidth="1"/>
    <col min="7" max="7" width="9.7109375" style="841" customWidth="1"/>
    <col min="8" max="9" width="7.5703125" style="841" customWidth="1"/>
    <col min="10" max="10" width="7.7109375" style="841" customWidth="1"/>
    <col min="11" max="11" width="7" style="841" customWidth="1"/>
    <col min="12" max="12" width="7.7109375" style="841" customWidth="1"/>
    <col min="13" max="13" width="7" style="841" customWidth="1"/>
    <col min="14" max="256" width="11.5703125" style="841"/>
    <col min="257" max="257" width="11.42578125" style="841" customWidth="1"/>
    <col min="258" max="258" width="6.140625" style="841" customWidth="1"/>
    <col min="259" max="259" width="22.28515625" style="841" customWidth="1"/>
    <col min="260" max="260" width="9.28515625" style="841" customWidth="1"/>
    <col min="261" max="261" width="8.28515625" style="841" customWidth="1"/>
    <col min="262" max="262" width="7.7109375" style="841" customWidth="1"/>
    <col min="263" max="263" width="9.7109375" style="841" customWidth="1"/>
    <col min="264" max="264" width="7.28515625" style="841" customWidth="1"/>
    <col min="265" max="265" width="7.5703125" style="841" customWidth="1"/>
    <col min="266" max="266" width="7.7109375" style="841" customWidth="1"/>
    <col min="267" max="267" width="7" style="841" customWidth="1"/>
    <col min="268" max="268" width="7.7109375" style="841" customWidth="1"/>
    <col min="269" max="269" width="7" style="841" customWidth="1"/>
    <col min="270" max="512" width="11.5703125" style="841"/>
    <col min="513" max="513" width="11.42578125" style="841" customWidth="1"/>
    <col min="514" max="514" width="6.140625" style="841" customWidth="1"/>
    <col min="515" max="515" width="22.28515625" style="841" customWidth="1"/>
    <col min="516" max="516" width="9.28515625" style="841" customWidth="1"/>
    <col min="517" max="517" width="8.28515625" style="841" customWidth="1"/>
    <col min="518" max="518" width="7.7109375" style="841" customWidth="1"/>
    <col min="519" max="519" width="9.7109375" style="841" customWidth="1"/>
    <col min="520" max="520" width="7.28515625" style="841" customWidth="1"/>
    <col min="521" max="521" width="7.5703125" style="841" customWidth="1"/>
    <col min="522" max="522" width="7.7109375" style="841" customWidth="1"/>
    <col min="523" max="523" width="7" style="841" customWidth="1"/>
    <col min="524" max="524" width="7.7109375" style="841" customWidth="1"/>
    <col min="525" max="525" width="7" style="841" customWidth="1"/>
    <col min="526" max="768" width="11.5703125" style="841"/>
    <col min="769" max="769" width="11.42578125" style="841" customWidth="1"/>
    <col min="770" max="770" width="6.140625" style="841" customWidth="1"/>
    <col min="771" max="771" width="22.28515625" style="841" customWidth="1"/>
    <col min="772" max="772" width="9.28515625" style="841" customWidth="1"/>
    <col min="773" max="773" width="8.28515625" style="841" customWidth="1"/>
    <col min="774" max="774" width="7.7109375" style="841" customWidth="1"/>
    <col min="775" max="775" width="9.7109375" style="841" customWidth="1"/>
    <col min="776" max="776" width="7.28515625" style="841" customWidth="1"/>
    <col min="777" max="777" width="7.5703125" style="841" customWidth="1"/>
    <col min="778" max="778" width="7.7109375" style="841" customWidth="1"/>
    <col min="779" max="779" width="7" style="841" customWidth="1"/>
    <col min="780" max="780" width="7.7109375" style="841" customWidth="1"/>
    <col min="781" max="781" width="7" style="841" customWidth="1"/>
    <col min="782" max="1024" width="11.5703125" style="841"/>
    <col min="1025" max="1025" width="11.42578125" style="841" customWidth="1"/>
    <col min="1026" max="1026" width="6.140625" style="841" customWidth="1"/>
    <col min="1027" max="1027" width="22.28515625" style="841" customWidth="1"/>
    <col min="1028" max="1028" width="9.28515625" style="841" customWidth="1"/>
    <col min="1029" max="1029" width="8.28515625" style="841" customWidth="1"/>
    <col min="1030" max="1030" width="7.7109375" style="841" customWidth="1"/>
    <col min="1031" max="1031" width="9.7109375" style="841" customWidth="1"/>
    <col min="1032" max="1032" width="7.28515625" style="841" customWidth="1"/>
    <col min="1033" max="1033" width="7.5703125" style="841" customWidth="1"/>
    <col min="1034" max="1034" width="7.7109375" style="841" customWidth="1"/>
    <col min="1035" max="1035" width="7" style="841" customWidth="1"/>
    <col min="1036" max="1036" width="7.7109375" style="841" customWidth="1"/>
    <col min="1037" max="1037" width="7" style="841" customWidth="1"/>
    <col min="1038" max="1280" width="11.5703125" style="841"/>
    <col min="1281" max="1281" width="11.42578125" style="841" customWidth="1"/>
    <col min="1282" max="1282" width="6.140625" style="841" customWidth="1"/>
    <col min="1283" max="1283" width="22.28515625" style="841" customWidth="1"/>
    <col min="1284" max="1284" width="9.28515625" style="841" customWidth="1"/>
    <col min="1285" max="1285" width="8.28515625" style="841" customWidth="1"/>
    <col min="1286" max="1286" width="7.7109375" style="841" customWidth="1"/>
    <col min="1287" max="1287" width="9.7109375" style="841" customWidth="1"/>
    <col min="1288" max="1288" width="7.28515625" style="841" customWidth="1"/>
    <col min="1289" max="1289" width="7.5703125" style="841" customWidth="1"/>
    <col min="1290" max="1290" width="7.7109375" style="841" customWidth="1"/>
    <col min="1291" max="1291" width="7" style="841" customWidth="1"/>
    <col min="1292" max="1292" width="7.7109375" style="841" customWidth="1"/>
    <col min="1293" max="1293" width="7" style="841" customWidth="1"/>
    <col min="1294" max="1536" width="11.5703125" style="841"/>
    <col min="1537" max="1537" width="11.42578125" style="841" customWidth="1"/>
    <col min="1538" max="1538" width="6.140625" style="841" customWidth="1"/>
    <col min="1539" max="1539" width="22.28515625" style="841" customWidth="1"/>
    <col min="1540" max="1540" width="9.28515625" style="841" customWidth="1"/>
    <col min="1541" max="1541" width="8.28515625" style="841" customWidth="1"/>
    <col min="1542" max="1542" width="7.7109375" style="841" customWidth="1"/>
    <col min="1543" max="1543" width="9.7109375" style="841" customWidth="1"/>
    <col min="1544" max="1544" width="7.28515625" style="841" customWidth="1"/>
    <col min="1545" max="1545" width="7.5703125" style="841" customWidth="1"/>
    <col min="1546" max="1546" width="7.7109375" style="841" customWidth="1"/>
    <col min="1547" max="1547" width="7" style="841" customWidth="1"/>
    <col min="1548" max="1548" width="7.7109375" style="841" customWidth="1"/>
    <col min="1549" max="1549" width="7" style="841" customWidth="1"/>
    <col min="1550" max="1792" width="11.5703125" style="841"/>
    <col min="1793" max="1793" width="11.42578125" style="841" customWidth="1"/>
    <col min="1794" max="1794" width="6.140625" style="841" customWidth="1"/>
    <col min="1795" max="1795" width="22.28515625" style="841" customWidth="1"/>
    <col min="1796" max="1796" width="9.28515625" style="841" customWidth="1"/>
    <col min="1797" max="1797" width="8.28515625" style="841" customWidth="1"/>
    <col min="1798" max="1798" width="7.7109375" style="841" customWidth="1"/>
    <col min="1799" max="1799" width="9.7109375" style="841" customWidth="1"/>
    <col min="1800" max="1800" width="7.28515625" style="841" customWidth="1"/>
    <col min="1801" max="1801" width="7.5703125" style="841" customWidth="1"/>
    <col min="1802" max="1802" width="7.7109375" style="841" customWidth="1"/>
    <col min="1803" max="1803" width="7" style="841" customWidth="1"/>
    <col min="1804" max="1804" width="7.7109375" style="841" customWidth="1"/>
    <col min="1805" max="1805" width="7" style="841" customWidth="1"/>
    <col min="1806" max="2048" width="11.5703125" style="841"/>
    <col min="2049" max="2049" width="11.42578125" style="841" customWidth="1"/>
    <col min="2050" max="2050" width="6.140625" style="841" customWidth="1"/>
    <col min="2051" max="2051" width="22.28515625" style="841" customWidth="1"/>
    <col min="2052" max="2052" width="9.28515625" style="841" customWidth="1"/>
    <col min="2053" max="2053" width="8.28515625" style="841" customWidth="1"/>
    <col min="2054" max="2054" width="7.7109375" style="841" customWidth="1"/>
    <col min="2055" max="2055" width="9.7109375" style="841" customWidth="1"/>
    <col min="2056" max="2056" width="7.28515625" style="841" customWidth="1"/>
    <col min="2057" max="2057" width="7.5703125" style="841" customWidth="1"/>
    <col min="2058" max="2058" width="7.7109375" style="841" customWidth="1"/>
    <col min="2059" max="2059" width="7" style="841" customWidth="1"/>
    <col min="2060" max="2060" width="7.7109375" style="841" customWidth="1"/>
    <col min="2061" max="2061" width="7" style="841" customWidth="1"/>
    <col min="2062" max="2304" width="11.5703125" style="841"/>
    <col min="2305" max="2305" width="11.42578125" style="841" customWidth="1"/>
    <col min="2306" max="2306" width="6.140625" style="841" customWidth="1"/>
    <col min="2307" max="2307" width="22.28515625" style="841" customWidth="1"/>
    <col min="2308" max="2308" width="9.28515625" style="841" customWidth="1"/>
    <col min="2309" max="2309" width="8.28515625" style="841" customWidth="1"/>
    <col min="2310" max="2310" width="7.7109375" style="841" customWidth="1"/>
    <col min="2311" max="2311" width="9.7109375" style="841" customWidth="1"/>
    <col min="2312" max="2312" width="7.28515625" style="841" customWidth="1"/>
    <col min="2313" max="2313" width="7.5703125" style="841" customWidth="1"/>
    <col min="2314" max="2314" width="7.7109375" style="841" customWidth="1"/>
    <col min="2315" max="2315" width="7" style="841" customWidth="1"/>
    <col min="2316" max="2316" width="7.7109375" style="841" customWidth="1"/>
    <col min="2317" max="2317" width="7" style="841" customWidth="1"/>
    <col min="2318" max="2560" width="11.5703125" style="841"/>
    <col min="2561" max="2561" width="11.42578125" style="841" customWidth="1"/>
    <col min="2562" max="2562" width="6.140625" style="841" customWidth="1"/>
    <col min="2563" max="2563" width="22.28515625" style="841" customWidth="1"/>
    <col min="2564" max="2564" width="9.28515625" style="841" customWidth="1"/>
    <col min="2565" max="2565" width="8.28515625" style="841" customWidth="1"/>
    <col min="2566" max="2566" width="7.7109375" style="841" customWidth="1"/>
    <col min="2567" max="2567" width="9.7109375" style="841" customWidth="1"/>
    <col min="2568" max="2568" width="7.28515625" style="841" customWidth="1"/>
    <col min="2569" max="2569" width="7.5703125" style="841" customWidth="1"/>
    <col min="2570" max="2570" width="7.7109375" style="841" customWidth="1"/>
    <col min="2571" max="2571" width="7" style="841" customWidth="1"/>
    <col min="2572" max="2572" width="7.7109375" style="841" customWidth="1"/>
    <col min="2573" max="2573" width="7" style="841" customWidth="1"/>
    <col min="2574" max="2816" width="11.5703125" style="841"/>
    <col min="2817" max="2817" width="11.42578125" style="841" customWidth="1"/>
    <col min="2818" max="2818" width="6.140625" style="841" customWidth="1"/>
    <col min="2819" max="2819" width="22.28515625" style="841" customWidth="1"/>
    <col min="2820" max="2820" width="9.28515625" style="841" customWidth="1"/>
    <col min="2821" max="2821" width="8.28515625" style="841" customWidth="1"/>
    <col min="2822" max="2822" width="7.7109375" style="841" customWidth="1"/>
    <col min="2823" max="2823" width="9.7109375" style="841" customWidth="1"/>
    <col min="2824" max="2824" width="7.28515625" style="841" customWidth="1"/>
    <col min="2825" max="2825" width="7.5703125" style="841" customWidth="1"/>
    <col min="2826" max="2826" width="7.7109375" style="841" customWidth="1"/>
    <col min="2827" max="2827" width="7" style="841" customWidth="1"/>
    <col min="2828" max="2828" width="7.7109375" style="841" customWidth="1"/>
    <col min="2829" max="2829" width="7" style="841" customWidth="1"/>
    <col min="2830" max="3072" width="11.5703125" style="841"/>
    <col min="3073" max="3073" width="11.42578125" style="841" customWidth="1"/>
    <col min="3074" max="3074" width="6.140625" style="841" customWidth="1"/>
    <col min="3075" max="3075" width="22.28515625" style="841" customWidth="1"/>
    <col min="3076" max="3076" width="9.28515625" style="841" customWidth="1"/>
    <col min="3077" max="3077" width="8.28515625" style="841" customWidth="1"/>
    <col min="3078" max="3078" width="7.7109375" style="841" customWidth="1"/>
    <col min="3079" max="3079" width="9.7109375" style="841" customWidth="1"/>
    <col min="3080" max="3080" width="7.28515625" style="841" customWidth="1"/>
    <col min="3081" max="3081" width="7.5703125" style="841" customWidth="1"/>
    <col min="3082" max="3082" width="7.7109375" style="841" customWidth="1"/>
    <col min="3083" max="3083" width="7" style="841" customWidth="1"/>
    <col min="3084" max="3084" width="7.7109375" style="841" customWidth="1"/>
    <col min="3085" max="3085" width="7" style="841" customWidth="1"/>
    <col min="3086" max="3328" width="11.5703125" style="841"/>
    <col min="3329" max="3329" width="11.42578125" style="841" customWidth="1"/>
    <col min="3330" max="3330" width="6.140625" style="841" customWidth="1"/>
    <col min="3331" max="3331" width="22.28515625" style="841" customWidth="1"/>
    <col min="3332" max="3332" width="9.28515625" style="841" customWidth="1"/>
    <col min="3333" max="3333" width="8.28515625" style="841" customWidth="1"/>
    <col min="3334" max="3334" width="7.7109375" style="841" customWidth="1"/>
    <col min="3335" max="3335" width="9.7109375" style="841" customWidth="1"/>
    <col min="3336" max="3336" width="7.28515625" style="841" customWidth="1"/>
    <col min="3337" max="3337" width="7.5703125" style="841" customWidth="1"/>
    <col min="3338" max="3338" width="7.7109375" style="841" customWidth="1"/>
    <col min="3339" max="3339" width="7" style="841" customWidth="1"/>
    <col min="3340" max="3340" width="7.7109375" style="841" customWidth="1"/>
    <col min="3341" max="3341" width="7" style="841" customWidth="1"/>
    <col min="3342" max="3584" width="11.5703125" style="841"/>
    <col min="3585" max="3585" width="11.42578125" style="841" customWidth="1"/>
    <col min="3586" max="3586" width="6.140625" style="841" customWidth="1"/>
    <col min="3587" max="3587" width="22.28515625" style="841" customWidth="1"/>
    <col min="3588" max="3588" width="9.28515625" style="841" customWidth="1"/>
    <col min="3589" max="3589" width="8.28515625" style="841" customWidth="1"/>
    <col min="3590" max="3590" width="7.7109375" style="841" customWidth="1"/>
    <col min="3591" max="3591" width="9.7109375" style="841" customWidth="1"/>
    <col min="3592" max="3592" width="7.28515625" style="841" customWidth="1"/>
    <col min="3593" max="3593" width="7.5703125" style="841" customWidth="1"/>
    <col min="3594" max="3594" width="7.7109375" style="841" customWidth="1"/>
    <col min="3595" max="3595" width="7" style="841" customWidth="1"/>
    <col min="3596" max="3596" width="7.7109375" style="841" customWidth="1"/>
    <col min="3597" max="3597" width="7" style="841" customWidth="1"/>
    <col min="3598" max="3840" width="11.5703125" style="841"/>
    <col min="3841" max="3841" width="11.42578125" style="841" customWidth="1"/>
    <col min="3842" max="3842" width="6.140625" style="841" customWidth="1"/>
    <col min="3843" max="3843" width="22.28515625" style="841" customWidth="1"/>
    <col min="3844" max="3844" width="9.28515625" style="841" customWidth="1"/>
    <col min="3845" max="3845" width="8.28515625" style="841" customWidth="1"/>
    <col min="3846" max="3846" width="7.7109375" style="841" customWidth="1"/>
    <col min="3847" max="3847" width="9.7109375" style="841" customWidth="1"/>
    <col min="3848" max="3848" width="7.28515625" style="841" customWidth="1"/>
    <col min="3849" max="3849" width="7.5703125" style="841" customWidth="1"/>
    <col min="3850" max="3850" width="7.7109375" style="841" customWidth="1"/>
    <col min="3851" max="3851" width="7" style="841" customWidth="1"/>
    <col min="3852" max="3852" width="7.7109375" style="841" customWidth="1"/>
    <col min="3853" max="3853" width="7" style="841" customWidth="1"/>
    <col min="3854" max="4096" width="11.5703125" style="841"/>
    <col min="4097" max="4097" width="11.42578125" style="841" customWidth="1"/>
    <col min="4098" max="4098" width="6.140625" style="841" customWidth="1"/>
    <col min="4099" max="4099" width="22.28515625" style="841" customWidth="1"/>
    <col min="4100" max="4100" width="9.28515625" style="841" customWidth="1"/>
    <col min="4101" max="4101" width="8.28515625" style="841" customWidth="1"/>
    <col min="4102" max="4102" width="7.7109375" style="841" customWidth="1"/>
    <col min="4103" max="4103" width="9.7109375" style="841" customWidth="1"/>
    <col min="4104" max="4104" width="7.28515625" style="841" customWidth="1"/>
    <col min="4105" max="4105" width="7.5703125" style="841" customWidth="1"/>
    <col min="4106" max="4106" width="7.7109375" style="841" customWidth="1"/>
    <col min="4107" max="4107" width="7" style="841" customWidth="1"/>
    <col min="4108" max="4108" width="7.7109375" style="841" customWidth="1"/>
    <col min="4109" max="4109" width="7" style="841" customWidth="1"/>
    <col min="4110" max="4352" width="11.5703125" style="841"/>
    <col min="4353" max="4353" width="11.42578125" style="841" customWidth="1"/>
    <col min="4354" max="4354" width="6.140625" style="841" customWidth="1"/>
    <col min="4355" max="4355" width="22.28515625" style="841" customWidth="1"/>
    <col min="4356" max="4356" width="9.28515625" style="841" customWidth="1"/>
    <col min="4357" max="4357" width="8.28515625" style="841" customWidth="1"/>
    <col min="4358" max="4358" width="7.7109375" style="841" customWidth="1"/>
    <col min="4359" max="4359" width="9.7109375" style="841" customWidth="1"/>
    <col min="4360" max="4360" width="7.28515625" style="841" customWidth="1"/>
    <col min="4361" max="4361" width="7.5703125" style="841" customWidth="1"/>
    <col min="4362" max="4362" width="7.7109375" style="841" customWidth="1"/>
    <col min="4363" max="4363" width="7" style="841" customWidth="1"/>
    <col min="4364" max="4364" width="7.7109375" style="841" customWidth="1"/>
    <col min="4365" max="4365" width="7" style="841" customWidth="1"/>
    <col min="4366" max="4608" width="11.5703125" style="841"/>
    <col min="4609" max="4609" width="11.42578125" style="841" customWidth="1"/>
    <col min="4610" max="4610" width="6.140625" style="841" customWidth="1"/>
    <col min="4611" max="4611" width="22.28515625" style="841" customWidth="1"/>
    <col min="4612" max="4612" width="9.28515625" style="841" customWidth="1"/>
    <col min="4613" max="4613" width="8.28515625" style="841" customWidth="1"/>
    <col min="4614" max="4614" width="7.7109375" style="841" customWidth="1"/>
    <col min="4615" max="4615" width="9.7109375" style="841" customWidth="1"/>
    <col min="4616" max="4616" width="7.28515625" style="841" customWidth="1"/>
    <col min="4617" max="4617" width="7.5703125" style="841" customWidth="1"/>
    <col min="4618" max="4618" width="7.7109375" style="841" customWidth="1"/>
    <col min="4619" max="4619" width="7" style="841" customWidth="1"/>
    <col min="4620" max="4620" width="7.7109375" style="841" customWidth="1"/>
    <col min="4621" max="4621" width="7" style="841" customWidth="1"/>
    <col min="4622" max="4864" width="11.5703125" style="841"/>
    <col min="4865" max="4865" width="11.42578125" style="841" customWidth="1"/>
    <col min="4866" max="4866" width="6.140625" style="841" customWidth="1"/>
    <col min="4867" max="4867" width="22.28515625" style="841" customWidth="1"/>
    <col min="4868" max="4868" width="9.28515625" style="841" customWidth="1"/>
    <col min="4869" max="4869" width="8.28515625" style="841" customWidth="1"/>
    <col min="4870" max="4870" width="7.7109375" style="841" customWidth="1"/>
    <col min="4871" max="4871" width="9.7109375" style="841" customWidth="1"/>
    <col min="4872" max="4872" width="7.28515625" style="841" customWidth="1"/>
    <col min="4873" max="4873" width="7.5703125" style="841" customWidth="1"/>
    <col min="4874" max="4874" width="7.7109375" style="841" customWidth="1"/>
    <col min="4875" max="4875" width="7" style="841" customWidth="1"/>
    <col min="4876" max="4876" width="7.7109375" style="841" customWidth="1"/>
    <col min="4877" max="4877" width="7" style="841" customWidth="1"/>
    <col min="4878" max="5120" width="11.5703125" style="841"/>
    <col min="5121" max="5121" width="11.42578125" style="841" customWidth="1"/>
    <col min="5122" max="5122" width="6.140625" style="841" customWidth="1"/>
    <col min="5123" max="5123" width="22.28515625" style="841" customWidth="1"/>
    <col min="5124" max="5124" width="9.28515625" style="841" customWidth="1"/>
    <col min="5125" max="5125" width="8.28515625" style="841" customWidth="1"/>
    <col min="5126" max="5126" width="7.7109375" style="841" customWidth="1"/>
    <col min="5127" max="5127" width="9.7109375" style="841" customWidth="1"/>
    <col min="5128" max="5128" width="7.28515625" style="841" customWidth="1"/>
    <col min="5129" max="5129" width="7.5703125" style="841" customWidth="1"/>
    <col min="5130" max="5130" width="7.7109375" style="841" customWidth="1"/>
    <col min="5131" max="5131" width="7" style="841" customWidth="1"/>
    <col min="5132" max="5132" width="7.7109375" style="841" customWidth="1"/>
    <col min="5133" max="5133" width="7" style="841" customWidth="1"/>
    <col min="5134" max="5376" width="11.5703125" style="841"/>
    <col min="5377" max="5377" width="11.42578125" style="841" customWidth="1"/>
    <col min="5378" max="5378" width="6.140625" style="841" customWidth="1"/>
    <col min="5379" max="5379" width="22.28515625" style="841" customWidth="1"/>
    <col min="5380" max="5380" width="9.28515625" style="841" customWidth="1"/>
    <col min="5381" max="5381" width="8.28515625" style="841" customWidth="1"/>
    <col min="5382" max="5382" width="7.7109375" style="841" customWidth="1"/>
    <col min="5383" max="5383" width="9.7109375" style="841" customWidth="1"/>
    <col min="5384" max="5384" width="7.28515625" style="841" customWidth="1"/>
    <col min="5385" max="5385" width="7.5703125" style="841" customWidth="1"/>
    <col min="5386" max="5386" width="7.7109375" style="841" customWidth="1"/>
    <col min="5387" max="5387" width="7" style="841" customWidth="1"/>
    <col min="5388" max="5388" width="7.7109375" style="841" customWidth="1"/>
    <col min="5389" max="5389" width="7" style="841" customWidth="1"/>
    <col min="5390" max="5632" width="11.5703125" style="841"/>
    <col min="5633" max="5633" width="11.42578125" style="841" customWidth="1"/>
    <col min="5634" max="5634" width="6.140625" style="841" customWidth="1"/>
    <col min="5635" max="5635" width="22.28515625" style="841" customWidth="1"/>
    <col min="5636" max="5636" width="9.28515625" style="841" customWidth="1"/>
    <col min="5637" max="5637" width="8.28515625" style="841" customWidth="1"/>
    <col min="5638" max="5638" width="7.7109375" style="841" customWidth="1"/>
    <col min="5639" max="5639" width="9.7109375" style="841" customWidth="1"/>
    <col min="5640" max="5640" width="7.28515625" style="841" customWidth="1"/>
    <col min="5641" max="5641" width="7.5703125" style="841" customWidth="1"/>
    <col min="5642" max="5642" width="7.7109375" style="841" customWidth="1"/>
    <col min="5643" max="5643" width="7" style="841" customWidth="1"/>
    <col min="5644" max="5644" width="7.7109375" style="841" customWidth="1"/>
    <col min="5645" max="5645" width="7" style="841" customWidth="1"/>
    <col min="5646" max="5888" width="11.5703125" style="841"/>
    <col min="5889" max="5889" width="11.42578125" style="841" customWidth="1"/>
    <col min="5890" max="5890" width="6.140625" style="841" customWidth="1"/>
    <col min="5891" max="5891" width="22.28515625" style="841" customWidth="1"/>
    <col min="5892" max="5892" width="9.28515625" style="841" customWidth="1"/>
    <col min="5893" max="5893" width="8.28515625" style="841" customWidth="1"/>
    <col min="5894" max="5894" width="7.7109375" style="841" customWidth="1"/>
    <col min="5895" max="5895" width="9.7109375" style="841" customWidth="1"/>
    <col min="5896" max="5896" width="7.28515625" style="841" customWidth="1"/>
    <col min="5897" max="5897" width="7.5703125" style="841" customWidth="1"/>
    <col min="5898" max="5898" width="7.7109375" style="841" customWidth="1"/>
    <col min="5899" max="5899" width="7" style="841" customWidth="1"/>
    <col min="5900" max="5900" width="7.7109375" style="841" customWidth="1"/>
    <col min="5901" max="5901" width="7" style="841" customWidth="1"/>
    <col min="5902" max="6144" width="11.5703125" style="841"/>
    <col min="6145" max="6145" width="11.42578125" style="841" customWidth="1"/>
    <col min="6146" max="6146" width="6.140625" style="841" customWidth="1"/>
    <col min="6147" max="6147" width="22.28515625" style="841" customWidth="1"/>
    <col min="6148" max="6148" width="9.28515625" style="841" customWidth="1"/>
    <col min="6149" max="6149" width="8.28515625" style="841" customWidth="1"/>
    <col min="6150" max="6150" width="7.7109375" style="841" customWidth="1"/>
    <col min="6151" max="6151" width="9.7109375" style="841" customWidth="1"/>
    <col min="6152" max="6152" width="7.28515625" style="841" customWidth="1"/>
    <col min="6153" max="6153" width="7.5703125" style="841" customWidth="1"/>
    <col min="6154" max="6154" width="7.7109375" style="841" customWidth="1"/>
    <col min="6155" max="6155" width="7" style="841" customWidth="1"/>
    <col min="6156" max="6156" width="7.7109375" style="841" customWidth="1"/>
    <col min="6157" max="6157" width="7" style="841" customWidth="1"/>
    <col min="6158" max="6400" width="11.5703125" style="841"/>
    <col min="6401" max="6401" width="11.42578125" style="841" customWidth="1"/>
    <col min="6402" max="6402" width="6.140625" style="841" customWidth="1"/>
    <col min="6403" max="6403" width="22.28515625" style="841" customWidth="1"/>
    <col min="6404" max="6404" width="9.28515625" style="841" customWidth="1"/>
    <col min="6405" max="6405" width="8.28515625" style="841" customWidth="1"/>
    <col min="6406" max="6406" width="7.7109375" style="841" customWidth="1"/>
    <col min="6407" max="6407" width="9.7109375" style="841" customWidth="1"/>
    <col min="6408" max="6408" width="7.28515625" style="841" customWidth="1"/>
    <col min="6409" max="6409" width="7.5703125" style="841" customWidth="1"/>
    <col min="6410" max="6410" width="7.7109375" style="841" customWidth="1"/>
    <col min="6411" max="6411" width="7" style="841" customWidth="1"/>
    <col min="6412" max="6412" width="7.7109375" style="841" customWidth="1"/>
    <col min="6413" max="6413" width="7" style="841" customWidth="1"/>
    <col min="6414" max="6656" width="11.5703125" style="841"/>
    <col min="6657" max="6657" width="11.42578125" style="841" customWidth="1"/>
    <col min="6658" max="6658" width="6.140625" style="841" customWidth="1"/>
    <col min="6659" max="6659" width="22.28515625" style="841" customWidth="1"/>
    <col min="6660" max="6660" width="9.28515625" style="841" customWidth="1"/>
    <col min="6661" max="6661" width="8.28515625" style="841" customWidth="1"/>
    <col min="6662" max="6662" width="7.7109375" style="841" customWidth="1"/>
    <col min="6663" max="6663" width="9.7109375" style="841" customWidth="1"/>
    <col min="6664" max="6664" width="7.28515625" style="841" customWidth="1"/>
    <col min="6665" max="6665" width="7.5703125" style="841" customWidth="1"/>
    <col min="6666" max="6666" width="7.7109375" style="841" customWidth="1"/>
    <col min="6667" max="6667" width="7" style="841" customWidth="1"/>
    <col min="6668" max="6668" width="7.7109375" style="841" customWidth="1"/>
    <col min="6669" max="6669" width="7" style="841" customWidth="1"/>
    <col min="6670" max="6912" width="11.5703125" style="841"/>
    <col min="6913" max="6913" width="11.42578125" style="841" customWidth="1"/>
    <col min="6914" max="6914" width="6.140625" style="841" customWidth="1"/>
    <col min="6915" max="6915" width="22.28515625" style="841" customWidth="1"/>
    <col min="6916" max="6916" width="9.28515625" style="841" customWidth="1"/>
    <col min="6917" max="6917" width="8.28515625" style="841" customWidth="1"/>
    <col min="6918" max="6918" width="7.7109375" style="841" customWidth="1"/>
    <col min="6919" max="6919" width="9.7109375" style="841" customWidth="1"/>
    <col min="6920" max="6920" width="7.28515625" style="841" customWidth="1"/>
    <col min="6921" max="6921" width="7.5703125" style="841" customWidth="1"/>
    <col min="6922" max="6922" width="7.7109375" style="841" customWidth="1"/>
    <col min="6923" max="6923" width="7" style="841" customWidth="1"/>
    <col min="6924" max="6924" width="7.7109375" style="841" customWidth="1"/>
    <col min="6925" max="6925" width="7" style="841" customWidth="1"/>
    <col min="6926" max="7168" width="11.5703125" style="841"/>
    <col min="7169" max="7169" width="11.42578125" style="841" customWidth="1"/>
    <col min="7170" max="7170" width="6.140625" style="841" customWidth="1"/>
    <col min="7171" max="7171" width="22.28515625" style="841" customWidth="1"/>
    <col min="7172" max="7172" width="9.28515625" style="841" customWidth="1"/>
    <col min="7173" max="7173" width="8.28515625" style="841" customWidth="1"/>
    <col min="7174" max="7174" width="7.7109375" style="841" customWidth="1"/>
    <col min="7175" max="7175" width="9.7109375" style="841" customWidth="1"/>
    <col min="7176" max="7176" width="7.28515625" style="841" customWidth="1"/>
    <col min="7177" max="7177" width="7.5703125" style="841" customWidth="1"/>
    <col min="7178" max="7178" width="7.7109375" style="841" customWidth="1"/>
    <col min="7179" max="7179" width="7" style="841" customWidth="1"/>
    <col min="7180" max="7180" width="7.7109375" style="841" customWidth="1"/>
    <col min="7181" max="7181" width="7" style="841" customWidth="1"/>
    <col min="7182" max="7424" width="11.5703125" style="841"/>
    <col min="7425" max="7425" width="11.42578125" style="841" customWidth="1"/>
    <col min="7426" max="7426" width="6.140625" style="841" customWidth="1"/>
    <col min="7427" max="7427" width="22.28515625" style="841" customWidth="1"/>
    <col min="7428" max="7428" width="9.28515625" style="841" customWidth="1"/>
    <col min="7429" max="7429" width="8.28515625" style="841" customWidth="1"/>
    <col min="7430" max="7430" width="7.7109375" style="841" customWidth="1"/>
    <col min="7431" max="7431" width="9.7109375" style="841" customWidth="1"/>
    <col min="7432" max="7432" width="7.28515625" style="841" customWidth="1"/>
    <col min="7433" max="7433" width="7.5703125" style="841" customWidth="1"/>
    <col min="7434" max="7434" width="7.7109375" style="841" customWidth="1"/>
    <col min="7435" max="7435" width="7" style="841" customWidth="1"/>
    <col min="7436" max="7436" width="7.7109375" style="841" customWidth="1"/>
    <col min="7437" max="7437" width="7" style="841" customWidth="1"/>
    <col min="7438" max="7680" width="11.5703125" style="841"/>
    <col min="7681" max="7681" width="11.42578125" style="841" customWidth="1"/>
    <col min="7682" max="7682" width="6.140625" style="841" customWidth="1"/>
    <col min="7683" max="7683" width="22.28515625" style="841" customWidth="1"/>
    <col min="7684" max="7684" width="9.28515625" style="841" customWidth="1"/>
    <col min="7685" max="7685" width="8.28515625" style="841" customWidth="1"/>
    <col min="7686" max="7686" width="7.7109375" style="841" customWidth="1"/>
    <col min="7687" max="7687" width="9.7109375" style="841" customWidth="1"/>
    <col min="7688" max="7688" width="7.28515625" style="841" customWidth="1"/>
    <col min="7689" max="7689" width="7.5703125" style="841" customWidth="1"/>
    <col min="7690" max="7690" width="7.7109375" style="841" customWidth="1"/>
    <col min="7691" max="7691" width="7" style="841" customWidth="1"/>
    <col min="7692" max="7692" width="7.7109375" style="841" customWidth="1"/>
    <col min="7693" max="7693" width="7" style="841" customWidth="1"/>
    <col min="7694" max="7936" width="11.5703125" style="841"/>
    <col min="7937" max="7937" width="11.42578125" style="841" customWidth="1"/>
    <col min="7938" max="7938" width="6.140625" style="841" customWidth="1"/>
    <col min="7939" max="7939" width="22.28515625" style="841" customWidth="1"/>
    <col min="7940" max="7940" width="9.28515625" style="841" customWidth="1"/>
    <col min="7941" max="7941" width="8.28515625" style="841" customWidth="1"/>
    <col min="7942" max="7942" width="7.7109375" style="841" customWidth="1"/>
    <col min="7943" max="7943" width="9.7109375" style="841" customWidth="1"/>
    <col min="7944" max="7944" width="7.28515625" style="841" customWidth="1"/>
    <col min="7945" max="7945" width="7.5703125" style="841" customWidth="1"/>
    <col min="7946" max="7946" width="7.7109375" style="841" customWidth="1"/>
    <col min="7947" max="7947" width="7" style="841" customWidth="1"/>
    <col min="7948" max="7948" width="7.7109375" style="841" customWidth="1"/>
    <col min="7949" max="7949" width="7" style="841" customWidth="1"/>
    <col min="7950" max="8192" width="11.5703125" style="841"/>
    <col min="8193" max="8193" width="11.42578125" style="841" customWidth="1"/>
    <col min="8194" max="8194" width="6.140625" style="841" customWidth="1"/>
    <col min="8195" max="8195" width="22.28515625" style="841" customWidth="1"/>
    <col min="8196" max="8196" width="9.28515625" style="841" customWidth="1"/>
    <col min="8197" max="8197" width="8.28515625" style="841" customWidth="1"/>
    <col min="8198" max="8198" width="7.7109375" style="841" customWidth="1"/>
    <col min="8199" max="8199" width="9.7109375" style="841" customWidth="1"/>
    <col min="8200" max="8200" width="7.28515625" style="841" customWidth="1"/>
    <col min="8201" max="8201" width="7.5703125" style="841" customWidth="1"/>
    <col min="8202" max="8202" width="7.7109375" style="841" customWidth="1"/>
    <col min="8203" max="8203" width="7" style="841" customWidth="1"/>
    <col min="8204" max="8204" width="7.7109375" style="841" customWidth="1"/>
    <col min="8205" max="8205" width="7" style="841" customWidth="1"/>
    <col min="8206" max="8448" width="11.5703125" style="841"/>
    <col min="8449" max="8449" width="11.42578125" style="841" customWidth="1"/>
    <col min="8450" max="8450" width="6.140625" style="841" customWidth="1"/>
    <col min="8451" max="8451" width="22.28515625" style="841" customWidth="1"/>
    <col min="8452" max="8452" width="9.28515625" style="841" customWidth="1"/>
    <col min="8453" max="8453" width="8.28515625" style="841" customWidth="1"/>
    <col min="8454" max="8454" width="7.7109375" style="841" customWidth="1"/>
    <col min="8455" max="8455" width="9.7109375" style="841" customWidth="1"/>
    <col min="8456" max="8456" width="7.28515625" style="841" customWidth="1"/>
    <col min="8457" max="8457" width="7.5703125" style="841" customWidth="1"/>
    <col min="8458" max="8458" width="7.7109375" style="841" customWidth="1"/>
    <col min="8459" max="8459" width="7" style="841" customWidth="1"/>
    <col min="8460" max="8460" width="7.7109375" style="841" customWidth="1"/>
    <col min="8461" max="8461" width="7" style="841" customWidth="1"/>
    <col min="8462" max="8704" width="11.5703125" style="841"/>
    <col min="8705" max="8705" width="11.42578125" style="841" customWidth="1"/>
    <col min="8706" max="8706" width="6.140625" style="841" customWidth="1"/>
    <col min="8707" max="8707" width="22.28515625" style="841" customWidth="1"/>
    <col min="8708" max="8708" width="9.28515625" style="841" customWidth="1"/>
    <col min="8709" max="8709" width="8.28515625" style="841" customWidth="1"/>
    <col min="8710" max="8710" width="7.7109375" style="841" customWidth="1"/>
    <col min="8711" max="8711" width="9.7109375" style="841" customWidth="1"/>
    <col min="8712" max="8712" width="7.28515625" style="841" customWidth="1"/>
    <col min="8713" max="8713" width="7.5703125" style="841" customWidth="1"/>
    <col min="8714" max="8714" width="7.7109375" style="841" customWidth="1"/>
    <col min="8715" max="8715" width="7" style="841" customWidth="1"/>
    <col min="8716" max="8716" width="7.7109375" style="841" customWidth="1"/>
    <col min="8717" max="8717" width="7" style="841" customWidth="1"/>
    <col min="8718" max="8960" width="11.5703125" style="841"/>
    <col min="8961" max="8961" width="11.42578125" style="841" customWidth="1"/>
    <col min="8962" max="8962" width="6.140625" style="841" customWidth="1"/>
    <col min="8963" max="8963" width="22.28515625" style="841" customWidth="1"/>
    <col min="8964" max="8964" width="9.28515625" style="841" customWidth="1"/>
    <col min="8965" max="8965" width="8.28515625" style="841" customWidth="1"/>
    <col min="8966" max="8966" width="7.7109375" style="841" customWidth="1"/>
    <col min="8967" max="8967" width="9.7109375" style="841" customWidth="1"/>
    <col min="8968" max="8968" width="7.28515625" style="841" customWidth="1"/>
    <col min="8969" max="8969" width="7.5703125" style="841" customWidth="1"/>
    <col min="8970" max="8970" width="7.7109375" style="841" customWidth="1"/>
    <col min="8971" max="8971" width="7" style="841" customWidth="1"/>
    <col min="8972" max="8972" width="7.7109375" style="841" customWidth="1"/>
    <col min="8973" max="8973" width="7" style="841" customWidth="1"/>
    <col min="8974" max="9216" width="11.5703125" style="841"/>
    <col min="9217" max="9217" width="11.42578125" style="841" customWidth="1"/>
    <col min="9218" max="9218" width="6.140625" style="841" customWidth="1"/>
    <col min="9219" max="9219" width="22.28515625" style="841" customWidth="1"/>
    <col min="9220" max="9220" width="9.28515625" style="841" customWidth="1"/>
    <col min="9221" max="9221" width="8.28515625" style="841" customWidth="1"/>
    <col min="9222" max="9222" width="7.7109375" style="841" customWidth="1"/>
    <col min="9223" max="9223" width="9.7109375" style="841" customWidth="1"/>
    <col min="9224" max="9224" width="7.28515625" style="841" customWidth="1"/>
    <col min="9225" max="9225" width="7.5703125" style="841" customWidth="1"/>
    <col min="9226" max="9226" width="7.7109375" style="841" customWidth="1"/>
    <col min="9227" max="9227" width="7" style="841" customWidth="1"/>
    <col min="9228" max="9228" width="7.7109375" style="841" customWidth="1"/>
    <col min="9229" max="9229" width="7" style="841" customWidth="1"/>
    <col min="9230" max="9472" width="11.5703125" style="841"/>
    <col min="9473" max="9473" width="11.42578125" style="841" customWidth="1"/>
    <col min="9474" max="9474" width="6.140625" style="841" customWidth="1"/>
    <col min="9475" max="9475" width="22.28515625" style="841" customWidth="1"/>
    <col min="9476" max="9476" width="9.28515625" style="841" customWidth="1"/>
    <col min="9477" max="9477" width="8.28515625" style="841" customWidth="1"/>
    <col min="9478" max="9478" width="7.7109375" style="841" customWidth="1"/>
    <col min="9479" max="9479" width="9.7109375" style="841" customWidth="1"/>
    <col min="9480" max="9480" width="7.28515625" style="841" customWidth="1"/>
    <col min="9481" max="9481" width="7.5703125" style="841" customWidth="1"/>
    <col min="9482" max="9482" width="7.7109375" style="841" customWidth="1"/>
    <col min="9483" max="9483" width="7" style="841" customWidth="1"/>
    <col min="9484" max="9484" width="7.7109375" style="841" customWidth="1"/>
    <col min="9485" max="9485" width="7" style="841" customWidth="1"/>
    <col min="9486" max="9728" width="11.5703125" style="841"/>
    <col min="9729" max="9729" width="11.42578125" style="841" customWidth="1"/>
    <col min="9730" max="9730" width="6.140625" style="841" customWidth="1"/>
    <col min="9731" max="9731" width="22.28515625" style="841" customWidth="1"/>
    <col min="9732" max="9732" width="9.28515625" style="841" customWidth="1"/>
    <col min="9733" max="9733" width="8.28515625" style="841" customWidth="1"/>
    <col min="9734" max="9734" width="7.7109375" style="841" customWidth="1"/>
    <col min="9735" max="9735" width="9.7109375" style="841" customWidth="1"/>
    <col min="9736" max="9736" width="7.28515625" style="841" customWidth="1"/>
    <col min="9737" max="9737" width="7.5703125" style="841" customWidth="1"/>
    <col min="9738" max="9738" width="7.7109375" style="841" customWidth="1"/>
    <col min="9739" max="9739" width="7" style="841" customWidth="1"/>
    <col min="9740" max="9740" width="7.7109375" style="841" customWidth="1"/>
    <col min="9741" max="9741" width="7" style="841" customWidth="1"/>
    <col min="9742" max="9984" width="11.5703125" style="841"/>
    <col min="9985" max="9985" width="11.42578125" style="841" customWidth="1"/>
    <col min="9986" max="9986" width="6.140625" style="841" customWidth="1"/>
    <col min="9987" max="9987" width="22.28515625" style="841" customWidth="1"/>
    <col min="9988" max="9988" width="9.28515625" style="841" customWidth="1"/>
    <col min="9989" max="9989" width="8.28515625" style="841" customWidth="1"/>
    <col min="9990" max="9990" width="7.7109375" style="841" customWidth="1"/>
    <col min="9991" max="9991" width="9.7109375" style="841" customWidth="1"/>
    <col min="9992" max="9992" width="7.28515625" style="841" customWidth="1"/>
    <col min="9993" max="9993" width="7.5703125" style="841" customWidth="1"/>
    <col min="9994" max="9994" width="7.7109375" style="841" customWidth="1"/>
    <col min="9995" max="9995" width="7" style="841" customWidth="1"/>
    <col min="9996" max="9996" width="7.7109375" style="841" customWidth="1"/>
    <col min="9997" max="9997" width="7" style="841" customWidth="1"/>
    <col min="9998" max="10240" width="11.5703125" style="841"/>
    <col min="10241" max="10241" width="11.42578125" style="841" customWidth="1"/>
    <col min="10242" max="10242" width="6.140625" style="841" customWidth="1"/>
    <col min="10243" max="10243" width="22.28515625" style="841" customWidth="1"/>
    <col min="10244" max="10244" width="9.28515625" style="841" customWidth="1"/>
    <col min="10245" max="10245" width="8.28515625" style="841" customWidth="1"/>
    <col min="10246" max="10246" width="7.7109375" style="841" customWidth="1"/>
    <col min="10247" max="10247" width="9.7109375" style="841" customWidth="1"/>
    <col min="10248" max="10248" width="7.28515625" style="841" customWidth="1"/>
    <col min="10249" max="10249" width="7.5703125" style="841" customWidth="1"/>
    <col min="10250" max="10250" width="7.7109375" style="841" customWidth="1"/>
    <col min="10251" max="10251" width="7" style="841" customWidth="1"/>
    <col min="10252" max="10252" width="7.7109375" style="841" customWidth="1"/>
    <col min="10253" max="10253" width="7" style="841" customWidth="1"/>
    <col min="10254" max="10496" width="11.5703125" style="841"/>
    <col min="10497" max="10497" width="11.42578125" style="841" customWidth="1"/>
    <col min="10498" max="10498" width="6.140625" style="841" customWidth="1"/>
    <col min="10499" max="10499" width="22.28515625" style="841" customWidth="1"/>
    <col min="10500" max="10500" width="9.28515625" style="841" customWidth="1"/>
    <col min="10501" max="10501" width="8.28515625" style="841" customWidth="1"/>
    <col min="10502" max="10502" width="7.7109375" style="841" customWidth="1"/>
    <col min="10503" max="10503" width="9.7109375" style="841" customWidth="1"/>
    <col min="10504" max="10504" width="7.28515625" style="841" customWidth="1"/>
    <col min="10505" max="10505" width="7.5703125" style="841" customWidth="1"/>
    <col min="10506" max="10506" width="7.7109375" style="841" customWidth="1"/>
    <col min="10507" max="10507" width="7" style="841" customWidth="1"/>
    <col min="10508" max="10508" width="7.7109375" style="841" customWidth="1"/>
    <col min="10509" max="10509" width="7" style="841" customWidth="1"/>
    <col min="10510" max="10752" width="11.5703125" style="841"/>
    <col min="10753" max="10753" width="11.42578125" style="841" customWidth="1"/>
    <col min="10754" max="10754" width="6.140625" style="841" customWidth="1"/>
    <col min="10755" max="10755" width="22.28515625" style="841" customWidth="1"/>
    <col min="10756" max="10756" width="9.28515625" style="841" customWidth="1"/>
    <col min="10757" max="10757" width="8.28515625" style="841" customWidth="1"/>
    <col min="10758" max="10758" width="7.7109375" style="841" customWidth="1"/>
    <col min="10759" max="10759" width="9.7109375" style="841" customWidth="1"/>
    <col min="10760" max="10760" width="7.28515625" style="841" customWidth="1"/>
    <col min="10761" max="10761" width="7.5703125" style="841" customWidth="1"/>
    <col min="10762" max="10762" width="7.7109375" style="841" customWidth="1"/>
    <col min="10763" max="10763" width="7" style="841" customWidth="1"/>
    <col min="10764" max="10764" width="7.7109375" style="841" customWidth="1"/>
    <col min="10765" max="10765" width="7" style="841" customWidth="1"/>
    <col min="10766" max="11008" width="11.5703125" style="841"/>
    <col min="11009" max="11009" width="11.42578125" style="841" customWidth="1"/>
    <col min="11010" max="11010" width="6.140625" style="841" customWidth="1"/>
    <col min="11011" max="11011" width="22.28515625" style="841" customWidth="1"/>
    <col min="11012" max="11012" width="9.28515625" style="841" customWidth="1"/>
    <col min="11013" max="11013" width="8.28515625" style="841" customWidth="1"/>
    <col min="11014" max="11014" width="7.7109375" style="841" customWidth="1"/>
    <col min="11015" max="11015" width="9.7109375" style="841" customWidth="1"/>
    <col min="11016" max="11016" width="7.28515625" style="841" customWidth="1"/>
    <col min="11017" max="11017" width="7.5703125" style="841" customWidth="1"/>
    <col min="11018" max="11018" width="7.7109375" style="841" customWidth="1"/>
    <col min="11019" max="11019" width="7" style="841" customWidth="1"/>
    <col min="11020" max="11020" width="7.7109375" style="841" customWidth="1"/>
    <col min="11021" max="11021" width="7" style="841" customWidth="1"/>
    <col min="11022" max="11264" width="11.5703125" style="841"/>
    <col min="11265" max="11265" width="11.42578125" style="841" customWidth="1"/>
    <col min="11266" max="11266" width="6.140625" style="841" customWidth="1"/>
    <col min="11267" max="11267" width="22.28515625" style="841" customWidth="1"/>
    <col min="11268" max="11268" width="9.28515625" style="841" customWidth="1"/>
    <col min="11269" max="11269" width="8.28515625" style="841" customWidth="1"/>
    <col min="11270" max="11270" width="7.7109375" style="841" customWidth="1"/>
    <col min="11271" max="11271" width="9.7109375" style="841" customWidth="1"/>
    <col min="11272" max="11272" width="7.28515625" style="841" customWidth="1"/>
    <col min="11273" max="11273" width="7.5703125" style="841" customWidth="1"/>
    <col min="11274" max="11274" width="7.7109375" style="841" customWidth="1"/>
    <col min="11275" max="11275" width="7" style="841" customWidth="1"/>
    <col min="11276" max="11276" width="7.7109375" style="841" customWidth="1"/>
    <col min="11277" max="11277" width="7" style="841" customWidth="1"/>
    <col min="11278" max="11520" width="11.5703125" style="841"/>
    <col min="11521" max="11521" width="11.42578125" style="841" customWidth="1"/>
    <col min="11522" max="11522" width="6.140625" style="841" customWidth="1"/>
    <col min="11523" max="11523" width="22.28515625" style="841" customWidth="1"/>
    <col min="11524" max="11524" width="9.28515625" style="841" customWidth="1"/>
    <col min="11525" max="11525" width="8.28515625" style="841" customWidth="1"/>
    <col min="11526" max="11526" width="7.7109375" style="841" customWidth="1"/>
    <col min="11527" max="11527" width="9.7109375" style="841" customWidth="1"/>
    <col min="11528" max="11528" width="7.28515625" style="841" customWidth="1"/>
    <col min="11529" max="11529" width="7.5703125" style="841" customWidth="1"/>
    <col min="11530" max="11530" width="7.7109375" style="841" customWidth="1"/>
    <col min="11531" max="11531" width="7" style="841" customWidth="1"/>
    <col min="11532" max="11532" width="7.7109375" style="841" customWidth="1"/>
    <col min="11533" max="11533" width="7" style="841" customWidth="1"/>
    <col min="11534" max="11776" width="11.5703125" style="841"/>
    <col min="11777" max="11777" width="11.42578125" style="841" customWidth="1"/>
    <col min="11778" max="11778" width="6.140625" style="841" customWidth="1"/>
    <col min="11779" max="11779" width="22.28515625" style="841" customWidth="1"/>
    <col min="11780" max="11780" width="9.28515625" style="841" customWidth="1"/>
    <col min="11781" max="11781" width="8.28515625" style="841" customWidth="1"/>
    <col min="11782" max="11782" width="7.7109375" style="841" customWidth="1"/>
    <col min="11783" max="11783" width="9.7109375" style="841" customWidth="1"/>
    <col min="11784" max="11784" width="7.28515625" style="841" customWidth="1"/>
    <col min="11785" max="11785" width="7.5703125" style="841" customWidth="1"/>
    <col min="11786" max="11786" width="7.7109375" style="841" customWidth="1"/>
    <col min="11787" max="11787" width="7" style="841" customWidth="1"/>
    <col min="11788" max="11788" width="7.7109375" style="841" customWidth="1"/>
    <col min="11789" max="11789" width="7" style="841" customWidth="1"/>
    <col min="11790" max="12032" width="11.5703125" style="841"/>
    <col min="12033" max="12033" width="11.42578125" style="841" customWidth="1"/>
    <col min="12034" max="12034" width="6.140625" style="841" customWidth="1"/>
    <col min="12035" max="12035" width="22.28515625" style="841" customWidth="1"/>
    <col min="12036" max="12036" width="9.28515625" style="841" customWidth="1"/>
    <col min="12037" max="12037" width="8.28515625" style="841" customWidth="1"/>
    <col min="12038" max="12038" width="7.7109375" style="841" customWidth="1"/>
    <col min="12039" max="12039" width="9.7109375" style="841" customWidth="1"/>
    <col min="12040" max="12040" width="7.28515625" style="841" customWidth="1"/>
    <col min="12041" max="12041" width="7.5703125" style="841" customWidth="1"/>
    <col min="12042" max="12042" width="7.7109375" style="841" customWidth="1"/>
    <col min="12043" max="12043" width="7" style="841" customWidth="1"/>
    <col min="12044" max="12044" width="7.7109375" style="841" customWidth="1"/>
    <col min="12045" max="12045" width="7" style="841" customWidth="1"/>
    <col min="12046" max="12288" width="11.5703125" style="841"/>
    <col min="12289" max="12289" width="11.42578125" style="841" customWidth="1"/>
    <col min="12290" max="12290" width="6.140625" style="841" customWidth="1"/>
    <col min="12291" max="12291" width="22.28515625" style="841" customWidth="1"/>
    <col min="12292" max="12292" width="9.28515625" style="841" customWidth="1"/>
    <col min="12293" max="12293" width="8.28515625" style="841" customWidth="1"/>
    <col min="12294" max="12294" width="7.7109375" style="841" customWidth="1"/>
    <col min="12295" max="12295" width="9.7109375" style="841" customWidth="1"/>
    <col min="12296" max="12296" width="7.28515625" style="841" customWidth="1"/>
    <col min="12297" max="12297" width="7.5703125" style="841" customWidth="1"/>
    <col min="12298" max="12298" width="7.7109375" style="841" customWidth="1"/>
    <col min="12299" max="12299" width="7" style="841" customWidth="1"/>
    <col min="12300" max="12300" width="7.7109375" style="841" customWidth="1"/>
    <col min="12301" max="12301" width="7" style="841" customWidth="1"/>
    <col min="12302" max="12544" width="11.5703125" style="841"/>
    <col min="12545" max="12545" width="11.42578125" style="841" customWidth="1"/>
    <col min="12546" max="12546" width="6.140625" style="841" customWidth="1"/>
    <col min="12547" max="12547" width="22.28515625" style="841" customWidth="1"/>
    <col min="12548" max="12548" width="9.28515625" style="841" customWidth="1"/>
    <col min="12549" max="12549" width="8.28515625" style="841" customWidth="1"/>
    <col min="12550" max="12550" width="7.7109375" style="841" customWidth="1"/>
    <col min="12551" max="12551" width="9.7109375" style="841" customWidth="1"/>
    <col min="12552" max="12552" width="7.28515625" style="841" customWidth="1"/>
    <col min="12553" max="12553" width="7.5703125" style="841" customWidth="1"/>
    <col min="12554" max="12554" width="7.7109375" style="841" customWidth="1"/>
    <col min="12555" max="12555" width="7" style="841" customWidth="1"/>
    <col min="12556" max="12556" width="7.7109375" style="841" customWidth="1"/>
    <col min="12557" max="12557" width="7" style="841" customWidth="1"/>
    <col min="12558" max="12800" width="11.5703125" style="841"/>
    <col min="12801" max="12801" width="11.42578125" style="841" customWidth="1"/>
    <col min="12802" max="12802" width="6.140625" style="841" customWidth="1"/>
    <col min="12803" max="12803" width="22.28515625" style="841" customWidth="1"/>
    <col min="12804" max="12804" width="9.28515625" style="841" customWidth="1"/>
    <col min="12805" max="12805" width="8.28515625" style="841" customWidth="1"/>
    <col min="12806" max="12806" width="7.7109375" style="841" customWidth="1"/>
    <col min="12807" max="12807" width="9.7109375" style="841" customWidth="1"/>
    <col min="12808" max="12808" width="7.28515625" style="841" customWidth="1"/>
    <col min="12809" max="12809" width="7.5703125" style="841" customWidth="1"/>
    <col min="12810" max="12810" width="7.7109375" style="841" customWidth="1"/>
    <col min="12811" max="12811" width="7" style="841" customWidth="1"/>
    <col min="12812" max="12812" width="7.7109375" style="841" customWidth="1"/>
    <col min="12813" max="12813" width="7" style="841" customWidth="1"/>
    <col min="12814" max="13056" width="11.5703125" style="841"/>
    <col min="13057" max="13057" width="11.42578125" style="841" customWidth="1"/>
    <col min="13058" max="13058" width="6.140625" style="841" customWidth="1"/>
    <col min="13059" max="13059" width="22.28515625" style="841" customWidth="1"/>
    <col min="13060" max="13060" width="9.28515625" style="841" customWidth="1"/>
    <col min="13061" max="13061" width="8.28515625" style="841" customWidth="1"/>
    <col min="13062" max="13062" width="7.7109375" style="841" customWidth="1"/>
    <col min="13063" max="13063" width="9.7109375" style="841" customWidth="1"/>
    <col min="13064" max="13064" width="7.28515625" style="841" customWidth="1"/>
    <col min="13065" max="13065" width="7.5703125" style="841" customWidth="1"/>
    <col min="13066" max="13066" width="7.7109375" style="841" customWidth="1"/>
    <col min="13067" max="13067" width="7" style="841" customWidth="1"/>
    <col min="13068" max="13068" width="7.7109375" style="841" customWidth="1"/>
    <col min="13069" max="13069" width="7" style="841" customWidth="1"/>
    <col min="13070" max="13312" width="11.5703125" style="841"/>
    <col min="13313" max="13313" width="11.42578125" style="841" customWidth="1"/>
    <col min="13314" max="13314" width="6.140625" style="841" customWidth="1"/>
    <col min="13315" max="13315" width="22.28515625" style="841" customWidth="1"/>
    <col min="13316" max="13316" width="9.28515625" style="841" customWidth="1"/>
    <col min="13317" max="13317" width="8.28515625" style="841" customWidth="1"/>
    <col min="13318" max="13318" width="7.7109375" style="841" customWidth="1"/>
    <col min="13319" max="13319" width="9.7109375" style="841" customWidth="1"/>
    <col min="13320" max="13320" width="7.28515625" style="841" customWidth="1"/>
    <col min="13321" max="13321" width="7.5703125" style="841" customWidth="1"/>
    <col min="13322" max="13322" width="7.7109375" style="841" customWidth="1"/>
    <col min="13323" max="13323" width="7" style="841" customWidth="1"/>
    <col min="13324" max="13324" width="7.7109375" style="841" customWidth="1"/>
    <col min="13325" max="13325" width="7" style="841" customWidth="1"/>
    <col min="13326" max="13568" width="11.5703125" style="841"/>
    <col min="13569" max="13569" width="11.42578125" style="841" customWidth="1"/>
    <col min="13570" max="13570" width="6.140625" style="841" customWidth="1"/>
    <col min="13571" max="13571" width="22.28515625" style="841" customWidth="1"/>
    <col min="13572" max="13572" width="9.28515625" style="841" customWidth="1"/>
    <col min="13573" max="13573" width="8.28515625" style="841" customWidth="1"/>
    <col min="13574" max="13574" width="7.7109375" style="841" customWidth="1"/>
    <col min="13575" max="13575" width="9.7109375" style="841" customWidth="1"/>
    <col min="13576" max="13576" width="7.28515625" style="841" customWidth="1"/>
    <col min="13577" max="13577" width="7.5703125" style="841" customWidth="1"/>
    <col min="13578" max="13578" width="7.7109375" style="841" customWidth="1"/>
    <col min="13579" max="13579" width="7" style="841" customWidth="1"/>
    <col min="13580" max="13580" width="7.7109375" style="841" customWidth="1"/>
    <col min="13581" max="13581" width="7" style="841" customWidth="1"/>
    <col min="13582" max="13824" width="11.5703125" style="841"/>
    <col min="13825" max="13825" width="11.42578125" style="841" customWidth="1"/>
    <col min="13826" max="13826" width="6.140625" style="841" customWidth="1"/>
    <col min="13827" max="13827" width="22.28515625" style="841" customWidth="1"/>
    <col min="13828" max="13828" width="9.28515625" style="841" customWidth="1"/>
    <col min="13829" max="13829" width="8.28515625" style="841" customWidth="1"/>
    <col min="13830" max="13830" width="7.7109375" style="841" customWidth="1"/>
    <col min="13831" max="13831" width="9.7109375" style="841" customWidth="1"/>
    <col min="13832" max="13832" width="7.28515625" style="841" customWidth="1"/>
    <col min="13833" max="13833" width="7.5703125" style="841" customWidth="1"/>
    <col min="13834" max="13834" width="7.7109375" style="841" customWidth="1"/>
    <col min="13835" max="13835" width="7" style="841" customWidth="1"/>
    <col min="13836" max="13836" width="7.7109375" style="841" customWidth="1"/>
    <col min="13837" max="13837" width="7" style="841" customWidth="1"/>
    <col min="13838" max="14080" width="11.5703125" style="841"/>
    <col min="14081" max="14081" width="11.42578125" style="841" customWidth="1"/>
    <col min="14082" max="14082" width="6.140625" style="841" customWidth="1"/>
    <col min="14083" max="14083" width="22.28515625" style="841" customWidth="1"/>
    <col min="14084" max="14084" width="9.28515625" style="841" customWidth="1"/>
    <col min="14085" max="14085" width="8.28515625" style="841" customWidth="1"/>
    <col min="14086" max="14086" width="7.7109375" style="841" customWidth="1"/>
    <col min="14087" max="14087" width="9.7109375" style="841" customWidth="1"/>
    <col min="14088" max="14088" width="7.28515625" style="841" customWidth="1"/>
    <col min="14089" max="14089" width="7.5703125" style="841" customWidth="1"/>
    <col min="14090" max="14090" width="7.7109375" style="841" customWidth="1"/>
    <col min="14091" max="14091" width="7" style="841" customWidth="1"/>
    <col min="14092" max="14092" width="7.7109375" style="841" customWidth="1"/>
    <col min="14093" max="14093" width="7" style="841" customWidth="1"/>
    <col min="14094" max="14336" width="11.5703125" style="841"/>
    <col min="14337" max="14337" width="11.42578125" style="841" customWidth="1"/>
    <col min="14338" max="14338" width="6.140625" style="841" customWidth="1"/>
    <col min="14339" max="14339" width="22.28515625" style="841" customWidth="1"/>
    <col min="14340" max="14340" width="9.28515625" style="841" customWidth="1"/>
    <col min="14341" max="14341" width="8.28515625" style="841" customWidth="1"/>
    <col min="14342" max="14342" width="7.7109375" style="841" customWidth="1"/>
    <col min="14343" max="14343" width="9.7109375" style="841" customWidth="1"/>
    <col min="14344" max="14344" width="7.28515625" style="841" customWidth="1"/>
    <col min="14345" max="14345" width="7.5703125" style="841" customWidth="1"/>
    <col min="14346" max="14346" width="7.7109375" style="841" customWidth="1"/>
    <col min="14347" max="14347" width="7" style="841" customWidth="1"/>
    <col min="14348" max="14348" width="7.7109375" style="841" customWidth="1"/>
    <col min="14349" max="14349" width="7" style="841" customWidth="1"/>
    <col min="14350" max="14592" width="11.5703125" style="841"/>
    <col min="14593" max="14593" width="11.42578125" style="841" customWidth="1"/>
    <col min="14594" max="14594" width="6.140625" style="841" customWidth="1"/>
    <col min="14595" max="14595" width="22.28515625" style="841" customWidth="1"/>
    <col min="14596" max="14596" width="9.28515625" style="841" customWidth="1"/>
    <col min="14597" max="14597" width="8.28515625" style="841" customWidth="1"/>
    <col min="14598" max="14598" width="7.7109375" style="841" customWidth="1"/>
    <col min="14599" max="14599" width="9.7109375" style="841" customWidth="1"/>
    <col min="14600" max="14600" width="7.28515625" style="841" customWidth="1"/>
    <col min="14601" max="14601" width="7.5703125" style="841" customWidth="1"/>
    <col min="14602" max="14602" width="7.7109375" style="841" customWidth="1"/>
    <col min="14603" max="14603" width="7" style="841" customWidth="1"/>
    <col min="14604" max="14604" width="7.7109375" style="841" customWidth="1"/>
    <col min="14605" max="14605" width="7" style="841" customWidth="1"/>
    <col min="14606" max="14848" width="11.5703125" style="841"/>
    <col min="14849" max="14849" width="11.42578125" style="841" customWidth="1"/>
    <col min="14850" max="14850" width="6.140625" style="841" customWidth="1"/>
    <col min="14851" max="14851" width="22.28515625" style="841" customWidth="1"/>
    <col min="14852" max="14852" width="9.28515625" style="841" customWidth="1"/>
    <col min="14853" max="14853" width="8.28515625" style="841" customWidth="1"/>
    <col min="14854" max="14854" width="7.7109375" style="841" customWidth="1"/>
    <col min="14855" max="14855" width="9.7109375" style="841" customWidth="1"/>
    <col min="14856" max="14856" width="7.28515625" style="841" customWidth="1"/>
    <col min="14857" max="14857" width="7.5703125" style="841" customWidth="1"/>
    <col min="14858" max="14858" width="7.7109375" style="841" customWidth="1"/>
    <col min="14859" max="14859" width="7" style="841" customWidth="1"/>
    <col min="14860" max="14860" width="7.7109375" style="841" customWidth="1"/>
    <col min="14861" max="14861" width="7" style="841" customWidth="1"/>
    <col min="14862" max="15104" width="11.5703125" style="841"/>
    <col min="15105" max="15105" width="11.42578125" style="841" customWidth="1"/>
    <col min="15106" max="15106" width="6.140625" style="841" customWidth="1"/>
    <col min="15107" max="15107" width="22.28515625" style="841" customWidth="1"/>
    <col min="15108" max="15108" width="9.28515625" style="841" customWidth="1"/>
    <col min="15109" max="15109" width="8.28515625" style="841" customWidth="1"/>
    <col min="15110" max="15110" width="7.7109375" style="841" customWidth="1"/>
    <col min="15111" max="15111" width="9.7109375" style="841" customWidth="1"/>
    <col min="15112" max="15112" width="7.28515625" style="841" customWidth="1"/>
    <col min="15113" max="15113" width="7.5703125" style="841" customWidth="1"/>
    <col min="15114" max="15114" width="7.7109375" style="841" customWidth="1"/>
    <col min="15115" max="15115" width="7" style="841" customWidth="1"/>
    <col min="15116" max="15116" width="7.7109375" style="841" customWidth="1"/>
    <col min="15117" max="15117" width="7" style="841" customWidth="1"/>
    <col min="15118" max="15360" width="11.5703125" style="841"/>
    <col min="15361" max="15361" width="11.42578125" style="841" customWidth="1"/>
    <col min="15362" max="15362" width="6.140625" style="841" customWidth="1"/>
    <col min="15363" max="15363" width="22.28515625" style="841" customWidth="1"/>
    <col min="15364" max="15364" width="9.28515625" style="841" customWidth="1"/>
    <col min="15365" max="15365" width="8.28515625" style="841" customWidth="1"/>
    <col min="15366" max="15366" width="7.7109375" style="841" customWidth="1"/>
    <col min="15367" max="15367" width="9.7109375" style="841" customWidth="1"/>
    <col min="15368" max="15368" width="7.28515625" style="841" customWidth="1"/>
    <col min="15369" max="15369" width="7.5703125" style="841" customWidth="1"/>
    <col min="15370" max="15370" width="7.7109375" style="841" customWidth="1"/>
    <col min="15371" max="15371" width="7" style="841" customWidth="1"/>
    <col min="15372" max="15372" width="7.7109375" style="841" customWidth="1"/>
    <col min="15373" max="15373" width="7" style="841" customWidth="1"/>
    <col min="15374" max="15616" width="11.5703125" style="841"/>
    <col min="15617" max="15617" width="11.42578125" style="841" customWidth="1"/>
    <col min="15618" max="15618" width="6.140625" style="841" customWidth="1"/>
    <col min="15619" max="15619" width="22.28515625" style="841" customWidth="1"/>
    <col min="15620" max="15620" width="9.28515625" style="841" customWidth="1"/>
    <col min="15621" max="15621" width="8.28515625" style="841" customWidth="1"/>
    <col min="15622" max="15622" width="7.7109375" style="841" customWidth="1"/>
    <col min="15623" max="15623" width="9.7109375" style="841" customWidth="1"/>
    <col min="15624" max="15624" width="7.28515625" style="841" customWidth="1"/>
    <col min="15625" max="15625" width="7.5703125" style="841" customWidth="1"/>
    <col min="15626" max="15626" width="7.7109375" style="841" customWidth="1"/>
    <col min="15627" max="15627" width="7" style="841" customWidth="1"/>
    <col min="15628" max="15628" width="7.7109375" style="841" customWidth="1"/>
    <col min="15629" max="15629" width="7" style="841" customWidth="1"/>
    <col min="15630" max="15872" width="11.5703125" style="841"/>
    <col min="15873" max="15873" width="11.42578125" style="841" customWidth="1"/>
    <col min="15874" max="15874" width="6.140625" style="841" customWidth="1"/>
    <col min="15875" max="15875" width="22.28515625" style="841" customWidth="1"/>
    <col min="15876" max="15876" width="9.28515625" style="841" customWidth="1"/>
    <col min="15877" max="15877" width="8.28515625" style="841" customWidth="1"/>
    <col min="15878" max="15878" width="7.7109375" style="841" customWidth="1"/>
    <col min="15879" max="15879" width="9.7109375" style="841" customWidth="1"/>
    <col min="15880" max="15880" width="7.28515625" style="841" customWidth="1"/>
    <col min="15881" max="15881" width="7.5703125" style="841" customWidth="1"/>
    <col min="15882" max="15882" width="7.7109375" style="841" customWidth="1"/>
    <col min="15883" max="15883" width="7" style="841" customWidth="1"/>
    <col min="15884" max="15884" width="7.7109375" style="841" customWidth="1"/>
    <col min="15885" max="15885" width="7" style="841" customWidth="1"/>
    <col min="15886" max="16128" width="11.5703125" style="841"/>
    <col min="16129" max="16129" width="11.42578125" style="841" customWidth="1"/>
    <col min="16130" max="16130" width="6.140625" style="841" customWidth="1"/>
    <col min="16131" max="16131" width="22.28515625" style="841" customWidth="1"/>
    <col min="16132" max="16132" width="9.28515625" style="841" customWidth="1"/>
    <col min="16133" max="16133" width="8.28515625" style="841" customWidth="1"/>
    <col min="16134" max="16134" width="7.7109375" style="841" customWidth="1"/>
    <col min="16135" max="16135" width="9.7109375" style="841" customWidth="1"/>
    <col min="16136" max="16136" width="7.28515625" style="841" customWidth="1"/>
    <col min="16137" max="16137" width="7.5703125" style="841" customWidth="1"/>
    <col min="16138" max="16138" width="7.7109375" style="841" customWidth="1"/>
    <col min="16139" max="16139" width="7" style="841" customWidth="1"/>
    <col min="16140" max="16140" width="7.7109375" style="841" customWidth="1"/>
    <col min="16141" max="16141" width="7" style="841" customWidth="1"/>
    <col min="16142" max="16384" width="11.5703125" style="841"/>
  </cols>
  <sheetData>
    <row r="1" spans="1:15" ht="26.25" customHeight="1" x14ac:dyDescent="0.4">
      <c r="A1" s="909" t="s">
        <v>1667</v>
      </c>
      <c r="B1" s="910"/>
      <c r="C1" s="911"/>
      <c r="F1" s="912" t="s">
        <v>1815</v>
      </c>
      <c r="G1" s="913"/>
      <c r="H1" s="913"/>
      <c r="I1" s="913"/>
      <c r="J1" s="913"/>
      <c r="K1" s="913"/>
      <c r="L1" s="914"/>
    </row>
    <row r="2" spans="1:15" ht="21" customHeight="1" x14ac:dyDescent="0.35">
      <c r="A2" s="905" t="s">
        <v>1669</v>
      </c>
      <c r="B2" s="906"/>
      <c r="C2" s="842" t="s">
        <v>1670</v>
      </c>
      <c r="F2" s="905" t="s">
        <v>1669</v>
      </c>
      <c r="G2" s="906"/>
      <c r="H2" s="907" t="s">
        <v>1681</v>
      </c>
      <c r="I2" s="907"/>
      <c r="J2" s="907"/>
      <c r="K2" s="907"/>
      <c r="L2" s="908"/>
    </row>
    <row r="3" spans="1:15" ht="21.75" customHeight="1" x14ac:dyDescent="0.35">
      <c r="A3" s="905" t="s">
        <v>1671</v>
      </c>
      <c r="B3" s="906"/>
      <c r="C3" s="842" t="s">
        <v>1672</v>
      </c>
      <c r="F3" s="905" t="s">
        <v>1671</v>
      </c>
      <c r="G3" s="906"/>
      <c r="H3" s="907" t="s">
        <v>1682</v>
      </c>
      <c r="I3" s="907"/>
      <c r="J3" s="907"/>
      <c r="K3" s="907"/>
      <c r="L3" s="908"/>
    </row>
    <row r="4" spans="1:15" ht="21.75" thickBot="1" x14ac:dyDescent="0.4">
      <c r="A4" s="915" t="s">
        <v>1673</v>
      </c>
      <c r="B4" s="916"/>
      <c r="C4" s="843" t="s">
        <v>1674</v>
      </c>
      <c r="F4" s="915" t="s">
        <v>1673</v>
      </c>
      <c r="G4" s="916"/>
      <c r="H4" s="917" t="s">
        <v>1816</v>
      </c>
      <c r="I4" s="917"/>
      <c r="J4" s="917"/>
      <c r="K4" s="917"/>
      <c r="L4" s="918"/>
    </row>
    <row r="5" spans="1:15" ht="7.5" customHeight="1" thickBot="1" x14ac:dyDescent="0.4">
      <c r="A5" s="844"/>
      <c r="C5" s="844"/>
    </row>
    <row r="6" spans="1:15" ht="35.450000000000003" customHeight="1" thickBot="1" x14ac:dyDescent="0.25">
      <c r="A6" s="919" t="s">
        <v>1668</v>
      </c>
      <c r="B6" s="920"/>
      <c r="C6" s="921"/>
      <c r="F6" s="922" t="s">
        <v>1675</v>
      </c>
      <c r="G6" s="923"/>
      <c r="H6" s="924"/>
      <c r="I6" s="925">
        <f ca="1">+TODAY()</f>
        <v>46099</v>
      </c>
      <c r="J6" s="926"/>
      <c r="K6" s="926"/>
      <c r="L6" s="926"/>
      <c r="M6" s="927"/>
    </row>
    <row r="7" spans="1:15" ht="3" customHeight="1" thickBot="1" x14ac:dyDescent="0.25"/>
    <row r="8" spans="1:15" ht="42.75" customHeight="1" thickBot="1" x14ac:dyDescent="0.25">
      <c r="A8" s="935" t="s">
        <v>1676</v>
      </c>
      <c r="B8" s="936"/>
      <c r="C8" s="845" t="s">
        <v>1833</v>
      </c>
      <c r="D8" s="846" t="s">
        <v>1677</v>
      </c>
      <c r="E8" s="847">
        <v>3824</v>
      </c>
      <c r="F8" s="935" t="s">
        <v>1678</v>
      </c>
      <c r="G8" s="937"/>
      <c r="H8" s="936"/>
      <c r="I8" s="938" t="s">
        <v>1672</v>
      </c>
      <c r="J8" s="939"/>
      <c r="K8" s="939"/>
      <c r="L8" s="939"/>
      <c r="M8" s="940"/>
    </row>
    <row r="9" spans="1:15" ht="7.5" customHeight="1" thickBot="1" x14ac:dyDescent="0.4">
      <c r="A9" s="844"/>
      <c r="C9" s="844"/>
    </row>
    <row r="10" spans="1:15" ht="39.6" customHeight="1" thickBot="1" x14ac:dyDescent="0.25">
      <c r="A10" s="941" t="s">
        <v>1818</v>
      </c>
      <c r="B10" s="942"/>
      <c r="C10" s="942"/>
      <c r="D10" s="942"/>
      <c r="E10" s="942"/>
      <c r="F10" s="942"/>
      <c r="G10" s="942"/>
      <c r="H10" s="942"/>
      <c r="I10" s="942"/>
      <c r="J10" s="942"/>
      <c r="K10" s="942"/>
      <c r="L10" s="942"/>
      <c r="M10" s="943"/>
    </row>
    <row r="11" spans="1:15" ht="6" customHeight="1" thickBot="1" x14ac:dyDescent="0.4">
      <c r="A11" s="844"/>
      <c r="C11" s="844"/>
    </row>
    <row r="12" spans="1:15" ht="27" thickBot="1" x14ac:dyDescent="0.25">
      <c r="A12" s="944" t="s">
        <v>1679</v>
      </c>
      <c r="B12" s="945"/>
      <c r="C12" s="945"/>
      <c r="D12" s="945"/>
      <c r="E12" s="945"/>
      <c r="F12" s="945"/>
      <c r="G12" s="945"/>
      <c r="H12" s="945"/>
      <c r="I12" s="945"/>
      <c r="J12" s="945"/>
      <c r="K12" s="945"/>
      <c r="L12" s="945"/>
      <c r="M12" s="946"/>
    </row>
    <row r="13" spans="1:15" ht="38.25" thickBot="1" x14ac:dyDescent="0.25">
      <c r="A13" s="848" t="s">
        <v>1293</v>
      </c>
      <c r="B13" s="849" t="s">
        <v>1664</v>
      </c>
      <c r="C13" s="850" t="s">
        <v>1819</v>
      </c>
      <c r="D13" s="851" t="s">
        <v>1042</v>
      </c>
      <c r="E13" s="852" t="s">
        <v>1820</v>
      </c>
      <c r="F13" s="852" t="s">
        <v>1821</v>
      </c>
      <c r="G13" s="853" t="s">
        <v>1822</v>
      </c>
      <c r="H13" s="849" t="s">
        <v>1823</v>
      </c>
      <c r="I13" s="849" t="s">
        <v>1824</v>
      </c>
      <c r="J13" s="849" t="s">
        <v>1823</v>
      </c>
      <c r="K13" s="849" t="s">
        <v>1824</v>
      </c>
      <c r="L13" s="849" t="s">
        <v>1823</v>
      </c>
      <c r="M13" s="849" t="s">
        <v>1824</v>
      </c>
    </row>
    <row r="14" spans="1:15" ht="33.6" customHeight="1" x14ac:dyDescent="0.2">
      <c r="A14" s="928" t="str" cm="1">
        <f t="array" ref="A14">+IFERROR(INDEX('Pedido VACIO'!$B:$B,MATCH(1,('Pedido VACIO'!$H:$H=$B14)*('Pedido VACIO'!$A:$A="9 de Julio"),0)),"")</f>
        <v/>
      </c>
      <c r="B14" s="930">
        <v>1</v>
      </c>
      <c r="C14" s="932" t="str" cm="1">
        <f t="array" ref="C14">+IFERROR(INDEX('Pedido VACIO'!$F:$F,MATCH(1,('Pedido VACIO'!$H:$H=$B14)*('Pedido VACIO'!$A:$A="9 de Julio"),0)),"")</f>
        <v/>
      </c>
      <c r="D14" s="932" t="str" cm="1">
        <f t="array" ref="D14">+IFERROR(INDEX('Pedido VACIO'!$G:$G,MATCH(1,('Pedido VACIO'!$H:$H=$B14)*('Pedido VACIO'!$A:$A="9 de Julio"),0)),"")</f>
        <v/>
      </c>
      <c r="E14" s="854" t="str">
        <f>+IF(E13="LK","CH",IF(D14="","",IF(D14&gt;0,"LK","CH")))</f>
        <v/>
      </c>
      <c r="F14" s="854" t="str">
        <f>+IF(OR(E14="LK"),ROUNDUP(D14*0.7/25,0)*25,IF(E14="CH",D13-F13,""))</f>
        <v/>
      </c>
      <c r="G14" s="934"/>
      <c r="H14" s="856"/>
      <c r="I14" s="857"/>
      <c r="J14" s="856"/>
      <c r="K14" s="857"/>
      <c r="L14" s="856"/>
      <c r="M14" s="858"/>
      <c r="O14" s="859"/>
    </row>
    <row r="15" spans="1:15" ht="33.6" customHeight="1" x14ac:dyDescent="0.2">
      <c r="A15" s="929"/>
      <c r="B15" s="931"/>
      <c r="C15" s="933"/>
      <c r="D15" s="933"/>
      <c r="E15" s="860" t="str">
        <f t="shared" ref="E15:E43" si="0">+IF(E14="LK","CH",IF(D15="","",IF(D15&gt;0,"LK","CH")))</f>
        <v/>
      </c>
      <c r="F15" s="854" t="str">
        <f>+IF(OR(E15="LK"),ROUNDUP(D15*0.7/25,0)*25,IF(E15="CH",D14-F14,""))</f>
        <v/>
      </c>
      <c r="G15" s="931"/>
      <c r="H15" s="861"/>
      <c r="I15" s="862"/>
      <c r="J15" s="861"/>
      <c r="K15" s="862"/>
      <c r="L15" s="861"/>
      <c r="M15" s="863"/>
    </row>
    <row r="16" spans="1:15" ht="33.6" customHeight="1" x14ac:dyDescent="0.2">
      <c r="A16" s="947" t="str" cm="1">
        <f t="array" ref="A16">+IFERROR(INDEX('Pedido VACIO'!$B:$B,MATCH(1,('Pedido VACIO'!$H:$H=$B16)*('Pedido VACIO'!$A:$A="9 de Julio"),0)),"")</f>
        <v/>
      </c>
      <c r="B16" s="931">
        <f>+B14+1</f>
        <v>2</v>
      </c>
      <c r="C16" s="948" t="str" cm="1">
        <f t="array" ref="C16">+IFERROR(INDEX('Pedido VACIO'!$F:$F,MATCH(1,('Pedido VACIO'!$H:$H=$B16)*('Pedido VACIO'!$A:$A="9 de Julio"),0)),"")</f>
        <v/>
      </c>
      <c r="D16" s="949" t="str" cm="1">
        <f t="array" ref="D16">+IFERROR(INDEX('Pedido VACIO'!$G:$G,MATCH(1,('Pedido VACIO'!$H:$H=$B16)*('Pedido VACIO'!$A:$A="9 de Julio"),0)),"")</f>
        <v/>
      </c>
      <c r="E16" s="860" t="str">
        <f t="shared" si="0"/>
        <v/>
      </c>
      <c r="F16" s="854" t="str">
        <f t="shared" ref="F16:F43" si="1">+IF(OR(E16="LK"),ROUNDUP(D16*0.7/25,0)*25,IF(E16="CH",D15-F15,""))</f>
        <v/>
      </c>
      <c r="G16" s="931"/>
      <c r="H16" s="862"/>
      <c r="I16" s="862"/>
      <c r="J16" s="862"/>
      <c r="K16" s="862"/>
      <c r="L16" s="862"/>
      <c r="M16" s="863"/>
    </row>
    <row r="17" spans="1:13" ht="33.6" customHeight="1" x14ac:dyDescent="0.2">
      <c r="A17" s="947"/>
      <c r="B17" s="931"/>
      <c r="C17" s="948"/>
      <c r="D17" s="949"/>
      <c r="E17" s="860" t="str">
        <f t="shared" si="0"/>
        <v/>
      </c>
      <c r="F17" s="854" t="str">
        <f t="shared" si="1"/>
        <v/>
      </c>
      <c r="G17" s="931"/>
      <c r="H17" s="862"/>
      <c r="I17" s="862"/>
      <c r="J17" s="862"/>
      <c r="K17" s="862"/>
      <c r="L17" s="862"/>
      <c r="M17" s="863"/>
    </row>
    <row r="18" spans="1:13" ht="33.6" customHeight="1" x14ac:dyDescent="0.2">
      <c r="A18" s="947" t="str" cm="1">
        <f t="array" ref="A18">+IFERROR(INDEX('Pedido VACIO'!$B:$B,MATCH(1,('Pedido VACIO'!$H:$H=$B18)*('Pedido VACIO'!$A:$A="9 de Julio"),0)),"")</f>
        <v/>
      </c>
      <c r="B18" s="931">
        <f>+B16+1</f>
        <v>3</v>
      </c>
      <c r="C18" s="948" t="str" cm="1">
        <f t="array" ref="C18">+IFERROR(INDEX('Pedido VACIO'!$F:$F,MATCH(1,('Pedido VACIO'!$H:$H=$B18)*('Pedido VACIO'!$A:$A="9 de Julio"),0)),"")</f>
        <v/>
      </c>
      <c r="D18" s="949" t="str" cm="1">
        <f t="array" ref="D18">+IFERROR(INDEX('Pedido VACIO'!$G:$G,MATCH(1,('Pedido VACIO'!$H:$H=$B18)*('Pedido VACIO'!$A:$A="9 de Julio"),0)),"")</f>
        <v/>
      </c>
      <c r="E18" s="860" t="str">
        <f t="shared" si="0"/>
        <v/>
      </c>
      <c r="F18" s="854" t="str">
        <f t="shared" si="1"/>
        <v/>
      </c>
      <c r="G18" s="931"/>
      <c r="H18" s="862"/>
      <c r="I18" s="862"/>
      <c r="J18" s="862"/>
      <c r="K18" s="862"/>
      <c r="L18" s="862"/>
      <c r="M18" s="863"/>
    </row>
    <row r="19" spans="1:13" ht="33.6" customHeight="1" x14ac:dyDescent="0.2">
      <c r="A19" s="947"/>
      <c r="B19" s="931"/>
      <c r="C19" s="948"/>
      <c r="D19" s="949"/>
      <c r="E19" s="860" t="str">
        <f t="shared" si="0"/>
        <v/>
      </c>
      <c r="F19" s="854" t="str">
        <f t="shared" si="1"/>
        <v/>
      </c>
      <c r="G19" s="931"/>
      <c r="H19" s="862"/>
      <c r="I19" s="862"/>
      <c r="J19" s="862"/>
      <c r="K19" s="862"/>
      <c r="L19" s="862"/>
      <c r="M19" s="863"/>
    </row>
    <row r="20" spans="1:13" ht="33.6" customHeight="1" x14ac:dyDescent="0.2">
      <c r="A20" s="947" t="str" cm="1">
        <f t="array" ref="A20">+IFERROR(INDEX('Pedido VACIO'!$B:$B,MATCH(1,('Pedido VACIO'!$H:$H=$B20)*('Pedido VACIO'!$A:$A="9 de Julio"),0)),"")</f>
        <v/>
      </c>
      <c r="B20" s="931">
        <f>+B18+1</f>
        <v>4</v>
      </c>
      <c r="C20" s="948" t="str" cm="1">
        <f t="array" ref="C20">+IFERROR(INDEX('Pedido VACIO'!$F:$F,MATCH(1,('Pedido VACIO'!$H:$H=$B20)*('Pedido VACIO'!$A:$A="9 de Julio"),0)),"")</f>
        <v/>
      </c>
      <c r="D20" s="931" t="str" cm="1">
        <f t="array" ref="D20">+IFERROR(INDEX('Pedido VACIO'!$G:$G,MATCH(1,('Pedido VACIO'!$H:$H=$B20)*('Pedido VACIO'!$A:$A="9 de Julio"),0)),"")</f>
        <v/>
      </c>
      <c r="E20" s="860" t="str">
        <f t="shared" si="0"/>
        <v/>
      </c>
      <c r="F20" s="854" t="str">
        <f t="shared" si="1"/>
        <v/>
      </c>
      <c r="G20" s="931"/>
      <c r="H20" s="862"/>
      <c r="I20" s="862"/>
      <c r="J20" s="862"/>
      <c r="K20" s="862"/>
      <c r="L20" s="862"/>
      <c r="M20" s="863"/>
    </row>
    <row r="21" spans="1:13" ht="33.6" customHeight="1" x14ac:dyDescent="0.2">
      <c r="A21" s="947"/>
      <c r="B21" s="931"/>
      <c r="C21" s="948"/>
      <c r="D21" s="931"/>
      <c r="E21" s="860" t="str">
        <f t="shared" si="0"/>
        <v/>
      </c>
      <c r="F21" s="854" t="str">
        <f t="shared" si="1"/>
        <v/>
      </c>
      <c r="G21" s="931"/>
      <c r="H21" s="862"/>
      <c r="I21" s="862"/>
      <c r="J21" s="862"/>
      <c r="K21" s="862"/>
      <c r="L21" s="862"/>
      <c r="M21" s="863"/>
    </row>
    <row r="22" spans="1:13" ht="33.6" customHeight="1" x14ac:dyDescent="0.2">
      <c r="A22" s="947" t="str" cm="1">
        <f t="array" ref="A22">+IFERROR(INDEX('Pedido VACIO'!$B:$B,MATCH(1,('Pedido VACIO'!$H:$H=$B22)*('Pedido VACIO'!$A:$A="9 de Julio"),0)),"")</f>
        <v/>
      </c>
      <c r="B22" s="931">
        <f>+B20+1</f>
        <v>5</v>
      </c>
      <c r="C22" s="948" t="str" cm="1">
        <f t="array" ref="C22">+IFERROR(INDEX('Pedido VACIO'!$F:$F,MATCH(1,('Pedido VACIO'!$H:$H=$B22)*('Pedido VACIO'!$A:$A="9 de Julio"),0)),"")</f>
        <v/>
      </c>
      <c r="D22" s="931" t="str" cm="1">
        <f t="array" ref="D22">+IFERROR(INDEX('Pedido VACIO'!$G:$G,MATCH(1,('Pedido VACIO'!$H:$H=$B22)*('Pedido VACIO'!$A:$A="9 de Julio"),0)),"")</f>
        <v/>
      </c>
      <c r="E22" s="860" t="str">
        <f t="shared" si="0"/>
        <v/>
      </c>
      <c r="F22" s="854" t="str">
        <f t="shared" si="1"/>
        <v/>
      </c>
      <c r="G22" s="931"/>
      <c r="H22" s="862"/>
      <c r="I22" s="862"/>
      <c r="J22" s="862"/>
      <c r="K22" s="862"/>
      <c r="L22" s="862"/>
      <c r="M22" s="863"/>
    </row>
    <row r="23" spans="1:13" ht="33.6" customHeight="1" x14ac:dyDescent="0.2">
      <c r="A23" s="947"/>
      <c r="B23" s="931"/>
      <c r="C23" s="948"/>
      <c r="D23" s="931"/>
      <c r="E23" s="860" t="str">
        <f t="shared" si="0"/>
        <v/>
      </c>
      <c r="F23" s="854" t="str">
        <f t="shared" si="1"/>
        <v/>
      </c>
      <c r="G23" s="931"/>
      <c r="H23" s="862"/>
      <c r="I23" s="862"/>
      <c r="J23" s="862"/>
      <c r="K23" s="862"/>
      <c r="L23" s="862"/>
      <c r="M23" s="863"/>
    </row>
    <row r="24" spans="1:13" ht="33.6" customHeight="1" x14ac:dyDescent="0.2">
      <c r="A24" s="947" t="str" cm="1">
        <f t="array" ref="A24">+IFERROR(INDEX('Pedido VACIO'!$B:$B,MATCH(1,('Pedido VACIO'!$H:$H=$B24)*('Pedido VACIO'!$A:$A="9 de Julio"),0)),"")</f>
        <v/>
      </c>
      <c r="B24" s="931">
        <f>+B22+1</f>
        <v>6</v>
      </c>
      <c r="C24" s="948" t="str" cm="1">
        <f t="array" ref="C24">+IFERROR(INDEX('Pedido VACIO'!$F:$F,MATCH(1,('Pedido VACIO'!$H:$H=$B24)*('Pedido VACIO'!$A:$A="9 de Julio"),0)),"")</f>
        <v/>
      </c>
      <c r="D24" s="931" t="str" cm="1">
        <f t="array" ref="D24">+IFERROR(INDEX('Pedido VACIO'!$G:$G,MATCH(1,('Pedido VACIO'!$H:$H=$B24)*('Pedido VACIO'!$A:$A="9 de Julio"),0)),"")</f>
        <v/>
      </c>
      <c r="E24" s="860" t="str">
        <f t="shared" si="0"/>
        <v/>
      </c>
      <c r="F24" s="854" t="str">
        <f t="shared" si="1"/>
        <v/>
      </c>
      <c r="G24" s="931"/>
      <c r="H24" s="862"/>
      <c r="I24" s="862"/>
      <c r="J24" s="862"/>
      <c r="K24" s="862"/>
      <c r="L24" s="862"/>
      <c r="M24" s="863"/>
    </row>
    <row r="25" spans="1:13" ht="33.6" customHeight="1" x14ac:dyDescent="0.2">
      <c r="A25" s="947"/>
      <c r="B25" s="931"/>
      <c r="C25" s="948"/>
      <c r="D25" s="931"/>
      <c r="E25" s="860" t="str">
        <f t="shared" si="0"/>
        <v/>
      </c>
      <c r="F25" s="854" t="str">
        <f t="shared" si="1"/>
        <v/>
      </c>
      <c r="G25" s="931"/>
      <c r="H25" s="862"/>
      <c r="I25" s="862"/>
      <c r="J25" s="862"/>
      <c r="K25" s="862"/>
      <c r="L25" s="862"/>
      <c r="M25" s="863"/>
    </row>
    <row r="26" spans="1:13" ht="33.6" customHeight="1" x14ac:dyDescent="0.2">
      <c r="A26" s="947" t="str" cm="1">
        <f t="array" ref="A26">+IFERROR(INDEX('Pedido VACIO'!$B:$B,MATCH(1,('Pedido VACIO'!$H:$H=$B26)*('Pedido VACIO'!$A:$A="9 de Julio"),0)),"")</f>
        <v/>
      </c>
      <c r="B26" s="931">
        <f>+B24+1</f>
        <v>7</v>
      </c>
      <c r="C26" s="948" t="str" cm="1">
        <f t="array" ref="C26">+IFERROR(INDEX('Pedido VACIO'!$F:$F,MATCH(1,('Pedido VACIO'!$H:$H=$B26)*('Pedido VACIO'!$A:$A="9 de Julio"),0)),"")</f>
        <v/>
      </c>
      <c r="D26" s="931" t="str" cm="1">
        <f t="array" ref="D26">+IFERROR(INDEX('Pedido VACIO'!$G:$G,MATCH(1,('Pedido VACIO'!$H:$H=$B26)*('Pedido VACIO'!$A:$A="9 de Julio"),0)),"")</f>
        <v/>
      </c>
      <c r="E26" s="860" t="str">
        <f t="shared" si="0"/>
        <v/>
      </c>
      <c r="F26" s="854" t="str">
        <f t="shared" si="1"/>
        <v/>
      </c>
      <c r="G26" s="931"/>
      <c r="H26" s="862"/>
      <c r="I26" s="862"/>
      <c r="J26" s="862"/>
      <c r="K26" s="862"/>
      <c r="L26" s="862"/>
      <c r="M26" s="863"/>
    </row>
    <row r="27" spans="1:13" ht="33.6" customHeight="1" x14ac:dyDescent="0.2">
      <c r="A27" s="947"/>
      <c r="B27" s="931"/>
      <c r="C27" s="948"/>
      <c r="D27" s="931"/>
      <c r="E27" s="860" t="str">
        <f t="shared" si="0"/>
        <v/>
      </c>
      <c r="F27" s="854" t="str">
        <f t="shared" si="1"/>
        <v/>
      </c>
      <c r="G27" s="931"/>
      <c r="H27" s="862"/>
      <c r="I27" s="862"/>
      <c r="J27" s="862"/>
      <c r="K27" s="862"/>
      <c r="L27" s="862"/>
      <c r="M27" s="863"/>
    </row>
    <row r="28" spans="1:13" ht="33.6" customHeight="1" x14ac:dyDescent="0.2">
      <c r="A28" s="947" t="str" cm="1">
        <f t="array" ref="A28">+IFERROR(INDEX('Pedido VACIO'!$B:$B,MATCH(1,('Pedido VACIO'!$H:$H=$B28)*('Pedido VACIO'!$A:$A="9 de Julio"),0)),"")</f>
        <v/>
      </c>
      <c r="B28" s="931">
        <f>+B26+1</f>
        <v>8</v>
      </c>
      <c r="C28" s="948" t="str" cm="1">
        <f t="array" ref="C28">+IFERROR(INDEX('Pedido VACIO'!$F:$F,MATCH(1,('Pedido VACIO'!$H:$H=$B28)*('Pedido VACIO'!$A:$A="9 de Julio"),0)),"")</f>
        <v/>
      </c>
      <c r="D28" s="931" t="str" cm="1">
        <f t="array" ref="D28">+IFERROR(INDEX('Pedido VACIO'!$G:$G,MATCH(1,('Pedido VACIO'!$H:$H=$B28)*('Pedido VACIO'!$A:$A="9 de Julio"),0)),"")</f>
        <v/>
      </c>
      <c r="E28" s="860" t="str">
        <f t="shared" si="0"/>
        <v/>
      </c>
      <c r="F28" s="854" t="str">
        <f t="shared" si="1"/>
        <v/>
      </c>
      <c r="G28" s="931"/>
      <c r="H28" s="862"/>
      <c r="I28" s="862"/>
      <c r="J28" s="862"/>
      <c r="K28" s="862"/>
      <c r="L28" s="862"/>
      <c r="M28" s="863"/>
    </row>
    <row r="29" spans="1:13" ht="33.6" customHeight="1" x14ac:dyDescent="0.2">
      <c r="A29" s="947"/>
      <c r="B29" s="931"/>
      <c r="C29" s="948"/>
      <c r="D29" s="931"/>
      <c r="E29" s="860" t="str">
        <f t="shared" si="0"/>
        <v/>
      </c>
      <c r="F29" s="854" t="str">
        <f t="shared" si="1"/>
        <v/>
      </c>
      <c r="G29" s="931"/>
      <c r="H29" s="862"/>
      <c r="I29" s="862"/>
      <c r="J29" s="862"/>
      <c r="K29" s="862"/>
      <c r="L29" s="862"/>
      <c r="M29" s="863"/>
    </row>
    <row r="30" spans="1:13" ht="33.6" customHeight="1" x14ac:dyDescent="0.2">
      <c r="A30" s="947" t="str" cm="1">
        <f t="array" ref="A30">+IFERROR(INDEX('Pedido VACIO'!$B:$B,MATCH(1,('Pedido VACIO'!$H:$H=$B30)*('Pedido VACIO'!$A:$A="9 de Julio"),0)),"")</f>
        <v/>
      </c>
      <c r="B30" s="931">
        <f>+B28+1</f>
        <v>9</v>
      </c>
      <c r="C30" s="948" t="str" cm="1">
        <f t="array" ref="C30">+IFERROR(INDEX('Pedido VACIO'!$F:$F,MATCH(1,('Pedido VACIO'!$H:$H=$B30)*('Pedido VACIO'!$A:$A="9 de Julio"),0)),"")</f>
        <v/>
      </c>
      <c r="D30" s="931" t="str" cm="1">
        <f t="array" ref="D30">+IFERROR(INDEX('Pedido VACIO'!$G:$G,MATCH(1,('Pedido VACIO'!$H:$H=$B30)*('Pedido VACIO'!$A:$A="9 de Julio"),0)),"")</f>
        <v/>
      </c>
      <c r="E30" s="860" t="str">
        <f t="shared" si="0"/>
        <v/>
      </c>
      <c r="F30" s="854" t="str">
        <f t="shared" si="1"/>
        <v/>
      </c>
      <c r="G30" s="931"/>
      <c r="H30" s="862"/>
      <c r="I30" s="862"/>
      <c r="J30" s="862"/>
      <c r="K30" s="862"/>
      <c r="L30" s="862"/>
      <c r="M30" s="863"/>
    </row>
    <row r="31" spans="1:13" ht="33.6" customHeight="1" x14ac:dyDescent="0.2">
      <c r="A31" s="947"/>
      <c r="B31" s="931"/>
      <c r="C31" s="948"/>
      <c r="D31" s="931"/>
      <c r="E31" s="860" t="str">
        <f t="shared" si="0"/>
        <v/>
      </c>
      <c r="F31" s="854" t="str">
        <f t="shared" si="1"/>
        <v/>
      </c>
      <c r="G31" s="931"/>
      <c r="H31" s="862"/>
      <c r="I31" s="862"/>
      <c r="J31" s="862"/>
      <c r="K31" s="862"/>
      <c r="L31" s="862"/>
      <c r="M31" s="863"/>
    </row>
    <row r="32" spans="1:13" ht="33.6" customHeight="1" x14ac:dyDescent="0.2">
      <c r="A32" s="947" t="str" cm="1">
        <f t="array" ref="A32">+IFERROR(INDEX('Pedido VACIO'!$B:$B,MATCH(1,('Pedido VACIO'!$H:$H=$B32)*('Pedido VACIO'!$A:$A="9 de Julio"),0)),"")</f>
        <v/>
      </c>
      <c r="B32" s="931">
        <f>+B30+1</f>
        <v>10</v>
      </c>
      <c r="C32" s="948" t="str" cm="1">
        <f t="array" ref="C32">+IFERROR(INDEX('Pedido VACIO'!$F:$F,MATCH(1,('Pedido VACIO'!$H:$H=$B32)*('Pedido VACIO'!$A:$A="9 de Julio"),0)),"")</f>
        <v/>
      </c>
      <c r="D32" s="931" t="str" cm="1">
        <f t="array" ref="D32">+IFERROR(INDEX('Pedido VACIO'!$G:$G,MATCH(1,('Pedido VACIO'!$H:$H=$B32)*('Pedido VACIO'!$A:$A="9 de Julio"),0)),"")</f>
        <v/>
      </c>
      <c r="E32" s="860" t="str">
        <f t="shared" si="0"/>
        <v/>
      </c>
      <c r="F32" s="854" t="str">
        <f t="shared" si="1"/>
        <v/>
      </c>
      <c r="G32" s="931"/>
      <c r="H32" s="862"/>
      <c r="I32" s="862"/>
      <c r="J32" s="862"/>
      <c r="K32" s="862"/>
      <c r="L32" s="862"/>
      <c r="M32" s="863"/>
    </row>
    <row r="33" spans="1:13" ht="33.6" customHeight="1" x14ac:dyDescent="0.2">
      <c r="A33" s="947"/>
      <c r="B33" s="931"/>
      <c r="C33" s="948"/>
      <c r="D33" s="931"/>
      <c r="E33" s="860" t="str">
        <f t="shared" si="0"/>
        <v/>
      </c>
      <c r="F33" s="854" t="str">
        <f t="shared" si="1"/>
        <v/>
      </c>
      <c r="G33" s="931"/>
      <c r="H33" s="862"/>
      <c r="I33" s="862"/>
      <c r="J33" s="862"/>
      <c r="K33" s="862"/>
      <c r="L33" s="862"/>
      <c r="M33" s="863"/>
    </row>
    <row r="34" spans="1:13" ht="33.6" customHeight="1" x14ac:dyDescent="0.2">
      <c r="A34" s="947" t="str" cm="1">
        <f t="array" ref="A34">+IFERROR(INDEX('Pedido VACIO'!$B:$B,MATCH(1,('Pedido VACIO'!$H:$H=$B34)*('Pedido VACIO'!$A:$A="9 de Julio"),0)),"")</f>
        <v/>
      </c>
      <c r="B34" s="931">
        <f>+B32+1</f>
        <v>11</v>
      </c>
      <c r="C34" s="948" t="str" cm="1">
        <f t="array" ref="C34">+IFERROR(INDEX('Pedido VACIO'!$F:$F,MATCH(1,('Pedido VACIO'!$H:$H=$B34)*('Pedido VACIO'!$A:$A="9 de Julio"),0)),"")</f>
        <v/>
      </c>
      <c r="D34" s="931" t="str" cm="1">
        <f t="array" ref="D34">+IFERROR(INDEX('Pedido VACIO'!$G:$G,MATCH(1,('Pedido VACIO'!$H:$H=$B34)*('Pedido VACIO'!$A:$A="9 de Julio"),0)),"")</f>
        <v/>
      </c>
      <c r="E34" s="860" t="str">
        <f t="shared" si="0"/>
        <v/>
      </c>
      <c r="F34" s="854" t="str">
        <f t="shared" si="1"/>
        <v/>
      </c>
      <c r="G34" s="931"/>
      <c r="H34" s="862"/>
      <c r="I34" s="862"/>
      <c r="J34" s="862"/>
      <c r="K34" s="862"/>
      <c r="L34" s="862"/>
      <c r="M34" s="863"/>
    </row>
    <row r="35" spans="1:13" ht="33.6" customHeight="1" thickBot="1" x14ac:dyDescent="0.25">
      <c r="A35" s="950"/>
      <c r="B35" s="951"/>
      <c r="C35" s="952"/>
      <c r="D35" s="951"/>
      <c r="E35" s="860" t="str">
        <f t="shared" si="0"/>
        <v/>
      </c>
      <c r="F35" s="854" t="str">
        <f t="shared" si="1"/>
        <v/>
      </c>
      <c r="G35" s="951"/>
      <c r="H35" s="864"/>
      <c r="I35" s="864"/>
      <c r="J35" s="864"/>
      <c r="K35" s="864"/>
      <c r="L35" s="864"/>
      <c r="M35" s="865"/>
    </row>
    <row r="36" spans="1:13" ht="33.6" customHeight="1" x14ac:dyDescent="0.2">
      <c r="A36" s="953" t="str" cm="1">
        <f t="array" ref="A36">+IFERROR(INDEX('Pedido VACIO'!$B:$B,MATCH(1,('Pedido VACIO'!$H:$H=$B36)*('Pedido VACIO'!$A:$A="9 de Julio"),0)),"")</f>
        <v/>
      </c>
      <c r="B36" s="934">
        <f>+B34+1</f>
        <v>12</v>
      </c>
      <c r="C36" s="933" t="str" cm="1">
        <f t="array" ref="C36">+IFERROR(INDEX('Pedido VACIO'!$F:$F,MATCH(1,('Pedido VACIO'!$H:$H=$B36)*('Pedido VACIO'!$A:$A="9 de Julio"),0)),"")</f>
        <v/>
      </c>
      <c r="D36" s="934" t="str" cm="1">
        <f t="array" ref="D36">+IFERROR(INDEX('Pedido VACIO'!$G:$G,MATCH(1,('Pedido VACIO'!$H:$H=$B36)*('Pedido VACIO'!$A:$A="9 de Julio"),0)),"")</f>
        <v/>
      </c>
      <c r="E36" s="860" t="str">
        <f t="shared" si="0"/>
        <v/>
      </c>
      <c r="F36" s="854" t="str">
        <f t="shared" si="1"/>
        <v/>
      </c>
      <c r="G36" s="934"/>
      <c r="H36" s="866"/>
      <c r="I36" s="866"/>
      <c r="J36" s="866"/>
      <c r="K36" s="866"/>
      <c r="L36" s="866"/>
      <c r="M36" s="866"/>
    </row>
    <row r="37" spans="1:13" ht="33.6" customHeight="1" x14ac:dyDescent="0.2">
      <c r="A37" s="949"/>
      <c r="B37" s="931"/>
      <c r="C37" s="948"/>
      <c r="D37" s="931"/>
      <c r="E37" s="860" t="str">
        <f t="shared" si="0"/>
        <v/>
      </c>
      <c r="F37" s="854" t="str">
        <f t="shared" si="1"/>
        <v/>
      </c>
      <c r="G37" s="931"/>
      <c r="H37" s="862"/>
      <c r="I37" s="862"/>
      <c r="J37" s="862"/>
      <c r="K37" s="862"/>
      <c r="L37" s="862"/>
      <c r="M37" s="862"/>
    </row>
    <row r="38" spans="1:13" ht="33.6" customHeight="1" x14ac:dyDescent="0.2">
      <c r="A38" s="949" t="str" cm="1">
        <f t="array" ref="A38">+IFERROR(INDEX('Pedido VACIO'!$B:$B,MATCH(1,('Pedido VACIO'!$H:$H=$B38)*('Pedido VACIO'!$A:$A="9 de Julio"),0)),"")</f>
        <v/>
      </c>
      <c r="B38" s="931">
        <f>+B36+1</f>
        <v>13</v>
      </c>
      <c r="C38" s="948" t="str" cm="1">
        <f t="array" ref="C38">+IFERROR(INDEX('Pedido VACIO'!$F:$F,MATCH(1,('Pedido VACIO'!$H:$H=$B38)*('Pedido VACIO'!$A:$A="9 de Julio"),0)),"")</f>
        <v/>
      </c>
      <c r="D38" s="931" t="str" cm="1">
        <f t="array" ref="D38">+IFERROR(INDEX('Pedido VACIO'!$G:$G,MATCH(1,('Pedido VACIO'!$H:$H=$B38)*('Pedido VACIO'!$A:$A="9 de Julio"),0)),"")</f>
        <v/>
      </c>
      <c r="E38" s="860" t="str">
        <f t="shared" si="0"/>
        <v/>
      </c>
      <c r="F38" s="854" t="str">
        <f t="shared" si="1"/>
        <v/>
      </c>
      <c r="G38" s="931"/>
      <c r="H38" s="862"/>
      <c r="I38" s="862"/>
      <c r="J38" s="862"/>
      <c r="K38" s="862"/>
      <c r="L38" s="862"/>
      <c r="M38" s="862"/>
    </row>
    <row r="39" spans="1:13" ht="33.6" customHeight="1" x14ac:dyDescent="0.2">
      <c r="A39" s="949"/>
      <c r="B39" s="931"/>
      <c r="C39" s="948"/>
      <c r="D39" s="931"/>
      <c r="E39" s="860" t="str">
        <f t="shared" si="0"/>
        <v/>
      </c>
      <c r="F39" s="854" t="str">
        <f t="shared" si="1"/>
        <v/>
      </c>
      <c r="G39" s="931"/>
      <c r="H39" s="862"/>
      <c r="I39" s="862"/>
      <c r="J39" s="862"/>
      <c r="K39" s="862"/>
      <c r="L39" s="862"/>
      <c r="M39" s="862"/>
    </row>
    <row r="40" spans="1:13" ht="33.6" customHeight="1" x14ac:dyDescent="0.2">
      <c r="A40" s="949" t="str" cm="1">
        <f t="array" ref="A40">+IFERROR(INDEX('Pedido VACIO'!$B:$B,MATCH(1,('Pedido VACIO'!$H:$H=$B40)*('Pedido VACIO'!$A:$A="9 de Julio"),0)),"")</f>
        <v/>
      </c>
      <c r="B40" s="931">
        <f>+B38+1</f>
        <v>14</v>
      </c>
      <c r="C40" s="948" t="str" cm="1">
        <f t="array" ref="C40">+IFERROR(INDEX('Pedido VACIO'!$F:$F,MATCH(1,('Pedido VACIO'!$H:$H=$B40)*('Pedido VACIO'!$A:$A="9 de Julio"),0)),"")</f>
        <v/>
      </c>
      <c r="D40" s="931" t="str" cm="1">
        <f t="array" ref="D40">+IFERROR(INDEX('Pedido VACIO'!$G:$G,MATCH(1,('Pedido VACIO'!$H:$H=$B40)*('Pedido VACIO'!$A:$A="9 de Julio"),0)),"")</f>
        <v/>
      </c>
      <c r="E40" s="860" t="str">
        <f t="shared" si="0"/>
        <v/>
      </c>
      <c r="F40" s="854" t="str">
        <f t="shared" si="1"/>
        <v/>
      </c>
      <c r="G40" s="931"/>
      <c r="H40" s="862"/>
      <c r="I40" s="862"/>
      <c r="J40" s="862"/>
      <c r="K40" s="862"/>
      <c r="L40" s="862"/>
      <c r="M40" s="862"/>
    </row>
    <row r="41" spans="1:13" ht="33.6" customHeight="1" x14ac:dyDescent="0.2">
      <c r="A41" s="949"/>
      <c r="B41" s="931"/>
      <c r="C41" s="948"/>
      <c r="D41" s="931"/>
      <c r="E41" s="860" t="str">
        <f t="shared" si="0"/>
        <v/>
      </c>
      <c r="F41" s="854" t="str">
        <f t="shared" si="1"/>
        <v/>
      </c>
      <c r="G41" s="931"/>
      <c r="H41" s="862"/>
      <c r="I41" s="862"/>
      <c r="J41" s="862"/>
      <c r="K41" s="862"/>
      <c r="L41" s="862"/>
      <c r="M41" s="862"/>
    </row>
    <row r="42" spans="1:13" ht="33.6" customHeight="1" x14ac:dyDescent="0.2">
      <c r="A42" s="949" t="str" cm="1">
        <f t="array" ref="A42">+IFERROR(INDEX('Pedido VACIO'!$B:$B,MATCH(1,('Pedido VACIO'!$H:$H=$B42)*('Pedido VACIO'!$A:$A="9 de Julio"),0)),"")</f>
        <v/>
      </c>
      <c r="B42" s="931">
        <f>+B40+1</f>
        <v>15</v>
      </c>
      <c r="C42" s="948" t="str" cm="1">
        <f t="array" ref="C42">+IFERROR(INDEX('Pedido VACIO'!$F:$F,MATCH(1,('Pedido VACIO'!$H:$H=$B42)*('Pedido VACIO'!$A:$A="9 de Julio"),0)),"")</f>
        <v/>
      </c>
      <c r="D42" s="931" t="str" cm="1">
        <f t="array" ref="D42">+IFERROR(INDEX('Pedido VACIO'!$G:$G,MATCH(1,('Pedido VACIO'!$H:$H=$B42)*('Pedido VACIO'!$A:$A="9 de Julio"),0)),"")</f>
        <v/>
      </c>
      <c r="E42" s="860" t="str">
        <f t="shared" si="0"/>
        <v/>
      </c>
      <c r="F42" s="854" t="str">
        <f t="shared" si="1"/>
        <v/>
      </c>
      <c r="G42" s="931"/>
      <c r="H42" s="862"/>
      <c r="I42" s="862"/>
      <c r="J42" s="862"/>
      <c r="K42" s="862"/>
      <c r="L42" s="862"/>
      <c r="M42" s="862"/>
    </row>
    <row r="43" spans="1:13" ht="33.6" customHeight="1" x14ac:dyDescent="0.2">
      <c r="A43" s="949"/>
      <c r="B43" s="931"/>
      <c r="C43" s="948"/>
      <c r="D43" s="931"/>
      <c r="E43" s="860" t="str">
        <f t="shared" si="0"/>
        <v/>
      </c>
      <c r="F43" s="854" t="str">
        <f t="shared" si="1"/>
        <v/>
      </c>
      <c r="G43" s="931"/>
      <c r="H43" s="862"/>
      <c r="I43" s="862"/>
      <c r="J43" s="862"/>
      <c r="K43" s="862"/>
      <c r="L43" s="862"/>
      <c r="M43" s="862"/>
    </row>
  </sheetData>
  <mergeCells count="94"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A20:A21"/>
    <mergeCell ref="B20:B21"/>
    <mergeCell ref="C20:C21"/>
    <mergeCell ref="D20:D21"/>
    <mergeCell ref="G20:G21"/>
    <mergeCell ref="A22:A23"/>
    <mergeCell ref="B22:B23"/>
    <mergeCell ref="C22:C23"/>
    <mergeCell ref="D22:D23"/>
    <mergeCell ref="G22:G23"/>
    <mergeCell ref="A16:A17"/>
    <mergeCell ref="B16:B17"/>
    <mergeCell ref="C16:C17"/>
    <mergeCell ref="D16:D17"/>
    <mergeCell ref="G16:G17"/>
    <mergeCell ref="A18:A19"/>
    <mergeCell ref="B18:B19"/>
    <mergeCell ref="C18:C19"/>
    <mergeCell ref="D18:D19"/>
    <mergeCell ref="G18:G19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3:B3"/>
    <mergeCell ref="F3:G3"/>
    <mergeCell ref="H3:L3"/>
    <mergeCell ref="A1:C1"/>
    <mergeCell ref="F1:L1"/>
    <mergeCell ref="A2:B2"/>
    <mergeCell ref="F2:G2"/>
    <mergeCell ref="H2:L2"/>
  </mergeCells>
  <printOptions horizontalCentered="1"/>
  <pageMargins left="0" right="0" top="0" bottom="0" header="0" footer="0"/>
  <pageSetup paperSize="9" scale="6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sqref="A1:XFD1048576"/>
    </sheetView>
  </sheetViews>
  <sheetFormatPr baseColWidth="10" defaultColWidth="11.5703125" defaultRowHeight="12.75" x14ac:dyDescent="0.2"/>
  <cols>
    <col min="1" max="1" width="11.42578125" style="841" customWidth="1"/>
    <col min="2" max="2" width="6.140625" style="841" customWidth="1"/>
    <col min="3" max="3" width="22.28515625" style="841" customWidth="1"/>
    <col min="4" max="4" width="9.28515625" style="841" customWidth="1"/>
    <col min="5" max="5" width="8.28515625" style="841" customWidth="1"/>
    <col min="6" max="6" width="7.7109375" style="841" customWidth="1"/>
    <col min="7" max="7" width="9.7109375" style="841" customWidth="1"/>
    <col min="8" max="9" width="7.5703125" style="841" customWidth="1"/>
    <col min="10" max="10" width="7.7109375" style="841" customWidth="1"/>
    <col min="11" max="11" width="7" style="841" customWidth="1"/>
    <col min="12" max="12" width="7.7109375" style="841" customWidth="1"/>
    <col min="13" max="13" width="7" style="841" customWidth="1"/>
    <col min="14" max="256" width="11.5703125" style="841"/>
    <col min="257" max="257" width="11.42578125" style="841" customWidth="1"/>
    <col min="258" max="258" width="6.140625" style="841" customWidth="1"/>
    <col min="259" max="259" width="22.28515625" style="841" customWidth="1"/>
    <col min="260" max="260" width="9.28515625" style="841" customWidth="1"/>
    <col min="261" max="261" width="8.28515625" style="841" customWidth="1"/>
    <col min="262" max="262" width="7.7109375" style="841" customWidth="1"/>
    <col min="263" max="263" width="9.7109375" style="841" customWidth="1"/>
    <col min="264" max="264" width="7.28515625" style="841" customWidth="1"/>
    <col min="265" max="265" width="7.5703125" style="841" customWidth="1"/>
    <col min="266" max="266" width="7.7109375" style="841" customWidth="1"/>
    <col min="267" max="267" width="7" style="841" customWidth="1"/>
    <col min="268" max="268" width="7.7109375" style="841" customWidth="1"/>
    <col min="269" max="269" width="7" style="841" customWidth="1"/>
    <col min="270" max="512" width="11.5703125" style="841"/>
    <col min="513" max="513" width="11.42578125" style="841" customWidth="1"/>
    <col min="514" max="514" width="6.140625" style="841" customWidth="1"/>
    <col min="515" max="515" width="22.28515625" style="841" customWidth="1"/>
    <col min="516" max="516" width="9.28515625" style="841" customWidth="1"/>
    <col min="517" max="517" width="8.28515625" style="841" customWidth="1"/>
    <col min="518" max="518" width="7.7109375" style="841" customWidth="1"/>
    <col min="519" max="519" width="9.7109375" style="841" customWidth="1"/>
    <col min="520" max="520" width="7.28515625" style="841" customWidth="1"/>
    <col min="521" max="521" width="7.5703125" style="841" customWidth="1"/>
    <col min="522" max="522" width="7.7109375" style="841" customWidth="1"/>
    <col min="523" max="523" width="7" style="841" customWidth="1"/>
    <col min="524" max="524" width="7.7109375" style="841" customWidth="1"/>
    <col min="525" max="525" width="7" style="841" customWidth="1"/>
    <col min="526" max="768" width="11.5703125" style="841"/>
    <col min="769" max="769" width="11.42578125" style="841" customWidth="1"/>
    <col min="770" max="770" width="6.140625" style="841" customWidth="1"/>
    <col min="771" max="771" width="22.28515625" style="841" customWidth="1"/>
    <col min="772" max="772" width="9.28515625" style="841" customWidth="1"/>
    <col min="773" max="773" width="8.28515625" style="841" customWidth="1"/>
    <col min="774" max="774" width="7.7109375" style="841" customWidth="1"/>
    <col min="775" max="775" width="9.7109375" style="841" customWidth="1"/>
    <col min="776" max="776" width="7.28515625" style="841" customWidth="1"/>
    <col min="777" max="777" width="7.5703125" style="841" customWidth="1"/>
    <col min="778" max="778" width="7.7109375" style="841" customWidth="1"/>
    <col min="779" max="779" width="7" style="841" customWidth="1"/>
    <col min="780" max="780" width="7.7109375" style="841" customWidth="1"/>
    <col min="781" max="781" width="7" style="841" customWidth="1"/>
    <col min="782" max="1024" width="11.5703125" style="841"/>
    <col min="1025" max="1025" width="11.42578125" style="841" customWidth="1"/>
    <col min="1026" max="1026" width="6.140625" style="841" customWidth="1"/>
    <col min="1027" max="1027" width="22.28515625" style="841" customWidth="1"/>
    <col min="1028" max="1028" width="9.28515625" style="841" customWidth="1"/>
    <col min="1029" max="1029" width="8.28515625" style="841" customWidth="1"/>
    <col min="1030" max="1030" width="7.7109375" style="841" customWidth="1"/>
    <col min="1031" max="1031" width="9.7109375" style="841" customWidth="1"/>
    <col min="1032" max="1032" width="7.28515625" style="841" customWidth="1"/>
    <col min="1033" max="1033" width="7.5703125" style="841" customWidth="1"/>
    <col min="1034" max="1034" width="7.7109375" style="841" customWidth="1"/>
    <col min="1035" max="1035" width="7" style="841" customWidth="1"/>
    <col min="1036" max="1036" width="7.7109375" style="841" customWidth="1"/>
    <col min="1037" max="1037" width="7" style="841" customWidth="1"/>
    <col min="1038" max="1280" width="11.5703125" style="841"/>
    <col min="1281" max="1281" width="11.42578125" style="841" customWidth="1"/>
    <col min="1282" max="1282" width="6.140625" style="841" customWidth="1"/>
    <col min="1283" max="1283" width="22.28515625" style="841" customWidth="1"/>
    <col min="1284" max="1284" width="9.28515625" style="841" customWidth="1"/>
    <col min="1285" max="1285" width="8.28515625" style="841" customWidth="1"/>
    <col min="1286" max="1286" width="7.7109375" style="841" customWidth="1"/>
    <col min="1287" max="1287" width="9.7109375" style="841" customWidth="1"/>
    <col min="1288" max="1288" width="7.28515625" style="841" customWidth="1"/>
    <col min="1289" max="1289" width="7.5703125" style="841" customWidth="1"/>
    <col min="1290" max="1290" width="7.7109375" style="841" customWidth="1"/>
    <col min="1291" max="1291" width="7" style="841" customWidth="1"/>
    <col min="1292" max="1292" width="7.7109375" style="841" customWidth="1"/>
    <col min="1293" max="1293" width="7" style="841" customWidth="1"/>
    <col min="1294" max="1536" width="11.5703125" style="841"/>
    <col min="1537" max="1537" width="11.42578125" style="841" customWidth="1"/>
    <col min="1538" max="1538" width="6.140625" style="841" customWidth="1"/>
    <col min="1539" max="1539" width="22.28515625" style="841" customWidth="1"/>
    <col min="1540" max="1540" width="9.28515625" style="841" customWidth="1"/>
    <col min="1541" max="1541" width="8.28515625" style="841" customWidth="1"/>
    <col min="1542" max="1542" width="7.7109375" style="841" customWidth="1"/>
    <col min="1543" max="1543" width="9.7109375" style="841" customWidth="1"/>
    <col min="1544" max="1544" width="7.28515625" style="841" customWidth="1"/>
    <col min="1545" max="1545" width="7.5703125" style="841" customWidth="1"/>
    <col min="1546" max="1546" width="7.7109375" style="841" customWidth="1"/>
    <col min="1547" max="1547" width="7" style="841" customWidth="1"/>
    <col min="1548" max="1548" width="7.7109375" style="841" customWidth="1"/>
    <col min="1549" max="1549" width="7" style="841" customWidth="1"/>
    <col min="1550" max="1792" width="11.5703125" style="841"/>
    <col min="1793" max="1793" width="11.42578125" style="841" customWidth="1"/>
    <col min="1794" max="1794" width="6.140625" style="841" customWidth="1"/>
    <col min="1795" max="1795" width="22.28515625" style="841" customWidth="1"/>
    <col min="1796" max="1796" width="9.28515625" style="841" customWidth="1"/>
    <col min="1797" max="1797" width="8.28515625" style="841" customWidth="1"/>
    <col min="1798" max="1798" width="7.7109375" style="841" customWidth="1"/>
    <col min="1799" max="1799" width="9.7109375" style="841" customWidth="1"/>
    <col min="1800" max="1800" width="7.28515625" style="841" customWidth="1"/>
    <col min="1801" max="1801" width="7.5703125" style="841" customWidth="1"/>
    <col min="1802" max="1802" width="7.7109375" style="841" customWidth="1"/>
    <col min="1803" max="1803" width="7" style="841" customWidth="1"/>
    <col min="1804" max="1804" width="7.7109375" style="841" customWidth="1"/>
    <col min="1805" max="1805" width="7" style="841" customWidth="1"/>
    <col min="1806" max="2048" width="11.5703125" style="841"/>
    <col min="2049" max="2049" width="11.42578125" style="841" customWidth="1"/>
    <col min="2050" max="2050" width="6.140625" style="841" customWidth="1"/>
    <col min="2051" max="2051" width="22.28515625" style="841" customWidth="1"/>
    <col min="2052" max="2052" width="9.28515625" style="841" customWidth="1"/>
    <col min="2053" max="2053" width="8.28515625" style="841" customWidth="1"/>
    <col min="2054" max="2054" width="7.7109375" style="841" customWidth="1"/>
    <col min="2055" max="2055" width="9.7109375" style="841" customWidth="1"/>
    <col min="2056" max="2056" width="7.28515625" style="841" customWidth="1"/>
    <col min="2057" max="2057" width="7.5703125" style="841" customWidth="1"/>
    <col min="2058" max="2058" width="7.7109375" style="841" customWidth="1"/>
    <col min="2059" max="2059" width="7" style="841" customWidth="1"/>
    <col min="2060" max="2060" width="7.7109375" style="841" customWidth="1"/>
    <col min="2061" max="2061" width="7" style="841" customWidth="1"/>
    <col min="2062" max="2304" width="11.5703125" style="841"/>
    <col min="2305" max="2305" width="11.42578125" style="841" customWidth="1"/>
    <col min="2306" max="2306" width="6.140625" style="841" customWidth="1"/>
    <col min="2307" max="2307" width="22.28515625" style="841" customWidth="1"/>
    <col min="2308" max="2308" width="9.28515625" style="841" customWidth="1"/>
    <col min="2309" max="2309" width="8.28515625" style="841" customWidth="1"/>
    <col min="2310" max="2310" width="7.7109375" style="841" customWidth="1"/>
    <col min="2311" max="2311" width="9.7109375" style="841" customWidth="1"/>
    <col min="2312" max="2312" width="7.28515625" style="841" customWidth="1"/>
    <col min="2313" max="2313" width="7.5703125" style="841" customWidth="1"/>
    <col min="2314" max="2314" width="7.7109375" style="841" customWidth="1"/>
    <col min="2315" max="2315" width="7" style="841" customWidth="1"/>
    <col min="2316" max="2316" width="7.7109375" style="841" customWidth="1"/>
    <col min="2317" max="2317" width="7" style="841" customWidth="1"/>
    <col min="2318" max="2560" width="11.5703125" style="841"/>
    <col min="2561" max="2561" width="11.42578125" style="841" customWidth="1"/>
    <col min="2562" max="2562" width="6.140625" style="841" customWidth="1"/>
    <col min="2563" max="2563" width="22.28515625" style="841" customWidth="1"/>
    <col min="2564" max="2564" width="9.28515625" style="841" customWidth="1"/>
    <col min="2565" max="2565" width="8.28515625" style="841" customWidth="1"/>
    <col min="2566" max="2566" width="7.7109375" style="841" customWidth="1"/>
    <col min="2567" max="2567" width="9.7109375" style="841" customWidth="1"/>
    <col min="2568" max="2568" width="7.28515625" style="841" customWidth="1"/>
    <col min="2569" max="2569" width="7.5703125" style="841" customWidth="1"/>
    <col min="2570" max="2570" width="7.7109375" style="841" customWidth="1"/>
    <col min="2571" max="2571" width="7" style="841" customWidth="1"/>
    <col min="2572" max="2572" width="7.7109375" style="841" customWidth="1"/>
    <col min="2573" max="2573" width="7" style="841" customWidth="1"/>
    <col min="2574" max="2816" width="11.5703125" style="841"/>
    <col min="2817" max="2817" width="11.42578125" style="841" customWidth="1"/>
    <col min="2818" max="2818" width="6.140625" style="841" customWidth="1"/>
    <col min="2819" max="2819" width="22.28515625" style="841" customWidth="1"/>
    <col min="2820" max="2820" width="9.28515625" style="841" customWidth="1"/>
    <col min="2821" max="2821" width="8.28515625" style="841" customWidth="1"/>
    <col min="2822" max="2822" width="7.7109375" style="841" customWidth="1"/>
    <col min="2823" max="2823" width="9.7109375" style="841" customWidth="1"/>
    <col min="2824" max="2824" width="7.28515625" style="841" customWidth="1"/>
    <col min="2825" max="2825" width="7.5703125" style="841" customWidth="1"/>
    <col min="2826" max="2826" width="7.7109375" style="841" customWidth="1"/>
    <col min="2827" max="2827" width="7" style="841" customWidth="1"/>
    <col min="2828" max="2828" width="7.7109375" style="841" customWidth="1"/>
    <col min="2829" max="2829" width="7" style="841" customWidth="1"/>
    <col min="2830" max="3072" width="11.5703125" style="841"/>
    <col min="3073" max="3073" width="11.42578125" style="841" customWidth="1"/>
    <col min="3074" max="3074" width="6.140625" style="841" customWidth="1"/>
    <col min="3075" max="3075" width="22.28515625" style="841" customWidth="1"/>
    <col min="3076" max="3076" width="9.28515625" style="841" customWidth="1"/>
    <col min="3077" max="3077" width="8.28515625" style="841" customWidth="1"/>
    <col min="3078" max="3078" width="7.7109375" style="841" customWidth="1"/>
    <col min="3079" max="3079" width="9.7109375" style="841" customWidth="1"/>
    <col min="3080" max="3080" width="7.28515625" style="841" customWidth="1"/>
    <col min="3081" max="3081" width="7.5703125" style="841" customWidth="1"/>
    <col min="3082" max="3082" width="7.7109375" style="841" customWidth="1"/>
    <col min="3083" max="3083" width="7" style="841" customWidth="1"/>
    <col min="3084" max="3084" width="7.7109375" style="841" customWidth="1"/>
    <col min="3085" max="3085" width="7" style="841" customWidth="1"/>
    <col min="3086" max="3328" width="11.5703125" style="841"/>
    <col min="3329" max="3329" width="11.42578125" style="841" customWidth="1"/>
    <col min="3330" max="3330" width="6.140625" style="841" customWidth="1"/>
    <col min="3331" max="3331" width="22.28515625" style="841" customWidth="1"/>
    <col min="3332" max="3332" width="9.28515625" style="841" customWidth="1"/>
    <col min="3333" max="3333" width="8.28515625" style="841" customWidth="1"/>
    <col min="3334" max="3334" width="7.7109375" style="841" customWidth="1"/>
    <col min="3335" max="3335" width="9.7109375" style="841" customWidth="1"/>
    <col min="3336" max="3336" width="7.28515625" style="841" customWidth="1"/>
    <col min="3337" max="3337" width="7.5703125" style="841" customWidth="1"/>
    <col min="3338" max="3338" width="7.7109375" style="841" customWidth="1"/>
    <col min="3339" max="3339" width="7" style="841" customWidth="1"/>
    <col min="3340" max="3340" width="7.7109375" style="841" customWidth="1"/>
    <col min="3341" max="3341" width="7" style="841" customWidth="1"/>
    <col min="3342" max="3584" width="11.5703125" style="841"/>
    <col min="3585" max="3585" width="11.42578125" style="841" customWidth="1"/>
    <col min="3586" max="3586" width="6.140625" style="841" customWidth="1"/>
    <col min="3587" max="3587" width="22.28515625" style="841" customWidth="1"/>
    <col min="3588" max="3588" width="9.28515625" style="841" customWidth="1"/>
    <col min="3589" max="3589" width="8.28515625" style="841" customWidth="1"/>
    <col min="3590" max="3590" width="7.7109375" style="841" customWidth="1"/>
    <col min="3591" max="3591" width="9.7109375" style="841" customWidth="1"/>
    <col min="3592" max="3592" width="7.28515625" style="841" customWidth="1"/>
    <col min="3593" max="3593" width="7.5703125" style="841" customWidth="1"/>
    <col min="3594" max="3594" width="7.7109375" style="841" customWidth="1"/>
    <col min="3595" max="3595" width="7" style="841" customWidth="1"/>
    <col min="3596" max="3596" width="7.7109375" style="841" customWidth="1"/>
    <col min="3597" max="3597" width="7" style="841" customWidth="1"/>
    <col min="3598" max="3840" width="11.5703125" style="841"/>
    <col min="3841" max="3841" width="11.42578125" style="841" customWidth="1"/>
    <col min="3842" max="3842" width="6.140625" style="841" customWidth="1"/>
    <col min="3843" max="3843" width="22.28515625" style="841" customWidth="1"/>
    <col min="3844" max="3844" width="9.28515625" style="841" customWidth="1"/>
    <col min="3845" max="3845" width="8.28515625" style="841" customWidth="1"/>
    <col min="3846" max="3846" width="7.7109375" style="841" customWidth="1"/>
    <col min="3847" max="3847" width="9.7109375" style="841" customWidth="1"/>
    <col min="3848" max="3848" width="7.28515625" style="841" customWidth="1"/>
    <col min="3849" max="3849" width="7.5703125" style="841" customWidth="1"/>
    <col min="3850" max="3850" width="7.7109375" style="841" customWidth="1"/>
    <col min="3851" max="3851" width="7" style="841" customWidth="1"/>
    <col min="3852" max="3852" width="7.7109375" style="841" customWidth="1"/>
    <col min="3853" max="3853" width="7" style="841" customWidth="1"/>
    <col min="3854" max="4096" width="11.5703125" style="841"/>
    <col min="4097" max="4097" width="11.42578125" style="841" customWidth="1"/>
    <col min="4098" max="4098" width="6.140625" style="841" customWidth="1"/>
    <col min="4099" max="4099" width="22.28515625" style="841" customWidth="1"/>
    <col min="4100" max="4100" width="9.28515625" style="841" customWidth="1"/>
    <col min="4101" max="4101" width="8.28515625" style="841" customWidth="1"/>
    <col min="4102" max="4102" width="7.7109375" style="841" customWidth="1"/>
    <col min="4103" max="4103" width="9.7109375" style="841" customWidth="1"/>
    <col min="4104" max="4104" width="7.28515625" style="841" customWidth="1"/>
    <col min="4105" max="4105" width="7.5703125" style="841" customWidth="1"/>
    <col min="4106" max="4106" width="7.7109375" style="841" customWidth="1"/>
    <col min="4107" max="4107" width="7" style="841" customWidth="1"/>
    <col min="4108" max="4108" width="7.7109375" style="841" customWidth="1"/>
    <col min="4109" max="4109" width="7" style="841" customWidth="1"/>
    <col min="4110" max="4352" width="11.5703125" style="841"/>
    <col min="4353" max="4353" width="11.42578125" style="841" customWidth="1"/>
    <col min="4354" max="4354" width="6.140625" style="841" customWidth="1"/>
    <col min="4355" max="4355" width="22.28515625" style="841" customWidth="1"/>
    <col min="4356" max="4356" width="9.28515625" style="841" customWidth="1"/>
    <col min="4357" max="4357" width="8.28515625" style="841" customWidth="1"/>
    <col min="4358" max="4358" width="7.7109375" style="841" customWidth="1"/>
    <col min="4359" max="4359" width="9.7109375" style="841" customWidth="1"/>
    <col min="4360" max="4360" width="7.28515625" style="841" customWidth="1"/>
    <col min="4361" max="4361" width="7.5703125" style="841" customWidth="1"/>
    <col min="4362" max="4362" width="7.7109375" style="841" customWidth="1"/>
    <col min="4363" max="4363" width="7" style="841" customWidth="1"/>
    <col min="4364" max="4364" width="7.7109375" style="841" customWidth="1"/>
    <col min="4365" max="4365" width="7" style="841" customWidth="1"/>
    <col min="4366" max="4608" width="11.5703125" style="841"/>
    <col min="4609" max="4609" width="11.42578125" style="841" customWidth="1"/>
    <col min="4610" max="4610" width="6.140625" style="841" customWidth="1"/>
    <col min="4611" max="4611" width="22.28515625" style="841" customWidth="1"/>
    <col min="4612" max="4612" width="9.28515625" style="841" customWidth="1"/>
    <col min="4613" max="4613" width="8.28515625" style="841" customWidth="1"/>
    <col min="4614" max="4614" width="7.7109375" style="841" customWidth="1"/>
    <col min="4615" max="4615" width="9.7109375" style="841" customWidth="1"/>
    <col min="4616" max="4616" width="7.28515625" style="841" customWidth="1"/>
    <col min="4617" max="4617" width="7.5703125" style="841" customWidth="1"/>
    <col min="4618" max="4618" width="7.7109375" style="841" customWidth="1"/>
    <col min="4619" max="4619" width="7" style="841" customWidth="1"/>
    <col min="4620" max="4620" width="7.7109375" style="841" customWidth="1"/>
    <col min="4621" max="4621" width="7" style="841" customWidth="1"/>
    <col min="4622" max="4864" width="11.5703125" style="841"/>
    <col min="4865" max="4865" width="11.42578125" style="841" customWidth="1"/>
    <col min="4866" max="4866" width="6.140625" style="841" customWidth="1"/>
    <col min="4867" max="4867" width="22.28515625" style="841" customWidth="1"/>
    <col min="4868" max="4868" width="9.28515625" style="841" customWidth="1"/>
    <col min="4869" max="4869" width="8.28515625" style="841" customWidth="1"/>
    <col min="4870" max="4870" width="7.7109375" style="841" customWidth="1"/>
    <col min="4871" max="4871" width="9.7109375" style="841" customWidth="1"/>
    <col min="4872" max="4872" width="7.28515625" style="841" customWidth="1"/>
    <col min="4873" max="4873" width="7.5703125" style="841" customWidth="1"/>
    <col min="4874" max="4874" width="7.7109375" style="841" customWidth="1"/>
    <col min="4875" max="4875" width="7" style="841" customWidth="1"/>
    <col min="4876" max="4876" width="7.7109375" style="841" customWidth="1"/>
    <col min="4877" max="4877" width="7" style="841" customWidth="1"/>
    <col min="4878" max="5120" width="11.5703125" style="841"/>
    <col min="5121" max="5121" width="11.42578125" style="841" customWidth="1"/>
    <col min="5122" max="5122" width="6.140625" style="841" customWidth="1"/>
    <col min="5123" max="5123" width="22.28515625" style="841" customWidth="1"/>
    <col min="5124" max="5124" width="9.28515625" style="841" customWidth="1"/>
    <col min="5125" max="5125" width="8.28515625" style="841" customWidth="1"/>
    <col min="5126" max="5126" width="7.7109375" style="841" customWidth="1"/>
    <col min="5127" max="5127" width="9.7109375" style="841" customWidth="1"/>
    <col min="5128" max="5128" width="7.28515625" style="841" customWidth="1"/>
    <col min="5129" max="5129" width="7.5703125" style="841" customWidth="1"/>
    <col min="5130" max="5130" width="7.7109375" style="841" customWidth="1"/>
    <col min="5131" max="5131" width="7" style="841" customWidth="1"/>
    <col min="5132" max="5132" width="7.7109375" style="841" customWidth="1"/>
    <col min="5133" max="5133" width="7" style="841" customWidth="1"/>
    <col min="5134" max="5376" width="11.5703125" style="841"/>
    <col min="5377" max="5377" width="11.42578125" style="841" customWidth="1"/>
    <col min="5378" max="5378" width="6.140625" style="841" customWidth="1"/>
    <col min="5379" max="5379" width="22.28515625" style="841" customWidth="1"/>
    <col min="5380" max="5380" width="9.28515625" style="841" customWidth="1"/>
    <col min="5381" max="5381" width="8.28515625" style="841" customWidth="1"/>
    <col min="5382" max="5382" width="7.7109375" style="841" customWidth="1"/>
    <col min="5383" max="5383" width="9.7109375" style="841" customWidth="1"/>
    <col min="5384" max="5384" width="7.28515625" style="841" customWidth="1"/>
    <col min="5385" max="5385" width="7.5703125" style="841" customWidth="1"/>
    <col min="5386" max="5386" width="7.7109375" style="841" customWidth="1"/>
    <col min="5387" max="5387" width="7" style="841" customWidth="1"/>
    <col min="5388" max="5388" width="7.7109375" style="841" customWidth="1"/>
    <col min="5389" max="5389" width="7" style="841" customWidth="1"/>
    <col min="5390" max="5632" width="11.5703125" style="841"/>
    <col min="5633" max="5633" width="11.42578125" style="841" customWidth="1"/>
    <col min="5634" max="5634" width="6.140625" style="841" customWidth="1"/>
    <col min="5635" max="5635" width="22.28515625" style="841" customWidth="1"/>
    <col min="5636" max="5636" width="9.28515625" style="841" customWidth="1"/>
    <col min="5637" max="5637" width="8.28515625" style="841" customWidth="1"/>
    <col min="5638" max="5638" width="7.7109375" style="841" customWidth="1"/>
    <col min="5639" max="5639" width="9.7109375" style="841" customWidth="1"/>
    <col min="5640" max="5640" width="7.28515625" style="841" customWidth="1"/>
    <col min="5641" max="5641" width="7.5703125" style="841" customWidth="1"/>
    <col min="5642" max="5642" width="7.7109375" style="841" customWidth="1"/>
    <col min="5643" max="5643" width="7" style="841" customWidth="1"/>
    <col min="5644" max="5644" width="7.7109375" style="841" customWidth="1"/>
    <col min="5645" max="5645" width="7" style="841" customWidth="1"/>
    <col min="5646" max="5888" width="11.5703125" style="841"/>
    <col min="5889" max="5889" width="11.42578125" style="841" customWidth="1"/>
    <col min="5890" max="5890" width="6.140625" style="841" customWidth="1"/>
    <col min="5891" max="5891" width="22.28515625" style="841" customWidth="1"/>
    <col min="5892" max="5892" width="9.28515625" style="841" customWidth="1"/>
    <col min="5893" max="5893" width="8.28515625" style="841" customWidth="1"/>
    <col min="5894" max="5894" width="7.7109375" style="841" customWidth="1"/>
    <col min="5895" max="5895" width="9.7109375" style="841" customWidth="1"/>
    <col min="5896" max="5896" width="7.28515625" style="841" customWidth="1"/>
    <col min="5897" max="5897" width="7.5703125" style="841" customWidth="1"/>
    <col min="5898" max="5898" width="7.7109375" style="841" customWidth="1"/>
    <col min="5899" max="5899" width="7" style="841" customWidth="1"/>
    <col min="5900" max="5900" width="7.7109375" style="841" customWidth="1"/>
    <col min="5901" max="5901" width="7" style="841" customWidth="1"/>
    <col min="5902" max="6144" width="11.5703125" style="841"/>
    <col min="6145" max="6145" width="11.42578125" style="841" customWidth="1"/>
    <col min="6146" max="6146" width="6.140625" style="841" customWidth="1"/>
    <col min="6147" max="6147" width="22.28515625" style="841" customWidth="1"/>
    <col min="6148" max="6148" width="9.28515625" style="841" customWidth="1"/>
    <col min="6149" max="6149" width="8.28515625" style="841" customWidth="1"/>
    <col min="6150" max="6150" width="7.7109375" style="841" customWidth="1"/>
    <col min="6151" max="6151" width="9.7109375" style="841" customWidth="1"/>
    <col min="6152" max="6152" width="7.28515625" style="841" customWidth="1"/>
    <col min="6153" max="6153" width="7.5703125" style="841" customWidth="1"/>
    <col min="6154" max="6154" width="7.7109375" style="841" customWidth="1"/>
    <col min="6155" max="6155" width="7" style="841" customWidth="1"/>
    <col min="6156" max="6156" width="7.7109375" style="841" customWidth="1"/>
    <col min="6157" max="6157" width="7" style="841" customWidth="1"/>
    <col min="6158" max="6400" width="11.5703125" style="841"/>
    <col min="6401" max="6401" width="11.42578125" style="841" customWidth="1"/>
    <col min="6402" max="6402" width="6.140625" style="841" customWidth="1"/>
    <col min="6403" max="6403" width="22.28515625" style="841" customWidth="1"/>
    <col min="6404" max="6404" width="9.28515625" style="841" customWidth="1"/>
    <col min="6405" max="6405" width="8.28515625" style="841" customWidth="1"/>
    <col min="6406" max="6406" width="7.7109375" style="841" customWidth="1"/>
    <col min="6407" max="6407" width="9.7109375" style="841" customWidth="1"/>
    <col min="6408" max="6408" width="7.28515625" style="841" customWidth="1"/>
    <col min="6409" max="6409" width="7.5703125" style="841" customWidth="1"/>
    <col min="6410" max="6410" width="7.7109375" style="841" customWidth="1"/>
    <col min="6411" max="6411" width="7" style="841" customWidth="1"/>
    <col min="6412" max="6412" width="7.7109375" style="841" customWidth="1"/>
    <col min="6413" max="6413" width="7" style="841" customWidth="1"/>
    <col min="6414" max="6656" width="11.5703125" style="841"/>
    <col min="6657" max="6657" width="11.42578125" style="841" customWidth="1"/>
    <col min="6658" max="6658" width="6.140625" style="841" customWidth="1"/>
    <col min="6659" max="6659" width="22.28515625" style="841" customWidth="1"/>
    <col min="6660" max="6660" width="9.28515625" style="841" customWidth="1"/>
    <col min="6661" max="6661" width="8.28515625" style="841" customWidth="1"/>
    <col min="6662" max="6662" width="7.7109375" style="841" customWidth="1"/>
    <col min="6663" max="6663" width="9.7109375" style="841" customWidth="1"/>
    <col min="6664" max="6664" width="7.28515625" style="841" customWidth="1"/>
    <col min="6665" max="6665" width="7.5703125" style="841" customWidth="1"/>
    <col min="6666" max="6666" width="7.7109375" style="841" customWidth="1"/>
    <col min="6667" max="6667" width="7" style="841" customWidth="1"/>
    <col min="6668" max="6668" width="7.7109375" style="841" customWidth="1"/>
    <col min="6669" max="6669" width="7" style="841" customWidth="1"/>
    <col min="6670" max="6912" width="11.5703125" style="841"/>
    <col min="6913" max="6913" width="11.42578125" style="841" customWidth="1"/>
    <col min="6914" max="6914" width="6.140625" style="841" customWidth="1"/>
    <col min="6915" max="6915" width="22.28515625" style="841" customWidth="1"/>
    <col min="6916" max="6916" width="9.28515625" style="841" customWidth="1"/>
    <col min="6917" max="6917" width="8.28515625" style="841" customWidth="1"/>
    <col min="6918" max="6918" width="7.7109375" style="841" customWidth="1"/>
    <col min="6919" max="6919" width="9.7109375" style="841" customWidth="1"/>
    <col min="6920" max="6920" width="7.28515625" style="841" customWidth="1"/>
    <col min="6921" max="6921" width="7.5703125" style="841" customWidth="1"/>
    <col min="6922" max="6922" width="7.7109375" style="841" customWidth="1"/>
    <col min="6923" max="6923" width="7" style="841" customWidth="1"/>
    <col min="6924" max="6924" width="7.7109375" style="841" customWidth="1"/>
    <col min="6925" max="6925" width="7" style="841" customWidth="1"/>
    <col min="6926" max="7168" width="11.5703125" style="841"/>
    <col min="7169" max="7169" width="11.42578125" style="841" customWidth="1"/>
    <col min="7170" max="7170" width="6.140625" style="841" customWidth="1"/>
    <col min="7171" max="7171" width="22.28515625" style="841" customWidth="1"/>
    <col min="7172" max="7172" width="9.28515625" style="841" customWidth="1"/>
    <col min="7173" max="7173" width="8.28515625" style="841" customWidth="1"/>
    <col min="7174" max="7174" width="7.7109375" style="841" customWidth="1"/>
    <col min="7175" max="7175" width="9.7109375" style="841" customWidth="1"/>
    <col min="7176" max="7176" width="7.28515625" style="841" customWidth="1"/>
    <col min="7177" max="7177" width="7.5703125" style="841" customWidth="1"/>
    <col min="7178" max="7178" width="7.7109375" style="841" customWidth="1"/>
    <col min="7179" max="7179" width="7" style="841" customWidth="1"/>
    <col min="7180" max="7180" width="7.7109375" style="841" customWidth="1"/>
    <col min="7181" max="7181" width="7" style="841" customWidth="1"/>
    <col min="7182" max="7424" width="11.5703125" style="841"/>
    <col min="7425" max="7425" width="11.42578125" style="841" customWidth="1"/>
    <col min="7426" max="7426" width="6.140625" style="841" customWidth="1"/>
    <col min="7427" max="7427" width="22.28515625" style="841" customWidth="1"/>
    <col min="7428" max="7428" width="9.28515625" style="841" customWidth="1"/>
    <col min="7429" max="7429" width="8.28515625" style="841" customWidth="1"/>
    <col min="7430" max="7430" width="7.7109375" style="841" customWidth="1"/>
    <col min="7431" max="7431" width="9.7109375" style="841" customWidth="1"/>
    <col min="7432" max="7432" width="7.28515625" style="841" customWidth="1"/>
    <col min="7433" max="7433" width="7.5703125" style="841" customWidth="1"/>
    <col min="7434" max="7434" width="7.7109375" style="841" customWidth="1"/>
    <col min="7435" max="7435" width="7" style="841" customWidth="1"/>
    <col min="7436" max="7436" width="7.7109375" style="841" customWidth="1"/>
    <col min="7437" max="7437" width="7" style="841" customWidth="1"/>
    <col min="7438" max="7680" width="11.5703125" style="841"/>
    <col min="7681" max="7681" width="11.42578125" style="841" customWidth="1"/>
    <col min="7682" max="7682" width="6.140625" style="841" customWidth="1"/>
    <col min="7683" max="7683" width="22.28515625" style="841" customWidth="1"/>
    <col min="7684" max="7684" width="9.28515625" style="841" customWidth="1"/>
    <col min="7685" max="7685" width="8.28515625" style="841" customWidth="1"/>
    <col min="7686" max="7686" width="7.7109375" style="841" customWidth="1"/>
    <col min="7687" max="7687" width="9.7109375" style="841" customWidth="1"/>
    <col min="7688" max="7688" width="7.28515625" style="841" customWidth="1"/>
    <col min="7689" max="7689" width="7.5703125" style="841" customWidth="1"/>
    <col min="7690" max="7690" width="7.7109375" style="841" customWidth="1"/>
    <col min="7691" max="7691" width="7" style="841" customWidth="1"/>
    <col min="7692" max="7692" width="7.7109375" style="841" customWidth="1"/>
    <col min="7693" max="7693" width="7" style="841" customWidth="1"/>
    <col min="7694" max="7936" width="11.5703125" style="841"/>
    <col min="7937" max="7937" width="11.42578125" style="841" customWidth="1"/>
    <col min="7938" max="7938" width="6.140625" style="841" customWidth="1"/>
    <col min="7939" max="7939" width="22.28515625" style="841" customWidth="1"/>
    <col min="7940" max="7940" width="9.28515625" style="841" customWidth="1"/>
    <col min="7941" max="7941" width="8.28515625" style="841" customWidth="1"/>
    <col min="7942" max="7942" width="7.7109375" style="841" customWidth="1"/>
    <col min="7943" max="7943" width="9.7109375" style="841" customWidth="1"/>
    <col min="7944" max="7944" width="7.28515625" style="841" customWidth="1"/>
    <col min="7945" max="7945" width="7.5703125" style="841" customWidth="1"/>
    <col min="7946" max="7946" width="7.7109375" style="841" customWidth="1"/>
    <col min="7947" max="7947" width="7" style="841" customWidth="1"/>
    <col min="7948" max="7948" width="7.7109375" style="841" customWidth="1"/>
    <col min="7949" max="7949" width="7" style="841" customWidth="1"/>
    <col min="7950" max="8192" width="11.5703125" style="841"/>
    <col min="8193" max="8193" width="11.42578125" style="841" customWidth="1"/>
    <col min="8194" max="8194" width="6.140625" style="841" customWidth="1"/>
    <col min="8195" max="8195" width="22.28515625" style="841" customWidth="1"/>
    <col min="8196" max="8196" width="9.28515625" style="841" customWidth="1"/>
    <col min="8197" max="8197" width="8.28515625" style="841" customWidth="1"/>
    <col min="8198" max="8198" width="7.7109375" style="841" customWidth="1"/>
    <col min="8199" max="8199" width="9.7109375" style="841" customWidth="1"/>
    <col min="8200" max="8200" width="7.28515625" style="841" customWidth="1"/>
    <col min="8201" max="8201" width="7.5703125" style="841" customWidth="1"/>
    <col min="8202" max="8202" width="7.7109375" style="841" customWidth="1"/>
    <col min="8203" max="8203" width="7" style="841" customWidth="1"/>
    <col min="8204" max="8204" width="7.7109375" style="841" customWidth="1"/>
    <col min="8205" max="8205" width="7" style="841" customWidth="1"/>
    <col min="8206" max="8448" width="11.5703125" style="841"/>
    <col min="8449" max="8449" width="11.42578125" style="841" customWidth="1"/>
    <col min="8450" max="8450" width="6.140625" style="841" customWidth="1"/>
    <col min="8451" max="8451" width="22.28515625" style="841" customWidth="1"/>
    <col min="8452" max="8452" width="9.28515625" style="841" customWidth="1"/>
    <col min="8453" max="8453" width="8.28515625" style="841" customWidth="1"/>
    <col min="8454" max="8454" width="7.7109375" style="841" customWidth="1"/>
    <col min="8455" max="8455" width="9.7109375" style="841" customWidth="1"/>
    <col min="8456" max="8456" width="7.28515625" style="841" customWidth="1"/>
    <col min="8457" max="8457" width="7.5703125" style="841" customWidth="1"/>
    <col min="8458" max="8458" width="7.7109375" style="841" customWidth="1"/>
    <col min="8459" max="8459" width="7" style="841" customWidth="1"/>
    <col min="8460" max="8460" width="7.7109375" style="841" customWidth="1"/>
    <col min="8461" max="8461" width="7" style="841" customWidth="1"/>
    <col min="8462" max="8704" width="11.5703125" style="841"/>
    <col min="8705" max="8705" width="11.42578125" style="841" customWidth="1"/>
    <col min="8706" max="8706" width="6.140625" style="841" customWidth="1"/>
    <col min="8707" max="8707" width="22.28515625" style="841" customWidth="1"/>
    <col min="8708" max="8708" width="9.28515625" style="841" customWidth="1"/>
    <col min="8709" max="8709" width="8.28515625" style="841" customWidth="1"/>
    <col min="8710" max="8710" width="7.7109375" style="841" customWidth="1"/>
    <col min="8711" max="8711" width="9.7109375" style="841" customWidth="1"/>
    <col min="8712" max="8712" width="7.28515625" style="841" customWidth="1"/>
    <col min="8713" max="8713" width="7.5703125" style="841" customWidth="1"/>
    <col min="8714" max="8714" width="7.7109375" style="841" customWidth="1"/>
    <col min="8715" max="8715" width="7" style="841" customWidth="1"/>
    <col min="8716" max="8716" width="7.7109375" style="841" customWidth="1"/>
    <col min="8717" max="8717" width="7" style="841" customWidth="1"/>
    <col min="8718" max="8960" width="11.5703125" style="841"/>
    <col min="8961" max="8961" width="11.42578125" style="841" customWidth="1"/>
    <col min="8962" max="8962" width="6.140625" style="841" customWidth="1"/>
    <col min="8963" max="8963" width="22.28515625" style="841" customWidth="1"/>
    <col min="8964" max="8964" width="9.28515625" style="841" customWidth="1"/>
    <col min="8965" max="8965" width="8.28515625" style="841" customWidth="1"/>
    <col min="8966" max="8966" width="7.7109375" style="841" customWidth="1"/>
    <col min="8967" max="8967" width="9.7109375" style="841" customWidth="1"/>
    <col min="8968" max="8968" width="7.28515625" style="841" customWidth="1"/>
    <col min="8969" max="8969" width="7.5703125" style="841" customWidth="1"/>
    <col min="8970" max="8970" width="7.7109375" style="841" customWidth="1"/>
    <col min="8971" max="8971" width="7" style="841" customWidth="1"/>
    <col min="8972" max="8972" width="7.7109375" style="841" customWidth="1"/>
    <col min="8973" max="8973" width="7" style="841" customWidth="1"/>
    <col min="8974" max="9216" width="11.5703125" style="841"/>
    <col min="9217" max="9217" width="11.42578125" style="841" customWidth="1"/>
    <col min="9218" max="9218" width="6.140625" style="841" customWidth="1"/>
    <col min="9219" max="9219" width="22.28515625" style="841" customWidth="1"/>
    <col min="9220" max="9220" width="9.28515625" style="841" customWidth="1"/>
    <col min="9221" max="9221" width="8.28515625" style="841" customWidth="1"/>
    <col min="9222" max="9222" width="7.7109375" style="841" customWidth="1"/>
    <col min="9223" max="9223" width="9.7109375" style="841" customWidth="1"/>
    <col min="9224" max="9224" width="7.28515625" style="841" customWidth="1"/>
    <col min="9225" max="9225" width="7.5703125" style="841" customWidth="1"/>
    <col min="9226" max="9226" width="7.7109375" style="841" customWidth="1"/>
    <col min="9227" max="9227" width="7" style="841" customWidth="1"/>
    <col min="9228" max="9228" width="7.7109375" style="841" customWidth="1"/>
    <col min="9229" max="9229" width="7" style="841" customWidth="1"/>
    <col min="9230" max="9472" width="11.5703125" style="841"/>
    <col min="9473" max="9473" width="11.42578125" style="841" customWidth="1"/>
    <col min="9474" max="9474" width="6.140625" style="841" customWidth="1"/>
    <col min="9475" max="9475" width="22.28515625" style="841" customWidth="1"/>
    <col min="9476" max="9476" width="9.28515625" style="841" customWidth="1"/>
    <col min="9477" max="9477" width="8.28515625" style="841" customWidth="1"/>
    <col min="9478" max="9478" width="7.7109375" style="841" customWidth="1"/>
    <col min="9479" max="9479" width="9.7109375" style="841" customWidth="1"/>
    <col min="9480" max="9480" width="7.28515625" style="841" customWidth="1"/>
    <col min="9481" max="9481" width="7.5703125" style="841" customWidth="1"/>
    <col min="9482" max="9482" width="7.7109375" style="841" customWidth="1"/>
    <col min="9483" max="9483" width="7" style="841" customWidth="1"/>
    <col min="9484" max="9484" width="7.7109375" style="841" customWidth="1"/>
    <col min="9485" max="9485" width="7" style="841" customWidth="1"/>
    <col min="9486" max="9728" width="11.5703125" style="841"/>
    <col min="9729" max="9729" width="11.42578125" style="841" customWidth="1"/>
    <col min="9730" max="9730" width="6.140625" style="841" customWidth="1"/>
    <col min="9731" max="9731" width="22.28515625" style="841" customWidth="1"/>
    <col min="9732" max="9732" width="9.28515625" style="841" customWidth="1"/>
    <col min="9733" max="9733" width="8.28515625" style="841" customWidth="1"/>
    <col min="9734" max="9734" width="7.7109375" style="841" customWidth="1"/>
    <col min="9735" max="9735" width="9.7109375" style="841" customWidth="1"/>
    <col min="9736" max="9736" width="7.28515625" style="841" customWidth="1"/>
    <col min="9737" max="9737" width="7.5703125" style="841" customWidth="1"/>
    <col min="9738" max="9738" width="7.7109375" style="841" customWidth="1"/>
    <col min="9739" max="9739" width="7" style="841" customWidth="1"/>
    <col min="9740" max="9740" width="7.7109375" style="841" customWidth="1"/>
    <col min="9741" max="9741" width="7" style="841" customWidth="1"/>
    <col min="9742" max="9984" width="11.5703125" style="841"/>
    <col min="9985" max="9985" width="11.42578125" style="841" customWidth="1"/>
    <col min="9986" max="9986" width="6.140625" style="841" customWidth="1"/>
    <col min="9987" max="9987" width="22.28515625" style="841" customWidth="1"/>
    <col min="9988" max="9988" width="9.28515625" style="841" customWidth="1"/>
    <col min="9989" max="9989" width="8.28515625" style="841" customWidth="1"/>
    <col min="9990" max="9990" width="7.7109375" style="841" customWidth="1"/>
    <col min="9991" max="9991" width="9.7109375" style="841" customWidth="1"/>
    <col min="9992" max="9992" width="7.28515625" style="841" customWidth="1"/>
    <col min="9993" max="9993" width="7.5703125" style="841" customWidth="1"/>
    <col min="9994" max="9994" width="7.7109375" style="841" customWidth="1"/>
    <col min="9995" max="9995" width="7" style="841" customWidth="1"/>
    <col min="9996" max="9996" width="7.7109375" style="841" customWidth="1"/>
    <col min="9997" max="9997" width="7" style="841" customWidth="1"/>
    <col min="9998" max="10240" width="11.5703125" style="841"/>
    <col min="10241" max="10241" width="11.42578125" style="841" customWidth="1"/>
    <col min="10242" max="10242" width="6.140625" style="841" customWidth="1"/>
    <col min="10243" max="10243" width="22.28515625" style="841" customWidth="1"/>
    <col min="10244" max="10244" width="9.28515625" style="841" customWidth="1"/>
    <col min="10245" max="10245" width="8.28515625" style="841" customWidth="1"/>
    <col min="10246" max="10246" width="7.7109375" style="841" customWidth="1"/>
    <col min="10247" max="10247" width="9.7109375" style="841" customWidth="1"/>
    <col min="10248" max="10248" width="7.28515625" style="841" customWidth="1"/>
    <col min="10249" max="10249" width="7.5703125" style="841" customWidth="1"/>
    <col min="10250" max="10250" width="7.7109375" style="841" customWidth="1"/>
    <col min="10251" max="10251" width="7" style="841" customWidth="1"/>
    <col min="10252" max="10252" width="7.7109375" style="841" customWidth="1"/>
    <col min="10253" max="10253" width="7" style="841" customWidth="1"/>
    <col min="10254" max="10496" width="11.5703125" style="841"/>
    <col min="10497" max="10497" width="11.42578125" style="841" customWidth="1"/>
    <col min="10498" max="10498" width="6.140625" style="841" customWidth="1"/>
    <col min="10499" max="10499" width="22.28515625" style="841" customWidth="1"/>
    <col min="10500" max="10500" width="9.28515625" style="841" customWidth="1"/>
    <col min="10501" max="10501" width="8.28515625" style="841" customWidth="1"/>
    <col min="10502" max="10502" width="7.7109375" style="841" customWidth="1"/>
    <col min="10503" max="10503" width="9.7109375" style="841" customWidth="1"/>
    <col min="10504" max="10504" width="7.28515625" style="841" customWidth="1"/>
    <col min="10505" max="10505" width="7.5703125" style="841" customWidth="1"/>
    <col min="10506" max="10506" width="7.7109375" style="841" customWidth="1"/>
    <col min="10507" max="10507" width="7" style="841" customWidth="1"/>
    <col min="10508" max="10508" width="7.7109375" style="841" customWidth="1"/>
    <col min="10509" max="10509" width="7" style="841" customWidth="1"/>
    <col min="10510" max="10752" width="11.5703125" style="841"/>
    <col min="10753" max="10753" width="11.42578125" style="841" customWidth="1"/>
    <col min="10754" max="10754" width="6.140625" style="841" customWidth="1"/>
    <col min="10755" max="10755" width="22.28515625" style="841" customWidth="1"/>
    <col min="10756" max="10756" width="9.28515625" style="841" customWidth="1"/>
    <col min="10757" max="10757" width="8.28515625" style="841" customWidth="1"/>
    <col min="10758" max="10758" width="7.7109375" style="841" customWidth="1"/>
    <col min="10759" max="10759" width="9.7109375" style="841" customWidth="1"/>
    <col min="10760" max="10760" width="7.28515625" style="841" customWidth="1"/>
    <col min="10761" max="10761" width="7.5703125" style="841" customWidth="1"/>
    <col min="10762" max="10762" width="7.7109375" style="841" customWidth="1"/>
    <col min="10763" max="10763" width="7" style="841" customWidth="1"/>
    <col min="10764" max="10764" width="7.7109375" style="841" customWidth="1"/>
    <col min="10765" max="10765" width="7" style="841" customWidth="1"/>
    <col min="10766" max="11008" width="11.5703125" style="841"/>
    <col min="11009" max="11009" width="11.42578125" style="841" customWidth="1"/>
    <col min="11010" max="11010" width="6.140625" style="841" customWidth="1"/>
    <col min="11011" max="11011" width="22.28515625" style="841" customWidth="1"/>
    <col min="11012" max="11012" width="9.28515625" style="841" customWidth="1"/>
    <col min="11013" max="11013" width="8.28515625" style="841" customWidth="1"/>
    <col min="11014" max="11014" width="7.7109375" style="841" customWidth="1"/>
    <col min="11015" max="11015" width="9.7109375" style="841" customWidth="1"/>
    <col min="11016" max="11016" width="7.28515625" style="841" customWidth="1"/>
    <col min="11017" max="11017" width="7.5703125" style="841" customWidth="1"/>
    <col min="11018" max="11018" width="7.7109375" style="841" customWidth="1"/>
    <col min="11019" max="11019" width="7" style="841" customWidth="1"/>
    <col min="11020" max="11020" width="7.7109375" style="841" customWidth="1"/>
    <col min="11021" max="11021" width="7" style="841" customWidth="1"/>
    <col min="11022" max="11264" width="11.5703125" style="841"/>
    <col min="11265" max="11265" width="11.42578125" style="841" customWidth="1"/>
    <col min="11266" max="11266" width="6.140625" style="841" customWidth="1"/>
    <col min="11267" max="11267" width="22.28515625" style="841" customWidth="1"/>
    <col min="11268" max="11268" width="9.28515625" style="841" customWidth="1"/>
    <col min="11269" max="11269" width="8.28515625" style="841" customWidth="1"/>
    <col min="11270" max="11270" width="7.7109375" style="841" customWidth="1"/>
    <col min="11271" max="11271" width="9.7109375" style="841" customWidth="1"/>
    <col min="11272" max="11272" width="7.28515625" style="841" customWidth="1"/>
    <col min="11273" max="11273" width="7.5703125" style="841" customWidth="1"/>
    <col min="11274" max="11274" width="7.7109375" style="841" customWidth="1"/>
    <col min="11275" max="11275" width="7" style="841" customWidth="1"/>
    <col min="11276" max="11276" width="7.7109375" style="841" customWidth="1"/>
    <col min="11277" max="11277" width="7" style="841" customWidth="1"/>
    <col min="11278" max="11520" width="11.5703125" style="841"/>
    <col min="11521" max="11521" width="11.42578125" style="841" customWidth="1"/>
    <col min="11522" max="11522" width="6.140625" style="841" customWidth="1"/>
    <col min="11523" max="11523" width="22.28515625" style="841" customWidth="1"/>
    <col min="11524" max="11524" width="9.28515625" style="841" customWidth="1"/>
    <col min="11525" max="11525" width="8.28515625" style="841" customWidth="1"/>
    <col min="11526" max="11526" width="7.7109375" style="841" customWidth="1"/>
    <col min="11527" max="11527" width="9.7109375" style="841" customWidth="1"/>
    <col min="11528" max="11528" width="7.28515625" style="841" customWidth="1"/>
    <col min="11529" max="11529" width="7.5703125" style="841" customWidth="1"/>
    <col min="11530" max="11530" width="7.7109375" style="841" customWidth="1"/>
    <col min="11531" max="11531" width="7" style="841" customWidth="1"/>
    <col min="11532" max="11532" width="7.7109375" style="841" customWidth="1"/>
    <col min="11533" max="11533" width="7" style="841" customWidth="1"/>
    <col min="11534" max="11776" width="11.5703125" style="841"/>
    <col min="11777" max="11777" width="11.42578125" style="841" customWidth="1"/>
    <col min="11778" max="11778" width="6.140625" style="841" customWidth="1"/>
    <col min="11779" max="11779" width="22.28515625" style="841" customWidth="1"/>
    <col min="11780" max="11780" width="9.28515625" style="841" customWidth="1"/>
    <col min="11781" max="11781" width="8.28515625" style="841" customWidth="1"/>
    <col min="11782" max="11782" width="7.7109375" style="841" customWidth="1"/>
    <col min="11783" max="11783" width="9.7109375" style="841" customWidth="1"/>
    <col min="11784" max="11784" width="7.28515625" style="841" customWidth="1"/>
    <col min="11785" max="11785" width="7.5703125" style="841" customWidth="1"/>
    <col min="11786" max="11786" width="7.7109375" style="841" customWidth="1"/>
    <col min="11787" max="11787" width="7" style="841" customWidth="1"/>
    <col min="11788" max="11788" width="7.7109375" style="841" customWidth="1"/>
    <col min="11789" max="11789" width="7" style="841" customWidth="1"/>
    <col min="11790" max="12032" width="11.5703125" style="841"/>
    <col min="12033" max="12033" width="11.42578125" style="841" customWidth="1"/>
    <col min="12034" max="12034" width="6.140625" style="841" customWidth="1"/>
    <col min="12035" max="12035" width="22.28515625" style="841" customWidth="1"/>
    <col min="12036" max="12036" width="9.28515625" style="841" customWidth="1"/>
    <col min="12037" max="12037" width="8.28515625" style="841" customWidth="1"/>
    <col min="12038" max="12038" width="7.7109375" style="841" customWidth="1"/>
    <col min="12039" max="12039" width="9.7109375" style="841" customWidth="1"/>
    <col min="12040" max="12040" width="7.28515625" style="841" customWidth="1"/>
    <col min="12041" max="12041" width="7.5703125" style="841" customWidth="1"/>
    <col min="12042" max="12042" width="7.7109375" style="841" customWidth="1"/>
    <col min="12043" max="12043" width="7" style="841" customWidth="1"/>
    <col min="12044" max="12044" width="7.7109375" style="841" customWidth="1"/>
    <col min="12045" max="12045" width="7" style="841" customWidth="1"/>
    <col min="12046" max="12288" width="11.5703125" style="841"/>
    <col min="12289" max="12289" width="11.42578125" style="841" customWidth="1"/>
    <col min="12290" max="12290" width="6.140625" style="841" customWidth="1"/>
    <col min="12291" max="12291" width="22.28515625" style="841" customWidth="1"/>
    <col min="12292" max="12292" width="9.28515625" style="841" customWidth="1"/>
    <col min="12293" max="12293" width="8.28515625" style="841" customWidth="1"/>
    <col min="12294" max="12294" width="7.7109375" style="841" customWidth="1"/>
    <col min="12295" max="12295" width="9.7109375" style="841" customWidth="1"/>
    <col min="12296" max="12296" width="7.28515625" style="841" customWidth="1"/>
    <col min="12297" max="12297" width="7.5703125" style="841" customWidth="1"/>
    <col min="12298" max="12298" width="7.7109375" style="841" customWidth="1"/>
    <col min="12299" max="12299" width="7" style="841" customWidth="1"/>
    <col min="12300" max="12300" width="7.7109375" style="841" customWidth="1"/>
    <col min="12301" max="12301" width="7" style="841" customWidth="1"/>
    <col min="12302" max="12544" width="11.5703125" style="841"/>
    <col min="12545" max="12545" width="11.42578125" style="841" customWidth="1"/>
    <col min="12546" max="12546" width="6.140625" style="841" customWidth="1"/>
    <col min="12547" max="12547" width="22.28515625" style="841" customWidth="1"/>
    <col min="12548" max="12548" width="9.28515625" style="841" customWidth="1"/>
    <col min="12549" max="12549" width="8.28515625" style="841" customWidth="1"/>
    <col min="12550" max="12550" width="7.7109375" style="841" customWidth="1"/>
    <col min="12551" max="12551" width="9.7109375" style="841" customWidth="1"/>
    <col min="12552" max="12552" width="7.28515625" style="841" customWidth="1"/>
    <col min="12553" max="12553" width="7.5703125" style="841" customWidth="1"/>
    <col min="12554" max="12554" width="7.7109375" style="841" customWidth="1"/>
    <col min="12555" max="12555" width="7" style="841" customWidth="1"/>
    <col min="12556" max="12556" width="7.7109375" style="841" customWidth="1"/>
    <col min="12557" max="12557" width="7" style="841" customWidth="1"/>
    <col min="12558" max="12800" width="11.5703125" style="841"/>
    <col min="12801" max="12801" width="11.42578125" style="841" customWidth="1"/>
    <col min="12802" max="12802" width="6.140625" style="841" customWidth="1"/>
    <col min="12803" max="12803" width="22.28515625" style="841" customWidth="1"/>
    <col min="12804" max="12804" width="9.28515625" style="841" customWidth="1"/>
    <col min="12805" max="12805" width="8.28515625" style="841" customWidth="1"/>
    <col min="12806" max="12806" width="7.7109375" style="841" customWidth="1"/>
    <col min="12807" max="12807" width="9.7109375" style="841" customWidth="1"/>
    <col min="12808" max="12808" width="7.28515625" style="841" customWidth="1"/>
    <col min="12809" max="12809" width="7.5703125" style="841" customWidth="1"/>
    <col min="12810" max="12810" width="7.7109375" style="841" customWidth="1"/>
    <col min="12811" max="12811" width="7" style="841" customWidth="1"/>
    <col min="12812" max="12812" width="7.7109375" style="841" customWidth="1"/>
    <col min="12813" max="12813" width="7" style="841" customWidth="1"/>
    <col min="12814" max="13056" width="11.5703125" style="841"/>
    <col min="13057" max="13057" width="11.42578125" style="841" customWidth="1"/>
    <col min="13058" max="13058" width="6.140625" style="841" customWidth="1"/>
    <col min="13059" max="13059" width="22.28515625" style="841" customWidth="1"/>
    <col min="13060" max="13060" width="9.28515625" style="841" customWidth="1"/>
    <col min="13061" max="13061" width="8.28515625" style="841" customWidth="1"/>
    <col min="13062" max="13062" width="7.7109375" style="841" customWidth="1"/>
    <col min="13063" max="13063" width="9.7109375" style="841" customWidth="1"/>
    <col min="13064" max="13064" width="7.28515625" style="841" customWidth="1"/>
    <col min="13065" max="13065" width="7.5703125" style="841" customWidth="1"/>
    <col min="13066" max="13066" width="7.7109375" style="841" customWidth="1"/>
    <col min="13067" max="13067" width="7" style="841" customWidth="1"/>
    <col min="13068" max="13068" width="7.7109375" style="841" customWidth="1"/>
    <col min="13069" max="13069" width="7" style="841" customWidth="1"/>
    <col min="13070" max="13312" width="11.5703125" style="841"/>
    <col min="13313" max="13313" width="11.42578125" style="841" customWidth="1"/>
    <col min="13314" max="13314" width="6.140625" style="841" customWidth="1"/>
    <col min="13315" max="13315" width="22.28515625" style="841" customWidth="1"/>
    <col min="13316" max="13316" width="9.28515625" style="841" customWidth="1"/>
    <col min="13317" max="13317" width="8.28515625" style="841" customWidth="1"/>
    <col min="13318" max="13318" width="7.7109375" style="841" customWidth="1"/>
    <col min="13319" max="13319" width="9.7109375" style="841" customWidth="1"/>
    <col min="13320" max="13320" width="7.28515625" style="841" customWidth="1"/>
    <col min="13321" max="13321" width="7.5703125" style="841" customWidth="1"/>
    <col min="13322" max="13322" width="7.7109375" style="841" customWidth="1"/>
    <col min="13323" max="13323" width="7" style="841" customWidth="1"/>
    <col min="13324" max="13324" width="7.7109375" style="841" customWidth="1"/>
    <col min="13325" max="13325" width="7" style="841" customWidth="1"/>
    <col min="13326" max="13568" width="11.5703125" style="841"/>
    <col min="13569" max="13569" width="11.42578125" style="841" customWidth="1"/>
    <col min="13570" max="13570" width="6.140625" style="841" customWidth="1"/>
    <col min="13571" max="13571" width="22.28515625" style="841" customWidth="1"/>
    <col min="13572" max="13572" width="9.28515625" style="841" customWidth="1"/>
    <col min="13573" max="13573" width="8.28515625" style="841" customWidth="1"/>
    <col min="13574" max="13574" width="7.7109375" style="841" customWidth="1"/>
    <col min="13575" max="13575" width="9.7109375" style="841" customWidth="1"/>
    <col min="13576" max="13576" width="7.28515625" style="841" customWidth="1"/>
    <col min="13577" max="13577" width="7.5703125" style="841" customWidth="1"/>
    <col min="13578" max="13578" width="7.7109375" style="841" customWidth="1"/>
    <col min="13579" max="13579" width="7" style="841" customWidth="1"/>
    <col min="13580" max="13580" width="7.7109375" style="841" customWidth="1"/>
    <col min="13581" max="13581" width="7" style="841" customWidth="1"/>
    <col min="13582" max="13824" width="11.5703125" style="841"/>
    <col min="13825" max="13825" width="11.42578125" style="841" customWidth="1"/>
    <col min="13826" max="13826" width="6.140625" style="841" customWidth="1"/>
    <col min="13827" max="13827" width="22.28515625" style="841" customWidth="1"/>
    <col min="13828" max="13828" width="9.28515625" style="841" customWidth="1"/>
    <col min="13829" max="13829" width="8.28515625" style="841" customWidth="1"/>
    <col min="13830" max="13830" width="7.7109375" style="841" customWidth="1"/>
    <col min="13831" max="13831" width="9.7109375" style="841" customWidth="1"/>
    <col min="13832" max="13832" width="7.28515625" style="841" customWidth="1"/>
    <col min="13833" max="13833" width="7.5703125" style="841" customWidth="1"/>
    <col min="13834" max="13834" width="7.7109375" style="841" customWidth="1"/>
    <col min="13835" max="13835" width="7" style="841" customWidth="1"/>
    <col min="13836" max="13836" width="7.7109375" style="841" customWidth="1"/>
    <col min="13837" max="13837" width="7" style="841" customWidth="1"/>
    <col min="13838" max="14080" width="11.5703125" style="841"/>
    <col min="14081" max="14081" width="11.42578125" style="841" customWidth="1"/>
    <col min="14082" max="14082" width="6.140625" style="841" customWidth="1"/>
    <col min="14083" max="14083" width="22.28515625" style="841" customWidth="1"/>
    <col min="14084" max="14084" width="9.28515625" style="841" customWidth="1"/>
    <col min="14085" max="14085" width="8.28515625" style="841" customWidth="1"/>
    <col min="14086" max="14086" width="7.7109375" style="841" customWidth="1"/>
    <col min="14087" max="14087" width="9.7109375" style="841" customWidth="1"/>
    <col min="14088" max="14088" width="7.28515625" style="841" customWidth="1"/>
    <col min="14089" max="14089" width="7.5703125" style="841" customWidth="1"/>
    <col min="14090" max="14090" width="7.7109375" style="841" customWidth="1"/>
    <col min="14091" max="14091" width="7" style="841" customWidth="1"/>
    <col min="14092" max="14092" width="7.7109375" style="841" customWidth="1"/>
    <col min="14093" max="14093" width="7" style="841" customWidth="1"/>
    <col min="14094" max="14336" width="11.5703125" style="841"/>
    <col min="14337" max="14337" width="11.42578125" style="841" customWidth="1"/>
    <col min="14338" max="14338" width="6.140625" style="841" customWidth="1"/>
    <col min="14339" max="14339" width="22.28515625" style="841" customWidth="1"/>
    <col min="14340" max="14340" width="9.28515625" style="841" customWidth="1"/>
    <col min="14341" max="14341" width="8.28515625" style="841" customWidth="1"/>
    <col min="14342" max="14342" width="7.7109375" style="841" customWidth="1"/>
    <col min="14343" max="14343" width="9.7109375" style="841" customWidth="1"/>
    <col min="14344" max="14344" width="7.28515625" style="841" customWidth="1"/>
    <col min="14345" max="14345" width="7.5703125" style="841" customWidth="1"/>
    <col min="14346" max="14346" width="7.7109375" style="841" customWidth="1"/>
    <col min="14347" max="14347" width="7" style="841" customWidth="1"/>
    <col min="14348" max="14348" width="7.7109375" style="841" customWidth="1"/>
    <col min="14349" max="14349" width="7" style="841" customWidth="1"/>
    <col min="14350" max="14592" width="11.5703125" style="841"/>
    <col min="14593" max="14593" width="11.42578125" style="841" customWidth="1"/>
    <col min="14594" max="14594" width="6.140625" style="841" customWidth="1"/>
    <col min="14595" max="14595" width="22.28515625" style="841" customWidth="1"/>
    <col min="14596" max="14596" width="9.28515625" style="841" customWidth="1"/>
    <col min="14597" max="14597" width="8.28515625" style="841" customWidth="1"/>
    <col min="14598" max="14598" width="7.7109375" style="841" customWidth="1"/>
    <col min="14599" max="14599" width="9.7109375" style="841" customWidth="1"/>
    <col min="14600" max="14600" width="7.28515625" style="841" customWidth="1"/>
    <col min="14601" max="14601" width="7.5703125" style="841" customWidth="1"/>
    <col min="14602" max="14602" width="7.7109375" style="841" customWidth="1"/>
    <col min="14603" max="14603" width="7" style="841" customWidth="1"/>
    <col min="14604" max="14604" width="7.7109375" style="841" customWidth="1"/>
    <col min="14605" max="14605" width="7" style="841" customWidth="1"/>
    <col min="14606" max="14848" width="11.5703125" style="841"/>
    <col min="14849" max="14849" width="11.42578125" style="841" customWidth="1"/>
    <col min="14850" max="14850" width="6.140625" style="841" customWidth="1"/>
    <col min="14851" max="14851" width="22.28515625" style="841" customWidth="1"/>
    <col min="14852" max="14852" width="9.28515625" style="841" customWidth="1"/>
    <col min="14853" max="14853" width="8.28515625" style="841" customWidth="1"/>
    <col min="14854" max="14854" width="7.7109375" style="841" customWidth="1"/>
    <col min="14855" max="14855" width="9.7109375" style="841" customWidth="1"/>
    <col min="14856" max="14856" width="7.28515625" style="841" customWidth="1"/>
    <col min="14857" max="14857" width="7.5703125" style="841" customWidth="1"/>
    <col min="14858" max="14858" width="7.7109375" style="841" customWidth="1"/>
    <col min="14859" max="14859" width="7" style="841" customWidth="1"/>
    <col min="14860" max="14860" width="7.7109375" style="841" customWidth="1"/>
    <col min="14861" max="14861" width="7" style="841" customWidth="1"/>
    <col min="14862" max="15104" width="11.5703125" style="841"/>
    <col min="15105" max="15105" width="11.42578125" style="841" customWidth="1"/>
    <col min="15106" max="15106" width="6.140625" style="841" customWidth="1"/>
    <col min="15107" max="15107" width="22.28515625" style="841" customWidth="1"/>
    <col min="15108" max="15108" width="9.28515625" style="841" customWidth="1"/>
    <col min="15109" max="15109" width="8.28515625" style="841" customWidth="1"/>
    <col min="15110" max="15110" width="7.7109375" style="841" customWidth="1"/>
    <col min="15111" max="15111" width="9.7109375" style="841" customWidth="1"/>
    <col min="15112" max="15112" width="7.28515625" style="841" customWidth="1"/>
    <col min="15113" max="15113" width="7.5703125" style="841" customWidth="1"/>
    <col min="15114" max="15114" width="7.7109375" style="841" customWidth="1"/>
    <col min="15115" max="15115" width="7" style="841" customWidth="1"/>
    <col min="15116" max="15116" width="7.7109375" style="841" customWidth="1"/>
    <col min="15117" max="15117" width="7" style="841" customWidth="1"/>
    <col min="15118" max="15360" width="11.5703125" style="841"/>
    <col min="15361" max="15361" width="11.42578125" style="841" customWidth="1"/>
    <col min="15362" max="15362" width="6.140625" style="841" customWidth="1"/>
    <col min="15363" max="15363" width="22.28515625" style="841" customWidth="1"/>
    <col min="15364" max="15364" width="9.28515625" style="841" customWidth="1"/>
    <col min="15365" max="15365" width="8.28515625" style="841" customWidth="1"/>
    <col min="15366" max="15366" width="7.7109375" style="841" customWidth="1"/>
    <col min="15367" max="15367" width="9.7109375" style="841" customWidth="1"/>
    <col min="15368" max="15368" width="7.28515625" style="841" customWidth="1"/>
    <col min="15369" max="15369" width="7.5703125" style="841" customWidth="1"/>
    <col min="15370" max="15370" width="7.7109375" style="841" customWidth="1"/>
    <col min="15371" max="15371" width="7" style="841" customWidth="1"/>
    <col min="15372" max="15372" width="7.7109375" style="841" customWidth="1"/>
    <col min="15373" max="15373" width="7" style="841" customWidth="1"/>
    <col min="15374" max="15616" width="11.5703125" style="841"/>
    <col min="15617" max="15617" width="11.42578125" style="841" customWidth="1"/>
    <col min="15618" max="15618" width="6.140625" style="841" customWidth="1"/>
    <col min="15619" max="15619" width="22.28515625" style="841" customWidth="1"/>
    <col min="15620" max="15620" width="9.28515625" style="841" customWidth="1"/>
    <col min="15621" max="15621" width="8.28515625" style="841" customWidth="1"/>
    <col min="15622" max="15622" width="7.7109375" style="841" customWidth="1"/>
    <col min="15623" max="15623" width="9.7109375" style="841" customWidth="1"/>
    <col min="15624" max="15624" width="7.28515625" style="841" customWidth="1"/>
    <col min="15625" max="15625" width="7.5703125" style="841" customWidth="1"/>
    <col min="15626" max="15626" width="7.7109375" style="841" customWidth="1"/>
    <col min="15627" max="15627" width="7" style="841" customWidth="1"/>
    <col min="15628" max="15628" width="7.7109375" style="841" customWidth="1"/>
    <col min="15629" max="15629" width="7" style="841" customWidth="1"/>
    <col min="15630" max="15872" width="11.5703125" style="841"/>
    <col min="15873" max="15873" width="11.42578125" style="841" customWidth="1"/>
    <col min="15874" max="15874" width="6.140625" style="841" customWidth="1"/>
    <col min="15875" max="15875" width="22.28515625" style="841" customWidth="1"/>
    <col min="15876" max="15876" width="9.28515625" style="841" customWidth="1"/>
    <col min="15877" max="15877" width="8.28515625" style="841" customWidth="1"/>
    <col min="15878" max="15878" width="7.7109375" style="841" customWidth="1"/>
    <col min="15879" max="15879" width="9.7109375" style="841" customWidth="1"/>
    <col min="15880" max="15880" width="7.28515625" style="841" customWidth="1"/>
    <col min="15881" max="15881" width="7.5703125" style="841" customWidth="1"/>
    <col min="15882" max="15882" width="7.7109375" style="841" customWidth="1"/>
    <col min="15883" max="15883" width="7" style="841" customWidth="1"/>
    <col min="15884" max="15884" width="7.7109375" style="841" customWidth="1"/>
    <col min="15885" max="15885" width="7" style="841" customWidth="1"/>
    <col min="15886" max="16128" width="11.5703125" style="841"/>
    <col min="16129" max="16129" width="11.42578125" style="841" customWidth="1"/>
    <col min="16130" max="16130" width="6.140625" style="841" customWidth="1"/>
    <col min="16131" max="16131" width="22.28515625" style="841" customWidth="1"/>
    <col min="16132" max="16132" width="9.28515625" style="841" customWidth="1"/>
    <col min="16133" max="16133" width="8.28515625" style="841" customWidth="1"/>
    <col min="16134" max="16134" width="7.7109375" style="841" customWidth="1"/>
    <col min="16135" max="16135" width="9.7109375" style="841" customWidth="1"/>
    <col min="16136" max="16136" width="7.28515625" style="841" customWidth="1"/>
    <col min="16137" max="16137" width="7.5703125" style="841" customWidth="1"/>
    <col min="16138" max="16138" width="7.7109375" style="841" customWidth="1"/>
    <col min="16139" max="16139" width="7" style="841" customWidth="1"/>
    <col min="16140" max="16140" width="7.7109375" style="841" customWidth="1"/>
    <col min="16141" max="16141" width="7" style="841" customWidth="1"/>
    <col min="16142" max="16384" width="11.5703125" style="841"/>
  </cols>
  <sheetData>
    <row r="1" spans="1:15" ht="26.25" customHeight="1" x14ac:dyDescent="0.4">
      <c r="A1" s="909" t="s">
        <v>1667</v>
      </c>
      <c r="B1" s="910"/>
      <c r="C1" s="911"/>
      <c r="F1" s="912" t="s">
        <v>1815</v>
      </c>
      <c r="G1" s="913"/>
      <c r="H1" s="913"/>
      <c r="I1" s="913"/>
      <c r="J1" s="913"/>
      <c r="K1" s="913"/>
      <c r="L1" s="914"/>
    </row>
    <row r="2" spans="1:15" ht="21" customHeight="1" x14ac:dyDescent="0.35">
      <c r="A2" s="905" t="s">
        <v>1669</v>
      </c>
      <c r="B2" s="906"/>
      <c r="C2" s="842" t="s">
        <v>1670</v>
      </c>
      <c r="F2" s="905" t="s">
        <v>1669</v>
      </c>
      <c r="G2" s="906"/>
      <c r="H2" s="907" t="s">
        <v>1681</v>
      </c>
      <c r="I2" s="907"/>
      <c r="J2" s="907"/>
      <c r="K2" s="907"/>
      <c r="L2" s="908"/>
    </row>
    <row r="3" spans="1:15" ht="21.75" customHeight="1" x14ac:dyDescent="0.35">
      <c r="A3" s="905" t="s">
        <v>1671</v>
      </c>
      <c r="B3" s="906"/>
      <c r="C3" s="842" t="s">
        <v>1672</v>
      </c>
      <c r="F3" s="905" t="s">
        <v>1671</v>
      </c>
      <c r="G3" s="906"/>
      <c r="H3" s="907" t="s">
        <v>1682</v>
      </c>
      <c r="I3" s="907"/>
      <c r="J3" s="907"/>
      <c r="K3" s="907"/>
      <c r="L3" s="908"/>
    </row>
    <row r="4" spans="1:15" ht="21.75" thickBot="1" x14ac:dyDescent="0.4">
      <c r="A4" s="915" t="s">
        <v>1673</v>
      </c>
      <c r="B4" s="916"/>
      <c r="C4" s="843" t="s">
        <v>1674</v>
      </c>
      <c r="F4" s="915" t="s">
        <v>1673</v>
      </c>
      <c r="G4" s="916"/>
      <c r="H4" s="917" t="s">
        <v>1816</v>
      </c>
      <c r="I4" s="917"/>
      <c r="J4" s="917"/>
      <c r="K4" s="917"/>
      <c r="L4" s="918"/>
    </row>
    <row r="5" spans="1:15" ht="7.5" customHeight="1" thickBot="1" x14ac:dyDescent="0.4">
      <c r="A5" s="844"/>
      <c r="C5" s="844"/>
    </row>
    <row r="6" spans="1:15" ht="35.450000000000003" customHeight="1" thickBot="1" x14ac:dyDescent="0.25">
      <c r="A6" s="919" t="s">
        <v>1668</v>
      </c>
      <c r="B6" s="920"/>
      <c r="C6" s="921"/>
      <c r="F6" s="922" t="s">
        <v>1675</v>
      </c>
      <c r="G6" s="923"/>
      <c r="H6" s="924"/>
      <c r="I6" s="925">
        <f ca="1">+TODAY()</f>
        <v>46099</v>
      </c>
      <c r="J6" s="926"/>
      <c r="K6" s="926"/>
      <c r="L6" s="926"/>
      <c r="M6" s="927"/>
    </row>
    <row r="7" spans="1:15" ht="3" customHeight="1" thickBot="1" x14ac:dyDescent="0.25"/>
    <row r="8" spans="1:15" ht="42.75" customHeight="1" thickBot="1" x14ac:dyDescent="0.25">
      <c r="A8" s="935" t="s">
        <v>1676</v>
      </c>
      <c r="B8" s="936"/>
      <c r="C8" s="845" t="s">
        <v>1832</v>
      </c>
      <c r="D8" s="846" t="s">
        <v>1677</v>
      </c>
      <c r="E8" s="847">
        <v>697</v>
      </c>
      <c r="F8" s="935" t="s">
        <v>1678</v>
      </c>
      <c r="G8" s="937"/>
      <c r="H8" s="936"/>
      <c r="I8" s="938" t="s">
        <v>1672</v>
      </c>
      <c r="J8" s="939"/>
      <c r="K8" s="939"/>
      <c r="L8" s="939"/>
      <c r="M8" s="940"/>
    </row>
    <row r="9" spans="1:15" ht="7.5" customHeight="1" thickBot="1" x14ac:dyDescent="0.4">
      <c r="A9" s="844"/>
      <c r="C9" s="844"/>
    </row>
    <row r="10" spans="1:15" ht="39.6" customHeight="1" thickBot="1" x14ac:dyDescent="0.25">
      <c r="A10" s="941" t="s">
        <v>1818</v>
      </c>
      <c r="B10" s="942"/>
      <c r="C10" s="942"/>
      <c r="D10" s="942"/>
      <c r="E10" s="942"/>
      <c r="F10" s="942"/>
      <c r="G10" s="942"/>
      <c r="H10" s="942"/>
      <c r="I10" s="942"/>
      <c r="J10" s="942"/>
      <c r="K10" s="942"/>
      <c r="L10" s="942"/>
      <c r="M10" s="943"/>
    </row>
    <row r="11" spans="1:15" ht="6" customHeight="1" thickBot="1" x14ac:dyDescent="0.4">
      <c r="A11" s="844"/>
      <c r="C11" s="844"/>
    </row>
    <row r="12" spans="1:15" ht="27" thickBot="1" x14ac:dyDescent="0.25">
      <c r="A12" s="944" t="s">
        <v>1679</v>
      </c>
      <c r="B12" s="945"/>
      <c r="C12" s="945"/>
      <c r="D12" s="945"/>
      <c r="E12" s="945"/>
      <c r="F12" s="945"/>
      <c r="G12" s="945"/>
      <c r="H12" s="945"/>
      <c r="I12" s="945"/>
      <c r="J12" s="945"/>
      <c r="K12" s="945"/>
      <c r="L12" s="945"/>
      <c r="M12" s="946"/>
    </row>
    <row r="13" spans="1:15" ht="38.25" thickBot="1" x14ac:dyDescent="0.25">
      <c r="A13" s="848" t="s">
        <v>1293</v>
      </c>
      <c r="B13" s="849" t="s">
        <v>1664</v>
      </c>
      <c r="C13" s="850" t="s">
        <v>1819</v>
      </c>
      <c r="D13" s="851" t="s">
        <v>1042</v>
      </c>
      <c r="E13" s="852" t="s">
        <v>1820</v>
      </c>
      <c r="F13" s="852" t="s">
        <v>1821</v>
      </c>
      <c r="G13" s="853" t="s">
        <v>1822</v>
      </c>
      <c r="H13" s="849" t="s">
        <v>1823</v>
      </c>
      <c r="I13" s="849" t="s">
        <v>1824</v>
      </c>
      <c r="J13" s="849" t="s">
        <v>1823</v>
      </c>
      <c r="K13" s="849" t="s">
        <v>1824</v>
      </c>
      <c r="L13" s="849" t="s">
        <v>1823</v>
      </c>
      <c r="M13" s="849" t="s">
        <v>1824</v>
      </c>
    </row>
    <row r="14" spans="1:15" ht="33.6" customHeight="1" x14ac:dyDescent="0.2">
      <c r="A14" s="928" t="str" cm="1">
        <f t="array" ref="A14">+IFERROR(INDEX('Pedido VACIO'!$B:$B,MATCH(1,('Pedido VACIO'!$H:$H=$B14)*('Pedido VACIO'!$A:$A="AJ Adhesivos"),0)),"")</f>
        <v/>
      </c>
      <c r="B14" s="930">
        <v>1</v>
      </c>
      <c r="C14" s="932" t="str" cm="1">
        <f t="array" ref="C14">+IFERROR(INDEX('Pedido VACIO'!$F:$F,MATCH(1,('Pedido VACIO'!$H:$H=$B14)*('Pedido VACIO'!$A:$A="AJ Adhesivos"),0)),"")</f>
        <v/>
      </c>
      <c r="D14" s="932" t="str" cm="1">
        <f t="array" ref="D14">+IFERROR(INDEX('Pedido VACIO'!$G:$G,MATCH(1,('Pedido VACIO'!$H:$H=$B14)*('Pedido VACIO'!$A:$A="AJ Adhesivos"),0)),"")</f>
        <v/>
      </c>
      <c r="E14" s="854" t="str">
        <f>+IF(E13="LK","CH",IF(D14="","",IF(D14&gt;0,"LK","CH")))</f>
        <v/>
      </c>
      <c r="F14" s="854" t="str">
        <f>+IF(OR(E14="LK"),ROUNDUP(D14*0.7/25,0)*25,IF(E14="CH",D13-F13,""))</f>
        <v/>
      </c>
      <c r="G14" s="934"/>
      <c r="H14" s="856"/>
      <c r="I14" s="857"/>
      <c r="J14" s="856"/>
      <c r="K14" s="857"/>
      <c r="L14" s="856"/>
      <c r="M14" s="858"/>
      <c r="O14" s="859"/>
    </row>
    <row r="15" spans="1:15" ht="33.6" customHeight="1" x14ac:dyDescent="0.2">
      <c r="A15" s="929"/>
      <c r="B15" s="931"/>
      <c r="C15" s="933"/>
      <c r="D15" s="933"/>
      <c r="E15" s="860" t="str">
        <f t="shared" ref="E15:E43" si="0">+IF(E14="LK","CH",IF(D15="","",IF(D15&gt;0,"LK","CH")))</f>
        <v/>
      </c>
      <c r="F15" s="854" t="str">
        <f>+IF(OR(E15="LK"),ROUNDUP(D15*0.7/25,0)*25,IF(E15="CH",D14-F14,""))</f>
        <v/>
      </c>
      <c r="G15" s="931"/>
      <c r="H15" s="861"/>
      <c r="I15" s="862"/>
      <c r="J15" s="861"/>
      <c r="K15" s="862"/>
      <c r="L15" s="861"/>
      <c r="M15" s="863"/>
    </row>
    <row r="16" spans="1:15" ht="33.6" customHeight="1" x14ac:dyDescent="0.2">
      <c r="A16" s="947" t="str" cm="1">
        <f t="array" ref="A16">+IFERROR(INDEX('Pedido VACIO'!$B:$B,MATCH(1,('Pedido VACIO'!$H:$H=$B16)*('Pedido VACIO'!$A:$A="AJ Adhesivos"),0)),"")</f>
        <v/>
      </c>
      <c r="B16" s="931">
        <f>+B14+1</f>
        <v>2</v>
      </c>
      <c r="C16" s="948" t="str" cm="1">
        <f t="array" ref="C16">+IFERROR(INDEX('Pedido VACIO'!$F:$F,MATCH(1,('Pedido VACIO'!$H:$H=$B16)*('Pedido VACIO'!$A:$A="AJ Adhesivos"),0)),"")</f>
        <v/>
      </c>
      <c r="D16" s="949" t="str" cm="1">
        <f t="array" ref="D16">+IFERROR(INDEX('Pedido VACIO'!$G:$G,MATCH(1,('Pedido VACIO'!$H:$H=$B16)*('Pedido VACIO'!$A:$A="AJ Adhesivos"),0)),"")</f>
        <v/>
      </c>
      <c r="E16" s="860" t="str">
        <f t="shared" si="0"/>
        <v/>
      </c>
      <c r="F16" s="854" t="str">
        <f t="shared" ref="F16:F43" si="1">+IF(OR(E16="LK"),ROUNDUP(D16*0.7/25,0)*25,IF(E16="CH",D15-F15,""))</f>
        <v/>
      </c>
      <c r="G16" s="931"/>
      <c r="H16" s="862"/>
      <c r="I16" s="862"/>
      <c r="J16" s="862"/>
      <c r="K16" s="862"/>
      <c r="L16" s="862"/>
      <c r="M16" s="863"/>
    </row>
    <row r="17" spans="1:13" ht="33.6" customHeight="1" x14ac:dyDescent="0.2">
      <c r="A17" s="947"/>
      <c r="B17" s="931"/>
      <c r="C17" s="948"/>
      <c r="D17" s="949"/>
      <c r="E17" s="860" t="str">
        <f t="shared" si="0"/>
        <v/>
      </c>
      <c r="F17" s="854" t="str">
        <f t="shared" si="1"/>
        <v/>
      </c>
      <c r="G17" s="931"/>
      <c r="H17" s="862"/>
      <c r="I17" s="862"/>
      <c r="J17" s="862"/>
      <c r="K17" s="862"/>
      <c r="L17" s="862"/>
      <c r="M17" s="863"/>
    </row>
    <row r="18" spans="1:13" ht="33.6" customHeight="1" x14ac:dyDescent="0.2">
      <c r="A18" s="947" t="str" cm="1">
        <f t="array" ref="A18">+IFERROR(INDEX('Pedido VACIO'!$B:$B,MATCH(1,('Pedido VACIO'!$H:$H=$B18)*('Pedido VACIO'!$A:$A="AJ Adhesivos"),0)),"")</f>
        <v/>
      </c>
      <c r="B18" s="931">
        <f>+B16+1</f>
        <v>3</v>
      </c>
      <c r="C18" s="948" t="str" cm="1">
        <f t="array" ref="C18">+IFERROR(INDEX('Pedido VACIO'!$F:$F,MATCH(1,('Pedido VACIO'!$H:$H=$B18)*('Pedido VACIO'!$A:$A="AJ Adhesivos"),0)),"")</f>
        <v/>
      </c>
      <c r="D18" s="949" t="str" cm="1">
        <f t="array" ref="D18">+IFERROR(INDEX('Pedido VACIO'!$G:$G,MATCH(1,('Pedido VACIO'!$H:$H=$B18)*('Pedido VACIO'!$A:$A="AJ Adhesivos"),0)),"")</f>
        <v/>
      </c>
      <c r="E18" s="860" t="str">
        <f t="shared" si="0"/>
        <v/>
      </c>
      <c r="F18" s="854" t="str">
        <f t="shared" si="1"/>
        <v/>
      </c>
      <c r="G18" s="931"/>
      <c r="H18" s="862"/>
      <c r="I18" s="862"/>
      <c r="J18" s="862"/>
      <c r="K18" s="862"/>
      <c r="L18" s="862"/>
      <c r="M18" s="863"/>
    </row>
    <row r="19" spans="1:13" ht="33.6" customHeight="1" x14ac:dyDescent="0.2">
      <c r="A19" s="947"/>
      <c r="B19" s="931"/>
      <c r="C19" s="948"/>
      <c r="D19" s="949"/>
      <c r="E19" s="860" t="str">
        <f t="shared" si="0"/>
        <v/>
      </c>
      <c r="F19" s="854" t="str">
        <f t="shared" si="1"/>
        <v/>
      </c>
      <c r="G19" s="931"/>
      <c r="H19" s="862"/>
      <c r="I19" s="862"/>
      <c r="J19" s="862"/>
      <c r="K19" s="862"/>
      <c r="L19" s="862"/>
      <c r="M19" s="863"/>
    </row>
    <row r="20" spans="1:13" ht="33.6" customHeight="1" x14ac:dyDescent="0.2">
      <c r="A20" s="947" t="str" cm="1">
        <f t="array" ref="A20">+IFERROR(INDEX('Pedido VACIO'!$B:$B,MATCH(1,('Pedido VACIO'!$H:$H=$B20)*('Pedido VACIO'!$A:$A="AJ Adhesivos"),0)),"")</f>
        <v/>
      </c>
      <c r="B20" s="931">
        <f>+B18+1</f>
        <v>4</v>
      </c>
      <c r="C20" s="948" t="str" cm="1">
        <f t="array" ref="C20">+IFERROR(INDEX('Pedido VACIO'!$F:$F,MATCH(1,('Pedido VACIO'!$H:$H=$B20)*('Pedido VACIO'!$A:$A="AJ Adhesivos"),0)),"")</f>
        <v/>
      </c>
      <c r="D20" s="931" t="str" cm="1">
        <f t="array" ref="D20">+IFERROR(INDEX('Pedido VACIO'!$G:$G,MATCH(1,('Pedido VACIO'!$H:$H=$B20)*('Pedido VACIO'!$A:$A="AJ Adhesivos"),0)),"")</f>
        <v/>
      </c>
      <c r="E20" s="860" t="str">
        <f t="shared" si="0"/>
        <v/>
      </c>
      <c r="F20" s="854" t="str">
        <f t="shared" si="1"/>
        <v/>
      </c>
      <c r="G20" s="931"/>
      <c r="H20" s="862"/>
      <c r="I20" s="862"/>
      <c r="J20" s="862"/>
      <c r="K20" s="862"/>
      <c r="L20" s="862"/>
      <c r="M20" s="863"/>
    </row>
    <row r="21" spans="1:13" ht="33.6" customHeight="1" x14ac:dyDescent="0.2">
      <c r="A21" s="947"/>
      <c r="B21" s="931"/>
      <c r="C21" s="948"/>
      <c r="D21" s="931"/>
      <c r="E21" s="860" t="str">
        <f t="shared" si="0"/>
        <v/>
      </c>
      <c r="F21" s="854" t="str">
        <f t="shared" si="1"/>
        <v/>
      </c>
      <c r="G21" s="931"/>
      <c r="H21" s="862"/>
      <c r="I21" s="862"/>
      <c r="J21" s="862"/>
      <c r="K21" s="862"/>
      <c r="L21" s="862"/>
      <c r="M21" s="863"/>
    </row>
    <row r="22" spans="1:13" ht="33.6" customHeight="1" x14ac:dyDescent="0.2">
      <c r="A22" s="947" t="str" cm="1">
        <f t="array" ref="A22">+IFERROR(INDEX('Pedido VACIO'!$B:$B,MATCH(1,('Pedido VACIO'!$H:$H=$B22)*('Pedido VACIO'!$A:$A="AJ Adhesivos"),0)),"")</f>
        <v/>
      </c>
      <c r="B22" s="931">
        <f>+B20+1</f>
        <v>5</v>
      </c>
      <c r="C22" s="948" t="str" cm="1">
        <f t="array" ref="C22">+IFERROR(INDEX('Pedido VACIO'!$F:$F,MATCH(1,('Pedido VACIO'!$H:$H=$B22)*('Pedido VACIO'!$A:$A="AJ Adhesivos"),0)),"")</f>
        <v/>
      </c>
      <c r="D22" s="931" t="str" cm="1">
        <f t="array" ref="D22">+IFERROR(INDEX('Pedido VACIO'!$G:$G,MATCH(1,('Pedido VACIO'!$H:$H=$B22)*('Pedido VACIO'!$A:$A="AJ Adhesivos"),0)),"")</f>
        <v/>
      </c>
      <c r="E22" s="860" t="str">
        <f t="shared" si="0"/>
        <v/>
      </c>
      <c r="F22" s="854" t="str">
        <f t="shared" si="1"/>
        <v/>
      </c>
      <c r="G22" s="931"/>
      <c r="H22" s="862"/>
      <c r="I22" s="862"/>
      <c r="J22" s="862"/>
      <c r="K22" s="862"/>
      <c r="L22" s="862"/>
      <c r="M22" s="863"/>
    </row>
    <row r="23" spans="1:13" ht="33.6" customHeight="1" x14ac:dyDescent="0.2">
      <c r="A23" s="947"/>
      <c r="B23" s="931"/>
      <c r="C23" s="948"/>
      <c r="D23" s="931"/>
      <c r="E23" s="860" t="str">
        <f t="shared" si="0"/>
        <v/>
      </c>
      <c r="F23" s="854" t="str">
        <f t="shared" si="1"/>
        <v/>
      </c>
      <c r="G23" s="931"/>
      <c r="H23" s="862"/>
      <c r="I23" s="862"/>
      <c r="J23" s="862"/>
      <c r="K23" s="862"/>
      <c r="L23" s="862"/>
      <c r="M23" s="863"/>
    </row>
    <row r="24" spans="1:13" ht="33.6" customHeight="1" x14ac:dyDescent="0.2">
      <c r="A24" s="947" t="str" cm="1">
        <f t="array" ref="A24">+IFERROR(INDEX('Pedido VACIO'!$B:$B,MATCH(1,('Pedido VACIO'!$H:$H=$B24)*('Pedido VACIO'!$A:$A="AJ Adhesivos"),0)),"")</f>
        <v/>
      </c>
      <c r="B24" s="931">
        <f>+B22+1</f>
        <v>6</v>
      </c>
      <c r="C24" s="948" t="str" cm="1">
        <f t="array" ref="C24">+IFERROR(INDEX('Pedido VACIO'!$F:$F,MATCH(1,('Pedido VACIO'!$H:$H=$B24)*('Pedido VACIO'!$A:$A="AJ Adhesivos"),0)),"")</f>
        <v/>
      </c>
      <c r="D24" s="931" t="str" cm="1">
        <f t="array" ref="D24">+IFERROR(INDEX('Pedido VACIO'!$G:$G,MATCH(1,('Pedido VACIO'!$H:$H=$B24)*('Pedido VACIO'!$A:$A="AJ Adhesivos"),0)),"")</f>
        <v/>
      </c>
      <c r="E24" s="860" t="str">
        <f t="shared" si="0"/>
        <v/>
      </c>
      <c r="F24" s="854" t="str">
        <f t="shared" si="1"/>
        <v/>
      </c>
      <c r="G24" s="931"/>
      <c r="H24" s="862"/>
      <c r="I24" s="862"/>
      <c r="J24" s="862"/>
      <c r="K24" s="862"/>
      <c r="L24" s="862"/>
      <c r="M24" s="863"/>
    </row>
    <row r="25" spans="1:13" ht="33.6" customHeight="1" x14ac:dyDescent="0.2">
      <c r="A25" s="947"/>
      <c r="B25" s="931"/>
      <c r="C25" s="948"/>
      <c r="D25" s="931"/>
      <c r="E25" s="860" t="str">
        <f t="shared" si="0"/>
        <v/>
      </c>
      <c r="F25" s="854" t="str">
        <f t="shared" si="1"/>
        <v/>
      </c>
      <c r="G25" s="931"/>
      <c r="H25" s="862"/>
      <c r="I25" s="862"/>
      <c r="J25" s="862"/>
      <c r="K25" s="862"/>
      <c r="L25" s="862"/>
      <c r="M25" s="863"/>
    </row>
    <row r="26" spans="1:13" ht="33.6" customHeight="1" x14ac:dyDescent="0.2">
      <c r="A26" s="947" t="str" cm="1">
        <f t="array" ref="A26">+IFERROR(INDEX('Pedido VACIO'!$B:$B,MATCH(1,('Pedido VACIO'!$H:$H=$B26)*('Pedido VACIO'!$A:$A="AJ Adhesivos"),0)),"")</f>
        <v/>
      </c>
      <c r="B26" s="931">
        <f>+B24+1</f>
        <v>7</v>
      </c>
      <c r="C26" s="948" t="str" cm="1">
        <f t="array" ref="C26">+IFERROR(INDEX('Pedido VACIO'!$F:$F,MATCH(1,('Pedido VACIO'!$H:$H=$B26)*('Pedido VACIO'!$A:$A="AJ Adhesivos"),0)),"")</f>
        <v/>
      </c>
      <c r="D26" s="931" t="str" cm="1">
        <f t="array" ref="D26">+IFERROR(INDEX('Pedido VACIO'!$G:$G,MATCH(1,('Pedido VACIO'!$H:$H=$B26)*('Pedido VACIO'!$A:$A="AJ Adhesivos"),0)),"")</f>
        <v/>
      </c>
      <c r="E26" s="860" t="str">
        <f t="shared" si="0"/>
        <v/>
      </c>
      <c r="F26" s="854" t="str">
        <f t="shared" si="1"/>
        <v/>
      </c>
      <c r="G26" s="931"/>
      <c r="H26" s="862"/>
      <c r="I26" s="862"/>
      <c r="J26" s="862"/>
      <c r="K26" s="862"/>
      <c r="L26" s="862"/>
      <c r="M26" s="863"/>
    </row>
    <row r="27" spans="1:13" ht="33.6" customHeight="1" x14ac:dyDescent="0.2">
      <c r="A27" s="947"/>
      <c r="B27" s="931"/>
      <c r="C27" s="948"/>
      <c r="D27" s="931"/>
      <c r="E27" s="860" t="str">
        <f t="shared" si="0"/>
        <v/>
      </c>
      <c r="F27" s="854" t="str">
        <f t="shared" si="1"/>
        <v/>
      </c>
      <c r="G27" s="931"/>
      <c r="H27" s="862"/>
      <c r="I27" s="862"/>
      <c r="J27" s="862"/>
      <c r="K27" s="862"/>
      <c r="L27" s="862"/>
      <c r="M27" s="863"/>
    </row>
    <row r="28" spans="1:13" ht="33.6" customHeight="1" x14ac:dyDescent="0.2">
      <c r="A28" s="947" t="str" cm="1">
        <f t="array" ref="A28">+IFERROR(INDEX('Pedido VACIO'!$B:$B,MATCH(1,('Pedido VACIO'!$H:$H=$B28)*('Pedido VACIO'!$A:$A="AJ Adhesivos"),0)),"")</f>
        <v/>
      </c>
      <c r="B28" s="931">
        <f>+B26+1</f>
        <v>8</v>
      </c>
      <c r="C28" s="948" t="str" cm="1">
        <f t="array" ref="C28">+IFERROR(INDEX('Pedido VACIO'!$F:$F,MATCH(1,('Pedido VACIO'!$H:$H=$B28)*('Pedido VACIO'!$A:$A="AJ Adhesivos"),0)),"")</f>
        <v/>
      </c>
      <c r="D28" s="931" t="str" cm="1">
        <f t="array" ref="D28">+IFERROR(INDEX('Pedido VACIO'!$G:$G,MATCH(1,('Pedido VACIO'!$H:$H=$B28)*('Pedido VACIO'!$A:$A="AJ Adhesivos"),0)),"")</f>
        <v/>
      </c>
      <c r="E28" s="860" t="str">
        <f t="shared" si="0"/>
        <v/>
      </c>
      <c r="F28" s="854" t="str">
        <f t="shared" si="1"/>
        <v/>
      </c>
      <c r="G28" s="931"/>
      <c r="H28" s="862"/>
      <c r="I28" s="862"/>
      <c r="J28" s="862"/>
      <c r="K28" s="862"/>
      <c r="L28" s="862"/>
      <c r="M28" s="863"/>
    </row>
    <row r="29" spans="1:13" ht="33.6" customHeight="1" x14ac:dyDescent="0.2">
      <c r="A29" s="947"/>
      <c r="B29" s="931"/>
      <c r="C29" s="948"/>
      <c r="D29" s="931"/>
      <c r="E29" s="860" t="str">
        <f t="shared" si="0"/>
        <v/>
      </c>
      <c r="F29" s="854" t="str">
        <f t="shared" si="1"/>
        <v/>
      </c>
      <c r="G29" s="931"/>
      <c r="H29" s="862"/>
      <c r="I29" s="862"/>
      <c r="J29" s="862"/>
      <c r="K29" s="862"/>
      <c r="L29" s="862"/>
      <c r="M29" s="863"/>
    </row>
    <row r="30" spans="1:13" ht="33.6" customHeight="1" x14ac:dyDescent="0.2">
      <c r="A30" s="947" t="str" cm="1">
        <f t="array" ref="A30">+IFERROR(INDEX('Pedido VACIO'!$B:$B,MATCH(1,('Pedido VACIO'!$H:$H=$B30)*('Pedido VACIO'!$A:$A="AJ Adhesivos"),0)),"")</f>
        <v/>
      </c>
      <c r="B30" s="931">
        <f>+B28+1</f>
        <v>9</v>
      </c>
      <c r="C30" s="948" t="str" cm="1">
        <f t="array" ref="C30">+IFERROR(INDEX('Pedido VACIO'!$F:$F,MATCH(1,('Pedido VACIO'!$H:$H=$B30)*('Pedido VACIO'!$A:$A="AJ Adhesivos"),0)),"")</f>
        <v/>
      </c>
      <c r="D30" s="931" t="str" cm="1">
        <f t="array" ref="D30">+IFERROR(INDEX('Pedido VACIO'!$G:$G,MATCH(1,('Pedido VACIO'!$H:$H=$B30)*('Pedido VACIO'!$A:$A="AJ Adhesivos"),0)),"")</f>
        <v/>
      </c>
      <c r="E30" s="860" t="str">
        <f t="shared" si="0"/>
        <v/>
      </c>
      <c r="F30" s="854" t="str">
        <f t="shared" si="1"/>
        <v/>
      </c>
      <c r="G30" s="931"/>
      <c r="H30" s="862"/>
      <c r="I30" s="862"/>
      <c r="J30" s="862"/>
      <c r="K30" s="862"/>
      <c r="L30" s="862"/>
      <c r="M30" s="863"/>
    </row>
    <row r="31" spans="1:13" ht="33.6" customHeight="1" x14ac:dyDescent="0.2">
      <c r="A31" s="947"/>
      <c r="B31" s="931"/>
      <c r="C31" s="948"/>
      <c r="D31" s="931"/>
      <c r="E31" s="860" t="str">
        <f t="shared" si="0"/>
        <v/>
      </c>
      <c r="F31" s="854" t="str">
        <f t="shared" si="1"/>
        <v/>
      </c>
      <c r="G31" s="931"/>
      <c r="H31" s="862"/>
      <c r="I31" s="862"/>
      <c r="J31" s="862"/>
      <c r="K31" s="862"/>
      <c r="L31" s="862"/>
      <c r="M31" s="863"/>
    </row>
    <row r="32" spans="1:13" ht="33.6" customHeight="1" x14ac:dyDescent="0.2">
      <c r="A32" s="947" t="str" cm="1">
        <f t="array" ref="A32">+IFERROR(INDEX('Pedido VACIO'!$B:$B,MATCH(1,('Pedido VACIO'!$H:$H=$B32)*('Pedido VACIO'!$A:$A="AJ Adhesivos"),0)),"")</f>
        <v/>
      </c>
      <c r="B32" s="931">
        <f>+B30+1</f>
        <v>10</v>
      </c>
      <c r="C32" s="948" t="str" cm="1">
        <f t="array" ref="C32">+IFERROR(INDEX('Pedido VACIO'!$F:$F,MATCH(1,('Pedido VACIO'!$H:$H=$B32)*('Pedido VACIO'!$A:$A="AJ Adhesivos"),0)),"")</f>
        <v/>
      </c>
      <c r="D32" s="931" t="str" cm="1">
        <f t="array" ref="D32">+IFERROR(INDEX('Pedido VACIO'!$G:$G,MATCH(1,('Pedido VACIO'!$H:$H=$B32)*('Pedido VACIO'!$A:$A="AJ Adhesivos"),0)),"")</f>
        <v/>
      </c>
      <c r="E32" s="860" t="str">
        <f t="shared" si="0"/>
        <v/>
      </c>
      <c r="F32" s="854" t="str">
        <f t="shared" si="1"/>
        <v/>
      </c>
      <c r="G32" s="931"/>
      <c r="H32" s="862"/>
      <c r="I32" s="862"/>
      <c r="J32" s="862"/>
      <c r="K32" s="862"/>
      <c r="L32" s="862"/>
      <c r="M32" s="863"/>
    </row>
    <row r="33" spans="1:13" ht="33.6" customHeight="1" x14ac:dyDescent="0.2">
      <c r="A33" s="947"/>
      <c r="B33" s="931"/>
      <c r="C33" s="948"/>
      <c r="D33" s="931"/>
      <c r="E33" s="860" t="str">
        <f t="shared" si="0"/>
        <v/>
      </c>
      <c r="F33" s="854" t="str">
        <f t="shared" si="1"/>
        <v/>
      </c>
      <c r="G33" s="931"/>
      <c r="H33" s="862"/>
      <c r="I33" s="862"/>
      <c r="J33" s="862"/>
      <c r="K33" s="862"/>
      <c r="L33" s="862"/>
      <c r="M33" s="863"/>
    </row>
    <row r="34" spans="1:13" ht="33.6" customHeight="1" x14ac:dyDescent="0.2">
      <c r="A34" s="947" t="str" cm="1">
        <f t="array" ref="A34">+IFERROR(INDEX('Pedido VACIO'!$B:$B,MATCH(1,('Pedido VACIO'!$H:$H=$B34)*('Pedido VACIO'!$A:$A="AJ Adhesivos"),0)),"")</f>
        <v/>
      </c>
      <c r="B34" s="931">
        <f>+B32+1</f>
        <v>11</v>
      </c>
      <c r="C34" s="948" t="str" cm="1">
        <f t="array" ref="C34">+IFERROR(INDEX('Pedido VACIO'!$F:$F,MATCH(1,('Pedido VACIO'!$H:$H=$B34)*('Pedido VACIO'!$A:$A="AJ Adhesivos"),0)),"")</f>
        <v/>
      </c>
      <c r="D34" s="931" t="str" cm="1">
        <f t="array" ref="D34">+IFERROR(INDEX('Pedido VACIO'!$G:$G,MATCH(1,('Pedido VACIO'!$H:$H=$B34)*('Pedido VACIO'!$A:$A="AJ Adhesivos"),0)),"")</f>
        <v/>
      </c>
      <c r="E34" s="860" t="str">
        <f t="shared" si="0"/>
        <v/>
      </c>
      <c r="F34" s="854" t="str">
        <f t="shared" si="1"/>
        <v/>
      </c>
      <c r="G34" s="931"/>
      <c r="H34" s="862"/>
      <c r="I34" s="862"/>
      <c r="J34" s="862"/>
      <c r="K34" s="862"/>
      <c r="L34" s="862"/>
      <c r="M34" s="863"/>
    </row>
    <row r="35" spans="1:13" ht="33.6" customHeight="1" thickBot="1" x14ac:dyDescent="0.25">
      <c r="A35" s="950"/>
      <c r="B35" s="951"/>
      <c r="C35" s="952"/>
      <c r="D35" s="951"/>
      <c r="E35" s="860" t="str">
        <f t="shared" si="0"/>
        <v/>
      </c>
      <c r="F35" s="854" t="str">
        <f t="shared" si="1"/>
        <v/>
      </c>
      <c r="G35" s="951"/>
      <c r="H35" s="864"/>
      <c r="I35" s="864"/>
      <c r="J35" s="864"/>
      <c r="K35" s="864"/>
      <c r="L35" s="864"/>
      <c r="M35" s="865"/>
    </row>
    <row r="36" spans="1:13" ht="33.6" customHeight="1" x14ac:dyDescent="0.2">
      <c r="A36" s="953" t="str" cm="1">
        <f t="array" ref="A36">+IFERROR(INDEX('Pedido VACIO'!$B:$B,MATCH(1,('Pedido VACIO'!$H:$H=$B36)*('Pedido VACIO'!$A:$A="AJ Adhesivos"),0)),"")</f>
        <v/>
      </c>
      <c r="B36" s="934">
        <f>+B34+1</f>
        <v>12</v>
      </c>
      <c r="C36" s="933" t="str" cm="1">
        <f t="array" ref="C36">+IFERROR(INDEX('Pedido VACIO'!$F:$F,MATCH(1,('Pedido VACIO'!$H:$H=$B36)*('Pedido VACIO'!$A:$A="AJ Adhesivos"),0)),"")</f>
        <v/>
      </c>
      <c r="D36" s="934" t="str" cm="1">
        <f t="array" ref="D36">+IFERROR(INDEX('Pedido VACIO'!$G:$G,MATCH(1,('Pedido VACIO'!$H:$H=$B36)*('Pedido VACIO'!$A:$A="AJ Adhesivos"),0)),"")</f>
        <v/>
      </c>
      <c r="E36" s="860" t="str">
        <f t="shared" si="0"/>
        <v/>
      </c>
      <c r="F36" s="854" t="str">
        <f t="shared" si="1"/>
        <v/>
      </c>
      <c r="G36" s="934"/>
      <c r="H36" s="866"/>
      <c r="I36" s="866"/>
      <c r="J36" s="866"/>
      <c r="K36" s="866"/>
      <c r="L36" s="866"/>
      <c r="M36" s="866"/>
    </row>
    <row r="37" spans="1:13" ht="33.6" customHeight="1" x14ac:dyDescent="0.2">
      <c r="A37" s="949"/>
      <c r="B37" s="931"/>
      <c r="C37" s="948"/>
      <c r="D37" s="931"/>
      <c r="E37" s="860" t="str">
        <f t="shared" si="0"/>
        <v/>
      </c>
      <c r="F37" s="854" t="str">
        <f t="shared" si="1"/>
        <v/>
      </c>
      <c r="G37" s="931"/>
      <c r="H37" s="862"/>
      <c r="I37" s="862"/>
      <c r="J37" s="862"/>
      <c r="K37" s="862"/>
      <c r="L37" s="862"/>
      <c r="M37" s="862"/>
    </row>
    <row r="38" spans="1:13" ht="33.6" customHeight="1" x14ac:dyDescent="0.2">
      <c r="A38" s="949" t="str" cm="1">
        <f t="array" ref="A38">+IFERROR(INDEX('Pedido VACIO'!$B:$B,MATCH(1,('Pedido VACIO'!$H:$H=$B38)*('Pedido VACIO'!$A:$A="AJ Adhesivos"),0)),"")</f>
        <v/>
      </c>
      <c r="B38" s="931">
        <f>+B36+1</f>
        <v>13</v>
      </c>
      <c r="C38" s="948" t="str" cm="1">
        <f t="array" ref="C38">+IFERROR(INDEX('Pedido VACIO'!$F:$F,MATCH(1,('Pedido VACIO'!$H:$H=$B38)*('Pedido VACIO'!$A:$A="AJ Adhesivos"),0)),"")</f>
        <v/>
      </c>
      <c r="D38" s="931" t="str" cm="1">
        <f t="array" ref="D38">+IFERROR(INDEX('Pedido VACIO'!$G:$G,MATCH(1,('Pedido VACIO'!$H:$H=$B38)*('Pedido VACIO'!$A:$A="AJ Adhesivos"),0)),"")</f>
        <v/>
      </c>
      <c r="E38" s="860" t="str">
        <f t="shared" si="0"/>
        <v/>
      </c>
      <c r="F38" s="854" t="str">
        <f t="shared" si="1"/>
        <v/>
      </c>
      <c r="G38" s="931"/>
      <c r="H38" s="862"/>
      <c r="I38" s="862"/>
      <c r="J38" s="862"/>
      <c r="K38" s="862"/>
      <c r="L38" s="862"/>
      <c r="M38" s="862"/>
    </row>
    <row r="39" spans="1:13" ht="33.6" customHeight="1" x14ac:dyDescent="0.2">
      <c r="A39" s="949"/>
      <c r="B39" s="931"/>
      <c r="C39" s="948"/>
      <c r="D39" s="931"/>
      <c r="E39" s="860" t="str">
        <f t="shared" si="0"/>
        <v/>
      </c>
      <c r="F39" s="854" t="str">
        <f t="shared" si="1"/>
        <v/>
      </c>
      <c r="G39" s="931"/>
      <c r="H39" s="862"/>
      <c r="I39" s="862"/>
      <c r="J39" s="862"/>
      <c r="K39" s="862"/>
      <c r="L39" s="862"/>
      <c r="M39" s="862"/>
    </row>
    <row r="40" spans="1:13" ht="33.6" customHeight="1" x14ac:dyDescent="0.2">
      <c r="A40" s="949" t="str" cm="1">
        <f t="array" ref="A40">+IFERROR(INDEX('Pedido VACIO'!$B:$B,MATCH(1,('Pedido VACIO'!$H:$H=$B40)*('Pedido VACIO'!$A:$A="AJ Adhesivos"),0)),"")</f>
        <v/>
      </c>
      <c r="B40" s="931">
        <f>+B38+1</f>
        <v>14</v>
      </c>
      <c r="C40" s="948" t="str" cm="1">
        <f t="array" ref="C40">+IFERROR(INDEX('Pedido VACIO'!$F:$F,MATCH(1,('Pedido VACIO'!$H:$H=$B40)*('Pedido VACIO'!$A:$A="AJ Adhesivos"),0)),"")</f>
        <v/>
      </c>
      <c r="D40" s="931" t="str" cm="1">
        <f t="array" ref="D40">+IFERROR(INDEX('Pedido VACIO'!$G:$G,MATCH(1,('Pedido VACIO'!$H:$H=$B40)*('Pedido VACIO'!$A:$A="AJ Adhesivos"),0)),"")</f>
        <v/>
      </c>
      <c r="E40" s="860" t="str">
        <f t="shared" si="0"/>
        <v/>
      </c>
      <c r="F40" s="854" t="str">
        <f t="shared" si="1"/>
        <v/>
      </c>
      <c r="G40" s="931"/>
      <c r="H40" s="862"/>
      <c r="I40" s="862"/>
      <c r="J40" s="862"/>
      <c r="K40" s="862"/>
      <c r="L40" s="862"/>
      <c r="M40" s="862"/>
    </row>
    <row r="41" spans="1:13" ht="33.6" customHeight="1" x14ac:dyDescent="0.2">
      <c r="A41" s="949"/>
      <c r="B41" s="931"/>
      <c r="C41" s="948"/>
      <c r="D41" s="931"/>
      <c r="E41" s="860" t="str">
        <f t="shared" si="0"/>
        <v/>
      </c>
      <c r="F41" s="854" t="str">
        <f t="shared" si="1"/>
        <v/>
      </c>
      <c r="G41" s="931"/>
      <c r="H41" s="862"/>
      <c r="I41" s="862"/>
      <c r="J41" s="862"/>
      <c r="K41" s="862"/>
      <c r="L41" s="862"/>
      <c r="M41" s="862"/>
    </row>
    <row r="42" spans="1:13" ht="33.6" customHeight="1" x14ac:dyDescent="0.2">
      <c r="A42" s="949" t="str" cm="1">
        <f t="array" ref="A42">+IFERROR(INDEX('Pedido VACIO'!$B:$B,MATCH(1,('Pedido VACIO'!$H:$H=$B42)*('Pedido VACIO'!$A:$A="AJ Adhesivos"),0)),"")</f>
        <v/>
      </c>
      <c r="B42" s="931">
        <f>+B40+1</f>
        <v>15</v>
      </c>
      <c r="C42" s="948" t="str" cm="1">
        <f t="array" ref="C42">+IFERROR(INDEX('Pedido VACIO'!$F:$F,MATCH(1,('Pedido VACIO'!$H:$H=$B42)*('Pedido VACIO'!$A:$A="AJ Adhesivos"),0)),"")</f>
        <v/>
      </c>
      <c r="D42" s="931" t="str" cm="1">
        <f t="array" ref="D42">+IFERROR(INDEX('Pedido VACIO'!$G:$G,MATCH(1,('Pedido VACIO'!$H:$H=$B42)*('Pedido VACIO'!$A:$A="AJ Adhesivos"),0)),"")</f>
        <v/>
      </c>
      <c r="E42" s="860" t="str">
        <f t="shared" si="0"/>
        <v/>
      </c>
      <c r="F42" s="854" t="str">
        <f t="shared" si="1"/>
        <v/>
      </c>
      <c r="G42" s="931"/>
      <c r="H42" s="862"/>
      <c r="I42" s="862"/>
      <c r="J42" s="862"/>
      <c r="K42" s="862"/>
      <c r="L42" s="862"/>
      <c r="M42" s="862"/>
    </row>
    <row r="43" spans="1:13" ht="33.6" customHeight="1" x14ac:dyDescent="0.2">
      <c r="A43" s="949"/>
      <c r="B43" s="931"/>
      <c r="C43" s="948"/>
      <c r="D43" s="931"/>
      <c r="E43" s="860" t="str">
        <f t="shared" si="0"/>
        <v/>
      </c>
      <c r="F43" s="854" t="str">
        <f t="shared" si="1"/>
        <v/>
      </c>
      <c r="G43" s="931"/>
      <c r="H43" s="862"/>
      <c r="I43" s="862"/>
      <c r="J43" s="862"/>
      <c r="K43" s="862"/>
      <c r="L43" s="862"/>
      <c r="M43" s="862"/>
    </row>
  </sheetData>
  <mergeCells count="94"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A20:A21"/>
    <mergeCell ref="B20:B21"/>
    <mergeCell ref="C20:C21"/>
    <mergeCell ref="D20:D21"/>
    <mergeCell ref="G20:G21"/>
    <mergeCell ref="A22:A23"/>
    <mergeCell ref="B22:B23"/>
    <mergeCell ref="C22:C23"/>
    <mergeCell ref="D22:D23"/>
    <mergeCell ref="G22:G23"/>
    <mergeCell ref="A16:A17"/>
    <mergeCell ref="B16:B17"/>
    <mergeCell ref="C16:C17"/>
    <mergeCell ref="D16:D17"/>
    <mergeCell ref="G16:G17"/>
    <mergeCell ref="A18:A19"/>
    <mergeCell ref="B18:B19"/>
    <mergeCell ref="C18:C19"/>
    <mergeCell ref="D18:D19"/>
    <mergeCell ref="G18:G19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3:B3"/>
    <mergeCell ref="F3:G3"/>
    <mergeCell ref="H3:L3"/>
    <mergeCell ref="A1:C1"/>
    <mergeCell ref="F1:L1"/>
    <mergeCell ref="A2:B2"/>
    <mergeCell ref="F2:G2"/>
    <mergeCell ref="H2:L2"/>
  </mergeCells>
  <printOptions horizontalCentered="1"/>
  <pageMargins left="0" right="0" top="0" bottom="0" header="0" footer="0"/>
  <pageSetup paperSize="9" scale="6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5"/>
  <sheetViews>
    <sheetView topLeftCell="A56" zoomScale="85" zoomScaleNormal="85" workbookViewId="0">
      <selection activeCell="M77" sqref="A1:M77"/>
    </sheetView>
  </sheetViews>
  <sheetFormatPr baseColWidth="10" defaultColWidth="11.5703125" defaultRowHeight="12.75" x14ac:dyDescent="0.2"/>
  <cols>
    <col min="1" max="1" width="11.42578125" style="841" customWidth="1"/>
    <col min="2" max="2" width="6.140625" style="841" customWidth="1"/>
    <col min="3" max="3" width="22.28515625" style="841" customWidth="1"/>
    <col min="4" max="4" width="9.28515625" style="841" customWidth="1"/>
    <col min="5" max="5" width="8.28515625" style="841" customWidth="1"/>
    <col min="6" max="6" width="7.7109375" style="841" customWidth="1"/>
    <col min="7" max="7" width="9.7109375" style="841" customWidth="1"/>
    <col min="8" max="9" width="7.5703125" style="841" customWidth="1"/>
    <col min="10" max="10" width="7.7109375" style="841" customWidth="1"/>
    <col min="11" max="11" width="7" style="841" customWidth="1"/>
    <col min="12" max="12" width="7.7109375" style="841" customWidth="1"/>
    <col min="13" max="13" width="7" style="841" customWidth="1"/>
    <col min="14" max="256" width="11.5703125" style="841"/>
    <col min="257" max="257" width="11.42578125" style="841" customWidth="1"/>
    <col min="258" max="258" width="6.140625" style="841" customWidth="1"/>
    <col min="259" max="259" width="22.28515625" style="841" customWidth="1"/>
    <col min="260" max="260" width="9.28515625" style="841" customWidth="1"/>
    <col min="261" max="261" width="8.28515625" style="841" customWidth="1"/>
    <col min="262" max="262" width="7.7109375" style="841" customWidth="1"/>
    <col min="263" max="263" width="9.7109375" style="841" customWidth="1"/>
    <col min="264" max="264" width="7.28515625" style="841" customWidth="1"/>
    <col min="265" max="265" width="7.5703125" style="841" customWidth="1"/>
    <col min="266" max="266" width="7.7109375" style="841" customWidth="1"/>
    <col min="267" max="267" width="7" style="841" customWidth="1"/>
    <col min="268" max="268" width="7.7109375" style="841" customWidth="1"/>
    <col min="269" max="269" width="7" style="841" customWidth="1"/>
    <col min="270" max="512" width="11.5703125" style="841"/>
    <col min="513" max="513" width="11.42578125" style="841" customWidth="1"/>
    <col min="514" max="514" width="6.140625" style="841" customWidth="1"/>
    <col min="515" max="515" width="22.28515625" style="841" customWidth="1"/>
    <col min="516" max="516" width="9.28515625" style="841" customWidth="1"/>
    <col min="517" max="517" width="8.28515625" style="841" customWidth="1"/>
    <col min="518" max="518" width="7.7109375" style="841" customWidth="1"/>
    <col min="519" max="519" width="9.7109375" style="841" customWidth="1"/>
    <col min="520" max="520" width="7.28515625" style="841" customWidth="1"/>
    <col min="521" max="521" width="7.5703125" style="841" customWidth="1"/>
    <col min="522" max="522" width="7.7109375" style="841" customWidth="1"/>
    <col min="523" max="523" width="7" style="841" customWidth="1"/>
    <col min="524" max="524" width="7.7109375" style="841" customWidth="1"/>
    <col min="525" max="525" width="7" style="841" customWidth="1"/>
    <col min="526" max="768" width="11.5703125" style="841"/>
    <col min="769" max="769" width="11.42578125" style="841" customWidth="1"/>
    <col min="770" max="770" width="6.140625" style="841" customWidth="1"/>
    <col min="771" max="771" width="22.28515625" style="841" customWidth="1"/>
    <col min="772" max="772" width="9.28515625" style="841" customWidth="1"/>
    <col min="773" max="773" width="8.28515625" style="841" customWidth="1"/>
    <col min="774" max="774" width="7.7109375" style="841" customWidth="1"/>
    <col min="775" max="775" width="9.7109375" style="841" customWidth="1"/>
    <col min="776" max="776" width="7.28515625" style="841" customWidth="1"/>
    <col min="777" max="777" width="7.5703125" style="841" customWidth="1"/>
    <col min="778" max="778" width="7.7109375" style="841" customWidth="1"/>
    <col min="779" max="779" width="7" style="841" customWidth="1"/>
    <col min="780" max="780" width="7.7109375" style="841" customWidth="1"/>
    <col min="781" max="781" width="7" style="841" customWidth="1"/>
    <col min="782" max="1024" width="11.5703125" style="841"/>
    <col min="1025" max="1025" width="11.42578125" style="841" customWidth="1"/>
    <col min="1026" max="1026" width="6.140625" style="841" customWidth="1"/>
    <col min="1027" max="1027" width="22.28515625" style="841" customWidth="1"/>
    <col min="1028" max="1028" width="9.28515625" style="841" customWidth="1"/>
    <col min="1029" max="1029" width="8.28515625" style="841" customWidth="1"/>
    <col min="1030" max="1030" width="7.7109375" style="841" customWidth="1"/>
    <col min="1031" max="1031" width="9.7109375" style="841" customWidth="1"/>
    <col min="1032" max="1032" width="7.28515625" style="841" customWidth="1"/>
    <col min="1033" max="1033" width="7.5703125" style="841" customWidth="1"/>
    <col min="1034" max="1034" width="7.7109375" style="841" customWidth="1"/>
    <col min="1035" max="1035" width="7" style="841" customWidth="1"/>
    <col min="1036" max="1036" width="7.7109375" style="841" customWidth="1"/>
    <col min="1037" max="1037" width="7" style="841" customWidth="1"/>
    <col min="1038" max="1280" width="11.5703125" style="841"/>
    <col min="1281" max="1281" width="11.42578125" style="841" customWidth="1"/>
    <col min="1282" max="1282" width="6.140625" style="841" customWidth="1"/>
    <col min="1283" max="1283" width="22.28515625" style="841" customWidth="1"/>
    <col min="1284" max="1284" width="9.28515625" style="841" customWidth="1"/>
    <col min="1285" max="1285" width="8.28515625" style="841" customWidth="1"/>
    <col min="1286" max="1286" width="7.7109375" style="841" customWidth="1"/>
    <col min="1287" max="1287" width="9.7109375" style="841" customWidth="1"/>
    <col min="1288" max="1288" width="7.28515625" style="841" customWidth="1"/>
    <col min="1289" max="1289" width="7.5703125" style="841" customWidth="1"/>
    <col min="1290" max="1290" width="7.7109375" style="841" customWidth="1"/>
    <col min="1291" max="1291" width="7" style="841" customWidth="1"/>
    <col min="1292" max="1292" width="7.7109375" style="841" customWidth="1"/>
    <col min="1293" max="1293" width="7" style="841" customWidth="1"/>
    <col min="1294" max="1536" width="11.5703125" style="841"/>
    <col min="1537" max="1537" width="11.42578125" style="841" customWidth="1"/>
    <col min="1538" max="1538" width="6.140625" style="841" customWidth="1"/>
    <col min="1539" max="1539" width="22.28515625" style="841" customWidth="1"/>
    <col min="1540" max="1540" width="9.28515625" style="841" customWidth="1"/>
    <col min="1541" max="1541" width="8.28515625" style="841" customWidth="1"/>
    <col min="1542" max="1542" width="7.7109375" style="841" customWidth="1"/>
    <col min="1543" max="1543" width="9.7109375" style="841" customWidth="1"/>
    <col min="1544" max="1544" width="7.28515625" style="841" customWidth="1"/>
    <col min="1545" max="1545" width="7.5703125" style="841" customWidth="1"/>
    <col min="1546" max="1546" width="7.7109375" style="841" customWidth="1"/>
    <col min="1547" max="1547" width="7" style="841" customWidth="1"/>
    <col min="1548" max="1548" width="7.7109375" style="841" customWidth="1"/>
    <col min="1549" max="1549" width="7" style="841" customWidth="1"/>
    <col min="1550" max="1792" width="11.5703125" style="841"/>
    <col min="1793" max="1793" width="11.42578125" style="841" customWidth="1"/>
    <col min="1794" max="1794" width="6.140625" style="841" customWidth="1"/>
    <col min="1795" max="1795" width="22.28515625" style="841" customWidth="1"/>
    <col min="1796" max="1796" width="9.28515625" style="841" customWidth="1"/>
    <col min="1797" max="1797" width="8.28515625" style="841" customWidth="1"/>
    <col min="1798" max="1798" width="7.7109375" style="841" customWidth="1"/>
    <col min="1799" max="1799" width="9.7109375" style="841" customWidth="1"/>
    <col min="1800" max="1800" width="7.28515625" style="841" customWidth="1"/>
    <col min="1801" max="1801" width="7.5703125" style="841" customWidth="1"/>
    <col min="1802" max="1802" width="7.7109375" style="841" customWidth="1"/>
    <col min="1803" max="1803" width="7" style="841" customWidth="1"/>
    <col min="1804" max="1804" width="7.7109375" style="841" customWidth="1"/>
    <col min="1805" max="1805" width="7" style="841" customWidth="1"/>
    <col min="1806" max="2048" width="11.5703125" style="841"/>
    <col min="2049" max="2049" width="11.42578125" style="841" customWidth="1"/>
    <col min="2050" max="2050" width="6.140625" style="841" customWidth="1"/>
    <col min="2051" max="2051" width="22.28515625" style="841" customWidth="1"/>
    <col min="2052" max="2052" width="9.28515625" style="841" customWidth="1"/>
    <col min="2053" max="2053" width="8.28515625" style="841" customWidth="1"/>
    <col min="2054" max="2054" width="7.7109375" style="841" customWidth="1"/>
    <col min="2055" max="2055" width="9.7109375" style="841" customWidth="1"/>
    <col min="2056" max="2056" width="7.28515625" style="841" customWidth="1"/>
    <col min="2057" max="2057" width="7.5703125" style="841" customWidth="1"/>
    <col min="2058" max="2058" width="7.7109375" style="841" customWidth="1"/>
    <col min="2059" max="2059" width="7" style="841" customWidth="1"/>
    <col min="2060" max="2060" width="7.7109375" style="841" customWidth="1"/>
    <col min="2061" max="2061" width="7" style="841" customWidth="1"/>
    <col min="2062" max="2304" width="11.5703125" style="841"/>
    <col min="2305" max="2305" width="11.42578125" style="841" customWidth="1"/>
    <col min="2306" max="2306" width="6.140625" style="841" customWidth="1"/>
    <col min="2307" max="2307" width="22.28515625" style="841" customWidth="1"/>
    <col min="2308" max="2308" width="9.28515625" style="841" customWidth="1"/>
    <col min="2309" max="2309" width="8.28515625" style="841" customWidth="1"/>
    <col min="2310" max="2310" width="7.7109375" style="841" customWidth="1"/>
    <col min="2311" max="2311" width="9.7109375" style="841" customWidth="1"/>
    <col min="2312" max="2312" width="7.28515625" style="841" customWidth="1"/>
    <col min="2313" max="2313" width="7.5703125" style="841" customWidth="1"/>
    <col min="2314" max="2314" width="7.7109375" style="841" customWidth="1"/>
    <col min="2315" max="2315" width="7" style="841" customWidth="1"/>
    <col min="2316" max="2316" width="7.7109375" style="841" customWidth="1"/>
    <col min="2317" max="2317" width="7" style="841" customWidth="1"/>
    <col min="2318" max="2560" width="11.5703125" style="841"/>
    <col min="2561" max="2561" width="11.42578125" style="841" customWidth="1"/>
    <col min="2562" max="2562" width="6.140625" style="841" customWidth="1"/>
    <col min="2563" max="2563" width="22.28515625" style="841" customWidth="1"/>
    <col min="2564" max="2564" width="9.28515625" style="841" customWidth="1"/>
    <col min="2565" max="2565" width="8.28515625" style="841" customWidth="1"/>
    <col min="2566" max="2566" width="7.7109375" style="841" customWidth="1"/>
    <col min="2567" max="2567" width="9.7109375" style="841" customWidth="1"/>
    <col min="2568" max="2568" width="7.28515625" style="841" customWidth="1"/>
    <col min="2569" max="2569" width="7.5703125" style="841" customWidth="1"/>
    <col min="2570" max="2570" width="7.7109375" style="841" customWidth="1"/>
    <col min="2571" max="2571" width="7" style="841" customWidth="1"/>
    <col min="2572" max="2572" width="7.7109375" style="841" customWidth="1"/>
    <col min="2573" max="2573" width="7" style="841" customWidth="1"/>
    <col min="2574" max="2816" width="11.5703125" style="841"/>
    <col min="2817" max="2817" width="11.42578125" style="841" customWidth="1"/>
    <col min="2818" max="2818" width="6.140625" style="841" customWidth="1"/>
    <col min="2819" max="2819" width="22.28515625" style="841" customWidth="1"/>
    <col min="2820" max="2820" width="9.28515625" style="841" customWidth="1"/>
    <col min="2821" max="2821" width="8.28515625" style="841" customWidth="1"/>
    <col min="2822" max="2822" width="7.7109375" style="841" customWidth="1"/>
    <col min="2823" max="2823" width="9.7109375" style="841" customWidth="1"/>
    <col min="2824" max="2824" width="7.28515625" style="841" customWidth="1"/>
    <col min="2825" max="2825" width="7.5703125" style="841" customWidth="1"/>
    <col min="2826" max="2826" width="7.7109375" style="841" customWidth="1"/>
    <col min="2827" max="2827" width="7" style="841" customWidth="1"/>
    <col min="2828" max="2828" width="7.7109375" style="841" customWidth="1"/>
    <col min="2829" max="2829" width="7" style="841" customWidth="1"/>
    <col min="2830" max="3072" width="11.5703125" style="841"/>
    <col min="3073" max="3073" width="11.42578125" style="841" customWidth="1"/>
    <col min="3074" max="3074" width="6.140625" style="841" customWidth="1"/>
    <col min="3075" max="3075" width="22.28515625" style="841" customWidth="1"/>
    <col min="3076" max="3076" width="9.28515625" style="841" customWidth="1"/>
    <col min="3077" max="3077" width="8.28515625" style="841" customWidth="1"/>
    <col min="3078" max="3078" width="7.7109375" style="841" customWidth="1"/>
    <col min="3079" max="3079" width="9.7109375" style="841" customWidth="1"/>
    <col min="3080" max="3080" width="7.28515625" style="841" customWidth="1"/>
    <col min="3081" max="3081" width="7.5703125" style="841" customWidth="1"/>
    <col min="3082" max="3082" width="7.7109375" style="841" customWidth="1"/>
    <col min="3083" max="3083" width="7" style="841" customWidth="1"/>
    <col min="3084" max="3084" width="7.7109375" style="841" customWidth="1"/>
    <col min="3085" max="3085" width="7" style="841" customWidth="1"/>
    <col min="3086" max="3328" width="11.5703125" style="841"/>
    <col min="3329" max="3329" width="11.42578125" style="841" customWidth="1"/>
    <col min="3330" max="3330" width="6.140625" style="841" customWidth="1"/>
    <col min="3331" max="3331" width="22.28515625" style="841" customWidth="1"/>
    <col min="3332" max="3332" width="9.28515625" style="841" customWidth="1"/>
    <col min="3333" max="3333" width="8.28515625" style="841" customWidth="1"/>
    <col min="3334" max="3334" width="7.7109375" style="841" customWidth="1"/>
    <col min="3335" max="3335" width="9.7109375" style="841" customWidth="1"/>
    <col min="3336" max="3336" width="7.28515625" style="841" customWidth="1"/>
    <col min="3337" max="3337" width="7.5703125" style="841" customWidth="1"/>
    <col min="3338" max="3338" width="7.7109375" style="841" customWidth="1"/>
    <col min="3339" max="3339" width="7" style="841" customWidth="1"/>
    <col min="3340" max="3340" width="7.7109375" style="841" customWidth="1"/>
    <col min="3341" max="3341" width="7" style="841" customWidth="1"/>
    <col min="3342" max="3584" width="11.5703125" style="841"/>
    <col min="3585" max="3585" width="11.42578125" style="841" customWidth="1"/>
    <col min="3586" max="3586" width="6.140625" style="841" customWidth="1"/>
    <col min="3587" max="3587" width="22.28515625" style="841" customWidth="1"/>
    <col min="3588" max="3588" width="9.28515625" style="841" customWidth="1"/>
    <col min="3589" max="3589" width="8.28515625" style="841" customWidth="1"/>
    <col min="3590" max="3590" width="7.7109375" style="841" customWidth="1"/>
    <col min="3591" max="3591" width="9.7109375" style="841" customWidth="1"/>
    <col min="3592" max="3592" width="7.28515625" style="841" customWidth="1"/>
    <col min="3593" max="3593" width="7.5703125" style="841" customWidth="1"/>
    <col min="3594" max="3594" width="7.7109375" style="841" customWidth="1"/>
    <col min="3595" max="3595" width="7" style="841" customWidth="1"/>
    <col min="3596" max="3596" width="7.7109375" style="841" customWidth="1"/>
    <col min="3597" max="3597" width="7" style="841" customWidth="1"/>
    <col min="3598" max="3840" width="11.5703125" style="841"/>
    <col min="3841" max="3841" width="11.42578125" style="841" customWidth="1"/>
    <col min="3842" max="3842" width="6.140625" style="841" customWidth="1"/>
    <col min="3843" max="3843" width="22.28515625" style="841" customWidth="1"/>
    <col min="3844" max="3844" width="9.28515625" style="841" customWidth="1"/>
    <col min="3845" max="3845" width="8.28515625" style="841" customWidth="1"/>
    <col min="3846" max="3846" width="7.7109375" style="841" customWidth="1"/>
    <col min="3847" max="3847" width="9.7109375" style="841" customWidth="1"/>
    <col min="3848" max="3848" width="7.28515625" style="841" customWidth="1"/>
    <col min="3849" max="3849" width="7.5703125" style="841" customWidth="1"/>
    <col min="3850" max="3850" width="7.7109375" style="841" customWidth="1"/>
    <col min="3851" max="3851" width="7" style="841" customWidth="1"/>
    <col min="3852" max="3852" width="7.7109375" style="841" customWidth="1"/>
    <col min="3853" max="3853" width="7" style="841" customWidth="1"/>
    <col min="3854" max="4096" width="11.5703125" style="841"/>
    <col min="4097" max="4097" width="11.42578125" style="841" customWidth="1"/>
    <col min="4098" max="4098" width="6.140625" style="841" customWidth="1"/>
    <col min="4099" max="4099" width="22.28515625" style="841" customWidth="1"/>
    <col min="4100" max="4100" width="9.28515625" style="841" customWidth="1"/>
    <col min="4101" max="4101" width="8.28515625" style="841" customWidth="1"/>
    <col min="4102" max="4102" width="7.7109375" style="841" customWidth="1"/>
    <col min="4103" max="4103" width="9.7109375" style="841" customWidth="1"/>
    <col min="4104" max="4104" width="7.28515625" style="841" customWidth="1"/>
    <col min="4105" max="4105" width="7.5703125" style="841" customWidth="1"/>
    <col min="4106" max="4106" width="7.7109375" style="841" customWidth="1"/>
    <col min="4107" max="4107" width="7" style="841" customWidth="1"/>
    <col min="4108" max="4108" width="7.7109375" style="841" customWidth="1"/>
    <col min="4109" max="4109" width="7" style="841" customWidth="1"/>
    <col min="4110" max="4352" width="11.5703125" style="841"/>
    <col min="4353" max="4353" width="11.42578125" style="841" customWidth="1"/>
    <col min="4354" max="4354" width="6.140625" style="841" customWidth="1"/>
    <col min="4355" max="4355" width="22.28515625" style="841" customWidth="1"/>
    <col min="4356" max="4356" width="9.28515625" style="841" customWidth="1"/>
    <col min="4357" max="4357" width="8.28515625" style="841" customWidth="1"/>
    <col min="4358" max="4358" width="7.7109375" style="841" customWidth="1"/>
    <col min="4359" max="4359" width="9.7109375" style="841" customWidth="1"/>
    <col min="4360" max="4360" width="7.28515625" style="841" customWidth="1"/>
    <col min="4361" max="4361" width="7.5703125" style="841" customWidth="1"/>
    <col min="4362" max="4362" width="7.7109375" style="841" customWidth="1"/>
    <col min="4363" max="4363" width="7" style="841" customWidth="1"/>
    <col min="4364" max="4364" width="7.7109375" style="841" customWidth="1"/>
    <col min="4365" max="4365" width="7" style="841" customWidth="1"/>
    <col min="4366" max="4608" width="11.5703125" style="841"/>
    <col min="4609" max="4609" width="11.42578125" style="841" customWidth="1"/>
    <col min="4610" max="4610" width="6.140625" style="841" customWidth="1"/>
    <col min="4611" max="4611" width="22.28515625" style="841" customWidth="1"/>
    <col min="4612" max="4612" width="9.28515625" style="841" customWidth="1"/>
    <col min="4613" max="4613" width="8.28515625" style="841" customWidth="1"/>
    <col min="4614" max="4614" width="7.7109375" style="841" customWidth="1"/>
    <col min="4615" max="4615" width="9.7109375" style="841" customWidth="1"/>
    <col min="4616" max="4616" width="7.28515625" style="841" customWidth="1"/>
    <col min="4617" max="4617" width="7.5703125" style="841" customWidth="1"/>
    <col min="4618" max="4618" width="7.7109375" style="841" customWidth="1"/>
    <col min="4619" max="4619" width="7" style="841" customWidth="1"/>
    <col min="4620" max="4620" width="7.7109375" style="841" customWidth="1"/>
    <col min="4621" max="4621" width="7" style="841" customWidth="1"/>
    <col min="4622" max="4864" width="11.5703125" style="841"/>
    <col min="4865" max="4865" width="11.42578125" style="841" customWidth="1"/>
    <col min="4866" max="4866" width="6.140625" style="841" customWidth="1"/>
    <col min="4867" max="4867" width="22.28515625" style="841" customWidth="1"/>
    <col min="4868" max="4868" width="9.28515625" style="841" customWidth="1"/>
    <col min="4869" max="4869" width="8.28515625" style="841" customWidth="1"/>
    <col min="4870" max="4870" width="7.7109375" style="841" customWidth="1"/>
    <col min="4871" max="4871" width="9.7109375" style="841" customWidth="1"/>
    <col min="4872" max="4872" width="7.28515625" style="841" customWidth="1"/>
    <col min="4873" max="4873" width="7.5703125" style="841" customWidth="1"/>
    <col min="4874" max="4874" width="7.7109375" style="841" customWidth="1"/>
    <col min="4875" max="4875" width="7" style="841" customWidth="1"/>
    <col min="4876" max="4876" width="7.7109375" style="841" customWidth="1"/>
    <col min="4877" max="4877" width="7" style="841" customWidth="1"/>
    <col min="4878" max="5120" width="11.5703125" style="841"/>
    <col min="5121" max="5121" width="11.42578125" style="841" customWidth="1"/>
    <col min="5122" max="5122" width="6.140625" style="841" customWidth="1"/>
    <col min="5123" max="5123" width="22.28515625" style="841" customWidth="1"/>
    <col min="5124" max="5124" width="9.28515625" style="841" customWidth="1"/>
    <col min="5125" max="5125" width="8.28515625" style="841" customWidth="1"/>
    <col min="5126" max="5126" width="7.7109375" style="841" customWidth="1"/>
    <col min="5127" max="5127" width="9.7109375" style="841" customWidth="1"/>
    <col min="5128" max="5128" width="7.28515625" style="841" customWidth="1"/>
    <col min="5129" max="5129" width="7.5703125" style="841" customWidth="1"/>
    <col min="5130" max="5130" width="7.7109375" style="841" customWidth="1"/>
    <col min="5131" max="5131" width="7" style="841" customWidth="1"/>
    <col min="5132" max="5132" width="7.7109375" style="841" customWidth="1"/>
    <col min="5133" max="5133" width="7" style="841" customWidth="1"/>
    <col min="5134" max="5376" width="11.5703125" style="841"/>
    <col min="5377" max="5377" width="11.42578125" style="841" customWidth="1"/>
    <col min="5378" max="5378" width="6.140625" style="841" customWidth="1"/>
    <col min="5379" max="5379" width="22.28515625" style="841" customWidth="1"/>
    <col min="5380" max="5380" width="9.28515625" style="841" customWidth="1"/>
    <col min="5381" max="5381" width="8.28515625" style="841" customWidth="1"/>
    <col min="5382" max="5382" width="7.7109375" style="841" customWidth="1"/>
    <col min="5383" max="5383" width="9.7109375" style="841" customWidth="1"/>
    <col min="5384" max="5384" width="7.28515625" style="841" customWidth="1"/>
    <col min="5385" max="5385" width="7.5703125" style="841" customWidth="1"/>
    <col min="5386" max="5386" width="7.7109375" style="841" customWidth="1"/>
    <col min="5387" max="5387" width="7" style="841" customWidth="1"/>
    <col min="5388" max="5388" width="7.7109375" style="841" customWidth="1"/>
    <col min="5389" max="5389" width="7" style="841" customWidth="1"/>
    <col min="5390" max="5632" width="11.5703125" style="841"/>
    <col min="5633" max="5633" width="11.42578125" style="841" customWidth="1"/>
    <col min="5634" max="5634" width="6.140625" style="841" customWidth="1"/>
    <col min="5635" max="5635" width="22.28515625" style="841" customWidth="1"/>
    <col min="5636" max="5636" width="9.28515625" style="841" customWidth="1"/>
    <col min="5637" max="5637" width="8.28515625" style="841" customWidth="1"/>
    <col min="5638" max="5638" width="7.7109375" style="841" customWidth="1"/>
    <col min="5639" max="5639" width="9.7109375" style="841" customWidth="1"/>
    <col min="5640" max="5640" width="7.28515625" style="841" customWidth="1"/>
    <col min="5641" max="5641" width="7.5703125" style="841" customWidth="1"/>
    <col min="5642" max="5642" width="7.7109375" style="841" customWidth="1"/>
    <col min="5643" max="5643" width="7" style="841" customWidth="1"/>
    <col min="5644" max="5644" width="7.7109375" style="841" customWidth="1"/>
    <col min="5645" max="5645" width="7" style="841" customWidth="1"/>
    <col min="5646" max="5888" width="11.5703125" style="841"/>
    <col min="5889" max="5889" width="11.42578125" style="841" customWidth="1"/>
    <col min="5890" max="5890" width="6.140625" style="841" customWidth="1"/>
    <col min="5891" max="5891" width="22.28515625" style="841" customWidth="1"/>
    <col min="5892" max="5892" width="9.28515625" style="841" customWidth="1"/>
    <col min="5893" max="5893" width="8.28515625" style="841" customWidth="1"/>
    <col min="5894" max="5894" width="7.7109375" style="841" customWidth="1"/>
    <col min="5895" max="5895" width="9.7109375" style="841" customWidth="1"/>
    <col min="5896" max="5896" width="7.28515625" style="841" customWidth="1"/>
    <col min="5897" max="5897" width="7.5703125" style="841" customWidth="1"/>
    <col min="5898" max="5898" width="7.7109375" style="841" customWidth="1"/>
    <col min="5899" max="5899" width="7" style="841" customWidth="1"/>
    <col min="5900" max="5900" width="7.7109375" style="841" customWidth="1"/>
    <col min="5901" max="5901" width="7" style="841" customWidth="1"/>
    <col min="5902" max="6144" width="11.5703125" style="841"/>
    <col min="6145" max="6145" width="11.42578125" style="841" customWidth="1"/>
    <col min="6146" max="6146" width="6.140625" style="841" customWidth="1"/>
    <col min="6147" max="6147" width="22.28515625" style="841" customWidth="1"/>
    <col min="6148" max="6148" width="9.28515625" style="841" customWidth="1"/>
    <col min="6149" max="6149" width="8.28515625" style="841" customWidth="1"/>
    <col min="6150" max="6150" width="7.7109375" style="841" customWidth="1"/>
    <col min="6151" max="6151" width="9.7109375" style="841" customWidth="1"/>
    <col min="6152" max="6152" width="7.28515625" style="841" customWidth="1"/>
    <col min="6153" max="6153" width="7.5703125" style="841" customWidth="1"/>
    <col min="6154" max="6154" width="7.7109375" style="841" customWidth="1"/>
    <col min="6155" max="6155" width="7" style="841" customWidth="1"/>
    <col min="6156" max="6156" width="7.7109375" style="841" customWidth="1"/>
    <col min="6157" max="6157" width="7" style="841" customWidth="1"/>
    <col min="6158" max="6400" width="11.5703125" style="841"/>
    <col min="6401" max="6401" width="11.42578125" style="841" customWidth="1"/>
    <col min="6402" max="6402" width="6.140625" style="841" customWidth="1"/>
    <col min="6403" max="6403" width="22.28515625" style="841" customWidth="1"/>
    <col min="6404" max="6404" width="9.28515625" style="841" customWidth="1"/>
    <col min="6405" max="6405" width="8.28515625" style="841" customWidth="1"/>
    <col min="6406" max="6406" width="7.7109375" style="841" customWidth="1"/>
    <col min="6407" max="6407" width="9.7109375" style="841" customWidth="1"/>
    <col min="6408" max="6408" width="7.28515625" style="841" customWidth="1"/>
    <col min="6409" max="6409" width="7.5703125" style="841" customWidth="1"/>
    <col min="6410" max="6410" width="7.7109375" style="841" customWidth="1"/>
    <col min="6411" max="6411" width="7" style="841" customWidth="1"/>
    <col min="6412" max="6412" width="7.7109375" style="841" customWidth="1"/>
    <col min="6413" max="6413" width="7" style="841" customWidth="1"/>
    <col min="6414" max="6656" width="11.5703125" style="841"/>
    <col min="6657" max="6657" width="11.42578125" style="841" customWidth="1"/>
    <col min="6658" max="6658" width="6.140625" style="841" customWidth="1"/>
    <col min="6659" max="6659" width="22.28515625" style="841" customWidth="1"/>
    <col min="6660" max="6660" width="9.28515625" style="841" customWidth="1"/>
    <col min="6661" max="6661" width="8.28515625" style="841" customWidth="1"/>
    <col min="6662" max="6662" width="7.7109375" style="841" customWidth="1"/>
    <col min="6663" max="6663" width="9.7109375" style="841" customWidth="1"/>
    <col min="6664" max="6664" width="7.28515625" style="841" customWidth="1"/>
    <col min="6665" max="6665" width="7.5703125" style="841" customWidth="1"/>
    <col min="6666" max="6666" width="7.7109375" style="841" customWidth="1"/>
    <col min="6667" max="6667" width="7" style="841" customWidth="1"/>
    <col min="6668" max="6668" width="7.7109375" style="841" customWidth="1"/>
    <col min="6669" max="6669" width="7" style="841" customWidth="1"/>
    <col min="6670" max="6912" width="11.5703125" style="841"/>
    <col min="6913" max="6913" width="11.42578125" style="841" customWidth="1"/>
    <col min="6914" max="6914" width="6.140625" style="841" customWidth="1"/>
    <col min="6915" max="6915" width="22.28515625" style="841" customWidth="1"/>
    <col min="6916" max="6916" width="9.28515625" style="841" customWidth="1"/>
    <col min="6917" max="6917" width="8.28515625" style="841" customWidth="1"/>
    <col min="6918" max="6918" width="7.7109375" style="841" customWidth="1"/>
    <col min="6919" max="6919" width="9.7109375" style="841" customWidth="1"/>
    <col min="6920" max="6920" width="7.28515625" style="841" customWidth="1"/>
    <col min="6921" max="6921" width="7.5703125" style="841" customWidth="1"/>
    <col min="6922" max="6922" width="7.7109375" style="841" customWidth="1"/>
    <col min="6923" max="6923" width="7" style="841" customWidth="1"/>
    <col min="6924" max="6924" width="7.7109375" style="841" customWidth="1"/>
    <col min="6925" max="6925" width="7" style="841" customWidth="1"/>
    <col min="6926" max="7168" width="11.5703125" style="841"/>
    <col min="7169" max="7169" width="11.42578125" style="841" customWidth="1"/>
    <col min="7170" max="7170" width="6.140625" style="841" customWidth="1"/>
    <col min="7171" max="7171" width="22.28515625" style="841" customWidth="1"/>
    <col min="7172" max="7172" width="9.28515625" style="841" customWidth="1"/>
    <col min="7173" max="7173" width="8.28515625" style="841" customWidth="1"/>
    <col min="7174" max="7174" width="7.7109375" style="841" customWidth="1"/>
    <col min="7175" max="7175" width="9.7109375" style="841" customWidth="1"/>
    <col min="7176" max="7176" width="7.28515625" style="841" customWidth="1"/>
    <col min="7177" max="7177" width="7.5703125" style="841" customWidth="1"/>
    <col min="7178" max="7178" width="7.7109375" style="841" customWidth="1"/>
    <col min="7179" max="7179" width="7" style="841" customWidth="1"/>
    <col min="7180" max="7180" width="7.7109375" style="841" customWidth="1"/>
    <col min="7181" max="7181" width="7" style="841" customWidth="1"/>
    <col min="7182" max="7424" width="11.5703125" style="841"/>
    <col min="7425" max="7425" width="11.42578125" style="841" customWidth="1"/>
    <col min="7426" max="7426" width="6.140625" style="841" customWidth="1"/>
    <col min="7427" max="7427" width="22.28515625" style="841" customWidth="1"/>
    <col min="7428" max="7428" width="9.28515625" style="841" customWidth="1"/>
    <col min="7429" max="7429" width="8.28515625" style="841" customWidth="1"/>
    <col min="7430" max="7430" width="7.7109375" style="841" customWidth="1"/>
    <col min="7431" max="7431" width="9.7109375" style="841" customWidth="1"/>
    <col min="7432" max="7432" width="7.28515625" style="841" customWidth="1"/>
    <col min="7433" max="7433" width="7.5703125" style="841" customWidth="1"/>
    <col min="7434" max="7434" width="7.7109375" style="841" customWidth="1"/>
    <col min="7435" max="7435" width="7" style="841" customWidth="1"/>
    <col min="7436" max="7436" width="7.7109375" style="841" customWidth="1"/>
    <col min="7437" max="7437" width="7" style="841" customWidth="1"/>
    <col min="7438" max="7680" width="11.5703125" style="841"/>
    <col min="7681" max="7681" width="11.42578125" style="841" customWidth="1"/>
    <col min="7682" max="7682" width="6.140625" style="841" customWidth="1"/>
    <col min="7683" max="7683" width="22.28515625" style="841" customWidth="1"/>
    <col min="7684" max="7684" width="9.28515625" style="841" customWidth="1"/>
    <col min="7685" max="7685" width="8.28515625" style="841" customWidth="1"/>
    <col min="7686" max="7686" width="7.7109375" style="841" customWidth="1"/>
    <col min="7687" max="7687" width="9.7109375" style="841" customWidth="1"/>
    <col min="7688" max="7688" width="7.28515625" style="841" customWidth="1"/>
    <col min="7689" max="7689" width="7.5703125" style="841" customWidth="1"/>
    <col min="7690" max="7690" width="7.7109375" style="841" customWidth="1"/>
    <col min="7691" max="7691" width="7" style="841" customWidth="1"/>
    <col min="7692" max="7692" width="7.7109375" style="841" customWidth="1"/>
    <col min="7693" max="7693" width="7" style="841" customWidth="1"/>
    <col min="7694" max="7936" width="11.5703125" style="841"/>
    <col min="7937" max="7937" width="11.42578125" style="841" customWidth="1"/>
    <col min="7938" max="7938" width="6.140625" style="841" customWidth="1"/>
    <col min="7939" max="7939" width="22.28515625" style="841" customWidth="1"/>
    <col min="7940" max="7940" width="9.28515625" style="841" customWidth="1"/>
    <col min="7941" max="7941" width="8.28515625" style="841" customWidth="1"/>
    <col min="7942" max="7942" width="7.7109375" style="841" customWidth="1"/>
    <col min="7943" max="7943" width="9.7109375" style="841" customWidth="1"/>
    <col min="7944" max="7944" width="7.28515625" style="841" customWidth="1"/>
    <col min="7945" max="7945" width="7.5703125" style="841" customWidth="1"/>
    <col min="7946" max="7946" width="7.7109375" style="841" customWidth="1"/>
    <col min="7947" max="7947" width="7" style="841" customWidth="1"/>
    <col min="7948" max="7948" width="7.7109375" style="841" customWidth="1"/>
    <col min="7949" max="7949" width="7" style="841" customWidth="1"/>
    <col min="7950" max="8192" width="11.5703125" style="841"/>
    <col min="8193" max="8193" width="11.42578125" style="841" customWidth="1"/>
    <col min="8194" max="8194" width="6.140625" style="841" customWidth="1"/>
    <col min="8195" max="8195" width="22.28515625" style="841" customWidth="1"/>
    <col min="8196" max="8196" width="9.28515625" style="841" customWidth="1"/>
    <col min="8197" max="8197" width="8.28515625" style="841" customWidth="1"/>
    <col min="8198" max="8198" width="7.7109375" style="841" customWidth="1"/>
    <col min="8199" max="8199" width="9.7109375" style="841" customWidth="1"/>
    <col min="8200" max="8200" width="7.28515625" style="841" customWidth="1"/>
    <col min="8201" max="8201" width="7.5703125" style="841" customWidth="1"/>
    <col min="8202" max="8202" width="7.7109375" style="841" customWidth="1"/>
    <col min="8203" max="8203" width="7" style="841" customWidth="1"/>
    <col min="8204" max="8204" width="7.7109375" style="841" customWidth="1"/>
    <col min="8205" max="8205" width="7" style="841" customWidth="1"/>
    <col min="8206" max="8448" width="11.5703125" style="841"/>
    <col min="8449" max="8449" width="11.42578125" style="841" customWidth="1"/>
    <col min="8450" max="8450" width="6.140625" style="841" customWidth="1"/>
    <col min="8451" max="8451" width="22.28515625" style="841" customWidth="1"/>
    <col min="8452" max="8452" width="9.28515625" style="841" customWidth="1"/>
    <col min="8453" max="8453" width="8.28515625" style="841" customWidth="1"/>
    <col min="8454" max="8454" width="7.7109375" style="841" customWidth="1"/>
    <col min="8455" max="8455" width="9.7109375" style="841" customWidth="1"/>
    <col min="8456" max="8456" width="7.28515625" style="841" customWidth="1"/>
    <col min="8457" max="8457" width="7.5703125" style="841" customWidth="1"/>
    <col min="8458" max="8458" width="7.7109375" style="841" customWidth="1"/>
    <col min="8459" max="8459" width="7" style="841" customWidth="1"/>
    <col min="8460" max="8460" width="7.7109375" style="841" customWidth="1"/>
    <col min="8461" max="8461" width="7" style="841" customWidth="1"/>
    <col min="8462" max="8704" width="11.5703125" style="841"/>
    <col min="8705" max="8705" width="11.42578125" style="841" customWidth="1"/>
    <col min="8706" max="8706" width="6.140625" style="841" customWidth="1"/>
    <col min="8707" max="8707" width="22.28515625" style="841" customWidth="1"/>
    <col min="8708" max="8708" width="9.28515625" style="841" customWidth="1"/>
    <col min="8709" max="8709" width="8.28515625" style="841" customWidth="1"/>
    <col min="8710" max="8710" width="7.7109375" style="841" customWidth="1"/>
    <col min="8711" max="8711" width="9.7109375" style="841" customWidth="1"/>
    <col min="8712" max="8712" width="7.28515625" style="841" customWidth="1"/>
    <col min="8713" max="8713" width="7.5703125" style="841" customWidth="1"/>
    <col min="8714" max="8714" width="7.7109375" style="841" customWidth="1"/>
    <col min="8715" max="8715" width="7" style="841" customWidth="1"/>
    <col min="8716" max="8716" width="7.7109375" style="841" customWidth="1"/>
    <col min="8717" max="8717" width="7" style="841" customWidth="1"/>
    <col min="8718" max="8960" width="11.5703125" style="841"/>
    <col min="8961" max="8961" width="11.42578125" style="841" customWidth="1"/>
    <col min="8962" max="8962" width="6.140625" style="841" customWidth="1"/>
    <col min="8963" max="8963" width="22.28515625" style="841" customWidth="1"/>
    <col min="8964" max="8964" width="9.28515625" style="841" customWidth="1"/>
    <col min="8965" max="8965" width="8.28515625" style="841" customWidth="1"/>
    <col min="8966" max="8966" width="7.7109375" style="841" customWidth="1"/>
    <col min="8967" max="8967" width="9.7109375" style="841" customWidth="1"/>
    <col min="8968" max="8968" width="7.28515625" style="841" customWidth="1"/>
    <col min="8969" max="8969" width="7.5703125" style="841" customWidth="1"/>
    <col min="8970" max="8970" width="7.7109375" style="841" customWidth="1"/>
    <col min="8971" max="8971" width="7" style="841" customWidth="1"/>
    <col min="8972" max="8972" width="7.7109375" style="841" customWidth="1"/>
    <col min="8973" max="8973" width="7" style="841" customWidth="1"/>
    <col min="8974" max="9216" width="11.5703125" style="841"/>
    <col min="9217" max="9217" width="11.42578125" style="841" customWidth="1"/>
    <col min="9218" max="9218" width="6.140625" style="841" customWidth="1"/>
    <col min="9219" max="9219" width="22.28515625" style="841" customWidth="1"/>
    <col min="9220" max="9220" width="9.28515625" style="841" customWidth="1"/>
    <col min="9221" max="9221" width="8.28515625" style="841" customWidth="1"/>
    <col min="9222" max="9222" width="7.7109375" style="841" customWidth="1"/>
    <col min="9223" max="9223" width="9.7109375" style="841" customWidth="1"/>
    <col min="9224" max="9224" width="7.28515625" style="841" customWidth="1"/>
    <col min="9225" max="9225" width="7.5703125" style="841" customWidth="1"/>
    <col min="9226" max="9226" width="7.7109375" style="841" customWidth="1"/>
    <col min="9227" max="9227" width="7" style="841" customWidth="1"/>
    <col min="9228" max="9228" width="7.7109375" style="841" customWidth="1"/>
    <col min="9229" max="9229" width="7" style="841" customWidth="1"/>
    <col min="9230" max="9472" width="11.5703125" style="841"/>
    <col min="9473" max="9473" width="11.42578125" style="841" customWidth="1"/>
    <col min="9474" max="9474" width="6.140625" style="841" customWidth="1"/>
    <col min="9475" max="9475" width="22.28515625" style="841" customWidth="1"/>
    <col min="9476" max="9476" width="9.28515625" style="841" customWidth="1"/>
    <col min="9477" max="9477" width="8.28515625" style="841" customWidth="1"/>
    <col min="9478" max="9478" width="7.7109375" style="841" customWidth="1"/>
    <col min="9479" max="9479" width="9.7109375" style="841" customWidth="1"/>
    <col min="9480" max="9480" width="7.28515625" style="841" customWidth="1"/>
    <col min="9481" max="9481" width="7.5703125" style="841" customWidth="1"/>
    <col min="9482" max="9482" width="7.7109375" style="841" customWidth="1"/>
    <col min="9483" max="9483" width="7" style="841" customWidth="1"/>
    <col min="9484" max="9484" width="7.7109375" style="841" customWidth="1"/>
    <col min="9485" max="9485" width="7" style="841" customWidth="1"/>
    <col min="9486" max="9728" width="11.5703125" style="841"/>
    <col min="9729" max="9729" width="11.42578125" style="841" customWidth="1"/>
    <col min="9730" max="9730" width="6.140625" style="841" customWidth="1"/>
    <col min="9731" max="9731" width="22.28515625" style="841" customWidth="1"/>
    <col min="9732" max="9732" width="9.28515625" style="841" customWidth="1"/>
    <col min="9733" max="9733" width="8.28515625" style="841" customWidth="1"/>
    <col min="9734" max="9734" width="7.7109375" style="841" customWidth="1"/>
    <col min="9735" max="9735" width="9.7109375" style="841" customWidth="1"/>
    <col min="9736" max="9736" width="7.28515625" style="841" customWidth="1"/>
    <col min="9737" max="9737" width="7.5703125" style="841" customWidth="1"/>
    <col min="9738" max="9738" width="7.7109375" style="841" customWidth="1"/>
    <col min="9739" max="9739" width="7" style="841" customWidth="1"/>
    <col min="9740" max="9740" width="7.7109375" style="841" customWidth="1"/>
    <col min="9741" max="9741" width="7" style="841" customWidth="1"/>
    <col min="9742" max="9984" width="11.5703125" style="841"/>
    <col min="9985" max="9985" width="11.42578125" style="841" customWidth="1"/>
    <col min="9986" max="9986" width="6.140625" style="841" customWidth="1"/>
    <col min="9987" max="9987" width="22.28515625" style="841" customWidth="1"/>
    <col min="9988" max="9988" width="9.28515625" style="841" customWidth="1"/>
    <col min="9989" max="9989" width="8.28515625" style="841" customWidth="1"/>
    <col min="9990" max="9990" width="7.7109375" style="841" customWidth="1"/>
    <col min="9991" max="9991" width="9.7109375" style="841" customWidth="1"/>
    <col min="9992" max="9992" width="7.28515625" style="841" customWidth="1"/>
    <col min="9993" max="9993" width="7.5703125" style="841" customWidth="1"/>
    <col min="9994" max="9994" width="7.7109375" style="841" customWidth="1"/>
    <col min="9995" max="9995" width="7" style="841" customWidth="1"/>
    <col min="9996" max="9996" width="7.7109375" style="841" customWidth="1"/>
    <col min="9997" max="9997" width="7" style="841" customWidth="1"/>
    <col min="9998" max="10240" width="11.5703125" style="841"/>
    <col min="10241" max="10241" width="11.42578125" style="841" customWidth="1"/>
    <col min="10242" max="10242" width="6.140625" style="841" customWidth="1"/>
    <col min="10243" max="10243" width="22.28515625" style="841" customWidth="1"/>
    <col min="10244" max="10244" width="9.28515625" style="841" customWidth="1"/>
    <col min="10245" max="10245" width="8.28515625" style="841" customWidth="1"/>
    <col min="10246" max="10246" width="7.7109375" style="841" customWidth="1"/>
    <col min="10247" max="10247" width="9.7109375" style="841" customWidth="1"/>
    <col min="10248" max="10248" width="7.28515625" style="841" customWidth="1"/>
    <col min="10249" max="10249" width="7.5703125" style="841" customWidth="1"/>
    <col min="10250" max="10250" width="7.7109375" style="841" customWidth="1"/>
    <col min="10251" max="10251" width="7" style="841" customWidth="1"/>
    <col min="10252" max="10252" width="7.7109375" style="841" customWidth="1"/>
    <col min="10253" max="10253" width="7" style="841" customWidth="1"/>
    <col min="10254" max="10496" width="11.5703125" style="841"/>
    <col min="10497" max="10497" width="11.42578125" style="841" customWidth="1"/>
    <col min="10498" max="10498" width="6.140625" style="841" customWidth="1"/>
    <col min="10499" max="10499" width="22.28515625" style="841" customWidth="1"/>
    <col min="10500" max="10500" width="9.28515625" style="841" customWidth="1"/>
    <col min="10501" max="10501" width="8.28515625" style="841" customWidth="1"/>
    <col min="10502" max="10502" width="7.7109375" style="841" customWidth="1"/>
    <col min="10503" max="10503" width="9.7109375" style="841" customWidth="1"/>
    <col min="10504" max="10504" width="7.28515625" style="841" customWidth="1"/>
    <col min="10505" max="10505" width="7.5703125" style="841" customWidth="1"/>
    <col min="10506" max="10506" width="7.7109375" style="841" customWidth="1"/>
    <col min="10507" max="10507" width="7" style="841" customWidth="1"/>
    <col min="10508" max="10508" width="7.7109375" style="841" customWidth="1"/>
    <col min="10509" max="10509" width="7" style="841" customWidth="1"/>
    <col min="10510" max="10752" width="11.5703125" style="841"/>
    <col min="10753" max="10753" width="11.42578125" style="841" customWidth="1"/>
    <col min="10754" max="10754" width="6.140625" style="841" customWidth="1"/>
    <col min="10755" max="10755" width="22.28515625" style="841" customWidth="1"/>
    <col min="10756" max="10756" width="9.28515625" style="841" customWidth="1"/>
    <col min="10757" max="10757" width="8.28515625" style="841" customWidth="1"/>
    <col min="10758" max="10758" width="7.7109375" style="841" customWidth="1"/>
    <col min="10759" max="10759" width="9.7109375" style="841" customWidth="1"/>
    <col min="10760" max="10760" width="7.28515625" style="841" customWidth="1"/>
    <col min="10761" max="10761" width="7.5703125" style="841" customWidth="1"/>
    <col min="10762" max="10762" width="7.7109375" style="841" customWidth="1"/>
    <col min="10763" max="10763" width="7" style="841" customWidth="1"/>
    <col min="10764" max="10764" width="7.7109375" style="841" customWidth="1"/>
    <col min="10765" max="10765" width="7" style="841" customWidth="1"/>
    <col min="10766" max="11008" width="11.5703125" style="841"/>
    <col min="11009" max="11009" width="11.42578125" style="841" customWidth="1"/>
    <col min="11010" max="11010" width="6.140625" style="841" customWidth="1"/>
    <col min="11011" max="11011" width="22.28515625" style="841" customWidth="1"/>
    <col min="11012" max="11012" width="9.28515625" style="841" customWidth="1"/>
    <col min="11013" max="11013" width="8.28515625" style="841" customWidth="1"/>
    <col min="11014" max="11014" width="7.7109375" style="841" customWidth="1"/>
    <col min="11015" max="11015" width="9.7109375" style="841" customWidth="1"/>
    <col min="11016" max="11016" width="7.28515625" style="841" customWidth="1"/>
    <col min="11017" max="11017" width="7.5703125" style="841" customWidth="1"/>
    <col min="11018" max="11018" width="7.7109375" style="841" customWidth="1"/>
    <col min="11019" max="11019" width="7" style="841" customWidth="1"/>
    <col min="11020" max="11020" width="7.7109375" style="841" customWidth="1"/>
    <col min="11021" max="11021" width="7" style="841" customWidth="1"/>
    <col min="11022" max="11264" width="11.5703125" style="841"/>
    <col min="11265" max="11265" width="11.42578125" style="841" customWidth="1"/>
    <col min="11266" max="11266" width="6.140625" style="841" customWidth="1"/>
    <col min="11267" max="11267" width="22.28515625" style="841" customWidth="1"/>
    <col min="11268" max="11268" width="9.28515625" style="841" customWidth="1"/>
    <col min="11269" max="11269" width="8.28515625" style="841" customWidth="1"/>
    <col min="11270" max="11270" width="7.7109375" style="841" customWidth="1"/>
    <col min="11271" max="11271" width="9.7109375" style="841" customWidth="1"/>
    <col min="11272" max="11272" width="7.28515625" style="841" customWidth="1"/>
    <col min="11273" max="11273" width="7.5703125" style="841" customWidth="1"/>
    <col min="11274" max="11274" width="7.7109375" style="841" customWidth="1"/>
    <col min="11275" max="11275" width="7" style="841" customWidth="1"/>
    <col min="11276" max="11276" width="7.7109375" style="841" customWidth="1"/>
    <col min="11277" max="11277" width="7" style="841" customWidth="1"/>
    <col min="11278" max="11520" width="11.5703125" style="841"/>
    <col min="11521" max="11521" width="11.42578125" style="841" customWidth="1"/>
    <col min="11522" max="11522" width="6.140625" style="841" customWidth="1"/>
    <col min="11523" max="11523" width="22.28515625" style="841" customWidth="1"/>
    <col min="11524" max="11524" width="9.28515625" style="841" customWidth="1"/>
    <col min="11525" max="11525" width="8.28515625" style="841" customWidth="1"/>
    <col min="11526" max="11526" width="7.7109375" style="841" customWidth="1"/>
    <col min="11527" max="11527" width="9.7109375" style="841" customWidth="1"/>
    <col min="11528" max="11528" width="7.28515625" style="841" customWidth="1"/>
    <col min="11529" max="11529" width="7.5703125" style="841" customWidth="1"/>
    <col min="11530" max="11530" width="7.7109375" style="841" customWidth="1"/>
    <col min="11531" max="11531" width="7" style="841" customWidth="1"/>
    <col min="11532" max="11532" width="7.7109375" style="841" customWidth="1"/>
    <col min="11533" max="11533" width="7" style="841" customWidth="1"/>
    <col min="11534" max="11776" width="11.5703125" style="841"/>
    <col min="11777" max="11777" width="11.42578125" style="841" customWidth="1"/>
    <col min="11778" max="11778" width="6.140625" style="841" customWidth="1"/>
    <col min="11779" max="11779" width="22.28515625" style="841" customWidth="1"/>
    <col min="11780" max="11780" width="9.28515625" style="841" customWidth="1"/>
    <col min="11781" max="11781" width="8.28515625" style="841" customWidth="1"/>
    <col min="11782" max="11782" width="7.7109375" style="841" customWidth="1"/>
    <col min="11783" max="11783" width="9.7109375" style="841" customWidth="1"/>
    <col min="11784" max="11784" width="7.28515625" style="841" customWidth="1"/>
    <col min="11785" max="11785" width="7.5703125" style="841" customWidth="1"/>
    <col min="11786" max="11786" width="7.7109375" style="841" customWidth="1"/>
    <col min="11787" max="11787" width="7" style="841" customWidth="1"/>
    <col min="11788" max="11788" width="7.7109375" style="841" customWidth="1"/>
    <col min="11789" max="11789" width="7" style="841" customWidth="1"/>
    <col min="11790" max="12032" width="11.5703125" style="841"/>
    <col min="12033" max="12033" width="11.42578125" style="841" customWidth="1"/>
    <col min="12034" max="12034" width="6.140625" style="841" customWidth="1"/>
    <col min="12035" max="12035" width="22.28515625" style="841" customWidth="1"/>
    <col min="12036" max="12036" width="9.28515625" style="841" customWidth="1"/>
    <col min="12037" max="12037" width="8.28515625" style="841" customWidth="1"/>
    <col min="12038" max="12038" width="7.7109375" style="841" customWidth="1"/>
    <col min="12039" max="12039" width="9.7109375" style="841" customWidth="1"/>
    <col min="12040" max="12040" width="7.28515625" style="841" customWidth="1"/>
    <col min="12041" max="12041" width="7.5703125" style="841" customWidth="1"/>
    <col min="12042" max="12042" width="7.7109375" style="841" customWidth="1"/>
    <col min="12043" max="12043" width="7" style="841" customWidth="1"/>
    <col min="12044" max="12044" width="7.7109375" style="841" customWidth="1"/>
    <col min="12045" max="12045" width="7" style="841" customWidth="1"/>
    <col min="12046" max="12288" width="11.5703125" style="841"/>
    <col min="12289" max="12289" width="11.42578125" style="841" customWidth="1"/>
    <col min="12290" max="12290" width="6.140625" style="841" customWidth="1"/>
    <col min="12291" max="12291" width="22.28515625" style="841" customWidth="1"/>
    <col min="12292" max="12292" width="9.28515625" style="841" customWidth="1"/>
    <col min="12293" max="12293" width="8.28515625" style="841" customWidth="1"/>
    <col min="12294" max="12294" width="7.7109375" style="841" customWidth="1"/>
    <col min="12295" max="12295" width="9.7109375" style="841" customWidth="1"/>
    <col min="12296" max="12296" width="7.28515625" style="841" customWidth="1"/>
    <col min="12297" max="12297" width="7.5703125" style="841" customWidth="1"/>
    <col min="12298" max="12298" width="7.7109375" style="841" customWidth="1"/>
    <col min="12299" max="12299" width="7" style="841" customWidth="1"/>
    <col min="12300" max="12300" width="7.7109375" style="841" customWidth="1"/>
    <col min="12301" max="12301" width="7" style="841" customWidth="1"/>
    <col min="12302" max="12544" width="11.5703125" style="841"/>
    <col min="12545" max="12545" width="11.42578125" style="841" customWidth="1"/>
    <col min="12546" max="12546" width="6.140625" style="841" customWidth="1"/>
    <col min="12547" max="12547" width="22.28515625" style="841" customWidth="1"/>
    <col min="12548" max="12548" width="9.28515625" style="841" customWidth="1"/>
    <col min="12549" max="12549" width="8.28515625" style="841" customWidth="1"/>
    <col min="12550" max="12550" width="7.7109375" style="841" customWidth="1"/>
    <col min="12551" max="12551" width="9.7109375" style="841" customWidth="1"/>
    <col min="12552" max="12552" width="7.28515625" style="841" customWidth="1"/>
    <col min="12553" max="12553" width="7.5703125" style="841" customWidth="1"/>
    <col min="12554" max="12554" width="7.7109375" style="841" customWidth="1"/>
    <col min="12555" max="12555" width="7" style="841" customWidth="1"/>
    <col min="12556" max="12556" width="7.7109375" style="841" customWidth="1"/>
    <col min="12557" max="12557" width="7" style="841" customWidth="1"/>
    <col min="12558" max="12800" width="11.5703125" style="841"/>
    <col min="12801" max="12801" width="11.42578125" style="841" customWidth="1"/>
    <col min="12802" max="12802" width="6.140625" style="841" customWidth="1"/>
    <col min="12803" max="12803" width="22.28515625" style="841" customWidth="1"/>
    <col min="12804" max="12804" width="9.28515625" style="841" customWidth="1"/>
    <col min="12805" max="12805" width="8.28515625" style="841" customWidth="1"/>
    <col min="12806" max="12806" width="7.7109375" style="841" customWidth="1"/>
    <col min="12807" max="12807" width="9.7109375" style="841" customWidth="1"/>
    <col min="12808" max="12808" width="7.28515625" style="841" customWidth="1"/>
    <col min="12809" max="12809" width="7.5703125" style="841" customWidth="1"/>
    <col min="12810" max="12810" width="7.7109375" style="841" customWidth="1"/>
    <col min="12811" max="12811" width="7" style="841" customWidth="1"/>
    <col min="12812" max="12812" width="7.7109375" style="841" customWidth="1"/>
    <col min="12813" max="12813" width="7" style="841" customWidth="1"/>
    <col min="12814" max="13056" width="11.5703125" style="841"/>
    <col min="13057" max="13057" width="11.42578125" style="841" customWidth="1"/>
    <col min="13058" max="13058" width="6.140625" style="841" customWidth="1"/>
    <col min="13059" max="13059" width="22.28515625" style="841" customWidth="1"/>
    <col min="13060" max="13060" width="9.28515625" style="841" customWidth="1"/>
    <col min="13061" max="13061" width="8.28515625" style="841" customWidth="1"/>
    <col min="13062" max="13062" width="7.7109375" style="841" customWidth="1"/>
    <col min="13063" max="13063" width="9.7109375" style="841" customWidth="1"/>
    <col min="13064" max="13064" width="7.28515625" style="841" customWidth="1"/>
    <col min="13065" max="13065" width="7.5703125" style="841" customWidth="1"/>
    <col min="13066" max="13066" width="7.7109375" style="841" customWidth="1"/>
    <col min="13067" max="13067" width="7" style="841" customWidth="1"/>
    <col min="13068" max="13068" width="7.7109375" style="841" customWidth="1"/>
    <col min="13069" max="13069" width="7" style="841" customWidth="1"/>
    <col min="13070" max="13312" width="11.5703125" style="841"/>
    <col min="13313" max="13313" width="11.42578125" style="841" customWidth="1"/>
    <col min="13314" max="13314" width="6.140625" style="841" customWidth="1"/>
    <col min="13315" max="13315" width="22.28515625" style="841" customWidth="1"/>
    <col min="13316" max="13316" width="9.28515625" style="841" customWidth="1"/>
    <col min="13317" max="13317" width="8.28515625" style="841" customWidth="1"/>
    <col min="13318" max="13318" width="7.7109375" style="841" customWidth="1"/>
    <col min="13319" max="13319" width="9.7109375" style="841" customWidth="1"/>
    <col min="13320" max="13320" width="7.28515625" style="841" customWidth="1"/>
    <col min="13321" max="13321" width="7.5703125" style="841" customWidth="1"/>
    <col min="13322" max="13322" width="7.7109375" style="841" customWidth="1"/>
    <col min="13323" max="13323" width="7" style="841" customWidth="1"/>
    <col min="13324" max="13324" width="7.7109375" style="841" customWidth="1"/>
    <col min="13325" max="13325" width="7" style="841" customWidth="1"/>
    <col min="13326" max="13568" width="11.5703125" style="841"/>
    <col min="13569" max="13569" width="11.42578125" style="841" customWidth="1"/>
    <col min="13570" max="13570" width="6.140625" style="841" customWidth="1"/>
    <col min="13571" max="13571" width="22.28515625" style="841" customWidth="1"/>
    <col min="13572" max="13572" width="9.28515625" style="841" customWidth="1"/>
    <col min="13573" max="13573" width="8.28515625" style="841" customWidth="1"/>
    <col min="13574" max="13574" width="7.7109375" style="841" customWidth="1"/>
    <col min="13575" max="13575" width="9.7109375" style="841" customWidth="1"/>
    <col min="13576" max="13576" width="7.28515625" style="841" customWidth="1"/>
    <col min="13577" max="13577" width="7.5703125" style="841" customWidth="1"/>
    <col min="13578" max="13578" width="7.7109375" style="841" customWidth="1"/>
    <col min="13579" max="13579" width="7" style="841" customWidth="1"/>
    <col min="13580" max="13580" width="7.7109375" style="841" customWidth="1"/>
    <col min="13581" max="13581" width="7" style="841" customWidth="1"/>
    <col min="13582" max="13824" width="11.5703125" style="841"/>
    <col min="13825" max="13825" width="11.42578125" style="841" customWidth="1"/>
    <col min="13826" max="13826" width="6.140625" style="841" customWidth="1"/>
    <col min="13827" max="13827" width="22.28515625" style="841" customWidth="1"/>
    <col min="13828" max="13828" width="9.28515625" style="841" customWidth="1"/>
    <col min="13829" max="13829" width="8.28515625" style="841" customWidth="1"/>
    <col min="13830" max="13830" width="7.7109375" style="841" customWidth="1"/>
    <col min="13831" max="13831" width="9.7109375" style="841" customWidth="1"/>
    <col min="13832" max="13832" width="7.28515625" style="841" customWidth="1"/>
    <col min="13833" max="13833" width="7.5703125" style="841" customWidth="1"/>
    <col min="13834" max="13834" width="7.7109375" style="841" customWidth="1"/>
    <col min="13835" max="13835" width="7" style="841" customWidth="1"/>
    <col min="13836" max="13836" width="7.7109375" style="841" customWidth="1"/>
    <col min="13837" max="13837" width="7" style="841" customWidth="1"/>
    <col min="13838" max="14080" width="11.5703125" style="841"/>
    <col min="14081" max="14081" width="11.42578125" style="841" customWidth="1"/>
    <col min="14082" max="14082" width="6.140625" style="841" customWidth="1"/>
    <col min="14083" max="14083" width="22.28515625" style="841" customWidth="1"/>
    <col min="14084" max="14084" width="9.28515625" style="841" customWidth="1"/>
    <col min="14085" max="14085" width="8.28515625" style="841" customWidth="1"/>
    <col min="14086" max="14086" width="7.7109375" style="841" customWidth="1"/>
    <col min="14087" max="14087" width="9.7109375" style="841" customWidth="1"/>
    <col min="14088" max="14088" width="7.28515625" style="841" customWidth="1"/>
    <col min="14089" max="14089" width="7.5703125" style="841" customWidth="1"/>
    <col min="14090" max="14090" width="7.7109375" style="841" customWidth="1"/>
    <col min="14091" max="14091" width="7" style="841" customWidth="1"/>
    <col min="14092" max="14092" width="7.7109375" style="841" customWidth="1"/>
    <col min="14093" max="14093" width="7" style="841" customWidth="1"/>
    <col min="14094" max="14336" width="11.5703125" style="841"/>
    <col min="14337" max="14337" width="11.42578125" style="841" customWidth="1"/>
    <col min="14338" max="14338" width="6.140625" style="841" customWidth="1"/>
    <col min="14339" max="14339" width="22.28515625" style="841" customWidth="1"/>
    <col min="14340" max="14340" width="9.28515625" style="841" customWidth="1"/>
    <col min="14341" max="14341" width="8.28515625" style="841" customWidth="1"/>
    <col min="14342" max="14342" width="7.7109375" style="841" customWidth="1"/>
    <col min="14343" max="14343" width="9.7109375" style="841" customWidth="1"/>
    <col min="14344" max="14344" width="7.28515625" style="841" customWidth="1"/>
    <col min="14345" max="14345" width="7.5703125" style="841" customWidth="1"/>
    <col min="14346" max="14346" width="7.7109375" style="841" customWidth="1"/>
    <col min="14347" max="14347" width="7" style="841" customWidth="1"/>
    <col min="14348" max="14348" width="7.7109375" style="841" customWidth="1"/>
    <col min="14349" max="14349" width="7" style="841" customWidth="1"/>
    <col min="14350" max="14592" width="11.5703125" style="841"/>
    <col min="14593" max="14593" width="11.42578125" style="841" customWidth="1"/>
    <col min="14594" max="14594" width="6.140625" style="841" customWidth="1"/>
    <col min="14595" max="14595" width="22.28515625" style="841" customWidth="1"/>
    <col min="14596" max="14596" width="9.28515625" style="841" customWidth="1"/>
    <col min="14597" max="14597" width="8.28515625" style="841" customWidth="1"/>
    <col min="14598" max="14598" width="7.7109375" style="841" customWidth="1"/>
    <col min="14599" max="14599" width="9.7109375" style="841" customWidth="1"/>
    <col min="14600" max="14600" width="7.28515625" style="841" customWidth="1"/>
    <col min="14601" max="14601" width="7.5703125" style="841" customWidth="1"/>
    <col min="14602" max="14602" width="7.7109375" style="841" customWidth="1"/>
    <col min="14603" max="14603" width="7" style="841" customWidth="1"/>
    <col min="14604" max="14604" width="7.7109375" style="841" customWidth="1"/>
    <col min="14605" max="14605" width="7" style="841" customWidth="1"/>
    <col min="14606" max="14848" width="11.5703125" style="841"/>
    <col min="14849" max="14849" width="11.42578125" style="841" customWidth="1"/>
    <col min="14850" max="14850" width="6.140625" style="841" customWidth="1"/>
    <col min="14851" max="14851" width="22.28515625" style="841" customWidth="1"/>
    <col min="14852" max="14852" width="9.28515625" style="841" customWidth="1"/>
    <col min="14853" max="14853" width="8.28515625" style="841" customWidth="1"/>
    <col min="14854" max="14854" width="7.7109375" style="841" customWidth="1"/>
    <col min="14855" max="14855" width="9.7109375" style="841" customWidth="1"/>
    <col min="14856" max="14856" width="7.28515625" style="841" customWidth="1"/>
    <col min="14857" max="14857" width="7.5703125" style="841" customWidth="1"/>
    <col min="14858" max="14858" width="7.7109375" style="841" customWidth="1"/>
    <col min="14859" max="14859" width="7" style="841" customWidth="1"/>
    <col min="14860" max="14860" width="7.7109375" style="841" customWidth="1"/>
    <col min="14861" max="14861" width="7" style="841" customWidth="1"/>
    <col min="14862" max="15104" width="11.5703125" style="841"/>
    <col min="15105" max="15105" width="11.42578125" style="841" customWidth="1"/>
    <col min="15106" max="15106" width="6.140625" style="841" customWidth="1"/>
    <col min="15107" max="15107" width="22.28515625" style="841" customWidth="1"/>
    <col min="15108" max="15108" width="9.28515625" style="841" customWidth="1"/>
    <col min="15109" max="15109" width="8.28515625" style="841" customWidth="1"/>
    <col min="15110" max="15110" width="7.7109375" style="841" customWidth="1"/>
    <col min="15111" max="15111" width="9.7109375" style="841" customWidth="1"/>
    <col min="15112" max="15112" width="7.28515625" style="841" customWidth="1"/>
    <col min="15113" max="15113" width="7.5703125" style="841" customWidth="1"/>
    <col min="15114" max="15114" width="7.7109375" style="841" customWidth="1"/>
    <col min="15115" max="15115" width="7" style="841" customWidth="1"/>
    <col min="15116" max="15116" width="7.7109375" style="841" customWidth="1"/>
    <col min="15117" max="15117" width="7" style="841" customWidth="1"/>
    <col min="15118" max="15360" width="11.5703125" style="841"/>
    <col min="15361" max="15361" width="11.42578125" style="841" customWidth="1"/>
    <col min="15362" max="15362" width="6.140625" style="841" customWidth="1"/>
    <col min="15363" max="15363" width="22.28515625" style="841" customWidth="1"/>
    <col min="15364" max="15364" width="9.28515625" style="841" customWidth="1"/>
    <col min="15365" max="15365" width="8.28515625" style="841" customWidth="1"/>
    <col min="15366" max="15366" width="7.7109375" style="841" customWidth="1"/>
    <col min="15367" max="15367" width="9.7109375" style="841" customWidth="1"/>
    <col min="15368" max="15368" width="7.28515625" style="841" customWidth="1"/>
    <col min="15369" max="15369" width="7.5703125" style="841" customWidth="1"/>
    <col min="15370" max="15370" width="7.7109375" style="841" customWidth="1"/>
    <col min="15371" max="15371" width="7" style="841" customWidth="1"/>
    <col min="15372" max="15372" width="7.7109375" style="841" customWidth="1"/>
    <col min="15373" max="15373" width="7" style="841" customWidth="1"/>
    <col min="15374" max="15616" width="11.5703125" style="841"/>
    <col min="15617" max="15617" width="11.42578125" style="841" customWidth="1"/>
    <col min="15618" max="15618" width="6.140625" style="841" customWidth="1"/>
    <col min="15619" max="15619" width="22.28515625" style="841" customWidth="1"/>
    <col min="15620" max="15620" width="9.28515625" style="841" customWidth="1"/>
    <col min="15621" max="15621" width="8.28515625" style="841" customWidth="1"/>
    <col min="15622" max="15622" width="7.7109375" style="841" customWidth="1"/>
    <col min="15623" max="15623" width="9.7109375" style="841" customWidth="1"/>
    <col min="15624" max="15624" width="7.28515625" style="841" customWidth="1"/>
    <col min="15625" max="15625" width="7.5703125" style="841" customWidth="1"/>
    <col min="15626" max="15626" width="7.7109375" style="841" customWidth="1"/>
    <col min="15627" max="15627" width="7" style="841" customWidth="1"/>
    <col min="15628" max="15628" width="7.7109375" style="841" customWidth="1"/>
    <col min="15629" max="15629" width="7" style="841" customWidth="1"/>
    <col min="15630" max="15872" width="11.5703125" style="841"/>
    <col min="15873" max="15873" width="11.42578125" style="841" customWidth="1"/>
    <col min="15874" max="15874" width="6.140625" style="841" customWidth="1"/>
    <col min="15875" max="15875" width="22.28515625" style="841" customWidth="1"/>
    <col min="15876" max="15876" width="9.28515625" style="841" customWidth="1"/>
    <col min="15877" max="15877" width="8.28515625" style="841" customWidth="1"/>
    <col min="15878" max="15878" width="7.7109375" style="841" customWidth="1"/>
    <col min="15879" max="15879" width="9.7109375" style="841" customWidth="1"/>
    <col min="15880" max="15880" width="7.28515625" style="841" customWidth="1"/>
    <col min="15881" max="15881" width="7.5703125" style="841" customWidth="1"/>
    <col min="15882" max="15882" width="7.7109375" style="841" customWidth="1"/>
    <col min="15883" max="15883" width="7" style="841" customWidth="1"/>
    <col min="15884" max="15884" width="7.7109375" style="841" customWidth="1"/>
    <col min="15885" max="15885" width="7" style="841" customWidth="1"/>
    <col min="15886" max="16128" width="11.5703125" style="841"/>
    <col min="16129" max="16129" width="11.42578125" style="841" customWidth="1"/>
    <col min="16130" max="16130" width="6.140625" style="841" customWidth="1"/>
    <col min="16131" max="16131" width="22.28515625" style="841" customWidth="1"/>
    <col min="16132" max="16132" width="9.28515625" style="841" customWidth="1"/>
    <col min="16133" max="16133" width="8.28515625" style="841" customWidth="1"/>
    <col min="16134" max="16134" width="7.7109375" style="841" customWidth="1"/>
    <col min="16135" max="16135" width="9.7109375" style="841" customWidth="1"/>
    <col min="16136" max="16136" width="7.28515625" style="841" customWidth="1"/>
    <col min="16137" max="16137" width="7.5703125" style="841" customWidth="1"/>
    <col min="16138" max="16138" width="7.7109375" style="841" customWidth="1"/>
    <col min="16139" max="16139" width="7" style="841" customWidth="1"/>
    <col min="16140" max="16140" width="7.7109375" style="841" customWidth="1"/>
    <col min="16141" max="16141" width="7" style="841" customWidth="1"/>
    <col min="16142" max="16384" width="11.5703125" style="841"/>
  </cols>
  <sheetData>
    <row r="1" spans="1:15" ht="26.25" customHeight="1" x14ac:dyDescent="0.4">
      <c r="A1" s="909" t="s">
        <v>1667</v>
      </c>
      <c r="B1" s="910"/>
      <c r="C1" s="911"/>
      <c r="F1" s="912" t="s">
        <v>1815</v>
      </c>
      <c r="G1" s="913"/>
      <c r="H1" s="913"/>
      <c r="I1" s="913"/>
      <c r="J1" s="913"/>
      <c r="K1" s="913"/>
      <c r="L1" s="914"/>
    </row>
    <row r="2" spans="1:15" ht="21" customHeight="1" x14ac:dyDescent="0.35">
      <c r="A2" s="905" t="s">
        <v>1669</v>
      </c>
      <c r="B2" s="906"/>
      <c r="C2" s="842" t="s">
        <v>1670</v>
      </c>
      <c r="F2" s="905" t="s">
        <v>1669</v>
      </c>
      <c r="G2" s="906"/>
      <c r="H2" s="907" t="s">
        <v>1681</v>
      </c>
      <c r="I2" s="907"/>
      <c r="J2" s="907"/>
      <c r="K2" s="907"/>
      <c r="L2" s="908"/>
    </row>
    <row r="3" spans="1:15" ht="21.75" customHeight="1" x14ac:dyDescent="0.35">
      <c r="A3" s="905" t="s">
        <v>1671</v>
      </c>
      <c r="B3" s="906"/>
      <c r="C3" s="842" t="s">
        <v>1672</v>
      </c>
      <c r="F3" s="905" t="s">
        <v>1671</v>
      </c>
      <c r="G3" s="906"/>
      <c r="H3" s="907" t="s">
        <v>1682</v>
      </c>
      <c r="I3" s="907"/>
      <c r="J3" s="907"/>
      <c r="K3" s="907"/>
      <c r="L3" s="908"/>
    </row>
    <row r="4" spans="1:15" ht="21.75" thickBot="1" x14ac:dyDescent="0.4">
      <c r="A4" s="915" t="s">
        <v>1673</v>
      </c>
      <c r="B4" s="916"/>
      <c r="C4" s="843" t="s">
        <v>1674</v>
      </c>
      <c r="F4" s="915" t="s">
        <v>1673</v>
      </c>
      <c r="G4" s="916"/>
      <c r="H4" s="917" t="s">
        <v>1816</v>
      </c>
      <c r="I4" s="917"/>
      <c r="J4" s="917"/>
      <c r="K4" s="917"/>
      <c r="L4" s="918"/>
    </row>
    <row r="5" spans="1:15" ht="7.5" customHeight="1" thickBot="1" x14ac:dyDescent="0.4">
      <c r="A5" s="844"/>
      <c r="C5" s="844"/>
    </row>
    <row r="6" spans="1:15" ht="35.450000000000003" customHeight="1" thickBot="1" x14ac:dyDescent="0.25">
      <c r="A6" s="919" t="s">
        <v>1668</v>
      </c>
      <c r="B6" s="920"/>
      <c r="C6" s="921"/>
      <c r="F6" s="922" t="s">
        <v>1675</v>
      </c>
      <c r="G6" s="923"/>
      <c r="H6" s="924"/>
      <c r="I6" s="925">
        <f ca="1">+TODAY()</f>
        <v>46099</v>
      </c>
      <c r="J6" s="926"/>
      <c r="K6" s="926"/>
      <c r="L6" s="926"/>
      <c r="M6" s="927"/>
    </row>
    <row r="7" spans="1:15" ht="3" customHeight="1" thickBot="1" x14ac:dyDescent="0.25"/>
    <row r="8" spans="1:15" ht="42.75" customHeight="1" thickBot="1" x14ac:dyDescent="0.25">
      <c r="A8" s="935" t="s">
        <v>1676</v>
      </c>
      <c r="B8" s="936"/>
      <c r="C8" s="845" t="s">
        <v>1835</v>
      </c>
      <c r="D8" s="846" t="s">
        <v>1677</v>
      </c>
      <c r="E8" s="847">
        <v>2147</v>
      </c>
      <c r="F8" s="935" t="s">
        <v>1678</v>
      </c>
      <c r="G8" s="937"/>
      <c r="H8" s="936"/>
      <c r="I8" s="938" t="s">
        <v>1672</v>
      </c>
      <c r="J8" s="939"/>
      <c r="K8" s="939"/>
      <c r="L8" s="939"/>
      <c r="M8" s="940"/>
    </row>
    <row r="9" spans="1:15" ht="7.5" customHeight="1" thickBot="1" x14ac:dyDescent="0.4">
      <c r="A9" s="844"/>
      <c r="C9" s="844"/>
    </row>
    <row r="10" spans="1:15" ht="39.6" customHeight="1" thickBot="1" x14ac:dyDescent="0.25">
      <c r="A10" s="941" t="s">
        <v>1818</v>
      </c>
      <c r="B10" s="942"/>
      <c r="C10" s="942"/>
      <c r="D10" s="942"/>
      <c r="E10" s="942"/>
      <c r="F10" s="942"/>
      <c r="G10" s="942"/>
      <c r="H10" s="942"/>
      <c r="I10" s="942"/>
      <c r="J10" s="942"/>
      <c r="K10" s="942"/>
      <c r="L10" s="942"/>
      <c r="M10" s="943"/>
    </row>
    <row r="11" spans="1:15" ht="6" customHeight="1" thickBot="1" x14ac:dyDescent="0.4">
      <c r="A11" s="844"/>
      <c r="C11" s="844"/>
    </row>
    <row r="12" spans="1:15" ht="27" thickBot="1" x14ac:dyDescent="0.25">
      <c r="A12" s="944" t="s">
        <v>1679</v>
      </c>
      <c r="B12" s="945"/>
      <c r="C12" s="945"/>
      <c r="D12" s="945"/>
      <c r="E12" s="945"/>
      <c r="F12" s="945"/>
      <c r="G12" s="945"/>
      <c r="H12" s="945"/>
      <c r="I12" s="945"/>
      <c r="J12" s="945"/>
      <c r="K12" s="945"/>
      <c r="L12" s="945"/>
      <c r="M12" s="946"/>
    </row>
    <row r="13" spans="1:15" ht="38.25" thickBot="1" x14ac:dyDescent="0.25">
      <c r="A13" s="848" t="s">
        <v>1293</v>
      </c>
      <c r="B13" s="849" t="s">
        <v>1664</v>
      </c>
      <c r="C13" s="850" t="s">
        <v>1819</v>
      </c>
      <c r="D13" s="851" t="s">
        <v>1042</v>
      </c>
      <c r="E13" s="852" t="s">
        <v>1820</v>
      </c>
      <c r="F13" s="852" t="s">
        <v>1821</v>
      </c>
      <c r="G13" s="853" t="s">
        <v>1822</v>
      </c>
      <c r="H13" s="849" t="s">
        <v>1823</v>
      </c>
      <c r="I13" s="849" t="s">
        <v>1824</v>
      </c>
      <c r="J13" s="849" t="s">
        <v>1823</v>
      </c>
      <c r="K13" s="849" t="s">
        <v>1824</v>
      </c>
      <c r="L13" s="849" t="s">
        <v>1823</v>
      </c>
      <c r="M13" s="849" t="s">
        <v>1824</v>
      </c>
    </row>
    <row r="14" spans="1:15" ht="33.6" customHeight="1" x14ac:dyDescent="0.2">
      <c r="A14" s="928" cm="1">
        <f t="array" ref="A14">+IFERROR(INDEX('Pedido VACIO'!$C:$C,MATCH(1,('Pedido VACIO'!$H:$H=$B14)*('Pedido VACIO'!$A:$A="Grafica Pol"),0)),"")</f>
        <v>501</v>
      </c>
      <c r="B14" s="930">
        <v>1</v>
      </c>
      <c r="C14" s="932" t="str" cm="1">
        <f t="array" ref="C14">+IFERROR(INDEX('Pedido VACIO'!$F:$F,MATCH(1,('Pedido VACIO'!$H:$H=$B14)*('Pedido VACIO'!$A:$A="Grafica Pol"),0)),"")</f>
        <v>Abrelata A Manija</v>
      </c>
      <c r="D14" s="932" cm="1">
        <f t="array" ref="D14">+IFERROR(INDEX('Pedido VACIO'!$G:$G,MATCH(1,('Pedido VACIO'!$H:$H=$B14)*('Pedido VACIO'!$A:$A="Grafica Pol"),0)),"")</f>
        <v>12000</v>
      </c>
      <c r="E14" s="869" t="str">
        <f>+IF(E13="LK","CH",IF(D14="","",IF(D14&gt;0,"LK","CH")))</f>
        <v>LK</v>
      </c>
      <c r="F14" s="869">
        <f>+IF(OR(E14="LK"),ROUNDUP(D14*(VLOOKUP(B14,'Pedido VACIO'!$H:$AK,30,0))/(VLOOKUP(B14,'Pedido VACIO'!$H:$AK,30,0)),0)*1,IF(E14="CH",D13-F13,""))</f>
        <v>12000</v>
      </c>
      <c r="G14" s="930"/>
      <c r="H14" s="856"/>
      <c r="I14" s="857"/>
      <c r="J14" s="856"/>
      <c r="K14" s="857"/>
      <c r="L14" s="856"/>
      <c r="M14" s="858"/>
      <c r="O14" s="859"/>
    </row>
    <row r="15" spans="1:15" ht="33.6" customHeight="1" x14ac:dyDescent="0.2">
      <c r="A15" s="929"/>
      <c r="B15" s="931"/>
      <c r="C15" s="933"/>
      <c r="D15" s="933"/>
      <c r="E15" s="860" t="str">
        <f t="shared" ref="E15:E47" si="0">+IF(E14="LK","CH",IF(D15="","",IF(D15&gt;0,"LK","CH")))</f>
        <v>CH</v>
      </c>
      <c r="F15" s="854">
        <f>+IF(OR(E15="LK"),ROUNDUP(D15*(VLOOKUP(B15,'Pedido VACIO'!$H:$AK,30,0))/(VLOOKUP(B15,'Pedido VACIO'!$H:$AK,30,0)),0)*1,IF(E15="CH",D14-F14,""))</f>
        <v>0</v>
      </c>
      <c r="G15" s="931"/>
      <c r="H15" s="861"/>
      <c r="I15" s="862"/>
      <c r="J15" s="861"/>
      <c r="K15" s="862"/>
      <c r="L15" s="861"/>
      <c r="M15" s="863"/>
    </row>
    <row r="16" spans="1:15" ht="33.6" customHeight="1" x14ac:dyDescent="0.2">
      <c r="A16" s="947" cm="1">
        <f t="array" ref="A16">+IFERROR(INDEX('Pedido VACIO'!$C:$C,MATCH(1,('Pedido VACIO'!$H:$H=$B16)*('Pedido VACIO'!$A:$A="Grafica Pol"),0)),"")</f>
        <v>502</v>
      </c>
      <c r="B16" s="931">
        <f>+B14+1</f>
        <v>2</v>
      </c>
      <c r="C16" s="948" t="str" cm="1">
        <f t="array" ref="C16">+IFERROR(INDEX('Pedido VACIO'!$F:$F,MATCH(1,('Pedido VACIO'!$H:$H=$B16)*('Pedido VACIO'!$A:$A="Grafica Pol"),0)),"")</f>
        <v>Abrelata Mariposa Cromado</v>
      </c>
      <c r="D16" s="949" cm="1">
        <f t="array" ref="D16">+IFERROR(INDEX('Pedido VACIO'!$G:$G,MATCH(1,('Pedido VACIO'!$H:$H=$B16)*('Pedido VACIO'!$A:$A="Grafica Pol"),0)),"")</f>
        <v>12000</v>
      </c>
      <c r="E16" s="860" t="str">
        <f t="shared" si="0"/>
        <v>LK</v>
      </c>
      <c r="F16" s="854">
        <f>+IF(OR(E16="LK"),ROUNDUP(D16*(VLOOKUP(B16,'Pedido VACIO'!$H:$AK,30,0))/(VLOOKUP(B16,'Pedido VACIO'!$H:$AK,30,0)),0)*1,IF(E16="CH",D15-F15,""))</f>
        <v>12000</v>
      </c>
      <c r="G16" s="931"/>
      <c r="H16" s="862"/>
      <c r="I16" s="862"/>
      <c r="J16" s="862"/>
      <c r="K16" s="862"/>
      <c r="L16" s="862"/>
      <c r="M16" s="863"/>
    </row>
    <row r="17" spans="1:13" ht="33.6" customHeight="1" thickBot="1" x14ac:dyDescent="0.25">
      <c r="A17" s="950"/>
      <c r="B17" s="951"/>
      <c r="C17" s="952"/>
      <c r="D17" s="954"/>
      <c r="E17" s="870" t="str">
        <f t="shared" si="0"/>
        <v>CH</v>
      </c>
      <c r="F17" s="871">
        <f>+IF(OR(E17="LK"),ROUNDUP(D17*(VLOOKUP(B17,'Pedido VACIO'!$H:$AK,30,0))/(VLOOKUP(B17,'Pedido VACIO'!$H:$AK,30,0)),0)*1,IF(E17="CH",D16-F16,""))</f>
        <v>0</v>
      </c>
      <c r="G17" s="951"/>
      <c r="H17" s="864"/>
      <c r="I17" s="864"/>
      <c r="J17" s="864"/>
      <c r="K17" s="864"/>
      <c r="L17" s="864"/>
      <c r="M17" s="865"/>
    </row>
    <row r="18" spans="1:13" customFormat="1" ht="12.75" customHeight="1" thickBot="1" x14ac:dyDescent="0.3"/>
    <row r="19" spans="1:13" ht="33.6" customHeight="1" x14ac:dyDescent="0.2">
      <c r="A19" s="955" cm="1">
        <f t="array" ref="A19">+IFERROR(INDEX('Pedido VACIO'!$C:$C,MATCH(1,('Pedido VACIO'!$H:$H=$B19)*('Pedido VACIO'!$A:$A="Grafica Pol"),0)),"")</f>
        <v>587</v>
      </c>
      <c r="B19" s="930">
        <f>+B16+1</f>
        <v>3</v>
      </c>
      <c r="C19" s="956" t="str" cm="1">
        <f t="array" ref="C19">+IFERROR(INDEX('Pedido VACIO'!$F:$F,MATCH(1,('Pedido VACIO'!$H:$H=$B19)*('Pedido VACIO'!$A:$A="Grafica Pol"),0)),"")</f>
        <v>Pelador Metalico Corte Laser</v>
      </c>
      <c r="D19" s="957" cm="1">
        <f t="array" ref="D19">+IFERROR(INDEX('Pedido VACIO'!$G:$G,MATCH(1,('Pedido VACIO'!$H:$H=$B19)*('Pedido VACIO'!$A:$A="Grafica Pol"),0)),"")</f>
        <v>12000</v>
      </c>
      <c r="E19" s="869" t="str">
        <f>+IF(E17="LK","CH",IF(D19="","",IF(D19&gt;0,"LK","CH")))</f>
        <v>LK</v>
      </c>
      <c r="F19" s="869">
        <f>+IF(OR(E19="LK"),ROUNDUP(D19*(VLOOKUP(B19,'Pedido VACIO'!$H:$AK,30,0))/(VLOOKUP(B19,'Pedido VACIO'!$H:$AK,30,0)),0)*1,IF(E19="CH",D17-F17,""))</f>
        <v>12000</v>
      </c>
      <c r="G19" s="930"/>
      <c r="H19" s="857"/>
      <c r="I19" s="857"/>
      <c r="J19" s="857"/>
      <c r="K19" s="857"/>
      <c r="L19" s="857"/>
      <c r="M19" s="858"/>
    </row>
    <row r="20" spans="1:13" ht="33.6" customHeight="1" thickBot="1" x14ac:dyDescent="0.25">
      <c r="A20" s="950"/>
      <c r="B20" s="951"/>
      <c r="C20" s="952"/>
      <c r="D20" s="954"/>
      <c r="E20" s="870" t="str">
        <f t="shared" si="0"/>
        <v>CH</v>
      </c>
      <c r="F20" s="871">
        <f>+IF(OR(E20="LK"),ROUNDUP(D20*(VLOOKUP(B20,'Pedido VACIO'!$H:$AK,30,0))/(VLOOKUP(B20,'Pedido VACIO'!$H:$AK,30,0)),0)*1,IF(E20="CH",D19-F19,""))</f>
        <v>0</v>
      </c>
      <c r="G20" s="951"/>
      <c r="H20" s="864"/>
      <c r="I20" s="864"/>
      <c r="J20" s="864"/>
      <c r="K20" s="864"/>
      <c r="L20" s="864"/>
      <c r="M20" s="865"/>
    </row>
    <row r="21" spans="1:13" customFormat="1" ht="12.75" customHeight="1" thickBot="1" x14ac:dyDescent="0.3"/>
    <row r="22" spans="1:13" ht="33.6" customHeight="1" x14ac:dyDescent="0.2">
      <c r="A22" s="955" cm="1">
        <f t="array" ref="A22">+IFERROR(INDEX('Pedido VACIO'!$C:$C,MATCH(1,('Pedido VACIO'!$H:$H=$B22)*('Pedido VACIO'!$A:$A="Grafica Pol"),0)),"")</f>
        <v>513</v>
      </c>
      <c r="B22" s="930">
        <f>+B19+1</f>
        <v>4</v>
      </c>
      <c r="C22" s="956" t="str" cm="1">
        <f t="array" ref="C22">+IFERROR(INDEX('Pedido VACIO'!$F:$F,MATCH(1,('Pedido VACIO'!$H:$H=$B22)*('Pedido VACIO'!$A:$A="Grafica Pol"),0)),"")</f>
        <v>Pelador Mgo Metalico</v>
      </c>
      <c r="D22" s="957" cm="1">
        <f t="array" ref="D22">+IFERROR(INDEX('Pedido VACIO'!$G:$G,MATCH(1,('Pedido VACIO'!$H:$H=$B22)*('Pedido VACIO'!$A:$A="Grafica Pol"),0)),"")</f>
        <v>36000</v>
      </c>
      <c r="E22" s="869" t="str">
        <f>+IF(E20="LK","CH",IF(D22="","",IF(D22&gt;0,"LK","CH")))</f>
        <v>LK</v>
      </c>
      <c r="F22" s="869">
        <f>+IF(OR(E22="LK"),ROUNDUP(D22*(VLOOKUP(B22,'Pedido VACIO'!$H:$AK,30,0))/(VLOOKUP(B22,'Pedido VACIO'!$H:$AK,30,0)),0)*1,IF(E22="CH",D20-F20,""))</f>
        <v>36000</v>
      </c>
      <c r="G22" s="930"/>
      <c r="H22" s="857"/>
      <c r="I22" s="857"/>
      <c r="J22" s="857"/>
      <c r="K22" s="857"/>
      <c r="L22" s="857"/>
      <c r="M22" s="858"/>
    </row>
    <row r="23" spans="1:13" ht="33.6" customHeight="1" x14ac:dyDescent="0.2">
      <c r="A23" s="947"/>
      <c r="B23" s="931"/>
      <c r="C23" s="948"/>
      <c r="D23" s="949"/>
      <c r="E23" s="860" t="str">
        <f t="shared" si="0"/>
        <v>CH</v>
      </c>
      <c r="F23" s="854">
        <f>+IF(OR(E23="LK"),ROUNDUP(D23*(VLOOKUP(B23,'Pedido VACIO'!$H:$AK,30,0))/(VLOOKUP(B23,'Pedido VACIO'!$H:$AK,30,0)),0)*1,IF(E23="CH",D22-F22,""))</f>
        <v>0</v>
      </c>
      <c r="G23" s="931"/>
      <c r="H23" s="862"/>
      <c r="I23" s="862"/>
      <c r="J23" s="862"/>
      <c r="K23" s="862"/>
      <c r="L23" s="862"/>
      <c r="M23" s="863"/>
    </row>
    <row r="24" spans="1:13" ht="33.6" customHeight="1" x14ac:dyDescent="0.2">
      <c r="A24" s="947" cm="1">
        <f t="array" ref="A24">+IFERROR(INDEX('Pedido VACIO'!$C:$C,MATCH(1,('Pedido VACIO'!$H:$H=$B24)*('Pedido VACIO'!$A:$A="Grafica Pol"),0)),"")</f>
        <v>505</v>
      </c>
      <c r="B24" s="931">
        <f>+B22+1</f>
        <v>5</v>
      </c>
      <c r="C24" s="948" t="str" cm="1">
        <f t="array" ref="C24">+IFERROR(INDEX('Pedido VACIO'!$F:$F,MATCH(1,('Pedido VACIO'!$H:$H=$B24)*('Pedido VACIO'!$A:$A="Grafica Pol"),0)),"")</f>
        <v>Pelador Mgo Plastico</v>
      </c>
      <c r="D24" s="949" cm="1">
        <f t="array" ref="D24">+IFERROR(INDEX('Pedido VACIO'!$G:$G,MATCH(1,('Pedido VACIO'!$H:$H=$B24)*('Pedido VACIO'!$A:$A="Grafica Pol"),0)),"")</f>
        <v>48000</v>
      </c>
      <c r="E24" s="860" t="str">
        <f t="shared" si="0"/>
        <v>LK</v>
      </c>
      <c r="F24" s="854">
        <f>+IF(OR(E24="LK"),ROUNDUP(D24*(VLOOKUP(B24,'Pedido VACIO'!$H:$AK,30,0))/(VLOOKUP(B24,'Pedido VACIO'!$H:$AK,30,0)),0)*1,IF(E24="CH",D23-F23,""))</f>
        <v>48000</v>
      </c>
      <c r="G24" s="931"/>
      <c r="H24" s="862"/>
      <c r="I24" s="862"/>
      <c r="J24" s="862"/>
      <c r="K24" s="862"/>
      <c r="L24" s="862"/>
      <c r="M24" s="863"/>
    </row>
    <row r="25" spans="1:13" ht="33.6" customHeight="1" thickBot="1" x14ac:dyDescent="0.25">
      <c r="A25" s="950"/>
      <c r="B25" s="951"/>
      <c r="C25" s="952"/>
      <c r="D25" s="954"/>
      <c r="E25" s="870" t="str">
        <f t="shared" si="0"/>
        <v>CH</v>
      </c>
      <c r="F25" s="871">
        <f>+IF(OR(E25="LK"),ROUNDUP(D25*(VLOOKUP(B25,'Pedido VACIO'!$H:$AK,30,0))/(VLOOKUP(B25,'Pedido VACIO'!$H:$AK,30,0)),0)*1,IF(E25="CH",D24-F24,""))</f>
        <v>0</v>
      </c>
      <c r="G25" s="951"/>
      <c r="H25" s="864"/>
      <c r="I25" s="864"/>
      <c r="J25" s="864"/>
      <c r="K25" s="864"/>
      <c r="L25" s="864"/>
      <c r="M25" s="865"/>
    </row>
    <row r="26" spans="1:13" customFormat="1" ht="12.75" customHeight="1" thickBot="1" x14ac:dyDescent="0.3"/>
    <row r="27" spans="1:13" ht="33.6" customHeight="1" x14ac:dyDescent="0.2">
      <c r="A27" s="955" cm="1">
        <f t="array" ref="A27">+IFERROR(INDEX('Pedido VACIO'!$C:$C,MATCH(1,('Pedido VACIO'!$H:$H=$B27)*('Pedido VACIO'!$A:$A="Grafica Pol"),0)),"")</f>
        <v>520</v>
      </c>
      <c r="B27" s="930">
        <f>+B24+1</f>
        <v>6</v>
      </c>
      <c r="C27" s="956" t="str" cm="1">
        <f t="array" ref="C27">+IFERROR(INDEX('Pedido VACIO'!$F:$F,MATCH(1,('Pedido VACIO'!$H:$H=$B27)*('Pedido VACIO'!$A:$A="Grafica Pol"),0)),"")</f>
        <v>Sacacorcho Tipo Mozo Crom</v>
      </c>
      <c r="D27" s="957" cm="1">
        <f t="array" ref="D27">+IFERROR(INDEX('Pedido VACIO'!$G:$G,MATCH(1,('Pedido VACIO'!$H:$H=$B27)*('Pedido VACIO'!$A:$A="Grafica Pol"),0)),"")</f>
        <v>10000</v>
      </c>
      <c r="E27" s="869" t="str">
        <f>+IF(E25="LK","CH",IF(D27="","",IF(D27&gt;0,"LK","CH")))</f>
        <v>LK</v>
      </c>
      <c r="F27" s="869">
        <f>+IF(OR(E27="LK"),ROUNDUP(D27*(VLOOKUP(B27,'Pedido VACIO'!$H:$AK,30,0))/(VLOOKUP(B27,'Pedido VACIO'!$H:$AK,30,0)),0)*1,IF(E27="CH",D25-F25,""))</f>
        <v>10000</v>
      </c>
      <c r="G27" s="930"/>
      <c r="H27" s="857"/>
      <c r="I27" s="857"/>
      <c r="J27" s="857"/>
      <c r="K27" s="857"/>
      <c r="L27" s="857"/>
      <c r="M27" s="858"/>
    </row>
    <row r="28" spans="1:13" ht="33.6" customHeight="1" x14ac:dyDescent="0.2">
      <c r="A28" s="947"/>
      <c r="B28" s="931"/>
      <c r="C28" s="948"/>
      <c r="D28" s="949"/>
      <c r="E28" s="860" t="str">
        <f t="shared" si="0"/>
        <v>CH</v>
      </c>
      <c r="F28" s="854">
        <f>+IF(OR(E28="LK"),ROUNDUP(D28*(VLOOKUP(B28,'Pedido VACIO'!$H:$AK,30,0))/(VLOOKUP(B28,'Pedido VACIO'!$H:$AK,30,0)),0)*1,IF(E28="CH",D27-F27,""))</f>
        <v>0</v>
      </c>
      <c r="G28" s="931"/>
      <c r="H28" s="862"/>
      <c r="I28" s="862"/>
      <c r="J28" s="862"/>
      <c r="K28" s="862"/>
      <c r="L28" s="862"/>
      <c r="M28" s="863"/>
    </row>
    <row r="29" spans="1:13" ht="33.6" customHeight="1" x14ac:dyDescent="0.2">
      <c r="A29" s="947" cm="1">
        <f t="array" ref="A29">+IFERROR(INDEX('Pedido VACIO'!$C:$C,MATCH(1,('Pedido VACIO'!$H:$H=$B29)*('Pedido VACIO'!$A:$A="Grafica Pol"),0)),"")</f>
        <v>530</v>
      </c>
      <c r="B29" s="931">
        <f>+B27+1</f>
        <v>7</v>
      </c>
      <c r="C29" s="948" t="str" cm="1">
        <f t="array" ref="C29">+IFERROR(INDEX('Pedido VACIO'!$F:$F,MATCH(1,('Pedido VACIO'!$H:$H=$B29)*('Pedido VACIO'!$A:$A="Grafica Pol"),0)),"")</f>
        <v>Sacacorcho Tipo Mozo Color</v>
      </c>
      <c r="D29" s="949" cm="1">
        <f t="array" ref="D29">+IFERROR(INDEX('Pedido VACIO'!$G:$G,MATCH(1,('Pedido VACIO'!$H:$H=$B29)*('Pedido VACIO'!$A:$A="Grafica Pol"),0)),"")</f>
        <v>6000</v>
      </c>
      <c r="E29" s="860" t="str">
        <f t="shared" si="0"/>
        <v>LK</v>
      </c>
      <c r="F29" s="854">
        <f>+IF(OR(E29="LK"),ROUNDUP(D29*(VLOOKUP(B29,'Pedido VACIO'!$H:$AK,30,0))/(VLOOKUP(B29,'Pedido VACIO'!$H:$AK,30,0)),0)*1,IF(E29="CH",D28-F28,""))</f>
        <v>6000</v>
      </c>
      <c r="G29" s="931"/>
      <c r="H29" s="862"/>
      <c r="I29" s="862"/>
      <c r="J29" s="862"/>
      <c r="K29" s="862"/>
      <c r="L29" s="862"/>
      <c r="M29" s="863"/>
    </row>
    <row r="30" spans="1:13" ht="33.6" customHeight="1" x14ac:dyDescent="0.2">
      <c r="A30" s="947"/>
      <c r="B30" s="931"/>
      <c r="C30" s="948"/>
      <c r="D30" s="949"/>
      <c r="E30" s="860" t="str">
        <f t="shared" si="0"/>
        <v>CH</v>
      </c>
      <c r="F30" s="854">
        <f>+IF(OR(E30="LK"),ROUNDUP(D30*(VLOOKUP(B30,'Pedido VACIO'!$H:$AK,30,0))/(VLOOKUP(B30,'Pedido VACIO'!$H:$AK,30,0)),0)*1,IF(E30="CH",D29-F29,""))</f>
        <v>0</v>
      </c>
      <c r="G30" s="931"/>
      <c r="H30" s="862"/>
      <c r="I30" s="862"/>
      <c r="J30" s="862"/>
      <c r="K30" s="862"/>
      <c r="L30" s="862"/>
      <c r="M30" s="863"/>
    </row>
    <row r="31" spans="1:13" ht="33.6" customHeight="1" x14ac:dyDescent="0.2">
      <c r="A31" s="947" cm="1">
        <f t="array" ref="A31">+IFERROR(INDEX('Pedido VACIO'!$C:$C,MATCH(1,('Pedido VACIO'!$H:$H=$B31)*('Pedido VACIO'!$A:$A="Grafica Pol"),0)),"")</f>
        <v>523</v>
      </c>
      <c r="B31" s="931">
        <f>+B29+1</f>
        <v>8</v>
      </c>
      <c r="C31" s="948" t="str" cm="1">
        <f t="array" ref="C31">+IFERROR(INDEX('Pedido VACIO'!$F:$F,MATCH(1,('Pedido VACIO'!$H:$H=$B31)*('Pedido VACIO'!$A:$A="Grafica Pol"),0)),"")</f>
        <v xml:space="preserve">Sacacorcho Doble Aleta  </v>
      </c>
      <c r="D31" s="949" cm="1">
        <f t="array" ref="D31">+IFERROR(INDEX('Pedido VACIO'!$G:$G,MATCH(1,('Pedido VACIO'!$H:$H=$B31)*('Pedido VACIO'!$A:$A="Grafica Pol"),0)),"")</f>
        <v>4000</v>
      </c>
      <c r="E31" s="860" t="str">
        <f t="shared" si="0"/>
        <v>LK</v>
      </c>
      <c r="F31" s="854">
        <f>+IF(OR(E31="LK"),ROUNDUP(D31*(VLOOKUP(B31,'Pedido VACIO'!$H:$AK,30,0))/(VLOOKUP(B31,'Pedido VACIO'!$H:$AK,30,0)),0)*1,IF(E31="CH",D30-F30,""))</f>
        <v>4000</v>
      </c>
      <c r="G31" s="931"/>
      <c r="H31" s="862"/>
      <c r="I31" s="862"/>
      <c r="J31" s="862"/>
      <c r="K31" s="862"/>
      <c r="L31" s="862"/>
      <c r="M31" s="863"/>
    </row>
    <row r="32" spans="1:13" ht="33.6" customHeight="1" x14ac:dyDescent="0.2">
      <c r="A32" s="947"/>
      <c r="B32" s="931"/>
      <c r="C32" s="948"/>
      <c r="D32" s="949"/>
      <c r="E32" s="860" t="str">
        <f t="shared" si="0"/>
        <v>CH</v>
      </c>
      <c r="F32" s="854">
        <f>+IF(OR(E32="LK"),ROUNDUP(D32*(VLOOKUP(B32,'Pedido VACIO'!$H:$AK,30,0))/(VLOOKUP(B32,'Pedido VACIO'!$H:$AK,30,0)),0)*1,IF(E32="CH",D31-F31,""))</f>
        <v>0</v>
      </c>
      <c r="G32" s="931"/>
      <c r="H32" s="862"/>
      <c r="I32" s="862"/>
      <c r="J32" s="862"/>
      <c r="K32" s="862"/>
      <c r="L32" s="862"/>
      <c r="M32" s="863"/>
    </row>
    <row r="33" spans="1:13" ht="33.6" customHeight="1" x14ac:dyDescent="0.2">
      <c r="A33" s="947" cm="1">
        <f t="array" ref="A33">+IFERROR(INDEX('Pedido VACIO'!$C:$C,MATCH(1,('Pedido VACIO'!$H:$H=$B33)*('Pedido VACIO'!$A:$A="Grafica Pol"),0)),"")</f>
        <v>521</v>
      </c>
      <c r="B33" s="931">
        <f>+B31+1</f>
        <v>9</v>
      </c>
      <c r="C33" s="948" t="str" cm="1">
        <f t="array" ref="C33">+IFERROR(INDEX('Pedido VACIO'!$F:$F,MATCH(1,('Pedido VACIO'!$H:$H=$B33)*('Pedido VACIO'!$A:$A="Grafica Pol"),0)),"")</f>
        <v>Sacacorcho Combinado Crom</v>
      </c>
      <c r="D33" s="949" cm="1">
        <f t="array" ref="D33">+IFERROR(INDEX('Pedido VACIO'!$G:$G,MATCH(1,('Pedido VACIO'!$H:$H=$B33)*('Pedido VACIO'!$A:$A="Grafica Pol"),0)),"")</f>
        <v>4000</v>
      </c>
      <c r="E33" s="860" t="str">
        <f t="shared" si="0"/>
        <v>LK</v>
      </c>
      <c r="F33" s="854">
        <f>+IF(OR(E33="LK"),ROUNDUP(D33*(VLOOKUP(B33,'Pedido VACIO'!$H:$AK,30,0))/(VLOOKUP(B33,'Pedido VACIO'!$H:$AK,30,0)),0)*1,IF(E33="CH",D32-F32,""))</f>
        <v>4000</v>
      </c>
      <c r="G33" s="931"/>
      <c r="H33" s="862"/>
      <c r="I33" s="862"/>
      <c r="J33" s="862"/>
      <c r="K33" s="862"/>
      <c r="L33" s="862"/>
      <c r="M33" s="863"/>
    </row>
    <row r="34" spans="1:13" ht="33.6" customHeight="1" thickBot="1" x14ac:dyDescent="0.25">
      <c r="A34" s="950"/>
      <c r="B34" s="951"/>
      <c r="C34" s="952"/>
      <c r="D34" s="954"/>
      <c r="E34" s="870" t="str">
        <f t="shared" si="0"/>
        <v>CH</v>
      </c>
      <c r="F34" s="871">
        <f>+IF(OR(E34="LK"),ROUNDUP(D34*(VLOOKUP(B34,'Pedido VACIO'!$H:$AK,30,0))/(VLOOKUP(B34,'Pedido VACIO'!$H:$AK,30,0)),0)*1,IF(E34="CH",D33-F33,""))</f>
        <v>0</v>
      </c>
      <c r="G34" s="951"/>
      <c r="H34" s="864"/>
      <c r="I34" s="864"/>
      <c r="J34" s="864"/>
      <c r="K34" s="864"/>
      <c r="L34" s="864"/>
      <c r="M34" s="865"/>
    </row>
    <row r="35" spans="1:13" customFormat="1" ht="12.75" customHeight="1" thickBot="1" x14ac:dyDescent="0.3"/>
    <row r="36" spans="1:13" ht="33.6" customHeight="1" x14ac:dyDescent="0.2">
      <c r="A36" s="955" cm="1">
        <f t="array" ref="A36">+IFERROR(INDEX('Pedido VACIO'!$C:$C,MATCH(1,('Pedido VACIO'!$H:$H=$B36)*('Pedido VACIO'!$A:$A="Grafica Pol"),0)),"")</f>
        <v>504</v>
      </c>
      <c r="B36" s="930">
        <f>+B33+1</f>
        <v>10</v>
      </c>
      <c r="C36" s="956" t="str" cm="1">
        <f t="array" ref="C36">+IFERROR(INDEX('Pedido VACIO'!$F:$F,MATCH(1,('Pedido VACIO'!$H:$H=$B36)*('Pedido VACIO'!$A:$A="Grafica Pol"),0)),"")</f>
        <v>Afila Cuchillos</v>
      </c>
      <c r="D36" s="957" cm="1">
        <f t="array" ref="D36">+IFERROR(INDEX('Pedido VACIO'!$G:$G,MATCH(1,('Pedido VACIO'!$H:$H=$B36)*('Pedido VACIO'!$A:$A="Grafica Pol"),0)),"")</f>
        <v>12000</v>
      </c>
      <c r="E36" s="869" t="str">
        <f>+IF(E34="LK","CH",IF(D36="","",IF(D36&gt;0,"LK","CH")))</f>
        <v>LK</v>
      </c>
      <c r="F36" s="869">
        <f>+IF(OR(E36="LK"),ROUNDUP(D36*(VLOOKUP(B36,'Pedido VACIO'!$H:$AK,30,0))/(VLOOKUP(B36,'Pedido VACIO'!$H:$AK,30,0)),0)*1,IF(E36="CH",D34-F34,""))</f>
        <v>12000</v>
      </c>
      <c r="G36" s="930"/>
      <c r="H36" s="857"/>
      <c r="I36" s="857"/>
      <c r="J36" s="857"/>
      <c r="K36" s="857"/>
      <c r="L36" s="857"/>
      <c r="M36" s="858"/>
    </row>
    <row r="37" spans="1:13" ht="33.6" customHeight="1" x14ac:dyDescent="0.2">
      <c r="A37" s="947"/>
      <c r="B37" s="931"/>
      <c r="C37" s="948"/>
      <c r="D37" s="949"/>
      <c r="E37" s="860" t="str">
        <f t="shared" si="0"/>
        <v>CH</v>
      </c>
      <c r="F37" s="860">
        <f>+IF(OR(E37="LK"),ROUNDUP(D37*(VLOOKUP(B37,'Pedido VACIO'!$H:$AK,30,0))/(VLOOKUP(B37,'Pedido VACIO'!$H:$AK,30,0)),0)*1,IF(E37="CH",D36-F36,""))</f>
        <v>0</v>
      </c>
      <c r="G37" s="931"/>
      <c r="H37" s="862"/>
      <c r="I37" s="862"/>
      <c r="J37" s="862"/>
      <c r="K37" s="862"/>
      <c r="L37" s="862"/>
      <c r="M37" s="863"/>
    </row>
    <row r="38" spans="1:13" ht="33.6" customHeight="1" x14ac:dyDescent="0.2">
      <c r="A38" s="947" cm="1">
        <f t="array" ref="A38">+IFERROR(INDEX('Pedido VACIO'!$C:$C,MATCH(1,('Pedido VACIO'!$H:$H=$B38)*('Pedido VACIO'!$A:$A="Grafica Pol"),0)),"")</f>
        <v>532</v>
      </c>
      <c r="B38" s="931">
        <f>+B36+1</f>
        <v>11</v>
      </c>
      <c r="C38" s="948" t="str" cm="1">
        <f t="array" ref="C38">+IFERROR(INDEX('Pedido VACIO'!$F:$F,MATCH(1,('Pedido VACIO'!$H:$H=$B38)*('Pedido VACIO'!$A:$A="Grafica Pol"),0)),"")</f>
        <v>Cuchara De Helado</v>
      </c>
      <c r="D38" s="949" cm="1">
        <f t="array" ref="D38">+IFERROR(INDEX('Pedido VACIO'!$G:$G,MATCH(1,('Pedido VACIO'!$H:$H=$B38)*('Pedido VACIO'!$A:$A="Grafica Pol"),0)),"")</f>
        <v>1000</v>
      </c>
      <c r="E38" s="860" t="str">
        <f t="shared" si="0"/>
        <v>LK</v>
      </c>
      <c r="F38" s="860">
        <f>+IF(OR(E38="LK"),ROUNDUP(D38*(VLOOKUP(B38,'Pedido VACIO'!$H:$AK,30,0))/(VLOOKUP(B38,'Pedido VACIO'!$H:$AK,30,0)),0)*1,IF(E38="CH",D37-F37,""))</f>
        <v>1000</v>
      </c>
      <c r="G38" s="931"/>
      <c r="H38" s="862"/>
      <c r="I38" s="862"/>
      <c r="J38" s="862"/>
      <c r="K38" s="862"/>
      <c r="L38" s="862"/>
      <c r="M38" s="863"/>
    </row>
    <row r="39" spans="1:13" ht="33.6" customHeight="1" x14ac:dyDescent="0.2">
      <c r="A39" s="947"/>
      <c r="B39" s="931"/>
      <c r="C39" s="948"/>
      <c r="D39" s="949"/>
      <c r="E39" s="860" t="str">
        <f t="shared" si="0"/>
        <v>CH</v>
      </c>
      <c r="F39" s="860">
        <f>+IF(OR(E39="LK"),ROUNDUP(D39*(VLOOKUP(B39,'Pedido VACIO'!$H:$AK,30,0))/(VLOOKUP(B39,'Pedido VACIO'!$H:$AK,30,0)),0)*1,IF(E39="CH",D38-F38,""))</f>
        <v>0</v>
      </c>
      <c r="G39" s="931"/>
      <c r="H39" s="862"/>
      <c r="I39" s="862"/>
      <c r="J39" s="862"/>
      <c r="K39" s="862"/>
      <c r="L39" s="862"/>
      <c r="M39" s="863"/>
    </row>
    <row r="40" spans="1:13" ht="33.6" customHeight="1" x14ac:dyDescent="0.2">
      <c r="A40" s="947" cm="1">
        <f t="array" ref="A40">+IFERROR(INDEX('Pedido VACIO'!$C:$C,MATCH(1,('Pedido VACIO'!$H:$H=$B40)*('Pedido VACIO'!$A:$A="Grafica Pol"),0)),"")</f>
        <v>551</v>
      </c>
      <c r="B40" s="931">
        <f>+B38+1</f>
        <v>12</v>
      </c>
      <c r="C40" s="948" t="str" cm="1">
        <f t="array" ref="C40">+IFERROR(INDEX('Pedido VACIO'!$F:$F,MATCH(1,('Pedido VACIO'!$H:$H=$B40)*('Pedido VACIO'!$A:$A="Grafica Pol"),0)),"")</f>
        <v>Cuchillo Untar Mgo Plast x 2</v>
      </c>
      <c r="D40" s="949" cm="1">
        <f t="array" ref="D40">+IFERROR(INDEX('Pedido VACIO'!$G:$G,MATCH(1,('Pedido VACIO'!$H:$H=$B40)*('Pedido VACIO'!$A:$A="Grafica Pol"),0)),"")</f>
        <v>1000</v>
      </c>
      <c r="E40" s="860" t="str">
        <f t="shared" si="0"/>
        <v>LK</v>
      </c>
      <c r="F40" s="860">
        <f>+IF(OR(E40="LK"),ROUNDUP(D40*(VLOOKUP(B40,'Pedido VACIO'!$H:$AK,30,0))/(VLOOKUP(B40,'Pedido VACIO'!$H:$AK,30,0)),0)*1,IF(E40="CH",D39-F39,""))</f>
        <v>1000</v>
      </c>
      <c r="G40" s="931"/>
      <c r="H40" s="862"/>
      <c r="I40" s="862"/>
      <c r="J40" s="862"/>
      <c r="K40" s="862"/>
      <c r="L40" s="862"/>
      <c r="M40" s="863"/>
    </row>
    <row r="41" spans="1:13" ht="33.6" customHeight="1" x14ac:dyDescent="0.2">
      <c r="A41" s="947"/>
      <c r="B41" s="931"/>
      <c r="C41" s="948"/>
      <c r="D41" s="949"/>
      <c r="E41" s="860" t="str">
        <f t="shared" si="0"/>
        <v>CH</v>
      </c>
      <c r="F41" s="860">
        <f>+IF(OR(E41="LK"),ROUNDUP(D41*(VLOOKUP(B41,'Pedido VACIO'!$H:$AK,30,0))/(VLOOKUP(B41,'Pedido VACIO'!$H:$AK,30,0)),0)*1,IF(E41="CH",D40-F40,""))</f>
        <v>0</v>
      </c>
      <c r="G41" s="931"/>
      <c r="H41" s="862"/>
      <c r="I41" s="862"/>
      <c r="J41" s="862"/>
      <c r="K41" s="862"/>
      <c r="L41" s="862"/>
      <c r="M41" s="863"/>
    </row>
    <row r="42" spans="1:13" ht="33.6" customHeight="1" x14ac:dyDescent="0.2">
      <c r="A42" s="947" cm="1">
        <f t="array" ref="A42">+IFERROR(INDEX('Pedido VACIO'!$C:$C,MATCH(1,('Pedido VACIO'!$H:$H=$B42)*('Pedido VACIO'!$A:$A="Grafica Pol"),0)),"")</f>
        <v>57</v>
      </c>
      <c r="B42" s="931">
        <f>+B40+1</f>
        <v>13</v>
      </c>
      <c r="C42" s="948" t="str" cm="1">
        <f t="array" ref="C42">+IFERROR(INDEX('Pedido VACIO'!$F:$F,MATCH(1,('Pedido VACIO'!$H:$H=$B42)*('Pedido VACIO'!$A:$A="Grafica Pol"),0)),"")</f>
        <v>Destapa Corona x 1 Cromado</v>
      </c>
      <c r="D42" s="949" cm="1">
        <f t="array" ref="D42">+IFERROR(INDEX('Pedido VACIO'!$G:$G,MATCH(1,('Pedido VACIO'!$H:$H=$B42)*('Pedido VACIO'!$A:$A="Grafica Pol"),0)),"")</f>
        <v>2000</v>
      </c>
      <c r="E42" s="860" t="str">
        <f t="shared" si="0"/>
        <v>LK</v>
      </c>
      <c r="F42" s="860">
        <f>+IF(OR(E42="LK"),ROUNDUP(D42*(VLOOKUP(B42,'Pedido VACIO'!$H:$AK,30,0))/(VLOOKUP(B42,'Pedido VACIO'!$H:$AK,30,0)),0)*1,IF(E42="CH",D41-F41,""))</f>
        <v>2000</v>
      </c>
      <c r="G42" s="931"/>
      <c r="H42" s="862"/>
      <c r="I42" s="862"/>
      <c r="J42" s="862"/>
      <c r="K42" s="862"/>
      <c r="L42" s="862"/>
      <c r="M42" s="863"/>
    </row>
    <row r="43" spans="1:13" ht="33.6" customHeight="1" x14ac:dyDescent="0.2">
      <c r="A43" s="947"/>
      <c r="B43" s="931"/>
      <c r="C43" s="948"/>
      <c r="D43" s="949"/>
      <c r="E43" s="860" t="str">
        <f t="shared" si="0"/>
        <v>CH</v>
      </c>
      <c r="F43" s="860">
        <f>+IF(OR(E43="LK"),ROUNDUP(D43*(VLOOKUP(B43,'Pedido VACIO'!$H:$AK,30,0))/(VLOOKUP(B43,'Pedido VACIO'!$H:$AK,30,0)),0)*1,IF(E43="CH",D42-F42,""))</f>
        <v>0</v>
      </c>
      <c r="G43" s="931"/>
      <c r="H43" s="862"/>
      <c r="I43" s="862"/>
      <c r="J43" s="862"/>
      <c r="K43" s="862"/>
      <c r="L43" s="862"/>
      <c r="M43" s="863"/>
    </row>
    <row r="44" spans="1:13" ht="33.6" customHeight="1" x14ac:dyDescent="0.2">
      <c r="A44" s="947" cm="1">
        <f t="array" ref="A44">+IFERROR(INDEX('Pedido VACIO'!$C:$C,MATCH(1,('Pedido VACIO'!$H:$H=$B44)*('Pedido VACIO'!$A:$A="Grafica Pol"),0)),"")</f>
        <v>550</v>
      </c>
      <c r="B44" s="931">
        <f>+B42+1</f>
        <v>14</v>
      </c>
      <c r="C44" s="948" t="str" cm="1">
        <f t="array" ref="C44">+IFERROR(INDEX('Pedido VACIO'!$F:$F,MATCH(1,('Pedido VACIO'!$H:$H=$B44)*('Pedido VACIO'!$A:$A="Grafica Pol"),0)),"")</f>
        <v>Filtro Para Bombillas</v>
      </c>
      <c r="D44" s="949" cm="1">
        <f t="array" ref="D44">+IFERROR(INDEX('Pedido VACIO'!$G:$G,MATCH(1,('Pedido VACIO'!$H:$H=$B44)*('Pedido VACIO'!$A:$A="Grafica Pol"),0)),"")</f>
        <v>2000</v>
      </c>
      <c r="E44" s="860" t="str">
        <f t="shared" si="0"/>
        <v>LK</v>
      </c>
      <c r="F44" s="860">
        <f>+IF(OR(E44="LK"),ROUNDUP(D44*(VLOOKUP(B44,'Pedido VACIO'!$H:$AK,30,0))/(VLOOKUP(B44,'Pedido VACIO'!$H:$AK,30,0)),0)*1,IF(E44="CH",D43-F43,""))</f>
        <v>2000</v>
      </c>
      <c r="G44" s="931"/>
      <c r="H44" s="862"/>
      <c r="I44" s="862"/>
      <c r="J44" s="862"/>
      <c r="K44" s="862"/>
      <c r="L44" s="862"/>
      <c r="M44" s="863"/>
    </row>
    <row r="45" spans="1:13" ht="33.6" customHeight="1" x14ac:dyDescent="0.2">
      <c r="A45" s="947"/>
      <c r="B45" s="931"/>
      <c r="C45" s="948"/>
      <c r="D45" s="949"/>
      <c r="E45" s="860" t="str">
        <f t="shared" si="0"/>
        <v>CH</v>
      </c>
      <c r="F45" s="860">
        <f>+IF(OR(E45="LK"),ROUNDUP(D45*(VLOOKUP(B45,'Pedido VACIO'!$H:$AK,30,0))/(VLOOKUP(B45,'Pedido VACIO'!$H:$AK,30,0)),0)*1,IF(E45="CH",D44-F44,""))</f>
        <v>0</v>
      </c>
      <c r="G45" s="931"/>
      <c r="H45" s="862"/>
      <c r="I45" s="862"/>
      <c r="J45" s="862"/>
      <c r="K45" s="862"/>
      <c r="L45" s="862"/>
      <c r="M45" s="863"/>
    </row>
    <row r="46" spans="1:13" ht="33.6" customHeight="1" x14ac:dyDescent="0.2">
      <c r="A46" s="947" cm="1">
        <f t="array" ref="A46">+IFERROR(INDEX('Pedido VACIO'!$C:$C,MATCH(1,('Pedido VACIO'!$H:$H=$B46)*('Pedido VACIO'!$A:$A="Grafica Pol"),0)),"")</f>
        <v>507</v>
      </c>
      <c r="B46" s="931">
        <f>+B44+1</f>
        <v>15</v>
      </c>
      <c r="C46" s="948" t="str" cm="1">
        <f t="array" ref="C46">+IFERROR(INDEX('Pedido VACIO'!$F:$F,MATCH(1,('Pedido VACIO'!$H:$H=$B46)*('Pedido VACIO'!$A:$A="Grafica Pol"),0)),"")</f>
        <v>Rompenueces</v>
      </c>
      <c r="D46" s="949" cm="1">
        <f t="array" ref="D46">+IFERROR(INDEX('Pedido VACIO'!$G:$G,MATCH(1,('Pedido VACIO'!$H:$H=$B46)*('Pedido VACIO'!$A:$A="Grafica Pol"),0)),"")</f>
        <v>2000</v>
      </c>
      <c r="E46" s="860" t="str">
        <f t="shared" si="0"/>
        <v>LK</v>
      </c>
      <c r="F46" s="860">
        <f>+IF(OR(E46="LK"),ROUNDUP(D46*(VLOOKUP(B46,'Pedido VACIO'!$H:$AK,30,0))/(VLOOKUP(B46,'Pedido VACIO'!$H:$AK,30,0)),0)*1,IF(E46="CH",D45-F45,""))</f>
        <v>2000</v>
      </c>
      <c r="G46" s="931"/>
      <c r="H46" s="862"/>
      <c r="I46" s="862"/>
      <c r="J46" s="862"/>
      <c r="K46" s="862"/>
      <c r="L46" s="862"/>
      <c r="M46" s="863"/>
    </row>
    <row r="47" spans="1:13" ht="33.6" customHeight="1" x14ac:dyDescent="0.2">
      <c r="A47" s="947"/>
      <c r="B47" s="931"/>
      <c r="C47" s="948"/>
      <c r="D47" s="949"/>
      <c r="E47" s="860" t="str">
        <f t="shared" si="0"/>
        <v>CH</v>
      </c>
      <c r="F47" s="860">
        <f>+IF(OR(E47="LK"),ROUNDUP(D47*(VLOOKUP(B47,'Pedido VACIO'!$H:$AK,30,0))/(VLOOKUP(B47,'Pedido VACIO'!$H:$AK,30,0)),0)*1,IF(E47="CH",D46-F46,""))</f>
        <v>0</v>
      </c>
      <c r="G47" s="931"/>
      <c r="H47" s="862"/>
      <c r="I47" s="862"/>
      <c r="J47" s="862"/>
      <c r="K47" s="862"/>
      <c r="L47" s="862"/>
      <c r="M47" s="863"/>
    </row>
    <row r="48" spans="1:13" ht="33.6" customHeight="1" x14ac:dyDescent="0.2">
      <c r="A48" s="947" cm="1">
        <f t="array" ref="A48">+IFERROR(INDEX('Pedido VACIO'!$C:$C,MATCH(1,('Pedido VACIO'!$H:$H=$B48)*('Pedido VACIO'!$A:$A="Grafica Pol"),0)),"")</f>
        <v>518</v>
      </c>
      <c r="B48" s="931">
        <f t="shared" ref="B48" si="1">+B46+1</f>
        <v>16</v>
      </c>
      <c r="C48" s="948" t="str" cm="1">
        <f t="array" ref="C48">+IFERROR(INDEX('Pedido VACIO'!$F:$F,MATCH(1,('Pedido VACIO'!$H:$H=$B48)*('Pedido VACIO'!$A:$A="Grafica Pol"),0)),"")</f>
        <v>Sacafuente Pizzero</v>
      </c>
      <c r="D48" s="949" cm="1">
        <f t="array" ref="D48">+IFERROR(INDEX('Pedido VACIO'!$G:$G,MATCH(1,('Pedido VACIO'!$H:$H=$B48)*('Pedido VACIO'!$A:$A="Grafica Pol"),0)),"")</f>
        <v>3000</v>
      </c>
      <c r="E48" s="860" t="str">
        <f t="shared" ref="E48:E66" si="2">+IF(E47="LK","CH",IF(D48="","",IF(D48&gt;0,"LK","CH")))</f>
        <v>LK</v>
      </c>
      <c r="F48" s="860">
        <f>+IF(OR(E48="LK"),ROUNDUP(D48*(VLOOKUP(B48,'Pedido VACIO'!$H:$AK,30,0))/(VLOOKUP(B48,'Pedido VACIO'!$H:$AK,30,0)),0)*1,IF(E48="CH",D47-F47,""))</f>
        <v>3000</v>
      </c>
      <c r="G48" s="931"/>
      <c r="H48" s="862"/>
      <c r="I48" s="862"/>
      <c r="J48" s="862"/>
      <c r="K48" s="862"/>
      <c r="L48" s="862"/>
      <c r="M48" s="863"/>
    </row>
    <row r="49" spans="1:13" ht="33.6" customHeight="1" x14ac:dyDescent="0.2">
      <c r="A49" s="947"/>
      <c r="B49" s="931"/>
      <c r="C49" s="948"/>
      <c r="D49" s="949"/>
      <c r="E49" s="860" t="str">
        <f t="shared" si="2"/>
        <v>CH</v>
      </c>
      <c r="F49" s="860">
        <f>+IF(OR(E49="LK"),ROUNDUP(D49*(VLOOKUP(B49,'Pedido VACIO'!$H:$AK,30,0))/(VLOOKUP(B49,'Pedido VACIO'!$H:$AK,30,0)),0)*1,IF(E49="CH",D48-F48,""))</f>
        <v>0</v>
      </c>
      <c r="G49" s="931"/>
      <c r="H49" s="862"/>
      <c r="I49" s="862"/>
      <c r="J49" s="862"/>
      <c r="K49" s="862"/>
      <c r="L49" s="862"/>
      <c r="M49" s="863"/>
    </row>
    <row r="50" spans="1:13" ht="33.6" customHeight="1" x14ac:dyDescent="0.2">
      <c r="A50" s="947" cm="1">
        <f t="array" ref="A50">+IFERROR(INDEX('Pedido VACIO'!$C:$C,MATCH(1,('Pedido VACIO'!$H:$H=$B50)*('Pedido VACIO'!$A:$A="Grafica Pol"),0)),"")</f>
        <v>208</v>
      </c>
      <c r="B50" s="931">
        <f t="shared" ref="B50" si="3">+B48+1</f>
        <v>17</v>
      </c>
      <c r="C50" s="948" t="str" cm="1">
        <f t="array" ref="C50">+IFERROR(INDEX('Pedido VACIO'!$F:$F,MATCH(1,('Pedido VACIO'!$H:$H=$B50)*('Pedido VACIO'!$A:$A="Grafica Pol"),0)),"")</f>
        <v>Cucharita 13cm Azucar Madera</v>
      </c>
      <c r="D50" s="949" cm="1">
        <f t="array" ref="D50">+IFERROR(INDEX('Pedido VACIO'!$G:$G,MATCH(1,('Pedido VACIO'!$H:$H=$B50)*('Pedido VACIO'!$A:$A="Grafica Pol"),0)),"")</f>
        <v>1000</v>
      </c>
      <c r="E50" s="860" t="str">
        <f t="shared" si="2"/>
        <v>LK</v>
      </c>
      <c r="F50" s="860">
        <f>+IF(OR(E50="LK"),ROUNDUP(D50*(VLOOKUP(B50,'Pedido VACIO'!$H:$AK,30,0))/(VLOOKUP(B50,'Pedido VACIO'!$H:$AK,30,0)),0)*1,IF(E50="CH",D49-F49,""))</f>
        <v>1000</v>
      </c>
      <c r="G50" s="931"/>
      <c r="H50" s="862"/>
      <c r="I50" s="862"/>
      <c r="J50" s="862"/>
      <c r="K50" s="862"/>
      <c r="L50" s="862"/>
      <c r="M50" s="863"/>
    </row>
    <row r="51" spans="1:13" ht="33.6" customHeight="1" x14ac:dyDescent="0.2">
      <c r="A51" s="947"/>
      <c r="B51" s="931"/>
      <c r="C51" s="948"/>
      <c r="D51" s="949"/>
      <c r="E51" s="860" t="str">
        <f t="shared" si="2"/>
        <v>CH</v>
      </c>
      <c r="F51" s="860">
        <f>+IF(OR(E51="LK"),ROUNDUP(D51*(VLOOKUP(B51,'Pedido VACIO'!$H:$AK,30,0))/(VLOOKUP(B51,'Pedido VACIO'!$H:$AK,30,0)),0)*1,IF(E51="CH",D50-F50,""))</f>
        <v>0</v>
      </c>
      <c r="G51" s="931"/>
      <c r="H51" s="862"/>
      <c r="I51" s="862"/>
      <c r="J51" s="862"/>
      <c r="K51" s="862"/>
      <c r="L51" s="862"/>
      <c r="M51" s="863"/>
    </row>
    <row r="52" spans="1:13" ht="33.6" customHeight="1" x14ac:dyDescent="0.2">
      <c r="A52" s="947" cm="1">
        <f t="array" ref="A52">+IFERROR(INDEX('Pedido VACIO'!$C:$C,MATCH(1,('Pedido VACIO'!$H:$H=$B52)*('Pedido VACIO'!$A:$A="Grafica Pol"),0)),"")</f>
        <v>564</v>
      </c>
      <c r="B52" s="931">
        <f>+B50+1</f>
        <v>18</v>
      </c>
      <c r="C52" s="948" t="str" cm="1">
        <f t="array" ref="C52">+IFERROR(INDEX('Pedido VACIO'!$F:$F,MATCH(1,('Pedido VACIO'!$H:$H=$B52)*('Pedido VACIO'!$A:$A="Grafica Pol"),0)),"")</f>
        <v xml:space="preserve">Corta Pizza 8cm Mgo Madera </v>
      </c>
      <c r="D52" s="949" cm="1">
        <f t="array" ref="D52">+IFERROR(INDEX('Pedido VACIO'!$G:$G,MATCH(1,('Pedido VACIO'!$H:$H=$B52)*('Pedido VACIO'!$A:$A="Grafica Pol"),0)),"")</f>
        <v>1000</v>
      </c>
      <c r="E52" s="860" t="str">
        <f>+IF(E51="LK","CH",IF(D52="","",IF(D52&gt;0,"LK","CH")))</f>
        <v>LK</v>
      </c>
      <c r="F52" s="860">
        <f>+IF(OR(E52="LK"),ROUNDUP(D52*(VLOOKUP(B52,'Pedido VACIO'!$H:$AK,30,0))/(VLOOKUP(B52,'Pedido VACIO'!$H:$AK,30,0)),0)*1,IF(E52="CH",D51-F51,""))</f>
        <v>1000</v>
      </c>
      <c r="G52" s="931"/>
      <c r="H52" s="862"/>
      <c r="I52" s="862"/>
      <c r="J52" s="862"/>
      <c r="K52" s="862"/>
      <c r="L52" s="862"/>
      <c r="M52" s="863"/>
    </row>
    <row r="53" spans="1:13" ht="33.6" customHeight="1" thickBot="1" x14ac:dyDescent="0.25">
      <c r="A53" s="950"/>
      <c r="B53" s="951"/>
      <c r="C53" s="952"/>
      <c r="D53" s="954"/>
      <c r="E53" s="870" t="str">
        <f t="shared" si="2"/>
        <v>CH</v>
      </c>
      <c r="F53" s="870">
        <f>+IF(OR(E53="LK"),ROUNDUP(D53*(VLOOKUP(B53,'Pedido VACIO'!$H:$AK,30,0))/(VLOOKUP(B53,'Pedido VACIO'!$H:$AK,30,0)),0)*1,IF(E53="CH",D52-F52,""))</f>
        <v>0</v>
      </c>
      <c r="G53" s="951"/>
      <c r="H53" s="864"/>
      <c r="I53" s="864"/>
      <c r="J53" s="864"/>
      <c r="K53" s="864"/>
      <c r="L53" s="864"/>
      <c r="M53" s="865"/>
    </row>
    <row r="54" spans="1:13" customFormat="1" ht="12.75" customHeight="1" thickBot="1" x14ac:dyDescent="0.3"/>
    <row r="55" spans="1:13" ht="33.6" customHeight="1" x14ac:dyDescent="0.2">
      <c r="A55" s="955" cm="1">
        <f t="array" ref="A55">+IFERROR(INDEX('Pedido VACIO'!$C:$C,MATCH(1,('Pedido VACIO'!$H:$H=$B55)*('Pedido VACIO'!$A:$A="Grafica Pol"),0)),"")</f>
        <v>555</v>
      </c>
      <c r="B55" s="930">
        <f t="shared" ref="B55" si="4">+B52+1</f>
        <v>19</v>
      </c>
      <c r="C55" s="956" t="str" cm="1">
        <f t="array" ref="C55">+IFERROR(INDEX('Pedido VACIO'!$F:$F,MATCH(1,('Pedido VACIO'!$H:$H=$B55)*('Pedido VACIO'!$A:$A="Grafica Pol"),0)),"")</f>
        <v>Cepillo Limpia Bombilla</v>
      </c>
      <c r="D55" s="957" cm="1">
        <f t="array" ref="D55">+IFERROR(INDEX('Pedido VACIO'!$G:$G,MATCH(1,('Pedido VACIO'!$H:$H=$B55)*('Pedido VACIO'!$A:$A="Grafica Pol"),0)),"")</f>
        <v>4000</v>
      </c>
      <c r="E55" s="869" t="str">
        <f>+IF(E53="LK","CH",IF(D55="","",IF(D55&gt;0,"LK","CH")))</f>
        <v>LK</v>
      </c>
      <c r="F55" s="869">
        <f>+IF(OR(E55="LK"),ROUNDUP(D55*(VLOOKUP(B55,'Pedido VACIO'!$H:$AK,30,0))/(VLOOKUP(B55,'Pedido VACIO'!$H:$AK,30,0)),0)*1,IF(E55="CH",D53-F53,""))</f>
        <v>4000</v>
      </c>
      <c r="G55" s="930"/>
      <c r="H55" s="857"/>
      <c r="I55" s="857"/>
      <c r="J55" s="857"/>
      <c r="K55" s="857"/>
      <c r="L55" s="857"/>
      <c r="M55" s="858"/>
    </row>
    <row r="56" spans="1:13" ht="33.6" customHeight="1" x14ac:dyDescent="0.2">
      <c r="A56" s="947"/>
      <c r="B56" s="931"/>
      <c r="C56" s="948"/>
      <c r="D56" s="949"/>
      <c r="E56" s="860" t="str">
        <f t="shared" si="2"/>
        <v>CH</v>
      </c>
      <c r="F56" s="855">
        <f>+IF(OR(E56="LK"),ROUNDUP(D56*(VLOOKUP(B56,'Pedido VACIO'!$H:$AK,30,0))/(VLOOKUP(B56,'Pedido VACIO'!$H:$AK,30,0)),0)*1,IF(E56="CH",D55-F55,""))</f>
        <v>0</v>
      </c>
      <c r="G56" s="931"/>
      <c r="H56" s="862"/>
      <c r="I56" s="862"/>
      <c r="J56" s="862"/>
      <c r="K56" s="862"/>
      <c r="L56" s="862"/>
      <c r="M56" s="863"/>
    </row>
    <row r="57" spans="1:13" ht="33.6" customHeight="1" x14ac:dyDescent="0.2">
      <c r="A57" s="947" cm="1">
        <f t="array" ref="A57">+IFERROR(INDEX('Pedido VACIO'!$C:$C,MATCH(1,('Pedido VACIO'!$H:$H=$B57)*('Pedido VACIO'!$A:$A="Grafica Pol"),0)),"")</f>
        <v>542</v>
      </c>
      <c r="B57" s="931">
        <f t="shared" ref="B57" si="5">+B55+1</f>
        <v>20</v>
      </c>
      <c r="C57" s="948" t="str" cm="1">
        <f t="array" ref="C57">+IFERROR(INDEX('Pedido VACIO'!$F:$F,MATCH(1,('Pedido VACIO'!$H:$H=$B57)*('Pedido VACIO'!$A:$A="Grafica Pol"),0)),"")</f>
        <v>Ahueca Papas</v>
      </c>
      <c r="D57" s="949" cm="1">
        <f t="array" ref="D57">+IFERROR(INDEX('Pedido VACIO'!$G:$G,MATCH(1,('Pedido VACIO'!$H:$H=$B57)*('Pedido VACIO'!$A:$A="Grafica Pol"),0)),"")</f>
        <v>1000</v>
      </c>
      <c r="E57" s="860" t="str">
        <f t="shared" si="2"/>
        <v>LK</v>
      </c>
      <c r="F57" s="855">
        <f>+IF(OR(E57="LK"),ROUNDUP(D57*(VLOOKUP(B57,'Pedido VACIO'!$H:$AK,30,0))/(VLOOKUP(B57,'Pedido VACIO'!$H:$AK,30,0)),0)*1,IF(E57="CH",D56-F56,""))</f>
        <v>1000</v>
      </c>
      <c r="G57" s="931"/>
      <c r="H57" s="862"/>
      <c r="I57" s="862"/>
      <c r="J57" s="862"/>
      <c r="K57" s="862"/>
      <c r="L57" s="862"/>
      <c r="M57" s="863"/>
    </row>
    <row r="58" spans="1:13" ht="33.6" customHeight="1" x14ac:dyDescent="0.2">
      <c r="A58" s="947"/>
      <c r="B58" s="931"/>
      <c r="C58" s="948"/>
      <c r="D58" s="949"/>
      <c r="E58" s="860" t="str">
        <f t="shared" si="2"/>
        <v>CH</v>
      </c>
      <c r="F58" s="855">
        <f>+IF(OR(E58="LK"),ROUNDUP(D58*(VLOOKUP(B58,'Pedido VACIO'!$H:$AK,30,0))/(VLOOKUP(B58,'Pedido VACIO'!$H:$AK,30,0)),0)*1,IF(E58="CH",D57-F57,""))</f>
        <v>0</v>
      </c>
      <c r="G58" s="931"/>
      <c r="H58" s="862"/>
      <c r="I58" s="862"/>
      <c r="J58" s="862"/>
      <c r="K58" s="862"/>
      <c r="L58" s="862"/>
      <c r="M58" s="863"/>
    </row>
    <row r="59" spans="1:13" ht="33.6" customHeight="1" x14ac:dyDescent="0.2">
      <c r="A59" s="947" cm="1">
        <f t="array" ref="A59">+IFERROR(INDEX('Pedido VACIO'!$C:$C,MATCH(1,('Pedido VACIO'!$H:$H=$B59)*('Pedido VACIO'!$A:$A="Grafica Pol"),0)),"")</f>
        <v>559</v>
      </c>
      <c r="B59" s="931">
        <f t="shared" ref="B59" si="6">+B57+1</f>
        <v>21</v>
      </c>
      <c r="C59" s="948" t="str" cm="1">
        <f t="array" ref="C59">+IFERROR(INDEX('Pedido VACIO'!$F:$F,MATCH(1,('Pedido VACIO'!$H:$H=$B59)*('Pedido VACIO'!$A:$A="Grafica Pol"),0)),"")</f>
        <v>Corta Ravioles c/Mgo LK</v>
      </c>
      <c r="D59" s="949" cm="1">
        <f t="array" ref="D59">+IFERROR(INDEX('Pedido VACIO'!$G:$G,MATCH(1,('Pedido VACIO'!$H:$H=$B59)*('Pedido VACIO'!$A:$A="Grafica Pol"),0)),"")</f>
        <v>2000</v>
      </c>
      <c r="E59" s="860" t="str">
        <f t="shared" si="2"/>
        <v>LK</v>
      </c>
      <c r="F59" s="855">
        <f>+IF(OR(E59="LK"),ROUNDUP(D59*(VLOOKUP(B59,'Pedido VACIO'!$H:$AK,30,0))/(VLOOKUP(B59,'Pedido VACIO'!$H:$AK,30,0)),0)*1,IF(E59="CH",D58-F58,""))</f>
        <v>2000</v>
      </c>
      <c r="G59" s="931"/>
      <c r="H59" s="862"/>
      <c r="I59" s="862"/>
      <c r="J59" s="862"/>
      <c r="K59" s="862"/>
      <c r="L59" s="862"/>
      <c r="M59" s="863"/>
    </row>
    <row r="60" spans="1:13" ht="33.6" customHeight="1" x14ac:dyDescent="0.2">
      <c r="A60" s="947"/>
      <c r="B60" s="931"/>
      <c r="C60" s="948"/>
      <c r="D60" s="949"/>
      <c r="E60" s="860" t="str">
        <f t="shared" si="2"/>
        <v>CH</v>
      </c>
      <c r="F60" s="855">
        <f>+IF(OR(E60="LK"),ROUNDUP(D60*(VLOOKUP(B60,'Pedido VACIO'!$H:$AK,30,0))/(VLOOKUP(B60,'Pedido VACIO'!$H:$AK,30,0)),0)*1,IF(E60="CH",D59-F59,""))</f>
        <v>0</v>
      </c>
      <c r="G60" s="931"/>
      <c r="H60" s="862"/>
      <c r="I60" s="862"/>
      <c r="J60" s="862"/>
      <c r="K60" s="862"/>
      <c r="L60" s="862"/>
      <c r="M60" s="863"/>
    </row>
    <row r="61" spans="1:13" ht="33.6" customHeight="1" x14ac:dyDescent="0.2">
      <c r="A61" s="947" cm="1">
        <f t="array" ref="A61">+IFERROR(INDEX('Pedido VACIO'!$C:$C,MATCH(1,('Pedido VACIO'!$H:$H=$B61)*('Pedido VACIO'!$A:$A="Grafica Pol"),0)),"")</f>
        <v>334</v>
      </c>
      <c r="B61" s="931">
        <f t="shared" ref="B61" si="7">+B59+1</f>
        <v>22</v>
      </c>
      <c r="C61" s="948" t="str" cm="1">
        <f t="array" ref="C61">+IFERROR(INDEX('Pedido VACIO'!$F:$F,MATCH(1,('Pedido VACIO'!$H:$H=$B61)*('Pedido VACIO'!$A:$A="Grafica Pol"),0)),"")</f>
        <v>Cuchara Salsera Inox</v>
      </c>
      <c r="D61" s="949" cm="1">
        <f t="array" ref="D61">+IFERROR(INDEX('Pedido VACIO'!$G:$G,MATCH(1,('Pedido VACIO'!$H:$H=$B61)*('Pedido VACIO'!$A:$A="Grafica Pol"),0)),"")</f>
        <v>1000</v>
      </c>
      <c r="E61" s="860" t="str">
        <f t="shared" si="2"/>
        <v>LK</v>
      </c>
      <c r="F61" s="855">
        <f>+IF(OR(E61="LK"),ROUNDUP(D61*(VLOOKUP(B61,'Pedido VACIO'!$H:$AK,30,0))/(VLOOKUP(B61,'Pedido VACIO'!$H:$AK,30,0)),0)*1,IF(E61="CH",D60-F60,""))</f>
        <v>1000</v>
      </c>
      <c r="G61" s="931"/>
      <c r="H61" s="862"/>
      <c r="I61" s="862"/>
      <c r="J61" s="862"/>
      <c r="K61" s="862"/>
      <c r="L61" s="862"/>
      <c r="M61" s="863"/>
    </row>
    <row r="62" spans="1:13" ht="33.6" customHeight="1" x14ac:dyDescent="0.2">
      <c r="A62" s="947"/>
      <c r="B62" s="931"/>
      <c r="C62" s="948"/>
      <c r="D62" s="949"/>
      <c r="E62" s="860" t="str">
        <f t="shared" si="2"/>
        <v>CH</v>
      </c>
      <c r="F62" s="855">
        <f>+IF(OR(E62="LK"),ROUNDUP(D62*(VLOOKUP(B62,'Pedido VACIO'!$H:$AK,30,0))/(VLOOKUP(B62,'Pedido VACIO'!$H:$AK,30,0)),0)*1,IF(E62="CH",D61-F61,""))</f>
        <v>0</v>
      </c>
      <c r="G62" s="931"/>
      <c r="H62" s="862"/>
      <c r="I62" s="862"/>
      <c r="J62" s="862"/>
      <c r="K62" s="862"/>
      <c r="L62" s="862"/>
      <c r="M62" s="863"/>
    </row>
    <row r="63" spans="1:13" ht="33.6" customHeight="1" x14ac:dyDescent="0.2">
      <c r="A63" s="947" cm="1">
        <f t="array" ref="A63">+IFERROR(INDEX('Pedido VACIO'!$C:$C,MATCH(1,('Pedido VACIO'!$H:$H=$B63)*('Pedido VACIO'!$A:$A="Grafica Pol"),0)),"")</f>
        <v>570</v>
      </c>
      <c r="B63" s="931">
        <f t="shared" ref="B63" si="8">+B61+1</f>
        <v>23</v>
      </c>
      <c r="C63" s="948" t="str" cm="1">
        <f t="array" ref="C63">+IFERROR(INDEX('Pedido VACIO'!$F:$F,MATCH(1,('Pedido VACIO'!$H:$H=$B63)*('Pedido VACIO'!$A:$A="Grafica Pol"),0)),"")</f>
        <v>Pala De Canelones</v>
      </c>
      <c r="D63" s="949" cm="1">
        <f t="array" ref="D63">+IFERROR(INDEX('Pedido VACIO'!$G:$G,MATCH(1,('Pedido VACIO'!$H:$H=$B63)*('Pedido VACIO'!$A:$A="Grafica Pol"),0)),"")</f>
        <v>2000</v>
      </c>
      <c r="E63" s="860" t="str">
        <f t="shared" si="2"/>
        <v>LK</v>
      </c>
      <c r="F63" s="855">
        <f>+IF(OR(E63="LK"),ROUNDUP(D63*(VLOOKUP(B63,'Pedido VACIO'!$H:$AK,30,0))/(VLOOKUP(B63,'Pedido VACIO'!$H:$AK,30,0)),0)*1,IF(E63="CH",D62-F62,""))</f>
        <v>2000</v>
      </c>
      <c r="G63" s="931"/>
      <c r="H63" s="862"/>
      <c r="I63" s="862"/>
      <c r="J63" s="862"/>
      <c r="K63" s="862"/>
      <c r="L63" s="862"/>
      <c r="M63" s="863"/>
    </row>
    <row r="64" spans="1:13" ht="33.6" customHeight="1" x14ac:dyDescent="0.2">
      <c r="A64" s="947"/>
      <c r="B64" s="931"/>
      <c r="C64" s="948"/>
      <c r="D64" s="949"/>
      <c r="E64" s="860" t="str">
        <f t="shared" si="2"/>
        <v>CH</v>
      </c>
      <c r="F64" s="855">
        <f>+IF(OR(E64="LK"),ROUNDUP(D64*(VLOOKUP(B64,'Pedido VACIO'!$H:$AK,30,0))/(VLOOKUP(B64,'Pedido VACIO'!$H:$AK,30,0)),0)*1,IF(E64="CH",D63-F63,""))</f>
        <v>0</v>
      </c>
      <c r="G64" s="931"/>
      <c r="H64" s="862"/>
      <c r="I64" s="862"/>
      <c r="J64" s="862"/>
      <c r="K64" s="862"/>
      <c r="L64" s="862"/>
      <c r="M64" s="863"/>
    </row>
    <row r="65" spans="1:13" ht="33.6" customHeight="1" x14ac:dyDescent="0.2">
      <c r="A65" s="947" cm="1">
        <f t="array" ref="A65">+IFERROR(INDEX('Pedido VACIO'!$C:$C,MATCH(1,('Pedido VACIO'!$H:$H=$B65)*('Pedido VACIO'!$A:$A="Grafica Pol"),0)),"")</f>
        <v>315</v>
      </c>
      <c r="B65" s="931">
        <f t="shared" ref="B65:B84" si="9">+B63+1</f>
        <v>24</v>
      </c>
      <c r="C65" s="948" t="str" cm="1">
        <f t="array" ref="C65">+IFERROR(INDEX('Pedido VACIO'!$F:$F,MATCH(1,('Pedido VACIO'!$H:$H=$B65)*('Pedido VACIO'!$A:$A="Grafica Pol"),0)),"")</f>
        <v xml:space="preserve">Pisa Papas Acero Inox    </v>
      </c>
      <c r="D65" s="949" cm="1">
        <f t="array" ref="D65">+IFERROR(INDEX('Pedido VACIO'!$G:$G,MATCH(1,('Pedido VACIO'!$H:$H=$B65)*('Pedido VACIO'!$A:$A="Grafica Pol"),0)),"")</f>
        <v>5000</v>
      </c>
      <c r="E65" s="860" t="str">
        <f t="shared" si="2"/>
        <v>LK</v>
      </c>
      <c r="F65" s="855">
        <f>+IF(OR(E65="LK"),ROUNDUP(D65*(VLOOKUP(B65,'Pedido VACIO'!$H:$AK,30,0))/(VLOOKUP(B65,'Pedido VACIO'!$H:$AK,30,0)),0)*1,IF(E65="CH",D64-F64,""))</f>
        <v>5000</v>
      </c>
      <c r="G65" s="931"/>
      <c r="H65" s="862"/>
      <c r="I65" s="862"/>
      <c r="J65" s="862"/>
      <c r="K65" s="862"/>
      <c r="L65" s="862"/>
      <c r="M65" s="863"/>
    </row>
    <row r="66" spans="1:13" ht="33.6" customHeight="1" x14ac:dyDescent="0.2">
      <c r="A66" s="947"/>
      <c r="B66" s="931"/>
      <c r="C66" s="948"/>
      <c r="D66" s="949"/>
      <c r="E66" s="860" t="str">
        <f t="shared" si="2"/>
        <v>CH</v>
      </c>
      <c r="F66" s="855">
        <f>+IF(OR(E66="LK"),ROUNDUP(D66*(VLOOKUP(B66,'Pedido VACIO'!$H:$AK,30,0))/(VLOOKUP(B66,'Pedido VACIO'!$H:$AK,30,0)),0)*1,IF(E66="CH",D65-F65,""))</f>
        <v>0</v>
      </c>
      <c r="G66" s="931"/>
      <c r="H66" s="862"/>
      <c r="I66" s="862"/>
      <c r="J66" s="862"/>
      <c r="K66" s="862"/>
      <c r="L66" s="862"/>
      <c r="M66" s="863"/>
    </row>
    <row r="67" spans="1:13" ht="33.6" customHeight="1" x14ac:dyDescent="0.2">
      <c r="A67" s="947" cm="1">
        <f t="array" ref="A67">+IFERROR(INDEX('Pedido VACIO'!$C:$C,MATCH(1,('Pedido VACIO'!$H:$H=$B67)*('Pedido VACIO'!$A:$A="Grafica Pol"),0)),"")</f>
        <v>546</v>
      </c>
      <c r="B67" s="931">
        <f t="shared" si="9"/>
        <v>25</v>
      </c>
      <c r="C67" s="948" t="str" cm="1">
        <f t="array" ref="C67">+IFERROR(INDEX('Pedido VACIO'!$F:$F,MATCH(1,('Pedido VACIO'!$H:$H=$B67)*('Pedido VACIO'!$A:$A="Grafica Pol"),0)),"")</f>
        <v>Corta Queso Blandos Mgo LK</v>
      </c>
      <c r="D67" s="949" cm="1">
        <f t="array" ref="D67">+IFERROR(INDEX('Pedido VACIO'!$G:$G,MATCH(1,('Pedido VACIO'!$H:$H=$B67)*('Pedido VACIO'!$A:$A="Grafica Pol"),0)),"")</f>
        <v>10000</v>
      </c>
      <c r="E67" s="860" t="str">
        <f t="shared" ref="E67:E77" si="10">+IF(E66="LK","CH",IF(D67="","",IF(D67&gt;0,"LK","CH")))</f>
        <v>LK</v>
      </c>
      <c r="F67" s="855">
        <f>+IF(OR(E67="LK"),ROUNDUP(D67*(VLOOKUP(B67,'Pedido VACIO'!$H:$AK,30,0))/(VLOOKUP(B67,'Pedido VACIO'!$H:$AK,30,0)),0)*1,IF(E67="CH",D66-F66,""))</f>
        <v>10000</v>
      </c>
      <c r="G67" s="931"/>
      <c r="H67" s="862"/>
      <c r="I67" s="862"/>
      <c r="J67" s="862"/>
      <c r="K67" s="862"/>
      <c r="L67" s="862"/>
      <c r="M67" s="863"/>
    </row>
    <row r="68" spans="1:13" ht="33.6" customHeight="1" thickBot="1" x14ac:dyDescent="0.25">
      <c r="A68" s="950"/>
      <c r="B68" s="951"/>
      <c r="C68" s="952"/>
      <c r="D68" s="954"/>
      <c r="E68" s="870" t="str">
        <f t="shared" si="10"/>
        <v>CH</v>
      </c>
      <c r="F68" s="871">
        <f>+IF(OR(E68="LK"),ROUNDUP(D68*(VLOOKUP(B68,'Pedido VACIO'!$H:$AK,30,0))/(VLOOKUP(B68,'Pedido VACIO'!$H:$AK,30,0)),0)*1,IF(E68="CH",D67-F67,""))</f>
        <v>0</v>
      </c>
      <c r="G68" s="951"/>
      <c r="H68" s="864"/>
      <c r="I68" s="864"/>
      <c r="J68" s="864"/>
      <c r="K68" s="864"/>
      <c r="L68" s="864"/>
      <c r="M68" s="865"/>
    </row>
    <row r="69" spans="1:13" customFormat="1" ht="12.75" customHeight="1" thickBot="1" x14ac:dyDescent="0.3"/>
    <row r="70" spans="1:13" ht="33.6" customHeight="1" x14ac:dyDescent="0.2">
      <c r="A70" s="958" cm="1">
        <f t="array" ref="A70">+IFERROR(INDEX('Pedido VACIO'!$C:$C,MATCH(1,('Pedido VACIO'!$H:$H=$B70)*('Pedido VACIO'!$A:$A="Grafica Pol"),0)),"")</f>
        <v>510</v>
      </c>
      <c r="B70" s="960">
        <f>+B67+1</f>
        <v>26</v>
      </c>
      <c r="C70" s="932" t="str" cm="1">
        <f t="array" ref="C70">+IFERROR(INDEX('Pedido VACIO'!$F:$F,MATCH(1,('Pedido VACIO'!$H:$H=$B70)*('Pedido VACIO'!$A:$A="Grafica Pol"),0)),"")</f>
        <v xml:space="preserve">Abrelata Uña Cromado </v>
      </c>
      <c r="D70" s="961" cm="1">
        <f t="array" ref="D70">+IFERROR(INDEX('Pedido VACIO'!$G:$G,MATCH(1,('Pedido VACIO'!$H:$H=$B70)*('Pedido VACIO'!$A:$A="Grafica Pol"),0)),"")</f>
        <v>3</v>
      </c>
      <c r="E70" s="869" t="str">
        <f>+IF(E68="LK","CH",IF(D70="","",IF(D70&gt;0,"LK","CH")))</f>
        <v>LK</v>
      </c>
      <c r="F70" s="869">
        <f>+IF(OR(E70="LK"),ROUNDUP(D70*(VLOOKUP(B70,'Pedido VACIO'!$H:$AK,30,0))/(VLOOKUP(B70,'Pedido VACIO'!$H:$AK,30,0)),0)*1,IF(E70="CH",D68-F68,""))</f>
        <v>3</v>
      </c>
      <c r="G70" s="960"/>
      <c r="H70" s="857"/>
      <c r="I70" s="857"/>
      <c r="J70" s="857"/>
      <c r="K70" s="857"/>
      <c r="L70" s="857"/>
      <c r="M70" s="858"/>
    </row>
    <row r="71" spans="1:13" ht="33.6" customHeight="1" x14ac:dyDescent="0.2">
      <c r="A71" s="959"/>
      <c r="B71" s="934"/>
      <c r="C71" s="933"/>
      <c r="D71" s="953"/>
      <c r="E71" s="860" t="str">
        <f t="shared" si="10"/>
        <v>CH</v>
      </c>
      <c r="F71" s="854">
        <f>+IF(OR(E71="LK"),ROUNDUP(D71*(VLOOKUP(B71,'Pedido VACIO'!$H:$AK,30,0))/(VLOOKUP(B71,'Pedido VACIO'!$H:$AK,30,0)),0)*1,IF(E71="CH",D70-F70,""))</f>
        <v>0</v>
      </c>
      <c r="G71" s="934"/>
      <c r="H71" s="862"/>
      <c r="I71" s="862"/>
      <c r="J71" s="862"/>
      <c r="K71" s="862"/>
      <c r="L71" s="862"/>
      <c r="M71" s="863"/>
    </row>
    <row r="72" spans="1:13" ht="33.6" customHeight="1" x14ac:dyDescent="0.2">
      <c r="A72" s="962" cm="1">
        <f t="array" ref="A72">+IFERROR(INDEX('Pedido VACIO'!$C:$C,MATCH(1,('Pedido VACIO'!$H:$H=$B72)*('Pedido VACIO'!$A:$A="Grafica Pol"),0)),"")</f>
        <v>506</v>
      </c>
      <c r="B72" s="963">
        <f t="shared" si="9"/>
        <v>27</v>
      </c>
      <c r="C72" s="964" t="str" cm="1">
        <f t="array" ref="C72">+IFERROR(INDEX('Pedido VACIO'!$F:$F,MATCH(1,('Pedido VACIO'!$H:$H=$B72)*('Pedido VACIO'!$A:$A="Grafica Pol"),0)),"")</f>
        <v xml:space="preserve">Abrelatas Uña </v>
      </c>
      <c r="D72" s="965" cm="1">
        <f t="array" ref="D72">+IFERROR(INDEX('Pedido VACIO'!$G:$G,MATCH(1,('Pedido VACIO'!$H:$H=$B72)*('Pedido VACIO'!$A:$A="Grafica Pol"),0)),"")</f>
        <v>25</v>
      </c>
      <c r="E72" s="860" t="str">
        <f t="shared" si="10"/>
        <v>LK</v>
      </c>
      <c r="F72" s="854">
        <f>+IF(OR(E72="LK"),ROUNDUP(D72*(VLOOKUP(B72,'Pedido VACIO'!$H:$AK,30,0))/(VLOOKUP(B72,'Pedido VACIO'!$H:$AK,30,0)),0)*1,IF(E72="CH",D71-F71,""))</f>
        <v>25</v>
      </c>
      <c r="G72" s="963"/>
      <c r="H72" s="862"/>
      <c r="I72" s="862"/>
      <c r="J72" s="862"/>
      <c r="K72" s="862"/>
      <c r="L72" s="862"/>
      <c r="M72" s="863"/>
    </row>
    <row r="73" spans="1:13" ht="33.6" customHeight="1" x14ac:dyDescent="0.2">
      <c r="A73" s="959"/>
      <c r="B73" s="934"/>
      <c r="C73" s="933"/>
      <c r="D73" s="953"/>
      <c r="E73" s="860" t="str">
        <f t="shared" si="10"/>
        <v>CH</v>
      </c>
      <c r="F73" s="854">
        <f>+IF(OR(E73="LK"),ROUNDUP(D73*(VLOOKUP(B73,'Pedido VACIO'!$H:$AK,30,0))/(VLOOKUP(B73,'Pedido VACIO'!$H:$AK,30,0)),0)*1,IF(E73="CH",D72-F72,""))</f>
        <v>0</v>
      </c>
      <c r="G73" s="934"/>
      <c r="H73" s="862"/>
      <c r="I73" s="862"/>
      <c r="J73" s="862"/>
      <c r="K73" s="862"/>
      <c r="L73" s="862"/>
      <c r="M73" s="863"/>
    </row>
    <row r="74" spans="1:13" ht="33.6" customHeight="1" x14ac:dyDescent="0.2">
      <c r="A74" s="947" cm="1">
        <f t="array" ref="A74">+IFERROR(INDEX('Pedido VACIO'!$C:$C,MATCH(1,('Pedido VACIO'!$H:$H=$B74)*('Pedido VACIO'!$A:$A="Grafica Pol"),0)),"")</f>
        <v>557</v>
      </c>
      <c r="B74" s="931">
        <f>+B72+1</f>
        <v>28</v>
      </c>
      <c r="C74" s="948" t="str" cm="1">
        <f t="array" ref="C74">+IFERROR(INDEX('Pedido VACIO'!$F:$F,MATCH(1,('Pedido VACIO'!$H:$H=$B74)*('Pedido VACIO'!$A:$A="Grafica Pol"),0)),"")</f>
        <v xml:space="preserve">Bombilla Resorte Chata </v>
      </c>
      <c r="D74" s="949" cm="1">
        <f t="array" ref="D74">+IFERROR(INDEX('Pedido VACIO'!$G:$G,MATCH(1,('Pedido VACIO'!$H:$H=$B74)*('Pedido VACIO'!$A:$A="Grafica Pol"),0)),"")</f>
        <v>3</v>
      </c>
      <c r="E74" s="860" t="str">
        <f>+IF(E73="LK","CH",IF(D74="","",IF(D74&gt;0,"LK","CH")))</f>
        <v>LK</v>
      </c>
      <c r="F74" s="854">
        <f>+IF(OR(E74="LK"),ROUNDUP(D74*(VLOOKUP(B74,'Pedido VACIO'!$H:$AK,30,0))/(VLOOKUP(B74,'Pedido VACIO'!$H:$AK,30,0)),0)*1,IF(E74="CH",D73-F73,""))</f>
        <v>3</v>
      </c>
      <c r="G74" s="931"/>
      <c r="H74" s="862"/>
      <c r="I74" s="862"/>
      <c r="J74" s="862"/>
      <c r="K74" s="862"/>
      <c r="L74" s="862"/>
      <c r="M74" s="863"/>
    </row>
    <row r="75" spans="1:13" ht="33.6" customHeight="1" x14ac:dyDescent="0.2">
      <c r="A75" s="947"/>
      <c r="B75" s="931"/>
      <c r="C75" s="948"/>
      <c r="D75" s="949"/>
      <c r="E75" s="860" t="str">
        <f t="shared" si="10"/>
        <v>CH</v>
      </c>
      <c r="F75" s="854">
        <f>+IF(OR(E75="LK"),ROUNDUP(D75*(VLOOKUP(B75,'Pedido VACIO'!$H:$AK,30,0))/(VLOOKUP(B75,'Pedido VACIO'!$H:$AK,30,0)),0)*1,IF(E75="CH",D74-F74,""))</f>
        <v>0</v>
      </c>
      <c r="G75" s="931"/>
      <c r="H75" s="862"/>
      <c r="I75" s="862"/>
      <c r="J75" s="862"/>
      <c r="K75" s="862"/>
      <c r="L75" s="862"/>
      <c r="M75" s="863"/>
    </row>
    <row r="76" spans="1:13" ht="33.6" customHeight="1" x14ac:dyDescent="0.2">
      <c r="A76" s="947" cm="1">
        <f t="array" ref="A76">+IFERROR(INDEX('Pedido VACIO'!$C:$C,MATCH(1,('Pedido VACIO'!$H:$H=$B76)*('Pedido VACIO'!$A:$A="Grafica Pol"),0)),"")</f>
        <v>558</v>
      </c>
      <c r="B76" s="931">
        <f t="shared" si="9"/>
        <v>29</v>
      </c>
      <c r="C76" s="948" t="str" cm="1">
        <f t="array" ref="C76">+IFERROR(INDEX('Pedido VACIO'!$F:$F,MATCH(1,('Pedido VACIO'!$H:$H=$B76)*('Pedido VACIO'!$A:$A="Grafica Pol"),0)),"")</f>
        <v xml:space="preserve">Bombilla Resorte Tradici </v>
      </c>
      <c r="D76" s="949" cm="1">
        <f t="array" ref="D76">+IFERROR(INDEX('Pedido VACIO'!$G:$G,MATCH(1,('Pedido VACIO'!$H:$H=$B76)*('Pedido VACIO'!$A:$A="Grafica Pol"),0)),"")</f>
        <v>7</v>
      </c>
      <c r="E76" s="860" t="str">
        <f t="shared" si="10"/>
        <v>LK</v>
      </c>
      <c r="F76" s="854">
        <f>+IF(OR(E76="LK"),ROUNDUP(D76*(VLOOKUP(B76,'Pedido VACIO'!$H:$AK,30,0))/(VLOOKUP(B76,'Pedido VACIO'!$H:$AK,30,0)),0)*1,IF(E76="CH",D75-F75,""))</f>
        <v>7</v>
      </c>
      <c r="G76" s="931"/>
      <c r="H76" s="862"/>
      <c r="I76" s="862"/>
      <c r="J76" s="862"/>
      <c r="K76" s="862"/>
      <c r="L76" s="862"/>
      <c r="M76" s="863"/>
    </row>
    <row r="77" spans="1:13" ht="33.6" customHeight="1" thickBot="1" x14ac:dyDescent="0.25">
      <c r="A77" s="950"/>
      <c r="B77" s="951"/>
      <c r="C77" s="952"/>
      <c r="D77" s="954"/>
      <c r="E77" s="870" t="str">
        <f t="shared" si="10"/>
        <v>CH</v>
      </c>
      <c r="F77" s="871">
        <f>+IF(OR(E77="LK"),ROUNDUP(D77*(VLOOKUP(B77,'Pedido VACIO'!$H:$AK,30,0))/(VLOOKUP(B77,'Pedido VACIO'!$H:$AK,30,0)),0)*1,IF(E77="CH",D76-F76,""))</f>
        <v>0</v>
      </c>
      <c r="G77" s="951"/>
      <c r="H77" s="864"/>
      <c r="I77" s="864"/>
      <c r="J77" s="864"/>
      <c r="K77" s="864"/>
      <c r="L77" s="864"/>
      <c r="M77" s="865"/>
    </row>
    <row r="78" spans="1:13" ht="33.6" customHeight="1" x14ac:dyDescent="0.2">
      <c r="A78" s="953" t="str" cm="1">
        <f t="array" ref="A78">+IFERROR(INDEX('Pedido VACIO'!$C:$C,MATCH(1,('Pedido VACIO'!$H:$H=$B78)*('Pedido VACIO'!$A:$A="Grafica Pol"),0)),"")</f>
        <v/>
      </c>
      <c r="B78" s="934">
        <f t="shared" si="9"/>
        <v>30</v>
      </c>
      <c r="C78" s="933" t="str" cm="1">
        <f t="array" ref="C78">+IFERROR(INDEX('Pedido VACIO'!$F:$F,MATCH(1,('Pedido VACIO'!$H:$H=$B78)*('Pedido VACIO'!$A:$A="Grafica Pol"),0)),"")</f>
        <v/>
      </c>
      <c r="D78" s="934" t="str" cm="1">
        <f t="array" ref="D78">+IFERROR(INDEX('Pedido VACIO'!$G:$G,MATCH(1,('Pedido VACIO'!$H:$H=$B78)*('Pedido VACIO'!$A:$A="Grafica Pol"),0)),"")</f>
        <v/>
      </c>
      <c r="E78" s="854" t="str">
        <f t="shared" ref="E78:E85" si="11">+IF(E77="LK","CH",IF(D78="","",IF(D78&gt;0,"LK","CH")))</f>
        <v/>
      </c>
      <c r="F78" s="854" t="str">
        <f>+IF(OR(E78="LK"),ROUNDUP(D78*(VLOOKUP(B78,'Pedido VACIO'!$H:$AK,30,0))/(VLOOKUP(B78,'Pedido VACIO'!$H:$AK,30,0)),0)*1,IF(E78="CH",D77-F77,""))</f>
        <v/>
      </c>
      <c r="G78" s="934"/>
      <c r="H78" s="866"/>
      <c r="I78" s="866"/>
      <c r="J78" s="866"/>
      <c r="K78" s="866"/>
      <c r="L78" s="866"/>
      <c r="M78" s="866"/>
    </row>
    <row r="79" spans="1:13" ht="33.6" customHeight="1" x14ac:dyDescent="0.2">
      <c r="A79" s="949"/>
      <c r="B79" s="931"/>
      <c r="C79" s="948"/>
      <c r="D79" s="931"/>
      <c r="E79" s="860" t="str">
        <f t="shared" si="11"/>
        <v/>
      </c>
      <c r="F79" s="854" t="str">
        <f>+IF(OR(E79="LK"),ROUNDUP(D79*(VLOOKUP(B79,'Pedido VACIO'!$H:$AK,30,0))/(VLOOKUP(B79,'Pedido VACIO'!$H:$AK,30,0)),0)*1,IF(E79="CH",D78-F78,""))</f>
        <v/>
      </c>
      <c r="G79" s="931"/>
      <c r="H79" s="862"/>
      <c r="I79" s="862"/>
      <c r="J79" s="862"/>
      <c r="K79" s="862"/>
      <c r="L79" s="862"/>
      <c r="M79" s="862"/>
    </row>
    <row r="80" spans="1:13" ht="33.6" customHeight="1" x14ac:dyDescent="0.2">
      <c r="A80" s="949" t="str" cm="1">
        <f t="array" ref="A80">+IFERROR(INDEX('Pedido VACIO'!$C:$C,MATCH(1,('Pedido VACIO'!$H:$H=$B80)*('Pedido VACIO'!$A:$A="Grafica Pol"),0)),"")</f>
        <v/>
      </c>
      <c r="B80" s="931">
        <f t="shared" si="9"/>
        <v>31</v>
      </c>
      <c r="C80" s="948" t="str" cm="1">
        <f t="array" ref="C80">+IFERROR(INDEX('Pedido VACIO'!$F:$F,MATCH(1,('Pedido VACIO'!$H:$H=$B80)*('Pedido VACIO'!$A:$A="Grafica Pol"),0)),"")</f>
        <v/>
      </c>
      <c r="D80" s="931" t="str" cm="1">
        <f t="array" ref="D80">+IFERROR(INDEX('Pedido VACIO'!$G:$G,MATCH(1,('Pedido VACIO'!$H:$H=$B80)*('Pedido VACIO'!$A:$A="Grafica Pol"),0)),"")</f>
        <v/>
      </c>
      <c r="E80" s="860" t="str">
        <f t="shared" si="11"/>
        <v/>
      </c>
      <c r="F80" s="854" t="str">
        <f>+IF(OR(E80="LK"),ROUNDUP(D80*(VLOOKUP(B80,'Pedido VACIO'!$H:$AK,30,0))/(VLOOKUP(B80,'Pedido VACIO'!$H:$AK,30,0)),0)*1,IF(E80="CH",D79-F79,""))</f>
        <v/>
      </c>
      <c r="G80" s="931"/>
      <c r="H80" s="862"/>
      <c r="I80" s="862"/>
      <c r="J80" s="862"/>
      <c r="K80" s="862"/>
      <c r="L80" s="862"/>
      <c r="M80" s="862"/>
    </row>
    <row r="81" spans="1:13" ht="33.6" customHeight="1" x14ac:dyDescent="0.2">
      <c r="A81" s="949"/>
      <c r="B81" s="931"/>
      <c r="C81" s="948"/>
      <c r="D81" s="931"/>
      <c r="E81" s="860" t="str">
        <f t="shared" si="11"/>
        <v/>
      </c>
      <c r="F81" s="854" t="str">
        <f>+IF(OR(E81="LK"),ROUNDUP(D81*(VLOOKUP(B81,'Pedido VACIO'!$H:$AK,30,0))/(VLOOKUP(B81,'Pedido VACIO'!$H:$AK,30,0)),0)*1,IF(E81="CH",D80-F80,""))</f>
        <v/>
      </c>
      <c r="G81" s="931"/>
      <c r="H81" s="862"/>
      <c r="I81" s="862"/>
      <c r="J81" s="862"/>
      <c r="K81" s="862"/>
      <c r="L81" s="862"/>
      <c r="M81" s="862"/>
    </row>
    <row r="82" spans="1:13" ht="33.6" customHeight="1" x14ac:dyDescent="0.2">
      <c r="A82" s="949" t="str" cm="1">
        <f t="array" ref="A82">+IFERROR(INDEX('Pedido VACIO'!$C:$C,MATCH(1,('Pedido VACIO'!$H:$H=$B82)*('Pedido VACIO'!$A:$A="Grafica Pol"),0)),"")</f>
        <v/>
      </c>
      <c r="B82" s="931">
        <f t="shared" si="9"/>
        <v>32</v>
      </c>
      <c r="C82" s="948" t="str" cm="1">
        <f t="array" ref="C82">+IFERROR(INDEX('Pedido VACIO'!$F:$F,MATCH(1,('Pedido VACIO'!$H:$H=$B82)*('Pedido VACIO'!$A:$A="Grafica Pol"),0)),"")</f>
        <v/>
      </c>
      <c r="D82" s="931" t="str" cm="1">
        <f t="array" ref="D82">+IFERROR(INDEX('Pedido VACIO'!$G:$G,MATCH(1,('Pedido VACIO'!$H:$H=$B82)*('Pedido VACIO'!$A:$A="Grafica Pol"),0)),"")</f>
        <v/>
      </c>
      <c r="E82" s="860" t="str">
        <f t="shared" si="11"/>
        <v/>
      </c>
      <c r="F82" s="854" t="str">
        <f>+IF(OR(E82="LK"),ROUNDUP(D82*(VLOOKUP(B82,'Pedido VACIO'!$H:$AK,30,0))/(VLOOKUP(B82,'Pedido VACIO'!$H:$AK,30,0)),0)*1,IF(E82="CH",D81-F81,""))</f>
        <v/>
      </c>
      <c r="G82" s="931"/>
      <c r="H82" s="862"/>
      <c r="I82" s="862"/>
      <c r="J82" s="862"/>
      <c r="K82" s="862"/>
      <c r="L82" s="862"/>
      <c r="M82" s="862"/>
    </row>
    <row r="83" spans="1:13" ht="33.6" customHeight="1" x14ac:dyDescent="0.2">
      <c r="A83" s="949"/>
      <c r="B83" s="931"/>
      <c r="C83" s="948"/>
      <c r="D83" s="931"/>
      <c r="E83" s="860" t="str">
        <f t="shared" si="11"/>
        <v/>
      </c>
      <c r="F83" s="854" t="str">
        <f>+IF(OR(E83="LK"),ROUNDUP(D83*(VLOOKUP(B83,'Pedido VACIO'!$H:$AK,30,0))/(VLOOKUP(B83,'Pedido VACIO'!$H:$AK,30,0)),0)*1,IF(E83="CH",D82-F82,""))</f>
        <v/>
      </c>
      <c r="G83" s="931"/>
      <c r="H83" s="862"/>
      <c r="I83" s="862"/>
      <c r="J83" s="862"/>
      <c r="K83" s="862"/>
      <c r="L83" s="862"/>
      <c r="M83" s="862"/>
    </row>
    <row r="84" spans="1:13" ht="33.6" customHeight="1" x14ac:dyDescent="0.2">
      <c r="A84" s="949" t="str" cm="1">
        <f t="array" ref="A84">+IFERROR(INDEX('Pedido VACIO'!$C:$C,MATCH(1,('Pedido VACIO'!$H:$H=$B84)*('Pedido VACIO'!$A:$A="Grafica Pol"),0)),"")</f>
        <v/>
      </c>
      <c r="B84" s="931">
        <f t="shared" si="9"/>
        <v>33</v>
      </c>
      <c r="C84" s="948" t="str" cm="1">
        <f t="array" ref="C84">+IFERROR(INDEX('Pedido VACIO'!$F:$F,MATCH(1,('Pedido VACIO'!$H:$H=$B84)*('Pedido VACIO'!$A:$A="Grafica Pol"),0)),"")</f>
        <v/>
      </c>
      <c r="D84" s="931" t="str" cm="1">
        <f t="array" ref="D84">+IFERROR(INDEX('Pedido VACIO'!$G:$G,MATCH(1,('Pedido VACIO'!$H:$H=$B84)*('Pedido VACIO'!$A:$A="Grafica Pol"),0)),"")</f>
        <v/>
      </c>
      <c r="E84" s="860" t="str">
        <f t="shared" si="11"/>
        <v/>
      </c>
      <c r="F84" s="854" t="str">
        <f>+IF(OR(E84="LK"),ROUNDUP(D84*(VLOOKUP(B84,'Pedido VACIO'!$H:$AK,30,0))/(VLOOKUP(B84,'Pedido VACIO'!$H:$AK,30,0)),0)*1,IF(E84="CH",D83-F83,""))</f>
        <v/>
      </c>
      <c r="G84" s="931"/>
      <c r="H84" s="862"/>
      <c r="I84" s="862"/>
      <c r="J84" s="862"/>
      <c r="K84" s="862"/>
      <c r="L84" s="862"/>
      <c r="M84" s="862"/>
    </row>
    <row r="85" spans="1:13" ht="33.6" customHeight="1" x14ac:dyDescent="0.2">
      <c r="A85" s="949"/>
      <c r="B85" s="931"/>
      <c r="C85" s="948"/>
      <c r="D85" s="931"/>
      <c r="E85" s="860" t="str">
        <f t="shared" si="11"/>
        <v/>
      </c>
      <c r="F85" s="854" t="str">
        <f>+IF(OR(E85="LK"),ROUNDUP(D85*(VLOOKUP(B85,'Pedido VACIO'!$H:$AK,30,0))/(VLOOKUP(B85,'Pedido VACIO'!$H:$AK,30,0)),0)*1,IF(E85="CH",D84-F84,""))</f>
        <v/>
      </c>
      <c r="G85" s="931"/>
      <c r="H85" s="862"/>
      <c r="I85" s="862"/>
      <c r="J85" s="862"/>
      <c r="K85" s="862"/>
      <c r="L85" s="862"/>
      <c r="M85" s="862"/>
    </row>
  </sheetData>
  <mergeCells count="184">
    <mergeCell ref="A82:A83"/>
    <mergeCell ref="B82:B83"/>
    <mergeCell ref="C82:C83"/>
    <mergeCell ref="D82:D83"/>
    <mergeCell ref="G82:G83"/>
    <mergeCell ref="A84:A85"/>
    <mergeCell ref="B84:B85"/>
    <mergeCell ref="C84:C85"/>
    <mergeCell ref="D84:D85"/>
    <mergeCell ref="G84:G85"/>
    <mergeCell ref="A78:A79"/>
    <mergeCell ref="B78:B79"/>
    <mergeCell ref="C78:C79"/>
    <mergeCell ref="D78:D79"/>
    <mergeCell ref="G78:G79"/>
    <mergeCell ref="A80:A81"/>
    <mergeCell ref="B80:B81"/>
    <mergeCell ref="C80:C81"/>
    <mergeCell ref="D80:D81"/>
    <mergeCell ref="G80:G81"/>
    <mergeCell ref="A74:A75"/>
    <mergeCell ref="B74:B75"/>
    <mergeCell ref="C74:C75"/>
    <mergeCell ref="D74:D75"/>
    <mergeCell ref="G74:G75"/>
    <mergeCell ref="A76:A77"/>
    <mergeCell ref="B76:B77"/>
    <mergeCell ref="C76:C77"/>
    <mergeCell ref="D76:D77"/>
    <mergeCell ref="G76:G77"/>
    <mergeCell ref="A70:A71"/>
    <mergeCell ref="B70:B71"/>
    <mergeCell ref="C70:C71"/>
    <mergeCell ref="D70:D71"/>
    <mergeCell ref="G70:G71"/>
    <mergeCell ref="A72:A73"/>
    <mergeCell ref="B72:B73"/>
    <mergeCell ref="C72:C73"/>
    <mergeCell ref="D72:D73"/>
    <mergeCell ref="G72:G73"/>
    <mergeCell ref="A65:A66"/>
    <mergeCell ref="B65:B66"/>
    <mergeCell ref="C65:C66"/>
    <mergeCell ref="D65:D66"/>
    <mergeCell ref="G65:G66"/>
    <mergeCell ref="A67:A68"/>
    <mergeCell ref="B67:B68"/>
    <mergeCell ref="C67:C68"/>
    <mergeCell ref="D67:D68"/>
    <mergeCell ref="G67:G68"/>
    <mergeCell ref="A61:A62"/>
    <mergeCell ref="B61:B62"/>
    <mergeCell ref="C61:C62"/>
    <mergeCell ref="D61:D62"/>
    <mergeCell ref="G61:G62"/>
    <mergeCell ref="A63:A64"/>
    <mergeCell ref="B63:B64"/>
    <mergeCell ref="C63:C64"/>
    <mergeCell ref="D63:D64"/>
    <mergeCell ref="G63:G64"/>
    <mergeCell ref="A57:A58"/>
    <mergeCell ref="B57:B58"/>
    <mergeCell ref="C57:C58"/>
    <mergeCell ref="D57:D58"/>
    <mergeCell ref="G57:G58"/>
    <mergeCell ref="A59:A60"/>
    <mergeCell ref="B59:B60"/>
    <mergeCell ref="C59:C60"/>
    <mergeCell ref="D59:D60"/>
    <mergeCell ref="G59:G60"/>
    <mergeCell ref="A52:A53"/>
    <mergeCell ref="B52:B53"/>
    <mergeCell ref="C52:C53"/>
    <mergeCell ref="D52:D53"/>
    <mergeCell ref="G52:G53"/>
    <mergeCell ref="A55:A56"/>
    <mergeCell ref="B55:B56"/>
    <mergeCell ref="C55:C56"/>
    <mergeCell ref="D55:D56"/>
    <mergeCell ref="G55:G56"/>
    <mergeCell ref="A48:A49"/>
    <mergeCell ref="B48:B49"/>
    <mergeCell ref="C48:C49"/>
    <mergeCell ref="D48:D49"/>
    <mergeCell ref="G48:G49"/>
    <mergeCell ref="A50:A51"/>
    <mergeCell ref="B50:B51"/>
    <mergeCell ref="C50:C51"/>
    <mergeCell ref="D50:D51"/>
    <mergeCell ref="G50:G51"/>
    <mergeCell ref="A44:A45"/>
    <mergeCell ref="B44:B45"/>
    <mergeCell ref="C44:C45"/>
    <mergeCell ref="D44:D45"/>
    <mergeCell ref="G44:G45"/>
    <mergeCell ref="A46:A47"/>
    <mergeCell ref="B46:B47"/>
    <mergeCell ref="C46:C47"/>
    <mergeCell ref="D46:D47"/>
    <mergeCell ref="G46:G47"/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1:A32"/>
    <mergeCell ref="B31:B32"/>
    <mergeCell ref="C31:C32"/>
    <mergeCell ref="D31:D32"/>
    <mergeCell ref="G31:G32"/>
    <mergeCell ref="A33:A34"/>
    <mergeCell ref="B33:B34"/>
    <mergeCell ref="C33:C34"/>
    <mergeCell ref="D33:D34"/>
    <mergeCell ref="G33:G34"/>
    <mergeCell ref="A27:A28"/>
    <mergeCell ref="B27:B28"/>
    <mergeCell ref="C27:C28"/>
    <mergeCell ref="D27:D28"/>
    <mergeCell ref="G27:G28"/>
    <mergeCell ref="A29:A30"/>
    <mergeCell ref="B29:B30"/>
    <mergeCell ref="C29:C30"/>
    <mergeCell ref="D29:D30"/>
    <mergeCell ref="G29:G30"/>
    <mergeCell ref="A22:A23"/>
    <mergeCell ref="B22:B23"/>
    <mergeCell ref="C22:C23"/>
    <mergeCell ref="D22:D23"/>
    <mergeCell ref="G22:G23"/>
    <mergeCell ref="A24:A25"/>
    <mergeCell ref="B24:B25"/>
    <mergeCell ref="C24:C25"/>
    <mergeCell ref="D24:D25"/>
    <mergeCell ref="G24:G25"/>
    <mergeCell ref="A16:A17"/>
    <mergeCell ref="B16:B17"/>
    <mergeCell ref="C16:C17"/>
    <mergeCell ref="D16:D17"/>
    <mergeCell ref="G16:G17"/>
    <mergeCell ref="A19:A20"/>
    <mergeCell ref="B19:B20"/>
    <mergeCell ref="C19:C20"/>
    <mergeCell ref="D19:D20"/>
    <mergeCell ref="G19:G20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1:C1"/>
    <mergeCell ref="F1:L1"/>
    <mergeCell ref="A2:B2"/>
    <mergeCell ref="F2:G2"/>
    <mergeCell ref="H2:L2"/>
    <mergeCell ref="A3:B3"/>
    <mergeCell ref="F3:G3"/>
    <mergeCell ref="H3:L3"/>
  </mergeCells>
  <printOptions horizontalCentered="1"/>
  <pageMargins left="0" right="0" top="0" bottom="0" header="0" footer="0"/>
  <pageSetup paperSize="9" scale="6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0.59999389629810485"/>
  </sheetPr>
  <dimension ref="A1:AM395"/>
  <sheetViews>
    <sheetView zoomScaleNormal="100" workbookViewId="0">
      <selection activeCell="H283" sqref="H283"/>
    </sheetView>
  </sheetViews>
  <sheetFormatPr baseColWidth="10" defaultRowHeight="18.75" x14ac:dyDescent="0.3"/>
  <cols>
    <col min="1" max="1" width="7.28515625" bestFit="1" customWidth="1"/>
    <col min="2" max="2" width="11.5703125" customWidth="1"/>
    <col min="3" max="3" width="7.7109375" style="208" customWidth="1"/>
    <col min="4" max="4" width="8" hidden="1" customWidth="1"/>
    <col min="5" max="5" width="6.140625" style="292" customWidth="1"/>
    <col min="6" max="6" width="35.140625" style="41" customWidth="1"/>
    <col min="7" max="7" width="10.5703125" style="1" customWidth="1"/>
    <col min="8" max="8" width="8.5703125" style="41" customWidth="1"/>
    <col min="9" max="9" width="1" customWidth="1"/>
    <col min="10" max="10" width="10.28515625" style="41" customWidth="1"/>
    <col min="11" max="11" width="9.28515625" style="292" customWidth="1"/>
    <col min="12" max="12" width="0.85546875" customWidth="1"/>
    <col min="13" max="13" width="11.85546875" style="537" customWidth="1"/>
    <col min="14" max="14" width="11.5703125" style="375" customWidth="1"/>
    <col min="15" max="15" width="12.42578125" style="290" customWidth="1"/>
    <col min="16" max="16" width="10.85546875" style="537" customWidth="1"/>
    <col min="17" max="17" width="1.140625" customWidth="1"/>
    <col min="18" max="18" width="7.28515625" style="292" customWidth="1"/>
    <col min="19" max="19" width="9.28515625" style="292" customWidth="1"/>
    <col min="20" max="20" width="1.140625" customWidth="1"/>
    <col min="21" max="21" width="8.85546875" style="292" customWidth="1"/>
    <col min="22" max="22" width="10.140625" style="292" customWidth="1"/>
    <col min="23" max="23" width="1" customWidth="1"/>
    <col min="24" max="24" width="10.5703125" style="1" customWidth="1"/>
    <col min="25" max="25" width="8.85546875" style="1" customWidth="1"/>
    <col min="26" max="26" width="10.42578125" style="375" customWidth="1"/>
    <col min="27" max="27" width="0.85546875" customWidth="1"/>
    <col min="28" max="28" width="15.7109375" style="299" customWidth="1"/>
    <col min="29" max="29" width="11" style="292" customWidth="1"/>
    <col min="30" max="30" width="11.7109375" style="292" customWidth="1"/>
    <col min="31" max="31" width="10.7109375" style="292" bestFit="1" customWidth="1"/>
    <col min="32" max="32" width="12.28515625" customWidth="1"/>
    <col min="33" max="33" width="9.85546875" style="292" customWidth="1"/>
    <col min="34" max="34" width="8.5703125" customWidth="1"/>
    <col min="35" max="35" width="4.42578125" style="299" customWidth="1"/>
    <col min="36" max="36" width="2.85546875" customWidth="1"/>
    <col min="37" max="37" width="7" customWidth="1"/>
    <col min="38" max="38" width="6.5703125" customWidth="1"/>
  </cols>
  <sheetData>
    <row r="1" spans="1:39" ht="41.45" customHeight="1" thickBot="1" x14ac:dyDescent="0.4">
      <c r="C1" s="497" t="s">
        <v>1507</v>
      </c>
      <c r="D1" s="585"/>
      <c r="E1" s="498"/>
      <c r="F1" s="498"/>
      <c r="G1" s="644"/>
      <c r="H1" s="490"/>
      <c r="J1" s="489"/>
      <c r="K1" s="458"/>
      <c r="M1" s="488"/>
      <c r="N1" s="292"/>
      <c r="O1" s="488"/>
      <c r="P1" s="488"/>
      <c r="X1" s="489"/>
      <c r="Y1" s="488"/>
    </row>
    <row r="2" spans="1:39" ht="10.35" customHeight="1" x14ac:dyDescent="0.3">
      <c r="C2" s="292"/>
      <c r="F2"/>
      <c r="H2"/>
      <c r="J2"/>
      <c r="N2" s="292"/>
      <c r="O2"/>
      <c r="X2" s="292"/>
      <c r="Y2"/>
      <c r="Z2" s="292"/>
      <c r="AF2" s="318"/>
      <c r="AG2" s="549"/>
    </row>
    <row r="3" spans="1:39" ht="10.35" customHeight="1" x14ac:dyDescent="0.3">
      <c r="C3" s="292"/>
      <c r="F3"/>
      <c r="H3"/>
      <c r="J3"/>
      <c r="N3" s="292"/>
      <c r="O3"/>
      <c r="X3" s="292"/>
      <c r="Y3"/>
      <c r="Z3" s="292"/>
      <c r="AF3" s="318"/>
      <c r="AG3" s="549"/>
    </row>
    <row r="4" spans="1:39" ht="30.75" customHeight="1" thickBot="1" x14ac:dyDescent="0.4">
      <c r="B4" s="294"/>
      <c r="C4" s="294"/>
      <c r="E4" s="544"/>
      <c r="F4" s="600" t="s">
        <v>1492</v>
      </c>
      <c r="G4" s="451"/>
      <c r="H4" s="451"/>
      <c r="J4" s="448"/>
      <c r="K4" s="347"/>
      <c r="M4" s="611"/>
      <c r="N4" s="379"/>
      <c r="O4" s="336"/>
      <c r="P4" s="611"/>
      <c r="R4" s="347"/>
      <c r="S4" s="347"/>
      <c r="U4" s="347"/>
      <c r="V4" s="347"/>
      <c r="X4" s="307"/>
      <c r="Y4" s="314"/>
      <c r="Z4" s="384"/>
      <c r="AC4" s="382"/>
      <c r="AE4" s="127"/>
      <c r="AF4" s="348"/>
      <c r="AG4" s="550"/>
    </row>
    <row r="5" spans="1:39" ht="21.6" customHeight="1" thickBot="1" x14ac:dyDescent="0.35">
      <c r="B5" s="971" t="s">
        <v>1466</v>
      </c>
      <c r="C5" s="972"/>
      <c r="D5" s="972"/>
      <c r="E5" s="973"/>
      <c r="F5" s="601" t="s">
        <v>1692</v>
      </c>
      <c r="G5" s="602"/>
      <c r="H5" s="599"/>
      <c r="J5" s="477"/>
      <c r="K5" s="349"/>
      <c r="L5" s="208"/>
      <c r="M5" s="380"/>
      <c r="N5" s="367"/>
      <c r="O5" s="342"/>
      <c r="P5" s="380"/>
      <c r="Q5" s="208"/>
      <c r="T5" s="208"/>
      <c r="W5" s="208"/>
      <c r="X5" s="292"/>
      <c r="Y5"/>
      <c r="Z5" s="292"/>
      <c r="AF5" s="318"/>
      <c r="AG5" s="549"/>
    </row>
    <row r="6" spans="1:39" ht="21.6" customHeight="1" x14ac:dyDescent="0.3">
      <c r="B6" s="631"/>
      <c r="C6" s="631"/>
      <c r="D6" s="631"/>
      <c r="E6" s="631"/>
      <c r="F6" s="632"/>
      <c r="G6" s="4"/>
      <c r="H6" s="4"/>
      <c r="J6" s="477"/>
      <c r="K6" s="349"/>
      <c r="L6" s="208"/>
      <c r="M6" s="759"/>
      <c r="N6" s="367"/>
      <c r="O6" s="342"/>
      <c r="P6" s="380"/>
      <c r="Q6" s="208"/>
      <c r="T6" s="208"/>
      <c r="W6" s="208"/>
      <c r="X6" s="292"/>
      <c r="Y6"/>
      <c r="Z6" s="292"/>
      <c r="AF6" s="318"/>
      <c r="AG6" s="549"/>
    </row>
    <row r="7" spans="1:39" ht="33" customHeight="1" thickBot="1" x14ac:dyDescent="0.45">
      <c r="B7" s="970" t="s">
        <v>1667</v>
      </c>
      <c r="C7" s="970"/>
      <c r="D7" s="970"/>
      <c r="E7" s="970"/>
      <c r="F7" s="970"/>
      <c r="G7" s="970"/>
      <c r="H7" s="970"/>
      <c r="J7" s="477"/>
      <c r="K7" s="349"/>
      <c r="L7" s="208"/>
      <c r="M7" s="380"/>
      <c r="N7" s="367"/>
      <c r="O7" s="342"/>
      <c r="P7" s="380"/>
      <c r="Q7" s="208"/>
      <c r="T7" s="208"/>
      <c r="W7" s="208"/>
      <c r="X7" s="292"/>
      <c r="Y7"/>
      <c r="Z7" s="292"/>
      <c r="AF7" s="318"/>
      <c r="AG7" s="549"/>
    </row>
    <row r="8" spans="1:39" s="381" customFormat="1" ht="30" customHeight="1" thickBot="1" x14ac:dyDescent="0.3">
      <c r="B8" s="966" t="s">
        <v>1795</v>
      </c>
      <c r="C8" s="967"/>
      <c r="D8" s="967"/>
      <c r="E8" s="967"/>
      <c r="F8" s="967"/>
      <c r="G8" s="967"/>
      <c r="H8" s="968"/>
      <c r="J8" s="693"/>
      <c r="K8" s="694"/>
      <c r="L8" s="506"/>
      <c r="M8" s="662"/>
      <c r="N8" s="630"/>
      <c r="O8" s="630"/>
      <c r="P8" s="662"/>
      <c r="Q8" s="506"/>
      <c r="R8" s="662"/>
      <c r="S8" s="662"/>
      <c r="T8" s="506"/>
      <c r="U8" s="662"/>
      <c r="V8" s="662"/>
      <c r="W8" s="506"/>
      <c r="X8" s="662"/>
      <c r="Y8" s="662"/>
      <c r="Z8" s="630"/>
      <c r="AA8" s="506"/>
      <c r="AB8" s="662"/>
      <c r="AC8" s="662"/>
      <c r="AD8" s="630"/>
      <c r="AE8" s="662"/>
      <c r="AF8" s="662"/>
      <c r="AG8" s="662"/>
      <c r="AH8" s="662"/>
      <c r="AI8" s="662"/>
    </row>
    <row r="9" spans="1:39" s="381" customFormat="1" ht="56.1" customHeight="1" thickBot="1" x14ac:dyDescent="0.3">
      <c r="B9" s="297" t="s">
        <v>1293</v>
      </c>
      <c r="C9" s="432" t="s">
        <v>748</v>
      </c>
      <c r="D9" s="432" t="s">
        <v>1198</v>
      </c>
      <c r="E9" s="432" t="s">
        <v>1018</v>
      </c>
      <c r="F9" s="432" t="s">
        <v>749</v>
      </c>
      <c r="G9" s="779" t="s">
        <v>1522</v>
      </c>
      <c r="H9" s="780" t="s">
        <v>1521</v>
      </c>
      <c r="J9" s="781" t="s">
        <v>1520</v>
      </c>
      <c r="K9" s="782" t="s">
        <v>1688</v>
      </c>
      <c r="L9" s="506"/>
      <c r="M9" s="783" t="s">
        <v>1042</v>
      </c>
      <c r="N9" s="785" t="s">
        <v>1398</v>
      </c>
      <c r="O9" s="785" t="s">
        <v>1178</v>
      </c>
      <c r="P9" s="784" t="s">
        <v>1738</v>
      </c>
      <c r="Q9" s="506"/>
      <c r="R9" s="783" t="s">
        <v>1436</v>
      </c>
      <c r="S9" s="784" t="s">
        <v>1437</v>
      </c>
      <c r="T9" s="506"/>
      <c r="U9" s="783" t="s">
        <v>1438</v>
      </c>
      <c r="V9" s="784" t="s">
        <v>1439</v>
      </c>
      <c r="W9" s="506"/>
      <c r="X9" s="783" t="s">
        <v>1197</v>
      </c>
      <c r="Y9" s="786" t="s">
        <v>1456</v>
      </c>
      <c r="Z9" s="787" t="s">
        <v>857</v>
      </c>
      <c r="AA9" s="506"/>
      <c r="AB9" s="783" t="s">
        <v>1399</v>
      </c>
      <c r="AC9" s="786" t="s">
        <v>1411</v>
      </c>
      <c r="AD9" s="785" t="s">
        <v>1434</v>
      </c>
      <c r="AE9" s="786" t="s">
        <v>1212</v>
      </c>
      <c r="AF9" s="786" t="s">
        <v>1383</v>
      </c>
      <c r="AG9" s="786" t="s">
        <v>1689</v>
      </c>
      <c r="AH9" s="786" t="s">
        <v>1412</v>
      </c>
      <c r="AI9" s="784" t="s">
        <v>1509</v>
      </c>
      <c r="AK9" s="840" t="s">
        <v>746</v>
      </c>
      <c r="AL9" s="310" t="s">
        <v>1041</v>
      </c>
    </row>
    <row r="10" spans="1:39" ht="18" customHeight="1" x14ac:dyDescent="0.3">
      <c r="A10" t="s">
        <v>1466</v>
      </c>
      <c r="B10" s="414">
        <v>1206700</v>
      </c>
      <c r="C10" s="433">
        <v>502</v>
      </c>
      <c r="D10" s="260" t="str">
        <f>+VLOOKUP(C10,'Conteo 24-02'!$A$8:$D$246,4,0)</f>
        <v>D3</v>
      </c>
      <c r="E10" s="320" t="s">
        <v>746</v>
      </c>
      <c r="F10" s="327" t="s">
        <v>1693</v>
      </c>
      <c r="G10" s="499">
        <v>12000</v>
      </c>
      <c r="H10" s="470">
        <v>2</v>
      </c>
      <c r="J10" s="751">
        <f>+IFERROR(O10/N10,0)</f>
        <v>0.57050839659535313</v>
      </c>
      <c r="K10" s="478">
        <f>+IFERROR(S10/V10,0)</f>
        <v>0.57050839659535313</v>
      </c>
      <c r="M10" s="726">
        <f t="shared" ref="M10:M13" si="0">IF(N10-O10-P10&lt;0,0,N10-O10-P10)</f>
        <v>7468</v>
      </c>
      <c r="N10" s="377">
        <f>+IFERROR(AC10*AI10,0)</f>
        <v>17388</v>
      </c>
      <c r="O10" s="343">
        <f>+(X10*Z10)+Y10</f>
        <v>9920</v>
      </c>
      <c r="P10" s="613"/>
      <c r="R10" s="397">
        <f>+IFERROR(SUMIFS('Stock CD'!D:D,C30,'Stock CD'!C:C),0)</f>
        <v>0</v>
      </c>
      <c r="S10" s="400">
        <f>+R10+O10</f>
        <v>9920</v>
      </c>
      <c r="U10" s="397">
        <f>+IFERROR(VLOOKUP(C10,'Stock CD'!B:I,8,0),0)</f>
        <v>0</v>
      </c>
      <c r="V10" s="400">
        <f>+U10+N10</f>
        <v>17388</v>
      </c>
      <c r="X10" s="444">
        <f>+SUMIFS('Conteo 24-02'!F:F,'Conteo 24-02'!$A:$A,$C10)</f>
        <v>8</v>
      </c>
      <c r="Y10" s="304">
        <f>+SUMIFS('Conteo 24-02'!G:G,'Conteo 24-02'!$A:$A,$C10)</f>
        <v>1920</v>
      </c>
      <c r="Z10" s="507">
        <v>1000</v>
      </c>
      <c r="AB10" s="424" t="s">
        <v>1466</v>
      </c>
      <c r="AC10" s="409">
        <f>IF(C10="Corb-LK",SUMIFS('Est Madre LK 10-25'!C:C,'Est Madre LK 10-25'!D:D,"si"),IF(C10="Corb-CH",SUMIFS('Est Madre CH 10-25'!C:C,'Est Madre CH 10-25'!D:D,"si"),0)+IFERROR(VLOOKUP(C10,'Est Madre LK 10-25'!$A:$C,3,),IFERROR(VLOOKUP(C10,'Est Madre CH 10-25'!$A:$C,3,),0)))</f>
        <v>5796</v>
      </c>
      <c r="AD10" s="359">
        <v>12000</v>
      </c>
      <c r="AE10" s="260">
        <v>6</v>
      </c>
      <c r="AF10" s="323">
        <v>68.570279999999997</v>
      </c>
      <c r="AG10" s="552" t="s">
        <v>1716</v>
      </c>
      <c r="AH10" s="260" t="s">
        <v>1489</v>
      </c>
      <c r="AI10" s="333">
        <v>3</v>
      </c>
      <c r="AK10" s="393">
        <v>100</v>
      </c>
      <c r="AL10" s="331">
        <v>0</v>
      </c>
    </row>
    <row r="11" spans="1:39" ht="18" customHeight="1" x14ac:dyDescent="0.3">
      <c r="A11" t="s">
        <v>1466</v>
      </c>
      <c r="B11" s="414">
        <v>1206700</v>
      </c>
      <c r="C11" s="433">
        <v>512</v>
      </c>
      <c r="D11" s="260" t="str">
        <f>+VLOOKUP(C11,'Conteo 24-02'!$A$8:$D$246,4,0)</f>
        <v>D1B</v>
      </c>
      <c r="E11" s="320" t="s">
        <v>746</v>
      </c>
      <c r="F11" s="327" t="s">
        <v>1695</v>
      </c>
      <c r="G11" s="260"/>
      <c r="H11" s="470"/>
      <c r="J11" s="751">
        <f>+IFERROR(O11/N11,0)</f>
        <v>1.5901771336553945</v>
      </c>
      <c r="K11" s="478">
        <f>+IFERROR(S11/V11,0)</f>
        <v>1.5901771336553945</v>
      </c>
      <c r="M11" s="726">
        <f t="shared" si="0"/>
        <v>0</v>
      </c>
      <c r="N11" s="377">
        <f>+IFERROR(AC11*AI11,0)</f>
        <v>4968</v>
      </c>
      <c r="O11" s="343">
        <f>+(X11*Z11)+Y11</f>
        <v>7900</v>
      </c>
      <c r="P11" s="613"/>
      <c r="R11" s="397">
        <f>+IFERROR(SUMIFS('Stock CD'!D:D,C32,'Stock CD'!C:C),0)</f>
        <v>0</v>
      </c>
      <c r="S11" s="400">
        <f>+R11+O11</f>
        <v>7900</v>
      </c>
      <c r="U11" s="397">
        <f>+IFERROR(VLOOKUP(C11,'Stock CD'!B:I,8,0),0)</f>
        <v>0</v>
      </c>
      <c r="V11" s="400">
        <f>+U11+N11</f>
        <v>4968</v>
      </c>
      <c r="X11" s="444">
        <f>+SUMIFS('Conteo 24-02'!F:F,'Conteo 24-02'!$A:$A,$C11)</f>
        <v>6</v>
      </c>
      <c r="Y11" s="304">
        <f>+SUMIFS('Conteo 24-02'!G:G,'Conteo 24-02'!$A:$A,$C11)</f>
        <v>1900</v>
      </c>
      <c r="Z11" s="507">
        <v>1000</v>
      </c>
      <c r="AB11" s="424" t="s">
        <v>1466</v>
      </c>
      <c r="AC11" s="409">
        <f>IF(C11="Corb-LK",SUMIFS('Est Madre LK 10-25'!C:C,'Est Madre LK 10-25'!D:D,"si"),IF(C11="Corb-CH",SUMIFS('Est Madre CH 10-25'!C:C,'Est Madre CH 10-25'!D:D,"si"),0)+IFERROR(VLOOKUP(C11,'Est Madre LK 10-25'!$A:$C,3,),IFERROR(VLOOKUP(C11,'Est Madre CH 10-25'!$A:$C,3,),0)))</f>
        <v>1656</v>
      </c>
      <c r="AD11" s="359">
        <v>12000</v>
      </c>
      <c r="AE11" s="260">
        <v>6</v>
      </c>
      <c r="AF11" s="323">
        <v>68.570279999999997</v>
      </c>
      <c r="AG11" s="552" t="s">
        <v>1716</v>
      </c>
      <c r="AH11" s="260" t="s">
        <v>1489</v>
      </c>
      <c r="AI11" s="333">
        <v>3</v>
      </c>
      <c r="AK11" s="424">
        <v>100</v>
      </c>
      <c r="AL11" s="333">
        <v>0</v>
      </c>
    </row>
    <row r="12" spans="1:39" ht="18" customHeight="1" x14ac:dyDescent="0.3">
      <c r="A12" t="s">
        <v>1466</v>
      </c>
      <c r="B12" s="414">
        <v>1206700</v>
      </c>
      <c r="C12" s="433">
        <v>66</v>
      </c>
      <c r="D12" s="260" t="str">
        <f>+VLOOKUP(C12,'Conteo 24-02'!$A$8:$D$246,4,0)</f>
        <v>D1A</v>
      </c>
      <c r="E12" s="320" t="s">
        <v>746</v>
      </c>
      <c r="F12" s="327" t="s">
        <v>1696</v>
      </c>
      <c r="G12" s="499"/>
      <c r="H12" s="470"/>
      <c r="J12" s="751">
        <f>+IFERROR(O12/N12,0)</f>
        <v>2.1428571428571428</v>
      </c>
      <c r="K12" s="478">
        <f>+IFERROR(S12/V12,0)</f>
        <v>2.1428571428571428</v>
      </c>
      <c r="M12" s="726">
        <f t="shared" si="0"/>
        <v>0</v>
      </c>
      <c r="N12" s="377">
        <f>+IFERROR(AC12*AI12,0)</f>
        <v>6300</v>
      </c>
      <c r="O12" s="343">
        <f>+(X12*Z12)+Y12</f>
        <v>13500</v>
      </c>
      <c r="P12" s="613"/>
      <c r="R12" s="397">
        <f>+IFERROR(SUMIFS('Stock CD'!D:D,C44,'Stock CD'!C:C),0)</f>
        <v>0</v>
      </c>
      <c r="S12" s="400">
        <f>+R12+O12</f>
        <v>13500</v>
      </c>
      <c r="U12" s="397">
        <f>+IFERROR(VLOOKUP(C12,'Stock CD'!B:I,8,0),0)</f>
        <v>0</v>
      </c>
      <c r="V12" s="400">
        <f>+U12+N12</f>
        <v>6300</v>
      </c>
      <c r="X12" s="444">
        <f>+SUMIFS('Conteo 24-02'!F:F,'Conteo 24-02'!$A:$A,$C12)</f>
        <v>13</v>
      </c>
      <c r="Y12" s="304">
        <f>+SUMIFS('Conteo 24-02'!G:G,'Conteo 24-02'!$A:$A,$C12)</f>
        <v>500</v>
      </c>
      <c r="Z12" s="507">
        <v>1000</v>
      </c>
      <c r="AB12" s="424" t="s">
        <v>1466</v>
      </c>
      <c r="AC12" s="409">
        <f>IF(C12="Corb-LK",SUMIFS('Est Madre LK 10-25'!C:C,'Est Madre LK 10-25'!D:D,"si"),IF(C12="Corb-CH",SUMIFS('Est Madre CH 10-25'!C:C,'Est Madre CH 10-25'!D:D,"si"),0)+IFERROR(VLOOKUP(C12,'Est Madre LK 10-25'!$A:$C,3,),IFERROR(VLOOKUP(C12,'Est Madre CH 10-25'!$A:$C,3,),0)))</f>
        <v>2100</v>
      </c>
      <c r="AD12" s="359">
        <v>12000</v>
      </c>
      <c r="AE12" s="260">
        <v>6</v>
      </c>
      <c r="AF12" s="323">
        <v>68.570279999999997</v>
      </c>
      <c r="AG12" s="552" t="s">
        <v>1716</v>
      </c>
      <c r="AH12" s="260" t="s">
        <v>1489</v>
      </c>
      <c r="AI12" s="333">
        <v>3</v>
      </c>
      <c r="AK12" s="424">
        <v>100</v>
      </c>
      <c r="AL12" s="333">
        <v>0</v>
      </c>
    </row>
    <row r="13" spans="1:39" ht="18" customHeight="1" thickBot="1" x14ac:dyDescent="0.35">
      <c r="A13" t="s">
        <v>1466</v>
      </c>
      <c r="B13" s="493">
        <v>1206700</v>
      </c>
      <c r="C13" s="443">
        <v>501</v>
      </c>
      <c r="D13" s="262" t="str">
        <f>+VLOOKUP(C13,'Conteo 24-02'!$A$8:$D$246,4,0)</f>
        <v>D2</v>
      </c>
      <c r="E13" s="322" t="s">
        <v>746</v>
      </c>
      <c r="F13" s="355" t="s">
        <v>1694</v>
      </c>
      <c r="G13" s="580">
        <v>12000</v>
      </c>
      <c r="H13" s="471">
        <v>1</v>
      </c>
      <c r="J13" s="750">
        <f>+IFERROR(O13/N13,0)</f>
        <v>0</v>
      </c>
      <c r="K13" s="486">
        <f>+IFERROR(S13/V13,0)</f>
        <v>0</v>
      </c>
      <c r="M13" s="659">
        <f t="shared" si="0"/>
        <v>20736</v>
      </c>
      <c r="N13" s="378">
        <f>+IFERROR(AC13*AI13,0)</f>
        <v>20736</v>
      </c>
      <c r="O13" s="345">
        <f>+(X13*Z13)+Y13</f>
        <v>0</v>
      </c>
      <c r="P13" s="614"/>
      <c r="R13" s="398">
        <f>+IFERROR(SUMIFS('Stock CD'!D:D,C31,'Stock CD'!C:C),0)</f>
        <v>0</v>
      </c>
      <c r="S13" s="401">
        <f>+R13+O13</f>
        <v>0</v>
      </c>
      <c r="U13" s="398">
        <f>+IFERROR(VLOOKUP(C13,'Stock CD'!B:I,8,0),0)</f>
        <v>0</v>
      </c>
      <c r="V13" s="401">
        <f>+U13+N13</f>
        <v>20736</v>
      </c>
      <c r="X13" s="445">
        <f>+SUMIFS('Conteo 24-02'!F:F,'Conteo 24-02'!$A:$A,$C13)</f>
        <v>0</v>
      </c>
      <c r="Y13" s="305">
        <f>+SUMIFS('Conteo 24-02'!G:G,'Conteo 24-02'!$A:$A,$C13)</f>
        <v>0</v>
      </c>
      <c r="Z13" s="508">
        <v>1000</v>
      </c>
      <c r="AB13" s="425" t="s">
        <v>1466</v>
      </c>
      <c r="AC13" s="423">
        <f>IF(C13="Corb-LK",SUMIFS('Est Madre LK 10-25'!C:C,'Est Madre LK 10-25'!D:D,"si"),IF(C13="Corb-CH",SUMIFS('Est Madre CH 10-25'!C:C,'Est Madre CH 10-25'!D:D,"si"),0)+IFERROR(VLOOKUP(C13,'Est Madre LK 10-25'!$A:$C,3,),IFERROR(VLOOKUP(C13,'Est Madre CH 10-25'!$A:$C,3,),0)))</f>
        <v>6912</v>
      </c>
      <c r="AD13" s="361">
        <v>12000</v>
      </c>
      <c r="AE13" s="262">
        <v>6</v>
      </c>
      <c r="AF13" s="325">
        <v>68.570279999999997</v>
      </c>
      <c r="AG13" s="554" t="s">
        <v>1716</v>
      </c>
      <c r="AH13" s="262" t="s">
        <v>1489</v>
      </c>
      <c r="AI13" s="335">
        <v>3</v>
      </c>
      <c r="AK13" s="425">
        <v>100</v>
      </c>
      <c r="AL13" s="335">
        <v>0</v>
      </c>
    </row>
    <row r="14" spans="1:39" ht="18.600000000000001" customHeight="1" x14ac:dyDescent="0.3">
      <c r="B14" s="346"/>
      <c r="C14" s="294"/>
      <c r="E14" s="299"/>
      <c r="F14" s="308"/>
      <c r="G14" s="578"/>
      <c r="H14" s="308"/>
      <c r="J14" s="452"/>
      <c r="K14" s="453"/>
      <c r="M14" s="611">
        <f>+SUM(M10:M13)</f>
        <v>28204</v>
      </c>
      <c r="N14" s="379"/>
      <c r="O14" s="336"/>
      <c r="P14" s="611"/>
      <c r="R14" s="454"/>
      <c r="S14" s="454"/>
      <c r="U14" s="454"/>
      <c r="V14" s="454"/>
      <c r="X14" s="307"/>
      <c r="Y14" s="307"/>
      <c r="Z14" s="384"/>
      <c r="AC14" s="382"/>
      <c r="AD14" s="384"/>
      <c r="AE14" s="127"/>
      <c r="AF14" s="348"/>
      <c r="AG14" s="550"/>
      <c r="AH14" s="127"/>
    </row>
    <row r="15" spans="1:39" ht="18.600000000000001" customHeight="1" thickBot="1" x14ac:dyDescent="0.35">
      <c r="B15" s="346"/>
      <c r="C15" s="294"/>
      <c r="E15" s="299"/>
      <c r="F15" s="308"/>
      <c r="G15" s="578"/>
      <c r="H15" s="308"/>
      <c r="J15" s="452"/>
      <c r="K15" s="453"/>
      <c r="M15" s="611"/>
      <c r="N15" s="379"/>
      <c r="O15" s="336"/>
      <c r="P15" s="611"/>
      <c r="R15" s="454"/>
      <c r="S15" s="454"/>
      <c r="U15" s="454"/>
      <c r="V15" s="454"/>
      <c r="X15" s="307"/>
      <c r="Y15" s="307"/>
      <c r="Z15" s="384"/>
      <c r="AC15" s="382"/>
      <c r="AD15" s="384"/>
      <c r="AE15" s="127"/>
      <c r="AF15" s="348"/>
      <c r="AG15" s="550"/>
      <c r="AH15" s="127"/>
    </row>
    <row r="16" spans="1:39" s="381" customFormat="1" ht="30" customHeight="1" thickBot="1" x14ac:dyDescent="0.3">
      <c r="B16" s="974" t="s">
        <v>1796</v>
      </c>
      <c r="C16" s="975"/>
      <c r="D16" s="975"/>
      <c r="E16" s="975"/>
      <c r="F16" s="975"/>
      <c r="G16" s="975"/>
      <c r="H16" s="976"/>
      <c r="J16" s="693"/>
      <c r="K16" s="694"/>
      <c r="L16" s="506"/>
      <c r="M16" s="662"/>
      <c r="N16" s="630"/>
      <c r="O16" s="630"/>
      <c r="P16" s="662"/>
      <c r="Q16" s="506"/>
      <c r="R16" s="662"/>
      <c r="S16" s="662"/>
      <c r="T16" s="506"/>
      <c r="U16" s="662"/>
      <c r="V16" s="662"/>
      <c r="W16" s="506"/>
      <c r="X16" s="618"/>
      <c r="Y16" s="618"/>
      <c r="Z16" s="617"/>
      <c r="AA16" s="506"/>
      <c r="AB16" s="618"/>
      <c r="AC16" s="618"/>
      <c r="AD16" s="617"/>
      <c r="AE16" s="618"/>
      <c r="AF16" s="618"/>
      <c r="AG16" s="618"/>
      <c r="AH16" s="618"/>
      <c r="AI16" s="618"/>
      <c r="AM16"/>
    </row>
    <row r="17" spans="1:39" ht="18" customHeight="1" x14ac:dyDescent="0.3">
      <c r="A17" t="s">
        <v>1466</v>
      </c>
      <c r="B17" s="608">
        <v>1207700</v>
      </c>
      <c r="C17" s="297">
        <v>513</v>
      </c>
      <c r="D17" s="482" t="str">
        <f>+VLOOKUP(C17,'Conteo 24-02'!$A$8:$D$246,4,0)</f>
        <v>C1</v>
      </c>
      <c r="E17" s="321" t="s">
        <v>746</v>
      </c>
      <c r="F17" s="354" t="s">
        <v>1183</v>
      </c>
      <c r="G17" s="579">
        <v>36000</v>
      </c>
      <c r="H17" s="469">
        <v>4</v>
      </c>
      <c r="J17" s="717">
        <f>+IFERROR(O17/N17,0)</f>
        <v>0.37171317659122538</v>
      </c>
      <c r="K17" s="734">
        <f>+IFERROR(S17/V17,0)</f>
        <v>0.37171317659122538</v>
      </c>
      <c r="M17" s="647">
        <f t="shared" ref="M17:M22" si="1">IF(N17-O17-P17&lt;0,0,N17-O17-P17)</f>
        <v>34312</v>
      </c>
      <c r="N17" s="479">
        <f>+IFERROR(AC17*AI17,0)</f>
        <v>54612</v>
      </c>
      <c r="O17" s="344">
        <f>+(X17*Z17)+Y17</f>
        <v>20300</v>
      </c>
      <c r="P17" s="648"/>
      <c r="Q17" s="777"/>
      <c r="R17" s="396">
        <f>+IFERROR(SUMIFS('Stock CD'!D:D,C284,'Stock CD'!C:C),0)</f>
        <v>0</v>
      </c>
      <c r="S17" s="399">
        <f>+R17+O17</f>
        <v>20300</v>
      </c>
      <c r="U17" s="396">
        <f>+IFERROR(VLOOKUP(C17,'Stock CD'!B:I,8,0),0)</f>
        <v>0</v>
      </c>
      <c r="V17" s="399">
        <f>+U17+N17</f>
        <v>54612</v>
      </c>
      <c r="W17" s="777"/>
      <c r="X17" s="626">
        <f>+SUMIFS('Conteo 24-02'!F:F,'Conteo 24-02'!$A:$A,$C17)</f>
        <v>20</v>
      </c>
      <c r="Y17" s="303">
        <f>+SUMIFS('Conteo 24-02'!G:G,'Conteo 24-02'!$A:$A,$C17)</f>
        <v>300</v>
      </c>
      <c r="Z17" s="524">
        <v>1000</v>
      </c>
      <c r="AA17" s="777"/>
      <c r="AB17" s="393" t="s">
        <v>1466</v>
      </c>
      <c r="AC17" s="422">
        <f>IF(C17="Corb-LK",SUMIFS('Est Madre LK 10-25'!C:C,'Est Madre LK 10-25'!D:D,"si"),IF(C17="Corb-CH",SUMIFS('Est Madre CH 10-25'!C:C,'Est Madre CH 10-25'!D:D,"si"),0)+IFERROR(VLOOKUP(C17,'Est Madre LK 10-25'!$A:$C,3,),IFERROR(VLOOKUP(C17,'Est Madre CH 10-25'!$A:$C,3,),0)))</f>
        <v>18204</v>
      </c>
      <c r="AD17" s="358">
        <v>12000</v>
      </c>
      <c r="AE17" s="261">
        <v>12</v>
      </c>
      <c r="AF17" s="324">
        <v>61.336709999999997</v>
      </c>
      <c r="AG17" s="551" t="s">
        <v>1716</v>
      </c>
      <c r="AH17" s="261" t="s">
        <v>1656</v>
      </c>
      <c r="AI17" s="331">
        <v>3</v>
      </c>
      <c r="AK17" s="393">
        <v>100</v>
      </c>
      <c r="AL17" s="331">
        <v>0</v>
      </c>
    </row>
    <row r="18" spans="1:39" ht="18" customHeight="1" x14ac:dyDescent="0.3">
      <c r="A18" t="s">
        <v>1466</v>
      </c>
      <c r="B18" s="607">
        <v>1207700</v>
      </c>
      <c r="C18" s="302">
        <v>505</v>
      </c>
      <c r="D18" s="128" t="str">
        <f>+VLOOKUP(C18,'Conteo 24-02'!$A$8:$D$246,4,0)</f>
        <v>B1</v>
      </c>
      <c r="E18" s="320" t="s">
        <v>746</v>
      </c>
      <c r="F18" s="327" t="s">
        <v>1186</v>
      </c>
      <c r="G18" s="839">
        <v>48000</v>
      </c>
      <c r="H18" s="470">
        <v>5</v>
      </c>
      <c r="J18" s="718">
        <f>+IFERROR(O18/N18,0)</f>
        <v>0.50683333333333336</v>
      </c>
      <c r="K18" s="735">
        <f>+IFERROR(S18/V18,0)</f>
        <v>0.50683333333333336</v>
      </c>
      <c r="M18" s="649">
        <f t="shared" si="1"/>
        <v>44385</v>
      </c>
      <c r="N18" s="480">
        <f>+IFERROR(AC18*AI18,0)</f>
        <v>90000</v>
      </c>
      <c r="O18" s="343">
        <f>+(X18*Z18)+Y18</f>
        <v>45615</v>
      </c>
      <c r="P18" s="650"/>
      <c r="R18" s="397">
        <f>+IFERROR(SUMIFS('Stock CD'!D:D,C285,'Stock CD'!C:C),0)</f>
        <v>0</v>
      </c>
      <c r="S18" s="400">
        <f>+R18+O18</f>
        <v>45615</v>
      </c>
      <c r="U18" s="397">
        <f>+IFERROR(VLOOKUP(C18,'Stock CD'!B:I,8,0),0)</f>
        <v>0</v>
      </c>
      <c r="V18" s="400">
        <f>+U18+N18</f>
        <v>90000</v>
      </c>
      <c r="X18" s="444">
        <f>+SUMIFS('Conteo 24-02'!F:F,'Conteo 24-02'!$A:$A,$C18)</f>
        <v>45</v>
      </c>
      <c r="Y18" s="304">
        <f>+SUMIFS('Conteo 24-02'!G:G,'Conteo 24-02'!$A:$A,$C18)</f>
        <v>615</v>
      </c>
      <c r="Z18" s="507">
        <v>1000</v>
      </c>
      <c r="AB18" s="424" t="s">
        <v>1466</v>
      </c>
      <c r="AC18" s="409">
        <f>IF(C18="Corb-LK",SUMIFS('Est Madre LK 10-25'!C:C,'Est Madre LK 10-25'!D:D,"si"),IF(C18="Corb-CH",SUMIFS('Est Madre CH 10-25'!C:C,'Est Madre CH 10-25'!D:D,"si"),0)+IFERROR(VLOOKUP(C18,'Est Madre LK 10-25'!$A:$C,3,),IFERROR(VLOOKUP(C18,'Est Madre CH 10-25'!$A:$C,3,),0)))</f>
        <v>30000</v>
      </c>
      <c r="AD18" s="359">
        <v>12000</v>
      </c>
      <c r="AE18" s="260">
        <v>12</v>
      </c>
      <c r="AF18" s="323">
        <v>61.336709999999997</v>
      </c>
      <c r="AG18" s="552" t="s">
        <v>1716</v>
      </c>
      <c r="AH18" s="260" t="s">
        <v>1656</v>
      </c>
      <c r="AI18" s="333">
        <v>3</v>
      </c>
      <c r="AK18" s="424">
        <v>100</v>
      </c>
      <c r="AL18" s="333">
        <v>0</v>
      </c>
    </row>
    <row r="19" spans="1:39" ht="18" customHeight="1" thickBot="1" x14ac:dyDescent="0.35">
      <c r="A19" t="s">
        <v>1466</v>
      </c>
      <c r="B19" s="609">
        <v>1207700</v>
      </c>
      <c r="C19" s="298">
        <v>586</v>
      </c>
      <c r="D19" s="130" t="str">
        <f>+VLOOKUP(C19,'Conteo 24-02'!$A$8:$D$246,4,0)</f>
        <v>B3</v>
      </c>
      <c r="E19" s="322" t="s">
        <v>746</v>
      </c>
      <c r="F19" s="355" t="s">
        <v>1505</v>
      </c>
      <c r="G19" s="580"/>
      <c r="H19" s="471"/>
      <c r="J19" s="719">
        <f>+IFERROR(O19/N19,0)</f>
        <v>1.4722698684962836</v>
      </c>
      <c r="K19" s="736">
        <f>+IFERROR(S19/V19,0)</f>
        <v>1.4722698684962836</v>
      </c>
      <c r="M19" s="651">
        <f t="shared" si="1"/>
        <v>0</v>
      </c>
      <c r="N19" s="481">
        <f>+IFERROR(AC19*AI19,0)</f>
        <v>20988</v>
      </c>
      <c r="O19" s="345">
        <f>+(X19*Z19)+Y19</f>
        <v>30900</v>
      </c>
      <c r="P19" s="652"/>
      <c r="R19" s="398">
        <f>+IFERROR(SUMIFS('Stock CD'!D:D,C286,'Stock CD'!C:C),0)</f>
        <v>0</v>
      </c>
      <c r="S19" s="401">
        <f>+R19+O19</f>
        <v>30900</v>
      </c>
      <c r="U19" s="398">
        <f>+IFERROR(VLOOKUP(C19,'Stock CD'!B:I,8,0),0)</f>
        <v>0</v>
      </c>
      <c r="V19" s="401">
        <f>+U19+N19</f>
        <v>20988</v>
      </c>
      <c r="X19" s="445">
        <f>+SUMIFS('Conteo 24-02'!F:F,'Conteo 24-02'!$A:$A,$C19)</f>
        <v>30</v>
      </c>
      <c r="Y19" s="305">
        <f>+SUMIFS('Conteo 24-02'!G:G,'Conteo 24-02'!$A:$A,$C19)</f>
        <v>900</v>
      </c>
      <c r="Z19" s="508">
        <v>1000</v>
      </c>
      <c r="AB19" s="425" t="s">
        <v>1466</v>
      </c>
      <c r="AC19" s="423">
        <f>IF(C19="Corb-LK",SUMIFS('Est Madre LK 10-25'!C:C,'Est Madre LK 10-25'!D:D,"si"),IF(C19="Corb-CH",SUMIFS('Est Madre CH 10-25'!C:C,'Est Madre CH 10-25'!D:D,"si"),0)+IFERROR(VLOOKUP(C19,'Est Madre LK 10-25'!$A:$C,3,),IFERROR(VLOOKUP(C19,'Est Madre CH 10-25'!$A:$C,3,),0)))</f>
        <v>6996</v>
      </c>
      <c r="AD19" s="361">
        <v>12000</v>
      </c>
      <c r="AE19" s="262">
        <v>12</v>
      </c>
      <c r="AF19" s="325">
        <v>61.336709999999997</v>
      </c>
      <c r="AG19" s="554" t="s">
        <v>1716</v>
      </c>
      <c r="AH19" s="262" t="s">
        <v>1656</v>
      </c>
      <c r="AI19" s="335">
        <v>3</v>
      </c>
      <c r="AK19" s="425">
        <v>100</v>
      </c>
      <c r="AL19" s="335">
        <v>0</v>
      </c>
    </row>
    <row r="20" spans="1:39" ht="16.149999999999999" customHeight="1" thickBot="1" x14ac:dyDescent="0.35">
      <c r="B20" s="294"/>
      <c r="C20" s="294"/>
      <c r="D20" s="127"/>
      <c r="E20" s="299"/>
      <c r="F20" s="308"/>
      <c r="G20" s="578"/>
      <c r="H20" s="308"/>
      <c r="J20" s="452"/>
      <c r="K20" s="453"/>
      <c r="M20" s="611">
        <f>+SUM(M17:M19)</f>
        <v>78697</v>
      </c>
      <c r="N20" s="379"/>
      <c r="O20" s="336"/>
      <c r="P20" s="611"/>
      <c r="R20" s="454"/>
      <c r="S20" s="454"/>
      <c r="U20" s="454"/>
      <c r="V20" s="454"/>
      <c r="X20" s="307"/>
      <c r="Y20" s="307"/>
      <c r="Z20" s="384"/>
      <c r="AC20" s="382"/>
      <c r="AD20" s="384"/>
      <c r="AE20" s="127"/>
      <c r="AF20" s="348"/>
      <c r="AG20" s="550"/>
      <c r="AH20" s="127"/>
    </row>
    <row r="21" spans="1:39" s="381" customFormat="1" ht="30" customHeight="1" thickBot="1" x14ac:dyDescent="0.3">
      <c r="B21" s="974" t="s">
        <v>1799</v>
      </c>
      <c r="C21" s="975"/>
      <c r="D21" s="975"/>
      <c r="E21" s="975"/>
      <c r="F21" s="975"/>
      <c r="G21" s="975"/>
      <c r="H21" s="976"/>
      <c r="J21" s="693"/>
      <c r="K21" s="694"/>
      <c r="L21" s="506"/>
      <c r="M21" s="662"/>
      <c r="N21" s="630"/>
      <c r="O21" s="630"/>
      <c r="P21" s="662"/>
      <c r="Q21" s="506"/>
      <c r="R21" s="662"/>
      <c r="S21" s="662"/>
      <c r="T21" s="506"/>
      <c r="U21" s="662"/>
      <c r="V21" s="662"/>
      <c r="W21" s="506"/>
      <c r="X21" s="618"/>
      <c r="Y21" s="618"/>
      <c r="Z21" s="617"/>
      <c r="AA21" s="506"/>
      <c r="AB21" s="618"/>
      <c r="AC21" s="618"/>
      <c r="AD21" s="617"/>
      <c r="AE21" s="618"/>
      <c r="AF21" s="618"/>
      <c r="AG21" s="618"/>
      <c r="AH21" s="618"/>
      <c r="AI21" s="618"/>
      <c r="AM21"/>
    </row>
    <row r="22" spans="1:39" ht="18.75" customHeight="1" thickBot="1" x14ac:dyDescent="0.35">
      <c r="A22" t="s">
        <v>1466</v>
      </c>
      <c r="B22" s="546">
        <v>1207700</v>
      </c>
      <c r="C22" s="582">
        <v>587</v>
      </c>
      <c r="D22" s="606" t="str">
        <f>+VLOOKUP(C22,'Conteo 24-02'!$A$8:$D$246,4,0)</f>
        <v>B4</v>
      </c>
      <c r="E22" s="583" t="s">
        <v>746</v>
      </c>
      <c r="F22" s="584" t="s">
        <v>1320</v>
      </c>
      <c r="G22" s="645">
        <v>12000</v>
      </c>
      <c r="H22" s="720">
        <v>3</v>
      </c>
      <c r="J22" s="721">
        <f>+IFERROR(O22/N22,0)</f>
        <v>2.3148148148148147E-2</v>
      </c>
      <c r="K22" s="737">
        <f>+IFERROR(S22/V22,0)</f>
        <v>2.3148148148148147E-2</v>
      </c>
      <c r="L22" s="585"/>
      <c r="M22" s="656">
        <f t="shared" si="1"/>
        <v>10550</v>
      </c>
      <c r="N22" s="586">
        <f>+IFERROR(AC22*AI22,0)</f>
        <v>10800</v>
      </c>
      <c r="O22" s="587">
        <f>+(X22*Z22)+Y22</f>
        <v>250</v>
      </c>
      <c r="P22" s="655"/>
      <c r="R22" s="588">
        <f>+IFERROR(SUMIFS('Stock CD'!D:D,C287,'Stock CD'!C:C),0)</f>
        <v>0</v>
      </c>
      <c r="S22" s="589">
        <f>+R22+O22</f>
        <v>250</v>
      </c>
      <c r="U22" s="588">
        <f>+IFERROR(VLOOKUP(C22,'Stock CD'!B:I,8,0),0)</f>
        <v>0</v>
      </c>
      <c r="V22" s="589">
        <f>+U22+N22</f>
        <v>10800</v>
      </c>
      <c r="X22" s="776">
        <f>+SUMIFS('Conteo 24-02'!F:F,'Conteo 24-02'!$A:$A,$C22)</f>
        <v>0</v>
      </c>
      <c r="Y22" s="590">
        <f>+SUMIFS('Conteo 24-02'!G:G,'Conteo 24-02'!$A:$A,$C22)</f>
        <v>250</v>
      </c>
      <c r="Z22" s="591">
        <v>1000</v>
      </c>
      <c r="AB22" s="592" t="s">
        <v>1466</v>
      </c>
      <c r="AC22" s="593">
        <f>IF(C22="Corb-LK",SUMIFS('Est Madre LK 10-25'!C:C,'Est Madre LK 10-25'!D:D,"si"),IF(C22="Corb-CH",SUMIFS('Est Madre CH 10-25'!C:C,'Est Madre CH 10-25'!D:D,"si"),0)+IFERROR(VLOOKUP(C22,'Est Madre LK 10-25'!$A:$C,3,),IFERROR(VLOOKUP(C22,'Est Madre CH 10-25'!$A:$C,3,),0)))</f>
        <v>3600</v>
      </c>
      <c r="AD22" s="594">
        <v>12000</v>
      </c>
      <c r="AE22" s="595">
        <v>12</v>
      </c>
      <c r="AF22" s="596">
        <v>61.336709999999997</v>
      </c>
      <c r="AG22" s="597" t="s">
        <v>1716</v>
      </c>
      <c r="AH22" s="595" t="s">
        <v>1656</v>
      </c>
      <c r="AI22" s="598">
        <v>3</v>
      </c>
      <c r="AK22" s="592">
        <v>100</v>
      </c>
      <c r="AL22" s="598">
        <v>0</v>
      </c>
    </row>
    <row r="23" spans="1:39" ht="19.149999999999999" customHeight="1" x14ac:dyDescent="0.3">
      <c r="B23" s="346"/>
      <c r="C23" s="294"/>
      <c r="E23" s="299"/>
      <c r="F23" s="308"/>
      <c r="G23" s="578"/>
      <c r="H23" s="308"/>
      <c r="J23" s="452"/>
      <c r="K23" s="453"/>
      <c r="M23" s="611">
        <f>+SUM(M22)</f>
        <v>10550</v>
      </c>
      <c r="N23" s="379"/>
      <c r="O23" s="336"/>
      <c r="P23" s="611"/>
      <c r="R23" s="454"/>
      <c r="S23" s="454"/>
      <c r="U23" s="454"/>
      <c r="V23" s="454"/>
      <c r="X23" s="307"/>
      <c r="Y23" s="307"/>
      <c r="Z23" s="384"/>
      <c r="AC23" s="382"/>
      <c r="AD23" s="384"/>
      <c r="AE23" s="127"/>
      <c r="AF23" s="348"/>
      <c r="AG23" s="550"/>
      <c r="AH23" s="127"/>
    </row>
    <row r="24" spans="1:39" ht="19.149999999999999" customHeight="1" thickBot="1" x14ac:dyDescent="0.35">
      <c r="B24" s="346"/>
      <c r="C24" s="294"/>
      <c r="E24" s="299"/>
      <c r="F24" s="308"/>
      <c r="G24" s="578"/>
      <c r="H24" s="308"/>
      <c r="J24" s="452"/>
      <c r="K24" s="453"/>
      <c r="M24" s="611"/>
      <c r="N24" s="379"/>
      <c r="O24" s="336"/>
      <c r="P24" s="611"/>
      <c r="R24" s="454"/>
      <c r="S24" s="454"/>
      <c r="U24" s="454"/>
      <c r="V24" s="454"/>
      <c r="X24" s="307"/>
      <c r="Y24" s="307"/>
      <c r="Z24" s="384"/>
      <c r="AC24" s="382"/>
      <c r="AD24" s="384"/>
      <c r="AE24" s="127"/>
      <c r="AF24" s="348"/>
      <c r="AG24" s="550"/>
      <c r="AH24" s="127"/>
    </row>
    <row r="25" spans="1:39" s="381" customFormat="1" ht="30" customHeight="1" thickBot="1" x14ac:dyDescent="0.3">
      <c r="B25" s="974" t="s">
        <v>1797</v>
      </c>
      <c r="C25" s="975"/>
      <c r="D25" s="975"/>
      <c r="E25" s="975"/>
      <c r="F25" s="975"/>
      <c r="G25" s="975"/>
      <c r="H25" s="976"/>
      <c r="J25" s="693"/>
      <c r="K25" s="694"/>
      <c r="L25" s="506"/>
      <c r="M25" s="758"/>
      <c r="N25" s="630"/>
      <c r="O25" s="630"/>
      <c r="P25" s="662"/>
      <c r="Q25" s="506"/>
      <c r="R25" s="662"/>
      <c r="S25" s="662"/>
      <c r="T25" s="506"/>
      <c r="U25" s="662"/>
      <c r="V25" s="662"/>
      <c r="W25" s="506"/>
      <c r="X25" s="662"/>
      <c r="Y25" s="662"/>
      <c r="Z25" s="630"/>
      <c r="AA25" s="506"/>
      <c r="AB25" s="662"/>
      <c r="AC25" s="662"/>
      <c r="AD25" s="630"/>
      <c r="AE25" s="662"/>
      <c r="AF25" s="662"/>
      <c r="AG25" s="662"/>
      <c r="AH25" s="662"/>
      <c r="AI25" s="662"/>
    </row>
    <row r="26" spans="1:39" ht="18" customHeight="1" x14ac:dyDescent="0.3">
      <c r="A26" t="s">
        <v>1466</v>
      </c>
      <c r="B26" s="608">
        <v>1261700</v>
      </c>
      <c r="C26" s="297">
        <v>525</v>
      </c>
      <c r="D26" s="482" t="str">
        <f>+VLOOKUP(C26,'Conteo 24-02'!$A$8:$D$246,4,0)</f>
        <v>E1B</v>
      </c>
      <c r="E26" s="321" t="s">
        <v>746</v>
      </c>
      <c r="F26" s="354" t="s">
        <v>805</v>
      </c>
      <c r="G26" s="579"/>
      <c r="H26" s="469"/>
      <c r="J26" s="717">
        <f t="shared" ref="J26:J32" si="2">+IFERROR(O26/N26,0)</f>
        <v>0</v>
      </c>
      <c r="K26" s="734">
        <f t="shared" ref="K26:K32" si="3">+IFERROR(S26/V26,0)</f>
        <v>0</v>
      </c>
      <c r="M26" s="647">
        <f t="shared" ref="M26:M32" si="4">IF(N26-O26-P26&lt;0,0,N26-O26-P26)</f>
        <v>0</v>
      </c>
      <c r="N26" s="479">
        <f t="shared" ref="N26:N32" si="5">+IFERROR(AC26*AI26,0)</f>
        <v>0</v>
      </c>
      <c r="O26" s="344">
        <f t="shared" ref="O26:O32" si="6">+(X26*Z26)+Y26</f>
        <v>7650</v>
      </c>
      <c r="P26" s="648"/>
      <c r="Q26" s="281"/>
      <c r="R26" s="396">
        <f>+IFERROR(SUMIFS('Stock CD'!D:D,C318,'Stock CD'!C:C),0)</f>
        <v>0</v>
      </c>
      <c r="S26" s="399">
        <f t="shared" ref="S26:S32" si="7">+R26+O26</f>
        <v>7650</v>
      </c>
      <c r="U26" s="396">
        <f>+IFERROR(VLOOKUP(C26,'Stock CD'!B:I,8,0),0)</f>
        <v>0</v>
      </c>
      <c r="V26" s="399">
        <f t="shared" ref="V26:V32" si="8">+U26+N26</f>
        <v>0</v>
      </c>
      <c r="W26" s="788"/>
      <c r="X26" s="626">
        <f>+SUMIFS('Conteo 24-02'!F:F,'Conteo 24-02'!$A:$A,$C26)</f>
        <v>7</v>
      </c>
      <c r="Y26" s="303">
        <f>+SUMIFS('Conteo 24-02'!G:G,'Conteo 24-02'!$A:$A,$C26)</f>
        <v>650</v>
      </c>
      <c r="Z26" s="524">
        <v>1000</v>
      </c>
      <c r="AB26" s="393" t="s">
        <v>1466</v>
      </c>
      <c r="AC26" s="422">
        <f>IF(C26="Corb-LK",SUMIFS('Est Madre LK 10-25'!C:C,'Est Madre LK 10-25'!D:D,"si"),IF(C26="Corb-CH",SUMIFS('Est Madre CH 10-25'!C:C,'Est Madre CH 10-25'!D:D,"si"),0)+IFERROR(VLOOKUP(C26,'Est Madre LK 10-25'!$A:$C,3,),IFERROR(VLOOKUP(C26,'Est Madre CH 10-25'!$A:$C,3,),0)))</f>
        <v>0</v>
      </c>
      <c r="AD26" s="358">
        <v>12000</v>
      </c>
      <c r="AE26" s="261">
        <v>12</v>
      </c>
      <c r="AF26" s="324">
        <v>0</v>
      </c>
      <c r="AG26" s="551" t="s">
        <v>1716</v>
      </c>
      <c r="AH26" s="261" t="s">
        <v>1213</v>
      </c>
      <c r="AI26" s="331">
        <v>4</v>
      </c>
      <c r="AK26" s="393">
        <v>100</v>
      </c>
      <c r="AL26" s="331">
        <v>0</v>
      </c>
    </row>
    <row r="27" spans="1:39" ht="18" customHeight="1" x14ac:dyDescent="0.3">
      <c r="A27" t="s">
        <v>1466</v>
      </c>
      <c r="B27" s="607">
        <v>1261700</v>
      </c>
      <c r="C27" s="302">
        <v>531</v>
      </c>
      <c r="D27" s="128" t="str">
        <f>+VLOOKUP(C27,'Conteo 24-02'!$A$8:$D$246,4,0)</f>
        <v>E4B</v>
      </c>
      <c r="E27" s="320" t="s">
        <v>746</v>
      </c>
      <c r="F27" s="327" t="s">
        <v>1199</v>
      </c>
      <c r="G27" s="499"/>
      <c r="H27" s="470"/>
      <c r="J27" s="718">
        <f t="shared" si="2"/>
        <v>0.97482638888888884</v>
      </c>
      <c r="K27" s="735">
        <f t="shared" si="3"/>
        <v>0.97482638888888884</v>
      </c>
      <c r="M27" s="649">
        <f t="shared" si="4"/>
        <v>145</v>
      </c>
      <c r="N27" s="480">
        <f t="shared" si="5"/>
        <v>5760</v>
      </c>
      <c r="O27" s="343">
        <f t="shared" si="6"/>
        <v>5615</v>
      </c>
      <c r="P27" s="650"/>
      <c r="Q27" s="281"/>
      <c r="R27" s="397">
        <f>+IFERROR(SUMIFS('Stock CD'!D:D,C319,'Stock CD'!C:C),0)</f>
        <v>0</v>
      </c>
      <c r="S27" s="400">
        <f t="shared" si="7"/>
        <v>5615</v>
      </c>
      <c r="U27" s="397">
        <f>+IFERROR(VLOOKUP(C27,'Stock CD'!B:I,8,0),0)</f>
        <v>0</v>
      </c>
      <c r="V27" s="400">
        <f t="shared" si="8"/>
        <v>5760</v>
      </c>
      <c r="W27" s="788"/>
      <c r="X27" s="444">
        <f>+SUMIFS('Conteo 24-02'!F:F,'Conteo 24-02'!$A:$A,$C27)</f>
        <v>5</v>
      </c>
      <c r="Y27" s="304">
        <f>+SUMIFS('Conteo 24-02'!G:G,'Conteo 24-02'!$A:$A,$C27)</f>
        <v>615</v>
      </c>
      <c r="Z27" s="507">
        <v>1000</v>
      </c>
      <c r="AB27" s="424" t="s">
        <v>1466</v>
      </c>
      <c r="AC27" s="409">
        <f>IF(C27="Corb-LK",SUMIFS('Est Madre LK 10-25'!C:C,'Est Madre LK 10-25'!D:D,"si"),IF(C27="Corb-CH",SUMIFS('Est Madre CH 10-25'!C:C,'Est Madre CH 10-25'!D:D,"si"),0)+IFERROR(VLOOKUP(C27,'Est Madre LK 10-25'!$A:$C,3,),IFERROR(VLOOKUP(C27,'Est Madre CH 10-25'!$A:$C,3,),0)))</f>
        <v>1440</v>
      </c>
      <c r="AD27" s="359">
        <v>12000</v>
      </c>
      <c r="AE27" s="260">
        <v>12</v>
      </c>
      <c r="AF27" s="323">
        <v>0</v>
      </c>
      <c r="AG27" s="552" t="s">
        <v>1716</v>
      </c>
      <c r="AH27" s="260" t="s">
        <v>1213</v>
      </c>
      <c r="AI27" s="333">
        <v>4</v>
      </c>
      <c r="AK27" s="424">
        <v>100</v>
      </c>
      <c r="AL27" s="333">
        <v>0</v>
      </c>
    </row>
    <row r="28" spans="1:39" ht="18" customHeight="1" x14ac:dyDescent="0.3">
      <c r="A28" t="s">
        <v>1466</v>
      </c>
      <c r="B28" s="607">
        <v>1261700</v>
      </c>
      <c r="C28" s="302">
        <v>521</v>
      </c>
      <c r="D28" s="128" t="str">
        <f>+VLOOKUP(C28,'Conteo 24-02'!$A$8:$D$246,4,0)</f>
        <v>E1A</v>
      </c>
      <c r="E28" s="320" t="s">
        <v>746</v>
      </c>
      <c r="F28" s="327" t="s">
        <v>803</v>
      </c>
      <c r="G28" s="499">
        <v>4000</v>
      </c>
      <c r="H28" s="470">
        <v>9</v>
      </c>
      <c r="J28" s="718">
        <f t="shared" si="2"/>
        <v>0.64527027027027029</v>
      </c>
      <c r="K28" s="735">
        <f t="shared" si="3"/>
        <v>0.64527027027027029</v>
      </c>
      <c r="M28" s="649">
        <f t="shared" si="4"/>
        <v>3150</v>
      </c>
      <c r="N28" s="480">
        <f t="shared" si="5"/>
        <v>8880</v>
      </c>
      <c r="O28" s="343">
        <f t="shared" si="6"/>
        <v>5730</v>
      </c>
      <c r="P28" s="650"/>
      <c r="Q28" s="281"/>
      <c r="R28" s="397">
        <f>+IFERROR(SUMIFS('Stock CD'!D:D,C320,'Stock CD'!C:C),0)</f>
        <v>0</v>
      </c>
      <c r="S28" s="400">
        <f t="shared" si="7"/>
        <v>5730</v>
      </c>
      <c r="U28" s="397">
        <f>+IFERROR(VLOOKUP(C28,'Stock CD'!B:I,8,0),0)</f>
        <v>0</v>
      </c>
      <c r="V28" s="400">
        <f t="shared" si="8"/>
        <v>8880</v>
      </c>
      <c r="W28" s="789"/>
      <c r="X28" s="444">
        <f>+SUMIFS('Conteo 24-02'!F:F,'Conteo 24-02'!$A:$A,$C28)</f>
        <v>5</v>
      </c>
      <c r="Y28" s="304">
        <f>+SUMIFS('Conteo 24-02'!G:G,'Conteo 24-02'!$A:$A,$C28)</f>
        <v>730</v>
      </c>
      <c r="Z28" s="507">
        <v>1000</v>
      </c>
      <c r="AB28" s="424" t="s">
        <v>1466</v>
      </c>
      <c r="AC28" s="409">
        <f>IF(C28="Corb-LK",SUMIFS('Est Madre LK 10-25'!C:C,'Est Madre LK 10-25'!D:D,"si"),IF(C28="Corb-CH",SUMIFS('Est Madre CH 10-25'!C:C,'Est Madre CH 10-25'!D:D,"si"),0)+IFERROR(VLOOKUP(C28,'Est Madre LK 10-25'!$A:$C,3,),IFERROR(VLOOKUP(C28,'Est Madre CH 10-25'!$A:$C,3,),0)))</f>
        <v>2220</v>
      </c>
      <c r="AD28" s="359">
        <v>12000</v>
      </c>
      <c r="AE28" s="260">
        <v>12</v>
      </c>
      <c r="AF28" s="323">
        <v>0</v>
      </c>
      <c r="AG28" s="552" t="s">
        <v>1716</v>
      </c>
      <c r="AH28" s="260" t="s">
        <v>1213</v>
      </c>
      <c r="AI28" s="333">
        <v>4</v>
      </c>
      <c r="AK28" s="424">
        <v>100</v>
      </c>
      <c r="AL28" s="333">
        <v>0</v>
      </c>
    </row>
    <row r="29" spans="1:39" ht="18" customHeight="1" x14ac:dyDescent="0.3">
      <c r="A29" t="s">
        <v>1466</v>
      </c>
      <c r="B29" s="607">
        <v>1261700</v>
      </c>
      <c r="C29" s="302">
        <v>523</v>
      </c>
      <c r="D29" s="128" t="str">
        <f>+VLOOKUP(C29,'Conteo 24-02'!$A$8:$D$246,4,0)</f>
        <v>E4A</v>
      </c>
      <c r="E29" s="320" t="s">
        <v>746</v>
      </c>
      <c r="F29" s="327" t="s">
        <v>1323</v>
      </c>
      <c r="G29" s="499">
        <v>4000</v>
      </c>
      <c r="H29" s="470">
        <v>8</v>
      </c>
      <c r="J29" s="718">
        <f t="shared" si="2"/>
        <v>0.52083333333333337</v>
      </c>
      <c r="K29" s="735">
        <f t="shared" si="3"/>
        <v>0.52083333333333337</v>
      </c>
      <c r="M29" s="649">
        <f t="shared" si="4"/>
        <v>4600</v>
      </c>
      <c r="N29" s="480">
        <f t="shared" si="5"/>
        <v>9600</v>
      </c>
      <c r="O29" s="343">
        <f t="shared" si="6"/>
        <v>5000</v>
      </c>
      <c r="P29" s="650"/>
      <c r="Q29" s="281"/>
      <c r="R29" s="397">
        <f>+IFERROR(SUMIFS('Stock CD'!D:D,C321,'Stock CD'!C:C),0)</f>
        <v>0</v>
      </c>
      <c r="S29" s="400">
        <f t="shared" si="7"/>
        <v>5000</v>
      </c>
      <c r="U29" s="397">
        <f>+IFERROR(VLOOKUP(C29,'Stock CD'!B:I,8,0),0)</f>
        <v>0</v>
      </c>
      <c r="V29" s="400">
        <f t="shared" si="8"/>
        <v>9600</v>
      </c>
      <c r="W29" s="790"/>
      <c r="X29" s="444">
        <f>+SUMIFS('Conteo 24-02'!F:F,'Conteo 24-02'!$A:$A,$C29)</f>
        <v>5</v>
      </c>
      <c r="Y29" s="304">
        <f>+SUMIFS('Conteo 24-02'!G:G,'Conteo 24-02'!$A:$A,$C29)</f>
        <v>0</v>
      </c>
      <c r="Z29" s="507">
        <v>1000</v>
      </c>
      <c r="AB29" s="424" t="s">
        <v>1466</v>
      </c>
      <c r="AC29" s="409">
        <f>IF(C29="Corb-LK",SUMIFS('Est Madre LK 10-25'!C:C,'Est Madre LK 10-25'!D:D,"si"),IF(C29="Corb-CH",SUMIFS('Est Madre CH 10-25'!C:C,'Est Madre CH 10-25'!D:D,"si"),0)+IFERROR(VLOOKUP(C29,'Est Madre LK 10-25'!$A:$C,3,),IFERROR(VLOOKUP(C29,'Est Madre CH 10-25'!$A:$C,3,),0)))</f>
        <v>2400</v>
      </c>
      <c r="AD29" s="359">
        <v>12000</v>
      </c>
      <c r="AE29" s="260">
        <v>12</v>
      </c>
      <c r="AF29" s="323">
        <v>0</v>
      </c>
      <c r="AG29" s="552" t="s">
        <v>1716</v>
      </c>
      <c r="AH29" s="260" t="s">
        <v>1213</v>
      </c>
      <c r="AI29" s="333">
        <v>4</v>
      </c>
      <c r="AK29" s="424">
        <v>100</v>
      </c>
      <c r="AL29" s="333">
        <v>0</v>
      </c>
    </row>
    <row r="30" spans="1:39" ht="18" customHeight="1" x14ac:dyDescent="0.3">
      <c r="A30" t="s">
        <v>1466</v>
      </c>
      <c r="B30" s="607">
        <v>1261700</v>
      </c>
      <c r="C30" s="302">
        <v>581</v>
      </c>
      <c r="D30" s="128" t="str">
        <f>+VLOOKUP(C30,'Conteo 24-02'!$A$8:$D$246,4,0)</f>
        <v>E2B</v>
      </c>
      <c r="E30" s="320" t="s">
        <v>746</v>
      </c>
      <c r="F30" s="327" t="s">
        <v>1697</v>
      </c>
      <c r="H30" s="470"/>
      <c r="J30" s="718">
        <f t="shared" si="2"/>
        <v>1.6764322916666667</v>
      </c>
      <c r="K30" s="735">
        <f t="shared" si="3"/>
        <v>1.6764322916666667</v>
      </c>
      <c r="M30" s="649">
        <f t="shared" si="4"/>
        <v>0</v>
      </c>
      <c r="N30" s="480">
        <f t="shared" si="5"/>
        <v>3072</v>
      </c>
      <c r="O30" s="343">
        <f t="shared" si="6"/>
        <v>5150</v>
      </c>
      <c r="P30" s="650"/>
      <c r="Q30" s="281"/>
      <c r="R30" s="397">
        <f>+IFERROR(SUMIFS('Stock CD'!D:D,C322,'Stock CD'!C:C),0)</f>
        <v>0</v>
      </c>
      <c r="S30" s="400">
        <f t="shared" si="7"/>
        <v>5150</v>
      </c>
      <c r="U30" s="397">
        <f>+IFERROR(VLOOKUP(C30,'Stock CD'!B:I,8,0),0)</f>
        <v>0</v>
      </c>
      <c r="V30" s="400">
        <f t="shared" si="8"/>
        <v>3072</v>
      </c>
      <c r="W30" s="790"/>
      <c r="X30" s="444">
        <f>+SUMIFS('Conteo 24-02'!F:F,'Conteo 24-02'!$A:$A,$C30)</f>
        <v>4</v>
      </c>
      <c r="Y30" s="304">
        <f>+SUMIFS('Conteo 24-02'!G:G,'Conteo 24-02'!$A:$A,$C30)</f>
        <v>1150</v>
      </c>
      <c r="Z30" s="507">
        <v>1000</v>
      </c>
      <c r="AB30" s="424" t="s">
        <v>1466</v>
      </c>
      <c r="AC30" s="409">
        <f>IF(C30="Corb-LK",SUMIFS('Est Madre LK 10-25'!C:C,'Est Madre LK 10-25'!D:D,"si"),IF(C30="Corb-CH",SUMIFS('Est Madre CH 10-25'!C:C,'Est Madre CH 10-25'!D:D,"si"),0)+IFERROR(VLOOKUP(C30,'Est Madre LK 10-25'!$A:$C,3,),IFERROR(VLOOKUP(C30,'Est Madre CH 10-25'!$A:$C,3,),0)))</f>
        <v>768</v>
      </c>
      <c r="AD30" s="359">
        <v>12000</v>
      </c>
      <c r="AE30" s="260">
        <v>12</v>
      </c>
      <c r="AF30" s="323">
        <v>0</v>
      </c>
      <c r="AG30" s="552" t="s">
        <v>1716</v>
      </c>
      <c r="AH30" s="260" t="s">
        <v>1213</v>
      </c>
      <c r="AI30" s="333">
        <v>4</v>
      </c>
      <c r="AK30" s="424">
        <v>100</v>
      </c>
      <c r="AL30" s="333">
        <v>0</v>
      </c>
    </row>
    <row r="31" spans="1:39" s="208" customFormat="1" ht="16.149999999999999" customHeight="1" x14ac:dyDescent="0.3">
      <c r="A31" t="s">
        <v>1466</v>
      </c>
      <c r="B31" s="607">
        <v>1261700</v>
      </c>
      <c r="C31" s="302">
        <v>530</v>
      </c>
      <c r="D31" s="128" t="str">
        <f>+VLOOKUP(C31,'Conteo 24-02'!$A$8:$D$246,4,0)</f>
        <v>E3</v>
      </c>
      <c r="E31" s="320" t="s">
        <v>746</v>
      </c>
      <c r="F31" s="327" t="s">
        <v>1223</v>
      </c>
      <c r="G31" s="499">
        <v>6000</v>
      </c>
      <c r="H31" s="470">
        <v>7</v>
      </c>
      <c r="I31"/>
      <c r="J31" s="718">
        <f t="shared" si="2"/>
        <v>0.63541666666666663</v>
      </c>
      <c r="K31" s="735">
        <f t="shared" si="3"/>
        <v>0.63541666666666663</v>
      </c>
      <c r="L31"/>
      <c r="M31" s="649">
        <f t="shared" si="4"/>
        <v>5250</v>
      </c>
      <c r="N31" s="480">
        <f t="shared" si="5"/>
        <v>14400</v>
      </c>
      <c r="O31" s="343">
        <f t="shared" si="6"/>
        <v>9150</v>
      </c>
      <c r="P31" s="650"/>
      <c r="Q31" s="281"/>
      <c r="R31" s="397">
        <f>+IFERROR(SUMIFS('Stock CD'!D:D,C323,'Stock CD'!C:C),0)</f>
        <v>0</v>
      </c>
      <c r="S31" s="400">
        <f t="shared" si="7"/>
        <v>9150</v>
      </c>
      <c r="T31"/>
      <c r="U31" s="397">
        <f>+IFERROR(VLOOKUP(C31,'Stock CD'!B:I,8,0),0)</f>
        <v>0</v>
      </c>
      <c r="V31" s="400">
        <f t="shared" si="8"/>
        <v>14400</v>
      </c>
      <c r="W31" s="790"/>
      <c r="X31" s="444">
        <f>+SUMIFS('Conteo 24-02'!F:F,'Conteo 24-02'!$A:$A,$C31)</f>
        <v>9</v>
      </c>
      <c r="Y31" s="304">
        <f>+SUMIFS('Conteo 24-02'!G:G,'Conteo 24-02'!$A:$A,$C31)</f>
        <v>150</v>
      </c>
      <c r="Z31" s="507">
        <v>1000</v>
      </c>
      <c r="AA31"/>
      <c r="AB31" s="424" t="s">
        <v>1466</v>
      </c>
      <c r="AC31" s="409">
        <f>IF(C31="Corb-LK",SUMIFS('Est Madre LK 10-25'!C:C,'Est Madre LK 10-25'!D:D,"si"),IF(C31="Corb-CH",SUMIFS('Est Madre CH 10-25'!C:C,'Est Madre CH 10-25'!D:D,"si"),0)+IFERROR(VLOOKUP(C31,'Est Madre LK 10-25'!$A:$C,3,),IFERROR(VLOOKUP(C31,'Est Madre CH 10-25'!$A:$C,3,),0)))</f>
        <v>3600</v>
      </c>
      <c r="AD31" s="359">
        <v>12000</v>
      </c>
      <c r="AE31" s="260">
        <v>12</v>
      </c>
      <c r="AF31" s="323">
        <v>0</v>
      </c>
      <c r="AG31" s="552" t="s">
        <v>1716</v>
      </c>
      <c r="AH31" s="260" t="s">
        <v>1213</v>
      </c>
      <c r="AI31" s="333">
        <v>4</v>
      </c>
      <c r="AJ31"/>
      <c r="AK31" s="424">
        <v>100</v>
      </c>
      <c r="AL31" s="333">
        <v>0</v>
      </c>
    </row>
    <row r="32" spans="1:39" ht="18" customHeight="1" thickBot="1" x14ac:dyDescent="0.35">
      <c r="A32" t="s">
        <v>1466</v>
      </c>
      <c r="B32" s="609">
        <v>1261700</v>
      </c>
      <c r="C32" s="298">
        <v>520</v>
      </c>
      <c r="D32" s="130" t="str">
        <f>+VLOOKUP(C32,'Conteo 24-02'!$A$8:$D$246,4,0)</f>
        <v>E2A</v>
      </c>
      <c r="E32" s="322" t="s">
        <v>746</v>
      </c>
      <c r="F32" s="355" t="s">
        <v>802</v>
      </c>
      <c r="G32" s="580">
        <v>10000</v>
      </c>
      <c r="H32" s="471">
        <v>6</v>
      </c>
      <c r="J32" s="719">
        <f t="shared" si="2"/>
        <v>0.34639423076923076</v>
      </c>
      <c r="K32" s="736">
        <f t="shared" si="3"/>
        <v>0.34639423076923076</v>
      </c>
      <c r="M32" s="651">
        <f t="shared" si="4"/>
        <v>8157</v>
      </c>
      <c r="N32" s="481">
        <f t="shared" si="5"/>
        <v>12480</v>
      </c>
      <c r="O32" s="345">
        <f t="shared" si="6"/>
        <v>4323</v>
      </c>
      <c r="P32" s="652"/>
      <c r="Q32" s="281"/>
      <c r="R32" s="398">
        <f>+IFERROR(SUMIFS('Stock CD'!D:D,C324,'Stock CD'!C:C),0)</f>
        <v>0</v>
      </c>
      <c r="S32" s="401">
        <f t="shared" si="7"/>
        <v>4323</v>
      </c>
      <c r="U32" s="398">
        <f>+IFERROR(VLOOKUP(C32,'Stock CD'!B:I,8,0),0)</f>
        <v>0</v>
      </c>
      <c r="V32" s="401">
        <f t="shared" si="8"/>
        <v>12480</v>
      </c>
      <c r="W32" s="542"/>
      <c r="X32" s="445">
        <f>+SUMIFS('Conteo 24-02'!F:F,'Conteo 24-02'!$A:$A,$C32)</f>
        <v>4</v>
      </c>
      <c r="Y32" s="305">
        <f>+SUMIFS('Conteo 24-02'!G:G,'Conteo 24-02'!$A:$A,$C32)</f>
        <v>323</v>
      </c>
      <c r="Z32" s="508">
        <v>1000</v>
      </c>
      <c r="AB32" s="425" t="s">
        <v>1466</v>
      </c>
      <c r="AC32" s="423">
        <f>IF(C32="Corb-LK",SUMIFS('Est Madre LK 10-25'!C:C,'Est Madre LK 10-25'!D:D,"si"),IF(C32="Corb-CH",SUMIFS('Est Madre CH 10-25'!C:C,'Est Madre CH 10-25'!D:D,"si"),0)+IFERROR(VLOOKUP(C32,'Est Madre LK 10-25'!$A:$C,3,),IFERROR(VLOOKUP(C32,'Est Madre CH 10-25'!$A:$C,3,),0)))</f>
        <v>3120</v>
      </c>
      <c r="AD32" s="361">
        <v>12000</v>
      </c>
      <c r="AE32" s="262">
        <v>12</v>
      </c>
      <c r="AF32" s="325">
        <v>0</v>
      </c>
      <c r="AG32" s="554" t="s">
        <v>1716</v>
      </c>
      <c r="AH32" s="262" t="s">
        <v>1213</v>
      </c>
      <c r="AI32" s="335">
        <v>4</v>
      </c>
      <c r="AK32" s="425">
        <v>100</v>
      </c>
      <c r="AL32" s="335">
        <v>0</v>
      </c>
    </row>
    <row r="33" spans="1:38" ht="18" customHeight="1" x14ac:dyDescent="0.3">
      <c r="B33" s="294"/>
      <c r="C33" s="294"/>
      <c r="D33" s="127"/>
      <c r="E33" s="299"/>
      <c r="F33" s="308"/>
      <c r="G33" s="578"/>
      <c r="H33" s="308"/>
      <c r="J33" s="452"/>
      <c r="K33" s="453"/>
      <c r="M33" s="611">
        <f>+SUM(M26:M32)</f>
        <v>21302</v>
      </c>
      <c r="N33" s="379"/>
      <c r="O33" s="336"/>
      <c r="P33" s="611"/>
      <c r="R33" s="454"/>
      <c r="S33" s="454"/>
      <c r="U33" s="454"/>
      <c r="V33" s="454"/>
      <c r="X33" s="307"/>
      <c r="Y33" s="307"/>
      <c r="Z33" s="384"/>
      <c r="AC33" s="382"/>
      <c r="AD33" s="384"/>
      <c r="AE33" s="127"/>
      <c r="AF33" s="348"/>
      <c r="AG33" s="550"/>
      <c r="AH33" s="127"/>
    </row>
    <row r="34" spans="1:38" ht="19.5" thickBot="1" x14ac:dyDescent="0.35">
      <c r="B34" s="294"/>
      <c r="C34" s="294"/>
      <c r="E34" s="299"/>
      <c r="F34" s="308"/>
      <c r="G34" s="578"/>
      <c r="H34" s="308"/>
      <c r="J34" s="452"/>
      <c r="K34" s="453"/>
      <c r="M34" s="611"/>
      <c r="N34" s="379"/>
      <c r="O34" s="336"/>
      <c r="P34" s="611"/>
      <c r="R34" s="454"/>
      <c r="S34" s="454"/>
      <c r="U34" s="454"/>
      <c r="V34" s="454"/>
      <c r="X34" s="307"/>
      <c r="Y34" s="307"/>
      <c r="Z34" s="384"/>
      <c r="AC34" s="382"/>
      <c r="AD34" s="384"/>
      <c r="AE34" s="127"/>
      <c r="AF34" s="348"/>
      <c r="AG34" s="550"/>
      <c r="AH34" s="127"/>
    </row>
    <row r="35" spans="1:38" s="381" customFormat="1" ht="30" customHeight="1" thickBot="1" x14ac:dyDescent="0.3">
      <c r="B35" s="966" t="s">
        <v>1798</v>
      </c>
      <c r="C35" s="967"/>
      <c r="D35" s="967"/>
      <c r="E35" s="967"/>
      <c r="F35" s="967"/>
      <c r="G35" s="967"/>
      <c r="H35" s="968"/>
      <c r="J35" s="693"/>
      <c r="K35" s="694"/>
      <c r="L35" s="506"/>
      <c r="M35" s="662"/>
      <c r="N35" s="630"/>
      <c r="O35" s="630"/>
      <c r="P35" s="662"/>
      <c r="Q35" s="506"/>
      <c r="R35" s="662"/>
      <c r="S35" s="662"/>
      <c r="T35" s="506"/>
      <c r="U35" s="662"/>
      <c r="V35" s="662"/>
      <c r="W35" s="506"/>
      <c r="X35" s="662"/>
      <c r="Y35" s="662"/>
      <c r="Z35" s="630"/>
      <c r="AA35" s="506"/>
      <c r="AB35" s="662"/>
      <c r="AC35" s="662"/>
      <c r="AD35" s="630"/>
      <c r="AE35" s="662"/>
      <c r="AF35" s="662"/>
      <c r="AG35" s="662"/>
      <c r="AH35" s="662"/>
      <c r="AI35" s="662"/>
    </row>
    <row r="36" spans="1:38" ht="18" customHeight="1" x14ac:dyDescent="0.3">
      <c r="A36" t="s">
        <v>1466</v>
      </c>
      <c r="B36" s="297">
        <v>1273700</v>
      </c>
      <c r="C36" s="432">
        <v>504</v>
      </c>
      <c r="D36" s="261" t="str">
        <f>+VLOOKUP(C36,'Conteo 24-02'!$A$8:$D$246,4,0)</f>
        <v>C3</v>
      </c>
      <c r="E36" s="321" t="s">
        <v>746</v>
      </c>
      <c r="F36" s="354" t="s">
        <v>1194</v>
      </c>
      <c r="G36" s="579">
        <v>12000</v>
      </c>
      <c r="H36" s="469">
        <v>10</v>
      </c>
      <c r="J36" s="749">
        <f>+IFERROR(O36/N36,0)</f>
        <v>0.52279874213836475</v>
      </c>
      <c r="K36" s="485">
        <f>+IFERROR(S36/V36,0)</f>
        <v>0.52279874213836475</v>
      </c>
      <c r="M36" s="658">
        <f>IF(N36-O36-P36&lt;0,0,N36-O36-P36)</f>
        <v>13354</v>
      </c>
      <c r="N36" s="376">
        <f>+IFERROR(AC36*AI36,0)</f>
        <v>27984</v>
      </c>
      <c r="O36" s="344">
        <f>+(X36*Z36)+Y36</f>
        <v>14630</v>
      </c>
      <c r="P36" s="612"/>
      <c r="R36" s="396">
        <f>+IFERROR(SUMIFS('Stock CD'!D:D,C46,'Stock CD'!C:C),0)</f>
        <v>0</v>
      </c>
      <c r="S36" s="399">
        <f>+R36+O36</f>
        <v>14630</v>
      </c>
      <c r="U36" s="396">
        <f>+IFERROR(VLOOKUP(C36,'Stock CD'!B:I,8,0),0)</f>
        <v>0</v>
      </c>
      <c r="V36" s="399">
        <f>+U36+N36</f>
        <v>27984</v>
      </c>
      <c r="X36" s="626">
        <f>+SUMIFS('Conteo 24-02'!F:F,'Conteo 24-02'!$A:$A,$C36)</f>
        <v>13</v>
      </c>
      <c r="Y36" s="303">
        <f>+SUMIFS('Conteo 24-02'!G:G,'Conteo 24-02'!$A:$A,$C36)</f>
        <v>1630</v>
      </c>
      <c r="Z36" s="524">
        <v>1000</v>
      </c>
      <c r="AB36" s="393" t="s">
        <v>1466</v>
      </c>
      <c r="AC36" s="422">
        <f>IF(C36="Corb-LK",SUMIFS('Est Madre LK 10-25'!C:C,'Est Madre LK 10-25'!D:D,"si"),IF(C36="Corb-CH",SUMIFS('Est Madre CH 10-25'!C:C,'Est Madre CH 10-25'!D:D,"si"),0)+IFERROR(VLOOKUP(C36,'Est Madre LK 10-25'!$A:$C,3,),IFERROR(VLOOKUP(C36,'Est Madre CH 10-25'!$A:$C,3,),0)))</f>
        <v>6996</v>
      </c>
      <c r="AD36" s="358">
        <v>12000</v>
      </c>
      <c r="AE36" s="261">
        <v>12</v>
      </c>
      <c r="AF36" s="324">
        <v>0</v>
      </c>
      <c r="AG36" s="551" t="s">
        <v>1716</v>
      </c>
      <c r="AH36" s="261" t="s">
        <v>1213</v>
      </c>
      <c r="AI36" s="331">
        <v>4</v>
      </c>
      <c r="AK36" s="393">
        <v>100</v>
      </c>
      <c r="AL36" s="331">
        <v>0</v>
      </c>
    </row>
    <row r="37" spans="1:38" ht="18" customHeight="1" x14ac:dyDescent="0.3">
      <c r="A37" t="s">
        <v>1466</v>
      </c>
      <c r="B37" s="302">
        <v>1269700</v>
      </c>
      <c r="C37" s="433">
        <v>511</v>
      </c>
      <c r="D37" s="260" t="str">
        <f>+VLOOKUP(C37,'Conteo 24-02'!$A$8:$D$246,4,0)</f>
        <v>G3D</v>
      </c>
      <c r="E37" s="320" t="s">
        <v>746</v>
      </c>
      <c r="F37" s="327" t="s">
        <v>1718</v>
      </c>
      <c r="G37" s="499"/>
      <c r="H37" s="470"/>
      <c r="J37" s="751">
        <f t="shared" ref="J37:J63" si="9">+IFERROR(O37/N37,0)</f>
        <v>1.0330578512396693</v>
      </c>
      <c r="K37" s="478">
        <f t="shared" ref="K37:K63" si="10">+IFERROR(S37/V37,0)</f>
        <v>1.0330578512396693</v>
      </c>
      <c r="M37" s="726">
        <f t="shared" ref="M37:M63" si="11">IF(N37-O37-P37&lt;0,0,N37-O37-P37)</f>
        <v>0</v>
      </c>
      <c r="N37" s="377">
        <f t="shared" ref="N37:N63" si="12">+IFERROR(AC37*AI37,0)</f>
        <v>1936</v>
      </c>
      <c r="O37" s="343">
        <f t="shared" ref="O37:O63" si="13">+(X37*Z37)+Y37</f>
        <v>2000</v>
      </c>
      <c r="P37" s="613"/>
      <c r="R37" s="397">
        <f>+IFERROR(SUMIFS('Stock CD'!D:D,C307,'Stock CD'!C:C),0)</f>
        <v>0</v>
      </c>
      <c r="S37" s="400">
        <f t="shared" ref="S37:S63" si="14">+R37+O37</f>
        <v>2000</v>
      </c>
      <c r="U37" s="397">
        <f>+IFERROR(VLOOKUP(C37,'Stock CD'!B:I,8,0),0)</f>
        <v>0</v>
      </c>
      <c r="V37" s="400">
        <f t="shared" ref="V37:V63" si="15">+U37+N37</f>
        <v>1936</v>
      </c>
      <c r="X37" s="444">
        <f>+SUMIFS('Conteo 24-02'!F:F,'Conteo 24-02'!$A:$A,$C37)</f>
        <v>2</v>
      </c>
      <c r="Y37" s="304">
        <f>+SUMIFS('Conteo 24-02'!G:G,'Conteo 24-02'!$A:$A,$C37)</f>
        <v>0</v>
      </c>
      <c r="Z37" s="507">
        <v>1000</v>
      </c>
      <c r="AB37" s="424" t="s">
        <v>1466</v>
      </c>
      <c r="AC37" s="409">
        <f>IF(C37="Corb-LK",SUMIFS('Est Madre LK 10-25'!C:C,'Est Madre LK 10-25'!D:D,"si"),IF(C37="Corb-CH",SUMIFS('Est Madre CH 10-25'!C:C,'Est Madre CH 10-25'!D:D,"si"),0)+IFERROR(VLOOKUP(C37,'Est Madre LK 10-25'!$A:$C,3,),IFERROR(VLOOKUP(C37,'Est Madre CH 10-25'!$A:$C,3,),0)))</f>
        <v>484</v>
      </c>
      <c r="AD37" s="359">
        <v>12000</v>
      </c>
      <c r="AE37" s="260">
        <v>12</v>
      </c>
      <c r="AF37" s="323">
        <v>0</v>
      </c>
      <c r="AG37" s="552" t="s">
        <v>1716</v>
      </c>
      <c r="AH37" s="260" t="s">
        <v>1213</v>
      </c>
      <c r="AI37" s="333">
        <v>4</v>
      </c>
      <c r="AK37" s="424">
        <v>100</v>
      </c>
      <c r="AL37" s="333">
        <v>0</v>
      </c>
    </row>
    <row r="38" spans="1:38" ht="18" customHeight="1" x14ac:dyDescent="0.3">
      <c r="A38" t="s">
        <v>1466</v>
      </c>
      <c r="B38" s="414">
        <v>1206700</v>
      </c>
      <c r="C38" s="433">
        <v>58</v>
      </c>
      <c r="D38" s="260" t="str">
        <f>+VLOOKUP(C38,'Conteo 24-02'!$A$8:$D$246,4,0)</f>
        <v>G5C</v>
      </c>
      <c r="E38" s="320" t="s">
        <v>746</v>
      </c>
      <c r="F38" s="327" t="s">
        <v>1360</v>
      </c>
      <c r="G38" s="499"/>
      <c r="H38" s="470"/>
      <c r="J38" s="751">
        <f t="shared" si="9"/>
        <v>0.80128205128205132</v>
      </c>
      <c r="K38" s="478">
        <f t="shared" si="10"/>
        <v>0.80128205128205132</v>
      </c>
      <c r="M38" s="726">
        <f t="shared" si="11"/>
        <v>248</v>
      </c>
      <c r="N38" s="377">
        <f t="shared" si="12"/>
        <v>1248</v>
      </c>
      <c r="O38" s="343">
        <f t="shared" si="13"/>
        <v>1000</v>
      </c>
      <c r="P38" s="613"/>
      <c r="R38" s="397">
        <f>+IFERROR(SUMIFS('Stock CD'!D:D,C309,'Stock CD'!C:C),0)</f>
        <v>0</v>
      </c>
      <c r="S38" s="400">
        <f t="shared" si="14"/>
        <v>1000</v>
      </c>
      <c r="U38" s="397">
        <f>+IFERROR(VLOOKUP(C38,'Stock CD'!B:I,8,0),0)</f>
        <v>0</v>
      </c>
      <c r="V38" s="400">
        <f t="shared" si="15"/>
        <v>1248</v>
      </c>
      <c r="X38" s="444">
        <f>+SUMIFS('Conteo 24-02'!F:F,'Conteo 24-02'!$A:$A,$C38)</f>
        <v>1</v>
      </c>
      <c r="Y38" s="304">
        <f>+SUMIFS('Conteo 24-02'!G:G,'Conteo 24-02'!$A:$A,$C38)</f>
        <v>0</v>
      </c>
      <c r="Z38" s="507">
        <v>1000</v>
      </c>
      <c r="AB38" s="424" t="s">
        <v>1466</v>
      </c>
      <c r="AC38" s="409">
        <f>IF(C38="Corb-LK",SUMIFS('Est Madre LK 10-25'!C:C,'Est Madre LK 10-25'!D:D,"si"),IF(C38="Corb-CH",SUMIFS('Est Madre CH 10-25'!C:C,'Est Madre CH 10-25'!D:D,"si"),0)+IFERROR(VLOOKUP(C38,'Est Madre LK 10-25'!$A:$C,3,),IFERROR(VLOOKUP(C38,'Est Madre CH 10-25'!$A:$C,3,),0)))</f>
        <v>312</v>
      </c>
      <c r="AD38" s="359">
        <v>12000</v>
      </c>
      <c r="AE38" s="260">
        <v>12</v>
      </c>
      <c r="AF38" s="323">
        <v>68.570279999999997</v>
      </c>
      <c r="AG38" s="552" t="s">
        <v>1716</v>
      </c>
      <c r="AH38" s="260" t="s">
        <v>1213</v>
      </c>
      <c r="AI38" s="333">
        <v>4</v>
      </c>
      <c r="AK38" s="424">
        <v>100</v>
      </c>
      <c r="AL38" s="333">
        <v>0</v>
      </c>
    </row>
    <row r="39" spans="1:38" ht="18" customHeight="1" x14ac:dyDescent="0.3">
      <c r="A39" t="s">
        <v>1466</v>
      </c>
      <c r="B39" s="414">
        <v>1206700</v>
      </c>
      <c r="C39" s="433">
        <v>547</v>
      </c>
      <c r="D39" s="260" t="str">
        <f>+VLOOKUP(C39,'Conteo 24-02'!$A$8:$D$246,4,0)</f>
        <v>G7D</v>
      </c>
      <c r="E39" s="320" t="s">
        <v>746</v>
      </c>
      <c r="F39" s="327" t="s">
        <v>1188</v>
      </c>
      <c r="G39" s="499"/>
      <c r="H39" s="470"/>
      <c r="J39" s="751">
        <f t="shared" si="9"/>
        <v>0</v>
      </c>
      <c r="K39" s="478">
        <f t="shared" si="10"/>
        <v>0</v>
      </c>
      <c r="M39" s="726">
        <f t="shared" si="11"/>
        <v>96</v>
      </c>
      <c r="N39" s="377">
        <f t="shared" si="12"/>
        <v>96</v>
      </c>
      <c r="O39" s="343">
        <f t="shared" si="13"/>
        <v>0</v>
      </c>
      <c r="P39" s="613"/>
      <c r="R39" s="397">
        <f>+IFERROR(SUMIFS('Stock CD'!D:D,C310,'Stock CD'!C:C),0)</f>
        <v>0</v>
      </c>
      <c r="S39" s="400">
        <f t="shared" si="14"/>
        <v>0</v>
      </c>
      <c r="U39" s="397">
        <f>+IFERROR(VLOOKUP(C39,'Stock CD'!B:I,8,0),0)</f>
        <v>0</v>
      </c>
      <c r="V39" s="400">
        <f t="shared" si="15"/>
        <v>96</v>
      </c>
      <c r="X39" s="444">
        <f>+SUMIFS('Conteo 24-02'!F:F,'Conteo 24-02'!$A:$A,$C39)</f>
        <v>0</v>
      </c>
      <c r="Y39" s="304">
        <f>+SUMIFS('Conteo 24-02'!G:G,'Conteo 24-02'!$A:$A,$C39)</f>
        <v>0</v>
      </c>
      <c r="Z39" s="507">
        <v>500</v>
      </c>
      <c r="AB39" s="424" t="s">
        <v>1466</v>
      </c>
      <c r="AC39" s="409">
        <f>IF(C39="Corb-LK",SUMIFS('Est Madre LK 10-25'!C:C,'Est Madre LK 10-25'!D:D,"si"),IF(C39="Corb-CH",SUMIFS('Est Madre CH 10-25'!C:C,'Est Madre CH 10-25'!D:D,"si"),0)+IFERROR(VLOOKUP(C39,'Est Madre LK 10-25'!$A:$C,3,),IFERROR(VLOOKUP(C39,'Est Madre CH 10-25'!$A:$C,3,),0)))</f>
        <v>24</v>
      </c>
      <c r="AD39" s="359">
        <v>12000</v>
      </c>
      <c r="AE39" s="260">
        <v>12</v>
      </c>
      <c r="AF39" s="323">
        <v>68.570279999999997</v>
      </c>
      <c r="AG39" s="552" t="s">
        <v>1716</v>
      </c>
      <c r="AH39" s="260" t="s">
        <v>1213</v>
      </c>
      <c r="AI39" s="333">
        <v>4</v>
      </c>
      <c r="AK39" s="424">
        <v>100</v>
      </c>
      <c r="AL39" s="333">
        <v>0</v>
      </c>
    </row>
    <row r="40" spans="1:38" ht="18" customHeight="1" x14ac:dyDescent="0.3">
      <c r="A40" t="s">
        <v>1466</v>
      </c>
      <c r="B40" s="302">
        <v>1263700</v>
      </c>
      <c r="C40" s="433">
        <v>532</v>
      </c>
      <c r="D40" s="260" t="str">
        <f>+VLOOKUP(C40,'Conteo 24-02'!$A$8:$D$246,4,0)</f>
        <v>G2B</v>
      </c>
      <c r="E40" s="320" t="s">
        <v>746</v>
      </c>
      <c r="F40" s="327" t="s">
        <v>1182</v>
      </c>
      <c r="G40" s="499">
        <v>1000</v>
      </c>
      <c r="H40" s="470">
        <v>11</v>
      </c>
      <c r="J40" s="751">
        <f t="shared" si="9"/>
        <v>0.60096153846153844</v>
      </c>
      <c r="K40" s="478">
        <f t="shared" si="10"/>
        <v>0.60096153846153844</v>
      </c>
      <c r="M40" s="726">
        <f t="shared" si="11"/>
        <v>498</v>
      </c>
      <c r="N40" s="377">
        <f t="shared" si="12"/>
        <v>1248</v>
      </c>
      <c r="O40" s="343">
        <f t="shared" si="13"/>
        <v>750</v>
      </c>
      <c r="P40" s="613"/>
      <c r="R40" s="397">
        <f>+IFERROR(SUMIFS('Stock CD'!D:D,C312,'Stock CD'!C:C),0)</f>
        <v>0</v>
      </c>
      <c r="S40" s="400">
        <f t="shared" si="14"/>
        <v>750</v>
      </c>
      <c r="U40" s="397">
        <f>+IFERROR(VLOOKUP(C40,'Stock CD'!B:I,8,0),0)</f>
        <v>0</v>
      </c>
      <c r="V40" s="400">
        <f t="shared" si="15"/>
        <v>1248</v>
      </c>
      <c r="X40" s="444">
        <f>+SUMIFS('Conteo 24-02'!F:F,'Conteo 24-02'!$A:$A,$C40)</f>
        <v>0</v>
      </c>
      <c r="Y40" s="304">
        <f>+SUMIFS('Conteo 24-02'!G:G,'Conteo 24-02'!$A:$A,$C40)</f>
        <v>750</v>
      </c>
      <c r="Z40" s="507">
        <v>1000</v>
      </c>
      <c r="AB40" s="424" t="s">
        <v>1466</v>
      </c>
      <c r="AC40" s="409">
        <f>IF(C40="Corb-LK",SUMIFS('Est Madre LK 10-25'!C:C,'Est Madre LK 10-25'!D:D,"si"),IF(C40="Corb-CH",SUMIFS('Est Madre CH 10-25'!C:C,'Est Madre CH 10-25'!D:D,"si"),0)+IFERROR(VLOOKUP(C40,'Est Madre LK 10-25'!$A:$C,3,),IFERROR(VLOOKUP(C40,'Est Madre CH 10-25'!$A:$C,3,),0)))</f>
        <v>312</v>
      </c>
      <c r="AD40" s="359">
        <v>12000</v>
      </c>
      <c r="AE40" s="260">
        <v>12</v>
      </c>
      <c r="AF40" s="323">
        <v>0</v>
      </c>
      <c r="AG40" s="552" t="s">
        <v>1716</v>
      </c>
      <c r="AH40" s="260" t="s">
        <v>1213</v>
      </c>
      <c r="AI40" s="333">
        <v>4</v>
      </c>
      <c r="AK40" s="424">
        <v>100</v>
      </c>
      <c r="AL40" s="333">
        <v>0</v>
      </c>
    </row>
    <row r="41" spans="1:38" ht="18" customHeight="1" x14ac:dyDescent="0.3">
      <c r="A41" t="s">
        <v>1466</v>
      </c>
      <c r="B41" s="414">
        <v>1281700</v>
      </c>
      <c r="C41" s="433">
        <v>551</v>
      </c>
      <c r="D41" s="260" t="str">
        <f>+VLOOKUP(C41,'Conteo 24-02'!$A$8:$D$246,4,0)</f>
        <v>G8A</v>
      </c>
      <c r="E41" s="320" t="s">
        <v>746</v>
      </c>
      <c r="F41" s="327" t="s">
        <v>1704</v>
      </c>
      <c r="G41" s="499">
        <v>1000</v>
      </c>
      <c r="H41" s="470">
        <v>12</v>
      </c>
      <c r="J41" s="751">
        <f t="shared" si="9"/>
        <v>0.61431623931623935</v>
      </c>
      <c r="K41" s="478">
        <f t="shared" si="10"/>
        <v>0.61431623931623935</v>
      </c>
      <c r="M41" s="726">
        <f t="shared" si="11"/>
        <v>722</v>
      </c>
      <c r="N41" s="377">
        <f t="shared" si="12"/>
        <v>1872</v>
      </c>
      <c r="O41" s="343">
        <f t="shared" si="13"/>
        <v>1150</v>
      </c>
      <c r="P41" s="613"/>
      <c r="R41" s="397">
        <f>+IFERROR(SUMIFS('Stock CD'!D:D,C315,'Stock CD'!C:C),0)</f>
        <v>0</v>
      </c>
      <c r="S41" s="400">
        <f t="shared" si="14"/>
        <v>1150</v>
      </c>
      <c r="U41" s="397">
        <f>+IFERROR(VLOOKUP(C41,'Stock CD'!B:I,8,0),0)</f>
        <v>0</v>
      </c>
      <c r="V41" s="400">
        <f t="shared" si="15"/>
        <v>1872</v>
      </c>
      <c r="X41" s="444">
        <f>+SUMIFS('Conteo 24-02'!F:F,'Conteo 24-02'!$A:$A,$C41)</f>
        <v>1</v>
      </c>
      <c r="Y41" s="304">
        <f>+SUMIFS('Conteo 24-02'!G:G,'Conteo 24-02'!$A:$A,$C41)</f>
        <v>150</v>
      </c>
      <c r="Z41" s="507">
        <v>1000</v>
      </c>
      <c r="AB41" s="424" t="s">
        <v>1466</v>
      </c>
      <c r="AC41" s="409">
        <f>IF(C41="Corb-LK",SUMIFS('Est Madre LK 10-25'!C:C,'Est Madre LK 10-25'!D:D,"si"),IF(C41="Corb-CH",SUMIFS('Est Madre CH 10-25'!C:C,'Est Madre CH 10-25'!D:D,"si"),0)+IFERROR(VLOOKUP(C41,'Est Madre LK 10-25'!$A:$C,3,),IFERROR(VLOOKUP(C41,'Est Madre CH 10-25'!$A:$C,3,),0)))</f>
        <v>468</v>
      </c>
      <c r="AD41" s="359">
        <v>12000</v>
      </c>
      <c r="AE41" s="260">
        <v>10</v>
      </c>
      <c r="AF41" s="323">
        <v>68.570279999999997</v>
      </c>
      <c r="AG41" s="552" t="s">
        <v>1716</v>
      </c>
      <c r="AH41" s="260" t="s">
        <v>1213</v>
      </c>
      <c r="AI41" s="333">
        <v>4</v>
      </c>
      <c r="AK41" s="424">
        <v>100</v>
      </c>
      <c r="AL41" s="333">
        <v>0</v>
      </c>
    </row>
    <row r="42" spans="1:38" ht="18" customHeight="1" x14ac:dyDescent="0.3">
      <c r="A42" t="s">
        <v>1466</v>
      </c>
      <c r="B42" s="302">
        <v>1281700</v>
      </c>
      <c r="C42" s="433">
        <v>519</v>
      </c>
      <c r="D42" s="260" t="str">
        <f>+VLOOKUP(C42,'Conteo 24-02'!$A$8:$D$246,4,0)</f>
        <v>G5E</v>
      </c>
      <c r="E42" s="320" t="s">
        <v>746</v>
      </c>
      <c r="F42" s="327" t="s">
        <v>1703</v>
      </c>
      <c r="G42" s="499"/>
      <c r="H42" s="470"/>
      <c r="J42" s="751">
        <f t="shared" si="9"/>
        <v>0.94166666666666665</v>
      </c>
      <c r="K42" s="478">
        <f t="shared" si="10"/>
        <v>0.94166666666666665</v>
      </c>
      <c r="M42" s="726">
        <f t="shared" si="11"/>
        <v>140</v>
      </c>
      <c r="N42" s="377">
        <f t="shared" si="12"/>
        <v>2400</v>
      </c>
      <c r="O42" s="343">
        <f t="shared" si="13"/>
        <v>2260</v>
      </c>
      <c r="P42" s="613"/>
      <c r="R42" s="397">
        <f>+IFERROR(SUMIFS('Stock CD'!D:D,C316,'Stock CD'!C:C),0)</f>
        <v>0</v>
      </c>
      <c r="S42" s="400">
        <f t="shared" si="14"/>
        <v>2260</v>
      </c>
      <c r="U42" s="397">
        <f>+IFERROR(VLOOKUP(C42,'Stock CD'!B:I,8,0),0)</f>
        <v>0</v>
      </c>
      <c r="V42" s="400">
        <f t="shared" si="15"/>
        <v>2400</v>
      </c>
      <c r="X42" s="444">
        <f>+SUMIFS('Conteo 24-02'!F:F,'Conteo 24-02'!$A:$A,$C42)</f>
        <v>2</v>
      </c>
      <c r="Y42" s="304">
        <f>+SUMIFS('Conteo 24-02'!G:G,'Conteo 24-02'!$A:$A,$C42)</f>
        <v>260</v>
      </c>
      <c r="Z42" s="507">
        <v>1000</v>
      </c>
      <c r="AB42" s="424" t="s">
        <v>1466</v>
      </c>
      <c r="AC42" s="409">
        <f>IF(C42="Corb-LK",SUMIFS('Est Madre LK 10-25'!C:C,'Est Madre LK 10-25'!D:D,"si"),IF(C42="Corb-CH",SUMIFS('Est Madre CH 10-25'!C:C,'Est Madre CH 10-25'!D:D,"si"),0)+IFERROR(VLOOKUP(C42,'Est Madre LK 10-25'!$A:$C,3,),IFERROR(VLOOKUP(C42,'Est Madre CH 10-25'!$A:$C,3,),0)))</f>
        <v>600</v>
      </c>
      <c r="AD42" s="359">
        <v>12000</v>
      </c>
      <c r="AE42" s="260">
        <v>10</v>
      </c>
      <c r="AF42" s="323">
        <v>68.570279999999997</v>
      </c>
      <c r="AG42" s="552" t="s">
        <v>1716</v>
      </c>
      <c r="AH42" s="260" t="s">
        <v>1213</v>
      </c>
      <c r="AI42" s="333">
        <v>4</v>
      </c>
      <c r="AK42" s="424">
        <v>100</v>
      </c>
      <c r="AL42" s="333">
        <v>0</v>
      </c>
    </row>
    <row r="43" spans="1:38" ht="18" customHeight="1" x14ac:dyDescent="0.3">
      <c r="A43" t="s">
        <v>1466</v>
      </c>
      <c r="B43" s="414">
        <v>1206700</v>
      </c>
      <c r="C43" s="433">
        <v>395</v>
      </c>
      <c r="D43" s="260" t="str">
        <f>+VLOOKUP(C43,'Conteo 24-02'!$A$8:$D$246,4,0)</f>
        <v>G1C</v>
      </c>
      <c r="E43" s="320" t="s">
        <v>746</v>
      </c>
      <c r="F43" s="327" t="s">
        <v>786</v>
      </c>
      <c r="G43" s="499"/>
      <c r="H43" s="470"/>
      <c r="J43" s="751">
        <f t="shared" si="9"/>
        <v>0.83333333333333337</v>
      </c>
      <c r="K43" s="478">
        <f t="shared" si="10"/>
        <v>0.83333333333333337</v>
      </c>
      <c r="M43" s="726">
        <f t="shared" si="11"/>
        <v>400</v>
      </c>
      <c r="N43" s="377">
        <f t="shared" si="12"/>
        <v>2400</v>
      </c>
      <c r="O43" s="343">
        <f t="shared" si="13"/>
        <v>2000</v>
      </c>
      <c r="P43" s="613"/>
      <c r="R43" s="397">
        <f>+IFERROR(SUMIFS('Stock CD'!D:D,C314,'Stock CD'!C:C),0)</f>
        <v>0</v>
      </c>
      <c r="S43" s="400">
        <f t="shared" si="14"/>
        <v>2000</v>
      </c>
      <c r="U43" s="397">
        <f>+IFERROR(VLOOKUP(C43,'Stock CD'!B:I,8,0),0)</f>
        <v>0</v>
      </c>
      <c r="V43" s="400">
        <f t="shared" si="15"/>
        <v>2400</v>
      </c>
      <c r="X43" s="444">
        <f>+SUMIFS('Conteo 24-02'!F:F,'Conteo 24-02'!$A:$A,$C43)</f>
        <v>1</v>
      </c>
      <c r="Y43" s="304">
        <f>+SUMIFS('Conteo 24-02'!G:G,'Conteo 24-02'!$A:$A,$C43)</f>
        <v>1000</v>
      </c>
      <c r="Z43" s="507">
        <v>1000</v>
      </c>
      <c r="AB43" s="424" t="s">
        <v>1466</v>
      </c>
      <c r="AC43" s="409">
        <f>IF(C43="Corb-LK",SUMIFS('Est Madre LK 10-25'!C:C,'Est Madre LK 10-25'!D:D,"si"),IF(C43="Corb-CH",SUMIFS('Est Madre CH 10-25'!C:C,'Est Madre CH 10-25'!D:D,"si"),0)+IFERROR(VLOOKUP(C43,'Est Madre LK 10-25'!$A:$C,3,),IFERROR(VLOOKUP(C43,'Est Madre CH 10-25'!$A:$C,3,),0)))</f>
        <v>600</v>
      </c>
      <c r="AD43" s="359">
        <v>12000</v>
      </c>
      <c r="AE43" s="260">
        <v>12</v>
      </c>
      <c r="AF43" s="323">
        <v>68.570279999999997</v>
      </c>
      <c r="AG43" s="552" t="s">
        <v>1716</v>
      </c>
      <c r="AH43" s="260" t="s">
        <v>1213</v>
      </c>
      <c r="AI43" s="333">
        <v>4</v>
      </c>
      <c r="AK43" s="424">
        <v>100</v>
      </c>
      <c r="AL43" s="333">
        <v>0</v>
      </c>
    </row>
    <row r="44" spans="1:38" ht="18" customHeight="1" x14ac:dyDescent="0.3">
      <c r="A44" t="s">
        <v>1466</v>
      </c>
      <c r="B44" s="414">
        <v>1206700</v>
      </c>
      <c r="C44" s="433">
        <v>57</v>
      </c>
      <c r="D44" s="260" t="str">
        <f>+VLOOKUP(C44,'Conteo 24-02'!$A$8:$D$246,4,0)</f>
        <v>G7A</v>
      </c>
      <c r="E44" s="320" t="s">
        <v>746</v>
      </c>
      <c r="F44" s="327" t="s">
        <v>1705</v>
      </c>
      <c r="G44" s="499">
        <v>2000</v>
      </c>
      <c r="H44" s="470">
        <v>13</v>
      </c>
      <c r="J44" s="751">
        <f t="shared" si="9"/>
        <v>0.62163978494623651</v>
      </c>
      <c r="K44" s="478">
        <f t="shared" si="10"/>
        <v>0.62163978494623651</v>
      </c>
      <c r="M44" s="726">
        <f t="shared" si="11"/>
        <v>1126</v>
      </c>
      <c r="N44" s="377">
        <f t="shared" si="12"/>
        <v>2976</v>
      </c>
      <c r="O44" s="343">
        <f t="shared" si="13"/>
        <v>1850</v>
      </c>
      <c r="P44" s="613"/>
      <c r="R44" s="397">
        <f>+IFERROR(SUMIFS('Stock CD'!D:D,C315,'Stock CD'!C:C),0)</f>
        <v>0</v>
      </c>
      <c r="S44" s="400">
        <f t="shared" si="14"/>
        <v>1850</v>
      </c>
      <c r="U44" s="397">
        <f>+IFERROR(VLOOKUP(C44,'Stock CD'!B:I,8,0),0)</f>
        <v>0</v>
      </c>
      <c r="V44" s="400">
        <f t="shared" si="15"/>
        <v>2976</v>
      </c>
      <c r="X44" s="444">
        <f>+SUMIFS('Conteo 24-02'!F:F,'Conteo 24-02'!$A:$A,$C44)</f>
        <v>1</v>
      </c>
      <c r="Y44" s="304">
        <f>+SUMIFS('Conteo 24-02'!G:G,'Conteo 24-02'!$A:$A,$C44)</f>
        <v>850</v>
      </c>
      <c r="Z44" s="507">
        <v>1000</v>
      </c>
      <c r="AB44" s="424" t="s">
        <v>1466</v>
      </c>
      <c r="AC44" s="409">
        <f>IF(C44="Corb-LK",SUMIFS('Est Madre LK 10-25'!C:C,'Est Madre LK 10-25'!D:D,"si"),IF(C44="Corb-CH",SUMIFS('Est Madre CH 10-25'!C:C,'Est Madre CH 10-25'!D:D,"si"),0)+IFERROR(VLOOKUP(C44,'Est Madre LK 10-25'!$A:$C,3,),IFERROR(VLOOKUP(C44,'Est Madre CH 10-25'!$A:$C,3,),0)))</f>
        <v>744</v>
      </c>
      <c r="AD44" s="359">
        <v>12000</v>
      </c>
      <c r="AE44" s="260">
        <v>12</v>
      </c>
      <c r="AF44" s="323">
        <v>68.570279999999997</v>
      </c>
      <c r="AG44" s="552" t="s">
        <v>1716</v>
      </c>
      <c r="AH44" s="260" t="s">
        <v>1213</v>
      </c>
      <c r="AI44" s="333">
        <v>4</v>
      </c>
      <c r="AK44" s="424">
        <v>100</v>
      </c>
      <c r="AL44" s="333">
        <v>0</v>
      </c>
    </row>
    <row r="45" spans="1:38" ht="18" customHeight="1" x14ac:dyDescent="0.3">
      <c r="A45" t="s">
        <v>1466</v>
      </c>
      <c r="B45" s="302">
        <v>2374700</v>
      </c>
      <c r="C45" s="433">
        <v>550</v>
      </c>
      <c r="D45" s="260" t="str">
        <f>+VLOOKUP(C45,'Conteo 24-02'!$A$8:$D$246,4,0)</f>
        <v>G6B</v>
      </c>
      <c r="E45" s="320" t="s">
        <v>746</v>
      </c>
      <c r="F45" s="327" t="s">
        <v>1317</v>
      </c>
      <c r="G45" s="499">
        <v>2000</v>
      </c>
      <c r="H45" s="470">
        <v>14</v>
      </c>
      <c r="J45" s="751">
        <f t="shared" si="9"/>
        <v>0.79495614035087714</v>
      </c>
      <c r="K45" s="478">
        <f t="shared" si="10"/>
        <v>0.79495614035087714</v>
      </c>
      <c r="M45" s="726">
        <f t="shared" si="11"/>
        <v>1122</v>
      </c>
      <c r="N45" s="377">
        <f t="shared" si="12"/>
        <v>5472</v>
      </c>
      <c r="O45" s="343">
        <f t="shared" si="13"/>
        <v>4350</v>
      </c>
      <c r="P45" s="613"/>
      <c r="R45" s="397">
        <f>+IFERROR(SUMIFS('Stock CD'!D:D,C319,'Stock CD'!C:C),0)</f>
        <v>0</v>
      </c>
      <c r="S45" s="400">
        <f t="shared" si="14"/>
        <v>4350</v>
      </c>
      <c r="U45" s="397">
        <f>+IFERROR(VLOOKUP(C45,'Stock CD'!B:I,8,0),0)</f>
        <v>0</v>
      </c>
      <c r="V45" s="400">
        <f t="shared" si="15"/>
        <v>5472</v>
      </c>
      <c r="X45" s="444">
        <f>+SUMIFS('Conteo 24-02'!F:F,'Conteo 24-02'!$A:$A,$C45)</f>
        <v>4</v>
      </c>
      <c r="Y45" s="304">
        <f>+SUMIFS('Conteo 24-02'!G:G,'Conteo 24-02'!$A:$A,$C45)</f>
        <v>350</v>
      </c>
      <c r="Z45" s="507">
        <v>1000</v>
      </c>
      <c r="AB45" s="424" t="s">
        <v>1466</v>
      </c>
      <c r="AC45" s="409">
        <f>IF(C45="Corb-LK",SUMIFS('Est Madre LK 10-25'!C:C,'Est Madre LK 10-25'!D:D,"si"),IF(C45="Corb-CH",SUMIFS('Est Madre CH 10-25'!C:C,'Est Madre CH 10-25'!D:D,"si"),0)+IFERROR(VLOOKUP(C45,'Est Madre LK 10-25'!$A:$C,3,),IFERROR(VLOOKUP(C45,'Est Madre CH 10-25'!$A:$C,3,),0)))</f>
        <v>1368</v>
      </c>
      <c r="AD45" s="359">
        <v>12000</v>
      </c>
      <c r="AE45" s="260">
        <v>12</v>
      </c>
      <c r="AF45" s="323">
        <v>43.269300000000001</v>
      </c>
      <c r="AG45" s="552" t="s">
        <v>1716</v>
      </c>
      <c r="AH45" s="260" t="s">
        <v>1213</v>
      </c>
      <c r="AI45" s="333">
        <v>4</v>
      </c>
      <c r="AK45" s="424">
        <v>100</v>
      </c>
      <c r="AL45" s="333">
        <v>0</v>
      </c>
    </row>
    <row r="46" spans="1:38" ht="18" customHeight="1" x14ac:dyDescent="0.3">
      <c r="A46" t="s">
        <v>1466</v>
      </c>
      <c r="B46" s="414">
        <v>1206700</v>
      </c>
      <c r="C46" s="433">
        <v>499</v>
      </c>
      <c r="D46" s="260" t="str">
        <f>+VLOOKUP(C46,'Conteo 24-02'!$A$8:$D$246,4,0)</f>
        <v>G7C</v>
      </c>
      <c r="E46" s="320" t="s">
        <v>746</v>
      </c>
      <c r="F46" s="327" t="s">
        <v>1337</v>
      </c>
      <c r="G46" s="499"/>
      <c r="H46" s="470"/>
      <c r="J46" s="751">
        <f t="shared" si="9"/>
        <v>1.7361111111111112</v>
      </c>
      <c r="K46" s="478">
        <f t="shared" si="10"/>
        <v>1.7361111111111112</v>
      </c>
      <c r="M46" s="726">
        <f t="shared" si="11"/>
        <v>0</v>
      </c>
      <c r="N46" s="377">
        <f t="shared" si="12"/>
        <v>576</v>
      </c>
      <c r="O46" s="343">
        <f t="shared" si="13"/>
        <v>1000</v>
      </c>
      <c r="P46" s="613"/>
      <c r="R46" s="397">
        <f>+IFERROR(SUMIFS('Stock CD'!D:D,C317,'Stock CD'!C:C),0)</f>
        <v>0</v>
      </c>
      <c r="S46" s="400">
        <f t="shared" si="14"/>
        <v>1000</v>
      </c>
      <c r="U46" s="397">
        <f>+IFERROR(VLOOKUP(C46,'Stock CD'!B:I,8,0),0)</f>
        <v>0</v>
      </c>
      <c r="V46" s="400">
        <f t="shared" si="15"/>
        <v>576</v>
      </c>
      <c r="X46" s="444">
        <f>+SUMIFS('Conteo 24-02'!F:F,'Conteo 24-02'!$A:$A,$C46)</f>
        <v>1</v>
      </c>
      <c r="Y46" s="304">
        <f>+SUMIFS('Conteo 24-02'!G:G,'Conteo 24-02'!$A:$A,$C46)</f>
        <v>0</v>
      </c>
      <c r="Z46" s="507">
        <v>1000</v>
      </c>
      <c r="AB46" s="424" t="s">
        <v>1466</v>
      </c>
      <c r="AC46" s="409">
        <f>IF(C46="Corb-LK",SUMIFS('Est Madre LK 10-25'!C:C,'Est Madre LK 10-25'!D:D,"si"),IF(C46="Corb-CH",SUMIFS('Est Madre CH 10-25'!C:C,'Est Madre CH 10-25'!D:D,"si"),0)+IFERROR(VLOOKUP(C46,'Est Madre LK 10-25'!$A:$C,3,),IFERROR(VLOOKUP(C46,'Est Madre CH 10-25'!$A:$C,3,),0)))</f>
        <v>144</v>
      </c>
      <c r="AD46" s="359">
        <v>12000</v>
      </c>
      <c r="AE46" s="260">
        <v>12</v>
      </c>
      <c r="AF46" s="323">
        <v>68.570279999999997</v>
      </c>
      <c r="AG46" s="552" t="s">
        <v>1716</v>
      </c>
      <c r="AH46" s="260" t="s">
        <v>1213</v>
      </c>
      <c r="AI46" s="333">
        <v>4</v>
      </c>
      <c r="AK46" s="424">
        <v>100</v>
      </c>
      <c r="AL46" s="333">
        <v>0</v>
      </c>
    </row>
    <row r="47" spans="1:38" x14ac:dyDescent="0.3">
      <c r="A47" t="s">
        <v>1466</v>
      </c>
      <c r="B47" s="302">
        <v>1270700</v>
      </c>
      <c r="C47" s="433">
        <v>229</v>
      </c>
      <c r="D47" s="260" t="str">
        <f>+VLOOKUP(C47,'Conteo 24-02'!$A$8:$D$246,4,0)</f>
        <v>G3C</v>
      </c>
      <c r="E47" s="320" t="s">
        <v>746</v>
      </c>
      <c r="F47" s="327" t="s">
        <v>1191</v>
      </c>
      <c r="G47" s="499"/>
      <c r="H47" s="470"/>
      <c r="J47" s="751">
        <f t="shared" si="9"/>
        <v>1.1904761904761905</v>
      </c>
      <c r="K47" s="478">
        <f t="shared" si="10"/>
        <v>1.1904761904761905</v>
      </c>
      <c r="M47" s="726">
        <f t="shared" si="11"/>
        <v>0</v>
      </c>
      <c r="N47" s="377">
        <f t="shared" si="12"/>
        <v>4032</v>
      </c>
      <c r="O47" s="343">
        <f t="shared" si="13"/>
        <v>4800</v>
      </c>
      <c r="P47" s="613"/>
      <c r="R47" s="397">
        <f>+IFERROR(SUMIFS('Stock CD'!D:D,C318,'Stock CD'!C:C),0)</f>
        <v>0</v>
      </c>
      <c r="S47" s="400">
        <f t="shared" si="14"/>
        <v>4800</v>
      </c>
      <c r="U47" s="397">
        <f>+IFERROR(VLOOKUP(C47,'Stock CD'!B:I,8,0),0)</f>
        <v>0</v>
      </c>
      <c r="V47" s="400">
        <f t="shared" si="15"/>
        <v>4032</v>
      </c>
      <c r="X47" s="444">
        <f>+SUMIFS('Conteo 24-02'!F:F,'Conteo 24-02'!$A:$A,$C47)</f>
        <v>4</v>
      </c>
      <c r="Y47" s="304">
        <f>+SUMIFS('Conteo 24-02'!G:G,'Conteo 24-02'!$A:$A,$C47)</f>
        <v>800</v>
      </c>
      <c r="Z47" s="507">
        <v>1000</v>
      </c>
      <c r="AB47" s="424" t="s">
        <v>1466</v>
      </c>
      <c r="AC47" s="409">
        <f>IF(C47="Corb-LK",SUMIFS('Est Madre LK 10-25'!C:C,'Est Madre LK 10-25'!D:D,"si"),IF(C47="Corb-CH",SUMIFS('Est Madre CH 10-25'!C:C,'Est Madre CH 10-25'!D:D,"si"),0)+IFERROR(VLOOKUP(C47,'Est Madre LK 10-25'!$A:$C,3,),IFERROR(VLOOKUP(C47,'Est Madre CH 10-25'!$A:$C,3,),0)))</f>
        <v>1008</v>
      </c>
      <c r="AD47" s="359">
        <v>12000</v>
      </c>
      <c r="AE47" s="260">
        <v>12</v>
      </c>
      <c r="AF47" s="323">
        <v>0</v>
      </c>
      <c r="AG47" s="552" t="s">
        <v>1716</v>
      </c>
      <c r="AH47" s="260" t="s">
        <v>1213</v>
      </c>
      <c r="AI47" s="333">
        <v>4</v>
      </c>
      <c r="AK47" s="424">
        <v>100</v>
      </c>
      <c r="AL47" s="333">
        <v>0</v>
      </c>
    </row>
    <row r="48" spans="1:38" ht="18" customHeight="1" x14ac:dyDescent="0.3">
      <c r="A48" t="s">
        <v>1466</v>
      </c>
      <c r="B48" s="302">
        <v>1207700</v>
      </c>
      <c r="C48" s="433">
        <v>569</v>
      </c>
      <c r="D48" s="260" t="str">
        <f>+VLOOKUP(C48,'Conteo 24-02'!$A$8:$D$246,4,0)</f>
        <v>G5D</v>
      </c>
      <c r="E48" s="320" t="s">
        <v>746</v>
      </c>
      <c r="F48" s="327" t="s">
        <v>1331</v>
      </c>
      <c r="G48" s="499"/>
      <c r="H48" s="470"/>
      <c r="J48" s="751">
        <f t="shared" si="9"/>
        <v>2.1726190476190474</v>
      </c>
      <c r="K48" s="478">
        <f t="shared" si="10"/>
        <v>2.1726190476190474</v>
      </c>
      <c r="M48" s="726">
        <f t="shared" si="11"/>
        <v>0</v>
      </c>
      <c r="N48" s="377">
        <f t="shared" si="12"/>
        <v>672</v>
      </c>
      <c r="O48" s="343">
        <f t="shared" si="13"/>
        <v>1460</v>
      </c>
      <c r="P48" s="613"/>
      <c r="R48" s="397">
        <f>+IFERROR(SUMIFS('Stock CD'!D:D,C319,'Stock CD'!C:C),0)</f>
        <v>0</v>
      </c>
      <c r="S48" s="400">
        <f t="shared" si="14"/>
        <v>1460</v>
      </c>
      <c r="U48" s="397">
        <f>+IFERROR(VLOOKUP(C48,'Stock CD'!B:I,8,0),0)</f>
        <v>0</v>
      </c>
      <c r="V48" s="400">
        <f t="shared" si="15"/>
        <v>672</v>
      </c>
      <c r="X48" s="444">
        <f>+SUMIFS('Conteo 24-02'!F:F,'Conteo 24-02'!$A:$A,$C48)</f>
        <v>1</v>
      </c>
      <c r="Y48" s="304">
        <f>+SUMIFS('Conteo 24-02'!G:G,'Conteo 24-02'!$A:$A,$C48)</f>
        <v>460</v>
      </c>
      <c r="Z48" s="507">
        <v>1000</v>
      </c>
      <c r="AB48" s="424" t="s">
        <v>1466</v>
      </c>
      <c r="AC48" s="409">
        <f>IF(C48="Corb-LK",SUMIFS('Est Madre LK 10-25'!C:C,'Est Madre LK 10-25'!D:D,"si"),IF(C48="Corb-CH",SUMIFS('Est Madre CH 10-25'!C:C,'Est Madre CH 10-25'!D:D,"si"),0)+IFERROR(VLOOKUP(C48,'Est Madre LK 10-25'!$A:$C,3,),IFERROR(VLOOKUP(C48,'Est Madre CH 10-25'!$A:$C,3,),0)))</f>
        <v>168</v>
      </c>
      <c r="AD48" s="359">
        <v>12000</v>
      </c>
      <c r="AE48" s="260">
        <v>12</v>
      </c>
      <c r="AF48" s="323">
        <v>61.336709999999997</v>
      </c>
      <c r="AG48" s="552" t="s">
        <v>1716</v>
      </c>
      <c r="AH48" s="260" t="s">
        <v>1213</v>
      </c>
      <c r="AI48" s="333">
        <v>4</v>
      </c>
      <c r="AK48" s="424">
        <v>100</v>
      </c>
      <c r="AL48" s="333">
        <v>0</v>
      </c>
    </row>
    <row r="49" spans="1:38" ht="18" customHeight="1" x14ac:dyDescent="0.3">
      <c r="A49" t="s">
        <v>1466</v>
      </c>
      <c r="B49" s="302">
        <v>1266700</v>
      </c>
      <c r="C49" s="433">
        <v>560</v>
      </c>
      <c r="D49" s="260" t="str">
        <f>+VLOOKUP(C49,'Conteo 24-02'!$A$8:$D$246,4,0)</f>
        <v>G3E</v>
      </c>
      <c r="E49" s="320" t="s">
        <v>746</v>
      </c>
      <c r="F49" s="327" t="s">
        <v>1333</v>
      </c>
      <c r="G49" s="499"/>
      <c r="H49" s="470"/>
      <c r="J49" s="751">
        <f t="shared" si="9"/>
        <v>1.5454545454545454</v>
      </c>
      <c r="K49" s="478">
        <f t="shared" si="10"/>
        <v>1.5454545454545454</v>
      </c>
      <c r="M49" s="726">
        <f t="shared" si="11"/>
        <v>0</v>
      </c>
      <c r="N49" s="377">
        <f t="shared" si="12"/>
        <v>2640</v>
      </c>
      <c r="O49" s="343">
        <f t="shared" si="13"/>
        <v>4080</v>
      </c>
      <c r="P49" s="613"/>
      <c r="R49" s="397">
        <f>+IFERROR(SUMIFS('Stock CD'!D:D,C320,'Stock CD'!C:C),0)</f>
        <v>0</v>
      </c>
      <c r="S49" s="400">
        <f t="shared" si="14"/>
        <v>4080</v>
      </c>
      <c r="U49" s="397">
        <f>+IFERROR(VLOOKUP(C49,'Stock CD'!B:I,8,0),0)</f>
        <v>0</v>
      </c>
      <c r="V49" s="400">
        <f t="shared" si="15"/>
        <v>2640</v>
      </c>
      <c r="X49" s="444">
        <f>+SUMIFS('Conteo 24-02'!F:F,'Conteo 24-02'!$A:$A,$C49)</f>
        <v>3</v>
      </c>
      <c r="Y49" s="304">
        <f>+SUMIFS('Conteo 24-02'!G:G,'Conteo 24-02'!$A:$A,$C49)</f>
        <v>1080</v>
      </c>
      <c r="Z49" s="507">
        <v>1000</v>
      </c>
      <c r="AB49" s="424" t="s">
        <v>1466</v>
      </c>
      <c r="AC49" s="409">
        <f>IF(C49="Corb-LK",SUMIFS('Est Madre LK 10-25'!C:C,'Est Madre LK 10-25'!D:D,"si"),IF(C49="Corb-CH",SUMIFS('Est Madre CH 10-25'!C:C,'Est Madre CH 10-25'!D:D,"si"),0)+IFERROR(VLOOKUP(C49,'Est Madre LK 10-25'!$A:$C,3,),IFERROR(VLOOKUP(C49,'Est Madre CH 10-25'!$A:$C,3,),0)))</f>
        <v>660</v>
      </c>
      <c r="AD49" s="359">
        <v>12000</v>
      </c>
      <c r="AE49" s="260">
        <v>12</v>
      </c>
      <c r="AF49" s="323">
        <v>0</v>
      </c>
      <c r="AG49" s="552" t="s">
        <v>1716</v>
      </c>
      <c r="AH49" s="260" t="s">
        <v>1213</v>
      </c>
      <c r="AI49" s="333">
        <v>4</v>
      </c>
      <c r="AK49" s="424">
        <v>100</v>
      </c>
      <c r="AL49" s="333">
        <v>0</v>
      </c>
    </row>
    <row r="50" spans="1:38" ht="18" customHeight="1" x14ac:dyDescent="0.3">
      <c r="A50" t="s">
        <v>1466</v>
      </c>
      <c r="B50" s="414">
        <v>1206700</v>
      </c>
      <c r="C50" s="433">
        <v>596</v>
      </c>
      <c r="D50" s="260" t="str">
        <f>+VLOOKUP(C50,'Conteo 24-02'!$A$8:$D$246,4,0)</f>
        <v>G4E</v>
      </c>
      <c r="E50" s="320" t="s">
        <v>746</v>
      </c>
      <c r="F50" s="327" t="s">
        <v>1706</v>
      </c>
      <c r="G50" s="499"/>
      <c r="H50" s="470"/>
      <c r="J50" s="751">
        <f t="shared" si="9"/>
        <v>6.9444444444444446</v>
      </c>
      <c r="K50" s="478">
        <f t="shared" si="10"/>
        <v>6.9444444444444446</v>
      </c>
      <c r="M50" s="726">
        <f t="shared" si="11"/>
        <v>0</v>
      </c>
      <c r="N50" s="377">
        <f t="shared" si="12"/>
        <v>432</v>
      </c>
      <c r="O50" s="343">
        <f t="shared" si="13"/>
        <v>3000</v>
      </c>
      <c r="P50" s="613"/>
      <c r="R50" s="397">
        <f>+IFERROR(SUMIFS('Stock CD'!D:D,C321,'Stock CD'!C:C),0)</f>
        <v>0</v>
      </c>
      <c r="S50" s="400">
        <f t="shared" si="14"/>
        <v>3000</v>
      </c>
      <c r="U50" s="397">
        <f>+IFERROR(VLOOKUP(C50,'Stock CD'!B:I,8,0),0)</f>
        <v>0</v>
      </c>
      <c r="V50" s="400">
        <f t="shared" si="15"/>
        <v>432</v>
      </c>
      <c r="X50" s="444">
        <f>+SUMIFS('Conteo 24-02'!F:F,'Conteo 24-02'!$A:$A,$C50)</f>
        <v>1</v>
      </c>
      <c r="Y50" s="304">
        <f>+SUMIFS('Conteo 24-02'!G:G,'Conteo 24-02'!$A:$A,$C50)</f>
        <v>2000</v>
      </c>
      <c r="Z50" s="507">
        <v>1000</v>
      </c>
      <c r="AB50" s="424" t="s">
        <v>1466</v>
      </c>
      <c r="AC50" s="409">
        <f>IF(C50="Corb-LK",SUMIFS('Est Madre LK 10-25'!C:C,'Est Madre LK 10-25'!D:D,"si"),IF(C50="Corb-CH",SUMIFS('Est Madre CH 10-25'!C:C,'Est Madre CH 10-25'!D:D,"si"),0)+IFERROR(VLOOKUP(C50,'Est Madre LK 10-25'!$A:$C,3,),IFERROR(VLOOKUP(C50,'Est Madre CH 10-25'!$A:$C,3,),0)))</f>
        <v>108</v>
      </c>
      <c r="AD50" s="359">
        <v>12000</v>
      </c>
      <c r="AE50" s="260">
        <v>12</v>
      </c>
      <c r="AF50" s="323">
        <v>68.570279999999997</v>
      </c>
      <c r="AG50" s="552" t="s">
        <v>1716</v>
      </c>
      <c r="AH50" s="260" t="s">
        <v>1213</v>
      </c>
      <c r="AI50" s="333">
        <v>4</v>
      </c>
      <c r="AK50" s="424">
        <v>100</v>
      </c>
      <c r="AL50" s="333">
        <v>0</v>
      </c>
    </row>
    <row r="51" spans="1:38" ht="18" customHeight="1" x14ac:dyDescent="0.3">
      <c r="A51" t="s">
        <v>1466</v>
      </c>
      <c r="B51" s="414">
        <v>1206700</v>
      </c>
      <c r="C51" s="433">
        <v>595</v>
      </c>
      <c r="D51" s="260" t="str">
        <f>+VLOOKUP(C51,'Conteo 24-02'!$A$8:$D$246,4,0)</f>
        <v>G4D</v>
      </c>
      <c r="E51" s="320" t="s">
        <v>746</v>
      </c>
      <c r="F51" s="327" t="s">
        <v>1707</v>
      </c>
      <c r="G51" s="499"/>
      <c r="H51" s="470"/>
      <c r="J51" s="751">
        <f t="shared" si="9"/>
        <v>2.4739583333333335</v>
      </c>
      <c r="K51" s="478">
        <f t="shared" si="10"/>
        <v>2.4739583333333335</v>
      </c>
      <c r="M51" s="726">
        <f t="shared" si="11"/>
        <v>0</v>
      </c>
      <c r="N51" s="377">
        <f t="shared" si="12"/>
        <v>1152</v>
      </c>
      <c r="O51" s="343">
        <f t="shared" si="13"/>
        <v>2850</v>
      </c>
      <c r="P51" s="613"/>
      <c r="R51" s="397">
        <f>+IFERROR(SUMIFS('Stock CD'!D:D,C322,'Stock CD'!C:C),0)</f>
        <v>0</v>
      </c>
      <c r="S51" s="400">
        <f t="shared" si="14"/>
        <v>2850</v>
      </c>
      <c r="U51" s="397">
        <f>+IFERROR(VLOOKUP(C51,'Stock CD'!B:I,8,0),0)</f>
        <v>0</v>
      </c>
      <c r="V51" s="400">
        <f t="shared" si="15"/>
        <v>1152</v>
      </c>
      <c r="X51" s="444">
        <f>+SUMIFS('Conteo 24-02'!F:F,'Conteo 24-02'!$A:$A,$C51)</f>
        <v>1</v>
      </c>
      <c r="Y51" s="304">
        <f>+SUMIFS('Conteo 24-02'!G:G,'Conteo 24-02'!$A:$A,$C51)</f>
        <v>1850</v>
      </c>
      <c r="Z51" s="507">
        <v>1000</v>
      </c>
      <c r="AB51" s="424" t="s">
        <v>1466</v>
      </c>
      <c r="AC51" s="409">
        <f>IF(C51="Corb-LK",SUMIFS('Est Madre LK 10-25'!C:C,'Est Madre LK 10-25'!D:D,"si"),IF(C51="Corb-CH",SUMIFS('Est Madre CH 10-25'!C:C,'Est Madre CH 10-25'!D:D,"si"),0)+IFERROR(VLOOKUP(C51,'Est Madre LK 10-25'!$A:$C,3,),IFERROR(VLOOKUP(C51,'Est Madre CH 10-25'!$A:$C,3,),0)))</f>
        <v>288</v>
      </c>
      <c r="AD51" s="359">
        <v>12000</v>
      </c>
      <c r="AE51" s="260">
        <v>12</v>
      </c>
      <c r="AF51" s="323">
        <v>68.570279999999997</v>
      </c>
      <c r="AG51" s="552" t="s">
        <v>1716</v>
      </c>
      <c r="AH51" s="260" t="s">
        <v>1213</v>
      </c>
      <c r="AI51" s="333">
        <v>4</v>
      </c>
      <c r="AK51" s="424">
        <v>100</v>
      </c>
      <c r="AL51" s="333">
        <v>0</v>
      </c>
    </row>
    <row r="52" spans="1:38" ht="18" customHeight="1" x14ac:dyDescent="0.3">
      <c r="A52" t="s">
        <v>1466</v>
      </c>
      <c r="B52" s="414">
        <v>1206700</v>
      </c>
      <c r="C52" s="433">
        <v>594</v>
      </c>
      <c r="D52" s="260" t="str">
        <f>+VLOOKUP(C52,'Conteo 24-02'!$A$8:$D$246,4,0)</f>
        <v>G4C</v>
      </c>
      <c r="E52" s="320" t="s">
        <v>746</v>
      </c>
      <c r="F52" s="327" t="s">
        <v>1708</v>
      </c>
      <c r="G52" s="499"/>
      <c r="H52" s="470"/>
      <c r="J52" s="751">
        <f t="shared" si="9"/>
        <v>1.6025641025641026</v>
      </c>
      <c r="K52" s="478">
        <f t="shared" si="10"/>
        <v>1.6025641025641026</v>
      </c>
      <c r="M52" s="726">
        <f t="shared" si="11"/>
        <v>0</v>
      </c>
      <c r="N52" s="377">
        <f t="shared" si="12"/>
        <v>1248</v>
      </c>
      <c r="O52" s="343">
        <f t="shared" si="13"/>
        <v>2000</v>
      </c>
      <c r="P52" s="613"/>
      <c r="R52" s="397">
        <f>+IFERROR(SUMIFS('Stock CD'!D:D,C323,'Stock CD'!C:C),0)</f>
        <v>0</v>
      </c>
      <c r="S52" s="400">
        <f t="shared" si="14"/>
        <v>2000</v>
      </c>
      <c r="U52" s="397">
        <f>+IFERROR(VLOOKUP(C52,'Stock CD'!B:I,8,0),0)</f>
        <v>0</v>
      </c>
      <c r="V52" s="400">
        <f t="shared" si="15"/>
        <v>1248</v>
      </c>
      <c r="X52" s="444">
        <f>+SUMIFS('Conteo 24-02'!F:F,'Conteo 24-02'!$A:$A,$C52)</f>
        <v>2</v>
      </c>
      <c r="Y52" s="304">
        <f>+SUMIFS('Conteo 24-02'!G:G,'Conteo 24-02'!$A:$A,$C52)</f>
        <v>0</v>
      </c>
      <c r="Z52" s="507">
        <v>1000</v>
      </c>
      <c r="AB52" s="424" t="s">
        <v>1466</v>
      </c>
      <c r="AC52" s="409">
        <f>IF(C52="Corb-LK",SUMIFS('Est Madre LK 10-25'!C:C,'Est Madre LK 10-25'!D:D,"si"),IF(C52="Corb-CH",SUMIFS('Est Madre CH 10-25'!C:C,'Est Madre CH 10-25'!D:D,"si"),0)+IFERROR(VLOOKUP(C52,'Est Madre LK 10-25'!$A:$C,3,),IFERROR(VLOOKUP(C52,'Est Madre CH 10-25'!$A:$C,3,),0)))</f>
        <v>312</v>
      </c>
      <c r="AD52" s="359">
        <v>12000</v>
      </c>
      <c r="AE52" s="260">
        <v>12</v>
      </c>
      <c r="AF52" s="323">
        <v>68.570279999999997</v>
      </c>
      <c r="AG52" s="552" t="s">
        <v>1716</v>
      </c>
      <c r="AH52" s="260" t="s">
        <v>1213</v>
      </c>
      <c r="AI52" s="333">
        <v>4</v>
      </c>
      <c r="AK52" s="424">
        <v>100</v>
      </c>
      <c r="AL52" s="333">
        <v>0</v>
      </c>
    </row>
    <row r="53" spans="1:38" ht="18" customHeight="1" x14ac:dyDescent="0.3">
      <c r="A53" t="s">
        <v>1466</v>
      </c>
      <c r="B53" s="414">
        <v>1206700</v>
      </c>
      <c r="C53" s="433">
        <v>565</v>
      </c>
      <c r="D53" s="260" t="str">
        <f>+VLOOKUP(C53,'Conteo 24-02'!$A$8:$D$246,4,0)</f>
        <v>G4B</v>
      </c>
      <c r="E53" s="320" t="s">
        <v>746</v>
      </c>
      <c r="F53" s="327" t="s">
        <v>1709</v>
      </c>
      <c r="G53" s="499"/>
      <c r="H53" s="470"/>
      <c r="J53" s="751">
        <f t="shared" si="9"/>
        <v>1.4351851851851851</v>
      </c>
      <c r="K53" s="478">
        <f t="shared" si="10"/>
        <v>1.4351851851851851</v>
      </c>
      <c r="M53" s="726">
        <f t="shared" si="11"/>
        <v>0</v>
      </c>
      <c r="N53" s="377">
        <f t="shared" si="12"/>
        <v>1728</v>
      </c>
      <c r="O53" s="343">
        <f t="shared" si="13"/>
        <v>2480</v>
      </c>
      <c r="P53" s="613"/>
      <c r="R53" s="397">
        <f>+IFERROR(SUMIFS('Stock CD'!D:D,C324,'Stock CD'!C:C),0)</f>
        <v>0</v>
      </c>
      <c r="S53" s="400">
        <f t="shared" si="14"/>
        <v>2480</v>
      </c>
      <c r="U53" s="397">
        <f>+IFERROR(VLOOKUP(C53,'Stock CD'!B:I,8,0),0)</f>
        <v>0</v>
      </c>
      <c r="V53" s="400">
        <f t="shared" si="15"/>
        <v>1728</v>
      </c>
      <c r="X53" s="444">
        <f>+SUMIFS('Conteo 24-02'!F:F,'Conteo 24-02'!$A:$A,$C53)</f>
        <v>2</v>
      </c>
      <c r="Y53" s="304">
        <f>+SUMIFS('Conteo 24-02'!G:G,'Conteo 24-02'!$A:$A,$C53)</f>
        <v>480</v>
      </c>
      <c r="Z53" s="507">
        <v>1000</v>
      </c>
      <c r="AB53" s="424" t="s">
        <v>1466</v>
      </c>
      <c r="AC53" s="409">
        <f>IF(C53="Corb-LK",SUMIFS('Est Madre LK 10-25'!C:C,'Est Madre LK 10-25'!D:D,"si"),IF(C53="Corb-CH",SUMIFS('Est Madre CH 10-25'!C:C,'Est Madre CH 10-25'!D:D,"si"),0)+IFERROR(VLOOKUP(C53,'Est Madre LK 10-25'!$A:$C,3,),IFERROR(VLOOKUP(C53,'Est Madre CH 10-25'!$A:$C,3,),0)))</f>
        <v>432</v>
      </c>
      <c r="AD53" s="359">
        <v>12000</v>
      </c>
      <c r="AE53" s="260">
        <v>12</v>
      </c>
      <c r="AF53" s="323">
        <v>68.570279999999997</v>
      </c>
      <c r="AG53" s="552" t="s">
        <v>1716</v>
      </c>
      <c r="AH53" s="260" t="s">
        <v>1213</v>
      </c>
      <c r="AI53" s="333">
        <v>4</v>
      </c>
      <c r="AK53" s="424">
        <v>100</v>
      </c>
      <c r="AL53" s="333">
        <v>0</v>
      </c>
    </row>
    <row r="54" spans="1:38" ht="18" customHeight="1" x14ac:dyDescent="0.3">
      <c r="A54" t="s">
        <v>1466</v>
      </c>
      <c r="B54" s="302">
        <v>1268700</v>
      </c>
      <c r="C54" s="433">
        <v>507</v>
      </c>
      <c r="D54" s="260" t="str">
        <f>+VLOOKUP(C54,'Conteo 24-02'!$A$8:$D$246,4,0)</f>
        <v>G1E</v>
      </c>
      <c r="E54" s="320" t="s">
        <v>746</v>
      </c>
      <c r="F54" s="327" t="s">
        <v>243</v>
      </c>
      <c r="G54" s="499">
        <v>2000</v>
      </c>
      <c r="H54" s="470">
        <v>15</v>
      </c>
      <c r="J54" s="751">
        <f t="shared" si="9"/>
        <v>0.53661616161616166</v>
      </c>
      <c r="K54" s="478">
        <f t="shared" si="10"/>
        <v>0.53661616161616166</v>
      </c>
      <c r="M54" s="726">
        <f t="shared" si="11"/>
        <v>1468</v>
      </c>
      <c r="N54" s="377">
        <f t="shared" si="12"/>
        <v>3168</v>
      </c>
      <c r="O54" s="343">
        <f t="shared" si="13"/>
        <v>1700</v>
      </c>
      <c r="P54" s="613"/>
      <c r="R54" s="397">
        <f>+IFERROR(SUMIFS('Stock CD'!D:D,C325,'Stock CD'!C:C),0)</f>
        <v>0</v>
      </c>
      <c r="S54" s="400">
        <f t="shared" si="14"/>
        <v>1700</v>
      </c>
      <c r="U54" s="397">
        <f>+IFERROR(VLOOKUP(C54,'Stock CD'!B:I,8,0),0)</f>
        <v>0</v>
      </c>
      <c r="V54" s="400">
        <f t="shared" si="15"/>
        <v>3168</v>
      </c>
      <c r="X54" s="444">
        <f>+SUMIFS('Conteo 24-02'!F:F,'Conteo 24-02'!$A:$A,$C54)</f>
        <v>1</v>
      </c>
      <c r="Y54" s="304">
        <f>+SUMIFS('Conteo 24-02'!G:G,'Conteo 24-02'!$A:$A,$C54)</f>
        <v>700</v>
      </c>
      <c r="Z54" s="507">
        <v>1000</v>
      </c>
      <c r="AB54" s="424" t="s">
        <v>1466</v>
      </c>
      <c r="AC54" s="409">
        <f>IF(C54="Corb-LK",SUMIFS('Est Madre LK 10-25'!C:C,'Est Madre LK 10-25'!D:D,"si"),IF(C54="Corb-CH",SUMIFS('Est Madre CH 10-25'!C:C,'Est Madre CH 10-25'!D:D,"si"),0)+IFERROR(VLOOKUP(C54,'Est Madre LK 10-25'!$A:$C,3,),IFERROR(VLOOKUP(C54,'Est Madre CH 10-25'!$A:$C,3,),0)))</f>
        <v>792</v>
      </c>
      <c r="AD54" s="359">
        <v>12000</v>
      </c>
      <c r="AE54" s="260">
        <v>12</v>
      </c>
      <c r="AF54" s="323">
        <v>0</v>
      </c>
      <c r="AG54" s="552" t="s">
        <v>1716</v>
      </c>
      <c r="AH54" s="260" t="s">
        <v>1213</v>
      </c>
      <c r="AI54" s="333">
        <v>4</v>
      </c>
      <c r="AK54" s="424">
        <v>100</v>
      </c>
      <c r="AL54" s="333">
        <v>0</v>
      </c>
    </row>
    <row r="55" spans="1:38" ht="18" customHeight="1" x14ac:dyDescent="0.3">
      <c r="A55" t="s">
        <v>1466</v>
      </c>
      <c r="B55" s="414">
        <v>1206700</v>
      </c>
      <c r="C55" s="433">
        <v>518</v>
      </c>
      <c r="D55" s="260" t="str">
        <f>+VLOOKUP(C55,'Conteo 24-02'!$A$8:$D$246,4,0)</f>
        <v>G7E</v>
      </c>
      <c r="E55" s="320" t="s">
        <v>746</v>
      </c>
      <c r="F55" s="327" t="s">
        <v>1341</v>
      </c>
      <c r="G55" s="499">
        <v>3000</v>
      </c>
      <c r="H55" s="470">
        <v>16</v>
      </c>
      <c r="J55" s="751">
        <f t="shared" si="9"/>
        <v>0.32051282051282054</v>
      </c>
      <c r="K55" s="478">
        <f t="shared" si="10"/>
        <v>0.32051282051282054</v>
      </c>
      <c r="M55" s="726">
        <f t="shared" si="11"/>
        <v>2120</v>
      </c>
      <c r="N55" s="377">
        <f t="shared" si="12"/>
        <v>3120</v>
      </c>
      <c r="O55" s="343">
        <f t="shared" si="13"/>
        <v>1000</v>
      </c>
      <c r="P55" s="613"/>
      <c r="R55" s="397">
        <f>+IFERROR(SUMIFS('Stock CD'!D:D,C333,'Stock CD'!C:C),0)</f>
        <v>0</v>
      </c>
      <c r="S55" s="400">
        <f t="shared" si="14"/>
        <v>1000</v>
      </c>
      <c r="U55" s="397">
        <f>+IFERROR(VLOOKUP(C55,'Stock CD'!B:I,8,0),0)</f>
        <v>0</v>
      </c>
      <c r="V55" s="400">
        <f t="shared" si="15"/>
        <v>3120</v>
      </c>
      <c r="X55" s="444">
        <f>+SUMIFS('Conteo 24-02'!F:F,'Conteo 24-02'!$A:$A,$C55)</f>
        <v>1</v>
      </c>
      <c r="Y55" s="304">
        <f>+SUMIFS('Conteo 24-02'!G:G,'Conteo 24-02'!$A:$A,$C55)</f>
        <v>0</v>
      </c>
      <c r="Z55" s="507">
        <v>1000</v>
      </c>
      <c r="AB55" s="424" t="s">
        <v>1466</v>
      </c>
      <c r="AC55" s="409">
        <f>IF(C55="Corb-LK",SUMIFS('Est Madre LK 10-25'!C:C,'Est Madre LK 10-25'!D:D,"si"),IF(C55="Corb-CH",SUMIFS('Est Madre CH 10-25'!C:C,'Est Madre CH 10-25'!D:D,"si"),0)+IFERROR(VLOOKUP(C55,'Est Madre LK 10-25'!$A:$C,3,),IFERROR(VLOOKUP(C55,'Est Madre CH 10-25'!$A:$C,3,),0)))</f>
        <v>780</v>
      </c>
      <c r="AD55" s="359">
        <v>12000</v>
      </c>
      <c r="AE55" s="260">
        <v>12</v>
      </c>
      <c r="AF55" s="323">
        <v>68.570279999999997</v>
      </c>
      <c r="AG55" s="552" t="s">
        <v>1716</v>
      </c>
      <c r="AH55" s="260" t="s">
        <v>1213</v>
      </c>
      <c r="AI55" s="333">
        <v>4</v>
      </c>
      <c r="AK55" s="424">
        <v>100</v>
      </c>
      <c r="AL55" s="333">
        <v>0</v>
      </c>
    </row>
    <row r="56" spans="1:38" ht="18" customHeight="1" x14ac:dyDescent="0.3">
      <c r="A56" t="s">
        <v>1466</v>
      </c>
      <c r="B56" s="302"/>
      <c r="C56" s="433">
        <v>208</v>
      </c>
      <c r="D56" s="260" t="str">
        <f>+VLOOKUP(C56,'Conteo 24-02'!$A$8:$D$246,4,0)</f>
        <v>G3B</v>
      </c>
      <c r="E56" s="320" t="s">
        <v>746</v>
      </c>
      <c r="F56" s="327" t="s">
        <v>1710</v>
      </c>
      <c r="G56" s="499">
        <v>1000</v>
      </c>
      <c r="H56" s="470">
        <v>17</v>
      </c>
      <c r="J56" s="751">
        <f t="shared" si="9"/>
        <v>0.1736111111111111</v>
      </c>
      <c r="K56" s="792">
        <f t="shared" si="10"/>
        <v>0.1736111111111111</v>
      </c>
      <c r="M56" s="726">
        <f t="shared" si="11"/>
        <v>476</v>
      </c>
      <c r="N56" s="377">
        <f t="shared" si="12"/>
        <v>576</v>
      </c>
      <c r="O56" s="343">
        <f t="shared" si="13"/>
        <v>100</v>
      </c>
      <c r="P56" s="613"/>
      <c r="R56" s="394">
        <f>+IFERROR(SUMIFS('Stock CD'!D:D,C332,'Stock CD'!C:C),0)</f>
        <v>0</v>
      </c>
      <c r="S56" s="400">
        <f t="shared" si="14"/>
        <v>100</v>
      </c>
      <c r="U56" s="394">
        <f>+IFERROR(VLOOKUP(C56,'Stock CD'!B:I,8,0),0)</f>
        <v>0</v>
      </c>
      <c r="V56" s="509">
        <f t="shared" si="15"/>
        <v>576</v>
      </c>
      <c r="X56" s="444">
        <f>+SUMIFS('Conteo 24-02'!F:F,'Conteo 24-02'!$A:$A,$C56)</f>
        <v>0</v>
      </c>
      <c r="Y56" s="304">
        <f>+SUMIFS('Conteo 24-02'!G:G,'Conteo 24-02'!$A:$A,$C56)</f>
        <v>100</v>
      </c>
      <c r="Z56" s="507">
        <v>1000</v>
      </c>
      <c r="AB56" s="424" t="s">
        <v>1466</v>
      </c>
      <c r="AC56" s="409">
        <f>IF(C56="Corb-LK",SUMIFS('Est Madre LK 10-25'!C:C,'Est Madre LK 10-25'!D:D,"si"),IF(C56="Corb-CH",SUMIFS('Est Madre CH 10-25'!C:C,'Est Madre CH 10-25'!D:D,"si"),0)+IFERROR(VLOOKUP(C56,'Est Madre LK 10-25'!$A:$C,3,),IFERROR(VLOOKUP(C56,'Est Madre CH 10-25'!$A:$C,3,),0)))</f>
        <v>144</v>
      </c>
      <c r="AD56" s="359">
        <v>12000</v>
      </c>
      <c r="AE56" s="260">
        <v>12</v>
      </c>
      <c r="AF56" s="323">
        <v>68.569999999999993</v>
      </c>
      <c r="AG56" s="552" t="s">
        <v>1716</v>
      </c>
      <c r="AH56" s="260" t="s">
        <v>1213</v>
      </c>
      <c r="AI56" s="333">
        <v>4</v>
      </c>
      <c r="AK56" s="424">
        <v>100</v>
      </c>
      <c r="AL56" s="333">
        <v>0</v>
      </c>
    </row>
    <row r="57" spans="1:38" x14ac:dyDescent="0.3">
      <c r="A57" t="s">
        <v>1466</v>
      </c>
      <c r="B57" s="414">
        <v>1206700</v>
      </c>
      <c r="C57" s="433">
        <v>564</v>
      </c>
      <c r="D57" s="260" t="str">
        <f>+VLOOKUP(C57,'Conteo 24-02'!$A$8:$D$246,4,0)</f>
        <v>F3B</v>
      </c>
      <c r="E57" s="320" t="s">
        <v>746</v>
      </c>
      <c r="F57" s="327" t="s">
        <v>1339</v>
      </c>
      <c r="G57" s="499">
        <v>1000</v>
      </c>
      <c r="H57" s="470">
        <v>18</v>
      </c>
      <c r="J57" s="751">
        <f>+IFERROR(O57/N57,0)</f>
        <v>0.45795795795795796</v>
      </c>
      <c r="K57" s="778">
        <f>+IFERROR(S57/V57,0)</f>
        <v>0.45795795795795796</v>
      </c>
      <c r="M57" s="615">
        <f>IF(N57-O57-P57&lt;0,0,N57-O57-P57)</f>
        <v>722</v>
      </c>
      <c r="N57" s="377">
        <f>+IFERROR(AC57*AI57,0)</f>
        <v>1332</v>
      </c>
      <c r="O57" s="343">
        <f>+(X57*Z57)+Y57</f>
        <v>610</v>
      </c>
      <c r="P57" s="613"/>
      <c r="R57" s="397">
        <f>+IFERROR(SUMIFS('Stock CD'!D:D,C282,'Stock CD'!C:C),0)</f>
        <v>0</v>
      </c>
      <c r="S57" s="400">
        <f>+R57+O57</f>
        <v>610</v>
      </c>
      <c r="U57" s="397">
        <f>+IFERROR(VLOOKUP(C57,'Stock CD'!B:I,8,0),0)</f>
        <v>0</v>
      </c>
      <c r="V57" s="400">
        <f>+U57+N57</f>
        <v>1332</v>
      </c>
      <c r="X57" s="444">
        <f>+SUMIFS('Conteo 24-02'!F:F,'Conteo 24-02'!$A:$A,$C57)</f>
        <v>0</v>
      </c>
      <c r="Y57" s="304">
        <f>+SUMIFS('Conteo 24-02'!G:G,'Conteo 24-02'!$A:$A,$C57)</f>
        <v>610</v>
      </c>
      <c r="Z57" s="507">
        <v>1000</v>
      </c>
      <c r="AB57" s="424" t="s">
        <v>1466</v>
      </c>
      <c r="AC57" s="409">
        <f>IF(C57="Corb-LK",SUMIFS('Est Madre LK 10-25'!C:C,'Est Madre LK 10-25'!D:D,"si"),IF(C57="Corb-CH",SUMIFS('Est Madre CH 10-25'!C:C,'Est Madre CH 10-25'!D:D,"si"),0)+IFERROR(VLOOKUP(C57,'Est Madre LK 10-25'!$A:$C,3,),IFERROR(VLOOKUP(C57,'Est Madre CH 10-25'!$A:$C,3,),0)))</f>
        <v>444</v>
      </c>
      <c r="AD57" s="359">
        <v>12000</v>
      </c>
      <c r="AE57" s="260">
        <v>25</v>
      </c>
      <c r="AF57" s="323">
        <v>68.570279999999997</v>
      </c>
      <c r="AG57" s="552" t="s">
        <v>1690</v>
      </c>
      <c r="AH57" s="260" t="s">
        <v>1655</v>
      </c>
      <c r="AI57" s="333">
        <v>3</v>
      </c>
      <c r="AK57" s="424">
        <v>100</v>
      </c>
      <c r="AL57" s="333">
        <v>0</v>
      </c>
    </row>
    <row r="58" spans="1:38" ht="18" customHeight="1" x14ac:dyDescent="0.3">
      <c r="A58" t="s">
        <v>1466</v>
      </c>
      <c r="B58" s="302"/>
      <c r="C58" s="433">
        <v>498</v>
      </c>
      <c r="D58" s="260" t="str">
        <f>+VLOOKUP(C58,'Conteo 24-02'!$A$8:$D$246,4,0)</f>
        <v>G7B</v>
      </c>
      <c r="E58" s="320" t="s">
        <v>746</v>
      </c>
      <c r="F58" s="327" t="s">
        <v>1686</v>
      </c>
      <c r="G58" s="499"/>
      <c r="H58" s="470"/>
      <c r="J58" s="751">
        <f t="shared" si="9"/>
        <v>4.7222222222222223</v>
      </c>
      <c r="K58" s="792">
        <f t="shared" si="10"/>
        <v>4.7222222222222223</v>
      </c>
      <c r="M58" s="726">
        <f t="shared" si="11"/>
        <v>0</v>
      </c>
      <c r="N58" s="377">
        <f t="shared" si="12"/>
        <v>576</v>
      </c>
      <c r="O58" s="343">
        <f t="shared" si="13"/>
        <v>2720</v>
      </c>
      <c r="P58" s="613"/>
      <c r="R58" s="394">
        <f>+IFERROR(SUMIFS('Stock CD'!D:D,C335,'Stock CD'!C:C),0)</f>
        <v>0</v>
      </c>
      <c r="S58" s="400">
        <f t="shared" si="14"/>
        <v>2720</v>
      </c>
      <c r="U58" s="394">
        <f>+IFERROR(VLOOKUP(C58,'Stock CD'!B:I,8,0),0)</f>
        <v>0</v>
      </c>
      <c r="V58" s="509">
        <f t="shared" si="15"/>
        <v>576</v>
      </c>
      <c r="X58" s="444">
        <f>+SUMIFS('Conteo 24-02'!F:F,'Conteo 24-02'!$A:$A,$C58)</f>
        <v>2</v>
      </c>
      <c r="Y58" s="304">
        <f>+SUMIFS('Conteo 24-02'!G:G,'Conteo 24-02'!$A:$A,$C58)</f>
        <v>720</v>
      </c>
      <c r="Z58" s="507">
        <v>1000</v>
      </c>
      <c r="AB58" s="424" t="s">
        <v>1466</v>
      </c>
      <c r="AC58" s="409">
        <f>IF(C58="Corb-LK",SUMIFS('Est Madre LK 10-25'!C:C,'Est Madre LK 10-25'!D:D,"si"),IF(C58="Corb-CH",SUMIFS('Est Madre CH 10-25'!C:C,'Est Madre CH 10-25'!D:D,"si"),0)+IFERROR(VLOOKUP(C58,'Est Madre LK 10-25'!$A:$C,3,),IFERROR(VLOOKUP(C58,'Est Madre CH 10-25'!$A:$C,3,),0)))</f>
        <v>144</v>
      </c>
      <c r="AD58" s="359">
        <v>12000</v>
      </c>
      <c r="AE58" s="260">
        <v>12</v>
      </c>
      <c r="AF58" s="323">
        <v>68.569999999999993</v>
      </c>
      <c r="AG58" s="552" t="s">
        <v>1716</v>
      </c>
      <c r="AH58" s="260" t="s">
        <v>1213</v>
      </c>
      <c r="AI58" s="333">
        <v>4</v>
      </c>
      <c r="AK58" s="424">
        <v>100</v>
      </c>
      <c r="AL58" s="333">
        <v>0</v>
      </c>
    </row>
    <row r="59" spans="1:38" ht="18" customHeight="1" x14ac:dyDescent="0.3">
      <c r="A59" t="s">
        <v>1466</v>
      </c>
      <c r="B59" s="414">
        <v>1206700</v>
      </c>
      <c r="C59" s="433">
        <v>299</v>
      </c>
      <c r="D59" s="260" t="str">
        <f>+VLOOKUP(C59,'Conteo 24-02'!$A$8:$D$246,4,0)</f>
        <v>G8B</v>
      </c>
      <c r="E59" s="320" t="s">
        <v>746</v>
      </c>
      <c r="F59" s="327" t="s">
        <v>1322</v>
      </c>
      <c r="G59" s="499"/>
      <c r="H59" s="470"/>
      <c r="J59" s="751">
        <f t="shared" si="9"/>
        <v>0.77160493827160492</v>
      </c>
      <c r="K59" s="478">
        <f t="shared" si="10"/>
        <v>0.77160493827160492</v>
      </c>
      <c r="M59" s="726">
        <f t="shared" si="11"/>
        <v>296</v>
      </c>
      <c r="N59" s="377">
        <f t="shared" si="12"/>
        <v>1296</v>
      </c>
      <c r="O59" s="343">
        <f t="shared" si="13"/>
        <v>1000</v>
      </c>
      <c r="P59" s="613"/>
      <c r="R59" s="397">
        <f>+IFERROR(SUMIFS('Stock CD'!D:D,C336,'Stock CD'!C:C),0)</f>
        <v>0</v>
      </c>
      <c r="S59" s="400">
        <f t="shared" si="14"/>
        <v>1000</v>
      </c>
      <c r="U59" s="397">
        <f>+IFERROR(VLOOKUP(C59,'Stock CD'!B:I,8,0),0)</f>
        <v>0</v>
      </c>
      <c r="V59" s="400">
        <f t="shared" si="15"/>
        <v>1296</v>
      </c>
      <c r="X59" s="444">
        <f>+SUMIFS('Conteo 24-02'!F:F,'Conteo 24-02'!$A:$A,$C59)</f>
        <v>1</v>
      </c>
      <c r="Y59" s="304">
        <f>+SUMIFS('Conteo 24-02'!G:G,'Conteo 24-02'!$A:$A,$C59)</f>
        <v>0</v>
      </c>
      <c r="Z59" s="507">
        <v>1000</v>
      </c>
      <c r="AB59" s="424" t="s">
        <v>1466</v>
      </c>
      <c r="AC59" s="409">
        <f>IF(C59="Corb-LK",SUMIFS('Est Madre LK 10-25'!C:C,'Est Madre LK 10-25'!D:D,"si"),IF(C59="Corb-CH",SUMIFS('Est Madre CH 10-25'!C:C,'Est Madre CH 10-25'!D:D,"si"),0)+IFERROR(VLOOKUP(C59,'Est Madre LK 10-25'!$A:$C,3,),IFERROR(VLOOKUP(C59,'Est Madre CH 10-25'!$A:$C,3,),0)))</f>
        <v>324</v>
      </c>
      <c r="AD59" s="359">
        <v>12000</v>
      </c>
      <c r="AE59" s="260">
        <v>12</v>
      </c>
      <c r="AF59" s="323">
        <v>68.570279999999997</v>
      </c>
      <c r="AG59" s="552" t="s">
        <v>1716</v>
      </c>
      <c r="AH59" s="260" t="s">
        <v>1213</v>
      </c>
      <c r="AI59" s="333">
        <v>4</v>
      </c>
      <c r="AK59" s="424">
        <v>100</v>
      </c>
      <c r="AL59" s="333">
        <v>0</v>
      </c>
    </row>
    <row r="60" spans="1:38" ht="18" customHeight="1" x14ac:dyDescent="0.3">
      <c r="A60" t="s">
        <v>1466</v>
      </c>
      <c r="B60" s="302"/>
      <c r="C60" s="433">
        <v>207</v>
      </c>
      <c r="D60" s="260" t="str">
        <f>+VLOOKUP(C60,'Conteo 24-02'!$A$8:$D$246,4,0)</f>
        <v>G3A</v>
      </c>
      <c r="E60" s="320" t="s">
        <v>746</v>
      </c>
      <c r="F60" s="327" t="s">
        <v>1711</v>
      </c>
      <c r="G60" s="499"/>
      <c r="H60" s="470"/>
      <c r="J60" s="751">
        <f t="shared" si="9"/>
        <v>0.54166666666666663</v>
      </c>
      <c r="K60" s="792">
        <f t="shared" si="10"/>
        <v>0.54166666666666663</v>
      </c>
      <c r="M60" s="726">
        <f t="shared" si="11"/>
        <v>1100</v>
      </c>
      <c r="N60" s="377">
        <f t="shared" si="12"/>
        <v>2400</v>
      </c>
      <c r="O60" s="343">
        <f t="shared" si="13"/>
        <v>1300</v>
      </c>
      <c r="P60" s="613"/>
      <c r="R60" s="394">
        <f>+IFERROR(SUMIFS('Stock CD'!D:D,C337,'Stock CD'!C:C),0)</f>
        <v>0</v>
      </c>
      <c r="S60" s="400">
        <f t="shared" si="14"/>
        <v>1300</v>
      </c>
      <c r="U60" s="394">
        <f>+IFERROR(VLOOKUP(C60,'Stock CD'!B:I,8,0),0)</f>
        <v>0</v>
      </c>
      <c r="V60" s="509">
        <f t="shared" si="15"/>
        <v>2400</v>
      </c>
      <c r="X60" s="444">
        <f>+SUMIFS('Conteo 24-02'!F:F,'Conteo 24-02'!$A:$A,$C60)</f>
        <v>1</v>
      </c>
      <c r="Y60" s="304">
        <f>+SUMIFS('Conteo 24-02'!G:G,'Conteo 24-02'!$A:$A,$C60)</f>
        <v>300</v>
      </c>
      <c r="Z60" s="507">
        <v>1000</v>
      </c>
      <c r="AB60" s="424" t="s">
        <v>1466</v>
      </c>
      <c r="AC60" s="409">
        <f>IF(C60="Corb-LK",SUMIFS('Est Madre LK 10-25'!C:C,'Est Madre LK 10-25'!D:D,"si"),IF(C60="Corb-CH",SUMIFS('Est Madre CH 10-25'!C:C,'Est Madre CH 10-25'!D:D,"si"),0)+IFERROR(VLOOKUP(C60,'Est Madre LK 10-25'!$A:$C,3,),IFERROR(VLOOKUP(C60,'Est Madre CH 10-25'!$A:$C,3,),0)))</f>
        <v>600</v>
      </c>
      <c r="AD60" s="359">
        <v>12000</v>
      </c>
      <c r="AE60" s="260">
        <v>12</v>
      </c>
      <c r="AF60" s="323">
        <v>68.569999999999993</v>
      </c>
      <c r="AG60" s="552" t="s">
        <v>1716</v>
      </c>
      <c r="AH60" s="260" t="s">
        <v>1213</v>
      </c>
      <c r="AI60" s="333">
        <v>4</v>
      </c>
      <c r="AK60" s="424">
        <v>100</v>
      </c>
      <c r="AL60" s="333">
        <v>0</v>
      </c>
    </row>
    <row r="61" spans="1:38" ht="18" customHeight="1" x14ac:dyDescent="0.3">
      <c r="A61" t="s">
        <v>1466</v>
      </c>
      <c r="B61" s="302">
        <v>1267700</v>
      </c>
      <c r="C61" s="433">
        <v>517</v>
      </c>
      <c r="D61" s="260" t="str">
        <f>+VLOOKUP(C61,'Conteo 24-02'!$A$8:$D$246,4,0)</f>
        <v>G2A</v>
      </c>
      <c r="E61" s="320" t="s">
        <v>746</v>
      </c>
      <c r="F61" s="327" t="s">
        <v>1363</v>
      </c>
      <c r="G61" s="499"/>
      <c r="H61" s="470"/>
      <c r="J61" s="751">
        <f t="shared" si="9"/>
        <v>0</v>
      </c>
      <c r="K61" s="478">
        <f t="shared" si="10"/>
        <v>0</v>
      </c>
      <c r="M61" s="726">
        <f t="shared" si="11"/>
        <v>0</v>
      </c>
      <c r="N61" s="377">
        <f t="shared" si="12"/>
        <v>0</v>
      </c>
      <c r="O61" s="343">
        <f t="shared" si="13"/>
        <v>0</v>
      </c>
      <c r="P61" s="613"/>
      <c r="R61" s="397">
        <f>+IFERROR(SUMIFS('Stock CD'!D:D,C338,'Stock CD'!C:C),0)</f>
        <v>0</v>
      </c>
      <c r="S61" s="400">
        <f t="shared" si="14"/>
        <v>0</v>
      </c>
      <c r="U61" s="397">
        <f>+IFERROR(VLOOKUP(C61,'Stock CD'!B:I,8,0),0)</f>
        <v>0</v>
      </c>
      <c r="V61" s="400">
        <f t="shared" si="15"/>
        <v>0</v>
      </c>
      <c r="X61" s="444">
        <f>+SUMIFS('Conteo 24-02'!F:F,'Conteo 24-02'!$A:$A,$C61)</f>
        <v>0</v>
      </c>
      <c r="Y61" s="304">
        <f>+SUMIFS('Conteo 24-02'!G:G,'Conteo 24-02'!$A:$A,$C61)</f>
        <v>0</v>
      </c>
      <c r="Z61" s="507">
        <v>1000</v>
      </c>
      <c r="AB61" s="424" t="s">
        <v>1466</v>
      </c>
      <c r="AC61" s="409">
        <f>IF(C61="Corb-LK",SUMIFS('Est Madre LK 10-25'!C:C,'Est Madre LK 10-25'!D:D,"si"),IF(C61="Corb-CH",SUMIFS('Est Madre CH 10-25'!C:C,'Est Madre CH 10-25'!D:D,"si"),0)+IFERROR(VLOOKUP(C61,'Est Madre LK 10-25'!$A:$C,3,),IFERROR(VLOOKUP(C61,'Est Madre CH 10-25'!$A:$C,3,),0)))</f>
        <v>0</v>
      </c>
      <c r="AD61" s="359">
        <v>12000</v>
      </c>
      <c r="AE61" s="260">
        <v>12</v>
      </c>
      <c r="AF61" s="323">
        <v>0</v>
      </c>
      <c r="AG61" s="552" t="s">
        <v>1716</v>
      </c>
      <c r="AH61" s="260" t="s">
        <v>1213</v>
      </c>
      <c r="AI61" s="333">
        <v>4</v>
      </c>
      <c r="AK61" s="424">
        <v>100</v>
      </c>
      <c r="AL61" s="333">
        <v>0</v>
      </c>
    </row>
    <row r="62" spans="1:38" ht="18" customHeight="1" x14ac:dyDescent="0.3">
      <c r="A62" t="s">
        <v>1466</v>
      </c>
      <c r="B62" s="302"/>
      <c r="C62" s="433">
        <v>561</v>
      </c>
      <c r="D62" s="260" t="str">
        <f>+VLOOKUP(C62,'Conteo 24-02'!$A$8:$D$246,4,0)</f>
        <v>G4A</v>
      </c>
      <c r="E62" s="320" t="s">
        <v>746</v>
      </c>
      <c r="F62" s="327" t="s">
        <v>1523</v>
      </c>
      <c r="G62" s="499"/>
      <c r="H62" s="470"/>
      <c r="J62" s="751">
        <f t="shared" si="9"/>
        <v>0</v>
      </c>
      <c r="K62" s="792">
        <f t="shared" si="10"/>
        <v>0</v>
      </c>
      <c r="M62" s="726">
        <f t="shared" si="11"/>
        <v>0</v>
      </c>
      <c r="N62" s="377">
        <f t="shared" si="12"/>
        <v>0</v>
      </c>
      <c r="O62" s="343">
        <f t="shared" si="13"/>
        <v>0</v>
      </c>
      <c r="P62" s="613"/>
      <c r="R62" s="394">
        <f>+IFERROR(SUMIFS('Stock CD'!D:D,C339,'Stock CD'!C:C),0)</f>
        <v>0</v>
      </c>
      <c r="S62" s="400">
        <f t="shared" si="14"/>
        <v>0</v>
      </c>
      <c r="U62" s="394">
        <f>+IFERROR(VLOOKUP(C62,'Stock CD'!B:I,8,0),0)</f>
        <v>0</v>
      </c>
      <c r="V62" s="509">
        <f t="shared" si="15"/>
        <v>0</v>
      </c>
      <c r="X62" s="444">
        <f>+SUMIFS('Conteo 24-02'!F:F,'Conteo 24-02'!$A:$A,$C62)</f>
        <v>0</v>
      </c>
      <c r="Y62" s="304">
        <f>+SUMIFS('Conteo 24-02'!G:G,'Conteo 24-02'!$A:$A,$C62)</f>
        <v>0</v>
      </c>
      <c r="Z62" s="507">
        <v>1000</v>
      </c>
      <c r="AB62" s="424" t="s">
        <v>1466</v>
      </c>
      <c r="AC62" s="409">
        <f>IF(C62="Corb-LK",SUMIFS('Est Madre LK 10-25'!C:C,'Est Madre LK 10-25'!D:D,"si"),IF(C62="Corb-CH",SUMIFS('Est Madre CH 10-25'!C:C,'Est Madre CH 10-25'!D:D,"si"),0)+IFERROR(VLOOKUP(C62,'Est Madre LK 10-25'!$A:$C,3,),IFERROR(VLOOKUP(C62,'Est Madre CH 10-25'!$A:$C,3,),0)))</f>
        <v>0</v>
      </c>
      <c r="AD62" s="359">
        <v>12000</v>
      </c>
      <c r="AE62" s="260">
        <v>12</v>
      </c>
      <c r="AF62" s="323">
        <v>68.569999999999993</v>
      </c>
      <c r="AG62" s="552" t="s">
        <v>1716</v>
      </c>
      <c r="AH62" s="260" t="s">
        <v>1213</v>
      </c>
      <c r="AI62" s="333">
        <v>4</v>
      </c>
      <c r="AK62" s="424">
        <v>100</v>
      </c>
      <c r="AL62" s="333">
        <v>0</v>
      </c>
    </row>
    <row r="63" spans="1:38" ht="18" customHeight="1" x14ac:dyDescent="0.3">
      <c r="A63" t="s">
        <v>1466</v>
      </c>
      <c r="B63" s="302">
        <v>1206700</v>
      </c>
      <c r="C63" s="433">
        <v>508</v>
      </c>
      <c r="D63" s="260" t="str">
        <f>+VLOOKUP(C63,'Conteo 24-02'!$A$8:$D$246,4,0)</f>
        <v>G6A</v>
      </c>
      <c r="E63" s="320" t="s">
        <v>746</v>
      </c>
      <c r="F63" s="327" t="s">
        <v>1190</v>
      </c>
      <c r="G63" s="499"/>
      <c r="H63" s="470"/>
      <c r="J63" s="751">
        <f t="shared" si="9"/>
        <v>0.93452380952380953</v>
      </c>
      <c r="K63" s="792">
        <f t="shared" si="10"/>
        <v>0.93452380952380953</v>
      </c>
      <c r="M63" s="726">
        <f t="shared" si="11"/>
        <v>110</v>
      </c>
      <c r="N63" s="377">
        <f t="shared" si="12"/>
        <v>1680</v>
      </c>
      <c r="O63" s="343">
        <f t="shared" si="13"/>
        <v>1570</v>
      </c>
      <c r="P63" s="613"/>
      <c r="R63" s="394">
        <f>+IFERROR(SUMIFS('Stock CD'!D:D,C334,'Stock CD'!C:C),0)</f>
        <v>0</v>
      </c>
      <c r="S63" s="400">
        <f t="shared" si="14"/>
        <v>1570</v>
      </c>
      <c r="U63" s="394">
        <f>+IFERROR(VLOOKUP(C63,'Stock CD'!B:I,8,0),0)</f>
        <v>0</v>
      </c>
      <c r="V63" s="509">
        <f t="shared" si="15"/>
        <v>1680</v>
      </c>
      <c r="X63" s="444">
        <f>+SUMIFS('Conteo 24-02'!F:F,'Conteo 24-02'!$A:$A,$C63)</f>
        <v>1</v>
      </c>
      <c r="Y63" s="304">
        <f>+SUMIFS('Conteo 24-02'!G:G,'Conteo 24-02'!$A:$A,$C63)</f>
        <v>570</v>
      </c>
      <c r="Z63" s="507">
        <v>1000</v>
      </c>
      <c r="AB63" s="424" t="s">
        <v>1466</v>
      </c>
      <c r="AC63" s="409">
        <f>IF(C63="Corb-LK",SUMIFS('Est Madre LK 10-25'!C:C,'Est Madre LK 10-25'!D:D,"si"),IF(C63="Corb-CH",SUMIFS('Est Madre CH 10-25'!C:C,'Est Madre CH 10-25'!D:D,"si"),0)+IFERROR(VLOOKUP(C63,'Est Madre LK 10-25'!$A:$C,3,),IFERROR(VLOOKUP(C63,'Est Madre CH 10-25'!$A:$C,3,),0)))</f>
        <v>420</v>
      </c>
      <c r="AD63" s="359">
        <v>12000</v>
      </c>
      <c r="AE63" s="260">
        <v>12</v>
      </c>
      <c r="AF63" s="323">
        <v>68.570279999999997</v>
      </c>
      <c r="AG63" s="552" t="s">
        <v>1716</v>
      </c>
      <c r="AH63" s="260" t="s">
        <v>1213</v>
      </c>
      <c r="AI63" s="333">
        <v>4</v>
      </c>
      <c r="AK63" s="424">
        <v>100</v>
      </c>
      <c r="AL63" s="333">
        <v>0</v>
      </c>
    </row>
    <row r="64" spans="1:38" ht="18" customHeight="1" thickBot="1" x14ac:dyDescent="0.35">
      <c r="A64" t="s">
        <v>1466</v>
      </c>
      <c r="B64" s="493"/>
      <c r="C64" s="443">
        <v>0</v>
      </c>
      <c r="D64" s="262" t="e">
        <f>+VLOOKUP(C64,'Conteo 24-02'!$A$8:$D$246,4,0)</f>
        <v>#N/A</v>
      </c>
      <c r="E64" s="322" t="s">
        <v>746</v>
      </c>
      <c r="F64" s="355" t="s">
        <v>1760</v>
      </c>
      <c r="G64" s="580"/>
      <c r="H64" s="471"/>
      <c r="J64" s="750">
        <f t="shared" ref="J64" si="16">+IFERROR(O64/N64,0)</f>
        <v>0</v>
      </c>
      <c r="K64" s="793">
        <f t="shared" ref="K64" si="17">+IFERROR(S64/V64,0)</f>
        <v>0</v>
      </c>
      <c r="M64" s="659">
        <f t="shared" ref="M64" si="18">IF(N64-O64-P64&lt;0,0,N64-O64-P64)</f>
        <v>0</v>
      </c>
      <c r="N64" s="378">
        <f t="shared" ref="N64" si="19">+IFERROR(AC64*AI64,0)</f>
        <v>0</v>
      </c>
      <c r="O64" s="345">
        <f t="shared" ref="O64" si="20">+(X64*Z64)+Y64</f>
        <v>0</v>
      </c>
      <c r="P64" s="614"/>
      <c r="R64" s="752">
        <f>+IFERROR(SUMIFS('Stock CD'!D:D,C335,'Stock CD'!C:C),0)</f>
        <v>0</v>
      </c>
      <c r="S64" s="401">
        <f t="shared" ref="S64" si="21">+R64+O64</f>
        <v>0</v>
      </c>
      <c r="U64" s="752">
        <f>+IFERROR(VLOOKUP(C64,'Stock CD'!B:I,8,0),0)</f>
        <v>0</v>
      </c>
      <c r="V64" s="753">
        <f t="shared" ref="V64" si="22">+U64+N64</f>
        <v>0</v>
      </c>
      <c r="X64" s="445">
        <f>+SUMIFS('Conteo 24-02'!F:F,'Conteo 24-02'!$A:$A,$C64)</f>
        <v>0</v>
      </c>
      <c r="Y64" s="305">
        <f>+SUMIFS('Conteo 24-02'!G:G,'Conteo 24-02'!$A:$A,$C64)</f>
        <v>0</v>
      </c>
      <c r="Z64" s="508">
        <v>1000</v>
      </c>
      <c r="AB64" s="425" t="s">
        <v>1466</v>
      </c>
      <c r="AC64" s="423">
        <f>IF(C64="Corb-LK",SUMIFS('Est Madre LK 10-25'!C:C,'Est Madre LK 10-25'!D:D,"si"),IF(C64="Corb-CH",SUMIFS('Est Madre CH 10-25'!C:C,'Est Madre CH 10-25'!D:D,"si"),0)+IFERROR(VLOOKUP(C64,'Est Madre LK 10-25'!$A:$C,3,),IFERROR(VLOOKUP(C64,'Est Madre CH 10-25'!$A:$C,3,),0)))</f>
        <v>0</v>
      </c>
      <c r="AD64" s="361">
        <v>12000</v>
      </c>
      <c r="AE64" s="262">
        <v>12</v>
      </c>
      <c r="AF64" s="325">
        <v>68.570279999999997</v>
      </c>
      <c r="AG64" s="554" t="s">
        <v>1716</v>
      </c>
      <c r="AH64" s="262" t="s">
        <v>1213</v>
      </c>
      <c r="AI64" s="335">
        <v>4</v>
      </c>
      <c r="AK64" s="425">
        <v>100</v>
      </c>
      <c r="AL64" s="335">
        <v>0</v>
      </c>
    </row>
    <row r="65" spans="1:38" ht="18" customHeight="1" x14ac:dyDescent="0.3">
      <c r="B65" s="346"/>
      <c r="C65" s="294"/>
      <c r="D65" s="127"/>
      <c r="E65" s="299"/>
      <c r="F65" s="308"/>
      <c r="G65" s="578"/>
      <c r="H65" s="308"/>
      <c r="J65" s="452"/>
      <c r="K65" s="500"/>
      <c r="M65" s="611">
        <f>+SUM(M36:M64)</f>
        <v>23998</v>
      </c>
      <c r="N65" s="379"/>
      <c r="O65" s="336"/>
      <c r="P65" s="611"/>
      <c r="R65" s="501"/>
      <c r="S65" s="454"/>
      <c r="U65" s="501"/>
      <c r="V65" s="501"/>
      <c r="X65" s="307"/>
      <c r="Y65" s="307"/>
      <c r="Z65" s="384"/>
      <c r="AC65" s="382"/>
      <c r="AD65" s="384"/>
      <c r="AE65" s="127"/>
      <c r="AF65" s="348"/>
      <c r="AG65" s="550"/>
      <c r="AH65" s="127"/>
    </row>
    <row r="66" spans="1:38" ht="18" customHeight="1" thickBot="1" x14ac:dyDescent="0.35">
      <c r="B66" s="346"/>
      <c r="C66" s="294"/>
      <c r="E66" s="299"/>
      <c r="F66" s="308"/>
      <c r="G66" s="578"/>
      <c r="H66" s="308"/>
      <c r="J66" s="452"/>
      <c r="K66" s="453"/>
      <c r="M66" s="611"/>
      <c r="N66" s="379"/>
      <c r="O66" s="336"/>
      <c r="P66" s="611"/>
      <c r="Q66" s="627"/>
      <c r="R66" s="454"/>
      <c r="S66" s="454"/>
      <c r="U66" s="454"/>
      <c r="V66" s="454"/>
      <c r="X66" s="307"/>
      <c r="Y66" s="307"/>
      <c r="Z66" s="384"/>
      <c r="AC66" s="382"/>
      <c r="AD66" s="384"/>
      <c r="AE66" s="127"/>
      <c r="AF66" s="348"/>
      <c r="AG66" s="550"/>
      <c r="AH66" s="127"/>
    </row>
    <row r="67" spans="1:38" s="381" customFormat="1" ht="30" customHeight="1" thickBot="1" x14ac:dyDescent="0.3">
      <c r="B67" s="966" t="s">
        <v>1736</v>
      </c>
      <c r="C67" s="967"/>
      <c r="D67" s="967"/>
      <c r="E67" s="967"/>
      <c r="F67" s="967"/>
      <c r="G67" s="967"/>
      <c r="H67" s="968"/>
      <c r="J67" s="693"/>
      <c r="K67" s="694"/>
      <c r="L67" s="506"/>
      <c r="M67" s="662"/>
      <c r="N67" s="630"/>
      <c r="O67" s="630"/>
      <c r="P67" s="662"/>
      <c r="Q67" s="506"/>
      <c r="R67" s="662"/>
      <c r="S67" s="662"/>
      <c r="T67" s="506"/>
      <c r="U67" s="662"/>
      <c r="V67" s="662"/>
      <c r="W67" s="506"/>
      <c r="X67" s="662"/>
      <c r="Y67" s="662"/>
      <c r="Z67" s="630"/>
      <c r="AA67" s="506"/>
      <c r="AB67" s="662"/>
      <c r="AC67" s="662"/>
      <c r="AD67" s="630"/>
      <c r="AE67" s="662"/>
      <c r="AF67" s="662"/>
      <c r="AG67" s="662"/>
      <c r="AH67" s="662"/>
      <c r="AI67" s="662"/>
    </row>
    <row r="68" spans="1:38" ht="18" customHeight="1" x14ac:dyDescent="0.3">
      <c r="A68" t="s">
        <v>1466</v>
      </c>
      <c r="B68" s="414">
        <v>1206700</v>
      </c>
      <c r="C68" s="433">
        <v>543</v>
      </c>
      <c r="D68" s="260" t="str">
        <f>+VLOOKUP(C68,'Conteo 24-02'!$A$8:$D$246,4,0)</f>
        <v>G5B</v>
      </c>
      <c r="E68" s="320" t="s">
        <v>746</v>
      </c>
      <c r="F68" s="327" t="s">
        <v>1180</v>
      </c>
      <c r="G68" s="499"/>
      <c r="H68" s="470"/>
      <c r="J68" s="751">
        <f t="shared" ref="J68:J90" si="23">+IFERROR(O68/N68,0)</f>
        <v>1.3804713804713804</v>
      </c>
      <c r="K68" s="778">
        <f>+IFERROR(S68/V68,0)</f>
        <v>1.3804713804713804</v>
      </c>
      <c r="M68" s="615">
        <f t="shared" ref="M68:M90" si="24">IF(N68-O68-P68&lt;0,0,N68-O68-P68)</f>
        <v>0</v>
      </c>
      <c r="N68" s="377">
        <f t="shared" ref="N68:N90" si="25">+IFERROR(AC68*AI68,0)</f>
        <v>1188</v>
      </c>
      <c r="O68" s="343">
        <f t="shared" ref="O68:O90" si="26">+(X68*Z68)+Y68</f>
        <v>1640</v>
      </c>
      <c r="P68" s="613"/>
      <c r="R68" s="397">
        <f>+IFERROR(SUMIFS('Stock CD'!D:D,C275,'Stock CD'!C:C),0)</f>
        <v>0</v>
      </c>
      <c r="S68" s="400">
        <f t="shared" ref="S68:S90" si="27">+R68+O68</f>
        <v>1640</v>
      </c>
      <c r="U68" s="397">
        <f>+IFERROR(VLOOKUP(C68,'Stock CD'!B:I,8,0),0)</f>
        <v>0</v>
      </c>
      <c r="V68" s="400">
        <f t="shared" ref="V68:V90" si="28">+U68+N68</f>
        <v>1188</v>
      </c>
      <c r="X68" s="444">
        <f>+SUMIFS('Conteo 24-02'!F:F,'Conteo 24-02'!$A:$A,$C68)</f>
        <v>0</v>
      </c>
      <c r="Y68" s="304">
        <f>+SUMIFS('Conteo 24-02'!G:G,'Conteo 24-02'!$A:$A,$C68)</f>
        <v>1640</v>
      </c>
      <c r="Z68" s="507">
        <v>1000</v>
      </c>
      <c r="AB68" s="424" t="s">
        <v>1466</v>
      </c>
      <c r="AC68" s="409">
        <f>IF(C68="Corb-LK",SUMIFS('Est Madre LK 10-25'!C:C,'Est Madre LK 10-25'!D:D,"si"),IF(C68="Corb-CH",SUMIFS('Est Madre CH 10-25'!C:C,'Est Madre CH 10-25'!D:D,"si"),0)+IFERROR(VLOOKUP(C68,'Est Madre LK 10-25'!$A:$C,3,),IFERROR(VLOOKUP(C68,'Est Madre CH 10-25'!$A:$C,3,),0)))</f>
        <v>396</v>
      </c>
      <c r="AD68" s="359">
        <v>12000</v>
      </c>
      <c r="AE68" s="260">
        <v>25</v>
      </c>
      <c r="AF68" s="323">
        <v>68.570279999999997</v>
      </c>
      <c r="AG68" s="552" t="s">
        <v>1690</v>
      </c>
      <c r="AH68" s="260" t="s">
        <v>1655</v>
      </c>
      <c r="AI68" s="333">
        <v>3</v>
      </c>
      <c r="AK68" s="393">
        <v>100</v>
      </c>
      <c r="AL68" s="331">
        <v>0</v>
      </c>
    </row>
    <row r="69" spans="1:38" ht="18" customHeight="1" x14ac:dyDescent="0.3">
      <c r="A69" t="s">
        <v>1466</v>
      </c>
      <c r="B69" s="414">
        <v>1206700</v>
      </c>
      <c r="C69" s="433">
        <v>542</v>
      </c>
      <c r="D69" s="260" t="str">
        <f>+VLOOKUP(C69,'Conteo 24-02'!$A$8:$D$246,4,0)</f>
        <v>G5A</v>
      </c>
      <c r="E69" s="320" t="s">
        <v>746</v>
      </c>
      <c r="F69" s="327" t="s">
        <v>1179</v>
      </c>
      <c r="G69" s="499">
        <v>1000</v>
      </c>
      <c r="H69" s="470">
        <v>20</v>
      </c>
      <c r="J69" s="751">
        <f t="shared" si="23"/>
        <v>0.43402777777777779</v>
      </c>
      <c r="K69" s="778">
        <f>+IFERROR(S69/V69,0)</f>
        <v>0.43402777777777779</v>
      </c>
      <c r="M69" s="615">
        <f t="shared" si="24"/>
        <v>652</v>
      </c>
      <c r="N69" s="377">
        <f t="shared" si="25"/>
        <v>1152</v>
      </c>
      <c r="O69" s="343">
        <f t="shared" si="26"/>
        <v>500</v>
      </c>
      <c r="P69" s="613"/>
      <c r="R69" s="397">
        <f>+IFERROR(SUMIFS('Stock CD'!D:D,C277,'Stock CD'!C:C),0)</f>
        <v>0</v>
      </c>
      <c r="S69" s="400">
        <f t="shared" si="27"/>
        <v>500</v>
      </c>
      <c r="U69" s="397">
        <f>+IFERROR(VLOOKUP(C69,'Stock CD'!B:I,8,0),0)</f>
        <v>0</v>
      </c>
      <c r="V69" s="400">
        <f t="shared" si="28"/>
        <v>1152</v>
      </c>
      <c r="X69" s="444">
        <f>+SUMIFS('Conteo 24-02'!F:F,'Conteo 24-02'!$A:$A,$C69)</f>
        <v>0</v>
      </c>
      <c r="Y69" s="304">
        <f>+SUMIFS('Conteo 24-02'!G:G,'Conteo 24-02'!$A:$A,$C69)</f>
        <v>500</v>
      </c>
      <c r="Z69" s="507">
        <v>1000</v>
      </c>
      <c r="AB69" s="424" t="s">
        <v>1466</v>
      </c>
      <c r="AC69" s="409">
        <f>IF(C69="Corb-LK",SUMIFS('Est Madre LK 10-25'!C:C,'Est Madre LK 10-25'!D:D,"si"),IF(C69="Corb-CH",SUMIFS('Est Madre CH 10-25'!C:C,'Est Madre CH 10-25'!D:D,"si"),0)+IFERROR(VLOOKUP(C69,'Est Madre LK 10-25'!$A:$C,3,),IFERROR(VLOOKUP(C69,'Est Madre CH 10-25'!$A:$C,3,),0)))</f>
        <v>384</v>
      </c>
      <c r="AD69" s="359">
        <v>12000</v>
      </c>
      <c r="AE69" s="260">
        <v>25</v>
      </c>
      <c r="AF69" s="323">
        <v>68.570279999999997</v>
      </c>
      <c r="AG69" s="552" t="s">
        <v>1690</v>
      </c>
      <c r="AH69" s="260" t="s">
        <v>1655</v>
      </c>
      <c r="AI69" s="333">
        <v>3</v>
      </c>
      <c r="AK69" s="424">
        <v>100</v>
      </c>
      <c r="AL69" s="333">
        <v>0</v>
      </c>
    </row>
    <row r="70" spans="1:38" ht="18" customHeight="1" x14ac:dyDescent="0.3">
      <c r="A70" t="s">
        <v>1466</v>
      </c>
      <c r="B70" s="414">
        <v>1206700</v>
      </c>
      <c r="C70" s="433">
        <v>534</v>
      </c>
      <c r="D70" s="260" t="e">
        <f>+VLOOKUP(C70,'Conteo 24-02'!$A$8:$D$246,4,0)</f>
        <v>#N/A</v>
      </c>
      <c r="E70" s="320" t="s">
        <v>746</v>
      </c>
      <c r="F70" s="327" t="s">
        <v>808</v>
      </c>
      <c r="G70" s="499"/>
      <c r="H70" s="470"/>
      <c r="J70" s="751">
        <f t="shared" si="23"/>
        <v>0</v>
      </c>
      <c r="K70" s="778">
        <f t="shared" ref="K70:K74" si="29">+IFERROR(S70/V70,0)</f>
        <v>0</v>
      </c>
      <c r="M70" s="615">
        <f t="shared" si="24"/>
        <v>432</v>
      </c>
      <c r="N70" s="377">
        <f t="shared" si="25"/>
        <v>432</v>
      </c>
      <c r="O70" s="343">
        <f t="shared" si="26"/>
        <v>0</v>
      </c>
      <c r="P70" s="613"/>
      <c r="R70" s="397">
        <f>+IFERROR(SUMIFS('Stock CD'!D:D,C279,'Stock CD'!C:C),0)</f>
        <v>0</v>
      </c>
      <c r="S70" s="400">
        <f t="shared" si="27"/>
        <v>0</v>
      </c>
      <c r="U70" s="397">
        <f>+IFERROR(VLOOKUP(C70,'Stock CD'!B:I,8,0),0)</f>
        <v>0</v>
      </c>
      <c r="V70" s="400">
        <f t="shared" si="28"/>
        <v>432</v>
      </c>
      <c r="X70" s="444">
        <f>+SUMIFS('Conteo 24-02'!F:F,'Conteo 24-02'!$A:$A,$C70)</f>
        <v>0</v>
      </c>
      <c r="Y70" s="304">
        <f>+SUMIFS('Conteo 24-02'!G:G,'Conteo 24-02'!$A:$A,$C70)</f>
        <v>0</v>
      </c>
      <c r="Z70" s="507">
        <v>1000</v>
      </c>
      <c r="AB70" s="424" t="s">
        <v>1466</v>
      </c>
      <c r="AC70" s="409">
        <f>IF(C70="Corb-LK",SUMIFS('Est Madre LK 10-25'!C:C,'Est Madre LK 10-25'!D:D,"si"),IF(C70="Corb-CH",SUMIFS('Est Madre CH 10-25'!C:C,'Est Madre CH 10-25'!D:D,"si"),0)+IFERROR(VLOOKUP(C70,'Est Madre LK 10-25'!$A:$C,3,),IFERROR(VLOOKUP(C70,'Est Madre CH 10-25'!$A:$C,3,),0)))</f>
        <v>144</v>
      </c>
      <c r="AD70" s="359">
        <v>25000</v>
      </c>
      <c r="AE70" s="260">
        <v>25</v>
      </c>
      <c r="AF70" s="323">
        <v>0</v>
      </c>
      <c r="AG70" s="552" t="s">
        <v>1690</v>
      </c>
      <c r="AH70" s="260" t="s">
        <v>1655</v>
      </c>
      <c r="AI70" s="333">
        <v>3</v>
      </c>
      <c r="AK70" s="424">
        <v>100</v>
      </c>
      <c r="AL70" s="333">
        <v>0</v>
      </c>
    </row>
    <row r="71" spans="1:38" ht="18" customHeight="1" x14ac:dyDescent="0.3">
      <c r="A71" t="s">
        <v>1466</v>
      </c>
      <c r="B71" s="414">
        <v>1206700</v>
      </c>
      <c r="C71" s="433">
        <v>555</v>
      </c>
      <c r="D71" s="260" t="str">
        <f>+VLOOKUP(C71,'Conteo 24-02'!$A$8:$D$246,4,0)</f>
        <v>V2E</v>
      </c>
      <c r="E71" s="320" t="s">
        <v>746</v>
      </c>
      <c r="F71" s="327" t="s">
        <v>1239</v>
      </c>
      <c r="G71" s="499">
        <v>4000</v>
      </c>
      <c r="H71" s="470">
        <v>19</v>
      </c>
      <c r="J71" s="751">
        <f t="shared" si="23"/>
        <v>0.37037037037037035</v>
      </c>
      <c r="K71" s="778">
        <f t="shared" si="29"/>
        <v>0.37037037037037035</v>
      </c>
      <c r="M71" s="615">
        <f t="shared" si="24"/>
        <v>3400</v>
      </c>
      <c r="N71" s="377">
        <f t="shared" si="25"/>
        <v>5400</v>
      </c>
      <c r="O71" s="343">
        <f t="shared" si="26"/>
        <v>2000</v>
      </c>
      <c r="P71" s="613"/>
      <c r="R71" s="397">
        <f>+IFERROR(SUMIFS('Stock CD'!D:D,C280,'Stock CD'!C:C),0)</f>
        <v>0</v>
      </c>
      <c r="S71" s="400">
        <f t="shared" si="27"/>
        <v>2000</v>
      </c>
      <c r="U71" s="397">
        <f>+IFERROR(VLOOKUP(C71,'Stock CD'!B:I,8,0),0)</f>
        <v>0</v>
      </c>
      <c r="V71" s="400">
        <f t="shared" si="28"/>
        <v>5400</v>
      </c>
      <c r="X71" s="444">
        <f>+SUMIFS('Conteo 24-02'!F:F,'Conteo 24-02'!$A:$A,$C71)</f>
        <v>2</v>
      </c>
      <c r="Y71" s="304">
        <f>+SUMIFS('Conteo 24-02'!G:G,'Conteo 24-02'!$A:$A,$C71)</f>
        <v>0</v>
      </c>
      <c r="Z71" s="507">
        <v>1000</v>
      </c>
      <c r="AB71" s="424" t="s">
        <v>1466</v>
      </c>
      <c r="AC71" s="409">
        <f>IF(C71="Corb-LK",SUMIFS('Est Madre LK 10-25'!C:C,'Est Madre LK 10-25'!D:D,"si"),IF(C71="Corb-CH",SUMIFS('Est Madre CH 10-25'!C:C,'Est Madre CH 10-25'!D:D,"si"),0)+IFERROR(VLOOKUP(C71,'Est Madre LK 10-25'!$A:$C,3,),IFERROR(VLOOKUP(C71,'Est Madre CH 10-25'!$A:$C,3,),0)))</f>
        <v>1800</v>
      </c>
      <c r="AD71" s="359">
        <v>25000</v>
      </c>
      <c r="AE71" s="260">
        <v>25</v>
      </c>
      <c r="AF71" s="323">
        <v>0</v>
      </c>
      <c r="AG71" s="552" t="s">
        <v>1690</v>
      </c>
      <c r="AH71" s="260" t="s">
        <v>1655</v>
      </c>
      <c r="AI71" s="333">
        <v>3</v>
      </c>
      <c r="AK71" s="424">
        <v>100</v>
      </c>
      <c r="AL71" s="333">
        <v>0</v>
      </c>
    </row>
    <row r="72" spans="1:38" ht="18" customHeight="1" x14ac:dyDescent="0.3">
      <c r="A72" t="s">
        <v>1466</v>
      </c>
      <c r="B72" s="414">
        <v>1206700</v>
      </c>
      <c r="C72" s="433">
        <v>535</v>
      </c>
      <c r="D72" s="260" t="str">
        <f>+VLOOKUP(C72,'Conteo 24-02'!$A$8:$D$246,4,0)</f>
        <v>L3C</v>
      </c>
      <c r="E72" s="320" t="s">
        <v>746</v>
      </c>
      <c r="F72" s="327" t="s">
        <v>1313</v>
      </c>
      <c r="G72" s="499"/>
      <c r="H72" s="470"/>
      <c r="J72" s="751">
        <f t="shared" si="23"/>
        <v>1.078493265993266</v>
      </c>
      <c r="K72" s="778">
        <f t="shared" si="29"/>
        <v>1.078493265993266</v>
      </c>
      <c r="M72" s="615">
        <f t="shared" si="24"/>
        <v>0</v>
      </c>
      <c r="N72" s="377">
        <f t="shared" si="25"/>
        <v>4752</v>
      </c>
      <c r="O72" s="343">
        <f t="shared" si="26"/>
        <v>5125</v>
      </c>
      <c r="P72" s="613"/>
      <c r="R72" s="397">
        <f>+IFERROR(SUMIFS('Stock CD'!D:D,C281,'Stock CD'!C:C),0)</f>
        <v>0</v>
      </c>
      <c r="S72" s="400">
        <f t="shared" si="27"/>
        <v>5125</v>
      </c>
      <c r="U72" s="397">
        <f>+IFERROR(VLOOKUP(C72,'Stock CD'!B:I,8,0),0)</f>
        <v>0</v>
      </c>
      <c r="V72" s="400">
        <f t="shared" si="28"/>
        <v>4752</v>
      </c>
      <c r="X72" s="444">
        <f>+SUMIFS('Conteo 24-02'!F:F,'Conteo 24-02'!$A:$A,$C72)</f>
        <v>4</v>
      </c>
      <c r="Y72" s="304">
        <f>+SUMIFS('Conteo 24-02'!G:G,'Conteo 24-02'!$A:$A,$C72)</f>
        <v>1125</v>
      </c>
      <c r="Z72" s="507">
        <v>1000</v>
      </c>
      <c r="AB72" s="424" t="s">
        <v>1466</v>
      </c>
      <c r="AC72" s="409">
        <f>IF(C72="Corb-LK",SUMIFS('Est Madre LK 10-25'!C:C,'Est Madre LK 10-25'!D:D,"si"),IF(C72="Corb-CH",SUMIFS('Est Madre CH 10-25'!C:C,'Est Madre CH 10-25'!D:D,"si"),0)+IFERROR(VLOOKUP(C72,'Est Madre LK 10-25'!$A:$C,3,),IFERROR(VLOOKUP(C72,'Est Madre CH 10-25'!$A:$C,3,),0)))</f>
        <v>1584</v>
      </c>
      <c r="AD72" s="359">
        <v>25000</v>
      </c>
      <c r="AE72" s="260">
        <v>25</v>
      </c>
      <c r="AF72" s="323">
        <v>0</v>
      </c>
      <c r="AG72" s="552" t="s">
        <v>1690</v>
      </c>
      <c r="AH72" s="260" t="s">
        <v>1655</v>
      </c>
      <c r="AI72" s="333">
        <v>3</v>
      </c>
      <c r="AK72" s="424">
        <v>100</v>
      </c>
      <c r="AL72" s="333">
        <v>0</v>
      </c>
    </row>
    <row r="73" spans="1:38" ht="18" customHeight="1" x14ac:dyDescent="0.3">
      <c r="A73" t="s">
        <v>1466</v>
      </c>
      <c r="B73" s="414">
        <v>1217700</v>
      </c>
      <c r="C73" s="433">
        <v>29</v>
      </c>
      <c r="D73" s="260" t="str">
        <f>+VLOOKUP(C73,'Conteo 24-02'!$A$8:$D$246,4,0)</f>
        <v>M7A</v>
      </c>
      <c r="E73" s="320" t="s">
        <v>746</v>
      </c>
      <c r="F73" s="327" t="s">
        <v>1321</v>
      </c>
      <c r="G73" s="499"/>
      <c r="H73" s="470"/>
      <c r="J73" s="751">
        <f t="shared" si="23"/>
        <v>0</v>
      </c>
      <c r="K73" s="778">
        <f t="shared" si="29"/>
        <v>0</v>
      </c>
      <c r="M73" s="615">
        <f t="shared" si="24"/>
        <v>0</v>
      </c>
      <c r="N73" s="377">
        <f t="shared" si="25"/>
        <v>0</v>
      </c>
      <c r="O73" s="343">
        <f t="shared" si="26"/>
        <v>0</v>
      </c>
      <c r="P73" s="613"/>
      <c r="R73" s="397">
        <f>+IFERROR(SUMIFS('Stock CD'!D:D,C270,'Stock CD'!C:C),0)</f>
        <v>0</v>
      </c>
      <c r="S73" s="400">
        <f t="shared" si="27"/>
        <v>0</v>
      </c>
      <c r="U73" s="397">
        <f>+IFERROR(VLOOKUP(C73,'Stock CD'!B:I,8,0),0)</f>
        <v>0</v>
      </c>
      <c r="V73" s="400">
        <f t="shared" si="28"/>
        <v>0</v>
      </c>
      <c r="X73" s="444">
        <f>+SUMIFS('Conteo 24-02'!F:F,'Conteo 24-02'!$A:$A,$C73)</f>
        <v>0</v>
      </c>
      <c r="Y73" s="304">
        <f>+SUMIFS('Conteo 24-02'!G:G,'Conteo 24-02'!$A:$A,$C73)</f>
        <v>0</v>
      </c>
      <c r="Z73" s="507">
        <v>2500</v>
      </c>
      <c r="AB73" s="424" t="s">
        <v>1466</v>
      </c>
      <c r="AC73" s="409">
        <f>IF(C73="Corb-LK",SUMIFS('Est Madre LK 10-25'!C:C,'Est Madre LK 10-25'!D:D,"si"),IF(C73="Corb-CH",SUMIFS('Est Madre CH 10-25'!C:C,'Est Madre CH 10-25'!D:D,"si"),0)+IFERROR(VLOOKUP(C73,'Est Madre LK 10-25'!$A:$C,3,),IFERROR(VLOOKUP(C73,'Est Madre CH 10-25'!$A:$C,3,),0)))</f>
        <v>0</v>
      </c>
      <c r="AD73" s="359">
        <v>12000</v>
      </c>
      <c r="AE73" s="260">
        <v>25</v>
      </c>
      <c r="AF73" s="323">
        <v>31.048200000000001</v>
      </c>
      <c r="AG73" s="552" t="s">
        <v>1690</v>
      </c>
      <c r="AH73" s="260" t="s">
        <v>1655</v>
      </c>
      <c r="AI73" s="333">
        <v>3</v>
      </c>
      <c r="AK73" s="424">
        <v>100</v>
      </c>
      <c r="AL73" s="333">
        <v>0</v>
      </c>
    </row>
    <row r="74" spans="1:38" ht="18" customHeight="1" x14ac:dyDescent="0.3">
      <c r="A74" t="s">
        <v>1466</v>
      </c>
      <c r="B74" s="414">
        <v>1217700</v>
      </c>
      <c r="C74" s="433">
        <v>30</v>
      </c>
      <c r="D74" s="260" t="str">
        <f>+VLOOKUP(C74,'Conteo 24-02'!$A$8:$D$246,4,0)</f>
        <v>M7B</v>
      </c>
      <c r="E74" s="320" t="s">
        <v>746</v>
      </c>
      <c r="F74" s="327" t="s">
        <v>1357</v>
      </c>
      <c r="G74" s="499"/>
      <c r="H74" s="470"/>
      <c r="J74" s="751">
        <f t="shared" si="23"/>
        <v>0</v>
      </c>
      <c r="K74" s="778">
        <f t="shared" si="29"/>
        <v>0</v>
      </c>
      <c r="M74" s="615">
        <f t="shared" si="24"/>
        <v>0</v>
      </c>
      <c r="N74" s="377">
        <f t="shared" si="25"/>
        <v>0</v>
      </c>
      <c r="O74" s="343">
        <f t="shared" si="26"/>
        <v>7500</v>
      </c>
      <c r="P74" s="613"/>
      <c r="R74" s="397">
        <f>+IFERROR(SUMIFS('Stock CD'!D:D,C271,'Stock CD'!C:C),0)</f>
        <v>0</v>
      </c>
      <c r="S74" s="400">
        <f t="shared" si="27"/>
        <v>7500</v>
      </c>
      <c r="U74" s="397">
        <f>+IFERROR(VLOOKUP(C74,'Stock CD'!B:I,8,0),0)</f>
        <v>0</v>
      </c>
      <c r="V74" s="400">
        <f t="shared" si="28"/>
        <v>0</v>
      </c>
      <c r="X74" s="444">
        <f>+SUMIFS('Conteo 24-02'!F:F,'Conteo 24-02'!$A:$A,$C74)</f>
        <v>3</v>
      </c>
      <c r="Y74" s="304">
        <f>+SUMIFS('Conteo 24-02'!G:G,'Conteo 24-02'!$A:$A,$C74)</f>
        <v>0</v>
      </c>
      <c r="Z74" s="507">
        <v>2500</v>
      </c>
      <c r="AB74" s="424" t="s">
        <v>1466</v>
      </c>
      <c r="AC74" s="409">
        <f>IF(C74="Corb-LK",SUMIFS('Est Madre LK 10-25'!C:C,'Est Madre LK 10-25'!D:D,"si"),IF(C74="Corb-CH",SUMIFS('Est Madre CH 10-25'!C:C,'Est Madre CH 10-25'!D:D,"si"),0)+IFERROR(VLOOKUP(C74,'Est Madre LK 10-25'!$A:$C,3,),IFERROR(VLOOKUP(C74,'Est Madre CH 10-25'!$A:$C,3,),0)))</f>
        <v>0</v>
      </c>
      <c r="AD74" s="359">
        <v>12000</v>
      </c>
      <c r="AE74" s="260">
        <v>25</v>
      </c>
      <c r="AF74" s="323">
        <v>31.048200000000001</v>
      </c>
      <c r="AG74" s="552" t="s">
        <v>1690</v>
      </c>
      <c r="AH74" s="260" t="s">
        <v>1655</v>
      </c>
      <c r="AI74" s="333">
        <v>3</v>
      </c>
      <c r="AK74" s="424">
        <v>100</v>
      </c>
      <c r="AL74" s="333">
        <v>0</v>
      </c>
    </row>
    <row r="75" spans="1:38" x14ac:dyDescent="0.3">
      <c r="A75" t="s">
        <v>1466</v>
      </c>
      <c r="B75" s="414">
        <v>1206700</v>
      </c>
      <c r="C75" s="433">
        <v>562</v>
      </c>
      <c r="D75" s="260" t="str">
        <f>+VLOOKUP(C75,'Conteo 24-02'!$A$8:$D$246,4,0)</f>
        <v>F3A</v>
      </c>
      <c r="E75" s="320" t="s">
        <v>746</v>
      </c>
      <c r="F75" s="327" t="s">
        <v>1394</v>
      </c>
      <c r="G75" s="499"/>
      <c r="H75" s="470"/>
      <c r="J75" s="751">
        <f t="shared" si="23"/>
        <v>0.79166666666666663</v>
      </c>
      <c r="K75" s="778">
        <f t="shared" ref="K75:K90" si="30">+IFERROR(S75/V75,0)</f>
        <v>0.79166666666666663</v>
      </c>
      <c r="M75" s="615">
        <f t="shared" si="24"/>
        <v>750</v>
      </c>
      <c r="N75" s="377">
        <f t="shared" si="25"/>
        <v>3600</v>
      </c>
      <c r="O75" s="343">
        <f t="shared" si="26"/>
        <v>2850</v>
      </c>
      <c r="P75" s="613"/>
      <c r="R75" s="397">
        <f>+IFERROR(SUMIFS('Stock CD'!D:D,C281,'Stock CD'!C:C),0)</f>
        <v>0</v>
      </c>
      <c r="S75" s="400">
        <f t="shared" si="27"/>
        <v>2850</v>
      </c>
      <c r="U75" s="397">
        <f>+IFERROR(VLOOKUP(C75,'Stock CD'!B:I,8,0),0)</f>
        <v>0</v>
      </c>
      <c r="V75" s="400">
        <f t="shared" si="28"/>
        <v>3600</v>
      </c>
      <c r="X75" s="444">
        <f>+SUMIFS('Conteo 24-02'!F:F,'Conteo 24-02'!$A:$A,$C75)</f>
        <v>2</v>
      </c>
      <c r="Y75" s="304">
        <f>+SUMIFS('Conteo 24-02'!G:G,'Conteo 24-02'!$A:$A,$C75)</f>
        <v>850</v>
      </c>
      <c r="Z75" s="507">
        <v>1000</v>
      </c>
      <c r="AB75" s="424" t="s">
        <v>1466</v>
      </c>
      <c r="AC75" s="409">
        <f>IF(C75="Corb-LK",SUMIFS('Est Madre LK 10-25'!C:C,'Est Madre LK 10-25'!D:D,"si"),IF(C75="Corb-CH",SUMIFS('Est Madre CH 10-25'!C:C,'Est Madre CH 10-25'!D:D,"si"),0)+IFERROR(VLOOKUP(C75,'Est Madre LK 10-25'!$A:$C,3,),IFERROR(VLOOKUP(C75,'Est Madre CH 10-25'!$A:$C,3,),0)))</f>
        <v>1200</v>
      </c>
      <c r="AD75" s="359">
        <v>12000</v>
      </c>
      <c r="AE75" s="260">
        <v>25</v>
      </c>
      <c r="AF75" s="323">
        <v>68.570279999999997</v>
      </c>
      <c r="AG75" s="552" t="s">
        <v>1690</v>
      </c>
      <c r="AH75" s="260" t="s">
        <v>1655</v>
      </c>
      <c r="AI75" s="333">
        <v>3</v>
      </c>
      <c r="AK75" s="424">
        <v>100</v>
      </c>
      <c r="AL75" s="333">
        <v>0</v>
      </c>
    </row>
    <row r="76" spans="1:38" x14ac:dyDescent="0.3">
      <c r="A76" t="s">
        <v>1466</v>
      </c>
      <c r="B76" s="414">
        <v>1206700</v>
      </c>
      <c r="C76" s="433">
        <v>559</v>
      </c>
      <c r="D76" s="260" t="str">
        <f>+VLOOKUP(C76,'Conteo 24-02'!$A$8:$D$246,4,0)</f>
        <v>G2D</v>
      </c>
      <c r="E76" s="320" t="s">
        <v>746</v>
      </c>
      <c r="F76" s="327" t="s">
        <v>1698</v>
      </c>
      <c r="G76" s="499">
        <v>2000</v>
      </c>
      <c r="H76" s="470">
        <v>21</v>
      </c>
      <c r="J76" s="751">
        <f t="shared" si="23"/>
        <v>0.31793842034805891</v>
      </c>
      <c r="K76" s="778">
        <f t="shared" si="30"/>
        <v>0.31793842034805891</v>
      </c>
      <c r="M76" s="615">
        <f t="shared" si="24"/>
        <v>2038</v>
      </c>
      <c r="N76" s="377">
        <f t="shared" si="25"/>
        <v>2988</v>
      </c>
      <c r="O76" s="343">
        <f t="shared" si="26"/>
        <v>950</v>
      </c>
      <c r="P76" s="613"/>
      <c r="R76" s="397">
        <f>+IFERROR(SUMIFS('Stock CD'!D:D,C283,'Stock CD'!C:C),0)</f>
        <v>0</v>
      </c>
      <c r="S76" s="400">
        <f t="shared" si="27"/>
        <v>950</v>
      </c>
      <c r="U76" s="397">
        <f>+IFERROR(VLOOKUP(C76,'Stock CD'!B:I,8,0),0)</f>
        <v>0</v>
      </c>
      <c r="V76" s="400">
        <f t="shared" si="28"/>
        <v>2988</v>
      </c>
      <c r="X76" s="444">
        <f>+SUMIFS('Conteo 24-02'!F:F,'Conteo 24-02'!$A:$A,$C76)</f>
        <v>0</v>
      </c>
      <c r="Y76" s="304">
        <f>+SUMIFS('Conteo 24-02'!G:G,'Conteo 24-02'!$A:$A,$C76)</f>
        <v>950</v>
      </c>
      <c r="Z76" s="507">
        <v>1000</v>
      </c>
      <c r="AB76" s="424" t="s">
        <v>1466</v>
      </c>
      <c r="AC76" s="409">
        <f>IF(C76="Corb-LK",SUMIFS('Est Madre LK 10-25'!C:C,'Est Madre LK 10-25'!D:D,"si"),IF(C76="Corb-CH",SUMIFS('Est Madre CH 10-25'!C:C,'Est Madre CH 10-25'!D:D,"si"),0)+IFERROR(VLOOKUP(C76,'Est Madre LK 10-25'!$A:$C,3,),IFERROR(VLOOKUP(C76,'Est Madre CH 10-25'!$A:$C,3,),0)))</f>
        <v>996</v>
      </c>
      <c r="AD76" s="359">
        <v>12000</v>
      </c>
      <c r="AE76" s="260">
        <v>25</v>
      </c>
      <c r="AF76" s="323">
        <v>68.570279999999997</v>
      </c>
      <c r="AG76" s="552" t="s">
        <v>1690</v>
      </c>
      <c r="AH76" s="260" t="s">
        <v>1655</v>
      </c>
      <c r="AI76" s="333">
        <v>3</v>
      </c>
      <c r="AK76" s="424">
        <v>100</v>
      </c>
      <c r="AL76" s="333">
        <v>0</v>
      </c>
    </row>
    <row r="77" spans="1:38" ht="18" customHeight="1" x14ac:dyDescent="0.3">
      <c r="A77" t="s">
        <v>1466</v>
      </c>
      <c r="B77" s="414">
        <v>1217700</v>
      </c>
      <c r="C77" s="433">
        <v>334</v>
      </c>
      <c r="D77" s="260" t="str">
        <f>+VLOOKUP(C77,'Conteo 24-02'!$A$8:$D$246,4,0)</f>
        <v>L2B</v>
      </c>
      <c r="E77" s="320" t="s">
        <v>746</v>
      </c>
      <c r="F77" s="327" t="s">
        <v>1352</v>
      </c>
      <c r="G77" s="499">
        <v>1000</v>
      </c>
      <c r="H77" s="470">
        <v>22</v>
      </c>
      <c r="J77" s="751">
        <f t="shared" si="23"/>
        <v>0</v>
      </c>
      <c r="K77" s="778">
        <f t="shared" si="30"/>
        <v>0</v>
      </c>
      <c r="M77" s="615">
        <f t="shared" si="24"/>
        <v>576</v>
      </c>
      <c r="N77" s="377">
        <f t="shared" si="25"/>
        <v>576</v>
      </c>
      <c r="O77" s="343">
        <f t="shared" si="26"/>
        <v>0</v>
      </c>
      <c r="P77" s="613"/>
      <c r="R77" s="397">
        <f>+IFERROR(SUMIFS('Stock CD'!D:D,C285,'Stock CD'!C:C),0)</f>
        <v>0</v>
      </c>
      <c r="S77" s="400">
        <f t="shared" si="27"/>
        <v>0</v>
      </c>
      <c r="U77" s="397">
        <f>+IFERROR(VLOOKUP(C77,'Stock CD'!B:I,8,0),0)</f>
        <v>0</v>
      </c>
      <c r="V77" s="400">
        <f t="shared" si="28"/>
        <v>576</v>
      </c>
      <c r="X77" s="444">
        <f>+SUMIFS('Conteo 24-02'!F:F,'Conteo 24-02'!$A:$A,$C77)</f>
        <v>0</v>
      </c>
      <c r="Y77" s="304">
        <f>+SUMIFS('Conteo 24-02'!G:G,'Conteo 24-02'!$A:$A,$C77)</f>
        <v>0</v>
      </c>
      <c r="Z77" s="507">
        <v>2500</v>
      </c>
      <c r="AB77" s="424" t="s">
        <v>1466</v>
      </c>
      <c r="AC77" s="409">
        <f>IF(C77="Corb-LK",SUMIFS('Est Madre LK 10-25'!C:C,'Est Madre LK 10-25'!D:D,"si"),IF(C77="Corb-CH",SUMIFS('Est Madre CH 10-25'!C:C,'Est Madre CH 10-25'!D:D,"si"),0)+IFERROR(VLOOKUP(C77,'Est Madre LK 10-25'!$A:$C,3,),IFERROR(VLOOKUP(C77,'Est Madre CH 10-25'!$A:$C,3,),0)))</f>
        <v>192</v>
      </c>
      <c r="AD77" s="359">
        <v>12000</v>
      </c>
      <c r="AE77" s="260">
        <v>25</v>
      </c>
      <c r="AF77" s="323">
        <v>31.048200000000001</v>
      </c>
      <c r="AG77" s="552" t="s">
        <v>1690</v>
      </c>
      <c r="AH77" s="260" t="s">
        <v>1655</v>
      </c>
      <c r="AI77" s="333">
        <v>3</v>
      </c>
      <c r="AK77" s="424">
        <v>100</v>
      </c>
      <c r="AL77" s="333">
        <v>0</v>
      </c>
    </row>
    <row r="78" spans="1:38" ht="18" customHeight="1" x14ac:dyDescent="0.3">
      <c r="A78" t="s">
        <v>1466</v>
      </c>
      <c r="B78" s="414">
        <v>1217700</v>
      </c>
      <c r="C78" s="433">
        <v>336</v>
      </c>
      <c r="D78" s="260" t="str">
        <f>+VLOOKUP(C78,'Conteo 24-02'!$A$8:$D$246,4,0)</f>
        <v>L3A</v>
      </c>
      <c r="E78" s="320" t="s">
        <v>746</v>
      </c>
      <c r="F78" s="327" t="s">
        <v>1353</v>
      </c>
      <c r="G78" s="499"/>
      <c r="H78" s="470"/>
      <c r="J78" s="751">
        <f t="shared" si="23"/>
        <v>7.716049382716049</v>
      </c>
      <c r="K78" s="778">
        <f t="shared" si="30"/>
        <v>7.716049382716049</v>
      </c>
      <c r="M78" s="615">
        <f t="shared" si="24"/>
        <v>0</v>
      </c>
      <c r="N78" s="377">
        <f t="shared" si="25"/>
        <v>648</v>
      </c>
      <c r="O78" s="343">
        <f t="shared" si="26"/>
        <v>5000</v>
      </c>
      <c r="P78" s="613"/>
      <c r="R78" s="397">
        <f>+IFERROR(SUMIFS('Stock CD'!D:D,C286,'Stock CD'!C:C),0)</f>
        <v>0</v>
      </c>
      <c r="S78" s="400">
        <f t="shared" si="27"/>
        <v>5000</v>
      </c>
      <c r="U78" s="397">
        <f>+IFERROR(VLOOKUP(C78,'Stock CD'!B:I,8,0),0)</f>
        <v>0</v>
      </c>
      <c r="V78" s="400">
        <f t="shared" si="28"/>
        <v>648</v>
      </c>
      <c r="X78" s="444">
        <f>+SUMIFS('Conteo 24-02'!F:F,'Conteo 24-02'!$A:$A,$C78)</f>
        <v>2</v>
      </c>
      <c r="Y78" s="304">
        <f>+SUMIFS('Conteo 24-02'!G:G,'Conteo 24-02'!$A:$A,$C78)</f>
        <v>0</v>
      </c>
      <c r="Z78" s="507">
        <v>2500</v>
      </c>
      <c r="AB78" s="424" t="s">
        <v>1466</v>
      </c>
      <c r="AC78" s="409">
        <f>IF(C78="Corb-LK",SUMIFS('Est Madre LK 10-25'!C:C,'Est Madre LK 10-25'!D:D,"si"),IF(C78="Corb-CH",SUMIFS('Est Madre CH 10-25'!C:C,'Est Madre CH 10-25'!D:D,"si"),0)+IFERROR(VLOOKUP(C78,'Est Madre LK 10-25'!$A:$C,3,),IFERROR(VLOOKUP(C78,'Est Madre CH 10-25'!$A:$C,3,),0)))</f>
        <v>216</v>
      </c>
      <c r="AD78" s="359">
        <v>12000</v>
      </c>
      <c r="AE78" s="260">
        <v>25</v>
      </c>
      <c r="AF78" s="323">
        <v>31.048200000000001</v>
      </c>
      <c r="AG78" s="552" t="s">
        <v>1690</v>
      </c>
      <c r="AH78" s="260" t="s">
        <v>1655</v>
      </c>
      <c r="AI78" s="333">
        <v>3</v>
      </c>
      <c r="AK78" s="424">
        <v>100</v>
      </c>
      <c r="AL78" s="333">
        <v>0</v>
      </c>
    </row>
    <row r="79" spans="1:38" ht="18" customHeight="1" x14ac:dyDescent="0.3">
      <c r="A79" t="s">
        <v>1466</v>
      </c>
      <c r="B79" s="414">
        <v>1217700</v>
      </c>
      <c r="C79" s="433">
        <v>332</v>
      </c>
      <c r="D79" s="260" t="str">
        <f>+VLOOKUP(C79,'Conteo 24-02'!$A$8:$D$246,4,0)</f>
        <v>L2A</v>
      </c>
      <c r="E79" s="320" t="s">
        <v>746</v>
      </c>
      <c r="F79" s="327" t="s">
        <v>1351</v>
      </c>
      <c r="G79" s="499"/>
      <c r="H79" s="470"/>
      <c r="J79" s="751">
        <f t="shared" si="23"/>
        <v>2.3989898989898988</v>
      </c>
      <c r="K79" s="778">
        <f t="shared" si="30"/>
        <v>2.3989898989898988</v>
      </c>
      <c r="M79" s="615">
        <f t="shared" si="24"/>
        <v>0</v>
      </c>
      <c r="N79" s="377">
        <f t="shared" si="25"/>
        <v>792</v>
      </c>
      <c r="O79" s="343">
        <f t="shared" si="26"/>
        <v>1900</v>
      </c>
      <c r="P79" s="613"/>
      <c r="R79" s="397">
        <f>+IFERROR(SUMIFS('Stock CD'!D:D,C287,'Stock CD'!C:C),0)</f>
        <v>0</v>
      </c>
      <c r="S79" s="400">
        <f t="shared" si="27"/>
        <v>1900</v>
      </c>
      <c r="U79" s="397">
        <f>+IFERROR(VLOOKUP(C79,'Stock CD'!B:I,8,0),0)</f>
        <v>0</v>
      </c>
      <c r="V79" s="400">
        <f t="shared" si="28"/>
        <v>792</v>
      </c>
      <c r="X79" s="444">
        <f>+SUMIFS('Conteo 24-02'!F:F,'Conteo 24-02'!$A:$A,$C79)</f>
        <v>0</v>
      </c>
      <c r="Y79" s="304">
        <f>+SUMIFS('Conteo 24-02'!G:G,'Conteo 24-02'!$A:$A,$C79)</f>
        <v>1900</v>
      </c>
      <c r="Z79" s="507">
        <v>2500</v>
      </c>
      <c r="AB79" s="424" t="s">
        <v>1466</v>
      </c>
      <c r="AC79" s="409">
        <f>IF(C79="Corb-LK",SUMIFS('Est Madre LK 10-25'!C:C,'Est Madre LK 10-25'!D:D,"si"),IF(C79="Corb-CH",SUMIFS('Est Madre CH 10-25'!C:C,'Est Madre CH 10-25'!D:D,"si"),0)+IFERROR(VLOOKUP(C79,'Est Madre LK 10-25'!$A:$C,3,),IFERROR(VLOOKUP(C79,'Est Madre CH 10-25'!$A:$C,3,),0)))</f>
        <v>264</v>
      </c>
      <c r="AD79" s="359">
        <v>12000</v>
      </c>
      <c r="AE79" s="260">
        <v>25</v>
      </c>
      <c r="AF79" s="323">
        <v>31.048200000000001</v>
      </c>
      <c r="AG79" s="552" t="s">
        <v>1690</v>
      </c>
      <c r="AH79" s="260" t="s">
        <v>1655</v>
      </c>
      <c r="AI79" s="333">
        <v>3</v>
      </c>
      <c r="AK79" s="424">
        <v>100</v>
      </c>
      <c r="AL79" s="333">
        <v>0</v>
      </c>
    </row>
    <row r="80" spans="1:38" ht="18" customHeight="1" x14ac:dyDescent="0.3">
      <c r="A80" t="s">
        <v>1466</v>
      </c>
      <c r="B80" s="414">
        <v>1217700</v>
      </c>
      <c r="C80" s="433">
        <v>338</v>
      </c>
      <c r="D80" s="260" t="str">
        <f>+VLOOKUP(C80,'Conteo 24-02'!$A$8:$D$246,4,0)</f>
        <v>L3D</v>
      </c>
      <c r="E80" s="320" t="s">
        <v>746</v>
      </c>
      <c r="F80" s="327" t="s">
        <v>1355</v>
      </c>
      <c r="G80" s="499"/>
      <c r="H80" s="470"/>
      <c r="J80" s="751">
        <f t="shared" si="23"/>
        <v>4.1527777777777777</v>
      </c>
      <c r="K80" s="778">
        <f t="shared" si="30"/>
        <v>4.1527777777777777</v>
      </c>
      <c r="M80" s="615">
        <f t="shared" si="24"/>
        <v>0</v>
      </c>
      <c r="N80" s="377">
        <f t="shared" si="25"/>
        <v>720</v>
      </c>
      <c r="O80" s="343">
        <f t="shared" si="26"/>
        <v>2990</v>
      </c>
      <c r="P80" s="613"/>
      <c r="R80" s="397">
        <f>+IFERROR(SUMIFS('Stock CD'!D:D,C290,'Stock CD'!C:C),0)</f>
        <v>0</v>
      </c>
      <c r="S80" s="400">
        <f t="shared" si="27"/>
        <v>2990</v>
      </c>
      <c r="U80" s="397">
        <f>+IFERROR(VLOOKUP(C80,'Stock CD'!B:I,8,0),0)</f>
        <v>0</v>
      </c>
      <c r="V80" s="400">
        <f t="shared" si="28"/>
        <v>720</v>
      </c>
      <c r="X80" s="444">
        <f>+SUMIFS('Conteo 24-02'!F:F,'Conteo 24-02'!$A:$A,$C80)</f>
        <v>1</v>
      </c>
      <c r="Y80" s="304">
        <f>+SUMIFS('Conteo 24-02'!G:G,'Conteo 24-02'!$A:$A,$C80)</f>
        <v>490</v>
      </c>
      <c r="Z80" s="507">
        <v>2500</v>
      </c>
      <c r="AB80" s="424" t="s">
        <v>1466</v>
      </c>
      <c r="AC80" s="409">
        <f>IF(C80="Corb-LK",SUMIFS('Est Madre LK 10-25'!C:C,'Est Madre LK 10-25'!D:D,"si"),IF(C80="Corb-CH",SUMIFS('Est Madre CH 10-25'!C:C,'Est Madre CH 10-25'!D:D,"si"),0)+IFERROR(VLOOKUP(C80,'Est Madre LK 10-25'!$A:$C,3,),IFERROR(VLOOKUP(C80,'Est Madre CH 10-25'!$A:$C,3,),0)))</f>
        <v>240</v>
      </c>
      <c r="AD80" s="359">
        <v>12000</v>
      </c>
      <c r="AE80" s="260">
        <v>25</v>
      </c>
      <c r="AF80" s="323">
        <v>31.048200000000001</v>
      </c>
      <c r="AG80" s="552" t="s">
        <v>1690</v>
      </c>
      <c r="AH80" s="260" t="s">
        <v>1655</v>
      </c>
      <c r="AI80" s="333">
        <v>3</v>
      </c>
      <c r="AK80" s="424">
        <v>100</v>
      </c>
      <c r="AL80" s="333">
        <v>0</v>
      </c>
    </row>
    <row r="81" spans="1:38" ht="18.75" customHeight="1" x14ac:dyDescent="0.3">
      <c r="A81" t="s">
        <v>1466</v>
      </c>
      <c r="B81" s="414">
        <v>1217700</v>
      </c>
      <c r="C81" s="433">
        <v>325</v>
      </c>
      <c r="D81" s="260" t="str">
        <f>+VLOOKUP(C81,'Conteo 24-02'!$A$8:$D$246,4,0)</f>
        <v>M2</v>
      </c>
      <c r="E81" s="320" t="s">
        <v>746</v>
      </c>
      <c r="F81" s="327" t="s">
        <v>771</v>
      </c>
      <c r="G81" s="499"/>
      <c r="H81" s="470"/>
      <c r="J81" s="751">
        <f t="shared" si="23"/>
        <v>0.74615839243498816</v>
      </c>
      <c r="K81" s="778">
        <f t="shared" si="30"/>
        <v>0.74615839243498816</v>
      </c>
      <c r="M81" s="615">
        <f t="shared" si="24"/>
        <v>1718</v>
      </c>
      <c r="N81" s="377">
        <f t="shared" si="25"/>
        <v>6768</v>
      </c>
      <c r="O81" s="343">
        <f t="shared" si="26"/>
        <v>5050</v>
      </c>
      <c r="P81" s="613"/>
      <c r="R81" s="397">
        <f>+IFERROR(SUMIFS('Stock CD'!D:D,C296,'Stock CD'!C:C),0)</f>
        <v>0</v>
      </c>
      <c r="S81" s="400">
        <f t="shared" si="27"/>
        <v>5050</v>
      </c>
      <c r="U81" s="397">
        <f>+IFERROR(VLOOKUP(C81,'Stock CD'!B:I,8,0),0)</f>
        <v>0</v>
      </c>
      <c r="V81" s="400">
        <f t="shared" si="28"/>
        <v>6768</v>
      </c>
      <c r="X81" s="444">
        <f>+SUMIFS('Conteo 24-02'!F:F,'Conteo 24-02'!$A:$A,$C81)</f>
        <v>1</v>
      </c>
      <c r="Y81" s="304">
        <f>+SUMIFS('Conteo 24-02'!G:G,'Conteo 24-02'!$A:$A,$C81)</f>
        <v>2550</v>
      </c>
      <c r="Z81" s="507">
        <v>2500</v>
      </c>
      <c r="AB81" s="424" t="s">
        <v>1466</v>
      </c>
      <c r="AC81" s="409">
        <f>IF(C81="Corb-LK",SUMIFS('Est Madre LK 10-25'!C:C,'Est Madre LK 10-25'!D:D,"si"),IF(C81="Corb-CH",SUMIFS('Est Madre CH 10-25'!C:C,'Est Madre CH 10-25'!D:D,"si"),0)+IFERROR(VLOOKUP(C81,'Est Madre LK 10-25'!$A:$C,3,),IFERROR(VLOOKUP(C81,'Est Madre CH 10-25'!$A:$C,3,),0)))</f>
        <v>2256</v>
      </c>
      <c r="AD81" s="359">
        <v>12000</v>
      </c>
      <c r="AE81" s="260">
        <v>25</v>
      </c>
      <c r="AF81" s="323">
        <v>31.048200000000001</v>
      </c>
      <c r="AG81" s="552" t="s">
        <v>1690</v>
      </c>
      <c r="AH81" s="260" t="s">
        <v>1655</v>
      </c>
      <c r="AI81" s="333">
        <v>3</v>
      </c>
      <c r="AK81" s="424">
        <v>100</v>
      </c>
      <c r="AL81" s="333">
        <v>0</v>
      </c>
    </row>
    <row r="82" spans="1:38" ht="18" customHeight="1" x14ac:dyDescent="0.3">
      <c r="A82" t="s">
        <v>1466</v>
      </c>
      <c r="B82" s="414">
        <v>1217700</v>
      </c>
      <c r="C82" s="433">
        <v>333</v>
      </c>
      <c r="D82" s="260" t="str">
        <f>+VLOOKUP(C82,'Conteo 24-02'!$A$8:$D$246,4,0)</f>
        <v>M4B</v>
      </c>
      <c r="E82" s="320" t="s">
        <v>746</v>
      </c>
      <c r="F82" s="327" t="s">
        <v>1181</v>
      </c>
      <c r="G82" s="499"/>
      <c r="H82" s="470"/>
      <c r="J82" s="751">
        <f t="shared" si="23"/>
        <v>3.761574074074074</v>
      </c>
      <c r="K82" s="778">
        <f t="shared" si="30"/>
        <v>3.761574074074074</v>
      </c>
      <c r="M82" s="615">
        <f t="shared" si="24"/>
        <v>0</v>
      </c>
      <c r="N82" s="377">
        <f t="shared" si="25"/>
        <v>864</v>
      </c>
      <c r="O82" s="343">
        <f t="shared" si="26"/>
        <v>3250</v>
      </c>
      <c r="P82" s="613"/>
      <c r="R82" s="397">
        <f>+IFERROR(SUMIFS('Stock CD'!D:D,C285,'Stock CD'!C:C),0)</f>
        <v>0</v>
      </c>
      <c r="S82" s="400">
        <f t="shared" si="27"/>
        <v>3250</v>
      </c>
      <c r="U82" s="397">
        <f>+IFERROR(VLOOKUP(C82,'Stock CD'!B:I,8,0),0)</f>
        <v>0</v>
      </c>
      <c r="V82" s="400">
        <f t="shared" si="28"/>
        <v>864</v>
      </c>
      <c r="X82" s="444">
        <f>+SUMIFS('Conteo 24-02'!F:F,'Conteo 24-02'!$A:$A,$C82)</f>
        <v>1</v>
      </c>
      <c r="Y82" s="304">
        <f>+SUMIFS('Conteo 24-02'!G:G,'Conteo 24-02'!$A:$A,$C82)</f>
        <v>750</v>
      </c>
      <c r="Z82" s="507">
        <v>2500</v>
      </c>
      <c r="AB82" s="424" t="s">
        <v>1466</v>
      </c>
      <c r="AC82" s="409">
        <f>IF(C82="Corb-LK",SUMIFS('Est Madre LK 10-25'!C:C,'Est Madre LK 10-25'!D:D,"si"),IF(C82="Corb-CH",SUMIFS('Est Madre CH 10-25'!C:C,'Est Madre CH 10-25'!D:D,"si"),0)+IFERROR(VLOOKUP(C82,'Est Madre LK 10-25'!$A:$C,3,),IFERROR(VLOOKUP(C82,'Est Madre CH 10-25'!$A:$C,3,),0)))</f>
        <v>288</v>
      </c>
      <c r="AD82" s="359">
        <v>12000</v>
      </c>
      <c r="AE82" s="260">
        <v>25</v>
      </c>
      <c r="AF82" s="323">
        <v>31.048200000000001</v>
      </c>
      <c r="AG82" s="552" t="s">
        <v>1690</v>
      </c>
      <c r="AH82" s="260" t="s">
        <v>1655</v>
      </c>
      <c r="AI82" s="333">
        <v>3</v>
      </c>
      <c r="AK82" s="424">
        <v>100</v>
      </c>
      <c r="AL82" s="333">
        <v>0</v>
      </c>
    </row>
    <row r="83" spans="1:38" ht="18" customHeight="1" x14ac:dyDescent="0.3">
      <c r="A83" t="s">
        <v>1466</v>
      </c>
      <c r="B83" s="414">
        <v>1217700</v>
      </c>
      <c r="C83" s="433">
        <v>389</v>
      </c>
      <c r="D83" s="260" t="str">
        <f>+VLOOKUP(C83,'Conteo 24-02'!$A$8:$D$246,4,0)</f>
        <v>L4A</v>
      </c>
      <c r="E83" s="320" t="s">
        <v>746</v>
      </c>
      <c r="F83" s="327" t="s">
        <v>1364</v>
      </c>
      <c r="G83" s="499"/>
      <c r="H83" s="470"/>
      <c r="J83" s="751">
        <f t="shared" si="23"/>
        <v>0</v>
      </c>
      <c r="K83" s="778">
        <f t="shared" si="30"/>
        <v>0</v>
      </c>
      <c r="M83" s="615">
        <f t="shared" si="24"/>
        <v>0</v>
      </c>
      <c r="N83" s="377">
        <f t="shared" si="25"/>
        <v>0</v>
      </c>
      <c r="O83" s="343">
        <f t="shared" si="26"/>
        <v>3000</v>
      </c>
      <c r="P83" s="613"/>
      <c r="R83" s="397">
        <f>+IFERROR(SUMIFS('Stock CD'!D:D,#REF!,'Stock CD'!C:C),0)</f>
        <v>0</v>
      </c>
      <c r="S83" s="400">
        <f t="shared" si="27"/>
        <v>3000</v>
      </c>
      <c r="U83" s="397">
        <f>+IFERROR(VLOOKUP(C83,'Stock CD'!B:I,8,0),0)</f>
        <v>0</v>
      </c>
      <c r="V83" s="400">
        <f t="shared" si="28"/>
        <v>0</v>
      </c>
      <c r="X83" s="444">
        <f>+SUMIFS('Conteo 24-02'!F:F,'Conteo 24-02'!$A:$A,$C83)</f>
        <v>1</v>
      </c>
      <c r="Y83" s="304">
        <f>+SUMIFS('Conteo 24-02'!G:G,'Conteo 24-02'!$A:$A,$C83)</f>
        <v>500</v>
      </c>
      <c r="Z83" s="507">
        <v>2500</v>
      </c>
      <c r="AB83" s="424" t="s">
        <v>1466</v>
      </c>
      <c r="AC83" s="409">
        <f>IF(C83="Corb-LK",SUMIFS('Est Madre LK 10-25'!C:C,'Est Madre LK 10-25'!D:D,"si"),IF(C83="Corb-CH",SUMIFS('Est Madre CH 10-25'!C:C,'Est Madre CH 10-25'!D:D,"si"),0)+IFERROR(VLOOKUP(C83,'Est Madre LK 10-25'!$A:$C,3,),IFERROR(VLOOKUP(C83,'Est Madre CH 10-25'!$A:$C,3,),0)))</f>
        <v>0</v>
      </c>
      <c r="AD83" s="359">
        <v>12000</v>
      </c>
      <c r="AE83" s="260">
        <v>25</v>
      </c>
      <c r="AF83" s="323">
        <v>31.048200000000001</v>
      </c>
      <c r="AG83" s="552" t="s">
        <v>1690</v>
      </c>
      <c r="AH83" s="260" t="s">
        <v>1655</v>
      </c>
      <c r="AI83" s="333">
        <v>3</v>
      </c>
      <c r="AK83" s="424">
        <v>100</v>
      </c>
      <c r="AL83" s="333">
        <v>0</v>
      </c>
    </row>
    <row r="84" spans="1:38" ht="18" customHeight="1" x14ac:dyDescent="0.3">
      <c r="A84" t="s">
        <v>1466</v>
      </c>
      <c r="B84" s="414">
        <v>1206700</v>
      </c>
      <c r="C84" s="433">
        <v>570</v>
      </c>
      <c r="D84" s="260" t="str">
        <f>+VLOOKUP(C84,'Conteo 24-02'!$A$8:$D$246,4,0)</f>
        <v>G2E</v>
      </c>
      <c r="E84" s="320" t="s">
        <v>746</v>
      </c>
      <c r="F84" s="327" t="s">
        <v>1185</v>
      </c>
      <c r="G84" s="499">
        <v>2000</v>
      </c>
      <c r="H84" s="470">
        <v>23</v>
      </c>
      <c r="J84" s="751">
        <f t="shared" si="23"/>
        <v>0</v>
      </c>
      <c r="K84" s="778">
        <f t="shared" si="30"/>
        <v>0</v>
      </c>
      <c r="M84" s="615">
        <f t="shared" si="24"/>
        <v>1296</v>
      </c>
      <c r="N84" s="377">
        <f t="shared" si="25"/>
        <v>1296</v>
      </c>
      <c r="O84" s="343">
        <f t="shared" si="26"/>
        <v>0</v>
      </c>
      <c r="P84" s="613"/>
      <c r="R84" s="397">
        <f>+IFERROR(SUMIFS('Stock CD'!D:D,C296,'Stock CD'!C:C),0)</f>
        <v>0</v>
      </c>
      <c r="S84" s="400">
        <f t="shared" si="27"/>
        <v>0</v>
      </c>
      <c r="U84" s="397">
        <f>+IFERROR(VLOOKUP(C84,'Stock CD'!B:I,8,0),0)</f>
        <v>0</v>
      </c>
      <c r="V84" s="400">
        <f t="shared" si="28"/>
        <v>1296</v>
      </c>
      <c r="X84" s="444">
        <f>+SUMIFS('Conteo 24-02'!F:F,'Conteo 24-02'!$A:$A,$C84)</f>
        <v>0</v>
      </c>
      <c r="Y84" s="304">
        <f>+SUMIFS('Conteo 24-02'!G:G,'Conteo 24-02'!$A:$A,$C84)</f>
        <v>0</v>
      </c>
      <c r="Z84" s="507">
        <v>1000</v>
      </c>
      <c r="AB84" s="424" t="s">
        <v>1466</v>
      </c>
      <c r="AC84" s="409">
        <f>IF(C84="Corb-LK",SUMIFS('Est Madre LK 10-25'!C:C,'Est Madre LK 10-25'!D:D,"si"),IF(C84="Corb-CH",SUMIFS('Est Madre CH 10-25'!C:C,'Est Madre CH 10-25'!D:D,"si"),0)+IFERROR(VLOOKUP(C84,'Est Madre LK 10-25'!$A:$C,3,),IFERROR(VLOOKUP(C84,'Est Madre CH 10-25'!$A:$C,3,),0)))</f>
        <v>432</v>
      </c>
      <c r="AD84" s="359">
        <v>12000</v>
      </c>
      <c r="AE84" s="260">
        <v>25</v>
      </c>
      <c r="AF84" s="323">
        <v>68.570279999999997</v>
      </c>
      <c r="AG84" s="552" t="s">
        <v>1690</v>
      </c>
      <c r="AH84" s="260" t="s">
        <v>1655</v>
      </c>
      <c r="AI84" s="333">
        <v>3</v>
      </c>
      <c r="AK84" s="424">
        <v>100</v>
      </c>
      <c r="AL84" s="333">
        <v>0</v>
      </c>
    </row>
    <row r="85" spans="1:38" ht="18" customHeight="1" x14ac:dyDescent="0.3">
      <c r="A85" t="s">
        <v>1466</v>
      </c>
      <c r="B85" s="302">
        <v>1217700</v>
      </c>
      <c r="C85" s="433">
        <v>312</v>
      </c>
      <c r="D85" s="260" t="str">
        <f>+VLOOKUP(C85,'Conteo 24-02'!$A$8:$D$246,4,0)</f>
        <v>G1B</v>
      </c>
      <c r="E85" s="320" t="s">
        <v>746</v>
      </c>
      <c r="F85" s="327" t="s">
        <v>1340</v>
      </c>
      <c r="G85" s="499"/>
      <c r="H85" s="470"/>
      <c r="J85" s="751">
        <f t="shared" si="23"/>
        <v>5.7189542483660132</v>
      </c>
      <c r="K85" s="778">
        <f t="shared" si="30"/>
        <v>5.7189542483660132</v>
      </c>
      <c r="M85" s="615">
        <f t="shared" si="24"/>
        <v>0</v>
      </c>
      <c r="N85" s="377">
        <f t="shared" si="25"/>
        <v>612</v>
      </c>
      <c r="O85" s="343">
        <f t="shared" si="26"/>
        <v>3500</v>
      </c>
      <c r="P85" s="613"/>
      <c r="R85" s="397">
        <f>+IFERROR(SUMIFS('Stock CD'!D:D,C297,'Stock CD'!C:C),0)</f>
        <v>0</v>
      </c>
      <c r="S85" s="400">
        <f t="shared" si="27"/>
        <v>3500</v>
      </c>
      <c r="U85" s="397">
        <f>+IFERROR(VLOOKUP(C85,'Stock CD'!B:I,8,0),0)</f>
        <v>0</v>
      </c>
      <c r="V85" s="400">
        <f t="shared" si="28"/>
        <v>612</v>
      </c>
      <c r="X85" s="444">
        <f>+SUMIFS('Conteo 24-02'!F:F,'Conteo 24-02'!$A:$A,$C85)</f>
        <v>0</v>
      </c>
      <c r="Y85" s="304">
        <f>+SUMIFS('Conteo 24-02'!G:G,'Conteo 24-02'!$A:$A,$C85)</f>
        <v>3500</v>
      </c>
      <c r="Z85" s="507">
        <v>1000</v>
      </c>
      <c r="AB85" s="424" t="s">
        <v>1466</v>
      </c>
      <c r="AC85" s="409">
        <f>IF(C85="Corb-LK",SUMIFS('Est Madre LK 10-25'!C:C,'Est Madre LK 10-25'!D:D,"si"),IF(C85="Corb-CH",SUMIFS('Est Madre CH 10-25'!C:C,'Est Madre CH 10-25'!D:D,"si"),0)+IFERROR(VLOOKUP(C85,'Est Madre LK 10-25'!$A:$C,3,),IFERROR(VLOOKUP(C85,'Est Madre CH 10-25'!$A:$C,3,),0)))</f>
        <v>204</v>
      </c>
      <c r="AD85" s="359">
        <v>12000</v>
      </c>
      <c r="AE85" s="260">
        <v>25</v>
      </c>
      <c r="AF85" s="323">
        <v>31.048200000000001</v>
      </c>
      <c r="AG85" s="552" t="s">
        <v>1690</v>
      </c>
      <c r="AH85" s="260" t="s">
        <v>1655</v>
      </c>
      <c r="AI85" s="333">
        <v>3</v>
      </c>
      <c r="AK85" s="424">
        <v>100</v>
      </c>
      <c r="AL85" s="333">
        <v>0</v>
      </c>
    </row>
    <row r="86" spans="1:38" ht="18" customHeight="1" x14ac:dyDescent="0.3">
      <c r="A86" t="s">
        <v>1466</v>
      </c>
      <c r="B86" s="414">
        <v>1206700</v>
      </c>
      <c r="C86" s="433">
        <v>548</v>
      </c>
      <c r="D86" s="260" t="str">
        <f>+VLOOKUP(C86,'Conteo 24-02'!$A$8:$D$246,4,0)</f>
        <v>G2C</v>
      </c>
      <c r="E86" s="320" t="s">
        <v>746</v>
      </c>
      <c r="F86" s="327" t="s">
        <v>1187</v>
      </c>
      <c r="G86" s="499"/>
      <c r="H86" s="470"/>
      <c r="J86" s="751">
        <f t="shared" si="23"/>
        <v>0</v>
      </c>
      <c r="K86" s="778">
        <f t="shared" si="30"/>
        <v>0</v>
      </c>
      <c r="M86" s="615">
        <f t="shared" si="24"/>
        <v>0</v>
      </c>
      <c r="N86" s="377">
        <f t="shared" si="25"/>
        <v>0</v>
      </c>
      <c r="O86" s="343">
        <f t="shared" si="26"/>
        <v>1200</v>
      </c>
      <c r="P86" s="613"/>
      <c r="R86" s="397">
        <f>+IFERROR(SUMIFS('Stock CD'!D:D,C298,'Stock CD'!C:C),0)</f>
        <v>0</v>
      </c>
      <c r="S86" s="400">
        <f t="shared" si="27"/>
        <v>1200</v>
      </c>
      <c r="U86" s="397">
        <f>+IFERROR(VLOOKUP(C86,'Stock CD'!B:I,8,0),0)</f>
        <v>0</v>
      </c>
      <c r="V86" s="400">
        <f t="shared" si="28"/>
        <v>0</v>
      </c>
      <c r="X86" s="444">
        <f>+SUMIFS('Conteo 24-02'!F:F,'Conteo 24-02'!$A:$A,$C86)</f>
        <v>0</v>
      </c>
      <c r="Y86" s="304">
        <f>+SUMIFS('Conteo 24-02'!G:G,'Conteo 24-02'!$A:$A,$C86)</f>
        <v>1200</v>
      </c>
      <c r="Z86" s="507">
        <v>1000</v>
      </c>
      <c r="AB86" s="424" t="s">
        <v>1466</v>
      </c>
      <c r="AC86" s="409">
        <f>IF(C86="Corb-LK",SUMIFS('Est Madre LK 10-25'!C:C,'Est Madre LK 10-25'!D:D,"si"),IF(C86="Corb-CH",SUMIFS('Est Madre CH 10-25'!C:C,'Est Madre CH 10-25'!D:D,"si"),0)+IFERROR(VLOOKUP(C86,'Est Madre LK 10-25'!$A:$C,3,),IFERROR(VLOOKUP(C86,'Est Madre CH 10-25'!$A:$C,3,),0)))</f>
        <v>0</v>
      </c>
      <c r="AD86" s="359">
        <v>12000</v>
      </c>
      <c r="AE86" s="260">
        <v>25</v>
      </c>
      <c r="AF86" s="323">
        <v>68.570279999999997</v>
      </c>
      <c r="AG86" s="552" t="s">
        <v>1690</v>
      </c>
      <c r="AH86" s="260" t="s">
        <v>1655</v>
      </c>
      <c r="AI86" s="333">
        <v>3</v>
      </c>
      <c r="AK86" s="424">
        <v>100</v>
      </c>
      <c r="AL86" s="333">
        <v>0</v>
      </c>
    </row>
    <row r="87" spans="1:38" ht="18" customHeight="1" x14ac:dyDescent="0.3">
      <c r="A87" t="s">
        <v>1466</v>
      </c>
      <c r="B87" s="414">
        <v>1217700</v>
      </c>
      <c r="C87" s="433">
        <v>337</v>
      </c>
      <c r="D87" s="260" t="str">
        <f>+VLOOKUP(C87,'Conteo 24-02'!$A$8:$D$246,4,0)</f>
        <v>L3B</v>
      </c>
      <c r="E87" s="320" t="s">
        <v>746</v>
      </c>
      <c r="F87" s="327" t="s">
        <v>1354</v>
      </c>
      <c r="G87" s="499"/>
      <c r="H87" s="470"/>
      <c r="J87" s="751">
        <f t="shared" si="23"/>
        <v>6.9444444444444446</v>
      </c>
      <c r="K87" s="778">
        <f t="shared" si="30"/>
        <v>6.9444444444444446</v>
      </c>
      <c r="M87" s="615">
        <f t="shared" si="24"/>
        <v>0</v>
      </c>
      <c r="N87" s="377">
        <f t="shared" si="25"/>
        <v>288</v>
      </c>
      <c r="O87" s="343">
        <f t="shared" si="26"/>
        <v>2000</v>
      </c>
      <c r="P87" s="613"/>
      <c r="R87" s="397">
        <f>+IFERROR(SUMIFS('Stock CD'!D:D,C297,'Stock CD'!C:C),0)</f>
        <v>0</v>
      </c>
      <c r="S87" s="400">
        <f t="shared" si="27"/>
        <v>2000</v>
      </c>
      <c r="U87" s="397">
        <f>+IFERROR(VLOOKUP(C87,'Stock CD'!B:I,8,0),0)</f>
        <v>0</v>
      </c>
      <c r="V87" s="400">
        <f t="shared" si="28"/>
        <v>288</v>
      </c>
      <c r="X87" s="444">
        <f>+SUMIFS('Conteo 24-02'!F:F,'Conteo 24-02'!$A:$A,$C87)</f>
        <v>0</v>
      </c>
      <c r="Y87" s="304">
        <f>+SUMIFS('Conteo 24-02'!G:G,'Conteo 24-02'!$A:$A,$C87)</f>
        <v>2000</v>
      </c>
      <c r="Z87" s="507">
        <v>2500</v>
      </c>
      <c r="AB87" s="424" t="s">
        <v>1466</v>
      </c>
      <c r="AC87" s="409">
        <f>IF(C87="Corb-LK",SUMIFS('Est Madre LK 10-25'!C:C,'Est Madre LK 10-25'!D:D,"si"),IF(C87="Corb-CH",SUMIFS('Est Madre CH 10-25'!C:C,'Est Madre CH 10-25'!D:D,"si"),0)+IFERROR(VLOOKUP(C87,'Est Madre LK 10-25'!$A:$C,3,),IFERROR(VLOOKUP(C87,'Est Madre CH 10-25'!$A:$C,3,),0)))</f>
        <v>96</v>
      </c>
      <c r="AD87" s="359">
        <v>12000</v>
      </c>
      <c r="AE87" s="260">
        <v>25</v>
      </c>
      <c r="AF87" s="323">
        <v>31.048200000000001</v>
      </c>
      <c r="AG87" s="552" t="s">
        <v>1690</v>
      </c>
      <c r="AH87" s="260" t="s">
        <v>1655</v>
      </c>
      <c r="AI87" s="333">
        <v>3</v>
      </c>
      <c r="AK87" s="424">
        <v>100</v>
      </c>
      <c r="AL87" s="333">
        <v>0</v>
      </c>
    </row>
    <row r="88" spans="1:38" ht="18.75" customHeight="1" x14ac:dyDescent="0.3">
      <c r="A88" t="s">
        <v>1466</v>
      </c>
      <c r="B88" s="414">
        <v>1217700</v>
      </c>
      <c r="C88" s="433">
        <v>315</v>
      </c>
      <c r="D88" s="260" t="str">
        <f>+VLOOKUP(C88,'Conteo 24-02'!$A$8:$D$246,4,0)</f>
        <v>L4B</v>
      </c>
      <c r="E88" s="320" t="s">
        <v>746</v>
      </c>
      <c r="F88" s="327" t="s">
        <v>766</v>
      </c>
      <c r="G88" s="499">
        <v>5000</v>
      </c>
      <c r="H88" s="470">
        <v>24</v>
      </c>
      <c r="J88" s="751">
        <f t="shared" si="23"/>
        <v>0.31481481481481483</v>
      </c>
      <c r="K88" s="778">
        <f t="shared" si="30"/>
        <v>0.31481481481481483</v>
      </c>
      <c r="M88" s="615">
        <f t="shared" si="24"/>
        <v>9250</v>
      </c>
      <c r="N88" s="377">
        <f t="shared" si="25"/>
        <v>13500</v>
      </c>
      <c r="O88" s="343">
        <f t="shared" si="26"/>
        <v>4250</v>
      </c>
      <c r="P88" s="613"/>
      <c r="R88" s="397">
        <f>+IFERROR(SUMIFS('Stock CD'!D:D,C304,'Stock CD'!C:C),0)</f>
        <v>0</v>
      </c>
      <c r="S88" s="400">
        <f t="shared" si="27"/>
        <v>4250</v>
      </c>
      <c r="U88" s="397">
        <f>+IFERROR(VLOOKUP(C88,'Stock CD'!B:I,8,0),0)</f>
        <v>0</v>
      </c>
      <c r="V88" s="400">
        <f t="shared" si="28"/>
        <v>13500</v>
      </c>
      <c r="X88" s="444">
        <f>+SUMIFS('Conteo 24-02'!F:F,'Conteo 24-02'!$A:$A,$C88)</f>
        <v>1</v>
      </c>
      <c r="Y88" s="304">
        <f>+SUMIFS('Conteo 24-02'!G:G,'Conteo 24-02'!$A:$A,$C88)</f>
        <v>1750</v>
      </c>
      <c r="Z88" s="507">
        <v>2500</v>
      </c>
      <c r="AB88" s="424" t="s">
        <v>1466</v>
      </c>
      <c r="AC88" s="409">
        <f>IF(C88="Corb-LK",SUMIFS('Est Madre LK 10-25'!C:C,'Est Madre LK 10-25'!D:D,"si"),IF(C88="Corb-CH",SUMIFS('Est Madre CH 10-25'!C:C,'Est Madre CH 10-25'!D:D,"si"),0)+IFERROR(VLOOKUP(C88,'Est Madre LK 10-25'!$A:$C,3,),IFERROR(VLOOKUP(C88,'Est Madre CH 10-25'!$A:$C,3,),0)))</f>
        <v>4500</v>
      </c>
      <c r="AD88" s="359">
        <v>12000</v>
      </c>
      <c r="AE88" s="260">
        <v>25</v>
      </c>
      <c r="AF88" s="323">
        <v>31.048200000000001</v>
      </c>
      <c r="AG88" s="552" t="s">
        <v>1690</v>
      </c>
      <c r="AH88" s="260" t="s">
        <v>1655</v>
      </c>
      <c r="AI88" s="333">
        <v>3</v>
      </c>
      <c r="AK88" s="424">
        <v>100</v>
      </c>
      <c r="AL88" s="333">
        <v>0</v>
      </c>
    </row>
    <row r="89" spans="1:38" ht="18" customHeight="1" x14ac:dyDescent="0.3">
      <c r="A89" t="s">
        <v>1466</v>
      </c>
      <c r="B89" s="302"/>
      <c r="C89" s="433">
        <v>311</v>
      </c>
      <c r="D89" s="260" t="str">
        <f>+VLOOKUP(C89,'Conteo 24-02'!$A$8:$D$246,4,0)</f>
        <v>G1A</v>
      </c>
      <c r="E89" s="320" t="s">
        <v>746</v>
      </c>
      <c r="F89" s="327" t="s">
        <v>1227</v>
      </c>
      <c r="G89" s="499"/>
      <c r="H89" s="470"/>
      <c r="I89" s="208"/>
      <c r="J89" s="751">
        <f t="shared" si="23"/>
        <v>2.0833333333333335</v>
      </c>
      <c r="K89" s="791">
        <f t="shared" si="30"/>
        <v>2.0833333333333335</v>
      </c>
      <c r="M89" s="615">
        <f t="shared" si="24"/>
        <v>0</v>
      </c>
      <c r="N89" s="359">
        <f t="shared" si="25"/>
        <v>576</v>
      </c>
      <c r="O89" s="301">
        <f t="shared" si="26"/>
        <v>1200</v>
      </c>
      <c r="P89" s="613"/>
      <c r="R89" s="394">
        <f>+IFERROR(SUMIFS('Stock CD'!D:D,C333,'Stock CD'!C:C),0)</f>
        <v>0</v>
      </c>
      <c r="S89" s="509">
        <f t="shared" si="27"/>
        <v>1200</v>
      </c>
      <c r="U89" s="394">
        <f>+IFERROR(VLOOKUP(C89,'Stock CD'!B:I,8,0),0)</f>
        <v>0</v>
      </c>
      <c r="V89" s="509">
        <f t="shared" si="28"/>
        <v>576</v>
      </c>
      <c r="X89" s="444">
        <f>+SUMIFS('Conteo 24-02'!F:F,'Conteo 24-02'!$A:$A,$C89)</f>
        <v>0</v>
      </c>
      <c r="Y89" s="304">
        <f>+SUMIFS('Conteo 24-02'!G:G,'Conteo 24-02'!$A:$A,$C89)</f>
        <v>1200</v>
      </c>
      <c r="Z89" s="507">
        <v>1000</v>
      </c>
      <c r="AB89" s="424" t="s">
        <v>1466</v>
      </c>
      <c r="AC89" s="409">
        <v>192</v>
      </c>
      <c r="AD89" s="219"/>
      <c r="AE89" s="260">
        <v>25</v>
      </c>
      <c r="AF89" s="23"/>
      <c r="AG89" s="552" t="s">
        <v>1690</v>
      </c>
      <c r="AH89" s="260" t="s">
        <v>1655</v>
      </c>
      <c r="AI89" s="333">
        <v>3</v>
      </c>
      <c r="AK89" s="424">
        <v>100</v>
      </c>
      <c r="AL89" s="333">
        <v>0</v>
      </c>
    </row>
    <row r="90" spans="1:38" ht="18" customHeight="1" thickBot="1" x14ac:dyDescent="0.35">
      <c r="A90" t="s">
        <v>1466</v>
      </c>
      <c r="B90" s="493">
        <v>1206700</v>
      </c>
      <c r="C90" s="443">
        <v>546</v>
      </c>
      <c r="D90" s="262" t="str">
        <f>+VLOOKUP(C90,'Conteo 24-02'!$A$8:$D$246,4,0)</f>
        <v>C4</v>
      </c>
      <c r="E90" s="322" t="s">
        <v>746</v>
      </c>
      <c r="F90" s="355" t="s">
        <v>1699</v>
      </c>
      <c r="G90" s="580">
        <v>10000</v>
      </c>
      <c r="H90" s="471">
        <v>25</v>
      </c>
      <c r="J90" s="750">
        <f t="shared" si="23"/>
        <v>0.47222222222222221</v>
      </c>
      <c r="K90" s="794">
        <f t="shared" si="30"/>
        <v>0.47222222222222221</v>
      </c>
      <c r="M90" s="616">
        <f t="shared" si="24"/>
        <v>11400</v>
      </c>
      <c r="N90" s="378">
        <f t="shared" si="25"/>
        <v>21600</v>
      </c>
      <c r="O90" s="345">
        <f t="shared" si="26"/>
        <v>10200</v>
      </c>
      <c r="P90" s="614"/>
      <c r="R90" s="398">
        <f>+IFERROR(SUMIFS('Stock CD'!D:D,C58,'Stock CD'!C:C),0)</f>
        <v>0</v>
      </c>
      <c r="S90" s="401">
        <f t="shared" si="27"/>
        <v>10200</v>
      </c>
      <c r="U90" s="398">
        <f>+IFERROR(VLOOKUP(C90,'Stock CD'!B:I,8,0),0)</f>
        <v>0</v>
      </c>
      <c r="V90" s="401">
        <f t="shared" si="28"/>
        <v>21600</v>
      </c>
      <c r="X90" s="445">
        <f>+SUMIFS('Conteo 24-02'!F:F,'Conteo 24-02'!$A:$A,$C90)</f>
        <v>10</v>
      </c>
      <c r="Y90" s="305">
        <f>+SUMIFS('Conteo 24-02'!G:G,'Conteo 24-02'!$A:$A,$C90)</f>
        <v>200</v>
      </c>
      <c r="Z90" s="508">
        <v>1000</v>
      </c>
      <c r="AB90" s="425" t="s">
        <v>1466</v>
      </c>
      <c r="AC90" s="423">
        <f>IF(C90="Corb-LK",SUMIFS('Est Madre LK 10-25'!C:C,'Est Madre LK 10-25'!D:D,"si"),IF(C90="Corb-CH",SUMIFS('Est Madre CH 10-25'!C:C,'Est Madre CH 10-25'!D:D,"si"),0)+IFERROR(VLOOKUP(C90,'Est Madre LK 10-25'!$A:$C,3,),IFERROR(VLOOKUP(C90,'Est Madre CH 10-25'!$A:$C,3,),0)))</f>
        <v>7200</v>
      </c>
      <c r="AD90" s="361">
        <v>12000</v>
      </c>
      <c r="AE90" s="262">
        <v>25</v>
      </c>
      <c r="AF90" s="325">
        <v>68.570279999999997</v>
      </c>
      <c r="AG90" s="554" t="s">
        <v>1690</v>
      </c>
      <c r="AH90" s="262" t="s">
        <v>1655</v>
      </c>
      <c r="AI90" s="335">
        <v>3</v>
      </c>
      <c r="AK90" s="425">
        <v>100</v>
      </c>
      <c r="AL90" s="335">
        <v>0</v>
      </c>
    </row>
    <row r="91" spans="1:38" ht="18" customHeight="1" x14ac:dyDescent="0.3">
      <c r="B91" s="346"/>
      <c r="C91" s="294"/>
      <c r="D91" s="127"/>
      <c r="E91" s="299"/>
      <c r="F91" s="308"/>
      <c r="G91" s="578"/>
      <c r="H91" s="308"/>
      <c r="J91" s="452"/>
      <c r="K91" s="453"/>
      <c r="M91" s="611">
        <f>+SUM(M68:M90)</f>
        <v>31512</v>
      </c>
      <c r="N91" s="379"/>
      <c r="O91" s="336"/>
      <c r="P91" s="611"/>
      <c r="R91" s="454"/>
      <c r="S91" s="454"/>
      <c r="U91" s="454"/>
      <c r="V91" s="454"/>
      <c r="X91" s="307"/>
      <c r="Y91" s="307"/>
      <c r="Z91" s="384"/>
      <c r="AC91" s="382"/>
      <c r="AD91" s="384"/>
      <c r="AE91" s="127"/>
      <c r="AF91" s="348"/>
      <c r="AG91" s="550"/>
      <c r="AH91" s="127"/>
    </row>
    <row r="92" spans="1:38" ht="19.5" thickBot="1" x14ac:dyDescent="0.35">
      <c r="B92" s="346"/>
      <c r="C92" s="294"/>
      <c r="D92" s="127"/>
      <c r="E92" s="299"/>
      <c r="F92" s="308"/>
      <c r="G92" s="578"/>
      <c r="H92" s="308"/>
      <c r="J92" s="452"/>
      <c r="K92" s="453"/>
      <c r="M92" s="611"/>
      <c r="N92" s="379"/>
      <c r="O92" s="336"/>
      <c r="P92" s="611"/>
      <c r="R92" s="454"/>
      <c r="S92" s="454"/>
      <c r="U92" s="454"/>
      <c r="V92" s="454"/>
      <c r="X92" s="307"/>
      <c r="Y92" s="307"/>
      <c r="Z92" s="384"/>
      <c r="AC92" s="382"/>
      <c r="AD92" s="384"/>
      <c r="AE92" s="127"/>
      <c r="AF92" s="348"/>
      <c r="AG92" s="550"/>
      <c r="AH92" s="127"/>
    </row>
    <row r="93" spans="1:38" s="381" customFormat="1" ht="30" customHeight="1" thickBot="1" x14ac:dyDescent="0.3">
      <c r="B93" s="966" t="s">
        <v>1731</v>
      </c>
      <c r="C93" s="967"/>
      <c r="D93" s="967"/>
      <c r="E93" s="967"/>
      <c r="F93" s="967"/>
      <c r="G93" s="967"/>
      <c r="H93" s="968"/>
      <c r="J93" s="693"/>
      <c r="K93" s="694"/>
      <c r="L93" s="506"/>
      <c r="M93" s="662"/>
      <c r="N93" s="630"/>
      <c r="O93" s="630"/>
      <c r="P93" s="662"/>
      <c r="Q93" s="506"/>
      <c r="R93" s="662"/>
      <c r="S93" s="662"/>
      <c r="T93" s="506"/>
      <c r="U93" s="662"/>
      <c r="V93" s="662"/>
      <c r="W93" s="506"/>
      <c r="X93" s="662"/>
      <c r="Y93" s="662"/>
      <c r="Z93" s="630"/>
      <c r="AA93" s="506"/>
      <c r="AB93" s="662"/>
      <c r="AC93" s="662"/>
      <c r="AD93" s="630"/>
      <c r="AE93" s="662"/>
      <c r="AF93" s="662"/>
      <c r="AG93" s="662"/>
      <c r="AH93" s="662"/>
      <c r="AI93" s="662"/>
    </row>
    <row r="94" spans="1:38" ht="18" customHeight="1" x14ac:dyDescent="0.3">
      <c r="A94" t="s">
        <v>1466</v>
      </c>
      <c r="B94" s="297">
        <v>1271700</v>
      </c>
      <c r="C94" s="432">
        <v>577</v>
      </c>
      <c r="D94" s="261" t="str">
        <f>+VLOOKUP(C94,'Conteo 24-02'!$A$8:$D$246,4,0)</f>
        <v>F5C</v>
      </c>
      <c r="E94" s="321" t="s">
        <v>746</v>
      </c>
      <c r="F94" s="354" t="s">
        <v>1702</v>
      </c>
      <c r="G94" s="579"/>
      <c r="H94" s="469"/>
      <c r="J94" s="749">
        <f>+IFERROR(O94/N94,0)</f>
        <v>1.717479674796748</v>
      </c>
      <c r="K94" s="795">
        <f>+IFERROR(S94/V94,0)</f>
        <v>1.717479674796748</v>
      </c>
      <c r="M94" s="796">
        <f t="shared" ref="M94:M96" si="31">IF(N94-O94-P94&lt;0,0,N94-O94-P94)</f>
        <v>0</v>
      </c>
      <c r="N94" s="376">
        <f>+IFERROR(AC94*AI94,0)</f>
        <v>2952</v>
      </c>
      <c r="O94" s="344">
        <f>+(X94*Z94)+Y94</f>
        <v>5070</v>
      </c>
      <c r="P94" s="612"/>
      <c r="R94" s="396">
        <f>+IFERROR(SUMIFS('Stock CD'!D:D,C317,'Stock CD'!C:C),0)</f>
        <v>0</v>
      </c>
      <c r="S94" s="399">
        <f>+R94+O94</f>
        <v>5070</v>
      </c>
      <c r="U94" s="396">
        <f>+IFERROR(VLOOKUP(C94,'Stock CD'!B:I,8,0),0)</f>
        <v>0</v>
      </c>
      <c r="V94" s="399">
        <f>+U94+N94</f>
        <v>2952</v>
      </c>
      <c r="X94" s="626">
        <f>+SUMIFS('Conteo 24-02'!F:F,'Conteo 24-02'!$A:$A,$C94)</f>
        <v>0</v>
      </c>
      <c r="Y94" s="303">
        <f>+SUMIFS('Conteo 24-02'!G:G,'Conteo 24-02'!$A:$A,$C94)</f>
        <v>5070</v>
      </c>
      <c r="Z94" s="524">
        <v>2500</v>
      </c>
      <c r="AB94" s="393" t="s">
        <v>1466</v>
      </c>
      <c r="AC94" s="422">
        <f>IF(C94="Corb-LK",SUMIFS('Est Madre LK 10-25'!C:C,'Est Madre LK 10-25'!D:D,"si"),IF(C94="Corb-CH",SUMIFS('Est Madre CH 10-25'!C:C,'Est Madre CH 10-25'!D:D,"si"),0)+IFERROR(VLOOKUP(C94,'Est Madre LK 10-25'!$A:$C,3,),IFERROR(VLOOKUP(C94,'Est Madre CH 10-25'!$A:$C,3,),0)))</f>
        <v>984</v>
      </c>
      <c r="AD94" s="358">
        <v>18000</v>
      </c>
      <c r="AE94" s="261">
        <v>25</v>
      </c>
      <c r="AF94" s="324">
        <v>0</v>
      </c>
      <c r="AG94" s="551" t="s">
        <v>1690</v>
      </c>
      <c r="AH94" s="261" t="s">
        <v>1655</v>
      </c>
      <c r="AI94" s="331">
        <v>3</v>
      </c>
      <c r="AK94" s="393">
        <v>100</v>
      </c>
      <c r="AL94" s="331">
        <v>0</v>
      </c>
    </row>
    <row r="95" spans="1:38" ht="18" customHeight="1" x14ac:dyDescent="0.3">
      <c r="A95" t="s">
        <v>1466</v>
      </c>
      <c r="B95" s="302">
        <v>1272700</v>
      </c>
      <c r="C95" s="433">
        <v>579</v>
      </c>
      <c r="D95" s="260" t="str">
        <f>+VLOOKUP(C95,'Conteo 24-02'!$A$8:$D$246,4,0)</f>
        <v>F4B</v>
      </c>
      <c r="E95" s="320" t="s">
        <v>746</v>
      </c>
      <c r="F95" s="327" t="s">
        <v>1701</v>
      </c>
      <c r="G95" s="260"/>
      <c r="H95" s="470"/>
      <c r="J95" s="751">
        <f>+IFERROR(O95/N95,0)</f>
        <v>1.0353535353535352</v>
      </c>
      <c r="K95" s="778">
        <f>+IFERROR(S95/V95,0)</f>
        <v>1.0353535353535352</v>
      </c>
      <c r="M95" s="615">
        <f t="shared" si="31"/>
        <v>0</v>
      </c>
      <c r="N95" s="377">
        <f>+IFERROR(AC95*AI95,0)</f>
        <v>1980</v>
      </c>
      <c r="O95" s="343">
        <f>+(X95*Z95)+Y95</f>
        <v>2050</v>
      </c>
      <c r="P95" s="613"/>
      <c r="R95" s="397">
        <f>+IFERROR(SUMIFS('Stock CD'!D:D,C315,'Stock CD'!C:C),0)</f>
        <v>0</v>
      </c>
      <c r="S95" s="400">
        <f>+R95+O95</f>
        <v>2050</v>
      </c>
      <c r="U95" s="397">
        <f>+IFERROR(VLOOKUP(C95,'Stock CD'!B:I,8,0),0)</f>
        <v>0</v>
      </c>
      <c r="V95" s="400">
        <f>+U95+N95</f>
        <v>1980</v>
      </c>
      <c r="X95" s="444">
        <f>+SUMIFS('Conteo 24-02'!F:F,'Conteo 24-02'!$A:$A,$C95)</f>
        <v>0</v>
      </c>
      <c r="Y95" s="304">
        <f>+SUMIFS('Conteo 24-02'!G:G,'Conteo 24-02'!$A:$A,$C95)</f>
        <v>2050</v>
      </c>
      <c r="Z95" s="507">
        <v>2500</v>
      </c>
      <c r="AB95" s="424" t="s">
        <v>1466</v>
      </c>
      <c r="AC95" s="409">
        <f>IF(C95="Corb-LK",SUMIFS('Est Madre LK 10-25'!C:C,'Est Madre LK 10-25'!D:D,"si"),IF(C95="Corb-CH",SUMIFS('Est Madre CH 10-25'!C:C,'Est Madre CH 10-25'!D:D,"si"),0)+IFERROR(VLOOKUP(C95,'Est Madre LK 10-25'!$A:$C,3,),IFERROR(VLOOKUP(C95,'Est Madre CH 10-25'!$A:$C,3,),0)))</f>
        <v>660</v>
      </c>
      <c r="AD95" s="359">
        <v>18000</v>
      </c>
      <c r="AE95" s="260">
        <v>25</v>
      </c>
      <c r="AF95" s="323">
        <v>0</v>
      </c>
      <c r="AG95" s="552" t="s">
        <v>1690</v>
      </c>
      <c r="AH95" s="260" t="s">
        <v>1655</v>
      </c>
      <c r="AI95" s="333">
        <v>3</v>
      </c>
      <c r="AK95" s="424">
        <v>100</v>
      </c>
      <c r="AL95" s="333">
        <v>0</v>
      </c>
    </row>
    <row r="96" spans="1:38" ht="18" customHeight="1" thickBot="1" x14ac:dyDescent="0.35">
      <c r="A96" t="s">
        <v>1466</v>
      </c>
      <c r="B96" s="298">
        <v>1214700</v>
      </c>
      <c r="C96" s="443">
        <v>575</v>
      </c>
      <c r="D96" s="262" t="str">
        <f>+VLOOKUP(C96,'Conteo 24-02'!$A$8:$D$246,4,0)</f>
        <v>F4A</v>
      </c>
      <c r="E96" s="322" t="s">
        <v>746</v>
      </c>
      <c r="F96" s="355" t="s">
        <v>1700</v>
      </c>
      <c r="G96" s="262"/>
      <c r="H96" s="471"/>
      <c r="J96" s="750">
        <f>+IFERROR(O96/N96,0)</f>
        <v>1.2362637362637363</v>
      </c>
      <c r="K96" s="794">
        <f>+IFERROR(S96/V96,0)</f>
        <v>1.2362637362637363</v>
      </c>
      <c r="M96" s="616">
        <f t="shared" si="31"/>
        <v>0</v>
      </c>
      <c r="N96" s="378">
        <f>+IFERROR(AC96*AI96,0)</f>
        <v>3276</v>
      </c>
      <c r="O96" s="345">
        <f>+(X96*Z96)+Y96</f>
        <v>4050</v>
      </c>
      <c r="P96" s="614"/>
      <c r="R96" s="398">
        <f>+IFERROR(SUMIFS('Stock CD'!D:D,C316,'Stock CD'!C:C),0)</f>
        <v>0</v>
      </c>
      <c r="S96" s="401">
        <f>+R96+O96</f>
        <v>4050</v>
      </c>
      <c r="U96" s="398">
        <f>+IFERROR(VLOOKUP(C96,'Stock CD'!B:I,8,0),0)</f>
        <v>0</v>
      </c>
      <c r="V96" s="401">
        <f>+U96+N96</f>
        <v>3276</v>
      </c>
      <c r="X96" s="445">
        <f>+SUMIFS('Conteo 24-02'!F:F,'Conteo 24-02'!$A:$A,$C96)</f>
        <v>1</v>
      </c>
      <c r="Y96" s="305">
        <f>+SUMIFS('Conteo 24-02'!G:G,'Conteo 24-02'!$A:$A,$C96)</f>
        <v>1550</v>
      </c>
      <c r="Z96" s="508">
        <v>2500</v>
      </c>
      <c r="AB96" s="425" t="s">
        <v>1466</v>
      </c>
      <c r="AC96" s="423">
        <f>IF(C96="Corb-LK",SUMIFS('Est Madre LK 10-25'!C:C,'Est Madre LK 10-25'!D:D,"si"),IF(C96="Corb-CH",SUMIFS('Est Madre CH 10-25'!C:C,'Est Madre CH 10-25'!D:D,"si"),0)+IFERROR(VLOOKUP(C96,'Est Madre LK 10-25'!$A:$C,3,),IFERROR(VLOOKUP(C96,'Est Madre CH 10-25'!$A:$C,3,),0)))</f>
        <v>1092</v>
      </c>
      <c r="AD96" s="361">
        <v>18000</v>
      </c>
      <c r="AE96" s="262">
        <v>25</v>
      </c>
      <c r="AF96" s="325">
        <v>75.746549999999999</v>
      </c>
      <c r="AG96" s="554" t="s">
        <v>1690</v>
      </c>
      <c r="AH96" s="262" t="s">
        <v>1655</v>
      </c>
      <c r="AI96" s="335">
        <v>3</v>
      </c>
      <c r="AK96" s="425">
        <v>100</v>
      </c>
      <c r="AL96" s="335">
        <v>0</v>
      </c>
    </row>
    <row r="97" spans="1:38" ht="18.75" customHeight="1" x14ac:dyDescent="0.3">
      <c r="B97" s="346"/>
      <c r="C97" s="294"/>
      <c r="E97" s="299"/>
      <c r="F97" s="308"/>
      <c r="G97" s="578"/>
      <c r="H97" s="308"/>
      <c r="J97" s="452"/>
      <c r="K97" s="453"/>
      <c r="M97" s="611">
        <f>+SUM(M94:M96)</f>
        <v>0</v>
      </c>
      <c r="N97" s="379"/>
      <c r="O97" s="336"/>
      <c r="P97" s="611"/>
      <c r="R97" s="454"/>
      <c r="S97" s="454"/>
      <c r="U97" s="454"/>
      <c r="V97" s="454"/>
      <c r="X97" s="307"/>
      <c r="Y97" s="307"/>
      <c r="Z97" s="384"/>
      <c r="AC97" s="382"/>
      <c r="AD97" s="384"/>
      <c r="AE97" s="127"/>
      <c r="AF97" s="348"/>
      <c r="AG97" s="550"/>
      <c r="AH97" s="127"/>
    </row>
    <row r="98" spans="1:38" ht="18.75" customHeight="1" thickBot="1" x14ac:dyDescent="0.35">
      <c r="B98" s="346"/>
      <c r="C98" s="294"/>
      <c r="E98" s="299"/>
      <c r="F98" s="308"/>
      <c r="G98" s="578"/>
      <c r="H98" s="308"/>
      <c r="J98" s="452"/>
      <c r="K98" s="453"/>
      <c r="M98" s="611"/>
      <c r="N98" s="379"/>
      <c r="O98" s="336"/>
      <c r="P98" s="611"/>
      <c r="R98" s="454"/>
      <c r="S98" s="454"/>
      <c r="U98" s="454"/>
      <c r="V98" s="454"/>
      <c r="X98" s="307"/>
      <c r="Y98" s="307"/>
      <c r="Z98" s="384"/>
      <c r="AC98" s="382"/>
      <c r="AD98" s="384"/>
      <c r="AE98" s="127"/>
      <c r="AF98" s="348"/>
      <c r="AG98" s="550"/>
      <c r="AH98" s="127"/>
    </row>
    <row r="99" spans="1:38" s="381" customFormat="1" ht="30" customHeight="1" thickBot="1" x14ac:dyDescent="0.3">
      <c r="B99" s="966" t="s">
        <v>1737</v>
      </c>
      <c r="C99" s="967"/>
      <c r="D99" s="967"/>
      <c r="E99" s="967"/>
      <c r="F99" s="967"/>
      <c r="G99" s="967"/>
      <c r="H99" s="968"/>
      <c r="J99" s="693"/>
      <c r="K99" s="694"/>
      <c r="L99" s="506"/>
      <c r="M99" s="662"/>
      <c r="N99" s="630"/>
      <c r="O99" s="630"/>
      <c r="P99" s="662"/>
      <c r="Q99" s="506"/>
      <c r="R99" s="662"/>
      <c r="S99" s="662"/>
      <c r="T99" s="506"/>
      <c r="U99" s="662"/>
      <c r="V99" s="662"/>
      <c r="W99" s="506"/>
      <c r="X99" s="662"/>
      <c r="Y99" s="662"/>
      <c r="Z99" s="630"/>
      <c r="AA99" s="506"/>
      <c r="AB99" s="662"/>
      <c r="AC99" s="662"/>
      <c r="AD99" s="630"/>
      <c r="AE99" s="662"/>
      <c r="AF99" s="662"/>
      <c r="AG99" s="662"/>
      <c r="AH99" s="662"/>
      <c r="AI99" s="662"/>
    </row>
    <row r="100" spans="1:38" ht="18" customHeight="1" x14ac:dyDescent="0.3">
      <c r="A100" t="s">
        <v>1466</v>
      </c>
      <c r="B100" s="413">
        <v>1206700</v>
      </c>
      <c r="C100" s="432">
        <v>544</v>
      </c>
      <c r="D100" s="261" t="str">
        <f>+VLOOKUP(C100,'Conteo 24-02'!$A$8:$D$246,4,0)</f>
        <v>F2</v>
      </c>
      <c r="E100" s="321" t="s">
        <v>746</v>
      </c>
      <c r="F100" s="354" t="s">
        <v>1193</v>
      </c>
      <c r="G100" s="579"/>
      <c r="H100" s="469"/>
      <c r="J100" s="749">
        <f>+IFERROR(O100/N100,0)</f>
        <v>0.89317613433369059</v>
      </c>
      <c r="K100" s="485">
        <f>+IFERROR(S100/V100,0)</f>
        <v>0.89317613433369059</v>
      </c>
      <c r="M100" s="658">
        <f>IF(N100-O100-P100&lt;0,0,N100-O100-P100)</f>
        <v>2392</v>
      </c>
      <c r="N100" s="376">
        <f>+IFERROR(AC100*AI100,0)</f>
        <v>22392</v>
      </c>
      <c r="O100" s="344">
        <f>+(X100*Z100)+Y100</f>
        <v>20000</v>
      </c>
      <c r="P100" s="612"/>
      <c r="R100" s="396">
        <f>+IFERROR(SUMIFS('Stock CD'!D:D,C55,'Stock CD'!C:C),0)</f>
        <v>0</v>
      </c>
      <c r="S100" s="399">
        <f>+R100+O100</f>
        <v>20000</v>
      </c>
      <c r="U100" s="396">
        <f>+IFERROR(VLOOKUP(C100,'Stock CD'!B:I,8,0),0)</f>
        <v>0</v>
      </c>
      <c r="V100" s="399">
        <f>+U100+N100</f>
        <v>22392</v>
      </c>
      <c r="X100" s="626">
        <f>+SUMIFS('Conteo 24-02'!F:F,'Conteo 24-02'!$A:$A,$C100)</f>
        <v>16</v>
      </c>
      <c r="Y100" s="303">
        <f>+SUMIFS('Conteo 24-02'!G:G,'Conteo 24-02'!$A:$A,$C100)</f>
        <v>4000</v>
      </c>
      <c r="Z100" s="524">
        <v>1000</v>
      </c>
      <c r="AB100" s="393" t="s">
        <v>1466</v>
      </c>
      <c r="AC100" s="422">
        <f>IF(C100="Corb-LK",SUMIFS('Est Madre LK 10-25'!C:C,'Est Madre LK 10-25'!D:D,"si"),IF(C100="Corb-CH",SUMIFS('Est Madre CH 10-25'!C:C,'Est Madre CH 10-25'!D:D,"si"),0)+IFERROR(VLOOKUP(C100,'Est Madre LK 10-25'!$A:$C,3,),IFERROR(VLOOKUP(C100,'Est Madre CH 10-25'!$A:$C,3,),0)))</f>
        <v>7464</v>
      </c>
      <c r="AD100" s="358">
        <v>12000</v>
      </c>
      <c r="AE100" s="261">
        <v>30</v>
      </c>
      <c r="AF100" s="324">
        <v>68.570279999999997</v>
      </c>
      <c r="AG100" s="551" t="s">
        <v>1691</v>
      </c>
      <c r="AH100" s="261" t="s">
        <v>1666</v>
      </c>
      <c r="AI100" s="331">
        <v>3</v>
      </c>
      <c r="AK100" s="393">
        <v>100</v>
      </c>
      <c r="AL100" s="331">
        <v>0</v>
      </c>
    </row>
    <row r="101" spans="1:38" ht="18" customHeight="1" thickBot="1" x14ac:dyDescent="0.35">
      <c r="A101" t="s">
        <v>1466</v>
      </c>
      <c r="B101" s="298"/>
      <c r="C101" s="443">
        <v>580</v>
      </c>
      <c r="D101" s="262" t="str">
        <f>+VLOOKUP(C101,'Conteo 24-02'!$A$8:$D$246,4,0)</f>
        <v>G8C</v>
      </c>
      <c r="E101" s="322" t="s">
        <v>746</v>
      </c>
      <c r="F101" s="355" t="s">
        <v>1273</v>
      </c>
      <c r="G101" s="262"/>
      <c r="H101" s="471"/>
      <c r="I101" s="208"/>
      <c r="J101" s="750">
        <f>+IFERROR(O101/N101,0)</f>
        <v>1.1111111111111112</v>
      </c>
      <c r="K101" s="793">
        <f>+IFERROR(S101/V101,0)</f>
        <v>1.1111111111111112</v>
      </c>
      <c r="M101" s="659">
        <f>IF(N101-O101-P101&lt;0,0,N101-O101-P101)</f>
        <v>0</v>
      </c>
      <c r="N101" s="378">
        <f>+IFERROR(AC101*AI101,0)</f>
        <v>1800</v>
      </c>
      <c r="O101" s="345">
        <f>+(X101*Z101)+Y101</f>
        <v>2000</v>
      </c>
      <c r="P101" s="614"/>
      <c r="R101" s="752">
        <f>+IFERROR(SUMIFS('Stock CD'!D:D,C329,'Stock CD'!C:C),0)</f>
        <v>0</v>
      </c>
      <c r="S101" s="401">
        <f>+R101+O101</f>
        <v>2000</v>
      </c>
      <c r="U101" s="752">
        <f>+IFERROR(VLOOKUP(C101,'Stock CD'!B:I,8,0),0)</f>
        <v>0</v>
      </c>
      <c r="V101" s="753">
        <f>+U101+N101</f>
        <v>1800</v>
      </c>
      <c r="X101" s="445">
        <f>+SUMIFS('Conteo 24-02'!F:F,'Conteo 24-02'!$A:$A,$C101)</f>
        <v>2</v>
      </c>
      <c r="Y101" s="305">
        <f>+SUMIFS('Conteo 24-02'!G:G,'Conteo 24-02'!$A:$A,$C101)</f>
        <v>0</v>
      </c>
      <c r="Z101" s="508">
        <v>1000</v>
      </c>
      <c r="AB101" s="425" t="s">
        <v>1466</v>
      </c>
      <c r="AC101" s="423">
        <v>600</v>
      </c>
      <c r="AD101" s="361"/>
      <c r="AE101" s="262"/>
      <c r="AF101" s="325"/>
      <c r="AG101" s="554" t="s">
        <v>1691</v>
      </c>
      <c r="AH101" s="262" t="s">
        <v>1666</v>
      </c>
      <c r="AI101" s="335">
        <v>3</v>
      </c>
      <c r="AK101" s="425">
        <v>100</v>
      </c>
      <c r="AL101" s="335">
        <v>0</v>
      </c>
    </row>
    <row r="102" spans="1:38" ht="5.25" customHeight="1" thickBot="1" x14ac:dyDescent="0.35">
      <c r="B102" s="294"/>
      <c r="C102" s="294"/>
      <c r="E102" s="299"/>
      <c r="F102" s="308"/>
      <c r="G102" s="127"/>
      <c r="H102" s="308"/>
      <c r="I102" s="208"/>
      <c r="J102" s="452"/>
      <c r="K102" s="500"/>
      <c r="M102" s="611"/>
      <c r="N102" s="379"/>
      <c r="O102" s="336"/>
      <c r="P102" s="611"/>
      <c r="R102" s="501"/>
      <c r="S102" s="454"/>
      <c r="U102" s="501"/>
      <c r="V102" s="501"/>
      <c r="X102" s="307"/>
      <c r="Y102" s="307"/>
      <c r="Z102" s="384"/>
      <c r="AC102" s="382"/>
      <c r="AD102" s="384"/>
      <c r="AE102" s="127"/>
      <c r="AF102" s="348"/>
      <c r="AG102" s="550"/>
      <c r="AH102" s="127"/>
    </row>
    <row r="103" spans="1:38" ht="18" customHeight="1" x14ac:dyDescent="0.3">
      <c r="A103" t="s">
        <v>1466</v>
      </c>
      <c r="B103" s="413">
        <v>1217700</v>
      </c>
      <c r="C103" s="432">
        <v>27</v>
      </c>
      <c r="D103" s="261" t="str">
        <f>+VLOOKUP(C103,'Conteo 24-02'!$A$8:$D$246,4,0)</f>
        <v>L5A</v>
      </c>
      <c r="E103" s="321" t="s">
        <v>746</v>
      </c>
      <c r="F103" s="354" t="s">
        <v>1359</v>
      </c>
      <c r="G103" s="579"/>
      <c r="H103" s="469"/>
      <c r="J103" s="749">
        <f>+IFERROR(O103/N103,0)</f>
        <v>0.92346335697399529</v>
      </c>
      <c r="K103" s="485">
        <f>+IFERROR(S103/V103,0)</f>
        <v>0.92346335697399529</v>
      </c>
      <c r="M103" s="658">
        <f>IF(N103-O103-P103&lt;0,0,N103-O103-P103)</f>
        <v>1036</v>
      </c>
      <c r="N103" s="376">
        <f>+IFERROR(AC103*AI103,0)</f>
        <v>13536</v>
      </c>
      <c r="O103" s="344">
        <f>+(X103*Z103)+Y103</f>
        <v>12500</v>
      </c>
      <c r="P103" s="612"/>
      <c r="R103" s="396">
        <f>+IFERROR(SUMIFS('Stock CD'!D:D,#REF!,'Stock CD'!C:C),0)</f>
        <v>0</v>
      </c>
      <c r="S103" s="399">
        <f>+R103+O103</f>
        <v>12500</v>
      </c>
      <c r="U103" s="396">
        <f>+IFERROR(VLOOKUP(C103,'Stock CD'!B:I,8,0),0)</f>
        <v>0</v>
      </c>
      <c r="V103" s="399">
        <f>+U103+N103</f>
        <v>13536</v>
      </c>
      <c r="X103" s="626">
        <f>+SUMIFS('Conteo 24-02'!F:F,'Conteo 24-02'!$A:$A,$C103)</f>
        <v>5</v>
      </c>
      <c r="Y103" s="303">
        <f>+SUMIFS('Conteo 24-02'!G:G,'Conteo 24-02'!$A:$A,$C103)</f>
        <v>0</v>
      </c>
      <c r="Z103" s="524">
        <v>2500</v>
      </c>
      <c r="AB103" s="393" t="s">
        <v>1466</v>
      </c>
      <c r="AC103" s="422">
        <f>IF(C103="Corb-LK",SUMIFS('Est Madre LK 10-25'!C:C,'Est Madre LK 10-25'!D:D,"si"),IF(C103="Corb-CH",SUMIFS('Est Madre CH 10-25'!C:C,'Est Madre CH 10-25'!D:D,"si"),0)+IFERROR(VLOOKUP(C103,'Est Madre LK 10-25'!$A:$C,3,),IFERROR(VLOOKUP(C103,'Est Madre CH 10-25'!$A:$C,3,),0)))</f>
        <v>4512</v>
      </c>
      <c r="AD103" s="358">
        <v>12000</v>
      </c>
      <c r="AE103" s="261">
        <v>30</v>
      </c>
      <c r="AF103" s="324">
        <v>31.048200000000001</v>
      </c>
      <c r="AG103" s="551" t="s">
        <v>1691</v>
      </c>
      <c r="AH103" s="261" t="s">
        <v>1666</v>
      </c>
      <c r="AI103" s="331">
        <v>3</v>
      </c>
      <c r="AK103" s="393">
        <v>100</v>
      </c>
      <c r="AL103" s="331">
        <v>0</v>
      </c>
    </row>
    <row r="104" spans="1:38" ht="18" customHeight="1" thickBot="1" x14ac:dyDescent="0.35">
      <c r="A104" t="s">
        <v>1466</v>
      </c>
      <c r="B104" s="493">
        <v>1217700</v>
      </c>
      <c r="C104" s="443">
        <v>26</v>
      </c>
      <c r="D104" s="262" t="str">
        <f>+VLOOKUP(C104,'Conteo 24-02'!$A$8:$D$246,4,0)</f>
        <v>L5B</v>
      </c>
      <c r="E104" s="322" t="s">
        <v>746</v>
      </c>
      <c r="F104" s="355" t="s">
        <v>1358</v>
      </c>
      <c r="G104" s="580"/>
      <c r="H104" s="471"/>
      <c r="J104" s="750">
        <f>+IFERROR(O104/N104,0)</f>
        <v>1.144739266629814</v>
      </c>
      <c r="K104" s="486">
        <f>+IFERROR(S104/V104,0)</f>
        <v>1.144739266629814</v>
      </c>
      <c r="M104" s="659">
        <f>IF(N104-O104-P104&lt;0,0,N104-O104-P104)</f>
        <v>0</v>
      </c>
      <c r="N104" s="378">
        <f>+IFERROR(AC104*AI104,0)</f>
        <v>21708</v>
      </c>
      <c r="O104" s="345">
        <f>+(X104*Z104)+Y104</f>
        <v>24850</v>
      </c>
      <c r="P104" s="614"/>
      <c r="R104" s="398">
        <f>+IFERROR(SUMIFS('Stock CD'!D:D,C58,'Stock CD'!C:C),0)</f>
        <v>0</v>
      </c>
      <c r="S104" s="401">
        <f>+R104+O104</f>
        <v>24850</v>
      </c>
      <c r="U104" s="398">
        <f>+IFERROR(VLOOKUP(C104,'Stock CD'!B:I,8,0),0)</f>
        <v>0</v>
      </c>
      <c r="V104" s="401">
        <f>+U104+N104</f>
        <v>21708</v>
      </c>
      <c r="X104" s="445">
        <f>+SUMIFS('Conteo 24-02'!F:F,'Conteo 24-02'!$A:$A,$C104)</f>
        <v>9</v>
      </c>
      <c r="Y104" s="305">
        <f>+SUMIFS('Conteo 24-02'!G:G,'Conteo 24-02'!$A:$A,$C104)</f>
        <v>2350</v>
      </c>
      <c r="Z104" s="508">
        <v>2500</v>
      </c>
      <c r="AB104" s="425" t="s">
        <v>1466</v>
      </c>
      <c r="AC104" s="423">
        <f>IF(C104="Corb-LK",SUMIFS('Est Madre LK 10-25'!C:C,'Est Madre LK 10-25'!D:D,"si"),IF(C104="Corb-CH",SUMIFS('Est Madre CH 10-25'!C:C,'Est Madre CH 10-25'!D:D,"si"),0)+IFERROR(VLOOKUP(C104,'Est Madre LK 10-25'!$A:$C,3,),IFERROR(VLOOKUP(C104,'Est Madre CH 10-25'!$A:$C,3,),0)))</f>
        <v>7236</v>
      </c>
      <c r="AD104" s="361">
        <v>12000</v>
      </c>
      <c r="AE104" s="262">
        <v>30</v>
      </c>
      <c r="AF104" s="325">
        <v>31.048200000000001</v>
      </c>
      <c r="AG104" s="554" t="s">
        <v>1691</v>
      </c>
      <c r="AH104" s="262" t="s">
        <v>1666</v>
      </c>
      <c r="AI104" s="335">
        <v>3</v>
      </c>
      <c r="AK104" s="425">
        <v>100</v>
      </c>
      <c r="AL104" s="335">
        <v>0</v>
      </c>
    </row>
    <row r="105" spans="1:38" ht="5.65" customHeight="1" thickBot="1" x14ac:dyDescent="0.35">
      <c r="B105" s="346"/>
      <c r="C105" s="294"/>
      <c r="E105" s="299"/>
      <c r="F105" s="308"/>
      <c r="G105" s="127"/>
      <c r="H105" s="308"/>
      <c r="J105" s="452"/>
      <c r="K105" s="453"/>
      <c r="M105" s="611"/>
      <c r="N105" s="379"/>
      <c r="O105" s="336"/>
      <c r="P105" s="611"/>
      <c r="R105" s="454"/>
      <c r="S105" s="454"/>
      <c r="U105" s="454"/>
      <c r="V105" s="454"/>
      <c r="X105" s="307"/>
      <c r="Y105" s="307"/>
      <c r="Z105" s="384"/>
      <c r="AC105" s="382"/>
      <c r="AD105" s="384"/>
      <c r="AE105" s="127"/>
      <c r="AF105" s="348"/>
      <c r="AG105" s="550"/>
      <c r="AH105" s="127"/>
    </row>
    <row r="106" spans="1:38" ht="18" customHeight="1" x14ac:dyDescent="0.3">
      <c r="A106" t="s">
        <v>1466</v>
      </c>
      <c r="B106" s="413">
        <v>1217700</v>
      </c>
      <c r="C106" s="432">
        <v>223</v>
      </c>
      <c r="D106" s="261" t="str">
        <f>+VLOOKUP(C106,'Conteo 24-02'!$A$8:$D$246,4,0)</f>
        <v>M3A</v>
      </c>
      <c r="E106" s="321" t="s">
        <v>746</v>
      </c>
      <c r="F106" s="354" t="s">
        <v>1344</v>
      </c>
      <c r="G106" s="261"/>
      <c r="H106" s="469"/>
      <c r="J106" s="749">
        <f t="shared" ref="J106:J111" si="32">+IFERROR(O106/N106,0)</f>
        <v>1.3526570048309179</v>
      </c>
      <c r="K106" s="485">
        <f t="shared" ref="K106:K111" si="33">+IFERROR(S106/V106,0)</f>
        <v>1.3526570048309179</v>
      </c>
      <c r="M106" s="658">
        <f t="shared" ref="M106:M111" si="34">IF(N106-O106-P106&lt;0,0,N106-O106-P106)</f>
        <v>0</v>
      </c>
      <c r="N106" s="376">
        <f t="shared" ref="N106:N111" si="35">+IFERROR(AC106*AI106,0)</f>
        <v>828</v>
      </c>
      <c r="O106" s="344">
        <f t="shared" ref="O106:O111" si="36">+(X106*Z106)+Y106</f>
        <v>1120</v>
      </c>
      <c r="P106" s="612"/>
      <c r="R106" s="396">
        <f>+IFERROR(SUMIFS('Stock CD'!D:D,#REF!,'Stock CD'!C:C),0)</f>
        <v>0</v>
      </c>
      <c r="S106" s="399">
        <f t="shared" ref="S106:S111" si="37">+R106+O106</f>
        <v>1120</v>
      </c>
      <c r="U106" s="396">
        <f>+IFERROR(VLOOKUP(C106,'Stock CD'!B:I,8,0),0)</f>
        <v>0</v>
      </c>
      <c r="V106" s="399">
        <f t="shared" ref="V106:V111" si="38">+U106+N106</f>
        <v>828</v>
      </c>
      <c r="X106" s="626">
        <f>+SUMIFS('Conteo 24-02'!F:F,'Conteo 24-02'!$A:$A,$C106)</f>
        <v>0</v>
      </c>
      <c r="Y106" s="303">
        <f>+SUMIFS('Conteo 24-02'!G:G,'Conteo 24-02'!$A:$A,$C106)</f>
        <v>1120</v>
      </c>
      <c r="Z106" s="524">
        <v>2500</v>
      </c>
      <c r="AB106" s="393" t="s">
        <v>1466</v>
      </c>
      <c r="AC106" s="422">
        <f>IF(C106="Corb-LK",SUMIFS('Est Madre LK 10-25'!C:C,'Est Madre LK 10-25'!D:D,"si"),IF(C106="Corb-CH",SUMIFS('Est Madre CH 10-25'!C:C,'Est Madre CH 10-25'!D:D,"si"),0)+IFERROR(VLOOKUP(C106,'Est Madre LK 10-25'!$A:$C,3,),IFERROR(VLOOKUP(C106,'Est Madre CH 10-25'!$A:$C,3,),0)))</f>
        <v>276</v>
      </c>
      <c r="AD106" s="358">
        <v>12000</v>
      </c>
      <c r="AE106" s="261">
        <v>30</v>
      </c>
      <c r="AF106" s="324">
        <v>31.048200000000001</v>
      </c>
      <c r="AG106" s="551" t="s">
        <v>1691</v>
      </c>
      <c r="AH106" s="261" t="s">
        <v>1666</v>
      </c>
      <c r="AI106" s="331">
        <v>3</v>
      </c>
      <c r="AK106" s="393">
        <v>100</v>
      </c>
      <c r="AL106" s="331">
        <v>0</v>
      </c>
    </row>
    <row r="107" spans="1:38" ht="18" customHeight="1" x14ac:dyDescent="0.3">
      <c r="A107" t="s">
        <v>1466</v>
      </c>
      <c r="B107" s="414">
        <v>1217700</v>
      </c>
      <c r="C107" s="433">
        <v>224</v>
      </c>
      <c r="D107" s="260" t="str">
        <f>+VLOOKUP(C107,'Conteo 24-02'!$A$8:$D$246,4,0)</f>
        <v>M3D</v>
      </c>
      <c r="E107" s="320" t="s">
        <v>746</v>
      </c>
      <c r="F107" s="327" t="s">
        <v>1347</v>
      </c>
      <c r="G107" s="260"/>
      <c r="H107" s="470"/>
      <c r="J107" s="751">
        <f t="shared" si="32"/>
        <v>2.052154195011338</v>
      </c>
      <c r="K107" s="478">
        <f t="shared" si="33"/>
        <v>2.052154195011338</v>
      </c>
      <c r="M107" s="726">
        <f t="shared" si="34"/>
        <v>0</v>
      </c>
      <c r="N107" s="377">
        <f t="shared" si="35"/>
        <v>1764</v>
      </c>
      <c r="O107" s="343">
        <f t="shared" si="36"/>
        <v>3620</v>
      </c>
      <c r="P107" s="613"/>
      <c r="R107" s="397">
        <f>+IFERROR(SUMIFS('Stock CD'!D:D,#REF!,'Stock CD'!C:C),0)</f>
        <v>0</v>
      </c>
      <c r="S107" s="400">
        <f t="shared" si="37"/>
        <v>3620</v>
      </c>
      <c r="U107" s="397">
        <f>+IFERROR(VLOOKUP(C107,'Stock CD'!B:I,8,0),0)</f>
        <v>0</v>
      </c>
      <c r="V107" s="400">
        <f t="shared" si="38"/>
        <v>1764</v>
      </c>
      <c r="X107" s="444">
        <f>+SUMIFS('Conteo 24-02'!F:F,'Conteo 24-02'!$A:$A,$C107)</f>
        <v>1</v>
      </c>
      <c r="Y107" s="304">
        <f>+SUMIFS('Conteo 24-02'!G:G,'Conteo 24-02'!$A:$A,$C107)</f>
        <v>1120</v>
      </c>
      <c r="Z107" s="507">
        <v>2500</v>
      </c>
      <c r="AB107" s="424" t="s">
        <v>1466</v>
      </c>
      <c r="AC107" s="409">
        <f>IF(C107="Corb-LK",SUMIFS('Est Madre LK 10-25'!C:C,'Est Madre LK 10-25'!D:D,"si"),IF(C107="Corb-CH",SUMIFS('Est Madre CH 10-25'!C:C,'Est Madre CH 10-25'!D:D,"si"),0)+IFERROR(VLOOKUP(C107,'Est Madre LK 10-25'!$A:$C,3,),IFERROR(VLOOKUP(C107,'Est Madre CH 10-25'!$A:$C,3,),0)))</f>
        <v>588</v>
      </c>
      <c r="AD107" s="359">
        <v>12000</v>
      </c>
      <c r="AE107" s="260">
        <v>30</v>
      </c>
      <c r="AF107" s="323">
        <v>31.048200000000001</v>
      </c>
      <c r="AG107" s="552" t="s">
        <v>1691</v>
      </c>
      <c r="AH107" s="260" t="s">
        <v>1666</v>
      </c>
      <c r="AI107" s="333">
        <v>3</v>
      </c>
      <c r="AK107" s="424">
        <v>100</v>
      </c>
      <c r="AL107" s="333">
        <v>0</v>
      </c>
    </row>
    <row r="108" spans="1:38" ht="18" customHeight="1" x14ac:dyDescent="0.3">
      <c r="A108" t="s">
        <v>1466</v>
      </c>
      <c r="B108" s="414">
        <v>1217700</v>
      </c>
      <c r="C108" s="433">
        <v>225</v>
      </c>
      <c r="D108" s="260" t="str">
        <f>+VLOOKUP(C108,'Conteo 24-02'!$A$8:$D$246,4,0)</f>
        <v>M5D</v>
      </c>
      <c r="E108" s="320" t="s">
        <v>746</v>
      </c>
      <c r="F108" s="327" t="s">
        <v>1324</v>
      </c>
      <c r="G108" s="260"/>
      <c r="H108" s="470"/>
      <c r="J108" s="751">
        <f t="shared" si="32"/>
        <v>0.67500000000000004</v>
      </c>
      <c r="K108" s="478">
        <f t="shared" si="33"/>
        <v>0.67500000000000004</v>
      </c>
      <c r="M108" s="726">
        <f t="shared" si="34"/>
        <v>2340</v>
      </c>
      <c r="N108" s="377">
        <f t="shared" si="35"/>
        <v>7200</v>
      </c>
      <c r="O108" s="343">
        <f t="shared" si="36"/>
        <v>4860</v>
      </c>
      <c r="P108" s="613"/>
      <c r="R108" s="397">
        <f>+IFERROR(SUMIFS('Stock CD'!D:D,#REF!,'Stock CD'!C:C),0)</f>
        <v>0</v>
      </c>
      <c r="S108" s="400">
        <f t="shared" si="37"/>
        <v>4860</v>
      </c>
      <c r="U108" s="397">
        <f>+IFERROR(VLOOKUP(C108,'Stock CD'!B:I,8,0),0)</f>
        <v>0</v>
      </c>
      <c r="V108" s="400">
        <f t="shared" si="38"/>
        <v>7200</v>
      </c>
      <c r="X108" s="444">
        <f>+SUMIFS('Conteo 24-02'!F:F,'Conteo 24-02'!$A:$A,$C108)</f>
        <v>1</v>
      </c>
      <c r="Y108" s="304">
        <f>+SUMIFS('Conteo 24-02'!G:G,'Conteo 24-02'!$A:$A,$C108)</f>
        <v>2360</v>
      </c>
      <c r="Z108" s="507">
        <v>2500</v>
      </c>
      <c r="AB108" s="424" t="s">
        <v>1466</v>
      </c>
      <c r="AC108" s="409">
        <f>IF(C108="Corb-LK",SUMIFS('Est Madre LK 10-25'!C:C,'Est Madre LK 10-25'!D:D,"si"),IF(C108="Corb-CH",SUMIFS('Est Madre CH 10-25'!C:C,'Est Madre CH 10-25'!D:D,"si"),0)+IFERROR(VLOOKUP(C108,'Est Madre LK 10-25'!$A:$C,3,),IFERROR(VLOOKUP(C108,'Est Madre CH 10-25'!$A:$C,3,),0)))</f>
        <v>2400</v>
      </c>
      <c r="AD108" s="359">
        <v>12000</v>
      </c>
      <c r="AE108" s="260">
        <v>30</v>
      </c>
      <c r="AF108" s="323">
        <v>31.048200000000001</v>
      </c>
      <c r="AG108" s="552" t="s">
        <v>1691</v>
      </c>
      <c r="AH108" s="260" t="s">
        <v>1666</v>
      </c>
      <c r="AI108" s="333">
        <v>3</v>
      </c>
      <c r="AK108" s="424">
        <v>100</v>
      </c>
      <c r="AL108" s="333">
        <v>0</v>
      </c>
    </row>
    <row r="109" spans="1:38" ht="18" customHeight="1" x14ac:dyDescent="0.3">
      <c r="A109" t="s">
        <v>1466</v>
      </c>
      <c r="B109" s="414">
        <v>1217700</v>
      </c>
      <c r="C109" s="433">
        <v>220</v>
      </c>
      <c r="D109" s="260" t="str">
        <f>+VLOOKUP(C109,'Conteo 24-02'!$A$8:$D$246,4,0)</f>
        <v>M4A</v>
      </c>
      <c r="E109" s="320" t="s">
        <v>746</v>
      </c>
      <c r="F109" s="327" t="s">
        <v>1343</v>
      </c>
      <c r="G109" s="260"/>
      <c r="H109" s="470"/>
      <c r="J109" s="751">
        <f t="shared" si="32"/>
        <v>3.0864197530864197</v>
      </c>
      <c r="K109" s="478">
        <f t="shared" si="33"/>
        <v>3.0864197530864197</v>
      </c>
      <c r="M109" s="726">
        <f t="shared" si="34"/>
        <v>0</v>
      </c>
      <c r="N109" s="377">
        <f t="shared" si="35"/>
        <v>1620</v>
      </c>
      <c r="O109" s="343">
        <f t="shared" si="36"/>
        <v>5000</v>
      </c>
      <c r="P109" s="613"/>
      <c r="R109" s="397">
        <f>+IFERROR(SUMIFS('Stock CD'!D:D,#REF!,'Stock CD'!C:C),0)</f>
        <v>0</v>
      </c>
      <c r="S109" s="400">
        <f t="shared" si="37"/>
        <v>5000</v>
      </c>
      <c r="U109" s="397">
        <f>+IFERROR(VLOOKUP(C109,'Stock CD'!B:I,8,0),0)</f>
        <v>0</v>
      </c>
      <c r="V109" s="400">
        <f t="shared" si="38"/>
        <v>1620</v>
      </c>
      <c r="X109" s="444">
        <f>+SUMIFS('Conteo 24-02'!F:F,'Conteo 24-02'!$A:$A,$C109)</f>
        <v>2</v>
      </c>
      <c r="Y109" s="304">
        <f>+SUMIFS('Conteo 24-02'!G:G,'Conteo 24-02'!$A:$A,$C109)</f>
        <v>0</v>
      </c>
      <c r="Z109" s="507">
        <v>2500</v>
      </c>
      <c r="AB109" s="424" t="s">
        <v>1466</v>
      </c>
      <c r="AC109" s="409">
        <f>IF(C109="Corb-LK",SUMIFS('Est Madre LK 10-25'!C:C,'Est Madre LK 10-25'!D:D,"si"),IF(C109="Corb-CH",SUMIFS('Est Madre CH 10-25'!C:C,'Est Madre CH 10-25'!D:D,"si"),0)+IFERROR(VLOOKUP(C109,'Est Madre LK 10-25'!$A:$C,3,),IFERROR(VLOOKUP(C109,'Est Madre CH 10-25'!$A:$C,3,),0)))</f>
        <v>540</v>
      </c>
      <c r="AD109" s="359">
        <v>12000</v>
      </c>
      <c r="AE109" s="260">
        <v>30</v>
      </c>
      <c r="AF109" s="323">
        <v>31.048200000000001</v>
      </c>
      <c r="AG109" s="552" t="s">
        <v>1691</v>
      </c>
      <c r="AH109" s="260" t="s">
        <v>1666</v>
      </c>
      <c r="AI109" s="333">
        <v>3</v>
      </c>
      <c r="AK109" s="424">
        <v>100</v>
      </c>
      <c r="AL109" s="333">
        <v>0</v>
      </c>
    </row>
    <row r="110" spans="1:38" ht="18" customHeight="1" x14ac:dyDescent="0.3">
      <c r="A110" t="s">
        <v>1466</v>
      </c>
      <c r="B110" s="414">
        <v>1217700</v>
      </c>
      <c r="C110" s="433">
        <v>221</v>
      </c>
      <c r="D110" s="260" t="str">
        <f>+VLOOKUP(C110,'Conteo 24-02'!$A$8:$D$246,4,0)</f>
        <v>M3C</v>
      </c>
      <c r="E110" s="320" t="s">
        <v>746</v>
      </c>
      <c r="F110" s="327" t="s">
        <v>1346</v>
      </c>
      <c r="G110" s="260"/>
      <c r="H110" s="470"/>
      <c r="J110" s="751">
        <f t="shared" si="32"/>
        <v>1.6835016835016836</v>
      </c>
      <c r="K110" s="478">
        <f t="shared" si="33"/>
        <v>1.6835016835016836</v>
      </c>
      <c r="M110" s="726">
        <f t="shared" si="34"/>
        <v>0</v>
      </c>
      <c r="N110" s="377">
        <f t="shared" si="35"/>
        <v>1188</v>
      </c>
      <c r="O110" s="343">
        <f t="shared" si="36"/>
        <v>2000</v>
      </c>
      <c r="P110" s="613"/>
      <c r="R110" s="397">
        <f>+IFERROR(SUMIFS('Stock CD'!D:D,#REF!,'Stock CD'!C:C),0)</f>
        <v>0</v>
      </c>
      <c r="S110" s="400">
        <f t="shared" si="37"/>
        <v>2000</v>
      </c>
      <c r="U110" s="397">
        <f>+IFERROR(VLOOKUP(C110,'Stock CD'!B:I,8,0),0)</f>
        <v>0</v>
      </c>
      <c r="V110" s="400">
        <f t="shared" si="38"/>
        <v>1188</v>
      </c>
      <c r="X110" s="444">
        <f>+SUMIFS('Conteo 24-02'!F:F,'Conteo 24-02'!$A:$A,$C110)</f>
        <v>0</v>
      </c>
      <c r="Y110" s="304">
        <f>+SUMIFS('Conteo 24-02'!G:G,'Conteo 24-02'!$A:$A,$C110)</f>
        <v>2000</v>
      </c>
      <c r="Z110" s="507">
        <v>2500</v>
      </c>
      <c r="AB110" s="424" t="s">
        <v>1466</v>
      </c>
      <c r="AC110" s="409">
        <f>IF(C110="Corb-LK",SUMIFS('Est Madre LK 10-25'!C:C,'Est Madre LK 10-25'!D:D,"si"),IF(C110="Corb-CH",SUMIFS('Est Madre CH 10-25'!C:C,'Est Madre CH 10-25'!D:D,"si"),0)+IFERROR(VLOOKUP(C110,'Est Madre LK 10-25'!$A:$C,3,),IFERROR(VLOOKUP(C110,'Est Madre CH 10-25'!$A:$C,3,),0)))</f>
        <v>396</v>
      </c>
      <c r="AD110" s="359">
        <v>12000</v>
      </c>
      <c r="AE110" s="260">
        <v>30</v>
      </c>
      <c r="AF110" s="323">
        <v>31.048200000000001</v>
      </c>
      <c r="AG110" s="552" t="s">
        <v>1691</v>
      </c>
      <c r="AH110" s="260" t="s">
        <v>1666</v>
      </c>
      <c r="AI110" s="333">
        <v>3</v>
      </c>
      <c r="AK110" s="424">
        <v>100</v>
      </c>
      <c r="AL110" s="333">
        <v>0</v>
      </c>
    </row>
    <row r="111" spans="1:38" ht="18" customHeight="1" thickBot="1" x14ac:dyDescent="0.35">
      <c r="A111" t="s">
        <v>1466</v>
      </c>
      <c r="B111" s="493">
        <v>1217700</v>
      </c>
      <c r="C111" s="443">
        <v>248</v>
      </c>
      <c r="D111" s="262" t="str">
        <f>+VLOOKUP(C111,'Conteo 24-02'!$A$8:$D$246,4,0)</f>
        <v>A1A</v>
      </c>
      <c r="E111" s="322" t="s">
        <v>746</v>
      </c>
      <c r="F111" s="355" t="s">
        <v>1318</v>
      </c>
      <c r="G111" s="262"/>
      <c r="H111" s="471"/>
      <c r="J111" s="750">
        <f t="shared" si="32"/>
        <v>0</v>
      </c>
      <c r="K111" s="486">
        <f t="shared" si="33"/>
        <v>0</v>
      </c>
      <c r="M111" s="659">
        <f t="shared" si="34"/>
        <v>2772</v>
      </c>
      <c r="N111" s="378">
        <f t="shared" si="35"/>
        <v>2772</v>
      </c>
      <c r="O111" s="345">
        <f t="shared" si="36"/>
        <v>0</v>
      </c>
      <c r="P111" s="614"/>
      <c r="R111" s="398">
        <f>+IFERROR(SUMIFS('Stock CD'!D:D,#REF!,'Stock CD'!C:C),0)</f>
        <v>0</v>
      </c>
      <c r="S111" s="401">
        <f t="shared" si="37"/>
        <v>0</v>
      </c>
      <c r="U111" s="398">
        <f>+IFERROR(VLOOKUP(C111,'Stock CD'!B:I,8,0),0)</f>
        <v>0</v>
      </c>
      <c r="V111" s="401">
        <f t="shared" si="38"/>
        <v>2772</v>
      </c>
      <c r="X111" s="445">
        <f>+SUMIFS('Conteo 24-02'!F:F,'Conteo 24-02'!$A:$A,$C111)</f>
        <v>0</v>
      </c>
      <c r="Y111" s="305">
        <f>+SUMIFS('Conteo 24-02'!G:G,'Conteo 24-02'!$A:$A,$C111)</f>
        <v>0</v>
      </c>
      <c r="Z111" s="508">
        <v>2500</v>
      </c>
      <c r="AB111" s="425" t="s">
        <v>1466</v>
      </c>
      <c r="AC111" s="423">
        <f>IF(C111="Corb-LK",SUMIFS('Est Madre LK 10-25'!C:C,'Est Madre LK 10-25'!D:D,"si"),IF(C111="Corb-CH",SUMIFS('Est Madre CH 10-25'!C:C,'Est Madre CH 10-25'!D:D,"si"),0)+IFERROR(VLOOKUP(C111,'Est Madre LK 10-25'!$A:$C,3,),IFERROR(VLOOKUP(C111,'Est Madre CH 10-25'!$A:$C,3,),0)))</f>
        <v>924</v>
      </c>
      <c r="AD111" s="361">
        <v>12000</v>
      </c>
      <c r="AE111" s="262">
        <v>30</v>
      </c>
      <c r="AF111" s="325">
        <v>31.048200000000001</v>
      </c>
      <c r="AG111" s="554" t="s">
        <v>1691</v>
      </c>
      <c r="AH111" s="262" t="s">
        <v>1666</v>
      </c>
      <c r="AI111" s="335">
        <v>3</v>
      </c>
      <c r="AK111" s="425">
        <v>100</v>
      </c>
      <c r="AL111" s="335">
        <v>0</v>
      </c>
    </row>
    <row r="112" spans="1:38" ht="5.45" customHeight="1" thickBot="1" x14ac:dyDescent="0.35">
      <c r="B112" s="346"/>
      <c r="C112" s="294"/>
      <c r="D112" s="127"/>
      <c r="E112" s="299"/>
      <c r="F112" s="308"/>
      <c r="G112" s="127"/>
      <c r="H112" s="308"/>
      <c r="J112" s="452"/>
      <c r="K112" s="453"/>
      <c r="M112" s="611"/>
      <c r="N112" s="379"/>
      <c r="O112" s="336"/>
      <c r="P112" s="611"/>
      <c r="R112" s="454"/>
      <c r="S112" s="454"/>
      <c r="U112" s="454"/>
      <c r="V112" s="454"/>
      <c r="X112" s="307"/>
      <c r="Y112" s="307"/>
      <c r="Z112" s="384"/>
      <c r="AC112" s="382"/>
      <c r="AD112" s="384"/>
      <c r="AE112" s="127"/>
      <c r="AF112" s="348"/>
      <c r="AG112" s="550"/>
      <c r="AH112" s="127"/>
    </row>
    <row r="113" spans="1:38" x14ac:dyDescent="0.3">
      <c r="A113" t="s">
        <v>1466</v>
      </c>
      <c r="B113" s="413">
        <v>1217700</v>
      </c>
      <c r="C113" s="432">
        <v>390</v>
      </c>
      <c r="D113" s="261" t="str">
        <f>+VLOOKUP(C113,'Conteo 24-02'!$A$8:$D$246,4,0)</f>
        <v>L4C</v>
      </c>
      <c r="E113" s="321" t="s">
        <v>746</v>
      </c>
      <c r="F113" s="354" t="s">
        <v>1356</v>
      </c>
      <c r="G113" s="579"/>
      <c r="H113" s="469"/>
      <c r="J113" s="749">
        <f t="shared" ref="J113:J118" si="39">+IFERROR(O113/N113,0)</f>
        <v>0.97222222222222221</v>
      </c>
      <c r="K113" s="485">
        <f t="shared" ref="K113:K118" si="40">+IFERROR(S113/V113,0)</f>
        <v>0.97222222222222221</v>
      </c>
      <c r="M113" s="658">
        <f t="shared" ref="M113:M118" si="41">IF(N113-O113-P113&lt;0,0,N113-O113-P113)</f>
        <v>10</v>
      </c>
      <c r="N113" s="376">
        <f t="shared" ref="N113:N118" si="42">+IFERROR(AC113*AI113,0)</f>
        <v>360</v>
      </c>
      <c r="O113" s="344">
        <f t="shared" ref="O113:O118" si="43">+(X113*Z113)+Y113</f>
        <v>350</v>
      </c>
      <c r="P113" s="612"/>
      <c r="R113" s="396">
        <f>+IFERROR(SUMIFS('Stock CD'!D:D,C287,'Stock CD'!C:C),0)</f>
        <v>0</v>
      </c>
      <c r="S113" s="399">
        <f t="shared" ref="S113:S118" si="44">+R113+O113</f>
        <v>350</v>
      </c>
      <c r="U113" s="396">
        <f>+IFERROR(VLOOKUP(C113,'Stock CD'!B:I,8,0),0)</f>
        <v>0</v>
      </c>
      <c r="V113" s="399">
        <f t="shared" ref="V113:V118" si="45">+U113+N113</f>
        <v>360</v>
      </c>
      <c r="X113" s="626">
        <f>+SUMIFS('Conteo 24-02'!F:F,'Conteo 24-02'!$A:$A,$C113)</f>
        <v>0</v>
      </c>
      <c r="Y113" s="303">
        <f>+SUMIFS('Conteo 24-02'!G:G,'Conteo 24-02'!$A:$A,$C113)</f>
        <v>350</v>
      </c>
      <c r="Z113" s="524">
        <v>2500</v>
      </c>
      <c r="AB113" s="393" t="s">
        <v>1466</v>
      </c>
      <c r="AC113" s="422">
        <f>IF(C113="Corb-LK",SUMIFS('Est Madre LK 10-25'!C:C,'Est Madre LK 10-25'!D:D,"si"),IF(C113="Corb-CH",SUMIFS('Est Madre CH 10-25'!C:C,'Est Madre CH 10-25'!D:D,"si"),0)+IFERROR(VLOOKUP(C113,'Est Madre LK 10-25'!$A:$C,3,),IFERROR(VLOOKUP(C113,'Est Madre CH 10-25'!$A:$C,3,),0)))</f>
        <v>120</v>
      </c>
      <c r="AD113" s="358">
        <v>12000</v>
      </c>
      <c r="AE113" s="261">
        <v>30</v>
      </c>
      <c r="AF113" s="324">
        <v>31.048200000000001</v>
      </c>
      <c r="AG113" s="551" t="s">
        <v>1691</v>
      </c>
      <c r="AH113" s="261" t="s">
        <v>1666</v>
      </c>
      <c r="AI113" s="331">
        <v>3</v>
      </c>
      <c r="AK113" s="393">
        <v>100</v>
      </c>
      <c r="AL113" s="331">
        <v>0</v>
      </c>
    </row>
    <row r="114" spans="1:38" ht="18" customHeight="1" x14ac:dyDescent="0.3">
      <c r="A114" t="s">
        <v>1466</v>
      </c>
      <c r="B114" s="414">
        <v>1217700</v>
      </c>
      <c r="C114" s="433">
        <v>391</v>
      </c>
      <c r="D114" s="260" t="str">
        <f>+VLOOKUP(C114,'Conteo 24-02'!$A$8:$D$246,4,0)</f>
        <v>M6A</v>
      </c>
      <c r="E114" s="320" t="s">
        <v>746</v>
      </c>
      <c r="F114" s="327" t="s">
        <v>1349</v>
      </c>
      <c r="G114" s="499"/>
      <c r="H114" s="470"/>
      <c r="J114" s="751">
        <f t="shared" si="39"/>
        <v>2.5520833333333335</v>
      </c>
      <c r="K114" s="478">
        <f t="shared" si="40"/>
        <v>2.5520833333333335</v>
      </c>
      <c r="M114" s="726">
        <f t="shared" si="41"/>
        <v>0</v>
      </c>
      <c r="N114" s="377">
        <f t="shared" si="42"/>
        <v>576</v>
      </c>
      <c r="O114" s="343">
        <f t="shared" si="43"/>
        <v>1470</v>
      </c>
      <c r="P114" s="613"/>
      <c r="R114" s="397">
        <f>+IFERROR(SUMIFS('Stock CD'!D:D,C288,'Stock CD'!C:C),0)</f>
        <v>0</v>
      </c>
      <c r="S114" s="400">
        <f t="shared" si="44"/>
        <v>1470</v>
      </c>
      <c r="U114" s="397">
        <f>+IFERROR(VLOOKUP(C114,'Stock CD'!B:I,8,0),0)</f>
        <v>0</v>
      </c>
      <c r="V114" s="400">
        <f t="shared" si="45"/>
        <v>576</v>
      </c>
      <c r="X114" s="444">
        <f>+SUMIFS('Conteo 24-02'!F:F,'Conteo 24-02'!$A:$A,$C114)</f>
        <v>0</v>
      </c>
      <c r="Y114" s="304">
        <f>+SUMIFS('Conteo 24-02'!G:G,'Conteo 24-02'!$A:$A,$C114)</f>
        <v>1470</v>
      </c>
      <c r="Z114" s="507">
        <v>2500</v>
      </c>
      <c r="AB114" s="424" t="s">
        <v>1466</v>
      </c>
      <c r="AC114" s="409">
        <f>IF(C114="Corb-LK",SUMIFS('Est Madre LK 10-25'!C:C,'Est Madre LK 10-25'!D:D,"si"),IF(C114="Corb-CH",SUMIFS('Est Madre CH 10-25'!C:C,'Est Madre CH 10-25'!D:D,"si"),0)+IFERROR(VLOOKUP(C114,'Est Madre LK 10-25'!$A:$C,3,),IFERROR(VLOOKUP(C114,'Est Madre CH 10-25'!$A:$C,3,),0)))</f>
        <v>192</v>
      </c>
      <c r="AD114" s="359">
        <v>12000</v>
      </c>
      <c r="AE114" s="260">
        <v>30</v>
      </c>
      <c r="AF114" s="323">
        <v>31.048200000000001</v>
      </c>
      <c r="AG114" s="552" t="s">
        <v>1691</v>
      </c>
      <c r="AH114" s="260" t="s">
        <v>1666</v>
      </c>
      <c r="AI114" s="333">
        <v>3</v>
      </c>
      <c r="AK114" s="424">
        <v>100</v>
      </c>
      <c r="AL114" s="333">
        <v>0</v>
      </c>
    </row>
    <row r="115" spans="1:38" ht="18" customHeight="1" x14ac:dyDescent="0.3">
      <c r="A115" t="s">
        <v>1466</v>
      </c>
      <c r="B115" s="414">
        <v>1217700</v>
      </c>
      <c r="C115" s="433">
        <v>392</v>
      </c>
      <c r="D115" s="260" t="str">
        <f>+VLOOKUP(C115,'Conteo 24-02'!$A$8:$D$246,4,0)</f>
        <v>M5A</v>
      </c>
      <c r="E115" s="320" t="s">
        <v>746</v>
      </c>
      <c r="F115" s="327" t="s">
        <v>1348</v>
      </c>
      <c r="G115" s="499"/>
      <c r="H115" s="470"/>
      <c r="J115" s="751">
        <f t="shared" si="39"/>
        <v>0</v>
      </c>
      <c r="K115" s="478">
        <f t="shared" si="40"/>
        <v>0</v>
      </c>
      <c r="M115" s="726">
        <f t="shared" si="41"/>
        <v>936</v>
      </c>
      <c r="N115" s="377">
        <f t="shared" si="42"/>
        <v>936</v>
      </c>
      <c r="O115" s="343">
        <f t="shared" si="43"/>
        <v>0</v>
      </c>
      <c r="P115" s="613"/>
      <c r="R115" s="397">
        <f>+IFERROR(SUMIFS('Stock CD'!D:D,C291,'Stock CD'!C:C),0)</f>
        <v>0</v>
      </c>
      <c r="S115" s="400">
        <f t="shared" si="44"/>
        <v>0</v>
      </c>
      <c r="U115" s="397">
        <f>+IFERROR(VLOOKUP(C115,'Stock CD'!B:I,8,0),0)</f>
        <v>0</v>
      </c>
      <c r="V115" s="400">
        <f t="shared" si="45"/>
        <v>936</v>
      </c>
      <c r="X115" s="444">
        <f>+SUMIFS('Conteo 24-02'!F:F,'Conteo 24-02'!$A:$A,$C115)</f>
        <v>0</v>
      </c>
      <c r="Y115" s="304">
        <f>+SUMIFS('Conteo 24-02'!G:G,'Conteo 24-02'!$A:$A,$C115)</f>
        <v>0</v>
      </c>
      <c r="Z115" s="507">
        <v>2500</v>
      </c>
      <c r="AB115" s="424" t="s">
        <v>1466</v>
      </c>
      <c r="AC115" s="409">
        <f>IF(C115="Corb-LK",SUMIFS('Est Madre LK 10-25'!C:C,'Est Madre LK 10-25'!D:D,"si"),IF(C115="Corb-CH",SUMIFS('Est Madre CH 10-25'!C:C,'Est Madre CH 10-25'!D:D,"si"),0)+IFERROR(VLOOKUP(C115,'Est Madre LK 10-25'!$A:$C,3,),IFERROR(VLOOKUP(C115,'Est Madre CH 10-25'!$A:$C,3,),0)))</f>
        <v>312</v>
      </c>
      <c r="AD115" s="359">
        <v>12000</v>
      </c>
      <c r="AE115" s="260">
        <v>30</v>
      </c>
      <c r="AF115" s="323">
        <v>31.048200000000001</v>
      </c>
      <c r="AG115" s="552" t="s">
        <v>1691</v>
      </c>
      <c r="AH115" s="260" t="s">
        <v>1666</v>
      </c>
      <c r="AI115" s="333">
        <v>3</v>
      </c>
      <c r="AK115" s="424">
        <v>100</v>
      </c>
      <c r="AL115" s="333">
        <v>0</v>
      </c>
    </row>
    <row r="116" spans="1:38" ht="18" customHeight="1" x14ac:dyDescent="0.3">
      <c r="A116" t="s">
        <v>1466</v>
      </c>
      <c r="B116" s="414">
        <v>1217700</v>
      </c>
      <c r="C116" s="433">
        <v>393</v>
      </c>
      <c r="D116" s="260" t="str">
        <f>+VLOOKUP(C116,'Conteo 24-02'!$A$8:$D$246,4,0)</f>
        <v>M6B</v>
      </c>
      <c r="E116" s="320" t="s">
        <v>746</v>
      </c>
      <c r="F116" s="327" t="s">
        <v>1350</v>
      </c>
      <c r="G116" s="499"/>
      <c r="H116" s="470"/>
      <c r="J116" s="751">
        <f t="shared" si="39"/>
        <v>1.2927350427350428</v>
      </c>
      <c r="K116" s="478">
        <f t="shared" si="40"/>
        <v>1.2927350427350428</v>
      </c>
      <c r="M116" s="726">
        <f t="shared" si="41"/>
        <v>0</v>
      </c>
      <c r="N116" s="377">
        <f t="shared" si="42"/>
        <v>936</v>
      </c>
      <c r="O116" s="343">
        <f t="shared" si="43"/>
        <v>1210</v>
      </c>
      <c r="P116" s="613"/>
      <c r="R116" s="397">
        <f>+IFERROR(SUMIFS('Stock CD'!D:D,C293,'Stock CD'!C:C),0)</f>
        <v>0</v>
      </c>
      <c r="S116" s="400">
        <f t="shared" si="44"/>
        <v>1210</v>
      </c>
      <c r="U116" s="397">
        <f>+IFERROR(VLOOKUP(C116,'Stock CD'!B:I,8,0),0)</f>
        <v>0</v>
      </c>
      <c r="V116" s="400">
        <f t="shared" si="45"/>
        <v>936</v>
      </c>
      <c r="X116" s="444">
        <f>+SUMIFS('Conteo 24-02'!F:F,'Conteo 24-02'!$A:$A,$C116)</f>
        <v>0</v>
      </c>
      <c r="Y116" s="304">
        <f>+SUMIFS('Conteo 24-02'!G:G,'Conteo 24-02'!$A:$A,$C116)</f>
        <v>1210</v>
      </c>
      <c r="Z116" s="507">
        <v>2500</v>
      </c>
      <c r="AB116" s="424" t="s">
        <v>1466</v>
      </c>
      <c r="AC116" s="409">
        <f>IF(C116="Corb-LK",SUMIFS('Est Madre LK 10-25'!C:C,'Est Madre LK 10-25'!D:D,"si"),IF(C116="Corb-CH",SUMIFS('Est Madre CH 10-25'!C:C,'Est Madre CH 10-25'!D:D,"si"),0)+IFERROR(VLOOKUP(C116,'Est Madre LK 10-25'!$A:$C,3,),IFERROR(VLOOKUP(C116,'Est Madre CH 10-25'!$A:$C,3,),0)))</f>
        <v>312</v>
      </c>
      <c r="AD116" s="359">
        <v>12000</v>
      </c>
      <c r="AE116" s="260">
        <v>30</v>
      </c>
      <c r="AF116" s="323">
        <v>31.048200000000001</v>
      </c>
      <c r="AG116" s="552" t="s">
        <v>1691</v>
      </c>
      <c r="AH116" s="260" t="s">
        <v>1666</v>
      </c>
      <c r="AI116" s="333">
        <v>3</v>
      </c>
      <c r="AK116" s="424">
        <v>100</v>
      </c>
      <c r="AL116" s="333">
        <v>0</v>
      </c>
    </row>
    <row r="117" spans="1:38" ht="18" customHeight="1" x14ac:dyDescent="0.3">
      <c r="A117" t="s">
        <v>1466</v>
      </c>
      <c r="B117" s="414">
        <v>1217700</v>
      </c>
      <c r="C117" s="433">
        <v>394</v>
      </c>
      <c r="D117" s="260" t="str">
        <f>+VLOOKUP(C117,'Conteo 24-02'!$A$8:$D$246,4,0)</f>
        <v>M5B</v>
      </c>
      <c r="E117" s="320" t="s">
        <v>746</v>
      </c>
      <c r="F117" s="327" t="s">
        <v>785</v>
      </c>
      <c r="G117" s="499"/>
      <c r="H117" s="470"/>
      <c r="J117" s="751">
        <f t="shared" si="39"/>
        <v>0</v>
      </c>
      <c r="K117" s="478">
        <f t="shared" si="40"/>
        <v>0</v>
      </c>
      <c r="M117" s="726">
        <f t="shared" si="41"/>
        <v>1080</v>
      </c>
      <c r="N117" s="377">
        <f t="shared" si="42"/>
        <v>1080</v>
      </c>
      <c r="O117" s="343">
        <f t="shared" si="43"/>
        <v>0</v>
      </c>
      <c r="P117" s="613"/>
      <c r="R117" s="397">
        <f>+IFERROR(SUMIFS('Stock CD'!D:D,C295,'Stock CD'!C:C),0)</f>
        <v>0</v>
      </c>
      <c r="S117" s="400">
        <f t="shared" si="44"/>
        <v>0</v>
      </c>
      <c r="U117" s="397">
        <f>+IFERROR(VLOOKUP(C117,'Stock CD'!B:I,8,0),0)</f>
        <v>0</v>
      </c>
      <c r="V117" s="400">
        <f t="shared" si="45"/>
        <v>1080</v>
      </c>
      <c r="X117" s="444">
        <f>+SUMIFS('Conteo 24-02'!F:F,'Conteo 24-02'!$A:$A,$C117)</f>
        <v>0</v>
      </c>
      <c r="Y117" s="304">
        <f>+SUMIFS('Conteo 24-02'!G:G,'Conteo 24-02'!$A:$A,$C117)</f>
        <v>0</v>
      </c>
      <c r="Z117" s="507">
        <v>2500</v>
      </c>
      <c r="AB117" s="424" t="s">
        <v>1466</v>
      </c>
      <c r="AC117" s="409">
        <f>IF(C117="Corb-LK",SUMIFS('Est Madre LK 10-25'!C:C,'Est Madre LK 10-25'!D:D,"si"),IF(C117="Corb-CH",SUMIFS('Est Madre CH 10-25'!C:C,'Est Madre CH 10-25'!D:D,"si"),0)+IFERROR(VLOOKUP(C117,'Est Madre LK 10-25'!$A:$C,3,),IFERROR(VLOOKUP(C117,'Est Madre CH 10-25'!$A:$C,3,),0)))</f>
        <v>360</v>
      </c>
      <c r="AD117" s="359">
        <v>12000</v>
      </c>
      <c r="AE117" s="260">
        <v>30</v>
      </c>
      <c r="AF117" s="323">
        <v>31.048200000000001</v>
      </c>
      <c r="AG117" s="552" t="s">
        <v>1691</v>
      </c>
      <c r="AH117" s="260" t="s">
        <v>1666</v>
      </c>
      <c r="AI117" s="333">
        <v>3</v>
      </c>
      <c r="AK117" s="424">
        <v>100</v>
      </c>
      <c r="AL117" s="333">
        <v>0</v>
      </c>
    </row>
    <row r="118" spans="1:38" ht="18" customHeight="1" thickBot="1" x14ac:dyDescent="0.35">
      <c r="A118" t="s">
        <v>1466</v>
      </c>
      <c r="B118" s="493">
        <v>1217700</v>
      </c>
      <c r="C118" s="443">
        <v>222</v>
      </c>
      <c r="D118" s="262" t="str">
        <f>+VLOOKUP(C118,'Conteo 24-02'!$A$8:$D$246,4,0)</f>
        <v>M3B</v>
      </c>
      <c r="E118" s="322" t="s">
        <v>746</v>
      </c>
      <c r="F118" s="355" t="s">
        <v>1345</v>
      </c>
      <c r="G118" s="580"/>
      <c r="H118" s="471"/>
      <c r="J118" s="750">
        <f t="shared" si="39"/>
        <v>1.45</v>
      </c>
      <c r="K118" s="486">
        <f t="shared" si="40"/>
        <v>1.45</v>
      </c>
      <c r="M118" s="659">
        <f t="shared" si="41"/>
        <v>0</v>
      </c>
      <c r="N118" s="378">
        <f t="shared" si="42"/>
        <v>1800</v>
      </c>
      <c r="O118" s="345">
        <f t="shared" si="43"/>
        <v>2610</v>
      </c>
      <c r="P118" s="614"/>
      <c r="R118" s="398">
        <f>+IFERROR(SUMIFS('Stock CD'!D:D,C278,'Stock CD'!C:C),0)</f>
        <v>0</v>
      </c>
      <c r="S118" s="401">
        <f t="shared" si="44"/>
        <v>2610</v>
      </c>
      <c r="U118" s="398">
        <f>+IFERROR(VLOOKUP(C118,'Stock CD'!B:I,8,0),0)</f>
        <v>0</v>
      </c>
      <c r="V118" s="401">
        <f t="shared" si="45"/>
        <v>1800</v>
      </c>
      <c r="X118" s="445">
        <f>+SUMIFS('Conteo 24-02'!F:F,'Conteo 24-02'!$A:$A,$C118)</f>
        <v>1</v>
      </c>
      <c r="Y118" s="305">
        <f>+SUMIFS('Conteo 24-02'!G:G,'Conteo 24-02'!$A:$A,$C118)</f>
        <v>110</v>
      </c>
      <c r="Z118" s="508">
        <v>2500</v>
      </c>
      <c r="AB118" s="425" t="s">
        <v>1466</v>
      </c>
      <c r="AC118" s="423">
        <f>IF(C118="Corb-LK",SUMIFS('Est Madre LK 10-25'!C:C,'Est Madre LK 10-25'!D:D,"si"),IF(C118="Corb-CH",SUMIFS('Est Madre CH 10-25'!C:C,'Est Madre CH 10-25'!D:D,"si"),0)+IFERROR(VLOOKUP(C118,'Est Madre LK 10-25'!$A:$C,3,),IFERROR(VLOOKUP(C118,'Est Madre CH 10-25'!$A:$C,3,),0)))</f>
        <v>600</v>
      </c>
      <c r="AD118" s="361">
        <v>12000</v>
      </c>
      <c r="AE118" s="262">
        <v>30</v>
      </c>
      <c r="AF118" s="325">
        <v>31.048200000000001</v>
      </c>
      <c r="AG118" s="554" t="s">
        <v>1691</v>
      </c>
      <c r="AH118" s="262" t="s">
        <v>1666</v>
      </c>
      <c r="AI118" s="335">
        <v>3</v>
      </c>
      <c r="AK118" s="425">
        <v>100</v>
      </c>
      <c r="AL118" s="335">
        <v>0</v>
      </c>
    </row>
    <row r="119" spans="1:38" ht="4.9000000000000004" customHeight="1" thickBot="1" x14ac:dyDescent="0.35">
      <c r="B119" s="346"/>
      <c r="C119" s="294"/>
      <c r="D119" s="127"/>
      <c r="E119" s="299"/>
      <c r="F119" s="308"/>
      <c r="G119" s="578"/>
      <c r="H119" s="308"/>
      <c r="J119" s="452"/>
      <c r="K119" s="453"/>
      <c r="M119" s="611"/>
      <c r="N119" s="379"/>
      <c r="O119" s="336"/>
      <c r="P119" s="611"/>
      <c r="R119" s="454"/>
      <c r="S119" s="454"/>
      <c r="U119" s="454"/>
      <c r="V119" s="454"/>
      <c r="X119" s="307"/>
      <c r="Y119" s="307"/>
      <c r="Z119" s="384"/>
      <c r="AC119" s="382"/>
      <c r="AD119" s="384"/>
      <c r="AE119" s="127"/>
      <c r="AF119" s="348"/>
      <c r="AG119" s="550"/>
      <c r="AH119" s="127"/>
    </row>
    <row r="120" spans="1:38" ht="18" customHeight="1" thickBot="1" x14ac:dyDescent="0.35">
      <c r="A120" t="s">
        <v>1466</v>
      </c>
      <c r="B120" s="727"/>
      <c r="C120" s="728">
        <v>34</v>
      </c>
      <c r="D120" s="595" t="str">
        <f>+VLOOKUP(C120,'Conteo 24-02'!$A$8:$D$246,4,0)</f>
        <v>B5B</v>
      </c>
      <c r="E120" s="583" t="s">
        <v>746</v>
      </c>
      <c r="F120" s="584" t="s">
        <v>1800</v>
      </c>
      <c r="G120" s="645"/>
      <c r="H120" s="720"/>
      <c r="J120" s="654">
        <f t="shared" ref="J120" si="46">+IFERROR(O120/N120,0)</f>
        <v>0.54253472222222221</v>
      </c>
      <c r="K120" s="738">
        <f t="shared" ref="K120" si="47">+IFERROR(S120/V120,0)</f>
        <v>0.54253472222222221</v>
      </c>
      <c r="M120" s="729">
        <f t="shared" ref="M120" si="48">IF(N120-O120-P120&lt;0,0,N120-O120-P120)</f>
        <v>2108</v>
      </c>
      <c r="N120" s="730">
        <f t="shared" ref="N120" si="49">+IFERROR(AC120*AI120,0)</f>
        <v>4608</v>
      </c>
      <c r="O120" s="587">
        <f t="shared" ref="O120" si="50">+(X120*Z120)+Y120</f>
        <v>2500</v>
      </c>
      <c r="P120" s="740"/>
      <c r="R120" s="588">
        <f>+IFERROR(SUMIFS('Stock CD'!D:D,C280,'Stock CD'!C:C),0)</f>
        <v>0</v>
      </c>
      <c r="S120" s="797">
        <f t="shared" ref="S120" si="51">+R120+O120</f>
        <v>2500</v>
      </c>
      <c r="T120" s="809"/>
      <c r="U120" s="588">
        <f>+IFERROR(VLOOKUP(C120,'Stock CD'!B:I,8,0),0)</f>
        <v>0</v>
      </c>
      <c r="V120" s="589">
        <f t="shared" ref="V120" si="52">+U120+N120</f>
        <v>4608</v>
      </c>
      <c r="X120" s="776">
        <f>+SUMIFS('Conteo 24-02'!F:F,'Conteo 24-02'!$A:$A,$C120)</f>
        <v>1</v>
      </c>
      <c r="Y120" s="590">
        <f>+SUMIFS('Conteo 24-02'!G:G,'Conteo 24-02'!$A:$A,$C120)</f>
        <v>0</v>
      </c>
      <c r="Z120" s="591">
        <v>2500</v>
      </c>
      <c r="AB120" s="592" t="s">
        <v>1466</v>
      </c>
      <c r="AC120" s="593">
        <f>IF(C120="Corb-LK",SUMIFS('Est Madre LK 10-25'!C:C,'Est Madre LK 10-25'!D:D,"si"),IF(C120="Corb-CH",SUMIFS('Est Madre CH 10-25'!C:C,'Est Madre CH 10-25'!D:D,"si"),0)+IFERROR(VLOOKUP(C120,'Est Madre LK 10-25'!$A:$C,3,),IFERROR(VLOOKUP(C120,'Est Madre CH 10-25'!$A:$C,3,),0)))</f>
        <v>1536</v>
      </c>
      <c r="AD120" s="594">
        <v>12000</v>
      </c>
      <c r="AE120" s="595">
        <v>30</v>
      </c>
      <c r="AF120" s="596">
        <v>31.048200000000001</v>
      </c>
      <c r="AG120" s="597" t="s">
        <v>1691</v>
      </c>
      <c r="AH120" s="595" t="s">
        <v>1666</v>
      </c>
      <c r="AI120" s="598">
        <v>3</v>
      </c>
      <c r="AK120" s="592">
        <v>100</v>
      </c>
      <c r="AL120" s="598">
        <v>0</v>
      </c>
    </row>
    <row r="121" spans="1:38" ht="18" customHeight="1" x14ac:dyDescent="0.3">
      <c r="B121" s="346"/>
      <c r="C121" s="294"/>
      <c r="D121" s="127"/>
      <c r="E121" s="299"/>
      <c r="F121" s="308"/>
      <c r="G121" s="578"/>
      <c r="H121" s="308"/>
      <c r="J121" s="452"/>
      <c r="K121" s="453"/>
      <c r="M121" s="611">
        <f>+SUM(M100:M120)</f>
        <v>12674</v>
      </c>
      <c r="N121" s="379"/>
      <c r="O121" s="336"/>
      <c r="P121" s="611"/>
      <c r="R121" s="454"/>
      <c r="S121" s="454"/>
      <c r="U121" s="454"/>
      <c r="V121" s="454"/>
      <c r="X121" s="307"/>
      <c r="Y121" s="307"/>
      <c r="Z121" s="384"/>
      <c r="AC121" s="382"/>
      <c r="AD121" s="384"/>
      <c r="AE121" s="127"/>
      <c r="AF121" s="348"/>
      <c r="AG121" s="550"/>
      <c r="AH121" s="127"/>
    </row>
    <row r="122" spans="1:38" ht="18" customHeight="1" thickBot="1" x14ac:dyDescent="0.35">
      <c r="B122" s="346"/>
      <c r="C122" s="294"/>
      <c r="E122" s="299"/>
      <c r="F122" s="308"/>
      <c r="G122" s="127"/>
      <c r="H122" s="308"/>
      <c r="J122" s="452"/>
      <c r="K122" s="453"/>
      <c r="M122" s="611"/>
      <c r="N122" s="379"/>
      <c r="O122" s="336"/>
      <c r="P122" s="611"/>
      <c r="R122" s="454"/>
      <c r="S122" s="454"/>
      <c r="U122" s="454"/>
      <c r="V122" s="454"/>
      <c r="X122" s="307"/>
      <c r="Y122" s="307"/>
      <c r="Z122" s="384"/>
      <c r="AC122" s="382"/>
      <c r="AD122" s="384"/>
      <c r="AE122" s="127"/>
      <c r="AF122" s="348"/>
      <c r="AG122" s="550"/>
      <c r="AH122" s="127"/>
    </row>
    <row r="123" spans="1:38" s="381" customFormat="1" ht="30" customHeight="1" thickBot="1" x14ac:dyDescent="0.3">
      <c r="B123" s="966" t="s">
        <v>1728</v>
      </c>
      <c r="C123" s="967"/>
      <c r="D123" s="967"/>
      <c r="E123" s="967"/>
      <c r="F123" s="967"/>
      <c r="G123" s="967"/>
      <c r="H123" s="968"/>
      <c r="J123" s="693"/>
      <c r="K123" s="694"/>
      <c r="L123" s="506"/>
      <c r="M123" s="662"/>
      <c r="N123" s="630"/>
      <c r="O123" s="630"/>
      <c r="P123" s="662"/>
      <c r="Q123" s="506"/>
      <c r="R123" s="662"/>
      <c r="S123" s="662"/>
      <c r="T123" s="506"/>
      <c r="U123" s="662"/>
      <c r="V123" s="662"/>
      <c r="W123" s="506"/>
      <c r="X123" s="662"/>
      <c r="Y123" s="662"/>
      <c r="Z123" s="630"/>
      <c r="AA123" s="506"/>
      <c r="AB123" s="662"/>
      <c r="AC123" s="662"/>
      <c r="AD123" s="630"/>
      <c r="AE123" s="662"/>
      <c r="AF123" s="662"/>
      <c r="AG123" s="662"/>
      <c r="AH123" s="662"/>
      <c r="AI123" s="662"/>
    </row>
    <row r="124" spans="1:38" ht="18" customHeight="1" thickBot="1" x14ac:dyDescent="0.35">
      <c r="A124" t="s">
        <v>1466</v>
      </c>
      <c r="B124" s="582">
        <v>1208700</v>
      </c>
      <c r="C124" s="728">
        <v>280</v>
      </c>
      <c r="D124" s="595" t="str">
        <f>+VLOOKUP(C124,'Conteo 24-02'!$A$8:$D$246,4,0)</f>
        <v>F1</v>
      </c>
      <c r="E124" s="583" t="s">
        <v>746</v>
      </c>
      <c r="F124" s="584" t="s">
        <v>1329</v>
      </c>
      <c r="G124" s="595"/>
      <c r="H124" s="720"/>
      <c r="J124" s="654">
        <f>+IFERROR(O124/N124,0)</f>
        <v>1.7948717948717949</v>
      </c>
      <c r="K124" s="738">
        <f>+IFERROR(S124/V124,0)</f>
        <v>1.7948717948717949</v>
      </c>
      <c r="M124" s="729">
        <f>IF(N124-O124-P124&lt;0,0,N124-O124-P124)</f>
        <v>0</v>
      </c>
      <c r="N124" s="730">
        <f>+IFERROR(AC124*AI124,0)</f>
        <v>3900</v>
      </c>
      <c r="O124" s="587">
        <f>+(X124*Z124)+Y124</f>
        <v>7000</v>
      </c>
      <c r="P124" s="740"/>
      <c r="R124" s="588">
        <f>+IFERROR(SUMIFS('Stock CD'!D:D,C306,'Stock CD'!C:C),0)</f>
        <v>0</v>
      </c>
      <c r="S124" s="589">
        <f>+R124+O124</f>
        <v>7000</v>
      </c>
      <c r="U124" s="588">
        <f>+IFERROR(VLOOKUP(C124,'Stock CD'!B:I,8,0),0)</f>
        <v>0</v>
      </c>
      <c r="V124" s="589">
        <f>+U124+N124</f>
        <v>3900</v>
      </c>
      <c r="X124" s="776">
        <f>+SUMIFS('Conteo 24-02'!F:F,'Conteo 24-02'!$A:$A,$C124)</f>
        <v>7</v>
      </c>
      <c r="Y124" s="590">
        <f>+SUMIFS('Conteo 24-02'!G:G,'Conteo 24-02'!$A:$A,$C124)</f>
        <v>0</v>
      </c>
      <c r="Z124" s="591">
        <v>1000</v>
      </c>
      <c r="AB124" s="592" t="s">
        <v>1466</v>
      </c>
      <c r="AC124" s="593">
        <f>IF(C124="Corb-LK",SUMIFS('Est Madre LK 10-25'!C:C,'Est Madre LK 10-25'!D:D,"si"),IF(C124="Corb-CH",SUMIFS('Est Madre CH 10-25'!C:C,'Est Madre CH 10-25'!D:D,"si"),0)+IFERROR(VLOOKUP(C124,'Est Madre LK 10-25'!$A:$C,3,),IFERROR(VLOOKUP(C124,'Est Madre CH 10-25'!$A:$C,3,),0)))</f>
        <v>1300</v>
      </c>
      <c r="AD124" s="594">
        <v>12000</v>
      </c>
      <c r="AE124" s="595">
        <v>8</v>
      </c>
      <c r="AF124" s="596">
        <v>102.82239</v>
      </c>
      <c r="AG124" s="597" t="s">
        <v>1717</v>
      </c>
      <c r="AH124" s="595" t="s">
        <v>1658</v>
      </c>
      <c r="AI124" s="598">
        <v>3</v>
      </c>
      <c r="AK124" s="592">
        <v>100</v>
      </c>
      <c r="AL124" s="598">
        <v>0</v>
      </c>
    </row>
    <row r="125" spans="1:38" ht="18" customHeight="1" x14ac:dyDescent="0.3">
      <c r="B125" s="294"/>
      <c r="C125" s="294"/>
      <c r="D125" s="127"/>
      <c r="E125" s="299"/>
      <c r="F125" s="308"/>
      <c r="G125" s="127"/>
      <c r="H125" s="308"/>
      <c r="J125" s="452"/>
      <c r="K125" s="453"/>
      <c r="M125" s="611">
        <f>+SUM(M124)</f>
        <v>0</v>
      </c>
      <c r="N125" s="379"/>
      <c r="O125" s="336"/>
      <c r="P125" s="611"/>
      <c r="R125" s="454"/>
      <c r="S125" s="454"/>
      <c r="U125" s="454"/>
      <c r="V125" s="454"/>
      <c r="X125" s="307"/>
      <c r="Y125" s="307"/>
      <c r="Z125" s="384"/>
      <c r="AC125" s="382"/>
      <c r="AD125" s="384"/>
      <c r="AE125" s="127"/>
      <c r="AF125" s="348"/>
      <c r="AG125" s="550"/>
      <c r="AH125" s="127"/>
    </row>
    <row r="126" spans="1:38" ht="18" customHeight="1" thickBot="1" x14ac:dyDescent="0.35">
      <c r="B126" s="294"/>
      <c r="C126" s="294"/>
      <c r="E126" s="299"/>
      <c r="F126" s="308"/>
      <c r="G126" s="127"/>
      <c r="H126" s="308"/>
      <c r="J126" s="452"/>
      <c r="K126" s="453"/>
      <c r="M126" s="611"/>
      <c r="N126" s="379"/>
      <c r="O126" s="336"/>
      <c r="P126" s="611"/>
      <c r="R126" s="454"/>
      <c r="S126" s="454"/>
      <c r="U126" s="454"/>
      <c r="V126" s="454"/>
      <c r="X126" s="307"/>
      <c r="Y126" s="307"/>
      <c r="Z126" s="384"/>
      <c r="AC126" s="382"/>
      <c r="AD126" s="384"/>
      <c r="AE126" s="127"/>
      <c r="AF126" s="348"/>
      <c r="AG126" s="550"/>
      <c r="AH126" s="127"/>
    </row>
    <row r="127" spans="1:38" s="381" customFormat="1" ht="30" customHeight="1" thickBot="1" x14ac:dyDescent="0.3">
      <c r="B127" s="966" t="s">
        <v>1727</v>
      </c>
      <c r="C127" s="967"/>
      <c r="D127" s="967"/>
      <c r="E127" s="967"/>
      <c r="F127" s="967"/>
      <c r="G127" s="967"/>
      <c r="H127" s="968"/>
      <c r="J127" s="693"/>
      <c r="K127" s="694"/>
      <c r="L127" s="506"/>
      <c r="M127" s="662"/>
      <c r="N127" s="630"/>
      <c r="O127" s="630"/>
      <c r="P127" s="662"/>
      <c r="Q127" s="506"/>
      <c r="R127" s="662"/>
      <c r="S127" s="662"/>
      <c r="T127" s="506"/>
      <c r="U127" s="662"/>
      <c r="V127" s="662"/>
      <c r="W127" s="506"/>
      <c r="X127" s="662"/>
      <c r="Y127" s="662"/>
      <c r="Z127" s="630"/>
      <c r="AA127" s="506"/>
      <c r="AB127" s="662"/>
      <c r="AC127" s="662"/>
      <c r="AD127" s="630"/>
      <c r="AE127" s="662"/>
      <c r="AF127" s="662"/>
      <c r="AG127" s="662"/>
      <c r="AH127" s="662"/>
      <c r="AI127" s="662"/>
    </row>
    <row r="128" spans="1:38" ht="18" customHeight="1" thickBot="1" x14ac:dyDescent="0.35">
      <c r="A128" t="s">
        <v>1466</v>
      </c>
      <c r="B128" s="582">
        <v>2395700</v>
      </c>
      <c r="C128" s="728">
        <v>321</v>
      </c>
      <c r="D128" s="595" t="str">
        <f>+VLOOKUP(C128,'Conteo 24-02'!$A$8:$D$246,4,0)</f>
        <v>F5A</v>
      </c>
      <c r="E128" s="583" t="s">
        <v>746</v>
      </c>
      <c r="F128" s="584" t="s">
        <v>1334</v>
      </c>
      <c r="G128" s="595"/>
      <c r="H128" s="720"/>
      <c r="J128" s="654">
        <f>+IFERROR(O128/N128,0)</f>
        <v>1.0683760683760684</v>
      </c>
      <c r="K128" s="738">
        <f>+IFERROR(S128/V128,0)</f>
        <v>1.0683760683760684</v>
      </c>
      <c r="M128" s="729">
        <f>IF(N128-O128-P128&lt;0,0,N128-O128-P128)</f>
        <v>0</v>
      </c>
      <c r="N128" s="730">
        <f>+IFERROR(AC128*AI128,0)</f>
        <v>9360</v>
      </c>
      <c r="O128" s="587">
        <f>+(X128*Z128)+Y128</f>
        <v>10000</v>
      </c>
      <c r="P128" s="740"/>
      <c r="R128" s="588">
        <f>+IFERROR(SUMIFS('Stock CD'!D:D,C307,'Stock CD'!C:C),0)</f>
        <v>0</v>
      </c>
      <c r="S128" s="589">
        <f>+R128+O128</f>
        <v>10000</v>
      </c>
      <c r="U128" s="588">
        <f>+IFERROR(VLOOKUP(C128,'Stock CD'!B:I,8,0),0)</f>
        <v>0</v>
      </c>
      <c r="V128" s="589">
        <f>+U128+N128</f>
        <v>9360</v>
      </c>
      <c r="X128" s="776">
        <f>+SUMIFS('Conteo 24-02'!F:F,'Conteo 24-02'!$A:$A,$C128)</f>
        <v>4</v>
      </c>
      <c r="Y128" s="590">
        <f>+SUMIFS('Conteo 24-02'!G:G,'Conteo 24-02'!$A:$A,$C128)</f>
        <v>0</v>
      </c>
      <c r="Z128" s="591">
        <v>2500</v>
      </c>
      <c r="AB128" s="592" t="s">
        <v>1466</v>
      </c>
      <c r="AC128" s="593">
        <f>IF(C128="Corb-LK",SUMIFS('Est Madre LK 10-25'!C:C,'Est Madre LK 10-25'!D:D,"si"),IF(C128="Corb-CH",SUMIFS('Est Madre CH 10-25'!C:C,'Est Madre CH 10-25'!D:D,"si"),0)+IFERROR(VLOOKUP(C128,'Est Madre LK 10-25'!$A:$C,3,),IFERROR(VLOOKUP(C128,'Est Madre CH 10-25'!$A:$C,3,),0)))</f>
        <v>3120</v>
      </c>
      <c r="AD128" s="594">
        <v>24000</v>
      </c>
      <c r="AE128" s="595">
        <v>24</v>
      </c>
      <c r="AF128" s="596">
        <v>24.144929999999999</v>
      </c>
      <c r="AG128" s="597" t="s">
        <v>1733</v>
      </c>
      <c r="AH128" s="595" t="s">
        <v>1657</v>
      </c>
      <c r="AI128" s="598">
        <v>3</v>
      </c>
      <c r="AK128" s="592">
        <v>100</v>
      </c>
      <c r="AL128" s="598">
        <v>0</v>
      </c>
    </row>
    <row r="129" spans="1:38" ht="18" customHeight="1" x14ac:dyDescent="0.3">
      <c r="B129" s="294"/>
      <c r="C129" s="294"/>
      <c r="E129" s="299"/>
      <c r="F129" s="308"/>
      <c r="G129" s="127"/>
      <c r="H129" s="308"/>
      <c r="J129" s="452"/>
      <c r="K129" s="453"/>
      <c r="M129" s="611">
        <f>+SUM(M128)</f>
        <v>0</v>
      </c>
      <c r="N129" s="379"/>
      <c r="O129" s="336"/>
      <c r="P129" s="611"/>
      <c r="R129" s="454"/>
      <c r="S129" s="454"/>
      <c r="U129" s="454"/>
      <c r="V129" s="454"/>
      <c r="X129" s="307"/>
      <c r="Y129" s="307"/>
      <c r="Z129" s="384"/>
      <c r="AC129" s="382"/>
      <c r="AD129" s="384"/>
      <c r="AE129" s="127"/>
      <c r="AF129" s="348"/>
      <c r="AG129" s="550"/>
      <c r="AH129" s="127"/>
    </row>
    <row r="130" spans="1:38" ht="18" customHeight="1" x14ac:dyDescent="0.3">
      <c r="B130" s="294"/>
      <c r="C130" s="294"/>
      <c r="E130" s="299"/>
      <c r="F130" s="308"/>
      <c r="G130" s="127"/>
      <c r="H130" s="308"/>
      <c r="J130" s="452"/>
      <c r="K130" s="453"/>
      <c r="M130" s="611"/>
      <c r="N130" s="379"/>
      <c r="O130" s="336"/>
      <c r="P130" s="611"/>
      <c r="R130" s="454"/>
      <c r="S130" s="454"/>
      <c r="U130" s="454"/>
      <c r="V130" s="454"/>
      <c r="X130" s="307"/>
      <c r="Y130" s="307"/>
      <c r="Z130" s="384"/>
      <c r="AC130" s="382"/>
      <c r="AD130" s="384"/>
      <c r="AE130" s="127"/>
      <c r="AF130" s="348"/>
      <c r="AG130" s="550"/>
      <c r="AH130" s="127"/>
    </row>
    <row r="131" spans="1:38" ht="33" customHeight="1" thickBot="1" x14ac:dyDescent="0.5">
      <c r="A131" s="633"/>
      <c r="B131" s="969" t="s">
        <v>1680</v>
      </c>
      <c r="C131" s="969"/>
      <c r="D131" s="969"/>
      <c r="E131" s="969"/>
      <c r="F131" s="969"/>
      <c r="G131" s="969"/>
      <c r="H131" s="969"/>
      <c r="J131" s="477"/>
      <c r="K131" s="349"/>
      <c r="L131" s="208"/>
      <c r="M131" s="380"/>
      <c r="N131" s="367"/>
      <c r="O131" s="342"/>
      <c r="P131" s="380"/>
      <c r="Q131" s="208"/>
      <c r="T131" s="208"/>
      <c r="W131" s="208"/>
      <c r="X131" s="292"/>
      <c r="Y131"/>
      <c r="Z131" s="292"/>
      <c r="AF131" s="695"/>
      <c r="AG131" s="696"/>
    </row>
    <row r="132" spans="1:38" s="381" customFormat="1" ht="30" customHeight="1" thickBot="1" x14ac:dyDescent="0.3">
      <c r="B132" s="966" t="s">
        <v>1730</v>
      </c>
      <c r="C132" s="967"/>
      <c r="D132" s="967"/>
      <c r="E132" s="967"/>
      <c r="F132" s="967"/>
      <c r="G132" s="967"/>
      <c r="H132" s="968"/>
      <c r="J132" s="693"/>
      <c r="K132" s="694"/>
      <c r="L132" s="506"/>
      <c r="M132" s="662"/>
      <c r="N132" s="630"/>
      <c r="O132" s="630"/>
      <c r="P132" s="662"/>
      <c r="Q132" s="506"/>
      <c r="R132" s="662"/>
      <c r="S132" s="662"/>
      <c r="T132" s="506"/>
      <c r="U132" s="662"/>
      <c r="V132" s="662"/>
      <c r="W132" s="506"/>
      <c r="X132" s="662"/>
      <c r="Y132" s="662"/>
      <c r="Z132" s="630"/>
      <c r="AA132" s="506"/>
      <c r="AB132" s="662"/>
      <c r="AC132" s="662"/>
      <c r="AD132" s="630"/>
      <c r="AE132" s="662"/>
      <c r="AF132" s="662"/>
      <c r="AG132" s="662"/>
      <c r="AH132" s="662"/>
      <c r="AI132" s="662"/>
    </row>
    <row r="133" spans="1:38" ht="18" customHeight="1" x14ac:dyDescent="0.3">
      <c r="A133" t="s">
        <v>1466</v>
      </c>
      <c r="B133" s="413">
        <v>2315700</v>
      </c>
      <c r="C133" s="432">
        <v>99</v>
      </c>
      <c r="D133" s="261" t="str">
        <f>+VLOOKUP(C133,'Conteo 24-02'!$A$8:$D$246,4,0)</f>
        <v>Ñ4</v>
      </c>
      <c r="E133" s="321" t="s">
        <v>1041</v>
      </c>
      <c r="F133" s="354" t="s">
        <v>1500</v>
      </c>
      <c r="G133" s="261"/>
      <c r="H133" s="469"/>
      <c r="J133" s="749">
        <f>+IFERROR(O133/N133,0)</f>
        <v>0.55443548387096775</v>
      </c>
      <c r="K133" s="485">
        <f>+IFERROR(S133/V133,0)</f>
        <v>0.55443548387096775</v>
      </c>
      <c r="M133" s="658">
        <f t="shared" ref="M133:M134" si="53">IF(N133-O133-P133&lt;0,0,N133-O133-P133)</f>
        <v>3978</v>
      </c>
      <c r="N133" s="376">
        <f>+IFERROR(AC133*AI133,0)</f>
        <v>8928</v>
      </c>
      <c r="O133" s="344">
        <f>+(X133*Z133)+Y133</f>
        <v>4950</v>
      </c>
      <c r="P133" s="612"/>
      <c r="R133" s="396">
        <f>+IFERROR(SUMIFS('Stock CD'!D:D,C115,'Stock CD'!C:C),0)</f>
        <v>0</v>
      </c>
      <c r="S133" s="399">
        <f>+R133+O133</f>
        <v>4950</v>
      </c>
      <c r="U133" s="396">
        <f>+IFERROR(VLOOKUP(C133,'Stock CD'!B:I,8,0),0)</f>
        <v>0</v>
      </c>
      <c r="V133" s="399">
        <f>+U133+N133</f>
        <v>8928</v>
      </c>
      <c r="X133" s="626">
        <f>+SUMIFS('Conteo 24-02'!F:F,'Conteo 24-02'!$A:$A,$C133)</f>
        <v>4</v>
      </c>
      <c r="Y133" s="303">
        <f>+SUMIFS('Conteo 24-02'!G:G,'Conteo 24-02'!$A:$A,$C133)</f>
        <v>950</v>
      </c>
      <c r="Z133" s="524">
        <v>1000</v>
      </c>
      <c r="AB133" s="393" t="s">
        <v>1466</v>
      </c>
      <c r="AC133" s="422">
        <f>IF(C133="Corb-LK",SUMIFS('Est Madre LK 10-25'!C:C,'Est Madre LK 10-25'!D:D,"si"),IF(C133="Corb-CH",SUMIFS('Est Madre CH 10-25'!C:C,'Est Madre CH 10-25'!D:D,"si"),0)+IFERROR(VLOOKUP(C133,'Est Madre LK 10-25'!$A:$C,3,),IFERROR(VLOOKUP(C133,'Est Madre CH 10-25'!$A:$C,3,),0)))</f>
        <v>2976</v>
      </c>
      <c r="AD133" s="358">
        <v>12000</v>
      </c>
      <c r="AE133" s="261">
        <v>12</v>
      </c>
      <c r="AF133" s="324">
        <v>68.570279999999997</v>
      </c>
      <c r="AG133" s="551" t="s">
        <v>1722</v>
      </c>
      <c r="AH133" s="261" t="s">
        <v>1651</v>
      </c>
      <c r="AI133" s="331">
        <v>3</v>
      </c>
      <c r="AK133" s="393">
        <v>0</v>
      </c>
      <c r="AL133" s="331">
        <v>100</v>
      </c>
    </row>
    <row r="134" spans="1:38" ht="18" customHeight="1" thickBot="1" x14ac:dyDescent="0.35">
      <c r="A134" t="s">
        <v>1466</v>
      </c>
      <c r="B134" s="493">
        <v>2320700</v>
      </c>
      <c r="C134" s="443">
        <v>713</v>
      </c>
      <c r="D134" s="262" t="str">
        <f>+VLOOKUP(C134,'Conteo 24-02'!$A$8:$D$246,4,0)</f>
        <v>P6</v>
      </c>
      <c r="E134" s="322" t="s">
        <v>1041</v>
      </c>
      <c r="F134" s="355" t="s">
        <v>1183</v>
      </c>
      <c r="G134" s="262"/>
      <c r="H134" s="471"/>
      <c r="J134" s="750">
        <f>+IFERROR(O134/N134,0)</f>
        <v>0.45614035087719296</v>
      </c>
      <c r="K134" s="486">
        <f>+IFERROR(S134/V134,0)</f>
        <v>0.45614035087719296</v>
      </c>
      <c r="M134" s="659">
        <f t="shared" si="53"/>
        <v>3720</v>
      </c>
      <c r="N134" s="378">
        <f>+IFERROR(AC134*AI134,0)</f>
        <v>6840</v>
      </c>
      <c r="O134" s="345">
        <f>+(X134*Z134)+Y134</f>
        <v>3120</v>
      </c>
      <c r="P134" s="614"/>
      <c r="R134" s="398">
        <f>+IFERROR(SUMIFS('Stock CD'!D:D,C82,'Stock CD'!C:C),0)</f>
        <v>0</v>
      </c>
      <c r="S134" s="401">
        <f>+R134+O134</f>
        <v>3120</v>
      </c>
      <c r="U134" s="398">
        <f>+IFERROR(VLOOKUP(C134,'Stock CD'!B:I,8,0),0)</f>
        <v>0</v>
      </c>
      <c r="V134" s="401">
        <f>+U134+N134</f>
        <v>6840</v>
      </c>
      <c r="X134" s="445">
        <f>+SUMIFS('Conteo 24-02'!F:F,'Conteo 24-02'!$A:$A,$C134)</f>
        <v>3</v>
      </c>
      <c r="Y134" s="305">
        <f>+SUMIFS('Conteo 24-02'!G:G,'Conteo 24-02'!$A:$A,$C134)</f>
        <v>120</v>
      </c>
      <c r="Z134" s="508">
        <v>1000</v>
      </c>
      <c r="AB134" s="425" t="s">
        <v>1466</v>
      </c>
      <c r="AC134" s="423">
        <f>IF(C134="Corb-LK",SUMIFS('Est Madre LK 10-25'!C:C,'Est Madre LK 10-25'!D:D,"si"),IF(C134="Corb-CH",SUMIFS('Est Madre CH 10-25'!C:C,'Est Madre CH 10-25'!D:D,"si"),0)+IFERROR(VLOOKUP(C134,'Est Madre LK 10-25'!$A:$C,3,),IFERROR(VLOOKUP(C134,'Est Madre CH 10-25'!$A:$C,3,),0)))</f>
        <v>2280</v>
      </c>
      <c r="AD134" s="361">
        <v>12000</v>
      </c>
      <c r="AE134" s="262">
        <v>12</v>
      </c>
      <c r="AF134" s="325">
        <v>86.485752000000005</v>
      </c>
      <c r="AG134" s="554" t="s">
        <v>1722</v>
      </c>
      <c r="AH134" s="262" t="s">
        <v>1651</v>
      </c>
      <c r="AI134" s="335">
        <v>3</v>
      </c>
      <c r="AK134" s="425">
        <v>0</v>
      </c>
      <c r="AL134" s="335">
        <v>100</v>
      </c>
    </row>
    <row r="135" spans="1:38" ht="18" customHeight="1" x14ac:dyDescent="0.3">
      <c r="B135" s="346"/>
      <c r="C135" s="294"/>
      <c r="D135" s="127"/>
      <c r="E135" s="299"/>
      <c r="F135" s="308"/>
      <c r="G135" s="127"/>
      <c r="H135" s="308"/>
      <c r="J135" s="452"/>
      <c r="K135" s="453"/>
      <c r="M135" s="611">
        <f>+SUM(M133:M134)</f>
        <v>7698</v>
      </c>
      <c r="N135" s="379"/>
      <c r="O135" s="336"/>
      <c r="P135" s="611"/>
      <c r="R135" s="454"/>
      <c r="S135" s="454"/>
      <c r="U135" s="454"/>
      <c r="V135" s="454"/>
      <c r="X135" s="307"/>
      <c r="Y135" s="307"/>
      <c r="Z135" s="384"/>
      <c r="AC135" s="382"/>
      <c r="AD135" s="384"/>
      <c r="AE135" s="127"/>
      <c r="AF135" s="348"/>
      <c r="AG135" s="550"/>
      <c r="AH135" s="127"/>
    </row>
    <row r="136" spans="1:38" ht="19.5" thickBot="1" x14ac:dyDescent="0.35">
      <c r="B136" s="346"/>
      <c r="C136" s="294"/>
      <c r="D136" s="127"/>
      <c r="E136" s="299"/>
      <c r="F136" s="308"/>
      <c r="G136" s="127"/>
      <c r="H136" s="308"/>
      <c r="J136" s="452"/>
      <c r="K136" s="453"/>
      <c r="M136" s="611"/>
      <c r="N136" s="379"/>
      <c r="O136" s="336"/>
      <c r="P136" s="611"/>
      <c r="R136" s="454"/>
      <c r="S136" s="454"/>
      <c r="U136" s="454"/>
      <c r="V136" s="454"/>
      <c r="X136" s="307"/>
      <c r="Y136" s="307"/>
      <c r="Z136" s="384"/>
      <c r="AC136" s="382"/>
      <c r="AD136" s="384"/>
      <c r="AE136" s="127"/>
      <c r="AF136" s="348"/>
      <c r="AG136" s="550"/>
      <c r="AH136" s="127"/>
    </row>
    <row r="137" spans="1:38" s="381" customFormat="1" ht="30" customHeight="1" thickBot="1" x14ac:dyDescent="0.3">
      <c r="B137" s="966" t="s">
        <v>1756</v>
      </c>
      <c r="C137" s="967"/>
      <c r="D137" s="967"/>
      <c r="E137" s="967"/>
      <c r="F137" s="967"/>
      <c r="G137" s="967"/>
      <c r="H137" s="968"/>
      <c r="J137" s="693"/>
      <c r="K137" s="694"/>
      <c r="L137" s="506"/>
      <c r="M137" s="662"/>
      <c r="N137" s="630"/>
      <c r="O137" s="630"/>
      <c r="P137" s="662"/>
      <c r="Q137" s="506"/>
      <c r="R137" s="662"/>
      <c r="S137" s="662"/>
      <c r="T137" s="506"/>
      <c r="U137" s="662"/>
      <c r="V137" s="662"/>
      <c r="W137" s="506"/>
      <c r="X137" s="662"/>
      <c r="Y137" s="662"/>
      <c r="Z137" s="630"/>
      <c r="AA137" s="506"/>
      <c r="AB137" s="662"/>
      <c r="AC137" s="662"/>
      <c r="AD137" s="630"/>
      <c r="AE137" s="662"/>
      <c r="AF137" s="662"/>
      <c r="AG137" s="662"/>
      <c r="AH137" s="662"/>
      <c r="AI137" s="662"/>
    </row>
    <row r="138" spans="1:38" ht="18" customHeight="1" x14ac:dyDescent="0.3">
      <c r="A138" t="s">
        <v>1466</v>
      </c>
      <c r="B138" s="413">
        <v>2320700</v>
      </c>
      <c r="C138" s="432">
        <v>730</v>
      </c>
      <c r="D138" s="261" t="str">
        <f>+VLOOKUP(C138,'Conteo 24-02'!$A$8:$D$246,4,0)</f>
        <v>O4A</v>
      </c>
      <c r="E138" s="321" t="s">
        <v>1041</v>
      </c>
      <c r="F138" s="354" t="s">
        <v>1223</v>
      </c>
      <c r="G138" s="579"/>
      <c r="H138" s="469"/>
      <c r="J138" s="749">
        <f>+IFERROR(O138/N138,0)</f>
        <v>1.0916666666666666</v>
      </c>
      <c r="K138" s="485">
        <f>+IFERROR(S138/V138,0)</f>
        <v>1.0916666666666666</v>
      </c>
      <c r="M138" s="658">
        <f t="shared" ref="M138:M142" si="54">IF(N138-O138-P138&lt;0,0,N138-O138-P138)</f>
        <v>0</v>
      </c>
      <c r="N138" s="376">
        <f>+IFERROR(AC138*AI138,0)</f>
        <v>2400</v>
      </c>
      <c r="O138" s="344">
        <f>+(X138*Z138)+Y138</f>
        <v>2620</v>
      </c>
      <c r="P138" s="612"/>
      <c r="R138" s="396">
        <f>+IFERROR(SUMIFS('Stock CD'!D:D,C38,'Stock CD'!C:C),0)</f>
        <v>0</v>
      </c>
      <c r="S138" s="399">
        <f>+R138+O138</f>
        <v>2620</v>
      </c>
      <c r="U138" s="396">
        <f>+IFERROR(VLOOKUP(C138,'Stock CD'!B:I,8,0),0)</f>
        <v>0</v>
      </c>
      <c r="V138" s="399">
        <f>+U138+N138</f>
        <v>2400</v>
      </c>
      <c r="X138" s="626">
        <f>+SUMIFS('Conteo 24-02'!F:F,'Conteo 24-02'!$A:$A,$C138)</f>
        <v>2</v>
      </c>
      <c r="Y138" s="303">
        <f>+SUMIFS('Conteo 24-02'!G:G,'Conteo 24-02'!$A:$A,$C138)</f>
        <v>620</v>
      </c>
      <c r="Z138" s="524">
        <v>1000</v>
      </c>
      <c r="AB138" s="393" t="s">
        <v>1466</v>
      </c>
      <c r="AC138" s="422">
        <f>IF(C138="Corb-LK",SUMIFS('Est Madre LK 10-25'!C:C,'Est Madre LK 10-25'!D:D,"si"),IF(C138="Corb-CH",SUMIFS('Est Madre CH 10-25'!C:C,'Est Madre CH 10-25'!D:D,"si"),0)+IFERROR(VLOOKUP(C138,'Est Madre LK 10-25'!$A:$C,3,),IFERROR(VLOOKUP(C138,'Est Madre CH 10-25'!$A:$C,3,),0)))</f>
        <v>600</v>
      </c>
      <c r="AD138" s="358">
        <v>12000</v>
      </c>
      <c r="AE138" s="261">
        <v>8</v>
      </c>
      <c r="AF138" s="324">
        <v>86.485752000000005</v>
      </c>
      <c r="AG138" s="551" t="str">
        <f>+VLOOKUP(C138,'[1]Chef Troquel'!$A$4:$F$92,5,0)</f>
        <v>T.Loke</v>
      </c>
      <c r="AH138" s="261" t="s">
        <v>1651</v>
      </c>
      <c r="AI138" s="331">
        <v>4</v>
      </c>
      <c r="AK138" s="393">
        <v>0</v>
      </c>
      <c r="AL138" s="331">
        <v>100</v>
      </c>
    </row>
    <row r="139" spans="1:38" ht="18" customHeight="1" x14ac:dyDescent="0.3">
      <c r="A139" t="s">
        <v>1466</v>
      </c>
      <c r="B139" s="414">
        <v>2320700</v>
      </c>
      <c r="C139" s="433">
        <v>735</v>
      </c>
      <c r="D139" s="260" t="str">
        <f>+VLOOKUP(C139,'Conteo 24-02'!$A$8:$D$246,4,0)</f>
        <v>S3B</v>
      </c>
      <c r="E139" s="320" t="s">
        <v>1041</v>
      </c>
      <c r="F139" s="327" t="s">
        <v>1375</v>
      </c>
      <c r="G139" s="260"/>
      <c r="H139" s="470"/>
      <c r="J139" s="751">
        <f>+IFERROR(O139/N139,0)</f>
        <v>5.208333333333333</v>
      </c>
      <c r="K139" s="478">
        <f>+IFERROR(S139/V139,0)</f>
        <v>5.208333333333333</v>
      </c>
      <c r="M139" s="726">
        <f t="shared" si="54"/>
        <v>0</v>
      </c>
      <c r="N139" s="377">
        <f>+IFERROR(AC139*AI139,0)</f>
        <v>384</v>
      </c>
      <c r="O139" s="343">
        <f>+(X139*Z139)+Y139</f>
        <v>2000</v>
      </c>
      <c r="P139" s="613"/>
      <c r="R139" s="397">
        <f>+IFERROR(SUMIFS('Stock CD'!D:D,C86,'Stock CD'!C:C),0)</f>
        <v>0</v>
      </c>
      <c r="S139" s="400">
        <f>+R139+O139</f>
        <v>2000</v>
      </c>
      <c r="U139" s="397">
        <f>+IFERROR(VLOOKUP(C139,'Stock CD'!B:I,8,0),0)</f>
        <v>0</v>
      </c>
      <c r="V139" s="400">
        <f>+U139+N139</f>
        <v>384</v>
      </c>
      <c r="X139" s="444">
        <f>+SUMIFS('Conteo 24-02'!F:F,'Conteo 24-02'!$A:$A,$C139)</f>
        <v>2</v>
      </c>
      <c r="Y139" s="304">
        <f>+SUMIFS('Conteo 24-02'!G:G,'Conteo 24-02'!$A:$A,$C139)</f>
        <v>0</v>
      </c>
      <c r="Z139" s="507">
        <v>1000</v>
      </c>
      <c r="AB139" s="424" t="s">
        <v>1466</v>
      </c>
      <c r="AC139" s="409">
        <f>IF(C139="Corb-LK",SUMIFS('Est Madre LK 10-25'!C:C,'Est Madre LK 10-25'!D:D,"si"),IF(C139="Corb-CH",SUMIFS('Est Madre CH 10-25'!C:C,'Est Madre CH 10-25'!D:D,"si"),0)+IFERROR(VLOOKUP(C139,'Est Madre LK 10-25'!$A:$C,3,),IFERROR(VLOOKUP(C139,'Est Madre CH 10-25'!$A:$C,3,),0)))</f>
        <v>96</v>
      </c>
      <c r="AD139" s="359">
        <v>12000</v>
      </c>
      <c r="AE139" s="260">
        <v>12</v>
      </c>
      <c r="AF139" s="323">
        <v>86.485752000000005</v>
      </c>
      <c r="AG139" s="552" t="str">
        <f>+VLOOKUP(C139,'[1]Chef Troquel'!$A$4:$F$92,5,0)</f>
        <v>T.Loke</v>
      </c>
      <c r="AH139" s="260" t="s">
        <v>1651</v>
      </c>
      <c r="AI139" s="333">
        <v>4</v>
      </c>
      <c r="AK139" s="424">
        <v>0</v>
      </c>
      <c r="AL139" s="333">
        <v>100</v>
      </c>
    </row>
    <row r="140" spans="1:38" ht="18" customHeight="1" x14ac:dyDescent="0.3">
      <c r="A140" t="s">
        <v>1466</v>
      </c>
      <c r="B140" s="414">
        <v>2319700</v>
      </c>
      <c r="C140" s="433">
        <v>723</v>
      </c>
      <c r="D140" s="260" t="str">
        <f>+VLOOKUP(C140,'Conteo 24-02'!$A$8:$D$246,4,0)</f>
        <v>Ñ1A</v>
      </c>
      <c r="E140" s="320" t="s">
        <v>1041</v>
      </c>
      <c r="F140" s="327" t="s">
        <v>1184</v>
      </c>
      <c r="G140" s="499"/>
      <c r="H140" s="470"/>
      <c r="J140" s="751">
        <f>+IFERROR(O140/N140,0)</f>
        <v>0</v>
      </c>
      <c r="K140" s="478">
        <f>+IFERROR(S140/V140,0)</f>
        <v>0</v>
      </c>
      <c r="M140" s="726">
        <f t="shared" si="54"/>
        <v>1488</v>
      </c>
      <c r="N140" s="377">
        <f>+IFERROR(AC140*AI140,0)</f>
        <v>1488</v>
      </c>
      <c r="O140" s="343">
        <f>+(X140*Z140)+Y140</f>
        <v>0</v>
      </c>
      <c r="P140" s="613"/>
      <c r="R140" s="397">
        <f>+IFERROR(SUMIFS('Stock CD'!D:D,C128,'Stock CD'!C:C),0)</f>
        <v>0</v>
      </c>
      <c r="S140" s="400">
        <f>+R140+O140</f>
        <v>0</v>
      </c>
      <c r="U140" s="397">
        <f>+IFERROR(VLOOKUP(C140,'Stock CD'!B:I,8,0),0)</f>
        <v>0</v>
      </c>
      <c r="V140" s="400">
        <f>+U140+N140</f>
        <v>1488</v>
      </c>
      <c r="X140" s="444">
        <f>+SUMIFS('Conteo 24-02'!F:F,'Conteo 24-02'!$A:$A,$C140)</f>
        <v>0</v>
      </c>
      <c r="Y140" s="304">
        <f>+SUMIFS('Conteo 24-02'!G:G,'Conteo 24-02'!$A:$A,$C140)</f>
        <v>0</v>
      </c>
      <c r="Z140" s="507">
        <v>1000</v>
      </c>
      <c r="AB140" s="424" t="s">
        <v>1466</v>
      </c>
      <c r="AC140" s="409">
        <f>IF(C140="Corb-LK",SUMIFS('Est Madre LK 10-25'!C:C,'Est Madre LK 10-25'!D:D,"si"),IF(C140="Corb-CH",SUMIFS('Est Madre CH 10-25'!C:C,'Est Madre CH 10-25'!D:D,"si"),0)+IFERROR(VLOOKUP(C140,'Est Madre LK 10-25'!$A:$C,3,),IFERROR(VLOOKUP(C140,'Est Madre CH 10-25'!$A:$C,3,),0)))</f>
        <v>372</v>
      </c>
      <c r="AD140" s="359">
        <v>12000</v>
      </c>
      <c r="AE140" s="260">
        <v>6</v>
      </c>
      <c r="AF140" s="323">
        <v>115.9353</v>
      </c>
      <c r="AG140" s="552" t="str">
        <f>+VLOOKUP(C140,'[1]Chef Troquel'!$A$4:$F$92,5,0)</f>
        <v>T.Loke</v>
      </c>
      <c r="AH140" s="260" t="s">
        <v>1651</v>
      </c>
      <c r="AI140" s="333">
        <v>4</v>
      </c>
      <c r="AK140" s="424">
        <v>0</v>
      </c>
      <c r="AL140" s="333">
        <v>100</v>
      </c>
    </row>
    <row r="141" spans="1:38" ht="18" customHeight="1" x14ac:dyDescent="0.3">
      <c r="A141" t="s">
        <v>1466</v>
      </c>
      <c r="B141" s="414">
        <v>2320700</v>
      </c>
      <c r="C141" s="433">
        <v>731</v>
      </c>
      <c r="D141" s="260" t="str">
        <f>+VLOOKUP(C141,'Conteo 24-02'!$A$8:$D$246,4,0)</f>
        <v>S3C</v>
      </c>
      <c r="E141" s="320" t="s">
        <v>1041</v>
      </c>
      <c r="F141" s="327" t="s">
        <v>1199</v>
      </c>
      <c r="G141" s="499"/>
      <c r="H141" s="470"/>
      <c r="J141" s="751">
        <f>+IFERROR(O141/N141,0)</f>
        <v>1.1174242424242424</v>
      </c>
      <c r="K141" s="478">
        <f>+IFERROR(S141/V141,0)</f>
        <v>1.1174242424242424</v>
      </c>
      <c r="M141" s="726">
        <f t="shared" si="54"/>
        <v>0</v>
      </c>
      <c r="N141" s="377">
        <f>+IFERROR(AC141*AI141,0)</f>
        <v>1056</v>
      </c>
      <c r="O141" s="343">
        <f>+(X141*Z141)+Y141</f>
        <v>1180</v>
      </c>
      <c r="P141" s="613"/>
      <c r="R141" s="397">
        <f>+IFERROR(SUMIFS('Stock CD'!D:D,C42,'Stock CD'!C:C),0)</f>
        <v>0</v>
      </c>
      <c r="S141" s="400">
        <f>+R141+O141</f>
        <v>1180</v>
      </c>
      <c r="U141" s="397">
        <f>+IFERROR(VLOOKUP(C141,'Stock CD'!B:I,8,0),0)</f>
        <v>0</v>
      </c>
      <c r="V141" s="400">
        <f>+U141+N141</f>
        <v>1056</v>
      </c>
      <c r="X141" s="444">
        <f>+SUMIFS('Conteo 24-02'!F:F,'Conteo 24-02'!$A:$A,$C141)</f>
        <v>1</v>
      </c>
      <c r="Y141" s="304">
        <f>+SUMIFS('Conteo 24-02'!G:G,'Conteo 24-02'!$A:$A,$C141)</f>
        <v>180</v>
      </c>
      <c r="Z141" s="507">
        <v>1000</v>
      </c>
      <c r="AB141" s="424" t="s">
        <v>1466</v>
      </c>
      <c r="AC141" s="409">
        <f>IF(C141="Corb-LK",SUMIFS('Est Madre LK 10-25'!C:C,'Est Madre LK 10-25'!D:D,"si"),IF(C141="Corb-CH",SUMIFS('Est Madre CH 10-25'!C:C,'Est Madre CH 10-25'!D:D,"si"),0)+IFERROR(VLOOKUP(C141,'Est Madre LK 10-25'!$A:$C,3,),IFERROR(VLOOKUP(C141,'Est Madre CH 10-25'!$A:$C,3,),0)))</f>
        <v>264</v>
      </c>
      <c r="AD141" s="359">
        <v>12000</v>
      </c>
      <c r="AE141" s="260">
        <v>8</v>
      </c>
      <c r="AF141" s="323">
        <v>86.485752000000005</v>
      </c>
      <c r="AG141" s="552" t="str">
        <f>+VLOOKUP(C141,'[1]Chef Troquel'!$A$4:$F$92,5,0)</f>
        <v>T.Loke</v>
      </c>
      <c r="AH141" s="260" t="s">
        <v>1651</v>
      </c>
      <c r="AI141" s="333">
        <v>4</v>
      </c>
      <c r="AK141" s="424">
        <v>0</v>
      </c>
      <c r="AL141" s="333">
        <v>100</v>
      </c>
    </row>
    <row r="142" spans="1:38" ht="18" customHeight="1" thickBot="1" x14ac:dyDescent="0.35">
      <c r="A142" t="s">
        <v>1466</v>
      </c>
      <c r="B142" s="493">
        <v>2315700</v>
      </c>
      <c r="C142" s="443">
        <v>725</v>
      </c>
      <c r="D142" s="262" t="str">
        <f>+VLOOKUP(C142,'Conteo 24-02'!$A$8:$D$246,4,0)</f>
        <v>P4B</v>
      </c>
      <c r="E142" s="322" t="s">
        <v>1041</v>
      </c>
      <c r="F142" s="355" t="s">
        <v>805</v>
      </c>
      <c r="G142" s="580"/>
      <c r="H142" s="471"/>
      <c r="J142" s="750">
        <f>+IFERROR(O142/N142,0)</f>
        <v>0.52083333333333337</v>
      </c>
      <c r="K142" s="486">
        <f>+IFERROR(S142/V142,0)</f>
        <v>0.52083333333333337</v>
      </c>
      <c r="M142" s="659">
        <f t="shared" si="54"/>
        <v>920</v>
      </c>
      <c r="N142" s="378">
        <f>+IFERROR(AC142*AI142,0)</f>
        <v>1920</v>
      </c>
      <c r="O142" s="345">
        <f>+(X142*Z142)+Y142</f>
        <v>1000</v>
      </c>
      <c r="P142" s="614"/>
      <c r="R142" s="398">
        <f>+IFERROR(SUMIFS('Stock CD'!D:D,C40,'Stock CD'!C:C),0)</f>
        <v>0</v>
      </c>
      <c r="S142" s="401">
        <f>+R142+O142</f>
        <v>1000</v>
      </c>
      <c r="U142" s="398">
        <f>+IFERROR(VLOOKUP(C142,'Stock CD'!B:I,8,0),0)</f>
        <v>0</v>
      </c>
      <c r="V142" s="401">
        <f>+U142+N142</f>
        <v>1920</v>
      </c>
      <c r="X142" s="445">
        <f>+SUMIFS('Conteo 24-02'!F:F,'Conteo 24-02'!$A:$A,$C142)</f>
        <v>1</v>
      </c>
      <c r="Y142" s="305">
        <f>+SUMIFS('Conteo 24-02'!G:G,'Conteo 24-02'!$A:$A,$C142)</f>
        <v>0</v>
      </c>
      <c r="Z142" s="508">
        <v>1000</v>
      </c>
      <c r="AB142" s="425" t="s">
        <v>1466</v>
      </c>
      <c r="AC142" s="423">
        <f>IF(C142="Corb-LK",SUMIFS('Est Madre LK 10-25'!C:C,'Est Madre LK 10-25'!D:D,"si"),IF(C142="Corb-CH",SUMIFS('Est Madre CH 10-25'!C:C,'Est Madre CH 10-25'!D:D,"si"),0)+IFERROR(VLOOKUP(C142,'Est Madre LK 10-25'!$A:$C,3,),IFERROR(VLOOKUP(C142,'Est Madre CH 10-25'!$A:$C,3,),0)))</f>
        <v>480</v>
      </c>
      <c r="AD142" s="361">
        <v>12000</v>
      </c>
      <c r="AE142" s="262">
        <v>8</v>
      </c>
      <c r="AF142" s="325">
        <v>68.570279999999997</v>
      </c>
      <c r="AG142" s="554" t="str">
        <f>+VLOOKUP(C142,'[1]Chef Troquel'!$A$4:$F$92,5,0)</f>
        <v>T.Loke</v>
      </c>
      <c r="AH142" s="262" t="s">
        <v>1651</v>
      </c>
      <c r="AI142" s="335">
        <v>4</v>
      </c>
      <c r="AK142" s="425">
        <v>0</v>
      </c>
      <c r="AL142" s="335">
        <v>100</v>
      </c>
    </row>
    <row r="143" spans="1:38" ht="5.25" customHeight="1" thickBot="1" x14ac:dyDescent="0.35">
      <c r="B143" s="346"/>
      <c r="C143" s="294"/>
      <c r="D143" s="127"/>
      <c r="E143" s="299"/>
      <c r="F143" s="308"/>
      <c r="G143" s="578"/>
      <c r="H143" s="308"/>
      <c r="J143" s="452"/>
      <c r="K143" s="453"/>
      <c r="M143" s="611"/>
      <c r="N143" s="379"/>
      <c r="O143" s="336"/>
      <c r="P143" s="611"/>
      <c r="R143" s="454"/>
      <c r="S143" s="454"/>
      <c r="U143" s="454"/>
      <c r="V143" s="454"/>
      <c r="X143" s="307"/>
      <c r="Y143" s="307"/>
      <c r="Z143" s="384"/>
      <c r="AC143" s="382"/>
      <c r="AD143" s="384"/>
      <c r="AE143" s="127"/>
      <c r="AF143" s="348"/>
      <c r="AG143" s="550"/>
      <c r="AH143" s="127"/>
    </row>
    <row r="144" spans="1:38" ht="18" customHeight="1" x14ac:dyDescent="0.3">
      <c r="A144" t="s">
        <v>1466</v>
      </c>
      <c r="B144" s="413">
        <v>2315700</v>
      </c>
      <c r="C144" s="432">
        <v>862</v>
      </c>
      <c r="D144" s="261" t="str">
        <f>+VLOOKUP(C144,'Conteo 24-02'!$A$8:$D$246,4,0)</f>
        <v>N1</v>
      </c>
      <c r="E144" s="321" t="s">
        <v>1041</v>
      </c>
      <c r="F144" s="354" t="s">
        <v>1276</v>
      </c>
      <c r="G144" s="261"/>
      <c r="H144" s="469"/>
      <c r="J144" s="749">
        <f>+IFERROR(O144/N144,0)</f>
        <v>1.875</v>
      </c>
      <c r="K144" s="485">
        <f>+IFERROR(S144/V144,0)</f>
        <v>1.875</v>
      </c>
      <c r="M144" s="658">
        <f>IF(N144-O144-P144&lt;0,0,N144-O144-P144)</f>
        <v>0</v>
      </c>
      <c r="N144" s="376">
        <f>+IFERROR(AC144*AI144,0)</f>
        <v>720</v>
      </c>
      <c r="O144" s="344">
        <f>+(X144*Z144)+Y144</f>
        <v>1350</v>
      </c>
      <c r="P144" s="612"/>
      <c r="R144" s="396">
        <f>+IFERROR(SUMIFS('Stock CD'!D:D,C118,'Stock CD'!C:C),0)</f>
        <v>0</v>
      </c>
      <c r="S144" s="399">
        <f>+R144+O144</f>
        <v>1350</v>
      </c>
      <c r="U144" s="396">
        <f>+IFERROR(VLOOKUP(C144,'Stock CD'!B:I,8,0),0)</f>
        <v>0</v>
      </c>
      <c r="V144" s="399">
        <f>+U144+N144</f>
        <v>720</v>
      </c>
      <c r="X144" s="626">
        <f>+SUMIFS('Conteo 24-02'!F:F,'Conteo 24-02'!$A:$A,$C144)</f>
        <v>1</v>
      </c>
      <c r="Y144" s="303">
        <f>+SUMIFS('Conteo 24-02'!G:G,'Conteo 24-02'!$A:$A,$C144)</f>
        <v>350</v>
      </c>
      <c r="Z144" s="524">
        <v>1000</v>
      </c>
      <c r="AB144" s="393" t="s">
        <v>1466</v>
      </c>
      <c r="AC144" s="422">
        <f>IF(C144="Corb-LK",SUMIFS('Est Madre LK 10-25'!C:C,'Est Madre LK 10-25'!D:D,"si"),IF(C144="Corb-CH",SUMIFS('Est Madre CH 10-25'!C:C,'Est Madre CH 10-25'!D:D,"si"),0)+IFERROR(VLOOKUP(C144,'Est Madre LK 10-25'!$A:$C,3,),IFERROR(VLOOKUP(C144,'Est Madre CH 10-25'!$A:$C,3,),0)))</f>
        <v>180</v>
      </c>
      <c r="AD144" s="358">
        <v>12000</v>
      </c>
      <c r="AE144" s="261">
        <v>12</v>
      </c>
      <c r="AF144" s="324">
        <v>68.570279999999997</v>
      </c>
      <c r="AG144" s="551" t="str">
        <f>+VLOOKUP(C144,'[1]Chef Troquel'!$A$4:$F$92,5,0)</f>
        <v>T.Loke</v>
      </c>
      <c r="AH144" s="261" t="s">
        <v>1651</v>
      </c>
      <c r="AI144" s="331">
        <v>4</v>
      </c>
      <c r="AK144" s="393">
        <v>0</v>
      </c>
      <c r="AL144" s="331">
        <v>100</v>
      </c>
    </row>
    <row r="145" spans="1:38" ht="18" customHeight="1" x14ac:dyDescent="0.3">
      <c r="A145" t="s">
        <v>1466</v>
      </c>
      <c r="B145" s="414">
        <v>2315700</v>
      </c>
      <c r="C145" s="433">
        <v>863</v>
      </c>
      <c r="D145" s="260" t="str">
        <f>+VLOOKUP(C145,'Conteo 24-02'!$A$8:$D$246,4,0)</f>
        <v>R3C</v>
      </c>
      <c r="E145" s="320" t="s">
        <v>1041</v>
      </c>
      <c r="F145" s="327" t="s">
        <v>1714</v>
      </c>
      <c r="G145" s="260"/>
      <c r="H145" s="470"/>
      <c r="J145" s="751">
        <f>+IFERROR(O145/N145,0)</f>
        <v>0</v>
      </c>
      <c r="K145" s="478">
        <f>+IFERROR(S145/V145,0)</f>
        <v>0</v>
      </c>
      <c r="M145" s="726">
        <f>IF(N145-O145-P145&lt;0,0,N145-O145-P145)</f>
        <v>192</v>
      </c>
      <c r="N145" s="377">
        <f>+IFERROR(AC145*AI145,0)</f>
        <v>192</v>
      </c>
      <c r="O145" s="343">
        <f>+(X145*Z145)+Y145</f>
        <v>0</v>
      </c>
      <c r="P145" s="613"/>
      <c r="R145" s="397">
        <f>+IFERROR(SUMIFS('Stock CD'!D:D,C77,'Stock CD'!C:C),0)</f>
        <v>0</v>
      </c>
      <c r="S145" s="400">
        <f>+R145+O145</f>
        <v>0</v>
      </c>
      <c r="U145" s="397">
        <f>+IFERROR(VLOOKUP(C145,'Stock CD'!B:I,8,0),0)</f>
        <v>0</v>
      </c>
      <c r="V145" s="400">
        <f>+U145+N145</f>
        <v>192</v>
      </c>
      <c r="X145" s="444">
        <f>+SUMIFS('Conteo 24-02'!F:F,'Conteo 24-02'!$A:$A,$C145)</f>
        <v>0</v>
      </c>
      <c r="Y145" s="304">
        <f>+SUMIFS('Conteo 24-02'!G:G,'Conteo 24-02'!$A:$A,$C145)</f>
        <v>0</v>
      </c>
      <c r="Z145" s="507">
        <v>1000</v>
      </c>
      <c r="AB145" s="424" t="s">
        <v>1466</v>
      </c>
      <c r="AC145" s="409">
        <f>IF(C145="Corb-LK",SUMIFS('Est Madre LK 10-25'!C:C,'Est Madre LK 10-25'!D:D,"si"),IF(C145="Corb-CH",SUMIFS('Est Madre CH 10-25'!C:C,'Est Madre CH 10-25'!D:D,"si"),0)+IFERROR(VLOOKUP(C145,'Est Madre LK 10-25'!$A:$C,3,),IFERROR(VLOOKUP(C145,'Est Madre CH 10-25'!$A:$C,3,),0)))</f>
        <v>48</v>
      </c>
      <c r="AD145" s="359">
        <v>12000</v>
      </c>
      <c r="AE145" s="260">
        <v>12</v>
      </c>
      <c r="AF145" s="323">
        <v>68.570279999999997</v>
      </c>
      <c r="AG145" s="552" t="str">
        <f>+VLOOKUP(C145,'[1]Chef Troquel'!$A$4:$F$92,5,0)</f>
        <v>T.Loke</v>
      </c>
      <c r="AH145" s="260" t="s">
        <v>1651</v>
      </c>
      <c r="AI145" s="333">
        <v>4</v>
      </c>
      <c r="AK145" s="424">
        <v>0</v>
      </c>
      <c r="AL145" s="333">
        <v>100</v>
      </c>
    </row>
    <row r="146" spans="1:38" ht="18" customHeight="1" thickBot="1" x14ac:dyDescent="0.35">
      <c r="A146" t="s">
        <v>1466</v>
      </c>
      <c r="B146" s="493">
        <v>2319700</v>
      </c>
      <c r="C146" s="443">
        <v>809</v>
      </c>
      <c r="D146" s="262" t="str">
        <f>+VLOOKUP(C146,'Conteo 24-02'!$A$8:$D$246,4,0)</f>
        <v>O6A</v>
      </c>
      <c r="E146" s="322" t="s">
        <v>1041</v>
      </c>
      <c r="F146" s="355" t="s">
        <v>1715</v>
      </c>
      <c r="G146" s="580"/>
      <c r="H146" s="471"/>
      <c r="J146" s="750">
        <f>+IFERROR(O146/N146,0)</f>
        <v>2.5752314814814814</v>
      </c>
      <c r="K146" s="486">
        <f>+IFERROR(S146/V146,0)</f>
        <v>2.5752314814814814</v>
      </c>
      <c r="M146" s="659">
        <f>IF(N146-O146-P146&lt;0,0,N146-O146-P146)</f>
        <v>0</v>
      </c>
      <c r="N146" s="378">
        <f>+IFERROR(AC146*AI146,0)</f>
        <v>5184</v>
      </c>
      <c r="O146" s="345">
        <f>+(X146*Z146)+Y146</f>
        <v>13350</v>
      </c>
      <c r="P146" s="614"/>
      <c r="R146" s="398">
        <f>+IFERROR(SUMIFS('Stock CD'!D:D,C95,'Stock CD'!C:C),0)</f>
        <v>0</v>
      </c>
      <c r="S146" s="401">
        <f>+R146+O146</f>
        <v>13350</v>
      </c>
      <c r="U146" s="398">
        <f>+IFERROR(VLOOKUP(C146,'Stock CD'!B:I,8,0),0)</f>
        <v>0</v>
      </c>
      <c r="V146" s="401">
        <f>+U146+N146</f>
        <v>5184</v>
      </c>
      <c r="X146" s="445">
        <f>+SUMIFS('Conteo 24-02'!F:F,'Conteo 24-02'!$A:$A,$C146)</f>
        <v>13</v>
      </c>
      <c r="Y146" s="305">
        <f>+SUMIFS('Conteo 24-02'!G:G,'Conteo 24-02'!$A:$A,$C146)</f>
        <v>350</v>
      </c>
      <c r="Z146" s="508">
        <v>1000</v>
      </c>
      <c r="AB146" s="425" t="s">
        <v>1466</v>
      </c>
      <c r="AC146" s="423">
        <f>IF(C146="Corb-LK",SUMIFS('Est Madre LK 10-25'!C:C,'Est Madre LK 10-25'!D:D,"si"),IF(C146="Corb-CH",SUMIFS('Est Madre CH 10-25'!C:C,'Est Madre CH 10-25'!D:D,"si"),0)+IFERROR(VLOOKUP(C146,'Est Madre LK 10-25'!$A:$C,3,),IFERROR(VLOOKUP(C146,'Est Madre CH 10-25'!$A:$C,3,),0)))</f>
        <v>1296</v>
      </c>
      <c r="AD146" s="361">
        <v>12000</v>
      </c>
      <c r="AE146" s="262">
        <v>6</v>
      </c>
      <c r="AF146" s="325">
        <v>115.9353</v>
      </c>
      <c r="AG146" s="554" t="str">
        <f>+VLOOKUP(C146,'[1]Chef Troquel'!$A$4:$F$92,5,0)</f>
        <v>T.Loke</v>
      </c>
      <c r="AH146" s="262" t="s">
        <v>1651</v>
      </c>
      <c r="AI146" s="335">
        <v>4</v>
      </c>
      <c r="AK146" s="425">
        <v>0</v>
      </c>
      <c r="AL146" s="335">
        <v>100</v>
      </c>
    </row>
    <row r="147" spans="1:38" ht="6" customHeight="1" thickBot="1" x14ac:dyDescent="0.35">
      <c r="B147" s="346"/>
      <c r="C147" s="294"/>
      <c r="D147" s="127"/>
      <c r="E147" s="299"/>
      <c r="F147" s="308"/>
      <c r="G147" s="578"/>
      <c r="H147" s="308"/>
      <c r="J147" s="452"/>
      <c r="K147" s="453"/>
      <c r="M147" s="611"/>
      <c r="N147" s="379"/>
      <c r="O147" s="336"/>
      <c r="P147" s="611"/>
      <c r="R147" s="454"/>
      <c r="S147" s="454"/>
      <c r="U147" s="454"/>
      <c r="V147" s="454"/>
      <c r="X147" s="307"/>
      <c r="Y147" s="307"/>
      <c r="Z147" s="384"/>
      <c r="AC147" s="382"/>
      <c r="AD147" s="384"/>
      <c r="AE147" s="127"/>
      <c r="AF147" s="348"/>
      <c r="AG147" s="550"/>
      <c r="AH147" s="127"/>
    </row>
    <row r="148" spans="1:38" ht="18" customHeight="1" x14ac:dyDescent="0.3">
      <c r="A148" t="s">
        <v>1466</v>
      </c>
      <c r="B148" s="413">
        <v>2315700</v>
      </c>
      <c r="C148" s="432">
        <v>720</v>
      </c>
      <c r="D148" s="261" t="str">
        <f>+VLOOKUP(C148,'Conteo 24-02'!$A$8:$D$246,4,0)</f>
        <v>N2B</v>
      </c>
      <c r="E148" s="321" t="s">
        <v>1041</v>
      </c>
      <c r="F148" s="354" t="s">
        <v>1179</v>
      </c>
      <c r="G148" s="579"/>
      <c r="H148" s="469"/>
      <c r="J148" s="749">
        <f>+IFERROR(O148/N148,0)</f>
        <v>23.75</v>
      </c>
      <c r="K148" s="485">
        <f t="shared" ref="K148:K221" si="55">+IFERROR(S148/V148,0)</f>
        <v>23.75</v>
      </c>
      <c r="M148" s="658">
        <f t="shared" ref="M148:M149" si="56">IF(N148-O148-P148&lt;0,0,N148-O148-P148)</f>
        <v>0</v>
      </c>
      <c r="N148" s="376">
        <f t="shared" ref="N148:N221" si="57">+IFERROR(AC148*AI148,0)</f>
        <v>96</v>
      </c>
      <c r="O148" s="344">
        <f t="shared" ref="O148:O221" si="58">+(X148*Z148)+Y148</f>
        <v>2280</v>
      </c>
      <c r="P148" s="612"/>
      <c r="R148" s="396">
        <f>+IFERROR(SUMIFS('Stock CD'!D:D,C71,'Stock CD'!C:C),0)</f>
        <v>0</v>
      </c>
      <c r="S148" s="399">
        <f>+R148+O148</f>
        <v>2280</v>
      </c>
      <c r="U148" s="396">
        <f>+IFERROR(VLOOKUP(C148,'Stock CD'!B:I,8,0),0)</f>
        <v>0</v>
      </c>
      <c r="V148" s="399">
        <f>+U148+N148</f>
        <v>96</v>
      </c>
      <c r="X148" s="626">
        <f>+SUMIFS('Conteo 24-02'!F:F,'Conteo 24-02'!$A:$A,$C148)</f>
        <v>2</v>
      </c>
      <c r="Y148" s="303">
        <f>+SUMIFS('Conteo 24-02'!G:G,'Conteo 24-02'!$A:$A,$C148)</f>
        <v>280</v>
      </c>
      <c r="Z148" s="524">
        <v>1000</v>
      </c>
      <c r="AB148" s="393" t="s">
        <v>1466</v>
      </c>
      <c r="AC148" s="422">
        <f>IF(C148="Corb-LK",SUMIFS('Est Madre LK 10-25'!C:C,'Est Madre LK 10-25'!D:D,"si"),IF(C148="Corb-CH",SUMIFS('Est Madre CH 10-25'!C:C,'Est Madre CH 10-25'!D:D,"si"),0)+IFERROR(VLOOKUP(C148,'Est Madre LK 10-25'!$A:$C,3,),IFERROR(VLOOKUP(C148,'Est Madre CH 10-25'!$A:$C,3,),0)))</f>
        <v>24</v>
      </c>
      <c r="AD148" s="358">
        <v>12000</v>
      </c>
      <c r="AE148" s="261">
        <v>12</v>
      </c>
      <c r="AF148" s="324">
        <v>68.570279999999997</v>
      </c>
      <c r="AG148" s="551" t="str">
        <f>+VLOOKUP(C148,'[1]Chef Troquel'!$A$4:$F$92,5,0)</f>
        <v>T.Loke</v>
      </c>
      <c r="AH148" s="261" t="s">
        <v>1651</v>
      </c>
      <c r="AI148" s="331">
        <v>4</v>
      </c>
      <c r="AK148" s="393">
        <v>0</v>
      </c>
      <c r="AL148" s="331">
        <v>100</v>
      </c>
    </row>
    <row r="149" spans="1:38" ht="18" customHeight="1" thickBot="1" x14ac:dyDescent="0.35">
      <c r="A149" t="s">
        <v>1466</v>
      </c>
      <c r="B149" s="493">
        <v>2315700</v>
      </c>
      <c r="C149" s="443">
        <v>722</v>
      </c>
      <c r="D149" s="262" t="str">
        <f>+VLOOKUP(C149,'Conteo 24-02'!$A$8:$D$246,4,0)</f>
        <v>N2C</v>
      </c>
      <c r="E149" s="322" t="s">
        <v>1041</v>
      </c>
      <c r="F149" s="355" t="s">
        <v>1180</v>
      </c>
      <c r="G149" s="580"/>
      <c r="H149" s="471"/>
      <c r="J149" s="750">
        <f>+IFERROR(O149/N149,0)</f>
        <v>2.8125</v>
      </c>
      <c r="K149" s="486">
        <f t="shared" si="55"/>
        <v>2.8125</v>
      </c>
      <c r="M149" s="659">
        <f t="shared" si="56"/>
        <v>0</v>
      </c>
      <c r="N149" s="378">
        <f t="shared" si="57"/>
        <v>96</v>
      </c>
      <c r="O149" s="345">
        <f t="shared" si="58"/>
        <v>270</v>
      </c>
      <c r="P149" s="614"/>
      <c r="R149" s="398">
        <f>+IFERROR(SUMIFS('Stock CD'!D:D,C72,'Stock CD'!C:C),0)</f>
        <v>0</v>
      </c>
      <c r="S149" s="401">
        <f>+R149+O149</f>
        <v>270</v>
      </c>
      <c r="U149" s="398">
        <f>+IFERROR(VLOOKUP(C149,'Stock CD'!B:I,8,0),0)</f>
        <v>0</v>
      </c>
      <c r="V149" s="401">
        <f>+U149+N149</f>
        <v>96</v>
      </c>
      <c r="X149" s="445">
        <f>+SUMIFS('Conteo 24-02'!F:F,'Conteo 24-02'!$A:$A,$C149)</f>
        <v>0</v>
      </c>
      <c r="Y149" s="305">
        <f>+SUMIFS('Conteo 24-02'!G:G,'Conteo 24-02'!$A:$A,$C149)</f>
        <v>270</v>
      </c>
      <c r="Z149" s="508">
        <v>1000</v>
      </c>
      <c r="AB149" s="425" t="s">
        <v>1466</v>
      </c>
      <c r="AC149" s="423">
        <f>IF(C149="Corb-LK",SUMIFS('Est Madre LK 10-25'!C:C,'Est Madre LK 10-25'!D:D,"si"),IF(C149="Corb-CH",SUMIFS('Est Madre CH 10-25'!C:C,'Est Madre CH 10-25'!D:D,"si"),0)+IFERROR(VLOOKUP(C149,'Est Madre LK 10-25'!$A:$C,3,),IFERROR(VLOOKUP(C149,'Est Madre CH 10-25'!$A:$C,3,),0)))</f>
        <v>24</v>
      </c>
      <c r="AD149" s="361">
        <v>12000</v>
      </c>
      <c r="AE149" s="262">
        <v>12</v>
      </c>
      <c r="AF149" s="325">
        <v>68.570279999999997</v>
      </c>
      <c r="AG149" s="554" t="str">
        <f>+VLOOKUP(C149,'[1]Chef Troquel'!$A$4:$F$92,5,0)</f>
        <v>T.Loke</v>
      </c>
      <c r="AH149" s="262" t="s">
        <v>1651</v>
      </c>
      <c r="AI149" s="335">
        <v>4</v>
      </c>
      <c r="AK149" s="425">
        <v>0</v>
      </c>
      <c r="AL149" s="335">
        <v>100</v>
      </c>
    </row>
    <row r="150" spans="1:38" ht="5.65" customHeight="1" thickBot="1" x14ac:dyDescent="0.35">
      <c r="B150" s="346"/>
      <c r="C150" s="294"/>
      <c r="D150" s="127"/>
      <c r="E150" s="299"/>
      <c r="F150" s="308"/>
      <c r="G150" s="578"/>
      <c r="H150" s="308"/>
      <c r="J150" s="452"/>
      <c r="K150" s="453"/>
      <c r="M150" s="611"/>
      <c r="N150" s="379"/>
      <c r="O150" s="336"/>
      <c r="P150" s="611"/>
      <c r="R150" s="454"/>
      <c r="S150" s="454"/>
      <c r="U150" s="454"/>
      <c r="V150" s="454"/>
      <c r="X150" s="307"/>
      <c r="Y150" s="307"/>
      <c r="Z150" s="384"/>
      <c r="AC150" s="382"/>
      <c r="AD150" s="384"/>
      <c r="AE150" s="127"/>
      <c r="AF150" s="348"/>
      <c r="AG150" s="550"/>
      <c r="AH150" s="127"/>
    </row>
    <row r="151" spans="1:38" ht="18" customHeight="1" x14ac:dyDescent="0.3">
      <c r="A151" t="s">
        <v>1466</v>
      </c>
      <c r="B151" s="413">
        <v>2315700</v>
      </c>
      <c r="C151" s="432">
        <v>43</v>
      </c>
      <c r="D151" s="261" t="str">
        <f>+VLOOKUP(C151,'Conteo 24-02'!$A$8:$D$246,4,0)</f>
        <v>Q4B</v>
      </c>
      <c r="E151" s="321" t="s">
        <v>1041</v>
      </c>
      <c r="F151" s="354" t="s">
        <v>1336</v>
      </c>
      <c r="G151" s="261"/>
      <c r="H151" s="469"/>
      <c r="J151" s="749">
        <f>+IFERROR(O151/N151,0)</f>
        <v>0</v>
      </c>
      <c r="K151" s="485">
        <f>+IFERROR(S151/V151,0)</f>
        <v>0</v>
      </c>
      <c r="M151" s="658">
        <f t="shared" ref="M151:M153" si="59">IF(N151-O151-P151&lt;0,0,N151-O151-P151)</f>
        <v>960</v>
      </c>
      <c r="N151" s="376">
        <f>+IFERROR(AC151*AI151,0)</f>
        <v>960</v>
      </c>
      <c r="O151" s="344">
        <f>+(X151*Z151)+Y151</f>
        <v>0</v>
      </c>
      <c r="P151" s="612"/>
      <c r="R151" s="396">
        <f>+IFERROR(SUMIFS('Stock CD'!D:D,C83,'Stock CD'!C:C),0)</f>
        <v>0</v>
      </c>
      <c r="S151" s="399">
        <f>+R151+O151</f>
        <v>0</v>
      </c>
      <c r="U151" s="396">
        <f>+IFERROR(VLOOKUP(C151,'Stock CD'!B:I,8,0),0)</f>
        <v>0</v>
      </c>
      <c r="V151" s="399">
        <f>+U151+N151</f>
        <v>960</v>
      </c>
      <c r="X151" s="626">
        <f>+SUMIFS('Conteo 24-02'!F:F,'Conteo 24-02'!$A:$A,$C151)</f>
        <v>0</v>
      </c>
      <c r="Y151" s="303">
        <f>+SUMIFS('Conteo 24-02'!G:G,'Conteo 24-02'!$A:$A,$C151)</f>
        <v>0</v>
      </c>
      <c r="Z151" s="524">
        <v>1000</v>
      </c>
      <c r="AB151" s="393" t="s">
        <v>1466</v>
      </c>
      <c r="AC151" s="422">
        <f>IF(C151="Corb-LK",SUMIFS('Est Madre LK 10-25'!C:C,'Est Madre LK 10-25'!D:D,"si"),IF(C151="Corb-CH",SUMIFS('Est Madre CH 10-25'!C:C,'Est Madre CH 10-25'!D:D,"si"),0)+IFERROR(VLOOKUP(C151,'Est Madre LK 10-25'!$A:$C,3,),IFERROR(VLOOKUP(C151,'Est Madre CH 10-25'!$A:$C,3,),0)))</f>
        <v>240</v>
      </c>
      <c r="AD151" s="358">
        <v>12000</v>
      </c>
      <c r="AE151" s="261">
        <v>12</v>
      </c>
      <c r="AF151" s="324">
        <v>68.570279999999997</v>
      </c>
      <c r="AG151" s="551" t="str">
        <f>+VLOOKUP("043",'[1]Chef Troquel'!$A$4:$F$92,5,0)</f>
        <v>T.Loke</v>
      </c>
      <c r="AH151" s="261" t="s">
        <v>1651</v>
      </c>
      <c r="AI151" s="331">
        <v>4</v>
      </c>
      <c r="AK151" s="393">
        <v>0</v>
      </c>
      <c r="AL151" s="331">
        <v>100</v>
      </c>
    </row>
    <row r="152" spans="1:38" ht="18" customHeight="1" x14ac:dyDescent="0.3">
      <c r="A152" t="s">
        <v>1466</v>
      </c>
      <c r="B152" s="414">
        <v>2319700</v>
      </c>
      <c r="C152" s="433">
        <v>702</v>
      </c>
      <c r="D152" s="260" t="str">
        <f>+VLOOKUP(C152,'Conteo 24-02'!$A$8:$D$246,4,0)</f>
        <v>N6A</v>
      </c>
      <c r="E152" s="320" t="s">
        <v>1041</v>
      </c>
      <c r="F152" s="327" t="s">
        <v>1366</v>
      </c>
      <c r="G152" s="499"/>
      <c r="H152" s="470"/>
      <c r="J152" s="751">
        <f>+IFERROR(O152/N152,0)</f>
        <v>0.79861111111111116</v>
      </c>
      <c r="K152" s="478">
        <f>+IFERROR(S152/V152,0)</f>
        <v>0.79861111111111116</v>
      </c>
      <c r="M152" s="726">
        <f t="shared" si="59"/>
        <v>406</v>
      </c>
      <c r="N152" s="377">
        <f>+IFERROR(AC152*AI152,0)</f>
        <v>2016</v>
      </c>
      <c r="O152" s="343">
        <f>+(X152*Z152)+Y152</f>
        <v>1610</v>
      </c>
      <c r="P152" s="613"/>
      <c r="R152" s="397">
        <f>+IFERROR(SUMIFS('Stock CD'!D:D,C234,'Stock CD'!C:C),0)</f>
        <v>0</v>
      </c>
      <c r="S152" s="400">
        <f>+R152+O152</f>
        <v>1610</v>
      </c>
      <c r="U152" s="397">
        <f>+IFERROR(VLOOKUP(C152,'Stock CD'!B:I,8,0),0)</f>
        <v>0</v>
      </c>
      <c r="V152" s="400">
        <f>+U152+N152</f>
        <v>2016</v>
      </c>
      <c r="X152" s="444">
        <f>+SUMIFS('Conteo 24-02'!F:F,'Conteo 24-02'!$A:$A,$C152)</f>
        <v>1</v>
      </c>
      <c r="Y152" s="304">
        <f>+SUMIFS('Conteo 24-02'!G:G,'Conteo 24-02'!$A:$A,$C152)</f>
        <v>610</v>
      </c>
      <c r="Z152" s="507">
        <v>1000</v>
      </c>
      <c r="AB152" s="424" t="s">
        <v>1466</v>
      </c>
      <c r="AC152" s="409">
        <f>IF(C152="Corb-LK",SUMIFS('Est Madre LK 10-25'!C:C,'Est Madre LK 10-25'!D:D,"si"),IF(C152="Corb-CH",SUMIFS('Est Madre CH 10-25'!C:C,'Est Madre CH 10-25'!D:D,"si"),0)+IFERROR(VLOOKUP(C152,'Est Madre LK 10-25'!$A:$C,3,),IFERROR(VLOOKUP(C152,'Est Madre CH 10-25'!$A:$C,3,),0)))</f>
        <v>504</v>
      </c>
      <c r="AD152" s="359">
        <v>12000</v>
      </c>
      <c r="AE152" s="260">
        <v>6</v>
      </c>
      <c r="AF152" s="323">
        <v>115.9353</v>
      </c>
      <c r="AG152" s="552" t="s">
        <v>1732</v>
      </c>
      <c r="AH152" s="260" t="s">
        <v>1651</v>
      </c>
      <c r="AI152" s="333">
        <v>4</v>
      </c>
      <c r="AK152" s="424">
        <v>0</v>
      </c>
      <c r="AL152" s="333">
        <v>100</v>
      </c>
    </row>
    <row r="153" spans="1:38" ht="18" customHeight="1" thickBot="1" x14ac:dyDescent="0.35">
      <c r="A153" t="s">
        <v>1466</v>
      </c>
      <c r="B153" s="493">
        <v>2319700</v>
      </c>
      <c r="C153" s="443">
        <v>701</v>
      </c>
      <c r="D153" s="262" t="str">
        <f>+VLOOKUP(C153,'Conteo 24-02'!$A$8:$D$246,4,0)</f>
        <v>N7A</v>
      </c>
      <c r="E153" s="322" t="s">
        <v>1041</v>
      </c>
      <c r="F153" s="355" t="s">
        <v>1189</v>
      </c>
      <c r="G153" s="580"/>
      <c r="H153" s="471"/>
      <c r="J153" s="750">
        <f>+IFERROR(O153/N153,0)</f>
        <v>4.0453074433656955</v>
      </c>
      <c r="K153" s="486">
        <f>+IFERROR(S153/V153,0)</f>
        <v>4.0453074433656955</v>
      </c>
      <c r="M153" s="659">
        <f t="shared" si="59"/>
        <v>0</v>
      </c>
      <c r="N153" s="378">
        <f>+IFERROR(AC153*AI153,0)</f>
        <v>2472</v>
      </c>
      <c r="O153" s="345">
        <f>+(X153*Z153)+Y153</f>
        <v>10000</v>
      </c>
      <c r="P153" s="614"/>
      <c r="R153" s="398">
        <f>+IFERROR(SUMIFS('Stock CD'!D:D,C124,'Stock CD'!C:C),0)</f>
        <v>0</v>
      </c>
      <c r="S153" s="401">
        <f>+R153+O153</f>
        <v>10000</v>
      </c>
      <c r="U153" s="398">
        <f>+IFERROR(VLOOKUP(C153,'Stock CD'!B:I,8,0),0)</f>
        <v>0</v>
      </c>
      <c r="V153" s="401">
        <f>+U153+N153</f>
        <v>2472</v>
      </c>
      <c r="X153" s="445">
        <f>+SUMIFS('Conteo 24-02'!F:F,'Conteo 24-02'!$A:$A,$C153)</f>
        <v>10</v>
      </c>
      <c r="Y153" s="305">
        <f>+SUMIFS('Conteo 24-02'!G:G,'Conteo 24-02'!$A:$A,$C153)</f>
        <v>0</v>
      </c>
      <c r="Z153" s="508">
        <v>1000</v>
      </c>
      <c r="AB153" s="424" t="s">
        <v>1466</v>
      </c>
      <c r="AC153" s="409">
        <f>IF(C153="Corb-LK",SUMIFS('Est Madre LK 10-25'!C:C,'Est Madre LK 10-25'!D:D,"si"),IF(C153="Corb-CH",SUMIFS('Est Madre CH 10-25'!C:C,'Est Madre CH 10-25'!D:D,"si"),0)+IFERROR(VLOOKUP(C153,'Est Madre LK 10-25'!$A:$C,3,),IFERROR(VLOOKUP(C153,'Est Madre CH 10-25'!$A:$C,3,),0)))</f>
        <v>618</v>
      </c>
      <c r="AD153" s="359">
        <v>12000</v>
      </c>
      <c r="AE153" s="260">
        <v>6</v>
      </c>
      <c r="AF153" s="323">
        <v>115.9353</v>
      </c>
      <c r="AG153" s="552" t="str">
        <f>+VLOOKUP(C153,'[1]Chef Troquel'!$A$4:$F$92,5,0)</f>
        <v>T.Loke</v>
      </c>
      <c r="AH153" s="260" t="s">
        <v>1651</v>
      </c>
      <c r="AI153" s="333">
        <v>4</v>
      </c>
      <c r="AK153" s="425">
        <v>0</v>
      </c>
      <c r="AL153" s="335">
        <v>100</v>
      </c>
    </row>
    <row r="154" spans="1:38" ht="5.65" customHeight="1" thickBot="1" x14ac:dyDescent="0.35">
      <c r="B154" s="346"/>
      <c r="C154" s="294"/>
      <c r="D154" s="127"/>
      <c r="E154" s="299"/>
      <c r="F154" s="308"/>
      <c r="G154" s="578"/>
      <c r="H154" s="308"/>
      <c r="J154" s="452"/>
      <c r="K154" s="453"/>
      <c r="M154" s="611"/>
      <c r="N154" s="379"/>
      <c r="O154" s="336"/>
      <c r="P154" s="611"/>
      <c r="R154" s="454"/>
      <c r="S154" s="454"/>
      <c r="U154" s="454"/>
      <c r="V154" s="454"/>
      <c r="X154" s="307"/>
      <c r="Y154" s="307"/>
      <c r="Z154" s="384"/>
      <c r="AB154" s="425"/>
      <c r="AC154" s="423"/>
      <c r="AD154" s="361"/>
      <c r="AE154" s="262"/>
      <c r="AF154" s="325"/>
      <c r="AG154" s="554"/>
      <c r="AH154" s="262"/>
      <c r="AI154" s="335"/>
    </row>
    <row r="155" spans="1:38" ht="18" customHeight="1" x14ac:dyDescent="0.3">
      <c r="A155" t="s">
        <v>1466</v>
      </c>
      <c r="B155" s="413">
        <v>2320700</v>
      </c>
      <c r="C155" s="432">
        <v>54</v>
      </c>
      <c r="D155" s="261" t="str">
        <f>+VLOOKUP(C155,'Conteo 24-02'!$A$8:$D$246,4,0)</f>
        <v>N3A</v>
      </c>
      <c r="E155" s="321" t="s">
        <v>1041</v>
      </c>
      <c r="F155" s="354" t="s">
        <v>1377</v>
      </c>
      <c r="G155" s="261"/>
      <c r="H155" s="469"/>
      <c r="J155" s="749">
        <f>+IFERROR(O155/N155,0)</f>
        <v>16.145833333333332</v>
      </c>
      <c r="K155" s="485">
        <f>+IFERROR(S155/V155,0)</f>
        <v>16.145833333333332</v>
      </c>
      <c r="M155" s="658">
        <f t="shared" ref="M155:M158" si="60">IF(N155-O155-P155&lt;0,0,N155-O155-P155)</f>
        <v>0</v>
      </c>
      <c r="N155" s="376">
        <f>+IFERROR(AC155*AI155,0)</f>
        <v>96</v>
      </c>
      <c r="O155" s="344">
        <f>+(X155*Z155)+Y155</f>
        <v>1550</v>
      </c>
      <c r="P155" s="612"/>
      <c r="R155" s="396">
        <f>+IFERROR(SUMIFS('Stock CD'!D:D,C96,'Stock CD'!C:C),0)</f>
        <v>0</v>
      </c>
      <c r="S155" s="399">
        <f>+R155+O155</f>
        <v>1550</v>
      </c>
      <c r="U155" s="396">
        <f>+IFERROR(VLOOKUP(C155,'Stock CD'!B:I,8,0),0)</f>
        <v>0</v>
      </c>
      <c r="V155" s="399">
        <f>+U155+N155</f>
        <v>96</v>
      </c>
      <c r="X155" s="626">
        <f>+SUMIFS('Conteo 24-02'!F:F,'Conteo 24-02'!$A:$A,$C155)</f>
        <v>1</v>
      </c>
      <c r="Y155" s="303">
        <f>+SUMIFS('Conteo 24-02'!G:G,'Conteo 24-02'!$A:$A,$C155)</f>
        <v>550</v>
      </c>
      <c r="Z155" s="524">
        <v>1000</v>
      </c>
      <c r="AB155" s="393" t="s">
        <v>1466</v>
      </c>
      <c r="AC155" s="422">
        <f>IF(C155="Corb-LK",SUMIFS('Est Madre LK 10-25'!C:C,'Est Madre LK 10-25'!D:D,"si"),IF(C155="Corb-CH",SUMIFS('Est Madre CH 10-25'!C:C,'Est Madre CH 10-25'!D:D,"si"),0)+IFERROR(VLOOKUP(C155,'Est Madre LK 10-25'!$A:$C,3,),IFERROR(VLOOKUP(C155,'Est Madre CH 10-25'!$A:$C,3,),0)))</f>
        <v>24</v>
      </c>
      <c r="AD155" s="358">
        <v>12000</v>
      </c>
      <c r="AE155" s="261">
        <v>8</v>
      </c>
      <c r="AF155" s="324">
        <v>86.485752000000005</v>
      </c>
      <c r="AG155" s="551" t="str">
        <f>+VLOOKUP("053",'[1]Chef Troquel'!$A$4:$F$92,5,0)</f>
        <v>T.Loke</v>
      </c>
      <c r="AH155" s="261" t="s">
        <v>1651</v>
      </c>
      <c r="AI155" s="331">
        <v>4</v>
      </c>
      <c r="AK155" s="393">
        <v>0</v>
      </c>
      <c r="AL155" s="331">
        <v>100</v>
      </c>
    </row>
    <row r="156" spans="1:38" ht="18" customHeight="1" x14ac:dyDescent="0.3">
      <c r="A156" t="s">
        <v>1466</v>
      </c>
      <c r="B156" s="414">
        <v>2320700</v>
      </c>
      <c r="C156" s="433">
        <v>53</v>
      </c>
      <c r="D156" s="260" t="str">
        <f>+VLOOKUP(C156,'Conteo 24-02'!$A$8:$D$246,4,0)</f>
        <v>O3A</v>
      </c>
      <c r="E156" s="320" t="s">
        <v>1041</v>
      </c>
      <c r="F156" s="327" t="s">
        <v>1379</v>
      </c>
      <c r="G156" s="499"/>
      <c r="H156" s="470"/>
      <c r="J156" s="751">
        <f>+IFERROR(O156/N156,0)</f>
        <v>8.6979166666666661</v>
      </c>
      <c r="K156" s="478">
        <f>+IFERROR(S156/V156,0)</f>
        <v>8.6979166666666661</v>
      </c>
      <c r="M156" s="726">
        <f t="shared" si="60"/>
        <v>0</v>
      </c>
      <c r="N156" s="377">
        <f>+IFERROR(AC156*AI156,0)</f>
        <v>192</v>
      </c>
      <c r="O156" s="343">
        <f>+(X156*Z156)+Y156</f>
        <v>1670</v>
      </c>
      <c r="P156" s="613"/>
      <c r="R156" s="397">
        <f>+IFERROR(SUMIFS('Stock CD'!D:D,C37,'Stock CD'!C:C),0)</f>
        <v>0</v>
      </c>
      <c r="S156" s="400">
        <f>+R156+O156</f>
        <v>1670</v>
      </c>
      <c r="U156" s="397">
        <f>+IFERROR(VLOOKUP(C156,'Stock CD'!B:I,8,0),0)</f>
        <v>0</v>
      </c>
      <c r="V156" s="400">
        <f>+U156+N156</f>
        <v>192</v>
      </c>
      <c r="X156" s="444">
        <f>+SUMIFS('Conteo 24-02'!F:F,'Conteo 24-02'!$A:$A,$C156)</f>
        <v>0</v>
      </c>
      <c r="Y156" s="304">
        <f>+SUMIFS('Conteo 24-02'!G:G,'Conteo 24-02'!$A:$A,$C156)</f>
        <v>1670</v>
      </c>
      <c r="Z156" s="507">
        <v>1000</v>
      </c>
      <c r="AB156" s="424" t="s">
        <v>1466</v>
      </c>
      <c r="AC156" s="409">
        <f>IF(C156="Corb-LK",SUMIFS('Est Madre LK 10-25'!C:C,'Est Madre LK 10-25'!D:D,"si"),IF(C156="Corb-CH",SUMIFS('Est Madre CH 10-25'!C:C,'Est Madre CH 10-25'!D:D,"si"),0)+IFERROR(VLOOKUP(C156,'Est Madre LK 10-25'!$A:$C,3,),IFERROR(VLOOKUP(C156,'Est Madre CH 10-25'!$A:$C,3,),0)))</f>
        <v>48</v>
      </c>
      <c r="AD156" s="359">
        <v>12000</v>
      </c>
      <c r="AE156" s="260">
        <v>8</v>
      </c>
      <c r="AF156" s="323">
        <v>86.485752000000005</v>
      </c>
      <c r="AG156" s="552" t="str">
        <f>+VLOOKUP("054",'[1]Chef Troquel'!$A$4:$F$92,5,0)</f>
        <v>T.Loke</v>
      </c>
      <c r="AH156" s="260" t="s">
        <v>1651</v>
      </c>
      <c r="AI156" s="333">
        <v>4</v>
      </c>
      <c r="AK156" s="424">
        <v>0</v>
      </c>
      <c r="AL156" s="333">
        <v>100</v>
      </c>
    </row>
    <row r="157" spans="1:38" ht="18" customHeight="1" x14ac:dyDescent="0.3">
      <c r="A157" t="s">
        <v>1466</v>
      </c>
      <c r="B157" s="414">
        <v>2320700</v>
      </c>
      <c r="C157" s="433">
        <v>800</v>
      </c>
      <c r="D157" s="260" t="str">
        <f>+VLOOKUP(C157,'Conteo 24-02'!$A$8:$D$246,4,0)</f>
        <v>O5A</v>
      </c>
      <c r="E157" s="320" t="s">
        <v>1041</v>
      </c>
      <c r="F157" s="327" t="s">
        <v>1371</v>
      </c>
      <c r="G157" s="260"/>
      <c r="H157" s="470"/>
      <c r="J157" s="751">
        <f>+IFERROR(O157/N157,0)</f>
        <v>0</v>
      </c>
      <c r="K157" s="478">
        <f>+IFERROR(S157/V157,0)</f>
        <v>0</v>
      </c>
      <c r="M157" s="726">
        <f t="shared" si="60"/>
        <v>288</v>
      </c>
      <c r="N157" s="377">
        <f>+IFERROR(AC157*AI157,0)</f>
        <v>288</v>
      </c>
      <c r="O157" s="343">
        <f>+(X157*Z157)+Y157</f>
        <v>0</v>
      </c>
      <c r="P157" s="613"/>
      <c r="R157" s="397">
        <f>+IFERROR(SUMIFS('Stock CD'!D:D,C39,'Stock CD'!C:C),0)</f>
        <v>0</v>
      </c>
      <c r="S157" s="400">
        <f>+R157+O157</f>
        <v>0</v>
      </c>
      <c r="U157" s="397">
        <f>+IFERROR(VLOOKUP(C157,'Stock CD'!B:I,8,0),0)</f>
        <v>0</v>
      </c>
      <c r="V157" s="400">
        <f>+U157+N157</f>
        <v>288</v>
      </c>
      <c r="X157" s="444">
        <f>+SUMIFS('Conteo 24-02'!F:F,'Conteo 24-02'!$A:$A,$C157)</f>
        <v>0</v>
      </c>
      <c r="Y157" s="304">
        <f>+SUMIFS('Conteo 24-02'!G:G,'Conteo 24-02'!$A:$A,$C157)</f>
        <v>0</v>
      </c>
      <c r="Z157" s="507">
        <v>1000</v>
      </c>
      <c r="AB157" s="424" t="s">
        <v>1466</v>
      </c>
      <c r="AC157" s="409">
        <f>IF(C157="Corb-LK",SUMIFS('Est Madre LK 10-25'!C:C,'Est Madre LK 10-25'!D:D,"si"),IF(C157="Corb-CH",SUMIFS('Est Madre CH 10-25'!C:C,'Est Madre CH 10-25'!D:D,"si"),0)+IFERROR(VLOOKUP(C157,'Est Madre LK 10-25'!$A:$C,3,),IFERROR(VLOOKUP(C157,'Est Madre CH 10-25'!$A:$C,3,),0)))</f>
        <v>72</v>
      </c>
      <c r="AD157" s="359">
        <v>12000</v>
      </c>
      <c r="AE157" s="260">
        <v>8</v>
      </c>
      <c r="AF157" s="323">
        <v>86.485752000000005</v>
      </c>
      <c r="AG157" s="552" t="str">
        <f>+VLOOKUP(C157,'[1]Chef Troquel'!$A$4:$F$92,5,0)</f>
        <v>T.Loke</v>
      </c>
      <c r="AH157" s="260" t="s">
        <v>1651</v>
      </c>
      <c r="AI157" s="333">
        <v>4</v>
      </c>
      <c r="AK157" s="424">
        <v>0</v>
      </c>
      <c r="AL157" s="333">
        <v>100</v>
      </c>
    </row>
    <row r="158" spans="1:38" ht="18" customHeight="1" thickBot="1" x14ac:dyDescent="0.35">
      <c r="A158" t="s">
        <v>1466</v>
      </c>
      <c r="B158" s="493">
        <v>2320700</v>
      </c>
      <c r="C158" s="443">
        <v>55</v>
      </c>
      <c r="D158" s="262" t="str">
        <f>+VLOOKUP(C158,'Conteo 24-02'!$A$8:$D$246,4,0)</f>
        <v>Q3A</v>
      </c>
      <c r="E158" s="322" t="s">
        <v>1041</v>
      </c>
      <c r="F158" s="355" t="s">
        <v>1380</v>
      </c>
      <c r="G158" s="262"/>
      <c r="H158" s="471"/>
      <c r="J158" s="750">
        <f>+IFERROR(O158/N158,0)</f>
        <v>5.208333333333333</v>
      </c>
      <c r="K158" s="486">
        <f>+IFERROR(S158/V158,0)</f>
        <v>5.208333333333333</v>
      </c>
      <c r="M158" s="659">
        <f t="shared" si="60"/>
        <v>0</v>
      </c>
      <c r="N158" s="378">
        <f>+IFERROR(AC158*AI158,0)</f>
        <v>384</v>
      </c>
      <c r="O158" s="345">
        <f>+(X158*Z158)+Y158</f>
        <v>2000</v>
      </c>
      <c r="P158" s="614"/>
      <c r="R158" s="398">
        <f>+IFERROR(SUMIFS('Stock CD'!D:D,C41,'Stock CD'!C:C),0)</f>
        <v>0</v>
      </c>
      <c r="S158" s="401">
        <f>+R158+O158</f>
        <v>2000</v>
      </c>
      <c r="U158" s="398">
        <f>+IFERROR(VLOOKUP(C158,'Stock CD'!B:I,8,0),0)</f>
        <v>0</v>
      </c>
      <c r="V158" s="401">
        <f>+U158+N158</f>
        <v>384</v>
      </c>
      <c r="X158" s="445">
        <f>+SUMIFS('Conteo 24-02'!F:F,'Conteo 24-02'!$A:$A,$C158)</f>
        <v>2</v>
      </c>
      <c r="Y158" s="305">
        <f>+SUMIFS('Conteo 24-02'!G:G,'Conteo 24-02'!$A:$A,$C158)</f>
        <v>0</v>
      </c>
      <c r="Z158" s="508">
        <v>1000</v>
      </c>
      <c r="AB158" s="425" t="s">
        <v>1466</v>
      </c>
      <c r="AC158" s="423">
        <f>IF(C158="Corb-LK",SUMIFS('Est Madre LK 10-25'!C:C,'Est Madre LK 10-25'!D:D,"si"),IF(C158="Corb-CH",SUMIFS('Est Madre CH 10-25'!C:C,'Est Madre CH 10-25'!D:D,"si"),0)+IFERROR(VLOOKUP(C158,'Est Madre LK 10-25'!$A:$C,3,),IFERROR(VLOOKUP(C158,'Est Madre CH 10-25'!$A:$C,3,),0)))</f>
        <v>96</v>
      </c>
      <c r="AD158" s="361">
        <v>12000</v>
      </c>
      <c r="AE158" s="262">
        <v>8</v>
      </c>
      <c r="AF158" s="325">
        <v>86.485752000000005</v>
      </c>
      <c r="AG158" s="554" t="str">
        <f>+VLOOKUP("055",'[1]Chef Troquel'!$A$4:$F$92,5,0)</f>
        <v>T.Loke</v>
      </c>
      <c r="AH158" s="262" t="s">
        <v>1651</v>
      </c>
      <c r="AI158" s="335">
        <v>4</v>
      </c>
      <c r="AK158" s="425">
        <v>0</v>
      </c>
      <c r="AL158" s="335">
        <v>100</v>
      </c>
    </row>
    <row r="159" spans="1:38" ht="6" customHeight="1" thickBot="1" x14ac:dyDescent="0.35">
      <c r="B159" s="346"/>
      <c r="C159" s="294"/>
      <c r="D159" s="127"/>
      <c r="E159" s="299"/>
      <c r="F159" s="308"/>
      <c r="G159" s="127"/>
      <c r="H159" s="308"/>
      <c r="J159" s="452"/>
      <c r="K159" s="453"/>
      <c r="M159" s="611"/>
      <c r="N159" s="379"/>
      <c r="O159" s="336"/>
      <c r="P159" s="611"/>
      <c r="R159" s="454"/>
      <c r="S159" s="454"/>
      <c r="U159" s="454"/>
      <c r="V159" s="454"/>
      <c r="X159" s="307"/>
      <c r="Y159" s="307"/>
      <c r="Z159" s="384"/>
      <c r="AC159" s="382"/>
      <c r="AD159" s="384"/>
      <c r="AE159" s="127"/>
      <c r="AF159" s="348"/>
      <c r="AG159" s="550"/>
      <c r="AH159" s="127"/>
    </row>
    <row r="160" spans="1:38" ht="18" customHeight="1" x14ac:dyDescent="0.3">
      <c r="A160" t="s">
        <v>1466</v>
      </c>
      <c r="B160" s="413">
        <v>2315700</v>
      </c>
      <c r="C160" s="432">
        <v>709</v>
      </c>
      <c r="D160" s="261" t="str">
        <f>+VLOOKUP(C160,'Conteo 24-02'!$A$8:$D$246,4,0)</f>
        <v>P3A</v>
      </c>
      <c r="E160" s="321" t="s">
        <v>1041</v>
      </c>
      <c r="F160" s="354" t="s">
        <v>786</v>
      </c>
      <c r="G160" s="261"/>
      <c r="H160" s="469"/>
      <c r="J160" s="749">
        <f t="shared" ref="J160:J169" si="61">+IFERROR(O160/N160,0)</f>
        <v>0</v>
      </c>
      <c r="K160" s="485">
        <f t="shared" ref="K160:K167" si="62">+IFERROR(S160/V160,0)</f>
        <v>0</v>
      </c>
      <c r="M160" s="658">
        <f t="shared" ref="M160:M169" si="63">IF(N160-O160-P160&lt;0,0,N160-O160-P160)</f>
        <v>96</v>
      </c>
      <c r="N160" s="376">
        <f t="shared" ref="N160:N169" si="64">+IFERROR(AC160*AI160,0)</f>
        <v>96</v>
      </c>
      <c r="O160" s="344">
        <f t="shared" ref="O160:O167" si="65">+(X160*Z160)+Y160</f>
        <v>0</v>
      </c>
      <c r="P160" s="612"/>
      <c r="R160" s="396">
        <f>+IFERROR(SUMIFS('Stock CD'!D:D,C22,'Stock CD'!C:C),0)</f>
        <v>0</v>
      </c>
      <c r="S160" s="399">
        <f t="shared" ref="S160:S169" si="66">+R160+O160</f>
        <v>0</v>
      </c>
      <c r="U160" s="396">
        <f>+IFERROR(VLOOKUP(C160,'Stock CD'!B:I,8,0),0)</f>
        <v>0</v>
      </c>
      <c r="V160" s="399">
        <f t="shared" ref="V160:V169" si="67">+U160+N160</f>
        <v>96</v>
      </c>
      <c r="X160" s="626">
        <f>+SUMIFS('Conteo 24-02'!F:F,'Conteo 24-02'!$A:$A,$C160)</f>
        <v>0</v>
      </c>
      <c r="Y160" s="303">
        <f>+SUMIFS('Conteo 24-02'!G:G,'Conteo 24-02'!$A:$A,$C160)</f>
        <v>0</v>
      </c>
      <c r="Z160" s="524">
        <v>1000</v>
      </c>
      <c r="AB160" s="393" t="s">
        <v>1466</v>
      </c>
      <c r="AC160" s="422">
        <f>IF(C160="Corb-LK",SUMIFS('Est Madre LK 10-25'!C:C,'Est Madre LK 10-25'!D:D,"si"),IF(C160="Corb-CH",SUMIFS('Est Madre CH 10-25'!C:C,'Est Madre CH 10-25'!D:D,"si"),0)+IFERROR(VLOOKUP(C160,'Est Madre LK 10-25'!$A:$C,3,),IFERROR(VLOOKUP(C160,'Est Madre CH 10-25'!$A:$C,3,),0)))</f>
        <v>24</v>
      </c>
      <c r="AD160" s="358">
        <v>12000</v>
      </c>
      <c r="AE160" s="261">
        <v>12</v>
      </c>
      <c r="AF160" s="324">
        <v>68.570279999999997</v>
      </c>
      <c r="AG160" s="551" t="str">
        <f>+VLOOKUP(C160,'[1]Chef Troquel'!$A$4:$F$92,5,0)</f>
        <v>T.Loke</v>
      </c>
      <c r="AH160" s="261" t="s">
        <v>1651</v>
      </c>
      <c r="AI160" s="331">
        <v>4</v>
      </c>
      <c r="AK160" s="393">
        <v>0</v>
      </c>
      <c r="AL160" s="331">
        <v>100</v>
      </c>
    </row>
    <row r="161" spans="1:38" ht="18" customHeight="1" x14ac:dyDescent="0.3">
      <c r="A161" t="s">
        <v>1466</v>
      </c>
      <c r="B161" s="414">
        <v>2315700</v>
      </c>
      <c r="C161" s="433">
        <v>878</v>
      </c>
      <c r="D161" s="260" t="str">
        <f>+VLOOKUP(C161,'Conteo 24-02'!$A$8:$D$246,4,0)</f>
        <v>S3A</v>
      </c>
      <c r="E161" s="320" t="s">
        <v>1041</v>
      </c>
      <c r="F161" s="327" t="s">
        <v>1704</v>
      </c>
      <c r="G161" s="499"/>
      <c r="H161" s="470"/>
      <c r="J161" s="751">
        <f t="shared" si="61"/>
        <v>0.28645833333333331</v>
      </c>
      <c r="K161" s="478">
        <f t="shared" si="62"/>
        <v>0.28645833333333331</v>
      </c>
      <c r="M161" s="726">
        <f t="shared" si="63"/>
        <v>685</v>
      </c>
      <c r="N161" s="377">
        <f t="shared" si="64"/>
        <v>960</v>
      </c>
      <c r="O161" s="343">
        <f t="shared" si="65"/>
        <v>275</v>
      </c>
      <c r="P161" s="613"/>
      <c r="R161" s="397">
        <f>+IFERROR(SUMIFS('Stock CD'!D:D,C85,'Stock CD'!C:C),0)</f>
        <v>0</v>
      </c>
      <c r="S161" s="400">
        <f t="shared" si="66"/>
        <v>275</v>
      </c>
      <c r="U161" s="397">
        <f>+IFERROR(VLOOKUP(C161,'Stock CD'!B:I,8,0),0)</f>
        <v>0</v>
      </c>
      <c r="V161" s="400">
        <f t="shared" si="67"/>
        <v>960</v>
      </c>
      <c r="X161" s="444">
        <f>+SUMIFS('Conteo 24-02'!F:F,'Conteo 24-02'!$A:$A,$C161)</f>
        <v>0</v>
      </c>
      <c r="Y161" s="304">
        <f>+SUMIFS('Conteo 24-02'!G:G,'Conteo 24-02'!$A:$A,$C161)</f>
        <v>275</v>
      </c>
      <c r="Z161" s="507">
        <v>1000</v>
      </c>
      <c r="AB161" s="424" t="s">
        <v>1466</v>
      </c>
      <c r="AC161" s="409">
        <f>IF(C161="Corb-LK",SUMIFS('Est Madre LK 10-25'!C:C,'Est Madre LK 10-25'!D:D,"si"),IF(C161="Corb-CH",SUMIFS('Est Madre CH 10-25'!C:C,'Est Madre CH 10-25'!D:D,"si"),0)+IFERROR(VLOOKUP(C161,'Est Madre LK 10-25'!$A:$C,3,),IFERROR(VLOOKUP(C161,'Est Madre CH 10-25'!$A:$C,3,),0)))</f>
        <v>240</v>
      </c>
      <c r="AD161" s="359">
        <v>12000</v>
      </c>
      <c r="AE161" s="260">
        <v>12</v>
      </c>
      <c r="AF161" s="323">
        <v>68.570279999999997</v>
      </c>
      <c r="AG161" s="552" t="str">
        <f>+VLOOKUP(C161,'[1]Chef Troquel'!$A$4:$F$92,5,0)</f>
        <v>T.Loke</v>
      </c>
      <c r="AH161" s="260" t="s">
        <v>1651</v>
      </c>
      <c r="AI161" s="333">
        <v>4</v>
      </c>
      <c r="AK161" s="424">
        <v>0</v>
      </c>
      <c r="AL161" s="333">
        <v>100</v>
      </c>
    </row>
    <row r="162" spans="1:38" ht="18" customHeight="1" x14ac:dyDescent="0.3">
      <c r="A162" t="s">
        <v>1466</v>
      </c>
      <c r="B162" s="414">
        <v>2315700</v>
      </c>
      <c r="C162" s="433">
        <v>719</v>
      </c>
      <c r="D162" s="260" t="str">
        <f>+VLOOKUP(C162,'Conteo 24-02'!$A$8:$D$246,4,0)</f>
        <v>Ñ3</v>
      </c>
      <c r="E162" s="320" t="s">
        <v>1041</v>
      </c>
      <c r="F162" s="327" t="s">
        <v>1712</v>
      </c>
      <c r="G162" s="260"/>
      <c r="H162" s="470"/>
      <c r="J162" s="751">
        <f t="shared" si="61"/>
        <v>1.7361111111111112</v>
      </c>
      <c r="K162" s="478">
        <f t="shared" si="62"/>
        <v>1.7361111111111112</v>
      </c>
      <c r="M162" s="726">
        <f t="shared" si="63"/>
        <v>0</v>
      </c>
      <c r="N162" s="377">
        <f t="shared" si="64"/>
        <v>288</v>
      </c>
      <c r="O162" s="343">
        <f t="shared" si="65"/>
        <v>500</v>
      </c>
      <c r="P162" s="613"/>
      <c r="R162" s="397">
        <f>+IFERROR(SUMIFS('Stock CD'!D:D,C78,'Stock CD'!C:C),0)</f>
        <v>0</v>
      </c>
      <c r="S162" s="400">
        <f t="shared" si="66"/>
        <v>500</v>
      </c>
      <c r="U162" s="397">
        <f>+IFERROR(VLOOKUP(C162,'Stock CD'!B:I,8,0),0)</f>
        <v>0</v>
      </c>
      <c r="V162" s="400">
        <f t="shared" si="67"/>
        <v>288</v>
      </c>
      <c r="X162" s="444">
        <f>+SUMIFS('Conteo 24-02'!F:F,'Conteo 24-02'!$A:$A,$C162)</f>
        <v>0</v>
      </c>
      <c r="Y162" s="304">
        <f>+SUMIFS('Conteo 24-02'!G:G,'Conteo 24-02'!$A:$A,$C162)</f>
        <v>500</v>
      </c>
      <c r="Z162" s="507">
        <v>1000</v>
      </c>
      <c r="AB162" s="424" t="s">
        <v>1466</v>
      </c>
      <c r="AC162" s="409">
        <f>IF(C162="Corb-LK",SUMIFS('Est Madre LK 10-25'!C:C,'Est Madre LK 10-25'!D:D,"si"),IF(C162="Corb-CH",SUMIFS('Est Madre CH 10-25'!C:C,'Est Madre CH 10-25'!D:D,"si"),0)+IFERROR(VLOOKUP(C162,'Est Madre LK 10-25'!$A:$C,3,),IFERROR(VLOOKUP(C162,'Est Madre CH 10-25'!$A:$C,3,),0)))</f>
        <v>72</v>
      </c>
      <c r="AD162" s="359">
        <v>12000</v>
      </c>
      <c r="AE162" s="260">
        <v>12</v>
      </c>
      <c r="AF162" s="323">
        <v>68.570279999999997</v>
      </c>
      <c r="AG162" s="552" t="str">
        <f>+VLOOKUP(C162,'[1]Chef Troquel'!$A$4:$F$92,5,0)</f>
        <v>T.Loke</v>
      </c>
      <c r="AH162" s="260" t="s">
        <v>1651</v>
      </c>
      <c r="AI162" s="333">
        <v>4</v>
      </c>
      <c r="AK162" s="424">
        <v>0</v>
      </c>
      <c r="AL162" s="333">
        <v>100</v>
      </c>
    </row>
    <row r="163" spans="1:38" ht="18" customHeight="1" x14ac:dyDescent="0.3">
      <c r="A163" t="s">
        <v>1466</v>
      </c>
      <c r="B163" s="414">
        <v>2315700</v>
      </c>
      <c r="C163" s="433">
        <v>732</v>
      </c>
      <c r="D163" s="260" t="str">
        <f>+VLOOKUP(C163,'Conteo 24-02'!$A$8:$D$246,4,0)</f>
        <v>Ñ5</v>
      </c>
      <c r="E163" s="320" t="s">
        <v>1041</v>
      </c>
      <c r="F163" s="327" t="s">
        <v>1368</v>
      </c>
      <c r="G163" s="260"/>
      <c r="H163" s="470"/>
      <c r="J163" s="751">
        <f t="shared" si="61"/>
        <v>3.28125</v>
      </c>
      <c r="K163" s="478">
        <f t="shared" si="62"/>
        <v>3.28125</v>
      </c>
      <c r="M163" s="726">
        <f t="shared" si="63"/>
        <v>0</v>
      </c>
      <c r="N163" s="377">
        <f t="shared" si="64"/>
        <v>384</v>
      </c>
      <c r="O163" s="343">
        <f t="shared" si="65"/>
        <v>1260</v>
      </c>
      <c r="P163" s="613"/>
      <c r="R163" s="397">
        <f>+IFERROR(SUMIFS('Stock CD'!D:D,C79,'Stock CD'!C:C),0)</f>
        <v>0</v>
      </c>
      <c r="S163" s="400">
        <f t="shared" si="66"/>
        <v>1260</v>
      </c>
      <c r="U163" s="397">
        <f>+IFERROR(VLOOKUP(C163,'Stock CD'!B:I,8,0),0)</f>
        <v>0</v>
      </c>
      <c r="V163" s="400">
        <f t="shared" si="67"/>
        <v>384</v>
      </c>
      <c r="X163" s="444">
        <f>+SUMIFS('Conteo 24-02'!F:F,'Conteo 24-02'!$A:$A,$C163)</f>
        <v>1</v>
      </c>
      <c r="Y163" s="304">
        <f>+SUMIFS('Conteo 24-02'!G:G,'Conteo 24-02'!$A:$A,$C163)</f>
        <v>260</v>
      </c>
      <c r="Z163" s="507">
        <v>1000</v>
      </c>
      <c r="AB163" s="424" t="s">
        <v>1466</v>
      </c>
      <c r="AC163" s="409">
        <f>IF(C163="Corb-LK",SUMIFS('Est Madre LK 10-25'!C:C,'Est Madre LK 10-25'!D:D,"si"),IF(C163="Corb-CH",SUMIFS('Est Madre CH 10-25'!C:C,'Est Madre CH 10-25'!D:D,"si"),0)+IFERROR(VLOOKUP(C163,'Est Madre LK 10-25'!$A:$C,3,),IFERROR(VLOOKUP(C163,'Est Madre CH 10-25'!$A:$C,3,),0)))</f>
        <v>96</v>
      </c>
      <c r="AD163" s="359">
        <v>12000</v>
      </c>
      <c r="AE163" s="260">
        <v>12</v>
      </c>
      <c r="AF163" s="323">
        <v>68.570279999999997</v>
      </c>
      <c r="AG163" s="552" t="str">
        <f>+VLOOKUP(C163,'[1]Chef Troquel'!$A$4:$F$92,5,0)</f>
        <v>T.Loke/Huevo</v>
      </c>
      <c r="AH163" s="260" t="s">
        <v>1651</v>
      </c>
      <c r="AI163" s="333">
        <v>4</v>
      </c>
      <c r="AK163" s="424">
        <v>0</v>
      </c>
      <c r="AL163" s="333">
        <v>100</v>
      </c>
    </row>
    <row r="164" spans="1:38" ht="18" customHeight="1" x14ac:dyDescent="0.3">
      <c r="A164" t="s">
        <v>1466</v>
      </c>
      <c r="B164" s="414">
        <v>2315700</v>
      </c>
      <c r="C164" s="433">
        <v>816</v>
      </c>
      <c r="D164" s="260" t="str">
        <f>+VLOOKUP(C164,'Conteo 24-02'!$A$8:$D$246,4,0)</f>
        <v>Q7B</v>
      </c>
      <c r="E164" s="320" t="s">
        <v>1041</v>
      </c>
      <c r="F164" s="327" t="s">
        <v>1701</v>
      </c>
      <c r="G164" s="260"/>
      <c r="H164" s="470"/>
      <c r="J164" s="751">
        <f t="shared" si="61"/>
        <v>2.7696078431372548</v>
      </c>
      <c r="K164" s="478">
        <f t="shared" si="62"/>
        <v>2.7696078431372548</v>
      </c>
      <c r="M164" s="726">
        <f t="shared" si="63"/>
        <v>0</v>
      </c>
      <c r="N164" s="377">
        <f t="shared" si="64"/>
        <v>816</v>
      </c>
      <c r="O164" s="343">
        <f t="shared" si="65"/>
        <v>2260</v>
      </c>
      <c r="P164" s="613"/>
      <c r="R164" s="397">
        <f>+IFERROR(SUMIFS('Stock CD'!D:D,C84,'Stock CD'!C:C),0)</f>
        <v>0</v>
      </c>
      <c r="S164" s="400">
        <f t="shared" si="66"/>
        <v>2260</v>
      </c>
      <c r="U164" s="397">
        <f>+IFERROR(VLOOKUP(C164,'Stock CD'!B:I,8,0),0)</f>
        <v>0</v>
      </c>
      <c r="V164" s="400">
        <f t="shared" si="67"/>
        <v>816</v>
      </c>
      <c r="X164" s="444">
        <f>+SUMIFS('Conteo 24-02'!F:F,'Conteo 24-02'!$A:$A,$C164)</f>
        <v>2</v>
      </c>
      <c r="Y164" s="304">
        <f>+SUMIFS('Conteo 24-02'!G:G,'Conteo 24-02'!$A:$A,$C164)</f>
        <v>260</v>
      </c>
      <c r="Z164" s="507">
        <v>1000</v>
      </c>
      <c r="AB164" s="424" t="s">
        <v>1466</v>
      </c>
      <c r="AC164" s="409">
        <f>IF(C164="Corb-LK",SUMIFS('Est Madre LK 10-25'!C:C,'Est Madre LK 10-25'!D:D,"si"),IF(C164="Corb-CH",SUMIFS('Est Madre CH 10-25'!C:C,'Est Madre CH 10-25'!D:D,"si"),0)+IFERROR(VLOOKUP(C164,'Est Madre LK 10-25'!$A:$C,3,),IFERROR(VLOOKUP(C164,'Est Madre CH 10-25'!$A:$C,3,),0)))</f>
        <v>204</v>
      </c>
      <c r="AD164" s="359">
        <v>12000</v>
      </c>
      <c r="AE164" s="260">
        <v>12</v>
      </c>
      <c r="AF164" s="323">
        <v>68.570279999999997</v>
      </c>
      <c r="AG164" s="552" t="str">
        <f>+VLOOKUP(C164,'[1]Chef Troquel'!$A$4:$F$92,5,0)</f>
        <v>T.Loke</v>
      </c>
      <c r="AH164" s="260" t="s">
        <v>1651</v>
      </c>
      <c r="AI164" s="333">
        <v>4</v>
      </c>
      <c r="AK164" s="424">
        <v>0</v>
      </c>
      <c r="AL164" s="333">
        <v>100</v>
      </c>
    </row>
    <row r="165" spans="1:38" ht="18" customHeight="1" x14ac:dyDescent="0.3">
      <c r="A165" t="s">
        <v>1466</v>
      </c>
      <c r="B165" s="414">
        <v>2315700</v>
      </c>
      <c r="C165" s="433">
        <v>817</v>
      </c>
      <c r="D165" s="260" t="str">
        <f>+VLOOKUP(C165,'Conteo 24-02'!$A$8:$D$246,4,0)</f>
        <v>O2B</v>
      </c>
      <c r="E165" s="320" t="s">
        <v>1041</v>
      </c>
      <c r="F165" s="327" t="s">
        <v>1700</v>
      </c>
      <c r="G165" s="260"/>
      <c r="H165" s="470"/>
      <c r="J165" s="751">
        <f t="shared" si="61"/>
        <v>2.2836538461538463</v>
      </c>
      <c r="K165" s="478">
        <f t="shared" si="62"/>
        <v>2.2836538461538463</v>
      </c>
      <c r="M165" s="726">
        <f t="shared" si="63"/>
        <v>0</v>
      </c>
      <c r="N165" s="377">
        <f t="shared" si="64"/>
        <v>1248</v>
      </c>
      <c r="O165" s="343">
        <f t="shared" si="65"/>
        <v>2850</v>
      </c>
      <c r="P165" s="613"/>
      <c r="R165" s="397">
        <f>+IFERROR(SUMIFS('Stock CD'!D:D,C81,'Stock CD'!C:C),0)</f>
        <v>0</v>
      </c>
      <c r="S165" s="400">
        <f t="shared" si="66"/>
        <v>2850</v>
      </c>
      <c r="U165" s="397">
        <f>+IFERROR(VLOOKUP(C165,'Stock CD'!B:I,8,0),0)</f>
        <v>0</v>
      </c>
      <c r="V165" s="400">
        <f t="shared" si="67"/>
        <v>1248</v>
      </c>
      <c r="X165" s="444">
        <f>+SUMIFS('Conteo 24-02'!F:F,'Conteo 24-02'!$A:$A,$C165)</f>
        <v>2</v>
      </c>
      <c r="Y165" s="304">
        <f>+SUMIFS('Conteo 24-02'!G:G,'Conteo 24-02'!$A:$A,$C165)</f>
        <v>850</v>
      </c>
      <c r="Z165" s="507">
        <v>1000</v>
      </c>
      <c r="AB165" s="424" t="s">
        <v>1466</v>
      </c>
      <c r="AC165" s="409">
        <f>IF(C165="Corb-LK",SUMIFS('Est Madre LK 10-25'!C:C,'Est Madre LK 10-25'!D:D,"si"),IF(C165="Corb-CH",SUMIFS('Est Madre CH 10-25'!C:C,'Est Madre CH 10-25'!D:D,"si"),0)+IFERROR(VLOOKUP(C165,'Est Madre LK 10-25'!$A:$C,3,),IFERROR(VLOOKUP(C165,'Est Madre CH 10-25'!$A:$C,3,),0)))</f>
        <v>312</v>
      </c>
      <c r="AD165" s="359">
        <v>12000</v>
      </c>
      <c r="AE165" s="260">
        <v>12</v>
      </c>
      <c r="AF165" s="323">
        <v>68.570279999999997</v>
      </c>
      <c r="AG165" s="552" t="str">
        <f>+VLOOKUP(C165,'[1]Chef Troquel'!$A$4:$F$92,5,0)</f>
        <v>T.Loke</v>
      </c>
      <c r="AH165" s="260" t="s">
        <v>1651</v>
      </c>
      <c r="AI165" s="333">
        <v>4</v>
      </c>
      <c r="AK165" s="424">
        <v>0</v>
      </c>
      <c r="AL165" s="333">
        <v>100</v>
      </c>
    </row>
    <row r="166" spans="1:38" ht="18" customHeight="1" x14ac:dyDescent="0.3">
      <c r="A166" t="s">
        <v>1466</v>
      </c>
      <c r="B166" s="414">
        <v>2315700</v>
      </c>
      <c r="C166" s="433">
        <v>97</v>
      </c>
      <c r="D166" s="260" t="str">
        <f>+VLOOKUP(C166,'Conteo 24-02'!$A$8:$D$246,4,0)</f>
        <v>S4A</v>
      </c>
      <c r="E166" s="320" t="s">
        <v>1041</v>
      </c>
      <c r="F166" s="327" t="s">
        <v>1381</v>
      </c>
      <c r="G166" s="260"/>
      <c r="H166" s="470"/>
      <c r="J166" s="751">
        <f t="shared" si="61"/>
        <v>1.3392857142857142</v>
      </c>
      <c r="K166" s="478">
        <f t="shared" si="62"/>
        <v>1.3392857142857142</v>
      </c>
      <c r="M166" s="726">
        <f t="shared" si="63"/>
        <v>0</v>
      </c>
      <c r="N166" s="377">
        <f t="shared" si="64"/>
        <v>3360</v>
      </c>
      <c r="O166" s="343">
        <f t="shared" si="65"/>
        <v>4500</v>
      </c>
      <c r="P166" s="613"/>
      <c r="R166" s="397">
        <f>+IFERROR(SUMIFS('Stock CD'!D:D,C87,'Stock CD'!C:C),0)</f>
        <v>0</v>
      </c>
      <c r="S166" s="400">
        <f t="shared" si="66"/>
        <v>4500</v>
      </c>
      <c r="U166" s="397">
        <f>+IFERROR(VLOOKUP(C166,'Stock CD'!B:I,8,0),0)</f>
        <v>0</v>
      </c>
      <c r="V166" s="400">
        <f t="shared" si="67"/>
        <v>3360</v>
      </c>
      <c r="X166" s="444">
        <f>+SUMIFS('Conteo 24-02'!F:F,'Conteo 24-02'!$A:$A,$C166)</f>
        <v>4</v>
      </c>
      <c r="Y166" s="304">
        <f>+SUMIFS('Conteo 24-02'!G:G,'Conteo 24-02'!$A:$A,$C166)</f>
        <v>500</v>
      </c>
      <c r="Z166" s="507">
        <v>1000</v>
      </c>
      <c r="AB166" s="424" t="s">
        <v>1466</v>
      </c>
      <c r="AC166" s="409">
        <f>IF(C166="Corb-LK",SUMIFS('Est Madre LK 10-25'!C:C,'Est Madre LK 10-25'!D:D,"si"),IF(C166="Corb-CH",SUMIFS('Est Madre CH 10-25'!C:C,'Est Madre CH 10-25'!D:D,"si"),0)+IFERROR(VLOOKUP(C166,'Est Madre LK 10-25'!$A:$C,3,),IFERROR(VLOOKUP(C166,'Est Madre CH 10-25'!$A:$C,3,),0)))</f>
        <v>840</v>
      </c>
      <c r="AD166" s="359">
        <v>12000</v>
      </c>
      <c r="AE166" s="260">
        <v>12</v>
      </c>
      <c r="AF166" s="323">
        <v>68.570279999999997</v>
      </c>
      <c r="AG166" s="552" t="str">
        <f>+VLOOKUP("097",'[1]Chef Troquel'!$A$4:$F$92,5,0)</f>
        <v>T.Loke</v>
      </c>
      <c r="AH166" s="260" t="s">
        <v>1651</v>
      </c>
      <c r="AI166" s="333">
        <v>4</v>
      </c>
      <c r="AK166" s="424">
        <v>0</v>
      </c>
      <c r="AL166" s="333">
        <v>100</v>
      </c>
    </row>
    <row r="167" spans="1:38" ht="18" customHeight="1" x14ac:dyDescent="0.3">
      <c r="A167" t="s">
        <v>1466</v>
      </c>
      <c r="B167" s="414">
        <v>2320700</v>
      </c>
      <c r="C167" s="433">
        <v>707</v>
      </c>
      <c r="D167" s="260" t="str">
        <f>+VLOOKUP(C167,'Conteo 24-02'!$A$8:$D$246,4,0)</f>
        <v>N6C</v>
      </c>
      <c r="E167" s="320" t="s">
        <v>1041</v>
      </c>
      <c r="F167" s="327" t="s">
        <v>243</v>
      </c>
      <c r="G167" s="260"/>
      <c r="H167" s="470"/>
      <c r="J167" s="751">
        <f t="shared" si="61"/>
        <v>9.375</v>
      </c>
      <c r="K167" s="478">
        <f t="shared" si="62"/>
        <v>9.375</v>
      </c>
      <c r="M167" s="726">
        <f t="shared" si="63"/>
        <v>0</v>
      </c>
      <c r="N167" s="377">
        <f t="shared" si="64"/>
        <v>192</v>
      </c>
      <c r="O167" s="343">
        <f t="shared" si="65"/>
        <v>1800</v>
      </c>
      <c r="P167" s="613"/>
      <c r="R167" s="397">
        <f>+IFERROR(SUMIFS('Stock CD'!D:D,C94,'Stock CD'!C:C),0)</f>
        <v>0</v>
      </c>
      <c r="S167" s="400">
        <f t="shared" si="66"/>
        <v>1800</v>
      </c>
      <c r="U167" s="397">
        <f>+IFERROR(VLOOKUP(C167,'Stock CD'!B:I,8,0),0)</f>
        <v>0</v>
      </c>
      <c r="V167" s="400">
        <f t="shared" si="67"/>
        <v>192</v>
      </c>
      <c r="X167" s="444">
        <f>+SUMIFS('Conteo 24-02'!F:F,'Conteo 24-02'!$A:$A,$C167)</f>
        <v>1</v>
      </c>
      <c r="Y167" s="304">
        <f>+SUMIFS('Conteo 24-02'!G:G,'Conteo 24-02'!$A:$A,$C167)</f>
        <v>800</v>
      </c>
      <c r="Z167" s="507">
        <v>1000</v>
      </c>
      <c r="AB167" s="424" t="s">
        <v>1466</v>
      </c>
      <c r="AC167" s="409">
        <f>IF(C167="Corb-LK",SUMIFS('Est Madre LK 10-25'!C:C,'Est Madre LK 10-25'!D:D,"si"),IF(C167="Corb-CH",SUMIFS('Est Madre CH 10-25'!C:C,'Est Madre CH 10-25'!D:D,"si"),0)+IFERROR(VLOOKUP(C167,'Est Madre LK 10-25'!$A:$C,3,),IFERROR(VLOOKUP(C167,'Est Madre CH 10-25'!$A:$C,3,),0)))</f>
        <v>48</v>
      </c>
      <c r="AD167" s="359">
        <v>12000</v>
      </c>
      <c r="AE167" s="260">
        <v>8</v>
      </c>
      <c r="AF167" s="323">
        <v>86.485752000000005</v>
      </c>
      <c r="AG167" s="552" t="str">
        <f>+VLOOKUP(C167,'[1]Chef Troquel'!$A$4:$F$92,5,0)</f>
        <v>T.Loke/Huevo</v>
      </c>
      <c r="AH167" s="260" t="s">
        <v>1651</v>
      </c>
      <c r="AI167" s="333">
        <v>4</v>
      </c>
      <c r="AK167" s="424">
        <v>0</v>
      </c>
      <c r="AL167" s="333">
        <v>100</v>
      </c>
    </row>
    <row r="168" spans="1:38" ht="18" customHeight="1" x14ac:dyDescent="0.3">
      <c r="A168" t="s">
        <v>1466</v>
      </c>
      <c r="B168" s="414">
        <v>2327700</v>
      </c>
      <c r="C168" s="433">
        <v>700</v>
      </c>
      <c r="D168" s="260" t="str">
        <f>+VLOOKUP(C168,'Conteo 24-02'!$A$8:$D$246,4,0)</f>
        <v>O1B</v>
      </c>
      <c r="E168" s="320" t="s">
        <v>1041</v>
      </c>
      <c r="F168" s="327" t="s">
        <v>1369</v>
      </c>
      <c r="G168" s="260"/>
      <c r="H168" s="470"/>
      <c r="J168" s="751">
        <f t="shared" si="61"/>
        <v>41.666666666666664</v>
      </c>
      <c r="K168" s="478">
        <f t="shared" ref="K168:K173" si="68">+IFERROR(S168/V168,0)</f>
        <v>41.666666666666664</v>
      </c>
      <c r="M168" s="726">
        <f t="shared" si="63"/>
        <v>0</v>
      </c>
      <c r="N168" s="377">
        <f t="shared" si="64"/>
        <v>384</v>
      </c>
      <c r="O168" s="343">
        <f t="shared" ref="O168:O173" si="69">+(X168*Z168)+Y168</f>
        <v>16000</v>
      </c>
      <c r="P168" s="613"/>
      <c r="R168" s="397">
        <f>+IFERROR(SUMIFS('Stock CD'!D:D,C26,'Stock CD'!C:C),0)</f>
        <v>0</v>
      </c>
      <c r="S168" s="400">
        <f t="shared" si="66"/>
        <v>16000</v>
      </c>
      <c r="U168" s="397">
        <f>+IFERROR(VLOOKUP(C168,'Stock CD'!B:I,8,0),0)</f>
        <v>0</v>
      </c>
      <c r="V168" s="400">
        <f t="shared" si="67"/>
        <v>384</v>
      </c>
      <c r="X168" s="444">
        <f>+SUMIFS('Conteo 24-02'!F:F,'Conteo 24-02'!$A:$A,$C168)</f>
        <v>8</v>
      </c>
      <c r="Y168" s="304">
        <f>+SUMIFS('Conteo 24-02'!G:G,'Conteo 24-02'!$A:$A,$C168)</f>
        <v>0</v>
      </c>
      <c r="Z168" s="507">
        <v>2000</v>
      </c>
      <c r="AB168" s="424" t="s">
        <v>1466</v>
      </c>
      <c r="AC168" s="409">
        <f>IF(C168="Corb-LK",SUMIFS('Est Madre LK 10-25'!C:C,'Est Madre LK 10-25'!D:D,"si"),IF(C168="Corb-CH",SUMIFS('Est Madre CH 10-25'!C:C,'Est Madre CH 10-25'!D:D,"si"),0)+IFERROR(VLOOKUP(C168,'Est Madre LK 10-25'!$A:$C,3,),IFERROR(VLOOKUP(C168,'Est Madre CH 10-25'!$A:$C,3,),0)))</f>
        <v>96</v>
      </c>
      <c r="AD168" s="359">
        <v>12000</v>
      </c>
      <c r="AE168" s="260">
        <v>20</v>
      </c>
      <c r="AF168" s="323">
        <v>14.8635</v>
      </c>
      <c r="AG168" s="552" t="str">
        <f>+VLOOKUP(C168,'[1]Chef Troquel'!$A$4:$F$92,5,0)</f>
        <v>T.Loke</v>
      </c>
      <c r="AH168" s="260" t="s">
        <v>1651</v>
      </c>
      <c r="AI168" s="333">
        <v>4</v>
      </c>
      <c r="AK168" s="424">
        <v>0</v>
      </c>
      <c r="AL168" s="333">
        <v>100</v>
      </c>
    </row>
    <row r="169" spans="1:38" ht="18" customHeight="1" thickBot="1" x14ac:dyDescent="0.35">
      <c r="A169" t="s">
        <v>1466</v>
      </c>
      <c r="B169" s="298">
        <v>2374700</v>
      </c>
      <c r="C169" s="443">
        <v>760</v>
      </c>
      <c r="D169" s="262" t="str">
        <f>+VLOOKUP(C169,'Conteo 24-02'!$A$8:$D$246,4,0)</f>
        <v>P1A</v>
      </c>
      <c r="E169" s="322" t="s">
        <v>1041</v>
      </c>
      <c r="F169" s="355" t="s">
        <v>1372</v>
      </c>
      <c r="G169" s="262"/>
      <c r="H169" s="471"/>
      <c r="J169" s="750">
        <f t="shared" si="61"/>
        <v>6.0763888888888893</v>
      </c>
      <c r="K169" s="486">
        <f t="shared" si="68"/>
        <v>6.0763888888888893</v>
      </c>
      <c r="M169" s="659">
        <f t="shared" si="63"/>
        <v>0</v>
      </c>
      <c r="N169" s="378">
        <f t="shared" si="64"/>
        <v>1152</v>
      </c>
      <c r="O169" s="345">
        <f t="shared" si="69"/>
        <v>7000</v>
      </c>
      <c r="P169" s="614"/>
      <c r="R169" s="398">
        <f>+IFERROR(SUMIFS('Stock CD'!D:D,C27,'Stock CD'!C:C),0)</f>
        <v>0</v>
      </c>
      <c r="S169" s="401">
        <f t="shared" si="66"/>
        <v>7000</v>
      </c>
      <c r="U169" s="398">
        <f>+IFERROR(VLOOKUP(C169,'Stock CD'!B:I,8,0),0)</f>
        <v>0</v>
      </c>
      <c r="V169" s="401">
        <f t="shared" si="67"/>
        <v>1152</v>
      </c>
      <c r="X169" s="445">
        <f>+SUMIFS('Conteo 24-02'!F:F,'Conteo 24-02'!$A:$A,$C169)</f>
        <v>7</v>
      </c>
      <c r="Y169" s="305">
        <f>+SUMIFS('Conteo 24-02'!G:G,'Conteo 24-02'!$A:$A,$C169)</f>
        <v>0</v>
      </c>
      <c r="Z169" s="508">
        <v>1000</v>
      </c>
      <c r="AB169" s="425" t="s">
        <v>1466</v>
      </c>
      <c r="AC169" s="423">
        <f>IF(C169="Corb-LK",SUMIFS('Est Madre LK 10-25'!C:C,'Est Madre LK 10-25'!D:D,"si"),IF(C169="Corb-CH",SUMIFS('Est Madre CH 10-25'!C:C,'Est Madre CH 10-25'!D:D,"si"),0)+IFERROR(VLOOKUP(C169,'Est Madre LK 10-25'!$A:$C,3,),IFERROR(VLOOKUP(C169,'Est Madre CH 10-25'!$A:$C,3,),0)))</f>
        <v>288</v>
      </c>
      <c r="AD169" s="361">
        <v>12000</v>
      </c>
      <c r="AE169" s="262">
        <v>20</v>
      </c>
      <c r="AF169" s="325">
        <v>43.269300000000001</v>
      </c>
      <c r="AG169" s="554" t="str">
        <f>+VLOOKUP(C169,'[1]Chef Troquel'!$A$4:$F$92,5,0)</f>
        <v>T.Loke</v>
      </c>
      <c r="AH169" s="262" t="s">
        <v>1651</v>
      </c>
      <c r="AI169" s="335">
        <v>4</v>
      </c>
      <c r="AK169" s="425">
        <v>0</v>
      </c>
      <c r="AL169" s="335">
        <v>100</v>
      </c>
    </row>
    <row r="170" spans="1:38" ht="18" customHeight="1" x14ac:dyDescent="0.3">
      <c r="B170" s="294"/>
      <c r="C170" s="294"/>
      <c r="D170" s="127"/>
      <c r="E170" s="299"/>
      <c r="F170" s="308"/>
      <c r="G170" s="127"/>
      <c r="H170" s="308"/>
      <c r="J170" s="452"/>
      <c r="K170" s="453"/>
      <c r="M170" s="611">
        <f>+SUM(M138:M169)</f>
        <v>5035</v>
      </c>
      <c r="N170" s="379"/>
      <c r="O170" s="336"/>
      <c r="P170" s="611"/>
      <c r="R170" s="454"/>
      <c r="S170" s="454"/>
      <c r="U170" s="454"/>
      <c r="V170" s="454"/>
      <c r="X170" s="307"/>
      <c r="Y170" s="307"/>
      <c r="Z170" s="384"/>
      <c r="AC170" s="382"/>
      <c r="AD170" s="384"/>
      <c r="AE170" s="127"/>
      <c r="AF170" s="348"/>
      <c r="AG170" s="550"/>
      <c r="AH170" s="127"/>
    </row>
    <row r="171" spans="1:38" ht="19.5" thickBot="1" x14ac:dyDescent="0.35">
      <c r="B171" s="294"/>
      <c r="C171" s="294"/>
      <c r="D171" s="127"/>
      <c r="E171" s="299"/>
      <c r="F171" s="308"/>
      <c r="G171" s="127"/>
      <c r="H171" s="308"/>
      <c r="J171" s="452"/>
      <c r="K171" s="453"/>
      <c r="M171" s="611"/>
      <c r="N171" s="379"/>
      <c r="O171" s="336"/>
      <c r="P171" s="611"/>
      <c r="R171" s="454"/>
      <c r="S171" s="454"/>
      <c r="U171" s="454"/>
      <c r="V171" s="454"/>
      <c r="X171" s="307"/>
      <c r="Y171" s="307"/>
      <c r="Z171" s="384"/>
      <c r="AC171" s="382"/>
      <c r="AD171" s="384"/>
      <c r="AE171" s="127"/>
      <c r="AF171" s="348"/>
      <c r="AG171" s="550"/>
      <c r="AH171" s="127"/>
    </row>
    <row r="172" spans="1:38" s="381" customFormat="1" ht="30" customHeight="1" thickBot="1" x14ac:dyDescent="0.3">
      <c r="B172" s="966" t="s">
        <v>1757</v>
      </c>
      <c r="C172" s="967"/>
      <c r="D172" s="967"/>
      <c r="E172" s="967"/>
      <c r="F172" s="967"/>
      <c r="G172" s="967"/>
      <c r="H172" s="968"/>
      <c r="J172" s="693"/>
      <c r="K172" s="694"/>
      <c r="L172" s="506"/>
      <c r="M172" s="662"/>
      <c r="N172" s="630"/>
      <c r="O172" s="630"/>
      <c r="P172" s="662"/>
      <c r="Q172" s="506"/>
      <c r="R172" s="662"/>
      <c r="S172" s="662"/>
      <c r="T172" s="506"/>
      <c r="U172" s="662"/>
      <c r="V172" s="662"/>
      <c r="W172" s="506"/>
      <c r="X172" s="662"/>
      <c r="Y172" s="662"/>
      <c r="Z172" s="630"/>
      <c r="AA172" s="506"/>
      <c r="AB172" s="662"/>
      <c r="AC172" s="662"/>
      <c r="AD172" s="630"/>
      <c r="AE172" s="662"/>
      <c r="AF172" s="662"/>
      <c r="AG172" s="662"/>
      <c r="AH172" s="662"/>
      <c r="AI172" s="662"/>
    </row>
    <row r="173" spans="1:38" ht="18" customHeight="1" thickBot="1" x14ac:dyDescent="0.35">
      <c r="A173" t="s">
        <v>1466</v>
      </c>
      <c r="B173" s="582">
        <v>2395700</v>
      </c>
      <c r="C173" s="728">
        <v>840</v>
      </c>
      <c r="D173" s="595" t="str">
        <f>+VLOOKUP(C173,'Conteo 24-02'!$A$8:$D$246,4,0)</f>
        <v>P2A</v>
      </c>
      <c r="E173" s="583" t="s">
        <v>1041</v>
      </c>
      <c r="F173" s="584" t="s">
        <v>1758</v>
      </c>
      <c r="G173" s="595"/>
      <c r="H173" s="720"/>
      <c r="J173" s="654">
        <f>+IFERROR(O173/N173,0)</f>
        <v>1.1902777777777778</v>
      </c>
      <c r="K173" s="738">
        <f t="shared" si="68"/>
        <v>1.1902777777777778</v>
      </c>
      <c r="M173" s="729">
        <f>IF(N173-O173-P173&lt;0,0,N173-O173-P173)</f>
        <v>0</v>
      </c>
      <c r="N173" s="730">
        <f>+IFERROR(AC173*AI173,0)</f>
        <v>7200</v>
      </c>
      <c r="O173" s="587">
        <f t="shared" si="69"/>
        <v>8570</v>
      </c>
      <c r="P173" s="740"/>
      <c r="R173" s="588">
        <f>+IFERROR(SUMIFS('Stock CD'!D:D,C28,'Stock CD'!C:C),0)</f>
        <v>0</v>
      </c>
      <c r="S173" s="589">
        <f>+R173+O173</f>
        <v>8570</v>
      </c>
      <c r="U173" s="588">
        <f>+IFERROR(VLOOKUP(C173,'Stock CD'!B:I,8,0),0)</f>
        <v>0</v>
      </c>
      <c r="V173" s="589">
        <f>+U173+N173</f>
        <v>7200</v>
      </c>
      <c r="X173" s="776">
        <f>+SUMIFS('Conteo 24-02'!F:F,'Conteo 24-02'!$A:$A,$C173)</f>
        <v>2</v>
      </c>
      <c r="Y173" s="590">
        <f>+SUMIFS('Conteo 24-02'!G:G,'Conteo 24-02'!$A:$A,$C173)</f>
        <v>3570</v>
      </c>
      <c r="Z173" s="591">
        <v>2500</v>
      </c>
      <c r="AB173" s="592" t="s">
        <v>1466</v>
      </c>
      <c r="AC173" s="593">
        <f>IF(C173="Corb-LK",SUMIFS('Est Madre LK 10-25'!C:C,'Est Madre LK 10-25'!D:D,"si"),IF(C173="Corb-CH",SUMIFS('Est Madre CH 10-25'!C:C,'Est Madre CH 10-25'!D:D,"si"),0)+IFERROR(VLOOKUP(C173,'Est Madre LK 10-25'!$A:$C,3,),IFERROR(VLOOKUP(C173,'Est Madre CH 10-25'!$A:$C,3,),0)))</f>
        <v>2400</v>
      </c>
      <c r="AD173" s="594">
        <v>12000</v>
      </c>
      <c r="AE173" s="595">
        <v>24</v>
      </c>
      <c r="AF173" s="596">
        <v>24.144929999999999</v>
      </c>
      <c r="AG173" s="597" t="str">
        <f>+VLOOKUP(C173,'[1]Chef Troquel'!$A$4:$F$92,5,0)</f>
        <v>Bandita</v>
      </c>
      <c r="AH173" s="595" t="s">
        <v>1216</v>
      </c>
      <c r="AI173" s="598">
        <v>3</v>
      </c>
      <c r="AK173" s="592">
        <v>0</v>
      </c>
      <c r="AL173" s="598">
        <v>100</v>
      </c>
    </row>
    <row r="174" spans="1:38" ht="18" customHeight="1" x14ac:dyDescent="0.3">
      <c r="B174" s="294"/>
      <c r="C174" s="294"/>
      <c r="D174" s="127"/>
      <c r="E174" s="299"/>
      <c r="F174" s="308"/>
      <c r="G174" s="127"/>
      <c r="H174" s="308"/>
      <c r="J174" s="452"/>
      <c r="K174" s="453"/>
      <c r="M174" s="611">
        <f>+SUM(M173)</f>
        <v>0</v>
      </c>
      <c r="N174" s="379"/>
      <c r="O174" s="336"/>
      <c r="P174" s="611"/>
      <c r="R174" s="454"/>
      <c r="S174" s="454"/>
      <c r="U174" s="454"/>
      <c r="V174" s="454"/>
      <c r="X174" s="307"/>
      <c r="Y174" s="307"/>
      <c r="Z174" s="384"/>
      <c r="AC174" s="382"/>
      <c r="AD174" s="384"/>
      <c r="AE174" s="127"/>
      <c r="AF174" s="348"/>
      <c r="AG174" s="550"/>
      <c r="AH174" s="127"/>
    </row>
    <row r="175" spans="1:38" ht="18" customHeight="1" thickBot="1" x14ac:dyDescent="0.35">
      <c r="B175" s="294"/>
      <c r="C175" s="294"/>
      <c r="D175" s="127"/>
      <c r="E175" s="299"/>
      <c r="F175" s="308"/>
      <c r="G175" s="127"/>
      <c r="H175" s="308"/>
      <c r="J175" s="452"/>
      <c r="K175" s="453"/>
      <c r="M175" s="611"/>
      <c r="N175" s="379"/>
      <c r="O175" s="336"/>
      <c r="P175" s="611"/>
      <c r="R175" s="454"/>
      <c r="S175" s="454"/>
      <c r="U175" s="454"/>
      <c r="V175" s="454"/>
      <c r="X175" s="307"/>
      <c r="Y175" s="307"/>
      <c r="Z175" s="384"/>
      <c r="AC175" s="382"/>
      <c r="AD175" s="384"/>
      <c r="AE175" s="127"/>
      <c r="AF175" s="348"/>
      <c r="AG175" s="550"/>
      <c r="AH175" s="127"/>
    </row>
    <row r="176" spans="1:38" s="381" customFormat="1" ht="30" customHeight="1" thickBot="1" x14ac:dyDescent="0.3">
      <c r="B176" s="966" t="s">
        <v>1740</v>
      </c>
      <c r="C176" s="967"/>
      <c r="D176" s="967"/>
      <c r="E176" s="967"/>
      <c r="F176" s="967"/>
      <c r="G176" s="967"/>
      <c r="H176" s="968"/>
      <c r="J176" s="693"/>
      <c r="K176" s="694"/>
      <c r="L176" s="506"/>
      <c r="M176" s="662"/>
      <c r="N176" s="630"/>
      <c r="O176" s="630"/>
      <c r="P176" s="662"/>
      <c r="Q176" s="506"/>
      <c r="R176" s="662"/>
      <c r="S176" s="662"/>
      <c r="T176" s="506"/>
      <c r="U176" s="662"/>
      <c r="V176" s="662"/>
      <c r="W176" s="506"/>
      <c r="X176" s="662"/>
      <c r="Y176" s="662"/>
      <c r="Z176" s="630"/>
      <c r="AA176" s="506"/>
      <c r="AB176" s="662"/>
      <c r="AC176" s="662"/>
      <c r="AD176" s="630"/>
      <c r="AE176" s="662"/>
      <c r="AF176" s="662"/>
      <c r="AG176" s="662"/>
      <c r="AH176" s="662"/>
      <c r="AI176" s="662"/>
    </row>
    <row r="177" spans="1:38" ht="18" customHeight="1" x14ac:dyDescent="0.3">
      <c r="A177" t="s">
        <v>1466</v>
      </c>
      <c r="B177" s="413">
        <v>2315700</v>
      </c>
      <c r="C177" s="432">
        <v>864</v>
      </c>
      <c r="D177" s="261" t="str">
        <f>+VLOOKUP(C177,'Conteo 24-02'!$A$8:$D$246,4,0)</f>
        <v>Ñ1B</v>
      </c>
      <c r="E177" s="321" t="s">
        <v>1041</v>
      </c>
      <c r="F177" s="354" t="s">
        <v>1187</v>
      </c>
      <c r="G177" s="803"/>
      <c r="H177" s="469"/>
      <c r="J177" s="749">
        <f t="shared" ref="J177:J212" si="70">+IFERROR(O177/N177,0)</f>
        <v>12.5</v>
      </c>
      <c r="K177" s="485">
        <f t="shared" ref="K177:K212" si="71">+IFERROR(S177/V177,0)</f>
        <v>12.5</v>
      </c>
      <c r="M177" s="658">
        <f t="shared" ref="M177:M212" si="72">IF(N177-O177-P177&lt;0,0,N177-O177-P177)</f>
        <v>0</v>
      </c>
      <c r="N177" s="376">
        <f>+IFERROR(AC177*AI177,0)</f>
        <v>240</v>
      </c>
      <c r="O177" s="344">
        <f t="shared" ref="O177:O182" si="73">+(X177*Z177)+Y177</f>
        <v>3000</v>
      </c>
      <c r="P177" s="612"/>
      <c r="R177" s="396">
        <f>+IFERROR(SUMIFS('Stock CD'!D:D,C73,'Stock CD'!C:C),0)</f>
        <v>0</v>
      </c>
      <c r="S177" s="399">
        <f t="shared" ref="S177:S182" si="74">+R177+O177</f>
        <v>3000</v>
      </c>
      <c r="U177" s="396">
        <f>+IFERROR(VLOOKUP(C177,'Stock CD'!B:I,8,0),0)</f>
        <v>0</v>
      </c>
      <c r="V177" s="399">
        <f t="shared" ref="V177:V212" si="75">+U177+N177</f>
        <v>240</v>
      </c>
      <c r="X177" s="626">
        <f>+SUMIFS('Conteo 24-02'!F:F,'Conteo 24-02'!$A:$A,$C177)</f>
        <v>3</v>
      </c>
      <c r="Y177" s="303">
        <f>+SUMIFS('Conteo 24-02'!G:G,'Conteo 24-02'!$A:$A,$C177)</f>
        <v>0</v>
      </c>
      <c r="Z177" s="524">
        <v>1000</v>
      </c>
      <c r="AB177" s="393" t="s">
        <v>1466</v>
      </c>
      <c r="AC177" s="422">
        <f>IF(C177="Corb-LK",SUMIFS('Est Madre LK 10-25'!C:C,'Est Madre LK 10-25'!D:D,"si"),IF(C177="Corb-CH",SUMIFS('Est Madre CH 10-25'!C:C,'Est Madre CH 10-25'!D:D,"si"),0)+IFERROR(VLOOKUP(C177,'Est Madre LK 10-25'!$A:$C,3,),IFERROR(VLOOKUP(C177,'Est Madre CH 10-25'!$A:$C,3,),0)))</f>
        <v>48</v>
      </c>
      <c r="AD177" s="358">
        <v>25000</v>
      </c>
      <c r="AE177" s="261">
        <v>25</v>
      </c>
      <c r="AF177" s="324">
        <v>68.570279999999997</v>
      </c>
      <c r="AG177" s="551" t="s">
        <v>1690</v>
      </c>
      <c r="AH177" s="261" t="s">
        <v>1655</v>
      </c>
      <c r="AI177" s="331">
        <v>5</v>
      </c>
      <c r="AK177" s="393">
        <v>0</v>
      </c>
      <c r="AL177" s="331">
        <v>100</v>
      </c>
    </row>
    <row r="178" spans="1:38" ht="18" customHeight="1" x14ac:dyDescent="0.3">
      <c r="A178" t="s">
        <v>1466</v>
      </c>
      <c r="B178" s="414">
        <v>2315700</v>
      </c>
      <c r="C178" s="433">
        <v>859</v>
      </c>
      <c r="D178" s="260" t="str">
        <f>+VLOOKUP(C178,'Conteo 24-02'!$A$8:$D$246,4,0)</f>
        <v>N2A</v>
      </c>
      <c r="E178" s="320" t="s">
        <v>1041</v>
      </c>
      <c r="F178" s="327" t="s">
        <v>1713</v>
      </c>
      <c r="G178" s="801"/>
      <c r="H178" s="470"/>
      <c r="J178" s="751">
        <f t="shared" si="70"/>
        <v>4.166666666666667</v>
      </c>
      <c r="K178" s="478">
        <f t="shared" si="71"/>
        <v>4.166666666666667</v>
      </c>
      <c r="M178" s="726">
        <f t="shared" si="72"/>
        <v>0</v>
      </c>
      <c r="N178" s="377">
        <f t="shared" ref="N178:N182" si="76">+IFERROR(AC178*AI178,0)</f>
        <v>360</v>
      </c>
      <c r="O178" s="343">
        <f t="shared" si="73"/>
        <v>1500</v>
      </c>
      <c r="P178" s="613"/>
      <c r="R178" s="397">
        <f>+IFERROR(SUMIFS('Stock CD'!D:D,C70,'Stock CD'!C:C),0)</f>
        <v>0</v>
      </c>
      <c r="S178" s="400">
        <f t="shared" si="74"/>
        <v>1500</v>
      </c>
      <c r="U178" s="397">
        <f>+IFERROR(VLOOKUP(C178,'Stock CD'!B:I,8,0),0)</f>
        <v>0</v>
      </c>
      <c r="V178" s="400">
        <f t="shared" si="75"/>
        <v>360</v>
      </c>
      <c r="X178" s="444">
        <f>+SUMIFS('Conteo 24-02'!F:F,'Conteo 24-02'!$A:$A,$C178)</f>
        <v>1</v>
      </c>
      <c r="Y178" s="304">
        <f>+SUMIFS('Conteo 24-02'!G:G,'Conteo 24-02'!$A:$A,$C178)</f>
        <v>500</v>
      </c>
      <c r="Z178" s="507">
        <v>1000</v>
      </c>
      <c r="AB178" s="424" t="s">
        <v>1466</v>
      </c>
      <c r="AC178" s="409">
        <f>IF(C178="Corb-LK",SUMIFS('Est Madre LK 10-25'!C:C,'Est Madre LK 10-25'!D:D,"si"),IF(C178="Corb-CH",SUMIFS('Est Madre CH 10-25'!C:C,'Est Madre CH 10-25'!D:D,"si"),0)+IFERROR(VLOOKUP(C178,'Est Madre LK 10-25'!$A:$C,3,),IFERROR(VLOOKUP(C178,'Est Madre CH 10-25'!$A:$C,3,),0)))</f>
        <v>72</v>
      </c>
      <c r="AD178" s="359">
        <v>25000</v>
      </c>
      <c r="AE178" s="260">
        <v>25</v>
      </c>
      <c r="AF178" s="323">
        <v>68.570279999999997</v>
      </c>
      <c r="AG178" s="552" t="str">
        <f>+VLOOKUP(C178,'[1]Chef Troquel'!$A$4:$F$92,5,0)</f>
        <v>Huevo</v>
      </c>
      <c r="AH178" s="260" t="s">
        <v>1655</v>
      </c>
      <c r="AI178" s="333">
        <v>5</v>
      </c>
      <c r="AK178" s="424">
        <v>0</v>
      </c>
      <c r="AL178" s="333">
        <v>100</v>
      </c>
    </row>
    <row r="179" spans="1:38" ht="18" customHeight="1" x14ac:dyDescent="0.3">
      <c r="A179" t="s">
        <v>1466</v>
      </c>
      <c r="B179" s="414">
        <v>2315700</v>
      </c>
      <c r="C179" s="433">
        <v>615</v>
      </c>
      <c r="D179" s="260" t="str">
        <f>+VLOOKUP(C179,'Conteo 24-02'!$A$8:$D$246,4,0)</f>
        <v>O2A</v>
      </c>
      <c r="E179" s="320" t="s">
        <v>1041</v>
      </c>
      <c r="F179" s="327" t="s">
        <v>1195</v>
      </c>
      <c r="G179" s="801"/>
      <c r="H179" s="470"/>
      <c r="J179" s="751">
        <f t="shared" si="70"/>
        <v>4.5</v>
      </c>
      <c r="K179" s="478">
        <f t="shared" si="71"/>
        <v>4.5</v>
      </c>
      <c r="M179" s="726">
        <f t="shared" si="72"/>
        <v>0</v>
      </c>
      <c r="N179" s="377">
        <f t="shared" si="76"/>
        <v>300</v>
      </c>
      <c r="O179" s="343">
        <f t="shared" si="73"/>
        <v>1350</v>
      </c>
      <c r="P179" s="613"/>
      <c r="R179" s="397">
        <f>+IFERROR(SUMIFS('Stock CD'!D:D,C17,'Stock CD'!C:C),0)</f>
        <v>0</v>
      </c>
      <c r="S179" s="400">
        <f t="shared" si="74"/>
        <v>1350</v>
      </c>
      <c r="U179" s="397">
        <f>+IFERROR(VLOOKUP(C179,'Stock CD'!B:I,8,0),0)</f>
        <v>0</v>
      </c>
      <c r="V179" s="400">
        <f t="shared" si="75"/>
        <v>300</v>
      </c>
      <c r="X179" s="444">
        <f>+SUMIFS('Conteo 24-02'!F:F,'Conteo 24-02'!$A:$A,$C179)</f>
        <v>1</v>
      </c>
      <c r="Y179" s="304">
        <f>+SUMIFS('Conteo 24-02'!G:G,'Conteo 24-02'!$A:$A,$C179)</f>
        <v>350</v>
      </c>
      <c r="Z179" s="507">
        <v>1000</v>
      </c>
      <c r="AB179" s="424" t="s">
        <v>1466</v>
      </c>
      <c r="AC179" s="409">
        <f>IF(C179="Corb-LK",SUMIFS('Est Madre LK 10-25'!C:C,'Est Madre LK 10-25'!D:D,"si"),IF(C179="Corb-CH",SUMIFS('Est Madre CH 10-25'!C:C,'Est Madre CH 10-25'!D:D,"si"),0)+IFERROR(VLOOKUP(C179,'Est Madre LK 10-25'!$A:$C,3,),IFERROR(VLOOKUP(C179,'Est Madre CH 10-25'!$A:$C,3,),0)))</f>
        <v>60</v>
      </c>
      <c r="AD179" s="359">
        <v>25000</v>
      </c>
      <c r="AE179" s="260">
        <v>25</v>
      </c>
      <c r="AF179" s="323">
        <v>68.570279999999997</v>
      </c>
      <c r="AG179" s="552" t="str">
        <f>+VLOOKUP(C179,'[1]Chef Troquel'!$A$4:$F$92,5,0)</f>
        <v>Huevo</v>
      </c>
      <c r="AH179" s="260" t="s">
        <v>1655</v>
      </c>
      <c r="AI179" s="333">
        <v>5</v>
      </c>
      <c r="AK179" s="424">
        <v>0</v>
      </c>
      <c r="AL179" s="333">
        <v>100</v>
      </c>
    </row>
    <row r="180" spans="1:38" ht="18" customHeight="1" x14ac:dyDescent="0.3">
      <c r="A180" t="s">
        <v>1466</v>
      </c>
      <c r="B180" s="414">
        <v>2315700</v>
      </c>
      <c r="C180" s="433">
        <v>858</v>
      </c>
      <c r="D180" s="260" t="str">
        <f>+VLOOKUP(C180,'Conteo 24-02'!$A$8:$D$246,4,0)</f>
        <v>O2C</v>
      </c>
      <c r="E180" s="320" t="s">
        <v>1041</v>
      </c>
      <c r="F180" s="327" t="s">
        <v>1373</v>
      </c>
      <c r="G180" s="801"/>
      <c r="H180" s="470"/>
      <c r="J180" s="751">
        <f t="shared" si="70"/>
        <v>3.3333333333333335</v>
      </c>
      <c r="K180" s="478">
        <f t="shared" si="71"/>
        <v>3.3333333333333335</v>
      </c>
      <c r="M180" s="726">
        <f t="shared" si="72"/>
        <v>0</v>
      </c>
      <c r="N180" s="377">
        <f t="shared" si="76"/>
        <v>480</v>
      </c>
      <c r="O180" s="343">
        <f t="shared" si="73"/>
        <v>1600</v>
      </c>
      <c r="P180" s="613"/>
      <c r="R180" s="397">
        <f>+IFERROR(SUMIFS('Stock CD'!D:D,C114,'Stock CD'!C:C),0)</f>
        <v>0</v>
      </c>
      <c r="S180" s="400">
        <f t="shared" si="74"/>
        <v>1600</v>
      </c>
      <c r="U180" s="397">
        <f>+IFERROR(VLOOKUP(C180,'Stock CD'!B:I,8,0),0)</f>
        <v>0</v>
      </c>
      <c r="V180" s="400">
        <f t="shared" si="75"/>
        <v>480</v>
      </c>
      <c r="X180" s="444">
        <f>+SUMIFS('Conteo 24-02'!F:F,'Conteo 24-02'!$A:$A,$C180)</f>
        <v>0</v>
      </c>
      <c r="Y180" s="304">
        <f>+SUMIFS('Conteo 24-02'!G:G,'Conteo 24-02'!$A:$A,$C180)</f>
        <v>1600</v>
      </c>
      <c r="Z180" s="507">
        <v>1000</v>
      </c>
      <c r="AB180" s="424" t="s">
        <v>1466</v>
      </c>
      <c r="AC180" s="409">
        <f>IF(C180="Corb-LK",SUMIFS('Est Madre LK 10-25'!C:C,'Est Madre LK 10-25'!D:D,"si"),IF(C180="Corb-CH",SUMIFS('Est Madre CH 10-25'!C:C,'Est Madre CH 10-25'!D:D,"si"),0)+IFERROR(VLOOKUP(C180,'Est Madre LK 10-25'!$A:$C,3,),IFERROR(VLOOKUP(C180,'Est Madre CH 10-25'!$A:$C,3,),0)))</f>
        <v>96</v>
      </c>
      <c r="AD180" s="359">
        <v>25000</v>
      </c>
      <c r="AE180" s="260">
        <v>25</v>
      </c>
      <c r="AF180" s="323">
        <v>68.570279999999997</v>
      </c>
      <c r="AG180" s="552" t="str">
        <f>+VLOOKUP(C180,'[1]Chef Troquel'!$A$4:$F$92,5,0)</f>
        <v>Huevo</v>
      </c>
      <c r="AH180" s="260" t="s">
        <v>1655</v>
      </c>
      <c r="AI180" s="333">
        <v>5</v>
      </c>
      <c r="AK180" s="424">
        <v>0</v>
      </c>
      <c r="AL180" s="333">
        <v>100</v>
      </c>
    </row>
    <row r="181" spans="1:38" ht="18" customHeight="1" x14ac:dyDescent="0.3">
      <c r="A181" t="s">
        <v>1466</v>
      </c>
      <c r="B181" s="414">
        <v>2315700</v>
      </c>
      <c r="C181" s="433">
        <v>856</v>
      </c>
      <c r="D181" s="260" t="str">
        <f>+VLOOKUP(C181,'Conteo 24-02'!$A$8:$D$246,4,0)</f>
        <v>O3C</v>
      </c>
      <c r="E181" s="320" t="s">
        <v>1041</v>
      </c>
      <c r="F181" s="327" t="s">
        <v>1340</v>
      </c>
      <c r="G181" s="499"/>
      <c r="H181" s="470"/>
      <c r="J181" s="751">
        <f t="shared" si="70"/>
        <v>0</v>
      </c>
      <c r="K181" s="478">
        <f t="shared" si="71"/>
        <v>0</v>
      </c>
      <c r="M181" s="726">
        <f t="shared" si="72"/>
        <v>480</v>
      </c>
      <c r="N181" s="377">
        <f t="shared" si="76"/>
        <v>480</v>
      </c>
      <c r="O181" s="343">
        <f t="shared" si="73"/>
        <v>0</v>
      </c>
      <c r="P181" s="613"/>
      <c r="R181" s="397">
        <f>+IFERROR(SUMIFS('Stock CD'!D:D,C19,'Stock CD'!C:C),0)</f>
        <v>0</v>
      </c>
      <c r="S181" s="400">
        <f t="shared" si="74"/>
        <v>0</v>
      </c>
      <c r="U181" s="397">
        <f>+IFERROR(VLOOKUP(C181,'Stock CD'!B:I,8,0),0)</f>
        <v>0</v>
      </c>
      <c r="V181" s="400">
        <f t="shared" si="75"/>
        <v>480</v>
      </c>
      <c r="X181" s="444">
        <f>+SUMIFS('Conteo 24-02'!F:F,'Conteo 24-02'!$A:$A,$C181)</f>
        <v>0</v>
      </c>
      <c r="Y181" s="304">
        <f>+SUMIFS('Conteo 24-02'!G:G,'Conteo 24-02'!$A:$A,$C181)</f>
        <v>0</v>
      </c>
      <c r="Z181" s="507">
        <v>1000</v>
      </c>
      <c r="AB181" s="424" t="s">
        <v>1466</v>
      </c>
      <c r="AC181" s="409">
        <f>IF(C181="Corb-LK",SUMIFS('Est Madre LK 10-25'!C:C,'Est Madre LK 10-25'!D:D,"si"),IF(C181="Corb-CH",SUMIFS('Est Madre CH 10-25'!C:C,'Est Madre CH 10-25'!D:D,"si"),0)+IFERROR(VLOOKUP(C181,'Est Madre LK 10-25'!$A:$C,3,),IFERROR(VLOOKUP(C181,'Est Madre CH 10-25'!$A:$C,3,),0)))</f>
        <v>96</v>
      </c>
      <c r="AD181" s="359">
        <v>25000</v>
      </c>
      <c r="AE181" s="260">
        <v>25</v>
      </c>
      <c r="AF181" s="323">
        <v>68.570279999999997</v>
      </c>
      <c r="AG181" s="552" t="str">
        <f>+VLOOKUP(C181,'[1]Chef Troquel'!$A$4:$F$92,5,0)</f>
        <v>Huevo</v>
      </c>
      <c r="AH181" s="260" t="s">
        <v>1655</v>
      </c>
      <c r="AI181" s="333">
        <v>5</v>
      </c>
      <c r="AK181" s="424">
        <v>0</v>
      </c>
      <c r="AL181" s="333">
        <v>100</v>
      </c>
    </row>
    <row r="182" spans="1:38" ht="18" customHeight="1" x14ac:dyDescent="0.3">
      <c r="A182" t="s">
        <v>1466</v>
      </c>
      <c r="B182" s="414">
        <v>2315700</v>
      </c>
      <c r="C182" s="433">
        <v>857</v>
      </c>
      <c r="D182" s="260" t="str">
        <f>+VLOOKUP(C182,'Conteo 24-02'!$A$8:$D$246,4,0)</f>
        <v>O2C</v>
      </c>
      <c r="E182" s="320" t="s">
        <v>1041</v>
      </c>
      <c r="F182" s="327" t="s">
        <v>1370</v>
      </c>
      <c r="G182" s="499"/>
      <c r="H182" s="470"/>
      <c r="J182" s="751">
        <f t="shared" si="70"/>
        <v>0</v>
      </c>
      <c r="K182" s="478">
        <f t="shared" si="71"/>
        <v>0</v>
      </c>
      <c r="M182" s="726">
        <f t="shared" si="72"/>
        <v>120</v>
      </c>
      <c r="N182" s="377">
        <f t="shared" si="76"/>
        <v>120</v>
      </c>
      <c r="O182" s="343">
        <f t="shared" si="73"/>
        <v>0</v>
      </c>
      <c r="P182" s="613"/>
      <c r="R182" s="397">
        <f>+IFERROR(SUMIFS('Stock CD'!D:D,C18,'Stock CD'!C:C),0)</f>
        <v>0</v>
      </c>
      <c r="S182" s="400">
        <f t="shared" si="74"/>
        <v>0</v>
      </c>
      <c r="U182" s="397">
        <f>+IFERROR(VLOOKUP(C182,'Stock CD'!B:I,8,0),0)</f>
        <v>0</v>
      </c>
      <c r="V182" s="400">
        <f t="shared" si="75"/>
        <v>120</v>
      </c>
      <c r="X182" s="444">
        <f>+SUMIFS('Conteo 24-02'!F:F,'Conteo 24-02'!$A:$A,$C182)</f>
        <v>0</v>
      </c>
      <c r="Y182" s="304">
        <f>+SUMIFS('Conteo 24-02'!G:G,'Conteo 24-02'!$A:$A,$C182)</f>
        <v>0</v>
      </c>
      <c r="Z182" s="507">
        <v>1000</v>
      </c>
      <c r="AB182" s="424" t="s">
        <v>1466</v>
      </c>
      <c r="AC182" s="409">
        <f>IF(C182="Corb-LK",SUMIFS('Est Madre LK 10-25'!C:C,'Est Madre LK 10-25'!D:D,"si"),IF(C182="Corb-CH",SUMIFS('Est Madre CH 10-25'!C:C,'Est Madre CH 10-25'!D:D,"si"),0)+IFERROR(VLOOKUP(C182,'Est Madre LK 10-25'!$A:$C,3,),IFERROR(VLOOKUP(C182,'Est Madre CH 10-25'!$A:$C,3,),0)))</f>
        <v>24</v>
      </c>
      <c r="AD182" s="359">
        <v>25000</v>
      </c>
      <c r="AE182" s="260">
        <v>25</v>
      </c>
      <c r="AF182" s="323">
        <v>68.570279999999997</v>
      </c>
      <c r="AG182" s="552" t="str">
        <f>+VLOOKUP(C182,'[1]Chef Troquel'!$A$4:$F$92,5,0)</f>
        <v>Huevo</v>
      </c>
      <c r="AH182" s="260" t="s">
        <v>1655</v>
      </c>
      <c r="AI182" s="333">
        <v>5</v>
      </c>
      <c r="AK182" s="424">
        <v>0</v>
      </c>
      <c r="AL182" s="333">
        <v>100</v>
      </c>
    </row>
    <row r="183" spans="1:38" ht="18" customHeight="1" x14ac:dyDescent="0.3">
      <c r="A183" t="s">
        <v>1466</v>
      </c>
      <c r="B183" s="414">
        <v>2315700</v>
      </c>
      <c r="C183" s="433">
        <v>848</v>
      </c>
      <c r="D183" s="260" t="str">
        <f>+VLOOKUP(C183,'Conteo 24-02'!$A$8:$D$246,4,0)</f>
        <v>Q5</v>
      </c>
      <c r="E183" s="320" t="s">
        <v>1041</v>
      </c>
      <c r="F183" s="802" t="s">
        <v>771</v>
      </c>
      <c r="G183" s="499"/>
      <c r="H183" s="470"/>
      <c r="J183" s="751">
        <f t="shared" si="70"/>
        <v>2.3541666666666665</v>
      </c>
      <c r="K183" s="478">
        <f t="shared" si="71"/>
        <v>2.3541666666666665</v>
      </c>
      <c r="M183" s="726">
        <f t="shared" si="72"/>
        <v>0</v>
      </c>
      <c r="N183" s="377">
        <f t="shared" ref="N183:N212" si="77">+IFERROR(AC183*AI183,0)</f>
        <v>480</v>
      </c>
      <c r="O183" s="343">
        <f t="shared" ref="O183:O212" si="78">+(X183*Z183)+Y183</f>
        <v>1130</v>
      </c>
      <c r="P183" s="613"/>
      <c r="R183" s="397">
        <f>+IFERROR(SUMIFS('Stock CD'!D:D,C19,'Stock CD'!C:C),0)</f>
        <v>0</v>
      </c>
      <c r="S183" s="400">
        <f t="shared" ref="S183:S212" si="79">+R183+O183</f>
        <v>1130</v>
      </c>
      <c r="U183" s="397">
        <f>+IFERROR(VLOOKUP(C183,'Stock CD'!B:I,8,0),0)</f>
        <v>0</v>
      </c>
      <c r="V183" s="400">
        <f t="shared" si="75"/>
        <v>480</v>
      </c>
      <c r="X183" s="444">
        <f>+SUMIFS('Conteo 24-02'!F:F,'Conteo 24-02'!$A:$A,$C183)</f>
        <v>0</v>
      </c>
      <c r="Y183" s="304">
        <f>+SUMIFS('Conteo 24-02'!G:G,'Conteo 24-02'!$A:$A,$C183)</f>
        <v>1130</v>
      </c>
      <c r="Z183" s="507">
        <v>1000</v>
      </c>
      <c r="AB183" s="424" t="s">
        <v>1466</v>
      </c>
      <c r="AC183" s="409">
        <v>96</v>
      </c>
      <c r="AD183" s="359">
        <v>25000</v>
      </c>
      <c r="AE183" s="260">
        <v>25</v>
      </c>
      <c r="AF183" s="323"/>
      <c r="AG183" s="552" t="str">
        <f>+VLOOKUP(C183,'[1]Chef Troquel'!$A$4:$F$92,5,0)</f>
        <v>Huevo</v>
      </c>
      <c r="AH183" s="260" t="s">
        <v>1655</v>
      </c>
      <c r="AI183" s="333">
        <v>5</v>
      </c>
      <c r="AK183" s="424">
        <v>0</v>
      </c>
      <c r="AL183" s="333">
        <v>100</v>
      </c>
    </row>
    <row r="184" spans="1:38" ht="18" customHeight="1" x14ac:dyDescent="0.3">
      <c r="A184" t="s">
        <v>1466</v>
      </c>
      <c r="B184" s="414">
        <v>2315700</v>
      </c>
      <c r="C184" s="433" t="s">
        <v>869</v>
      </c>
      <c r="D184" s="260" t="s">
        <v>1029</v>
      </c>
      <c r="E184" s="320" t="s">
        <v>1041</v>
      </c>
      <c r="F184" s="802" t="s">
        <v>1735</v>
      </c>
      <c r="G184" s="499"/>
      <c r="H184" s="473"/>
      <c r="J184" s="751">
        <f t="shared" si="70"/>
        <v>0</v>
      </c>
      <c r="K184" s="478">
        <f t="shared" si="71"/>
        <v>0</v>
      </c>
      <c r="M184" s="726"/>
      <c r="N184" s="377"/>
      <c r="O184" s="343"/>
      <c r="P184" s="613"/>
      <c r="R184" s="397">
        <f>+IFERROR(SUMIFS('Stock CD'!D:D,C22,'Stock CD'!C:C),0)</f>
        <v>0</v>
      </c>
      <c r="S184" s="400">
        <f t="shared" ref="S184" si="80">+R184+O184</f>
        <v>0</v>
      </c>
      <c r="U184" s="397">
        <f>+IFERROR(VLOOKUP(C184,'Stock CD'!B:I,8,0),0)</f>
        <v>0</v>
      </c>
      <c r="V184" s="400">
        <f t="shared" ref="V184" si="81">+U184+N184</f>
        <v>0</v>
      </c>
      <c r="X184" s="444">
        <f>+SUMIFS('Conteo 24-02'!F:F,'Conteo 24-02'!$A:$A,$C184)</f>
        <v>6</v>
      </c>
      <c r="Y184" s="304">
        <f>+SUMIFS('Conteo 24-02'!G:G,'Conteo 24-02'!$A:$A,$C184)</f>
        <v>0</v>
      </c>
      <c r="Z184" s="507">
        <v>1000</v>
      </c>
      <c r="AB184" s="424"/>
      <c r="AC184" s="409"/>
      <c r="AD184" s="359"/>
      <c r="AE184" s="260"/>
      <c r="AF184" s="323"/>
      <c r="AG184" s="552"/>
      <c r="AH184" s="260"/>
      <c r="AI184" s="333"/>
      <c r="AK184" s="424">
        <v>0</v>
      </c>
      <c r="AL184" s="333">
        <v>100</v>
      </c>
    </row>
    <row r="185" spans="1:38" ht="18" customHeight="1" x14ac:dyDescent="0.3">
      <c r="A185" t="s">
        <v>1466</v>
      </c>
      <c r="B185" s="414">
        <v>2315700</v>
      </c>
      <c r="C185" s="433" t="s">
        <v>1741</v>
      </c>
      <c r="D185" s="260" t="str">
        <f>+VLOOKUP(C185,'Conteo 24-02'!$A$8:$D$246,4,0)</f>
        <v>Q5</v>
      </c>
      <c r="E185" s="320" t="s">
        <v>1041</v>
      </c>
      <c r="F185" s="802" t="s">
        <v>1742</v>
      </c>
      <c r="G185" s="499"/>
      <c r="H185" s="473"/>
      <c r="J185" s="751">
        <f t="shared" si="70"/>
        <v>0</v>
      </c>
      <c r="K185" s="478">
        <f t="shared" si="71"/>
        <v>0</v>
      </c>
      <c r="M185" s="726">
        <f t="shared" si="72"/>
        <v>0</v>
      </c>
      <c r="N185" s="377">
        <f t="shared" si="77"/>
        <v>0</v>
      </c>
      <c r="O185" s="343">
        <f t="shared" si="78"/>
        <v>0</v>
      </c>
      <c r="P185" s="613"/>
      <c r="R185" s="397">
        <f>+IFERROR(SUMIFS('Stock CD'!D:D,C23,'Stock CD'!C:C),0)</f>
        <v>0</v>
      </c>
      <c r="S185" s="400">
        <f t="shared" si="79"/>
        <v>0</v>
      </c>
      <c r="U185" s="397">
        <f>+IFERROR(VLOOKUP(C185,'Stock CD'!B:I,8,0),0)</f>
        <v>0</v>
      </c>
      <c r="V185" s="400">
        <f t="shared" si="75"/>
        <v>0</v>
      </c>
      <c r="X185" s="444">
        <f>+SUMIFS('Conteo 24-02'!F:F,'Conteo 24-02'!$A:$A,$C185)</f>
        <v>0</v>
      </c>
      <c r="Y185" s="304">
        <f>+SUMIFS('Conteo 24-02'!G:G,'Conteo 24-02'!$A:$A,$C185)</f>
        <v>0</v>
      </c>
      <c r="Z185" s="507">
        <v>1000</v>
      </c>
      <c r="AB185" s="424" t="s">
        <v>1466</v>
      </c>
      <c r="AC185" s="409" t="s">
        <v>1755</v>
      </c>
      <c r="AD185" s="359">
        <v>25000</v>
      </c>
      <c r="AE185" s="260">
        <v>25</v>
      </c>
      <c r="AF185" s="323"/>
      <c r="AG185" s="552" t="e">
        <f>+VLOOKUP(C185,'[1]Chef Troquel'!$A$4:$F$92,5,0)</f>
        <v>#N/A</v>
      </c>
      <c r="AH185" s="260" t="s">
        <v>1655</v>
      </c>
      <c r="AI185" s="333">
        <v>5</v>
      </c>
      <c r="AK185" s="424">
        <v>0</v>
      </c>
      <c r="AL185" s="333">
        <v>100</v>
      </c>
    </row>
    <row r="186" spans="1:38" ht="18" customHeight="1" x14ac:dyDescent="0.3">
      <c r="A186" t="s">
        <v>1466</v>
      </c>
      <c r="B186" s="414">
        <v>2315700</v>
      </c>
      <c r="C186" s="433" t="s">
        <v>1743</v>
      </c>
      <c r="D186" s="260" t="str">
        <f>+VLOOKUP(C186,'Conteo 24-02'!$A$8:$D$246,4,0)</f>
        <v>Q5</v>
      </c>
      <c r="E186" s="320" t="s">
        <v>1041</v>
      </c>
      <c r="F186" s="802" t="s">
        <v>1082</v>
      </c>
      <c r="G186" s="499"/>
      <c r="H186" s="473"/>
      <c r="J186" s="751">
        <f t="shared" si="70"/>
        <v>0</v>
      </c>
      <c r="K186" s="478">
        <f t="shared" si="71"/>
        <v>0</v>
      </c>
      <c r="M186" s="726">
        <f t="shared" si="72"/>
        <v>240</v>
      </c>
      <c r="N186" s="377">
        <f t="shared" si="77"/>
        <v>240</v>
      </c>
      <c r="O186" s="343">
        <f t="shared" si="78"/>
        <v>0</v>
      </c>
      <c r="P186" s="613"/>
      <c r="R186" s="397">
        <f>+IFERROR(SUMIFS('Stock CD'!D:D,C25,'Stock CD'!C:C),0)</f>
        <v>0</v>
      </c>
      <c r="S186" s="400">
        <f t="shared" si="79"/>
        <v>0</v>
      </c>
      <c r="U186" s="397">
        <f>+IFERROR(VLOOKUP(C186,'Stock CD'!B:I,8,0),0)</f>
        <v>0</v>
      </c>
      <c r="V186" s="400">
        <f t="shared" si="75"/>
        <v>240</v>
      </c>
      <c r="X186" s="444">
        <f>+SUMIFS('Conteo 24-02'!F:F,'Conteo 24-02'!$A:$A,$C186)</f>
        <v>0</v>
      </c>
      <c r="Y186" s="304">
        <f>+SUMIFS('Conteo 24-02'!G:G,'Conteo 24-02'!$A:$A,$C186)</f>
        <v>0</v>
      </c>
      <c r="Z186" s="507">
        <v>1000</v>
      </c>
      <c r="AB186" s="424" t="s">
        <v>1466</v>
      </c>
      <c r="AC186" s="409">
        <v>48</v>
      </c>
      <c r="AD186" s="359">
        <v>25000</v>
      </c>
      <c r="AE186" s="260">
        <v>25</v>
      </c>
      <c r="AF186" s="323"/>
      <c r="AG186" s="552" t="str">
        <f>+VLOOKUP(C186,'[1]Chef Troquel'!$A$4:$F$92,5,0)</f>
        <v>Huevo</v>
      </c>
      <c r="AH186" s="260" t="s">
        <v>1655</v>
      </c>
      <c r="AI186" s="333">
        <v>5</v>
      </c>
      <c r="AK186" s="424">
        <v>0</v>
      </c>
      <c r="AL186" s="333">
        <v>100</v>
      </c>
    </row>
    <row r="187" spans="1:38" ht="18" customHeight="1" x14ac:dyDescent="0.3">
      <c r="A187" t="s">
        <v>1466</v>
      </c>
      <c r="B187" s="414">
        <v>2315700</v>
      </c>
      <c r="C187" s="433">
        <v>307</v>
      </c>
      <c r="D187" s="260" t="str">
        <f>+VLOOKUP(C187,'Conteo 24-02'!$A$8:$D$246,4,0)</f>
        <v>Q5</v>
      </c>
      <c r="E187" s="320" t="s">
        <v>1041</v>
      </c>
      <c r="F187" s="802" t="s">
        <v>1089</v>
      </c>
      <c r="G187" s="499"/>
      <c r="H187" s="473"/>
      <c r="J187" s="751">
        <f t="shared" si="70"/>
        <v>1.0444444444444445</v>
      </c>
      <c r="K187" s="478">
        <f t="shared" si="71"/>
        <v>1.0444444444444445</v>
      </c>
      <c r="M187" s="726">
        <f t="shared" si="72"/>
        <v>0</v>
      </c>
      <c r="N187" s="377">
        <f t="shared" si="77"/>
        <v>1800</v>
      </c>
      <c r="O187" s="343">
        <f t="shared" si="78"/>
        <v>1880</v>
      </c>
      <c r="P187" s="613"/>
      <c r="R187" s="397">
        <f>+IFERROR(SUMIFS('Stock CD'!D:D,C26,'Stock CD'!C:C),0)</f>
        <v>0</v>
      </c>
      <c r="S187" s="400">
        <f t="shared" si="79"/>
        <v>1880</v>
      </c>
      <c r="U187" s="397">
        <f>+IFERROR(VLOOKUP(C187,'Stock CD'!B:I,8,0),0)</f>
        <v>0</v>
      </c>
      <c r="V187" s="400">
        <f t="shared" si="75"/>
        <v>1800</v>
      </c>
      <c r="X187" s="444">
        <f>+SUMIFS('Conteo 24-02'!F:F,'Conteo 24-02'!$A:$A,$C187)</f>
        <v>1</v>
      </c>
      <c r="Y187" s="304">
        <f>+SUMIFS('Conteo 24-02'!G:G,'Conteo 24-02'!$A:$A,$C187)</f>
        <v>880</v>
      </c>
      <c r="Z187" s="507">
        <v>1000</v>
      </c>
      <c r="AB187" s="424" t="s">
        <v>1466</v>
      </c>
      <c r="AC187" s="409">
        <v>360</v>
      </c>
      <c r="AD187" s="359">
        <v>25000</v>
      </c>
      <c r="AE187" s="260">
        <v>25</v>
      </c>
      <c r="AF187" s="323"/>
      <c r="AG187" s="552" t="str">
        <f>+VLOOKUP(C187,'[1]Chef Troquel'!$A$4:$F$92,5,0)</f>
        <v>Huevo</v>
      </c>
      <c r="AH187" s="260" t="s">
        <v>1655</v>
      </c>
      <c r="AI187" s="333">
        <v>5</v>
      </c>
      <c r="AK187" s="424">
        <v>0</v>
      </c>
      <c r="AL187" s="333">
        <v>100</v>
      </c>
    </row>
    <row r="188" spans="1:38" ht="18" customHeight="1" x14ac:dyDescent="0.3">
      <c r="A188" t="s">
        <v>1466</v>
      </c>
      <c r="B188" s="414">
        <v>2315700</v>
      </c>
      <c r="C188" s="433">
        <v>453</v>
      </c>
      <c r="D188" s="260" t="str">
        <f>+VLOOKUP(C188,'Conteo 24-02'!$A$8:$D$246,4,0)</f>
        <v>Q5</v>
      </c>
      <c r="E188" s="320" t="s">
        <v>1041</v>
      </c>
      <c r="F188" s="802" t="s">
        <v>1744</v>
      </c>
      <c r="G188" s="499"/>
      <c r="H188" s="473"/>
      <c r="J188" s="751">
        <f t="shared" si="70"/>
        <v>0</v>
      </c>
      <c r="K188" s="478">
        <f t="shared" si="71"/>
        <v>0</v>
      </c>
      <c r="M188" s="726">
        <f t="shared" si="72"/>
        <v>0</v>
      </c>
      <c r="N188" s="377">
        <f t="shared" si="77"/>
        <v>0</v>
      </c>
      <c r="O188" s="343">
        <f t="shared" si="78"/>
        <v>0</v>
      </c>
      <c r="P188" s="613"/>
      <c r="R188" s="397">
        <f>+IFERROR(SUMIFS('Stock CD'!D:D,C27,'Stock CD'!C:C),0)</f>
        <v>0</v>
      </c>
      <c r="S188" s="400">
        <f t="shared" si="79"/>
        <v>0</v>
      </c>
      <c r="U188" s="397">
        <f>+IFERROR(VLOOKUP(C188,'Stock CD'!B:I,8,0),0)</f>
        <v>0</v>
      </c>
      <c r="V188" s="400">
        <f t="shared" si="75"/>
        <v>0</v>
      </c>
      <c r="X188" s="444">
        <f>+SUMIFS('Conteo 24-02'!F:F,'Conteo 24-02'!$A:$A,$C188)</f>
        <v>0</v>
      </c>
      <c r="Y188" s="304">
        <f>+SUMIFS('Conteo 24-02'!G:G,'Conteo 24-02'!$A:$A,$C188)</f>
        <v>0</v>
      </c>
      <c r="Z188" s="507">
        <v>1000</v>
      </c>
      <c r="AB188" s="424" t="s">
        <v>1466</v>
      </c>
      <c r="AC188" s="409" t="s">
        <v>1755</v>
      </c>
      <c r="AD188" s="359">
        <v>25000</v>
      </c>
      <c r="AE188" s="260">
        <v>25</v>
      </c>
      <c r="AF188" s="323"/>
      <c r="AG188" s="552" t="str">
        <f>+VLOOKUP(C188,'[1]Chef Troquel'!$A$4:$F$92,5,0)</f>
        <v>Huevo</v>
      </c>
      <c r="AH188" s="260" t="s">
        <v>1655</v>
      </c>
      <c r="AI188" s="333">
        <v>5</v>
      </c>
      <c r="AK188" s="424">
        <v>0</v>
      </c>
      <c r="AL188" s="333">
        <v>100</v>
      </c>
    </row>
    <row r="189" spans="1:38" ht="18" customHeight="1" x14ac:dyDescent="0.3">
      <c r="A189" t="s">
        <v>1466</v>
      </c>
      <c r="B189" s="414">
        <v>2315700</v>
      </c>
      <c r="C189" s="433">
        <v>456</v>
      </c>
      <c r="D189" s="260" t="str">
        <f>+VLOOKUP(C189,'Conteo 24-02'!$A$8:$D$246,4,0)</f>
        <v>Q5</v>
      </c>
      <c r="E189" s="320" t="s">
        <v>1041</v>
      </c>
      <c r="F189" s="802" t="s">
        <v>1745</v>
      </c>
      <c r="G189" s="499"/>
      <c r="H189" s="473"/>
      <c r="J189" s="751">
        <f t="shared" si="70"/>
        <v>0</v>
      </c>
      <c r="K189" s="478">
        <f t="shared" si="71"/>
        <v>0</v>
      </c>
      <c r="M189" s="726">
        <f t="shared" si="72"/>
        <v>0</v>
      </c>
      <c r="N189" s="377">
        <f t="shared" si="77"/>
        <v>0</v>
      </c>
      <c r="O189" s="343">
        <f t="shared" si="78"/>
        <v>0</v>
      </c>
      <c r="P189" s="613"/>
      <c r="R189" s="397">
        <f>+IFERROR(SUMIFS('Stock CD'!D:D,C28,'Stock CD'!C:C),0)</f>
        <v>0</v>
      </c>
      <c r="S189" s="400">
        <f t="shared" si="79"/>
        <v>0</v>
      </c>
      <c r="U189" s="397">
        <f>+IFERROR(VLOOKUP(C189,'Stock CD'!B:I,8,0),0)</f>
        <v>0</v>
      </c>
      <c r="V189" s="400">
        <f t="shared" si="75"/>
        <v>0</v>
      </c>
      <c r="X189" s="444">
        <f>+SUMIFS('Conteo 24-02'!F:F,'Conteo 24-02'!$A:$A,$C189)</f>
        <v>0</v>
      </c>
      <c r="Y189" s="304">
        <f>+SUMIFS('Conteo 24-02'!G:G,'Conteo 24-02'!$A:$A,$C189)</f>
        <v>0</v>
      </c>
      <c r="Z189" s="507">
        <v>1000</v>
      </c>
      <c r="AB189" s="424" t="s">
        <v>1466</v>
      </c>
      <c r="AC189" s="409" t="s">
        <v>1755</v>
      </c>
      <c r="AD189" s="359">
        <v>25000</v>
      </c>
      <c r="AE189" s="260">
        <v>25</v>
      </c>
      <c r="AF189" s="323"/>
      <c r="AG189" s="552" t="str">
        <f>+VLOOKUP(C189,'[1]Chef Troquel'!$A$4:$F$92,5,0)</f>
        <v>Huevo</v>
      </c>
      <c r="AH189" s="260" t="s">
        <v>1655</v>
      </c>
      <c r="AI189" s="333">
        <v>5</v>
      </c>
      <c r="AK189" s="424">
        <v>0</v>
      </c>
      <c r="AL189" s="333">
        <v>100</v>
      </c>
    </row>
    <row r="190" spans="1:38" ht="18" customHeight="1" x14ac:dyDescent="0.3">
      <c r="A190" t="s">
        <v>1466</v>
      </c>
      <c r="B190" s="414">
        <v>2315700</v>
      </c>
      <c r="C190" s="433">
        <v>630</v>
      </c>
      <c r="D190" s="260" t="str">
        <f>+VLOOKUP(C190,'Conteo 24-02'!$A$8:$D$246,4,0)</f>
        <v>Q5</v>
      </c>
      <c r="E190" s="320" t="s">
        <v>1041</v>
      </c>
      <c r="F190" s="802" t="s">
        <v>1746</v>
      </c>
      <c r="G190" s="499"/>
      <c r="H190" s="473"/>
      <c r="J190" s="751">
        <f t="shared" si="70"/>
        <v>0</v>
      </c>
      <c r="K190" s="478">
        <f t="shared" si="71"/>
        <v>0</v>
      </c>
      <c r="M190" s="726">
        <f t="shared" si="72"/>
        <v>300</v>
      </c>
      <c r="N190" s="377">
        <f t="shared" si="77"/>
        <v>300</v>
      </c>
      <c r="O190" s="343">
        <f t="shared" si="78"/>
        <v>0</v>
      </c>
      <c r="P190" s="613"/>
      <c r="R190" s="397">
        <f>+IFERROR(SUMIFS('Stock CD'!D:D,C29,'Stock CD'!C:C),0)</f>
        <v>0</v>
      </c>
      <c r="S190" s="400">
        <f t="shared" si="79"/>
        <v>0</v>
      </c>
      <c r="U190" s="397">
        <f>+IFERROR(VLOOKUP(C190,'Stock CD'!B:I,8,0),0)</f>
        <v>0</v>
      </c>
      <c r="V190" s="400">
        <f t="shared" si="75"/>
        <v>300</v>
      </c>
      <c r="X190" s="444">
        <f>+SUMIFS('Conteo 24-02'!F:F,'Conteo 24-02'!$A:$A,$C190)</f>
        <v>0</v>
      </c>
      <c r="Y190" s="304">
        <f>+SUMIFS('Conteo 24-02'!G:G,'Conteo 24-02'!$A:$A,$C190)</f>
        <v>0</v>
      </c>
      <c r="Z190" s="507">
        <v>1000</v>
      </c>
      <c r="AB190" s="424" t="s">
        <v>1466</v>
      </c>
      <c r="AC190" s="409">
        <v>60</v>
      </c>
      <c r="AD190" s="359">
        <v>25000</v>
      </c>
      <c r="AE190" s="260">
        <v>25</v>
      </c>
      <c r="AF190" s="323"/>
      <c r="AG190" s="552" t="str">
        <f>+VLOOKUP(C190,'[1]Chef Troquel'!$A$4:$F$92,5,0)</f>
        <v>Huevo</v>
      </c>
      <c r="AH190" s="260" t="s">
        <v>1655</v>
      </c>
      <c r="AI190" s="333">
        <v>5</v>
      </c>
      <c r="AK190" s="424">
        <v>0</v>
      </c>
      <c r="AL190" s="333">
        <v>100</v>
      </c>
    </row>
    <row r="191" spans="1:38" ht="18" customHeight="1" x14ac:dyDescent="0.3">
      <c r="A191" t="s">
        <v>1466</v>
      </c>
      <c r="B191" s="414">
        <v>2315700</v>
      </c>
      <c r="C191" s="433">
        <v>631</v>
      </c>
      <c r="D191" s="260" t="str">
        <f>+VLOOKUP(C191,'Conteo 24-02'!$A$8:$D$246,4,0)</f>
        <v>Q5</v>
      </c>
      <c r="E191" s="320" t="s">
        <v>1041</v>
      </c>
      <c r="F191" s="802" t="s">
        <v>1747</v>
      </c>
      <c r="G191" s="499"/>
      <c r="H191" s="473"/>
      <c r="J191" s="751">
        <f t="shared" si="70"/>
        <v>0</v>
      </c>
      <c r="K191" s="478">
        <f t="shared" si="71"/>
        <v>0</v>
      </c>
      <c r="M191" s="726">
        <f t="shared" si="72"/>
        <v>240</v>
      </c>
      <c r="N191" s="377">
        <f t="shared" si="77"/>
        <v>240</v>
      </c>
      <c r="O191" s="343">
        <f t="shared" si="78"/>
        <v>0</v>
      </c>
      <c r="P191" s="613"/>
      <c r="R191" s="397">
        <f>+IFERROR(SUMIFS('Stock CD'!D:D,C30,'Stock CD'!C:C),0)</f>
        <v>0</v>
      </c>
      <c r="S191" s="400">
        <f t="shared" si="79"/>
        <v>0</v>
      </c>
      <c r="U191" s="397">
        <f>+IFERROR(VLOOKUP(C191,'Stock CD'!B:I,8,0),0)</f>
        <v>0</v>
      </c>
      <c r="V191" s="400">
        <f t="shared" si="75"/>
        <v>240</v>
      </c>
      <c r="X191" s="444">
        <f>+SUMIFS('Conteo 24-02'!F:F,'Conteo 24-02'!$A:$A,$C191)</f>
        <v>0</v>
      </c>
      <c r="Y191" s="304">
        <f>+SUMIFS('Conteo 24-02'!G:G,'Conteo 24-02'!$A:$A,$C191)</f>
        <v>0</v>
      </c>
      <c r="Z191" s="507">
        <v>1000</v>
      </c>
      <c r="AB191" s="424" t="s">
        <v>1466</v>
      </c>
      <c r="AC191" s="409">
        <v>48</v>
      </c>
      <c r="AD191" s="359">
        <v>25000</v>
      </c>
      <c r="AE191" s="260">
        <v>25</v>
      </c>
      <c r="AF191" s="323"/>
      <c r="AG191" s="552" t="str">
        <f>+VLOOKUP(C191,'[1]Chef Troquel'!$A$4:$F$92,5,0)</f>
        <v>Huevo</v>
      </c>
      <c r="AH191" s="260" t="s">
        <v>1655</v>
      </c>
      <c r="AI191" s="333">
        <v>5</v>
      </c>
      <c r="AK191" s="424">
        <v>0</v>
      </c>
      <c r="AL191" s="333">
        <v>100</v>
      </c>
    </row>
    <row r="192" spans="1:38" ht="18" customHeight="1" x14ac:dyDescent="0.3">
      <c r="A192" t="s">
        <v>1466</v>
      </c>
      <c r="B192" s="414">
        <v>2315700</v>
      </c>
      <c r="C192" s="433">
        <v>632</v>
      </c>
      <c r="D192" s="260" t="str">
        <f>+VLOOKUP(C192,'Conteo 24-02'!$A$8:$D$246,4,0)</f>
        <v>Q5</v>
      </c>
      <c r="E192" s="320" t="s">
        <v>1041</v>
      </c>
      <c r="F192" s="802" t="s">
        <v>1748</v>
      </c>
      <c r="G192" s="499"/>
      <c r="H192" s="473"/>
      <c r="J192" s="751">
        <f t="shared" si="70"/>
        <v>0</v>
      </c>
      <c r="K192" s="478">
        <f t="shared" si="71"/>
        <v>0</v>
      </c>
      <c r="M192" s="726">
        <f t="shared" si="72"/>
        <v>240</v>
      </c>
      <c r="N192" s="377">
        <f t="shared" si="77"/>
        <v>240</v>
      </c>
      <c r="O192" s="343">
        <f t="shared" si="78"/>
        <v>0</v>
      </c>
      <c r="P192" s="613"/>
      <c r="R192" s="397">
        <f>+IFERROR(SUMIFS('Stock CD'!D:D,C31,'Stock CD'!C:C),0)</f>
        <v>0</v>
      </c>
      <c r="S192" s="400">
        <f t="shared" si="79"/>
        <v>0</v>
      </c>
      <c r="U192" s="397">
        <f>+IFERROR(VLOOKUP(C192,'Stock CD'!B:I,8,0),0)</f>
        <v>0</v>
      </c>
      <c r="V192" s="400">
        <f t="shared" si="75"/>
        <v>240</v>
      </c>
      <c r="X192" s="444">
        <f>+SUMIFS('Conteo 24-02'!F:F,'Conteo 24-02'!$A:$A,$C192)</f>
        <v>0</v>
      </c>
      <c r="Y192" s="304">
        <f>+SUMIFS('Conteo 24-02'!G:G,'Conteo 24-02'!$A:$A,$C192)</f>
        <v>0</v>
      </c>
      <c r="Z192" s="507">
        <v>1000</v>
      </c>
      <c r="AB192" s="424" t="s">
        <v>1466</v>
      </c>
      <c r="AC192" s="409">
        <v>48</v>
      </c>
      <c r="AD192" s="359">
        <v>25000</v>
      </c>
      <c r="AE192" s="260">
        <v>25</v>
      </c>
      <c r="AF192" s="323"/>
      <c r="AG192" s="552" t="str">
        <f>+VLOOKUP(C192,'[1]Chef Troquel'!$A$4:$F$92,5,0)</f>
        <v>Huevo</v>
      </c>
      <c r="AH192" s="260" t="s">
        <v>1655</v>
      </c>
      <c r="AI192" s="333">
        <v>5</v>
      </c>
      <c r="AK192" s="424">
        <v>0</v>
      </c>
      <c r="AL192" s="333">
        <v>100</v>
      </c>
    </row>
    <row r="193" spans="1:38" ht="18" customHeight="1" x14ac:dyDescent="0.3">
      <c r="A193" t="s">
        <v>1466</v>
      </c>
      <c r="B193" s="414">
        <v>2315700</v>
      </c>
      <c r="C193" s="433">
        <v>633</v>
      </c>
      <c r="D193" s="260" t="str">
        <f>+VLOOKUP(C193,'Conteo 24-02'!$A$8:$D$246,4,0)</f>
        <v>Q5</v>
      </c>
      <c r="E193" s="320" t="s">
        <v>1041</v>
      </c>
      <c r="F193" s="802" t="s">
        <v>1352</v>
      </c>
      <c r="G193" s="499"/>
      <c r="H193" s="473"/>
      <c r="J193" s="751">
        <f t="shared" si="70"/>
        <v>0</v>
      </c>
      <c r="K193" s="478">
        <f t="shared" si="71"/>
        <v>0</v>
      </c>
      <c r="M193" s="726">
        <f t="shared" si="72"/>
        <v>180</v>
      </c>
      <c r="N193" s="377">
        <f t="shared" si="77"/>
        <v>180</v>
      </c>
      <c r="O193" s="343">
        <f t="shared" si="78"/>
        <v>0</v>
      </c>
      <c r="P193" s="613"/>
      <c r="R193" s="397">
        <f>+IFERROR(SUMIFS('Stock CD'!D:D,C32,'Stock CD'!C:C),0)</f>
        <v>0</v>
      </c>
      <c r="S193" s="400">
        <f t="shared" si="79"/>
        <v>0</v>
      </c>
      <c r="U193" s="397">
        <f>+IFERROR(VLOOKUP(C193,'Stock CD'!B:I,8,0),0)</f>
        <v>0</v>
      </c>
      <c r="V193" s="400">
        <f t="shared" si="75"/>
        <v>180</v>
      </c>
      <c r="X193" s="444">
        <f>+SUMIFS('Conteo 24-02'!F:F,'Conteo 24-02'!$A:$A,$C193)</f>
        <v>0</v>
      </c>
      <c r="Y193" s="304">
        <f>+SUMIFS('Conteo 24-02'!G:G,'Conteo 24-02'!$A:$A,$C193)</f>
        <v>0</v>
      </c>
      <c r="Z193" s="507">
        <v>1000</v>
      </c>
      <c r="AB193" s="424" t="s">
        <v>1466</v>
      </c>
      <c r="AC193" s="409">
        <v>36</v>
      </c>
      <c r="AD193" s="359">
        <v>25000</v>
      </c>
      <c r="AE193" s="260">
        <v>25</v>
      </c>
      <c r="AF193" s="323"/>
      <c r="AG193" s="552" t="str">
        <f>+VLOOKUP(C193,'[1]Chef Troquel'!$A$4:$F$92,5,0)</f>
        <v>Huevo</v>
      </c>
      <c r="AH193" s="260" t="s">
        <v>1655</v>
      </c>
      <c r="AI193" s="333">
        <v>5</v>
      </c>
      <c r="AK193" s="424">
        <v>0</v>
      </c>
      <c r="AL193" s="333">
        <v>100</v>
      </c>
    </row>
    <row r="194" spans="1:38" ht="18" customHeight="1" x14ac:dyDescent="0.3">
      <c r="A194" t="s">
        <v>1466</v>
      </c>
      <c r="B194" s="414">
        <v>2315700</v>
      </c>
      <c r="C194" s="433">
        <v>634</v>
      </c>
      <c r="D194" s="260" t="str">
        <f>+VLOOKUP(C194,'Conteo 24-02'!$A$8:$D$246,4,0)</f>
        <v>Q5</v>
      </c>
      <c r="E194" s="320" t="s">
        <v>1041</v>
      </c>
      <c r="F194" s="802" t="s">
        <v>1749</v>
      </c>
      <c r="G194" s="499"/>
      <c r="H194" s="473"/>
      <c r="J194" s="751">
        <f t="shared" si="70"/>
        <v>0</v>
      </c>
      <c r="K194" s="478">
        <f t="shared" si="71"/>
        <v>0</v>
      </c>
      <c r="M194" s="726">
        <f t="shared" si="72"/>
        <v>120</v>
      </c>
      <c r="N194" s="377">
        <f t="shared" si="77"/>
        <v>120</v>
      </c>
      <c r="O194" s="343">
        <f t="shared" si="78"/>
        <v>0</v>
      </c>
      <c r="P194" s="613"/>
      <c r="R194" s="397">
        <f>+IFERROR(SUMIFS('Stock CD'!D:D,C34,'Stock CD'!C:C),0)</f>
        <v>0</v>
      </c>
      <c r="S194" s="400">
        <f t="shared" si="79"/>
        <v>0</v>
      </c>
      <c r="U194" s="397">
        <f>+IFERROR(VLOOKUP(C194,'Stock CD'!B:I,8,0),0)</f>
        <v>0</v>
      </c>
      <c r="V194" s="400">
        <f t="shared" si="75"/>
        <v>120</v>
      </c>
      <c r="X194" s="444">
        <f>+SUMIFS('Conteo 24-02'!F:F,'Conteo 24-02'!$A:$A,$C194)</f>
        <v>0</v>
      </c>
      <c r="Y194" s="304">
        <f>+SUMIFS('Conteo 24-02'!G:G,'Conteo 24-02'!$A:$A,$C194)</f>
        <v>0</v>
      </c>
      <c r="Z194" s="507">
        <v>1000</v>
      </c>
      <c r="AB194" s="424" t="s">
        <v>1466</v>
      </c>
      <c r="AC194" s="409">
        <v>24</v>
      </c>
      <c r="AD194" s="359">
        <v>25000</v>
      </c>
      <c r="AE194" s="260">
        <v>25</v>
      </c>
      <c r="AF194" s="323"/>
      <c r="AG194" s="552" t="str">
        <f>+VLOOKUP(C194,'[1]Chef Troquel'!$A$4:$F$92,5,0)</f>
        <v>Huevo</v>
      </c>
      <c r="AH194" s="260" t="s">
        <v>1655</v>
      </c>
      <c r="AI194" s="333">
        <v>5</v>
      </c>
      <c r="AK194" s="424">
        <v>0</v>
      </c>
      <c r="AL194" s="333">
        <v>100</v>
      </c>
    </row>
    <row r="195" spans="1:38" ht="18" customHeight="1" x14ac:dyDescent="0.3">
      <c r="A195" t="s">
        <v>1466</v>
      </c>
      <c r="B195" s="414">
        <v>2315700</v>
      </c>
      <c r="C195" s="433">
        <v>635</v>
      </c>
      <c r="D195" s="260" t="str">
        <f>+VLOOKUP(C195,'Conteo 24-02'!$A$8:$D$246,4,0)</f>
        <v>Q5</v>
      </c>
      <c r="E195" s="320" t="s">
        <v>1041</v>
      </c>
      <c r="F195" s="802" t="s">
        <v>1750</v>
      </c>
      <c r="G195" s="499"/>
      <c r="H195" s="473"/>
      <c r="J195" s="751">
        <f t="shared" si="70"/>
        <v>0</v>
      </c>
      <c r="K195" s="478">
        <f t="shared" si="71"/>
        <v>0</v>
      </c>
      <c r="M195" s="726">
        <f t="shared" si="72"/>
        <v>240</v>
      </c>
      <c r="N195" s="377">
        <f t="shared" si="77"/>
        <v>240</v>
      </c>
      <c r="O195" s="343">
        <f t="shared" si="78"/>
        <v>0</v>
      </c>
      <c r="P195" s="613"/>
      <c r="R195" s="397">
        <f>+IFERROR(SUMIFS('Stock CD'!D:D,#REF!,'Stock CD'!C:C),0)</f>
        <v>0</v>
      </c>
      <c r="S195" s="400">
        <f t="shared" si="79"/>
        <v>0</v>
      </c>
      <c r="U195" s="397">
        <f>+IFERROR(VLOOKUP(C195,'Stock CD'!B:I,8,0),0)</f>
        <v>0</v>
      </c>
      <c r="V195" s="400">
        <f t="shared" si="75"/>
        <v>240</v>
      </c>
      <c r="X195" s="444">
        <f>+SUMIFS('Conteo 24-02'!F:F,'Conteo 24-02'!$A:$A,$C195)</f>
        <v>0</v>
      </c>
      <c r="Y195" s="304">
        <f>+SUMIFS('Conteo 24-02'!G:G,'Conteo 24-02'!$A:$A,$C195)</f>
        <v>0</v>
      </c>
      <c r="Z195" s="507">
        <v>1000</v>
      </c>
      <c r="AB195" s="424" t="s">
        <v>1466</v>
      </c>
      <c r="AC195" s="409">
        <v>48</v>
      </c>
      <c r="AD195" s="359">
        <v>25000</v>
      </c>
      <c r="AE195" s="260">
        <v>25</v>
      </c>
      <c r="AF195" s="323"/>
      <c r="AG195" s="552" t="str">
        <f>+VLOOKUP(C195,'[1]Chef Troquel'!$A$4:$F$92,5,0)</f>
        <v>Huevo</v>
      </c>
      <c r="AH195" s="260" t="s">
        <v>1655</v>
      </c>
      <c r="AI195" s="333">
        <v>5</v>
      </c>
      <c r="AK195" s="424">
        <v>0</v>
      </c>
      <c r="AL195" s="333">
        <v>100</v>
      </c>
    </row>
    <row r="196" spans="1:38" ht="18" customHeight="1" x14ac:dyDescent="0.3">
      <c r="A196" t="s">
        <v>1466</v>
      </c>
      <c r="B196" s="414">
        <v>2315700</v>
      </c>
      <c r="C196" s="433">
        <v>636</v>
      </c>
      <c r="D196" s="260" t="str">
        <f>+VLOOKUP(C196,'Conteo 24-02'!$A$8:$D$246,4,0)</f>
        <v>Q5</v>
      </c>
      <c r="E196" s="320" t="s">
        <v>1041</v>
      </c>
      <c r="F196" s="802" t="s">
        <v>1751</v>
      </c>
      <c r="G196" s="499"/>
      <c r="H196" s="473"/>
      <c r="J196" s="751">
        <f t="shared" si="70"/>
        <v>0</v>
      </c>
      <c r="K196" s="478">
        <f t="shared" si="71"/>
        <v>0</v>
      </c>
      <c r="M196" s="726">
        <f t="shared" si="72"/>
        <v>240</v>
      </c>
      <c r="N196" s="377">
        <f t="shared" si="77"/>
        <v>240</v>
      </c>
      <c r="O196" s="343">
        <f t="shared" si="78"/>
        <v>0</v>
      </c>
      <c r="P196" s="613"/>
      <c r="R196" s="397">
        <f>+IFERROR(SUMIFS('Stock CD'!D:D,C36,'Stock CD'!C:C),0)</f>
        <v>0</v>
      </c>
      <c r="S196" s="400">
        <f t="shared" si="79"/>
        <v>0</v>
      </c>
      <c r="U196" s="397">
        <f>+IFERROR(VLOOKUP(C196,'Stock CD'!B:I,8,0),0)</f>
        <v>0</v>
      </c>
      <c r="V196" s="400">
        <f t="shared" si="75"/>
        <v>240</v>
      </c>
      <c r="X196" s="444">
        <f>+SUMIFS('Conteo 24-02'!F:F,'Conteo 24-02'!$A:$A,$C196)</f>
        <v>0</v>
      </c>
      <c r="Y196" s="304">
        <f>+SUMIFS('Conteo 24-02'!G:G,'Conteo 24-02'!$A:$A,$C196)</f>
        <v>0</v>
      </c>
      <c r="Z196" s="507">
        <v>1000</v>
      </c>
      <c r="AB196" s="424" t="s">
        <v>1466</v>
      </c>
      <c r="AC196" s="409">
        <v>48</v>
      </c>
      <c r="AD196" s="359">
        <v>25000</v>
      </c>
      <c r="AE196" s="260">
        <v>25</v>
      </c>
      <c r="AF196" s="323"/>
      <c r="AG196" s="552" t="str">
        <f>+VLOOKUP(C196,'[1]Chef Troquel'!$A$4:$F$92,5,0)</f>
        <v>Huevo</v>
      </c>
      <c r="AH196" s="260" t="s">
        <v>1655</v>
      </c>
      <c r="AI196" s="333">
        <v>5</v>
      </c>
      <c r="AK196" s="424">
        <v>0</v>
      </c>
      <c r="AL196" s="333">
        <v>100</v>
      </c>
    </row>
    <row r="197" spans="1:38" ht="18" customHeight="1" x14ac:dyDescent="0.3">
      <c r="A197" t="s">
        <v>1466</v>
      </c>
      <c r="B197" s="414">
        <v>2315700</v>
      </c>
      <c r="C197" s="433">
        <v>637</v>
      </c>
      <c r="D197" s="260" t="str">
        <f>+VLOOKUP(C197,'Conteo 24-02'!$A$8:$D$246,4,0)</f>
        <v>Q5</v>
      </c>
      <c r="E197" s="320" t="s">
        <v>1041</v>
      </c>
      <c r="F197" s="802" t="s">
        <v>1752</v>
      </c>
      <c r="G197" s="499"/>
      <c r="H197" s="473"/>
      <c r="J197" s="751">
        <f t="shared" si="70"/>
        <v>0</v>
      </c>
      <c r="K197" s="478">
        <f t="shared" si="71"/>
        <v>0</v>
      </c>
      <c r="M197" s="726">
        <f t="shared" si="72"/>
        <v>120</v>
      </c>
      <c r="N197" s="377">
        <f t="shared" si="77"/>
        <v>120</v>
      </c>
      <c r="O197" s="343">
        <f t="shared" si="78"/>
        <v>0</v>
      </c>
      <c r="P197" s="613"/>
      <c r="R197" s="397">
        <f>+IFERROR(SUMIFS('Stock CD'!D:D,#REF!,'Stock CD'!C:C),0)</f>
        <v>0</v>
      </c>
      <c r="S197" s="400">
        <f t="shared" si="79"/>
        <v>0</v>
      </c>
      <c r="U197" s="397">
        <f>+IFERROR(VLOOKUP(C197,'Stock CD'!B:I,8,0),0)</f>
        <v>0</v>
      </c>
      <c r="V197" s="400">
        <f t="shared" si="75"/>
        <v>120</v>
      </c>
      <c r="X197" s="444">
        <f>+SUMIFS('Conteo 24-02'!F:F,'Conteo 24-02'!$A:$A,$C197)</f>
        <v>0</v>
      </c>
      <c r="Y197" s="304">
        <f>+SUMIFS('Conteo 24-02'!G:G,'Conteo 24-02'!$A:$A,$C197)</f>
        <v>0</v>
      </c>
      <c r="Z197" s="507">
        <v>1000</v>
      </c>
      <c r="AB197" s="424" t="s">
        <v>1466</v>
      </c>
      <c r="AC197" s="409">
        <v>24</v>
      </c>
      <c r="AD197" s="359">
        <v>25000</v>
      </c>
      <c r="AE197" s="260">
        <v>25</v>
      </c>
      <c r="AF197" s="323"/>
      <c r="AG197" s="552" t="str">
        <f>+VLOOKUP(C197,'[1]Chef Troquel'!$A$4:$F$92,5,0)</f>
        <v>Huevo</v>
      </c>
      <c r="AH197" s="260" t="s">
        <v>1655</v>
      </c>
      <c r="AI197" s="333">
        <v>5</v>
      </c>
      <c r="AK197" s="424">
        <v>0</v>
      </c>
      <c r="AL197" s="333">
        <v>100</v>
      </c>
    </row>
    <row r="198" spans="1:38" ht="18" customHeight="1" x14ac:dyDescent="0.3">
      <c r="A198" t="s">
        <v>1466</v>
      </c>
      <c r="B198" s="414">
        <v>2315700</v>
      </c>
      <c r="C198" s="433">
        <v>842</v>
      </c>
      <c r="D198" s="260" t="str">
        <f>+VLOOKUP(C198,'Conteo 24-02'!$A$8:$D$246,4,0)</f>
        <v>X2C</v>
      </c>
      <c r="E198" s="320" t="s">
        <v>1041</v>
      </c>
      <c r="F198" s="802" t="s">
        <v>1137</v>
      </c>
      <c r="G198" s="499"/>
      <c r="H198" s="473"/>
      <c r="J198" s="751">
        <f t="shared" si="70"/>
        <v>1.946969696969697</v>
      </c>
      <c r="K198" s="478">
        <f t="shared" si="71"/>
        <v>1.946969696969697</v>
      </c>
      <c r="M198" s="726">
        <f t="shared" si="72"/>
        <v>0</v>
      </c>
      <c r="N198" s="377">
        <f t="shared" si="77"/>
        <v>1320</v>
      </c>
      <c r="O198" s="343">
        <f t="shared" si="78"/>
        <v>2570</v>
      </c>
      <c r="P198" s="613"/>
      <c r="R198" s="397">
        <f>+IFERROR(SUMIFS('Stock CD'!D:D,C35,'Stock CD'!C:C),0)</f>
        <v>0</v>
      </c>
      <c r="S198" s="400">
        <f t="shared" si="79"/>
        <v>2570</v>
      </c>
      <c r="U198" s="397">
        <f>+IFERROR(VLOOKUP(C198,'Stock CD'!B:I,8,0),0)</f>
        <v>0</v>
      </c>
      <c r="V198" s="400">
        <f t="shared" si="75"/>
        <v>1320</v>
      </c>
      <c r="X198" s="444">
        <f>+SUMIFS('Conteo 24-02'!F:F,'Conteo 24-02'!$A:$A,$C198)</f>
        <v>2</v>
      </c>
      <c r="Y198" s="304">
        <f>+SUMIFS('Conteo 24-02'!G:G,'Conteo 24-02'!$A:$A,$C198)</f>
        <v>570</v>
      </c>
      <c r="Z198" s="507">
        <v>1000</v>
      </c>
      <c r="AB198" s="424" t="s">
        <v>1466</v>
      </c>
      <c r="AC198" s="409">
        <v>264</v>
      </c>
      <c r="AD198" s="359">
        <v>25000</v>
      </c>
      <c r="AE198" s="260">
        <v>25</v>
      </c>
      <c r="AF198" s="323"/>
      <c r="AG198" s="552" t="str">
        <f>+VLOOKUP(C198,'[1]Chef Troquel'!$A$4:$F$92,5,0)</f>
        <v>Huevo</v>
      </c>
      <c r="AH198" s="260" t="s">
        <v>1655</v>
      </c>
      <c r="AI198" s="333">
        <v>5</v>
      </c>
      <c r="AK198" s="424">
        <v>0</v>
      </c>
      <c r="AL198" s="333">
        <v>100</v>
      </c>
    </row>
    <row r="199" spans="1:38" ht="18" customHeight="1" x14ac:dyDescent="0.3">
      <c r="A199" t="s">
        <v>1466</v>
      </c>
      <c r="B199" s="414">
        <v>2315700</v>
      </c>
      <c r="C199" s="433">
        <v>843</v>
      </c>
      <c r="D199" s="260" t="str">
        <f>+VLOOKUP(C199,'Conteo 24-02'!$A$8:$D$246,4,0)</f>
        <v>Q5</v>
      </c>
      <c r="E199" s="320" t="s">
        <v>1041</v>
      </c>
      <c r="F199" s="802" t="s">
        <v>1138</v>
      </c>
      <c r="G199" s="499"/>
      <c r="H199" s="473"/>
      <c r="J199" s="751">
        <f t="shared" si="70"/>
        <v>0</v>
      </c>
      <c r="K199" s="478">
        <f t="shared" si="71"/>
        <v>0</v>
      </c>
      <c r="M199" s="726">
        <f t="shared" si="72"/>
        <v>360</v>
      </c>
      <c r="N199" s="377">
        <f t="shared" si="77"/>
        <v>360</v>
      </c>
      <c r="O199" s="343">
        <f t="shared" si="78"/>
        <v>0</v>
      </c>
      <c r="P199" s="613"/>
      <c r="R199" s="397">
        <f>+IFERROR(SUMIFS('Stock CD'!D:D,C37,'Stock CD'!C:C),0)</f>
        <v>0</v>
      </c>
      <c r="S199" s="400">
        <f t="shared" si="79"/>
        <v>0</v>
      </c>
      <c r="U199" s="397">
        <f>+IFERROR(VLOOKUP(C199,'Stock CD'!B:I,8,0),0)</f>
        <v>0</v>
      </c>
      <c r="V199" s="400">
        <f t="shared" si="75"/>
        <v>360</v>
      </c>
      <c r="X199" s="444">
        <f>+SUMIFS('Conteo 24-02'!F:F,'Conteo 24-02'!$A:$A,$C199)</f>
        <v>0</v>
      </c>
      <c r="Y199" s="304">
        <f>+SUMIFS('Conteo 24-02'!G:G,'Conteo 24-02'!$A:$A,$C199)</f>
        <v>0</v>
      </c>
      <c r="Z199" s="507">
        <v>1000</v>
      </c>
      <c r="AB199" s="424" t="s">
        <v>1466</v>
      </c>
      <c r="AC199" s="409">
        <v>72</v>
      </c>
      <c r="AD199" s="359">
        <v>25000</v>
      </c>
      <c r="AE199" s="260">
        <v>25</v>
      </c>
      <c r="AF199" s="323"/>
      <c r="AG199" s="552" t="str">
        <f>+VLOOKUP(C199,'[1]Chef Troquel'!$A$4:$F$92,5,0)</f>
        <v>Huevo</v>
      </c>
      <c r="AH199" s="260" t="s">
        <v>1655</v>
      </c>
      <c r="AI199" s="333">
        <v>5</v>
      </c>
      <c r="AK199" s="424">
        <v>0</v>
      </c>
      <c r="AL199" s="333">
        <v>100</v>
      </c>
    </row>
    <row r="200" spans="1:38" ht="18" customHeight="1" x14ac:dyDescent="0.3">
      <c r="A200" t="s">
        <v>1466</v>
      </c>
      <c r="B200" s="414">
        <v>2315700</v>
      </c>
      <c r="C200" s="433">
        <v>844</v>
      </c>
      <c r="D200" s="260" t="str">
        <f>+VLOOKUP(C200,'Conteo 24-02'!$A$8:$D$246,4,0)</f>
        <v>Q5</v>
      </c>
      <c r="E200" s="320" t="s">
        <v>1041</v>
      </c>
      <c r="F200" s="802" t="s">
        <v>1139</v>
      </c>
      <c r="G200" s="499"/>
      <c r="H200" s="473"/>
      <c r="J200" s="751">
        <f t="shared" si="70"/>
        <v>2.3125</v>
      </c>
      <c r="K200" s="478">
        <f t="shared" si="71"/>
        <v>2.3125</v>
      </c>
      <c r="M200" s="726">
        <f t="shared" si="72"/>
        <v>0</v>
      </c>
      <c r="N200" s="377">
        <f t="shared" si="77"/>
        <v>480</v>
      </c>
      <c r="O200" s="343">
        <f t="shared" si="78"/>
        <v>1110</v>
      </c>
      <c r="P200" s="613"/>
      <c r="R200" s="397">
        <f>+IFERROR(SUMIFS('Stock CD'!D:D,C38,'Stock CD'!C:C),0)</f>
        <v>0</v>
      </c>
      <c r="S200" s="400">
        <f t="shared" si="79"/>
        <v>1110</v>
      </c>
      <c r="U200" s="397">
        <f>+IFERROR(VLOOKUP(C200,'Stock CD'!B:I,8,0),0)</f>
        <v>0</v>
      </c>
      <c r="V200" s="400">
        <f t="shared" si="75"/>
        <v>480</v>
      </c>
      <c r="X200" s="444">
        <f>+SUMIFS('Conteo 24-02'!F:F,'Conteo 24-02'!$A:$A,$C200)</f>
        <v>0</v>
      </c>
      <c r="Y200" s="304">
        <f>+SUMIFS('Conteo 24-02'!G:G,'Conteo 24-02'!$A:$A,$C200)</f>
        <v>1110</v>
      </c>
      <c r="Z200" s="507">
        <v>1000</v>
      </c>
      <c r="AB200" s="424" t="s">
        <v>1466</v>
      </c>
      <c r="AC200" s="409">
        <v>96</v>
      </c>
      <c r="AD200" s="359">
        <v>25000</v>
      </c>
      <c r="AE200" s="260">
        <v>25</v>
      </c>
      <c r="AF200" s="323"/>
      <c r="AG200" s="552" t="str">
        <f>+VLOOKUP(C200,'[1]Chef Troquel'!$A$4:$F$92,5,0)</f>
        <v>Huevo</v>
      </c>
      <c r="AH200" s="260" t="s">
        <v>1655</v>
      </c>
      <c r="AI200" s="333">
        <v>5</v>
      </c>
      <c r="AK200" s="424">
        <v>0</v>
      </c>
      <c r="AL200" s="333">
        <v>100</v>
      </c>
    </row>
    <row r="201" spans="1:38" ht="18" customHeight="1" x14ac:dyDescent="0.3">
      <c r="A201" t="s">
        <v>1466</v>
      </c>
      <c r="B201" s="414">
        <v>2315700</v>
      </c>
      <c r="C201" s="433">
        <v>845</v>
      </c>
      <c r="D201" s="260" t="str">
        <f>+VLOOKUP(C201,'Conteo 24-02'!$A$8:$D$246,4,0)</f>
        <v>Q5</v>
      </c>
      <c r="E201" s="320" t="s">
        <v>1041</v>
      </c>
      <c r="F201" s="802" t="s">
        <v>1140</v>
      </c>
      <c r="G201" s="499"/>
      <c r="H201" s="473"/>
      <c r="J201" s="751">
        <f t="shared" si="70"/>
        <v>0</v>
      </c>
      <c r="K201" s="478">
        <f t="shared" si="71"/>
        <v>0</v>
      </c>
      <c r="M201" s="726">
        <f t="shared" si="72"/>
        <v>840</v>
      </c>
      <c r="N201" s="377">
        <f t="shared" si="77"/>
        <v>840</v>
      </c>
      <c r="O201" s="343">
        <f t="shared" si="78"/>
        <v>0</v>
      </c>
      <c r="P201" s="613"/>
      <c r="R201" s="397">
        <f>+IFERROR(SUMIFS('Stock CD'!D:D,C39,'Stock CD'!C:C),0)</f>
        <v>0</v>
      </c>
      <c r="S201" s="400">
        <f t="shared" si="79"/>
        <v>0</v>
      </c>
      <c r="U201" s="397">
        <f>+IFERROR(VLOOKUP(C201,'Stock CD'!B:I,8,0),0)</f>
        <v>0</v>
      </c>
      <c r="V201" s="400">
        <f t="shared" si="75"/>
        <v>840</v>
      </c>
      <c r="X201" s="444">
        <f>+SUMIFS('Conteo 24-02'!F:F,'Conteo 24-02'!$A:$A,$C201)</f>
        <v>0</v>
      </c>
      <c r="Y201" s="304">
        <f>+SUMIFS('Conteo 24-02'!G:G,'Conteo 24-02'!$A:$A,$C201)</f>
        <v>0</v>
      </c>
      <c r="Z201" s="507">
        <v>1000</v>
      </c>
      <c r="AB201" s="424" t="s">
        <v>1466</v>
      </c>
      <c r="AC201" s="409">
        <v>168</v>
      </c>
      <c r="AD201" s="359">
        <v>25000</v>
      </c>
      <c r="AE201" s="260">
        <v>25</v>
      </c>
      <c r="AF201" s="323"/>
      <c r="AG201" s="552" t="str">
        <f>+VLOOKUP(C201,'[1]Chef Troquel'!$A$4:$F$92,5,0)</f>
        <v>Huevo</v>
      </c>
      <c r="AH201" s="260" t="s">
        <v>1655</v>
      </c>
      <c r="AI201" s="333">
        <v>5</v>
      </c>
      <c r="AK201" s="424">
        <v>0</v>
      </c>
      <c r="AL201" s="333">
        <v>100</v>
      </c>
    </row>
    <row r="202" spans="1:38" ht="18" customHeight="1" x14ac:dyDescent="0.3">
      <c r="A202" t="s">
        <v>1466</v>
      </c>
      <c r="B202" s="414">
        <v>2315700</v>
      </c>
      <c r="C202" s="433">
        <v>856</v>
      </c>
      <c r="D202" s="260" t="str">
        <f>+VLOOKUP(C202,'Conteo 24-02'!$A$8:$D$246,4,0)</f>
        <v>O3C</v>
      </c>
      <c r="E202" s="320" t="s">
        <v>1041</v>
      </c>
      <c r="F202" s="802" t="s">
        <v>1144</v>
      </c>
      <c r="G202" s="499"/>
      <c r="H202" s="473"/>
      <c r="J202" s="751">
        <f t="shared" si="70"/>
        <v>0</v>
      </c>
      <c r="K202" s="478">
        <f t="shared" si="71"/>
        <v>0</v>
      </c>
      <c r="M202" s="726">
        <f t="shared" si="72"/>
        <v>480</v>
      </c>
      <c r="N202" s="377">
        <f t="shared" si="77"/>
        <v>480</v>
      </c>
      <c r="O202" s="343">
        <f t="shared" si="78"/>
        <v>0</v>
      </c>
      <c r="P202" s="613"/>
      <c r="R202" s="397">
        <f>+IFERROR(SUMIFS('Stock CD'!D:D,C42,'Stock CD'!C:C),0)</f>
        <v>0</v>
      </c>
      <c r="S202" s="400">
        <f t="shared" si="79"/>
        <v>0</v>
      </c>
      <c r="U202" s="397">
        <f>+IFERROR(VLOOKUP(C202,'Stock CD'!B:I,8,0),0)</f>
        <v>0</v>
      </c>
      <c r="V202" s="400">
        <f t="shared" si="75"/>
        <v>480</v>
      </c>
      <c r="X202" s="444">
        <f>+SUMIFS('Conteo 24-02'!F:F,'Conteo 24-02'!$A:$A,$C202)</f>
        <v>0</v>
      </c>
      <c r="Y202" s="304">
        <f>+SUMIFS('Conteo 24-02'!G:G,'Conteo 24-02'!$A:$A,$C202)</f>
        <v>0</v>
      </c>
      <c r="Z202" s="507">
        <v>1000</v>
      </c>
      <c r="AB202" s="424" t="s">
        <v>1466</v>
      </c>
      <c r="AC202" s="409">
        <v>96</v>
      </c>
      <c r="AD202" s="359">
        <v>25000</v>
      </c>
      <c r="AE202" s="260">
        <v>25</v>
      </c>
      <c r="AF202" s="323"/>
      <c r="AG202" s="552" t="str">
        <f>+VLOOKUP(C202,'[1]Chef Troquel'!$A$4:$F$92,5,0)</f>
        <v>Huevo</v>
      </c>
      <c r="AH202" s="260" t="s">
        <v>1655</v>
      </c>
      <c r="AI202" s="333">
        <v>5</v>
      </c>
      <c r="AK202" s="424">
        <v>0</v>
      </c>
      <c r="AL202" s="333">
        <v>100</v>
      </c>
    </row>
    <row r="203" spans="1:38" ht="18" customHeight="1" x14ac:dyDescent="0.3">
      <c r="A203" t="s">
        <v>1466</v>
      </c>
      <c r="B203" s="414">
        <v>2315700</v>
      </c>
      <c r="C203" s="433">
        <v>857</v>
      </c>
      <c r="D203" s="260" t="str">
        <f>+VLOOKUP(C203,'Conteo 24-02'!$A$8:$D$246,4,0)</f>
        <v>O2C</v>
      </c>
      <c r="E203" s="320" t="s">
        <v>1041</v>
      </c>
      <c r="F203" s="802" t="s">
        <v>1145</v>
      </c>
      <c r="G203" s="499"/>
      <c r="H203" s="473"/>
      <c r="J203" s="751">
        <f t="shared" si="70"/>
        <v>0</v>
      </c>
      <c r="K203" s="478">
        <f t="shared" si="71"/>
        <v>0</v>
      </c>
      <c r="M203" s="726">
        <f t="shared" si="72"/>
        <v>120</v>
      </c>
      <c r="N203" s="377">
        <f t="shared" si="77"/>
        <v>120</v>
      </c>
      <c r="O203" s="343">
        <f t="shared" si="78"/>
        <v>0</v>
      </c>
      <c r="P203" s="613"/>
      <c r="R203" s="397">
        <f>+IFERROR(SUMIFS('Stock CD'!D:D,C43,'Stock CD'!C:C),0)</f>
        <v>0</v>
      </c>
      <c r="S203" s="400">
        <f t="shared" si="79"/>
        <v>0</v>
      </c>
      <c r="U203" s="397">
        <f>+IFERROR(VLOOKUP(C203,'Stock CD'!B:I,8,0),0)</f>
        <v>0</v>
      </c>
      <c r="V203" s="400">
        <f t="shared" si="75"/>
        <v>120</v>
      </c>
      <c r="X203" s="444">
        <f>+SUMIFS('Conteo 24-02'!F:F,'Conteo 24-02'!$A:$A,$C203)</f>
        <v>0</v>
      </c>
      <c r="Y203" s="304">
        <f>+SUMIFS('Conteo 24-02'!G:G,'Conteo 24-02'!$A:$A,$C203)</f>
        <v>0</v>
      </c>
      <c r="Z203" s="507">
        <v>1000</v>
      </c>
      <c r="AB203" s="424" t="s">
        <v>1466</v>
      </c>
      <c r="AC203" s="409">
        <v>24</v>
      </c>
      <c r="AD203" s="359">
        <v>25000</v>
      </c>
      <c r="AE203" s="260">
        <v>25</v>
      </c>
      <c r="AF203" s="323"/>
      <c r="AG203" s="552" t="str">
        <f>+VLOOKUP(C203,'[1]Chef Troquel'!$A$4:$F$92,5,0)</f>
        <v>Huevo</v>
      </c>
      <c r="AH203" s="260" t="s">
        <v>1655</v>
      </c>
      <c r="AI203" s="333">
        <v>5</v>
      </c>
      <c r="AK203" s="424">
        <v>0</v>
      </c>
      <c r="AL203" s="333">
        <v>100</v>
      </c>
    </row>
    <row r="204" spans="1:38" ht="18" customHeight="1" x14ac:dyDescent="0.3">
      <c r="A204" t="s">
        <v>1466</v>
      </c>
      <c r="B204" s="414">
        <v>2315700</v>
      </c>
      <c r="C204" s="433">
        <v>858</v>
      </c>
      <c r="D204" s="260" t="str">
        <f>+VLOOKUP(C204,'Conteo 24-02'!$A$8:$D$246,4,0)</f>
        <v>O2C</v>
      </c>
      <c r="E204" s="320" t="s">
        <v>1041</v>
      </c>
      <c r="F204" s="802" t="s">
        <v>823</v>
      </c>
      <c r="G204" s="433"/>
      <c r="H204" s="473"/>
      <c r="J204" s="751">
        <f t="shared" si="70"/>
        <v>3.3333333333333335</v>
      </c>
      <c r="K204" s="478">
        <f t="shared" si="71"/>
        <v>3.3333333333333335</v>
      </c>
      <c r="M204" s="726">
        <f t="shared" si="72"/>
        <v>0</v>
      </c>
      <c r="N204" s="377">
        <f t="shared" si="77"/>
        <v>480</v>
      </c>
      <c r="O204" s="343">
        <f t="shared" si="78"/>
        <v>1600</v>
      </c>
      <c r="P204" s="613"/>
      <c r="R204" s="397">
        <f>+IFERROR(SUMIFS('Stock CD'!D:D,C44,'Stock CD'!C:C),0)</f>
        <v>0</v>
      </c>
      <c r="S204" s="400">
        <f t="shared" si="79"/>
        <v>1600</v>
      </c>
      <c r="U204" s="397">
        <f>+IFERROR(VLOOKUP(C204,'Stock CD'!B:I,8,0),0)</f>
        <v>0</v>
      </c>
      <c r="V204" s="400">
        <f t="shared" si="75"/>
        <v>480</v>
      </c>
      <c r="X204" s="444">
        <f>+SUMIFS('Conteo 24-02'!F:F,'Conteo 24-02'!$A:$A,$C204)</f>
        <v>0</v>
      </c>
      <c r="Y204" s="304">
        <f>+SUMIFS('Conteo 24-02'!G:G,'Conteo 24-02'!$A:$A,$C204)</f>
        <v>1600</v>
      </c>
      <c r="Z204" s="507">
        <v>1000</v>
      </c>
      <c r="AB204" s="424" t="s">
        <v>1466</v>
      </c>
      <c r="AC204" s="409">
        <v>96</v>
      </c>
      <c r="AD204" s="359">
        <v>25000</v>
      </c>
      <c r="AE204" s="260">
        <v>25</v>
      </c>
      <c r="AF204" s="323"/>
      <c r="AG204" s="552" t="str">
        <f>+VLOOKUP(C204,'[1]Chef Troquel'!$A$4:$F$92,5,0)</f>
        <v>Huevo</v>
      </c>
      <c r="AH204" s="260" t="s">
        <v>1655</v>
      </c>
      <c r="AI204" s="333">
        <v>5</v>
      </c>
      <c r="AK204" s="424">
        <v>0</v>
      </c>
      <c r="AL204" s="333">
        <v>100</v>
      </c>
    </row>
    <row r="205" spans="1:38" ht="18" customHeight="1" x14ac:dyDescent="0.3">
      <c r="A205" t="s">
        <v>1466</v>
      </c>
      <c r="B205" s="414">
        <v>2315700</v>
      </c>
      <c r="C205" s="433">
        <v>859</v>
      </c>
      <c r="D205" s="260" t="str">
        <f>+VLOOKUP(C205,'Conteo 24-02'!$A$8:$D$246,4,0)</f>
        <v>N2A</v>
      </c>
      <c r="E205" s="320" t="s">
        <v>1041</v>
      </c>
      <c r="F205" s="802" t="s">
        <v>819</v>
      </c>
      <c r="G205" s="433"/>
      <c r="H205" s="473"/>
      <c r="J205" s="751">
        <f>+IFERROR(O205/N205,0)</f>
        <v>3.125</v>
      </c>
      <c r="K205" s="478">
        <f t="shared" si="71"/>
        <v>3.125</v>
      </c>
      <c r="M205" s="726">
        <f>IF(N205-O205-P205&lt;0,0,N205-O205-P205)</f>
        <v>0</v>
      </c>
      <c r="N205" s="377">
        <f>+IFERROR(AC205*AI205,0)</f>
        <v>480</v>
      </c>
      <c r="O205" s="343">
        <f>+(X205*Z205)+Y205</f>
        <v>1500</v>
      </c>
      <c r="P205" s="613"/>
      <c r="R205" s="397">
        <f>+IFERROR(SUMIFS('Stock CD'!D:D,C45,'Stock CD'!C:C),0)</f>
        <v>0</v>
      </c>
      <c r="S205" s="400">
        <f>+R205+O205</f>
        <v>1500</v>
      </c>
      <c r="U205" s="397">
        <f>+IFERROR(VLOOKUP(C205,'Stock CD'!B:I,8,0),0)</f>
        <v>0</v>
      </c>
      <c r="V205" s="400">
        <f>+U205+N205</f>
        <v>480</v>
      </c>
      <c r="X205" s="444">
        <f>+SUMIFS('Conteo 24-02'!F:F,'Conteo 24-02'!$A:$A,$C205)</f>
        <v>1</v>
      </c>
      <c r="Y205" s="304">
        <f>+SUMIFS('Conteo 24-02'!G:G,'Conteo 24-02'!$A:$A,$C205)</f>
        <v>500</v>
      </c>
      <c r="Z205" s="507">
        <v>1000</v>
      </c>
      <c r="AB205" s="424" t="s">
        <v>1466</v>
      </c>
      <c r="AC205" s="409">
        <v>96</v>
      </c>
      <c r="AD205" s="359">
        <v>25000</v>
      </c>
      <c r="AE205" s="260">
        <v>25</v>
      </c>
      <c r="AF205" s="323"/>
      <c r="AG205" s="552" t="str">
        <f>+VLOOKUP(C205,'[1]Chef Troquel'!$A$4:$F$92,5,0)</f>
        <v>Huevo</v>
      </c>
      <c r="AH205" s="260" t="s">
        <v>1655</v>
      </c>
      <c r="AI205" s="333">
        <v>5</v>
      </c>
      <c r="AK205" s="424">
        <v>0</v>
      </c>
      <c r="AL205" s="333">
        <v>100</v>
      </c>
    </row>
    <row r="206" spans="1:38" ht="18" customHeight="1" x14ac:dyDescent="0.3">
      <c r="A206" t="s">
        <v>1466</v>
      </c>
      <c r="B206" s="414">
        <v>2315700</v>
      </c>
      <c r="C206" s="433">
        <v>846</v>
      </c>
      <c r="D206" s="260" t="str">
        <f>+VLOOKUP(C206,'Conteo 24-02'!$A$8:$D$246,4,0)</f>
        <v>Q5</v>
      </c>
      <c r="E206" s="320" t="s">
        <v>1041</v>
      </c>
      <c r="F206" s="802" t="s">
        <v>1141</v>
      </c>
      <c r="G206" s="433"/>
      <c r="H206" s="473"/>
      <c r="J206" s="751">
        <f>+IFERROR(O206/N206,0)</f>
        <v>1.893939393939394</v>
      </c>
      <c r="K206" s="478">
        <f t="shared" si="71"/>
        <v>1.893939393939394</v>
      </c>
      <c r="M206" s="726">
        <f>IF(N206-O206-P206&lt;0,0,N206-O206-P206)</f>
        <v>0</v>
      </c>
      <c r="N206" s="377">
        <f>+IFERROR(AC206*AI206,0)</f>
        <v>1320</v>
      </c>
      <c r="O206" s="343">
        <f>+(X206*Z206)+Y206</f>
        <v>2500</v>
      </c>
      <c r="P206" s="613"/>
      <c r="R206" s="397">
        <f>+IFERROR(SUMIFS('Stock CD'!D:D,C40,'Stock CD'!C:C),0)</f>
        <v>0</v>
      </c>
      <c r="S206" s="400">
        <f>+R206+O206</f>
        <v>2500</v>
      </c>
      <c r="U206" s="397">
        <f>+IFERROR(VLOOKUP(C206,'Stock CD'!B:I,8,0),0)</f>
        <v>0</v>
      </c>
      <c r="V206" s="400">
        <f>+U206+N206</f>
        <v>1320</v>
      </c>
      <c r="X206" s="444">
        <f>+SUMIFS('Conteo 24-02'!F:F,'Conteo 24-02'!$A:$A,$C206)</f>
        <v>2</v>
      </c>
      <c r="Y206" s="304">
        <f>+SUMIFS('Conteo 24-02'!G:G,'Conteo 24-02'!$A:$A,$C206)</f>
        <v>500</v>
      </c>
      <c r="Z206" s="507">
        <v>1000</v>
      </c>
      <c r="AB206" s="424" t="s">
        <v>1466</v>
      </c>
      <c r="AC206" s="409">
        <v>264</v>
      </c>
      <c r="AD206" s="359">
        <v>25000</v>
      </c>
      <c r="AE206" s="260">
        <v>25</v>
      </c>
      <c r="AF206" s="323"/>
      <c r="AG206" s="552" t="str">
        <f>+VLOOKUP(C206,'[1]Chef Troquel'!$A$4:$F$92,5,0)</f>
        <v>Huevo</v>
      </c>
      <c r="AH206" s="260" t="s">
        <v>1655</v>
      </c>
      <c r="AI206" s="333">
        <v>5</v>
      </c>
      <c r="AK206" s="424">
        <v>0</v>
      </c>
      <c r="AL206" s="333">
        <v>100</v>
      </c>
    </row>
    <row r="207" spans="1:38" ht="18" customHeight="1" x14ac:dyDescent="0.3">
      <c r="A207" t="s">
        <v>1466</v>
      </c>
      <c r="B207" s="414">
        <v>2315700</v>
      </c>
      <c r="C207" s="433">
        <v>847</v>
      </c>
      <c r="D207" s="260" t="str">
        <f>+VLOOKUP(C207,'Conteo 24-02'!$A$8:$D$246,4,0)</f>
        <v>Q5</v>
      </c>
      <c r="E207" s="320" t="s">
        <v>1041</v>
      </c>
      <c r="F207" s="802" t="s">
        <v>1142</v>
      </c>
      <c r="G207" s="433"/>
      <c r="H207" s="473"/>
      <c r="J207" s="751">
        <f>+IFERROR(O207/N207,0)</f>
        <v>1.6025641025641026</v>
      </c>
      <c r="K207" s="478">
        <f t="shared" si="71"/>
        <v>1.6025641025641026</v>
      </c>
      <c r="M207" s="726">
        <f>IF(N207-O207-P207&lt;0,0,N207-O207-P207)</f>
        <v>0</v>
      </c>
      <c r="N207" s="377">
        <f>+IFERROR(AC207*AI207,0)</f>
        <v>6240</v>
      </c>
      <c r="O207" s="343">
        <f>+(X207*Z207)+Y207</f>
        <v>10000</v>
      </c>
      <c r="P207" s="613"/>
      <c r="R207" s="397">
        <f>+IFERROR(SUMIFS('Stock CD'!D:D,C41,'Stock CD'!C:C),0)</f>
        <v>0</v>
      </c>
      <c r="S207" s="400">
        <f>+R207+O207</f>
        <v>10000</v>
      </c>
      <c r="U207" s="397">
        <f>+IFERROR(VLOOKUP(C207,'Stock CD'!B:I,8,0),0)</f>
        <v>0</v>
      </c>
      <c r="V207" s="400">
        <f>+U207+N207</f>
        <v>6240</v>
      </c>
      <c r="X207" s="444">
        <f>+SUMIFS('Conteo 24-02'!F:F,'Conteo 24-02'!$A:$A,$C207)</f>
        <v>10</v>
      </c>
      <c r="Y207" s="304">
        <f>+SUMIFS('Conteo 24-02'!G:G,'Conteo 24-02'!$A:$A,$C207)</f>
        <v>0</v>
      </c>
      <c r="Z207" s="507">
        <v>1000</v>
      </c>
      <c r="AB207" s="424" t="s">
        <v>1466</v>
      </c>
      <c r="AC207" s="409">
        <v>1248</v>
      </c>
      <c r="AD207" s="359">
        <v>25000</v>
      </c>
      <c r="AE207" s="260">
        <v>25</v>
      </c>
      <c r="AF207" s="323"/>
      <c r="AG207" s="552" t="str">
        <f>+VLOOKUP(C207,'[1]Chef Troquel'!$A$4:$F$92,5,0)</f>
        <v>Huevo</v>
      </c>
      <c r="AH207" s="260" t="s">
        <v>1655</v>
      </c>
      <c r="AI207" s="333">
        <v>5</v>
      </c>
      <c r="AK207" s="424">
        <v>0</v>
      </c>
      <c r="AL207" s="333">
        <v>100</v>
      </c>
    </row>
    <row r="208" spans="1:38" ht="18" customHeight="1" x14ac:dyDescent="0.3">
      <c r="A208" t="s">
        <v>1466</v>
      </c>
      <c r="B208" s="414">
        <v>2315700</v>
      </c>
      <c r="C208" s="433">
        <v>609</v>
      </c>
      <c r="D208" s="260" t="str">
        <f>+VLOOKUP(C208,'Conteo 24-02'!$A$8:$D$246,4,0)</f>
        <v>Q5</v>
      </c>
      <c r="E208" s="320" t="s">
        <v>1041</v>
      </c>
      <c r="F208" s="802" t="s">
        <v>1094</v>
      </c>
      <c r="G208" s="433"/>
      <c r="H208" s="473"/>
      <c r="J208" s="751">
        <f t="shared" si="70"/>
        <v>1.6666666666666667</v>
      </c>
      <c r="K208" s="478">
        <f t="shared" si="71"/>
        <v>1.6666666666666667</v>
      </c>
      <c r="M208" s="726">
        <f t="shared" si="72"/>
        <v>0</v>
      </c>
      <c r="N208" s="377">
        <f t="shared" si="77"/>
        <v>2400</v>
      </c>
      <c r="O208" s="343">
        <f t="shared" si="78"/>
        <v>4000</v>
      </c>
      <c r="P208" s="613"/>
      <c r="R208" s="397">
        <f>+IFERROR(SUMIFS('Stock CD'!D:D,C46,'Stock CD'!C:C),0)</f>
        <v>0</v>
      </c>
      <c r="S208" s="400">
        <f t="shared" si="79"/>
        <v>4000</v>
      </c>
      <c r="U208" s="397">
        <f>+IFERROR(VLOOKUP(C208,'Stock CD'!B:I,8,0),0)</f>
        <v>0</v>
      </c>
      <c r="V208" s="400">
        <f t="shared" si="75"/>
        <v>2400</v>
      </c>
      <c r="X208" s="444">
        <f>+SUMIFS('Conteo 24-02'!F:F,'Conteo 24-02'!$A:$A,$C208)</f>
        <v>4</v>
      </c>
      <c r="Y208" s="304">
        <f>+SUMIFS('Conteo 24-02'!G:G,'Conteo 24-02'!$A:$A,$C208)</f>
        <v>0</v>
      </c>
      <c r="Z208" s="507">
        <v>1000</v>
      </c>
      <c r="AB208" s="424" t="s">
        <v>1466</v>
      </c>
      <c r="AC208" s="409">
        <v>480</v>
      </c>
      <c r="AD208" s="359">
        <v>25000</v>
      </c>
      <c r="AE208" s="260">
        <v>25</v>
      </c>
      <c r="AF208" s="323"/>
      <c r="AG208" s="552" t="str">
        <f>+VLOOKUP(C208,'[1]Chef Troquel'!$A$4:$F$92,5,0)</f>
        <v>Huevo</v>
      </c>
      <c r="AH208" s="260" t="s">
        <v>1655</v>
      </c>
      <c r="AI208" s="333">
        <v>5</v>
      </c>
      <c r="AK208" s="424">
        <v>0</v>
      </c>
      <c r="AL208" s="333">
        <v>100</v>
      </c>
    </row>
    <row r="209" spans="1:38" ht="18" customHeight="1" x14ac:dyDescent="0.3">
      <c r="A209" t="s">
        <v>1466</v>
      </c>
      <c r="B209" s="414">
        <v>2315700</v>
      </c>
      <c r="C209" s="433">
        <v>789</v>
      </c>
      <c r="D209" s="260" t="str">
        <f>+VLOOKUP(C209,'Conteo 24-02'!$A$8:$D$246,4,0)</f>
        <v>Q5</v>
      </c>
      <c r="E209" s="320" t="s">
        <v>1041</v>
      </c>
      <c r="F209" s="802" t="s">
        <v>1127</v>
      </c>
      <c r="G209" s="499"/>
      <c r="H209" s="473"/>
      <c r="J209" s="751">
        <f t="shared" si="70"/>
        <v>0.71</v>
      </c>
      <c r="K209" s="478">
        <f t="shared" si="71"/>
        <v>0.71</v>
      </c>
      <c r="M209" s="726">
        <f t="shared" si="72"/>
        <v>870</v>
      </c>
      <c r="N209" s="377">
        <f t="shared" si="77"/>
        <v>3000</v>
      </c>
      <c r="O209" s="343">
        <f t="shared" si="78"/>
        <v>2130</v>
      </c>
      <c r="P209" s="613"/>
      <c r="R209" s="397">
        <f>+IFERROR(SUMIFS('Stock CD'!D:D,C47,'Stock CD'!C:C),0)</f>
        <v>0</v>
      </c>
      <c r="S209" s="400">
        <f t="shared" si="79"/>
        <v>2130</v>
      </c>
      <c r="U209" s="397">
        <f>+IFERROR(VLOOKUP(C209,'Stock CD'!B:I,8,0),0)</f>
        <v>0</v>
      </c>
      <c r="V209" s="400">
        <f t="shared" si="75"/>
        <v>3000</v>
      </c>
      <c r="X209" s="444">
        <f>+SUMIFS('Conteo 24-02'!F:F,'Conteo 24-02'!$A:$A,$C209)</f>
        <v>1</v>
      </c>
      <c r="Y209" s="304">
        <f>+SUMIFS('Conteo 24-02'!G:G,'Conteo 24-02'!$A:$A,$C209)</f>
        <v>1130</v>
      </c>
      <c r="Z209" s="507">
        <v>1000</v>
      </c>
      <c r="AB209" s="424" t="s">
        <v>1466</v>
      </c>
      <c r="AC209" s="409">
        <v>600</v>
      </c>
      <c r="AD209" s="359">
        <v>25000</v>
      </c>
      <c r="AE209" s="260">
        <v>25</v>
      </c>
      <c r="AF209" s="323"/>
      <c r="AG209" s="552" t="str">
        <f>+VLOOKUP(C209,'[1]Chef Troquel'!$A$4:$F$92,5,0)</f>
        <v>Huevo</v>
      </c>
      <c r="AH209" s="260" t="s">
        <v>1655</v>
      </c>
      <c r="AI209" s="333">
        <v>5</v>
      </c>
      <c r="AK209" s="424">
        <v>0</v>
      </c>
      <c r="AL209" s="333">
        <v>100</v>
      </c>
    </row>
    <row r="210" spans="1:38" ht="18" customHeight="1" x14ac:dyDescent="0.3">
      <c r="A210" t="s">
        <v>1466</v>
      </c>
      <c r="B210" s="414">
        <v>2315700</v>
      </c>
      <c r="C210" s="433">
        <v>615</v>
      </c>
      <c r="D210" s="260" t="str">
        <f>+VLOOKUP(C210,'Conteo 24-02'!$A$8:$D$246,4,0)</f>
        <v>O2A</v>
      </c>
      <c r="E210" s="320" t="s">
        <v>1041</v>
      </c>
      <c r="F210" s="802" t="s">
        <v>799</v>
      </c>
      <c r="G210" s="433"/>
      <c r="H210" s="473"/>
      <c r="J210" s="751">
        <f t="shared" si="70"/>
        <v>2.8125</v>
      </c>
      <c r="K210" s="478">
        <f t="shared" si="71"/>
        <v>2.8125</v>
      </c>
      <c r="M210" s="726">
        <f t="shared" si="72"/>
        <v>0</v>
      </c>
      <c r="N210" s="377">
        <f t="shared" si="77"/>
        <v>480</v>
      </c>
      <c r="O210" s="343">
        <f t="shared" si="78"/>
        <v>1350</v>
      </c>
      <c r="P210" s="613"/>
      <c r="R210" s="397">
        <f>+IFERROR(SUMIFS('Stock CD'!D:D,C48,'Stock CD'!C:C),0)</f>
        <v>0</v>
      </c>
      <c r="S210" s="400">
        <f t="shared" si="79"/>
        <v>1350</v>
      </c>
      <c r="U210" s="397">
        <f>+IFERROR(VLOOKUP(C210,'Stock CD'!B:I,8,0),0)</f>
        <v>0</v>
      </c>
      <c r="V210" s="400">
        <f t="shared" si="75"/>
        <v>480</v>
      </c>
      <c r="X210" s="444">
        <f>+SUMIFS('Conteo 24-02'!F:F,'Conteo 24-02'!$A:$A,$C210)</f>
        <v>1</v>
      </c>
      <c r="Y210" s="304">
        <f>+SUMIFS('Conteo 24-02'!G:G,'Conteo 24-02'!$A:$A,$C210)</f>
        <v>350</v>
      </c>
      <c r="Z210" s="507">
        <v>1000</v>
      </c>
      <c r="AB210" s="424" t="s">
        <v>1466</v>
      </c>
      <c r="AC210" s="409">
        <v>96</v>
      </c>
      <c r="AD210" s="359">
        <v>25000</v>
      </c>
      <c r="AE210" s="260">
        <v>25</v>
      </c>
      <c r="AF210" s="323"/>
      <c r="AG210" s="552" t="str">
        <f>+VLOOKUP(C210,'[1]Chef Troquel'!$A$4:$F$92,5,0)</f>
        <v>Huevo</v>
      </c>
      <c r="AH210" s="260" t="s">
        <v>1655</v>
      </c>
      <c r="AI210" s="333">
        <v>5</v>
      </c>
      <c r="AK210" s="424">
        <v>0</v>
      </c>
      <c r="AL210" s="333">
        <v>100</v>
      </c>
    </row>
    <row r="211" spans="1:38" ht="18" customHeight="1" x14ac:dyDescent="0.3">
      <c r="A211" t="s">
        <v>1466</v>
      </c>
      <c r="B211" s="414">
        <v>2315700</v>
      </c>
      <c r="C211" s="433">
        <v>828</v>
      </c>
      <c r="D211" s="260" t="str">
        <f>+VLOOKUP(C211,'Conteo 24-02'!$A$8:$D$246,4,0)</f>
        <v>Q5</v>
      </c>
      <c r="E211" s="320" t="s">
        <v>1041</v>
      </c>
      <c r="F211" s="802" t="s">
        <v>1753</v>
      </c>
      <c r="G211" s="433"/>
      <c r="H211" s="473"/>
      <c r="J211" s="751">
        <f t="shared" si="70"/>
        <v>2.425925925925926</v>
      </c>
      <c r="K211" s="478">
        <f t="shared" si="71"/>
        <v>2.425925925925926</v>
      </c>
      <c r="M211" s="726">
        <f t="shared" si="72"/>
        <v>0</v>
      </c>
      <c r="N211" s="377">
        <f t="shared" si="77"/>
        <v>540</v>
      </c>
      <c r="O211" s="343">
        <f t="shared" si="78"/>
        <v>1310</v>
      </c>
      <c r="P211" s="613"/>
      <c r="R211" s="397">
        <f>+IFERROR(SUMIFS('Stock CD'!D:D,C49,'Stock CD'!C:C),0)</f>
        <v>0</v>
      </c>
      <c r="S211" s="400">
        <f t="shared" si="79"/>
        <v>1310</v>
      </c>
      <c r="U211" s="397">
        <f>+IFERROR(VLOOKUP(C211,'Stock CD'!B:I,8,0),0)</f>
        <v>0</v>
      </c>
      <c r="V211" s="400">
        <f t="shared" si="75"/>
        <v>540</v>
      </c>
      <c r="X211" s="444">
        <f>+SUMIFS('Conteo 24-02'!F:F,'Conteo 24-02'!$A:$A,$C211)</f>
        <v>0</v>
      </c>
      <c r="Y211" s="304">
        <f>+SUMIFS('Conteo 24-02'!G:G,'Conteo 24-02'!$A:$A,$C211)</f>
        <v>1310</v>
      </c>
      <c r="Z211" s="507">
        <v>1000</v>
      </c>
      <c r="AB211" s="424" t="s">
        <v>1466</v>
      </c>
      <c r="AC211" s="409">
        <v>108</v>
      </c>
      <c r="AD211" s="359">
        <v>25000</v>
      </c>
      <c r="AE211" s="260">
        <v>25</v>
      </c>
      <c r="AF211" s="323"/>
      <c r="AG211" s="552" t="str">
        <f>+VLOOKUP(C211,'[1]Chef Troquel'!$A$4:$F$92,5,0)</f>
        <v>Huevo</v>
      </c>
      <c r="AH211" s="260" t="s">
        <v>1655</v>
      </c>
      <c r="AI211" s="333">
        <v>5</v>
      </c>
      <c r="AK211" s="424">
        <v>0</v>
      </c>
      <c r="AL211" s="333">
        <v>100</v>
      </c>
    </row>
    <row r="212" spans="1:38" ht="18" customHeight="1" thickBot="1" x14ac:dyDescent="0.35">
      <c r="A212" t="s">
        <v>1466</v>
      </c>
      <c r="B212" s="493">
        <v>2315700</v>
      </c>
      <c r="C212" s="443">
        <v>830</v>
      </c>
      <c r="D212" s="262" t="str">
        <f>+VLOOKUP(C212,'Conteo 24-02'!$A$8:$D$246,4,0)</f>
        <v>Q5</v>
      </c>
      <c r="E212" s="322" t="s">
        <v>1041</v>
      </c>
      <c r="F212" s="804" t="s">
        <v>1754</v>
      </c>
      <c r="G212" s="443"/>
      <c r="H212" s="474"/>
      <c r="J212" s="750">
        <f t="shared" si="70"/>
        <v>1.34375</v>
      </c>
      <c r="K212" s="486">
        <f t="shared" si="71"/>
        <v>1.34375</v>
      </c>
      <c r="M212" s="659">
        <f t="shared" si="72"/>
        <v>0</v>
      </c>
      <c r="N212" s="378">
        <f t="shared" si="77"/>
        <v>960</v>
      </c>
      <c r="O212" s="345">
        <f t="shared" si="78"/>
        <v>1290</v>
      </c>
      <c r="P212" s="614"/>
      <c r="R212" s="398">
        <f>+IFERROR(SUMIFS('Stock CD'!D:D,C50,'Stock CD'!C:C),0)</f>
        <v>0</v>
      </c>
      <c r="S212" s="401">
        <f t="shared" si="79"/>
        <v>1290</v>
      </c>
      <c r="U212" s="398">
        <f>+IFERROR(VLOOKUP(C212,'Stock CD'!B:I,8,0),0)</f>
        <v>0</v>
      </c>
      <c r="V212" s="401">
        <f t="shared" si="75"/>
        <v>960</v>
      </c>
      <c r="X212" s="445">
        <f>+SUMIFS('Conteo 24-02'!F:F,'Conteo 24-02'!$A:$A,$C212)</f>
        <v>0</v>
      </c>
      <c r="Y212" s="305">
        <f>+SUMIFS('Conteo 24-02'!G:G,'Conteo 24-02'!$A:$A,$C212)</f>
        <v>1290</v>
      </c>
      <c r="Z212" s="508">
        <v>1000</v>
      </c>
      <c r="AB212" s="425" t="s">
        <v>1466</v>
      </c>
      <c r="AC212" s="423">
        <v>192</v>
      </c>
      <c r="AD212" s="361">
        <v>25000</v>
      </c>
      <c r="AE212" s="262">
        <v>25</v>
      </c>
      <c r="AF212" s="325"/>
      <c r="AG212" s="554" t="str">
        <f>+VLOOKUP(C212,'[1]Chef Troquel'!$A$4:$F$92,5,0)</f>
        <v>Huevo</v>
      </c>
      <c r="AH212" s="262" t="s">
        <v>1655</v>
      </c>
      <c r="AI212" s="335">
        <v>5</v>
      </c>
      <c r="AK212" s="425">
        <v>0</v>
      </c>
      <c r="AL212" s="335">
        <v>100</v>
      </c>
    </row>
    <row r="213" spans="1:38" ht="18" customHeight="1" x14ac:dyDescent="0.3">
      <c r="B213" s="346"/>
      <c r="C213" s="294"/>
      <c r="D213" s="127"/>
      <c r="E213" s="299"/>
      <c r="F213" s="800"/>
      <c r="G213" s="294"/>
      <c r="H213" s="447"/>
      <c r="J213" s="452"/>
      <c r="K213" s="453"/>
      <c r="M213" s="611">
        <f>+SUM(M177:M212)</f>
        <v>5190</v>
      </c>
      <c r="N213" s="379"/>
      <c r="O213" s="336"/>
      <c r="P213" s="611"/>
      <c r="R213" s="454"/>
      <c r="S213" s="454"/>
      <c r="U213" s="454"/>
      <c r="V213" s="454"/>
      <c r="X213" s="307"/>
      <c r="Y213" s="307"/>
      <c r="Z213" s="384"/>
      <c r="AC213" s="382"/>
      <c r="AD213" s="384"/>
      <c r="AE213" s="127"/>
      <c r="AF213" s="348"/>
      <c r="AG213" s="550"/>
      <c r="AH213" s="127"/>
    </row>
    <row r="214" spans="1:38" ht="18" customHeight="1" thickBot="1" x14ac:dyDescent="0.35">
      <c r="B214" s="346"/>
      <c r="C214" s="294"/>
      <c r="D214" s="127"/>
      <c r="E214" s="299"/>
      <c r="F214" s="308"/>
      <c r="G214" s="127"/>
      <c r="H214" s="308"/>
      <c r="J214" s="452"/>
      <c r="K214" s="453"/>
      <c r="M214" s="611"/>
      <c r="N214" s="379"/>
      <c r="O214" s="336"/>
      <c r="P214" s="611"/>
      <c r="R214" s="454"/>
      <c r="S214" s="454"/>
      <c r="U214" s="454"/>
      <c r="V214" s="454"/>
      <c r="X214" s="307"/>
      <c r="Y214" s="307"/>
      <c r="Z214" s="384"/>
      <c r="AC214" s="382"/>
      <c r="AD214" s="384"/>
      <c r="AE214" s="127"/>
      <c r="AF214" s="348"/>
      <c r="AG214" s="550"/>
      <c r="AH214" s="127"/>
    </row>
    <row r="215" spans="1:38" ht="24" thickBot="1" x14ac:dyDescent="0.35">
      <c r="B215" s="966" t="s">
        <v>1759</v>
      </c>
      <c r="C215" s="967"/>
      <c r="D215" s="967"/>
      <c r="E215" s="967"/>
      <c r="F215" s="967"/>
      <c r="G215" s="967"/>
      <c r="H215" s="968"/>
      <c r="I215" s="208"/>
      <c r="J215" s="452"/>
      <c r="K215" s="500"/>
      <c r="M215" s="611"/>
      <c r="N215" s="379"/>
      <c r="O215" s="336"/>
      <c r="P215" s="611"/>
      <c r="R215" s="501"/>
      <c r="S215" s="454"/>
      <c r="U215" s="501"/>
      <c r="V215" s="501"/>
      <c r="X215" s="307"/>
      <c r="Y215" s="307"/>
      <c r="Z215" s="384"/>
      <c r="AC215" s="382"/>
      <c r="AD215" s="384"/>
      <c r="AE215" s="127"/>
      <c r="AF215" s="348"/>
      <c r="AG215" s="550"/>
      <c r="AH215" s="127"/>
    </row>
    <row r="216" spans="1:38" ht="18" customHeight="1" x14ac:dyDescent="0.3">
      <c r="A216" t="s">
        <v>1466</v>
      </c>
      <c r="B216" s="297">
        <v>2321700</v>
      </c>
      <c r="C216" s="805" t="s">
        <v>1646</v>
      </c>
      <c r="D216" s="261"/>
      <c r="E216" s="321" t="s">
        <v>1041</v>
      </c>
      <c r="F216" s="354" t="s">
        <v>1497</v>
      </c>
      <c r="G216" s="579"/>
      <c r="H216" s="469"/>
      <c r="J216" s="749">
        <f>+IFERROR(O216/N216,0)</f>
        <v>0</v>
      </c>
      <c r="K216" s="485">
        <f>+IFERROR(S216/V216,0)</f>
        <v>0</v>
      </c>
      <c r="M216" s="658">
        <f t="shared" ref="M216:M217" si="82">IF(N216-O216-P216&lt;0,0,N216-O216-P216)</f>
        <v>43848</v>
      </c>
      <c r="N216" s="376">
        <f>+IFERROR(AC216*AI216,0)</f>
        <v>43848</v>
      </c>
      <c r="O216" s="344">
        <f>+(X216*Z216)+Y216</f>
        <v>0</v>
      </c>
      <c r="P216" s="612"/>
      <c r="R216" s="396">
        <f>+IFERROR(SUMIFS('Stock CD'!D:D,C43,'Stock CD'!C:C),0)</f>
        <v>0</v>
      </c>
      <c r="S216" s="399">
        <f>+R216+O216</f>
        <v>0</v>
      </c>
      <c r="U216" s="396">
        <f>+IFERROR(VLOOKUP(C216,'Stock CD'!B:I,8,0),0)</f>
        <v>0</v>
      </c>
      <c r="V216" s="399">
        <f>+U216+N216</f>
        <v>43848</v>
      </c>
      <c r="X216" s="626">
        <f>+SUMIFS('Conteo 24-02'!F:F,'Conteo 24-02'!$A:$A,$C216)</f>
        <v>0</v>
      </c>
      <c r="Y216" s="303">
        <f>+SUMIFS('Conteo 24-02'!G:G,'Conteo 24-02'!$A:$A,$C216)</f>
        <v>0</v>
      </c>
      <c r="Z216" s="524">
        <v>2500</v>
      </c>
      <c r="AB216" s="393" t="s">
        <v>1466</v>
      </c>
      <c r="AC216" s="422">
        <f>IF(C216="Corb-LK",SUMIFS('Est Madre LK 10-25'!C:C,'Est Madre LK 10-25'!D:D,"si"),IF(C216="Corb-CH",SUMIFS('Est Madre CH 10-25'!C:C,'Est Madre CH 10-25'!D:D,"si"),0)+IFERROR(VLOOKUP(C216,'Est Madre LK 10-25'!$A:$C,3,),IFERROR(VLOOKUP(C216,'Est Madre CH 10-25'!$A:$C,3,),0)))</f>
        <v>14616</v>
      </c>
      <c r="AD216" s="358">
        <v>12000</v>
      </c>
      <c r="AE216" s="261">
        <v>25</v>
      </c>
      <c r="AF216" s="324">
        <v>31.048200000000001</v>
      </c>
      <c r="AG216" s="551"/>
      <c r="AH216" s="261" t="s">
        <v>1215</v>
      </c>
      <c r="AI216" s="331">
        <v>3</v>
      </c>
      <c r="AK216" s="393">
        <v>0</v>
      </c>
      <c r="AL216" s="331">
        <v>100</v>
      </c>
    </row>
    <row r="217" spans="1:38" ht="18" customHeight="1" thickBot="1" x14ac:dyDescent="0.35">
      <c r="A217" t="s">
        <v>1466</v>
      </c>
      <c r="B217" s="298">
        <v>2327700</v>
      </c>
      <c r="C217" s="443" t="s">
        <v>869</v>
      </c>
      <c r="D217" s="262" t="str">
        <f>+VLOOKUP(C217,'Conteo 24-02'!$A$8:$D$246,4,0)</f>
        <v>K7A</v>
      </c>
      <c r="E217" s="322" t="s">
        <v>1041</v>
      </c>
      <c r="F217" s="355" t="s">
        <v>1451</v>
      </c>
      <c r="G217" s="262"/>
      <c r="H217" s="471"/>
      <c r="J217" s="750">
        <f>+IFERROR(O217/N217,0)</f>
        <v>0</v>
      </c>
      <c r="K217" s="486">
        <f>+IFERROR(S217/V217,0)</f>
        <v>0</v>
      </c>
      <c r="M217" s="659">
        <f t="shared" si="82"/>
        <v>0</v>
      </c>
      <c r="N217" s="378">
        <f>+IFERROR(AC217*AI217,0)</f>
        <v>0</v>
      </c>
      <c r="O217" s="345">
        <f>+(X217*Z217)+Y217</f>
        <v>30000</v>
      </c>
      <c r="P217" s="614"/>
      <c r="R217" s="398">
        <f>+IFERROR(SUMIFS('Stock CD'!D:D,C29,'Stock CD'!C:C),0)</f>
        <v>0</v>
      </c>
      <c r="S217" s="401">
        <f>+R217+O217</f>
        <v>30000</v>
      </c>
      <c r="U217" s="398">
        <f>SUMIFS('Stock CD'!I:I,'Stock CD'!A:A,F217)</f>
        <v>0</v>
      </c>
      <c r="V217" s="401">
        <f>+U217+N217</f>
        <v>0</v>
      </c>
      <c r="X217" s="445">
        <f>+SUMIFS('Conteo 24-02'!F:F,'Conteo 24-02'!$A:$A,$C217)</f>
        <v>6</v>
      </c>
      <c r="Y217" s="305">
        <f>+SUMIFS('Conteo 24-02'!G:G,'Conteo 24-02'!$A:$A,$C217)</f>
        <v>0</v>
      </c>
      <c r="Z217" s="508">
        <v>5000</v>
      </c>
      <c r="AB217" s="425" t="s">
        <v>1466</v>
      </c>
      <c r="AC217" s="423">
        <f>IF(C217="Corb-LK",SUMIFS('Est Madre LK 10-25'!C:C,'Est Madre LK 10-25'!D:D,"si"),IF(C217="Corb-CH",SUMIFS('Est Madre CH 10-25'!C:C,'Est Madre CH 10-25'!D:D,"si"),0)+IFERROR(VLOOKUP(C217,'Est Madre LK 10-25'!$A:$C,3,),IFERROR(VLOOKUP(C217,'Est Madre CH 10-25'!$A:$C,3,),0)))</f>
        <v>0</v>
      </c>
      <c r="AD217" s="361">
        <v>12000</v>
      </c>
      <c r="AE217" s="322"/>
      <c r="AF217" s="325">
        <v>14.8635</v>
      </c>
      <c r="AG217" s="554"/>
      <c r="AH217" s="437"/>
      <c r="AI217" s="335">
        <v>3</v>
      </c>
      <c r="AK217" s="425">
        <v>0</v>
      </c>
      <c r="AL217" s="335">
        <v>100</v>
      </c>
    </row>
    <row r="218" spans="1:38" ht="18" customHeight="1" x14ac:dyDescent="0.3">
      <c r="B218" s="294"/>
      <c r="C218" s="294"/>
      <c r="D218" s="127"/>
      <c r="E218" s="299"/>
      <c r="F218" s="308"/>
      <c r="G218" s="127"/>
      <c r="H218" s="308"/>
      <c r="J218" s="452"/>
      <c r="K218" s="453"/>
      <c r="M218" s="611">
        <f>+SUM(M216:M217)</f>
        <v>43848</v>
      </c>
      <c r="N218" s="379"/>
      <c r="O218" s="336"/>
      <c r="P218" s="611"/>
      <c r="R218" s="454"/>
      <c r="S218" s="454"/>
      <c r="U218" s="454"/>
      <c r="V218" s="454"/>
      <c r="X218" s="307"/>
      <c r="Y218" s="307"/>
      <c r="Z218" s="384"/>
      <c r="AC218" s="382"/>
      <c r="AD218" s="384"/>
      <c r="AE218" s="299"/>
      <c r="AF218" s="348"/>
      <c r="AG218" s="550"/>
      <c r="AH218" s="10"/>
    </row>
    <row r="219" spans="1:38" ht="18" customHeight="1" thickBot="1" x14ac:dyDescent="0.35">
      <c r="B219" s="346"/>
      <c r="C219" s="294"/>
      <c r="D219" s="127"/>
      <c r="E219" s="299"/>
      <c r="F219" s="308"/>
      <c r="G219" s="127"/>
      <c r="H219" s="308"/>
      <c r="J219" s="452"/>
      <c r="K219" s="453"/>
      <c r="M219" s="611"/>
      <c r="N219" s="379"/>
      <c r="O219" s="336"/>
      <c r="P219" s="611"/>
      <c r="R219" s="454"/>
      <c r="S219" s="454"/>
      <c r="U219" s="454"/>
      <c r="V219" s="454"/>
      <c r="X219" s="307"/>
      <c r="Y219" s="307"/>
      <c r="Z219" s="384"/>
      <c r="AC219" s="382"/>
      <c r="AD219" s="384"/>
      <c r="AE219" s="127"/>
      <c r="AF219" s="348"/>
      <c r="AG219" s="550"/>
      <c r="AH219" s="127"/>
    </row>
    <row r="220" spans="1:38" s="381" customFormat="1" ht="30" customHeight="1" thickBot="1" x14ac:dyDescent="0.3">
      <c r="B220" s="966" t="s">
        <v>1734</v>
      </c>
      <c r="C220" s="967"/>
      <c r="D220" s="967"/>
      <c r="E220" s="967"/>
      <c r="F220" s="967"/>
      <c r="G220" s="967"/>
      <c r="H220" s="968"/>
      <c r="J220" s="693"/>
      <c r="K220" s="694"/>
      <c r="L220" s="506"/>
      <c r="M220" s="662"/>
      <c r="N220" s="630"/>
      <c r="O220" s="630"/>
      <c r="P220" s="662"/>
      <c r="Q220" s="506"/>
      <c r="R220" s="662"/>
      <c r="S220" s="662"/>
      <c r="T220" s="506"/>
      <c r="U220" s="662"/>
      <c r="V220" s="662"/>
      <c r="W220" s="506"/>
      <c r="X220" s="662"/>
      <c r="Y220" s="662"/>
      <c r="Z220" s="630"/>
      <c r="AA220" s="506"/>
      <c r="AB220" s="662"/>
      <c r="AC220" s="662"/>
      <c r="AD220" s="630"/>
      <c r="AE220" s="662"/>
      <c r="AF220" s="662"/>
      <c r="AG220" s="662"/>
      <c r="AH220" s="662"/>
      <c r="AI220" s="662"/>
    </row>
    <row r="221" spans="1:38" ht="18" customHeight="1" x14ac:dyDescent="0.3">
      <c r="A221" t="s">
        <v>1466</v>
      </c>
      <c r="B221" s="413">
        <v>2435700</v>
      </c>
      <c r="C221" s="432">
        <v>802</v>
      </c>
      <c r="D221" s="261" t="str">
        <f>+VLOOKUP(C221,'Conteo 24-02'!$A$8:$D$246,4,0)</f>
        <v>P4A</v>
      </c>
      <c r="E221" s="321" t="s">
        <v>1041</v>
      </c>
      <c r="F221" s="354" t="s">
        <v>1193</v>
      </c>
      <c r="G221" s="579"/>
      <c r="H221" s="818"/>
      <c r="J221" s="749">
        <f>+IFERROR(O221/N221,0)</f>
        <v>2.3456790123456792</v>
      </c>
      <c r="K221" s="485">
        <f t="shared" si="55"/>
        <v>2.3456790123456792</v>
      </c>
      <c r="M221" s="658">
        <f>IF(N221-O221-P221&lt;0,0,N221-O221-P221)</f>
        <v>0</v>
      </c>
      <c r="N221" s="376">
        <f t="shared" si="57"/>
        <v>1620</v>
      </c>
      <c r="O221" s="344">
        <f t="shared" si="58"/>
        <v>3800</v>
      </c>
      <c r="P221" s="612"/>
      <c r="R221" s="396">
        <f>+IFERROR(SUMIFS('Stock CD'!D:D,C74,'Stock CD'!C:C),0)</f>
        <v>0</v>
      </c>
      <c r="S221" s="399">
        <f>+R221+O221</f>
        <v>3800</v>
      </c>
      <c r="U221" s="396">
        <f>+IFERROR(VLOOKUP(C221,'Stock CD'!B:I,8,0),0)</f>
        <v>0</v>
      </c>
      <c r="V221" s="399">
        <f>+U221+N221</f>
        <v>1620</v>
      </c>
      <c r="X221" s="626">
        <f>+SUMIFS('Conteo 24-02'!F:F,'Conteo 24-02'!$A:$A,$C221)</f>
        <v>3</v>
      </c>
      <c r="Y221" s="303">
        <f>+SUMIFS('Conteo 24-02'!G:G,'Conteo 24-02'!$A:$A,$C221)</f>
        <v>800</v>
      </c>
      <c r="Z221" s="524">
        <v>1000</v>
      </c>
      <c r="AB221" s="393" t="s">
        <v>1466</v>
      </c>
      <c r="AC221" s="422">
        <f>IF(C221="Corb-LK",SUMIFS('Est Madre LK 10-25'!C:C,'Est Madre LK 10-25'!D:D,"si"),IF(C221="Corb-CH",SUMIFS('Est Madre CH 10-25'!C:C,'Est Madre CH 10-25'!D:D,"si"),0)+IFERROR(VLOOKUP(C221,'Est Madre LK 10-25'!$A:$C,3,),IFERROR(VLOOKUP(C221,'Est Madre CH 10-25'!$A:$C,3,),0)))</f>
        <v>540</v>
      </c>
      <c r="AD221" s="358">
        <v>30000</v>
      </c>
      <c r="AE221" s="261">
        <v>30</v>
      </c>
      <c r="AF221" s="324">
        <v>68.570279999999997</v>
      </c>
      <c r="AG221" s="551" t="str">
        <f>+VLOOKUP(C221,'[1]Chef Troquel'!$A$4:$F$92,5,0)</f>
        <v>Corb8</v>
      </c>
      <c r="AH221" s="261" t="s">
        <v>1666</v>
      </c>
      <c r="AI221" s="331">
        <v>3</v>
      </c>
      <c r="AK221" s="393">
        <v>0</v>
      </c>
      <c r="AL221" s="331">
        <v>100</v>
      </c>
    </row>
    <row r="222" spans="1:38" ht="18" customHeight="1" x14ac:dyDescent="0.3">
      <c r="A222" t="s">
        <v>1466</v>
      </c>
      <c r="B222" s="822">
        <v>2425700</v>
      </c>
      <c r="C222" s="657">
        <v>824</v>
      </c>
      <c r="D222" s="575" t="s">
        <v>1780</v>
      </c>
      <c r="E222" s="320" t="s">
        <v>1041</v>
      </c>
      <c r="F222" s="566" t="s">
        <v>1809</v>
      </c>
      <c r="G222" s="567"/>
      <c r="H222" s="823"/>
      <c r="J222" s="751">
        <f t="shared" ref="J222:J226" si="83">+IFERROR(O222/N222,0)</f>
        <v>0.55833333333333335</v>
      </c>
      <c r="K222" s="478">
        <f t="shared" ref="K222:K223" si="84">+IFERROR(S222/V222,0)</f>
        <v>0.55833333333333335</v>
      </c>
      <c r="M222" s="726">
        <f t="shared" ref="M222:M223" si="85">IF(N222-O222-P222&lt;0,0,N222-O222-P222)</f>
        <v>2544</v>
      </c>
      <c r="N222" s="377">
        <f t="shared" ref="N222:N223" si="86">+IFERROR(AC222*AI222,0)</f>
        <v>5760</v>
      </c>
      <c r="O222" s="343">
        <f t="shared" ref="O222:O223" si="87">+(X222*Z222)+Y222</f>
        <v>3216</v>
      </c>
      <c r="P222" s="824"/>
      <c r="R222" s="397">
        <f>+IFERROR(SUMIFS('Stock CD'!D:D,C73,'Stock CD'!C:C),0)</f>
        <v>0</v>
      </c>
      <c r="S222" s="400">
        <f t="shared" ref="S222:S223" si="88">+R222+O222</f>
        <v>3216</v>
      </c>
      <c r="U222" s="397">
        <f>+IFERROR(VLOOKUP(C222,'Stock CD'!B:I,8,0),0)</f>
        <v>0</v>
      </c>
      <c r="V222" s="400">
        <f t="shared" ref="V222:V223" si="89">+U222+N222</f>
        <v>5760</v>
      </c>
      <c r="X222" s="444">
        <f>+SUMIFS('Conteo 24-02'!F:F,'Conteo 24-02'!$A:$A,$C222)</f>
        <v>2</v>
      </c>
      <c r="Y222" s="304">
        <f>+SUMIFS('Conteo 24-02'!G:G,'Conteo 24-02'!$A:$A,$C222)</f>
        <v>1220</v>
      </c>
      <c r="Z222" s="507">
        <v>998</v>
      </c>
      <c r="AB222" s="424" t="s">
        <v>1466</v>
      </c>
      <c r="AC222" s="409">
        <f>IF(C222="Corb-LK",SUMIFS('Est Madre LK 10-25'!C:C,'Est Madre LK 10-25'!D:D,"si"),IF(C222="Corb-CH",SUMIFS('Est Madre CH 10-25'!C:C,'Est Madre CH 10-25'!D:D,"si"),0)+IFERROR(VLOOKUP(C222,'Est Madre LK 10-25'!$A:$C,3,),IFERROR(VLOOKUP(C222,'Est Madre CH 10-25'!$A:$C,3,),0)))</f>
        <v>1920</v>
      </c>
      <c r="AD222" s="359">
        <v>30000</v>
      </c>
      <c r="AE222" s="260">
        <v>30</v>
      </c>
      <c r="AF222" s="323">
        <v>68.570279999999997</v>
      </c>
      <c r="AG222" s="552" t="str">
        <f>+VLOOKUP(C222,'[1]Chef Troquel'!$A$4:$F$92,5,0)</f>
        <v>Corb8</v>
      </c>
      <c r="AH222" s="260" t="s">
        <v>1666</v>
      </c>
      <c r="AI222" s="825">
        <v>3</v>
      </c>
      <c r="AK222" s="424">
        <v>0</v>
      </c>
      <c r="AL222" s="333">
        <v>100</v>
      </c>
    </row>
    <row r="223" spans="1:38" ht="18" customHeight="1" x14ac:dyDescent="0.3">
      <c r="A223" t="s">
        <v>1466</v>
      </c>
      <c r="B223" s="822">
        <v>2426700</v>
      </c>
      <c r="C223" s="657">
        <v>825</v>
      </c>
      <c r="D223" s="575" t="s">
        <v>1781</v>
      </c>
      <c r="E223" s="320" t="s">
        <v>1041</v>
      </c>
      <c r="F223" s="566" t="s">
        <v>1810</v>
      </c>
      <c r="G223" s="567"/>
      <c r="H223" s="823"/>
      <c r="J223" s="751">
        <f t="shared" si="83"/>
        <v>0.57216494845360821</v>
      </c>
      <c r="K223" s="478">
        <f t="shared" si="84"/>
        <v>0.57216494845360821</v>
      </c>
      <c r="M223" s="726">
        <f t="shared" si="85"/>
        <v>2988</v>
      </c>
      <c r="N223" s="377">
        <f t="shared" si="86"/>
        <v>6984</v>
      </c>
      <c r="O223" s="343">
        <f t="shared" si="87"/>
        <v>3996</v>
      </c>
      <c r="P223" s="824"/>
      <c r="R223" s="397">
        <f>+IFERROR(SUMIFS('Stock CD'!D:D,C74,'Stock CD'!C:C),0)</f>
        <v>0</v>
      </c>
      <c r="S223" s="400">
        <f t="shared" si="88"/>
        <v>3996</v>
      </c>
      <c r="U223" s="397">
        <f>+IFERROR(VLOOKUP(C223,'Stock CD'!B:I,8,0),0)</f>
        <v>0</v>
      </c>
      <c r="V223" s="400">
        <f t="shared" si="89"/>
        <v>6984</v>
      </c>
      <c r="X223" s="444">
        <f>+SUMIFS('Conteo 24-02'!F:F,'Conteo 24-02'!$A:$A,$C223)</f>
        <v>4</v>
      </c>
      <c r="Y223" s="304">
        <f>+SUMIFS('Conteo 24-02'!G:G,'Conteo 24-02'!$A:$A,$C223)</f>
        <v>0</v>
      </c>
      <c r="Z223" s="507">
        <v>999</v>
      </c>
      <c r="AB223" s="424" t="s">
        <v>1466</v>
      </c>
      <c r="AC223" s="409">
        <f>IF(C223="Corb-LK",SUMIFS('Est Madre LK 10-25'!C:C,'Est Madre LK 10-25'!D:D,"si"),IF(C223="Corb-CH",SUMIFS('Est Madre CH 10-25'!C:C,'Est Madre CH 10-25'!D:D,"si"),0)+IFERROR(VLOOKUP(C223,'Est Madre LK 10-25'!$A:$C,3,),IFERROR(VLOOKUP(C223,'Est Madre CH 10-25'!$A:$C,3,),0)))</f>
        <v>2328</v>
      </c>
      <c r="AD223" s="359">
        <v>30000</v>
      </c>
      <c r="AE223" s="260">
        <v>30</v>
      </c>
      <c r="AF223" s="323">
        <v>68.570279999999997</v>
      </c>
      <c r="AG223" s="552" t="str">
        <f>+VLOOKUP(C223,'[1]Chef Troquel'!$A$4:$F$92,5,0)</f>
        <v>Corb8</v>
      </c>
      <c r="AH223" s="260" t="s">
        <v>1666</v>
      </c>
      <c r="AI223" s="825">
        <v>3</v>
      </c>
      <c r="AK223" s="424">
        <v>0</v>
      </c>
      <c r="AL223" s="333">
        <v>100</v>
      </c>
    </row>
    <row r="224" spans="1:38" ht="18" customHeight="1" x14ac:dyDescent="0.3">
      <c r="A224" t="s">
        <v>1466</v>
      </c>
      <c r="B224" s="822">
        <v>2434700</v>
      </c>
      <c r="C224" s="657">
        <v>908</v>
      </c>
      <c r="D224" s="575"/>
      <c r="E224" s="320" t="s">
        <v>1041</v>
      </c>
      <c r="F224" s="566" t="s">
        <v>1811</v>
      </c>
      <c r="G224" s="567"/>
      <c r="H224" s="823"/>
      <c r="J224" s="751">
        <f t="shared" si="83"/>
        <v>4.666666666666667</v>
      </c>
      <c r="K224" s="478"/>
      <c r="M224" s="726">
        <f t="shared" ref="M224:M225" si="90">IF(N224-O224-P224&lt;0,0,N224-O224-P224)</f>
        <v>0</v>
      </c>
      <c r="N224" s="377">
        <f t="shared" ref="N224:N225" si="91">+IFERROR(AC224*AI224,0)</f>
        <v>240</v>
      </c>
      <c r="O224" s="343">
        <f t="shared" ref="O224:O225" si="92">+(X224*Z224)+Y224</f>
        <v>1120</v>
      </c>
      <c r="P224" s="824"/>
      <c r="R224" s="397">
        <f>+IFERROR(SUMIFS('Stock CD'!D:D,C75,'Stock CD'!C:C),0)</f>
        <v>0</v>
      </c>
      <c r="S224" s="400">
        <f t="shared" ref="S224:S225" si="93">+R224+O224</f>
        <v>1120</v>
      </c>
      <c r="U224" s="397">
        <f>+IFERROR(VLOOKUP(C224,'Stock CD'!B:I,8,0),0)</f>
        <v>0</v>
      </c>
      <c r="V224" s="400">
        <f t="shared" ref="V224:V225" si="94">+U224+N224</f>
        <v>240</v>
      </c>
      <c r="X224" s="444">
        <f>+SUMIFS('Conteo 24-02'!F:F,'Conteo 24-02'!$A:$A,$C224)</f>
        <v>0</v>
      </c>
      <c r="Y224" s="304">
        <f>+SUMIFS('Conteo 24-02'!G:G,'Conteo 24-02'!$A:$A,$C224)</f>
        <v>1120</v>
      </c>
      <c r="Z224" s="507">
        <v>1000</v>
      </c>
      <c r="AB224" s="424" t="s">
        <v>1466</v>
      </c>
      <c r="AC224" s="409">
        <f>IF(C224="Corb-LK",SUMIFS('Est Madre LK 10-25'!C:C,'Est Madre LK 10-25'!D:D,"si"),IF(C224="Corb-CH",SUMIFS('Est Madre CH 10-25'!C:C,'Est Madre CH 10-25'!D:D,"si"),0)+IFERROR(VLOOKUP(C224,'Est Madre LK 10-25'!$A:$C,3,),IFERROR(VLOOKUP(C224,'Est Madre CH 10-25'!$A:$C,3,),0)))</f>
        <v>60</v>
      </c>
      <c r="AD224" s="359">
        <v>30000</v>
      </c>
      <c r="AE224" s="260">
        <v>30</v>
      </c>
      <c r="AF224" s="323">
        <v>68.570279999999997</v>
      </c>
      <c r="AG224" s="552" t="str">
        <f>+VLOOKUP(C224,'[1]Chef Troquel'!$A$4:$F$92,5,0)</f>
        <v>Corb8</v>
      </c>
      <c r="AH224" s="260" t="s">
        <v>1812</v>
      </c>
      <c r="AI224" s="825">
        <v>4</v>
      </c>
      <c r="AK224" s="424">
        <v>0</v>
      </c>
      <c r="AL224" s="333">
        <v>100</v>
      </c>
    </row>
    <row r="225" spans="1:38" s="208" customFormat="1" ht="16.149999999999999" customHeight="1" x14ac:dyDescent="0.3">
      <c r="A225" t="s">
        <v>1466</v>
      </c>
      <c r="B225" s="302">
        <v>2431700</v>
      </c>
      <c r="C225" s="433">
        <v>901</v>
      </c>
      <c r="D225" s="320" t="s">
        <v>1806</v>
      </c>
      <c r="E225" s="320" t="s">
        <v>1041</v>
      </c>
      <c r="F225" s="327" t="s">
        <v>1171</v>
      </c>
      <c r="G225" s="260"/>
      <c r="H225" s="352"/>
      <c r="J225" s="751">
        <f t="shared" si="83"/>
        <v>0.41708333333333331</v>
      </c>
      <c r="K225" s="478">
        <f t="shared" ref="K225:K230" si="95">+IFERROR(S225/V225,0)</f>
        <v>0.41708333333333331</v>
      </c>
      <c r="L225"/>
      <c r="M225" s="726">
        <f t="shared" si="90"/>
        <v>4197</v>
      </c>
      <c r="N225" s="377">
        <f t="shared" si="91"/>
        <v>7200</v>
      </c>
      <c r="O225" s="343">
        <f t="shared" si="92"/>
        <v>3003</v>
      </c>
      <c r="P225" s="824"/>
      <c r="Q225"/>
      <c r="R225" s="397">
        <f>+IFERROR(SUMIFS('Stock CD'!D:D,C57,'Stock CD'!C:C),0)</f>
        <v>0</v>
      </c>
      <c r="S225" s="400">
        <f t="shared" si="93"/>
        <v>3003</v>
      </c>
      <c r="T225"/>
      <c r="U225" s="397">
        <f>+IFERROR(VLOOKUP(C225,'Stock CD'!B:I,8,0),0)</f>
        <v>0</v>
      </c>
      <c r="V225" s="400">
        <f t="shared" si="94"/>
        <v>7200</v>
      </c>
      <c r="W225"/>
      <c r="X225" s="444">
        <f>+SUMIFS('Conteo 24-02'!F:F,'Conteo 24-02'!$A:$A,$C225)</f>
        <v>3</v>
      </c>
      <c r="Y225" s="304">
        <f>+SUMIFS('Conteo 24-02'!G:G,'Conteo 24-02'!$A:$A,$C225)</f>
        <v>0</v>
      </c>
      <c r="Z225" s="507">
        <v>1001</v>
      </c>
      <c r="AA225"/>
      <c r="AB225" s="424" t="s">
        <v>1466</v>
      </c>
      <c r="AC225" s="409">
        <f>IF(C225="Corb-LK",SUMIFS('Est Madre LK 10-25'!C:C,'Est Madre LK 10-25'!D:D,"si"),IF(C225="Corb-CH",SUMIFS('Est Madre CH 10-25'!C:C,'Est Madre CH 10-25'!D:D,"si"),0)+IFERROR(VLOOKUP(C225,'Est Madre LK 10-25'!$A:$C,3,),IFERROR(VLOOKUP(C225,'Est Madre CH 10-25'!$A:$C,3,),0)))</f>
        <v>1440</v>
      </c>
      <c r="AD225" s="359">
        <v>30000</v>
      </c>
      <c r="AE225" s="260">
        <v>30</v>
      </c>
      <c r="AF225" s="323">
        <v>68.570279999999997</v>
      </c>
      <c r="AG225" s="552" t="str">
        <f>+VLOOKUP(C225,'[1]Chef Troquel'!$A$4:$F$92,5,0)</f>
        <v>Corb8</v>
      </c>
      <c r="AH225" s="260" t="s">
        <v>1813</v>
      </c>
      <c r="AI225" s="825">
        <v>5</v>
      </c>
      <c r="AK225" s="867">
        <v>0</v>
      </c>
      <c r="AL225" s="352">
        <v>100</v>
      </c>
    </row>
    <row r="226" spans="1:38" s="208" customFormat="1" ht="16.149999999999999" customHeight="1" x14ac:dyDescent="0.3">
      <c r="A226" t="s">
        <v>1466</v>
      </c>
      <c r="B226" s="302">
        <v>2433700</v>
      </c>
      <c r="C226" s="433">
        <v>902</v>
      </c>
      <c r="D226" s="320" t="s">
        <v>1803</v>
      </c>
      <c r="E226" s="320" t="s">
        <v>1041</v>
      </c>
      <c r="F226" s="327" t="s">
        <v>1172</v>
      </c>
      <c r="G226" s="260"/>
      <c r="H226" s="352"/>
      <c r="J226" s="751">
        <f t="shared" si="83"/>
        <v>1.6374269005847952</v>
      </c>
      <c r="K226" s="478">
        <f t="shared" si="95"/>
        <v>1.6374269005847952</v>
      </c>
      <c r="L226"/>
      <c r="M226" s="726">
        <f t="shared" ref="M226:M230" si="96">IF(N226-O226-P226&lt;0,0,N226-O226-P226)</f>
        <v>0</v>
      </c>
      <c r="N226" s="377">
        <f t="shared" ref="N226:N230" si="97">+IFERROR(AC226*AI226,0)</f>
        <v>684</v>
      </c>
      <c r="O226" s="343">
        <f t="shared" ref="O226:O230" si="98">+(X226*Z226)+Y226</f>
        <v>1120</v>
      </c>
      <c r="P226" s="613"/>
      <c r="Q226"/>
      <c r="R226" s="397">
        <f>+IFERROR(SUMIFS('Stock CD'!D:D,C57,'Stock CD'!C:C),0)</f>
        <v>0</v>
      </c>
      <c r="S226" s="400">
        <f t="shared" ref="S226:S230" si="99">+R226+O226</f>
        <v>1120</v>
      </c>
      <c r="T226"/>
      <c r="U226" s="397">
        <f>+IFERROR(VLOOKUP(C226,'Stock CD'!B:I,8,0),0)</f>
        <v>0</v>
      </c>
      <c r="V226" s="400">
        <f t="shared" ref="V226:V230" si="100">+U226+N226</f>
        <v>684</v>
      </c>
      <c r="W226"/>
      <c r="X226" s="444">
        <f>+SUMIFS('Conteo 24-02'!F:F,'Conteo 24-02'!$A:$A,$C226)</f>
        <v>0</v>
      </c>
      <c r="Y226" s="304">
        <f>+SUMIFS('Conteo 24-02'!G:G,'Conteo 24-02'!$A:$A,$C226)</f>
        <v>1120</v>
      </c>
      <c r="Z226" s="507">
        <v>1000</v>
      </c>
      <c r="AA226"/>
      <c r="AB226" s="424" t="s">
        <v>1466</v>
      </c>
      <c r="AC226" s="409">
        <f>IF(C226="Corb-LK",SUMIFS('Est Madre LK 10-25'!C:C,'Est Madre LK 10-25'!D:D,"si"),IF(C226="Corb-CH",SUMIFS('Est Madre CH 10-25'!C:C,'Est Madre CH 10-25'!D:D,"si"),0)+IFERROR(VLOOKUP(C226,'Est Madre LK 10-25'!$A:$C,3,),IFERROR(VLOOKUP(C226,'Est Madre CH 10-25'!$A:$C,3,),0)))</f>
        <v>228</v>
      </c>
      <c r="AD226" s="359">
        <v>30000</v>
      </c>
      <c r="AE226" s="260">
        <v>30</v>
      </c>
      <c r="AF226" s="323">
        <v>68.570279999999997</v>
      </c>
      <c r="AG226" s="552" t="str">
        <f>+VLOOKUP(C226,'[1]Chef Troquel'!$A$4:$F$92,5,0)</f>
        <v>Corb8</v>
      </c>
      <c r="AH226" s="260" t="s">
        <v>1666</v>
      </c>
      <c r="AI226" s="333">
        <v>3</v>
      </c>
      <c r="AK226" s="867">
        <v>0</v>
      </c>
      <c r="AL226" s="352">
        <v>100</v>
      </c>
    </row>
    <row r="227" spans="1:38" s="208" customFormat="1" ht="16.149999999999999" customHeight="1" x14ac:dyDescent="0.3">
      <c r="A227" t="s">
        <v>1466</v>
      </c>
      <c r="B227" s="302">
        <v>2440700</v>
      </c>
      <c r="C227" s="433">
        <v>910</v>
      </c>
      <c r="D227" s="320" t="s">
        <v>1029</v>
      </c>
      <c r="E227" s="320" t="s">
        <v>1041</v>
      </c>
      <c r="F227" s="327" t="s">
        <v>1174</v>
      </c>
      <c r="G227" s="260"/>
      <c r="H227" s="352"/>
      <c r="J227" s="751">
        <f t="shared" ref="J227:J230" si="101">+IFERROR(O227/N227,0)</f>
        <v>1.2075617283950617</v>
      </c>
      <c r="K227" s="478">
        <f t="shared" si="95"/>
        <v>1.2075617283950617</v>
      </c>
      <c r="L227"/>
      <c r="M227" s="726">
        <f t="shared" si="96"/>
        <v>0</v>
      </c>
      <c r="N227" s="377">
        <f t="shared" si="97"/>
        <v>2592</v>
      </c>
      <c r="O227" s="343">
        <f t="shared" si="98"/>
        <v>3130</v>
      </c>
      <c r="P227" s="613"/>
      <c r="Q227"/>
      <c r="R227" s="397">
        <f>+IFERROR(SUMIFS('Stock CD'!D:D,C76,'Stock CD'!C:C),0)</f>
        <v>0</v>
      </c>
      <c r="S227" s="400">
        <f t="shared" si="99"/>
        <v>3130</v>
      </c>
      <c r="T227"/>
      <c r="U227" s="397">
        <f>+IFERROR(VLOOKUP(C227,'Stock CD'!B:I,8,0),0)</f>
        <v>0</v>
      </c>
      <c r="V227" s="400">
        <f t="shared" si="100"/>
        <v>2592</v>
      </c>
      <c r="W227"/>
      <c r="X227" s="444">
        <f>+SUMIFS('Conteo 24-02'!F:F,'Conteo 24-02'!$A:$A,$C227)</f>
        <v>2</v>
      </c>
      <c r="Y227" s="304">
        <f>+SUMIFS('Conteo 24-02'!G:G,'Conteo 24-02'!$A:$A,$C227)</f>
        <v>1130</v>
      </c>
      <c r="Z227" s="507">
        <v>1000</v>
      </c>
      <c r="AA227"/>
      <c r="AB227" s="424" t="s">
        <v>1466</v>
      </c>
      <c r="AC227" s="409">
        <f>IF(C227="Corb-LK",SUMIFS('Est Madre LK 10-25'!C:C,'Est Madre LK 10-25'!D:D,"si"),IF(C227="Corb-CH",SUMIFS('Est Madre CH 10-25'!C:C,'Est Madre CH 10-25'!D:D,"si"),0)+IFERROR(VLOOKUP(C227,'Est Madre LK 10-25'!$A:$C,3,),IFERROR(VLOOKUP(C227,'Est Madre CH 10-25'!$A:$C,3,),0)))</f>
        <v>864</v>
      </c>
      <c r="AD227" s="359">
        <v>30000</v>
      </c>
      <c r="AE227" s="260">
        <v>30</v>
      </c>
      <c r="AF227" s="323">
        <v>68.570279999999997</v>
      </c>
      <c r="AG227" s="552" t="e">
        <f>+VLOOKUP(C227,'[1]Chef Troquel'!$A$4:$F$92,5,0)</f>
        <v>#N/A</v>
      </c>
      <c r="AH227" s="260" t="s">
        <v>1666</v>
      </c>
      <c r="AI227" s="333">
        <v>3</v>
      </c>
      <c r="AK227" s="867">
        <v>0</v>
      </c>
      <c r="AL227" s="352">
        <v>100</v>
      </c>
    </row>
    <row r="228" spans="1:38" s="208" customFormat="1" ht="16.149999999999999" customHeight="1" x14ac:dyDescent="0.3">
      <c r="A228" t="s">
        <v>1466</v>
      </c>
      <c r="B228" s="302">
        <v>2430700</v>
      </c>
      <c r="C228" s="433">
        <v>911</v>
      </c>
      <c r="D228" s="320" t="s">
        <v>1804</v>
      </c>
      <c r="E228" s="320" t="s">
        <v>1041</v>
      </c>
      <c r="F228" s="327" t="s">
        <v>1175</v>
      </c>
      <c r="G228" s="260"/>
      <c r="H228" s="352"/>
      <c r="J228" s="751">
        <f t="shared" si="101"/>
        <v>0</v>
      </c>
      <c r="K228" s="478">
        <f t="shared" si="95"/>
        <v>0</v>
      </c>
      <c r="L228"/>
      <c r="M228" s="726">
        <f t="shared" si="96"/>
        <v>1008</v>
      </c>
      <c r="N228" s="377">
        <f t="shared" si="97"/>
        <v>1008</v>
      </c>
      <c r="O228" s="343">
        <f t="shared" si="98"/>
        <v>0</v>
      </c>
      <c r="P228" s="613"/>
      <c r="Q228"/>
      <c r="R228" s="397">
        <f>+IFERROR(SUMIFS('Stock CD'!D:D,C77,'Stock CD'!C:C),0)</f>
        <v>0</v>
      </c>
      <c r="S228" s="400">
        <f t="shared" si="99"/>
        <v>0</v>
      </c>
      <c r="T228"/>
      <c r="U228" s="397">
        <f>+IFERROR(VLOOKUP(C228,'Stock CD'!B:I,8,0),0)</f>
        <v>0</v>
      </c>
      <c r="V228" s="400">
        <f t="shared" si="100"/>
        <v>1008</v>
      </c>
      <c r="W228"/>
      <c r="X228" s="444">
        <f>+SUMIFS('Conteo 24-02'!F:F,'Conteo 24-02'!$A:$A,$C228)</f>
        <v>0</v>
      </c>
      <c r="Y228" s="304">
        <f>+SUMIFS('Conteo 24-02'!G:G,'Conteo 24-02'!$A:$A,$C228)</f>
        <v>0</v>
      </c>
      <c r="Z228" s="507">
        <v>1000</v>
      </c>
      <c r="AA228"/>
      <c r="AB228" s="424" t="s">
        <v>1466</v>
      </c>
      <c r="AC228" s="409">
        <f>IF(C228="Corb-LK",SUMIFS('Est Madre LK 10-25'!C:C,'Est Madre LK 10-25'!D:D,"si"),IF(C228="Corb-CH",SUMIFS('Est Madre CH 10-25'!C:C,'Est Madre CH 10-25'!D:D,"si"),0)+IFERROR(VLOOKUP(C228,'Est Madre LK 10-25'!$A:$C,3,),IFERROR(VLOOKUP(C228,'Est Madre CH 10-25'!$A:$C,3,),0)))</f>
        <v>336</v>
      </c>
      <c r="AD228" s="359">
        <v>30000</v>
      </c>
      <c r="AE228" s="260">
        <v>30</v>
      </c>
      <c r="AF228" s="323">
        <v>68.570279999999997</v>
      </c>
      <c r="AG228" s="552" t="str">
        <f>+VLOOKUP(C228,'[1]Chef Troquel'!$A$4:$F$92,5,0)</f>
        <v>Corb8</v>
      </c>
      <c r="AH228" s="260" t="s">
        <v>1666</v>
      </c>
      <c r="AI228" s="333">
        <v>3</v>
      </c>
      <c r="AK228" s="867">
        <v>0</v>
      </c>
      <c r="AL228" s="352">
        <v>100</v>
      </c>
    </row>
    <row r="229" spans="1:38" s="208" customFormat="1" ht="16.149999999999999" customHeight="1" x14ac:dyDescent="0.3">
      <c r="A229" t="s">
        <v>1466</v>
      </c>
      <c r="B229" s="302">
        <v>2432700</v>
      </c>
      <c r="C229" s="433">
        <v>920</v>
      </c>
      <c r="D229" s="320" t="s">
        <v>1805</v>
      </c>
      <c r="E229" s="320" t="s">
        <v>1041</v>
      </c>
      <c r="F229" s="327" t="s">
        <v>1176</v>
      </c>
      <c r="G229" s="260"/>
      <c r="H229" s="352"/>
      <c r="J229" s="751">
        <f t="shared" si="101"/>
        <v>0</v>
      </c>
      <c r="K229" s="478">
        <f t="shared" si="95"/>
        <v>0</v>
      </c>
      <c r="L229"/>
      <c r="M229" s="726">
        <f t="shared" si="96"/>
        <v>432</v>
      </c>
      <c r="N229" s="377">
        <f t="shared" si="97"/>
        <v>432</v>
      </c>
      <c r="O229" s="343">
        <f t="shared" si="98"/>
        <v>0</v>
      </c>
      <c r="P229" s="613"/>
      <c r="Q229"/>
      <c r="R229" s="397">
        <f>+IFERROR(SUMIFS('Stock CD'!D:D,C78,'Stock CD'!C:C),0)</f>
        <v>0</v>
      </c>
      <c r="S229" s="400">
        <f t="shared" si="99"/>
        <v>0</v>
      </c>
      <c r="T229"/>
      <c r="U229" s="397">
        <f>+IFERROR(VLOOKUP(C229,'Stock CD'!B:I,8,0),0)</f>
        <v>0</v>
      </c>
      <c r="V229" s="400">
        <f t="shared" si="100"/>
        <v>432</v>
      </c>
      <c r="W229"/>
      <c r="X229" s="444">
        <f>+SUMIFS('Conteo 24-02'!F:F,'Conteo 24-02'!$A:$A,$C229)</f>
        <v>0</v>
      </c>
      <c r="Y229" s="304">
        <f>+SUMIFS('Conteo 24-02'!G:G,'Conteo 24-02'!$A:$A,$C229)</f>
        <v>0</v>
      </c>
      <c r="Z229" s="507">
        <v>1000</v>
      </c>
      <c r="AA229"/>
      <c r="AB229" s="424" t="s">
        <v>1466</v>
      </c>
      <c r="AC229" s="409">
        <f>IF(C229="Corb-LK",SUMIFS('Est Madre LK 10-25'!C:C,'Est Madre LK 10-25'!D:D,"si"),IF(C229="Corb-CH",SUMIFS('Est Madre CH 10-25'!C:C,'Est Madre CH 10-25'!D:D,"si"),0)+IFERROR(VLOOKUP(C229,'Est Madre LK 10-25'!$A:$C,3,),IFERROR(VLOOKUP(C229,'Est Madre CH 10-25'!$A:$C,3,),0)))</f>
        <v>144</v>
      </c>
      <c r="AD229" s="359">
        <v>30000</v>
      </c>
      <c r="AE229" s="260">
        <v>30</v>
      </c>
      <c r="AF229" s="323">
        <v>68.570279999999997</v>
      </c>
      <c r="AG229" s="552" t="str">
        <f>+VLOOKUP(C229,'[1]Chef Troquel'!$A$4:$F$92,5,0)</f>
        <v>Corb8</v>
      </c>
      <c r="AH229" s="260" t="s">
        <v>1666</v>
      </c>
      <c r="AI229" s="333">
        <v>3</v>
      </c>
      <c r="AK229" s="867">
        <v>0</v>
      </c>
      <c r="AL229" s="352">
        <v>100</v>
      </c>
    </row>
    <row r="230" spans="1:38" s="208" customFormat="1" ht="16.149999999999999" customHeight="1" thickBot="1" x14ac:dyDescent="0.35">
      <c r="A230" t="s">
        <v>1466</v>
      </c>
      <c r="B230" s="298">
        <v>2429700</v>
      </c>
      <c r="C230" s="443">
        <v>922</v>
      </c>
      <c r="D230" s="322" t="s">
        <v>1807</v>
      </c>
      <c r="E230" s="322" t="s">
        <v>1041</v>
      </c>
      <c r="F230" s="355" t="s">
        <v>1177</v>
      </c>
      <c r="G230" s="262"/>
      <c r="H230" s="356"/>
      <c r="J230" s="750">
        <f t="shared" si="101"/>
        <v>0.47892720306513409</v>
      </c>
      <c r="K230" s="486">
        <f t="shared" si="95"/>
        <v>0.47892720306513409</v>
      </c>
      <c r="L230"/>
      <c r="M230" s="659">
        <f t="shared" si="96"/>
        <v>1088</v>
      </c>
      <c r="N230" s="378">
        <f t="shared" si="97"/>
        <v>2088</v>
      </c>
      <c r="O230" s="345">
        <f t="shared" si="98"/>
        <v>1000</v>
      </c>
      <c r="P230" s="614"/>
      <c r="Q230"/>
      <c r="R230" s="398">
        <f>+IFERROR(SUMIFS('Stock CD'!D:D,C79,'Stock CD'!C:C),0)</f>
        <v>0</v>
      </c>
      <c r="S230" s="401">
        <f t="shared" si="99"/>
        <v>1000</v>
      </c>
      <c r="T230"/>
      <c r="U230" s="398">
        <f>+IFERROR(VLOOKUP(C230,'Stock CD'!B:I,8,0),0)</f>
        <v>0</v>
      </c>
      <c r="V230" s="401">
        <f t="shared" si="100"/>
        <v>2088</v>
      </c>
      <c r="W230"/>
      <c r="X230" s="445">
        <f>+SUMIFS('Conteo 24-02'!F:F,'Conteo 24-02'!$A:$A,$C230)</f>
        <v>1</v>
      </c>
      <c r="Y230" s="305">
        <f>+SUMIFS('Conteo 24-02'!G:G,'Conteo 24-02'!$A:$A,$C230)</f>
        <v>0</v>
      </c>
      <c r="Z230" s="508">
        <v>1000</v>
      </c>
      <c r="AA230"/>
      <c r="AB230" s="425" t="s">
        <v>1466</v>
      </c>
      <c r="AC230" s="423">
        <f>IF(C230="Corb-LK",SUMIFS('Est Madre LK 10-25'!C:C,'Est Madre LK 10-25'!D:D,"si"),IF(C230="Corb-CH",SUMIFS('Est Madre CH 10-25'!C:C,'Est Madre CH 10-25'!D:D,"si"),0)+IFERROR(VLOOKUP(C230,'Est Madre LK 10-25'!$A:$C,3,),IFERROR(VLOOKUP(C230,'Est Madre CH 10-25'!$A:$C,3,),0)))</f>
        <v>696</v>
      </c>
      <c r="AD230" s="361">
        <v>30000</v>
      </c>
      <c r="AE230" s="262">
        <v>30</v>
      </c>
      <c r="AF230" s="325">
        <v>68.570279999999997</v>
      </c>
      <c r="AG230" s="554" t="str">
        <f>+VLOOKUP(C230,'[1]Chef Troquel'!$A$4:$F$92,5,0)</f>
        <v>Corb8</v>
      </c>
      <c r="AH230" s="262" t="s">
        <v>1666</v>
      </c>
      <c r="AI230" s="335">
        <v>3</v>
      </c>
      <c r="AK230" s="461">
        <v>0</v>
      </c>
      <c r="AL230" s="356">
        <v>100</v>
      </c>
    </row>
    <row r="231" spans="1:38" ht="18" customHeight="1" x14ac:dyDescent="0.3">
      <c r="B231" s="346"/>
      <c r="C231" s="294"/>
      <c r="D231" s="127"/>
      <c r="E231" s="299"/>
      <c r="F231" s="308"/>
      <c r="G231" s="578"/>
      <c r="H231" s="308"/>
      <c r="J231" s="452"/>
      <c r="K231" s="453"/>
      <c r="M231" s="611">
        <f>SUM(M221:M230)</f>
        <v>12257</v>
      </c>
      <c r="N231" s="379"/>
      <c r="O231" s="336"/>
      <c r="P231" s="611"/>
      <c r="R231" s="454"/>
      <c r="S231" s="454"/>
      <c r="U231" s="454"/>
      <c r="V231" s="454"/>
      <c r="X231" s="307"/>
      <c r="Y231" s="307"/>
      <c r="Z231" s="384"/>
      <c r="AC231" s="382"/>
      <c r="AD231" s="384"/>
      <c r="AE231" s="127"/>
      <c r="AF231" s="348"/>
      <c r="AG231" s="550"/>
      <c r="AH231" s="127"/>
    </row>
    <row r="232" spans="1:38" ht="29.25" thickBot="1" x14ac:dyDescent="0.5">
      <c r="B232" s="969" t="s">
        <v>1687</v>
      </c>
      <c r="C232" s="969"/>
      <c r="D232" s="969"/>
      <c r="E232" s="969"/>
      <c r="F232" s="969"/>
      <c r="G232" s="969"/>
      <c r="H232" s="969"/>
      <c r="J232"/>
      <c r="N232" s="292"/>
      <c r="O232"/>
      <c r="X232" s="292"/>
      <c r="Y232"/>
      <c r="Z232" s="292"/>
      <c r="AF232" s="695"/>
      <c r="AG232" s="696"/>
    </row>
    <row r="233" spans="1:38" s="381" customFormat="1" ht="30" customHeight="1" thickBot="1" x14ac:dyDescent="0.3">
      <c r="B233" s="966" t="s">
        <v>1729</v>
      </c>
      <c r="C233" s="967"/>
      <c r="D233" s="967"/>
      <c r="E233" s="967"/>
      <c r="F233" s="967"/>
      <c r="G233" s="967"/>
      <c r="H233" s="968"/>
      <c r="J233" s="693"/>
      <c r="K233" s="694"/>
      <c r="L233" s="506"/>
      <c r="M233" s="662"/>
      <c r="N233" s="630"/>
      <c r="O233" s="630"/>
      <c r="P233" s="662"/>
      <c r="Q233" s="506"/>
      <c r="R233" s="662"/>
      <c r="S233" s="662"/>
      <c r="T233" s="506"/>
      <c r="U233" s="662"/>
      <c r="V233" s="662"/>
      <c r="W233" s="506"/>
      <c r="X233" s="662"/>
      <c r="Y233" s="662"/>
      <c r="Z233" s="630"/>
      <c r="AA233" s="506"/>
      <c r="AB233" s="662"/>
      <c r="AC233" s="662"/>
      <c r="AD233" s="630"/>
      <c r="AE233" s="662"/>
      <c r="AF233" s="662"/>
      <c r="AG233" s="662"/>
      <c r="AH233" s="662"/>
      <c r="AI233" s="662"/>
    </row>
    <row r="234" spans="1:38" ht="18" customHeight="1" x14ac:dyDescent="0.3">
      <c r="A234" t="s">
        <v>1466</v>
      </c>
      <c r="B234" s="297"/>
      <c r="C234" s="432">
        <v>193</v>
      </c>
      <c r="D234" s="261" t="str">
        <f>+VLOOKUP(C234,'Conteo 24-02'!$A$8:$D$246,4,0)</f>
        <v>K2A</v>
      </c>
      <c r="E234" s="321" t="s">
        <v>1651</v>
      </c>
      <c r="F234" s="354" t="s">
        <v>1617</v>
      </c>
      <c r="G234" s="261"/>
      <c r="H234" s="469"/>
      <c r="I234" s="208"/>
      <c r="J234" s="749">
        <f t="shared" ref="J234:J243" si="102">+IFERROR(O234/N234,0)</f>
        <v>0</v>
      </c>
      <c r="K234" s="807">
        <f>+IFERROR(S234/V234,0)</f>
        <v>0</v>
      </c>
      <c r="M234" s="658">
        <f t="shared" ref="M234:M243" si="103">IF(N234-O234-P234&lt;0,0,N234-O234-P234)</f>
        <v>828</v>
      </c>
      <c r="N234" s="376">
        <f t="shared" ref="N234:N243" si="104">+IFERROR(AC234*AI234,0)</f>
        <v>828</v>
      </c>
      <c r="O234" s="344">
        <f t="shared" ref="O234:O243" si="105">+(X234*Z234)+Y234</f>
        <v>0</v>
      </c>
      <c r="P234" s="612"/>
      <c r="R234" s="457">
        <f>+IFERROR(SUMIFS('Stock CD'!D:D,C308,'Stock CD'!C:C),0)</f>
        <v>0</v>
      </c>
      <c r="S234" s="798">
        <f t="shared" ref="S234:S243" si="106">+R234+O234</f>
        <v>0</v>
      </c>
      <c r="T234" s="27"/>
      <c r="U234" s="357">
        <f>+IFERROR(VLOOKUP(C234,'Stock CD'!B:I,8,0),0)</f>
        <v>0</v>
      </c>
      <c r="V234" s="604">
        <f t="shared" ref="V234:V243" si="107">+U234+N234</f>
        <v>828</v>
      </c>
      <c r="X234" s="626">
        <f>+SUMIFS('Conteo 24-02'!F:F,'Conteo 24-02'!$A:$A,$C234)</f>
        <v>0</v>
      </c>
      <c r="Y234" s="303">
        <f>+SUMIFS('Conteo 24-02'!G:G,'Conteo 24-02'!$A:$A,$C234)</f>
        <v>0</v>
      </c>
      <c r="Z234" s="524">
        <v>1000</v>
      </c>
      <c r="AB234" s="393" t="s">
        <v>1466</v>
      </c>
      <c r="AC234" s="422">
        <f>IF(C234="Corb-LK",SUMIFS('Est Madre LK 10-25'!C:C,'Est Madre LK 10-25'!D:D,"si"),IF(C234="Corb-CH",SUMIFS('Est Madre CH 10-25'!C:C,'Est Madre CH 10-25'!D:D,"si"),0)+IFERROR(VLOOKUP(C234,'Est Madre LK 10-25'!$A:$C,3,),IFERROR(VLOOKUP(C234,'Est Madre CH 10-25'!$A:$C,3,),0)))</f>
        <v>276</v>
      </c>
      <c r="AD234" s="358"/>
      <c r="AE234" s="261"/>
      <c r="AF234" s="324"/>
      <c r="AG234" s="551"/>
      <c r="AH234" s="261" t="s">
        <v>1651</v>
      </c>
      <c r="AI234" s="331">
        <v>3</v>
      </c>
      <c r="AK234" s="393">
        <v>100</v>
      </c>
      <c r="AL234" s="331">
        <v>0</v>
      </c>
    </row>
    <row r="235" spans="1:38" ht="18" customHeight="1" x14ac:dyDescent="0.3">
      <c r="A235" t="s">
        <v>1466</v>
      </c>
      <c r="B235" s="302"/>
      <c r="C235" s="433">
        <v>114</v>
      </c>
      <c r="D235" s="260" t="str">
        <f>+VLOOKUP(C235,'Conteo 24-02'!$A$8:$D$246,4,0)</f>
        <v>K4D</v>
      </c>
      <c r="E235" s="320" t="s">
        <v>1651</v>
      </c>
      <c r="F235" s="327" t="s">
        <v>1577</v>
      </c>
      <c r="G235" s="260"/>
      <c r="H235" s="470"/>
      <c r="I235" s="208"/>
      <c r="J235" s="751">
        <f t="shared" si="102"/>
        <v>3.7878787878787881</v>
      </c>
      <c r="K235" s="792">
        <f>+IFERROR(S235/V235,0)</f>
        <v>3.7878787878787881</v>
      </c>
      <c r="M235" s="726">
        <f t="shared" si="103"/>
        <v>0</v>
      </c>
      <c r="N235" s="377">
        <f t="shared" si="104"/>
        <v>792</v>
      </c>
      <c r="O235" s="343">
        <f t="shared" si="105"/>
        <v>3000</v>
      </c>
      <c r="P235" s="613"/>
      <c r="R235" s="394">
        <f>+IFERROR(SUMIFS('Stock CD'!D:D,C58,'Stock CD'!C:C),0)</f>
        <v>0</v>
      </c>
      <c r="S235" s="395">
        <f t="shared" si="106"/>
        <v>3000</v>
      </c>
      <c r="T235" s="23"/>
      <c r="U235" s="502">
        <f>+IFERROR(VLOOKUP(C235,'Stock CD'!B:I,8,0),0)</f>
        <v>0</v>
      </c>
      <c r="V235" s="509">
        <f t="shared" si="107"/>
        <v>792</v>
      </c>
      <c r="X235" s="444">
        <f>+SUMIFS('Conteo 24-02'!F:F,'Conteo 24-02'!$A:$A,$C235)</f>
        <v>3</v>
      </c>
      <c r="Y235" s="304">
        <f>+SUMIFS('Conteo 24-02'!G:G,'Conteo 24-02'!$A:$A,$C235)</f>
        <v>0</v>
      </c>
      <c r="Z235" s="507">
        <v>1000</v>
      </c>
      <c r="AB235" s="424" t="s">
        <v>1466</v>
      </c>
      <c r="AC235" s="409">
        <f>IF(C235="Corb-LK",SUMIFS('Est Madre LK 10-25'!C:C,'Est Madre LK 10-25'!D:D,"si"),IF(C235="Corb-CH",SUMIFS('Est Madre CH 10-25'!C:C,'Est Madre CH 10-25'!D:D,"si"),0)+IFERROR(VLOOKUP(C235,'Est Madre LK 10-25'!$A:$C,3,),IFERROR(VLOOKUP(C235,'Est Madre CH 10-25'!$A:$C,3,),0)))</f>
        <v>264</v>
      </c>
      <c r="AD235" s="359"/>
      <c r="AE235" s="260">
        <v>12</v>
      </c>
      <c r="AF235" s="323"/>
      <c r="AG235" s="552"/>
      <c r="AH235" s="260" t="s">
        <v>1636</v>
      </c>
      <c r="AI235" s="333">
        <v>3</v>
      </c>
      <c r="AK235" s="424">
        <v>100</v>
      </c>
      <c r="AL235" s="333">
        <v>0</v>
      </c>
    </row>
    <row r="236" spans="1:38" ht="18" customHeight="1" x14ac:dyDescent="0.3">
      <c r="A236" t="s">
        <v>1466</v>
      </c>
      <c r="B236" s="302"/>
      <c r="C236" s="433">
        <v>117</v>
      </c>
      <c r="D236" s="260" t="str">
        <f>+VLOOKUP(C236,'Conteo 24-02'!$A$8:$D$246,4,0)</f>
        <v>K4A</v>
      </c>
      <c r="E236" s="320" t="s">
        <v>1651</v>
      </c>
      <c r="F236" s="327" t="s">
        <v>1649</v>
      </c>
      <c r="G236" s="260"/>
      <c r="H236" s="470"/>
      <c r="I236" s="208"/>
      <c r="J236" s="751">
        <f t="shared" si="102"/>
        <v>0</v>
      </c>
      <c r="K236" s="792">
        <f t="shared" ref="K236:K237" si="108">+IFERROR(S236/V236,0)</f>
        <v>0</v>
      </c>
      <c r="M236" s="726">
        <f t="shared" si="103"/>
        <v>0</v>
      </c>
      <c r="N236" s="377">
        <f t="shared" si="104"/>
        <v>0</v>
      </c>
      <c r="O236" s="343">
        <f t="shared" si="105"/>
        <v>0</v>
      </c>
      <c r="P236" s="613"/>
      <c r="R236" s="394">
        <f>+IFERROR(SUMIFS('Stock CD'!D:D,C59,'Stock CD'!C:C),0)</f>
        <v>0</v>
      </c>
      <c r="S236" s="395">
        <f t="shared" si="106"/>
        <v>0</v>
      </c>
      <c r="T236" s="23"/>
      <c r="U236" s="502">
        <f>+IFERROR(VLOOKUP(C236,'Stock CD'!B:I,8,0),0)</f>
        <v>0</v>
      </c>
      <c r="V236" s="509">
        <f t="shared" si="107"/>
        <v>0</v>
      </c>
      <c r="X236" s="444">
        <f>+SUMIFS('Conteo 24-02'!F:F,'Conteo 24-02'!$A:$A,$C236)</f>
        <v>0</v>
      </c>
      <c r="Y236" s="304">
        <f>+SUMIFS('Conteo 24-02'!G:G,'Conteo 24-02'!$A:$A,$C236)</f>
        <v>0</v>
      </c>
      <c r="Z236" s="507">
        <v>1000</v>
      </c>
      <c r="AB236" s="424" t="s">
        <v>1466</v>
      </c>
      <c r="AC236" s="409">
        <f>IF(C236="Corb-LK",SUMIFS('Est Madre LK 10-25'!C:C,'Est Madre LK 10-25'!D:D,"si"),IF(C236="Corb-CH",SUMIFS('Est Madre CH 10-25'!C:C,'Est Madre CH 10-25'!D:D,"si"),0)+IFERROR(VLOOKUP(C236,'Est Madre LK 10-25'!$A:$C,3,),IFERROR(VLOOKUP(C236,'Est Madre CH 10-25'!$A:$C,3,),0)))</f>
        <v>0</v>
      </c>
      <c r="AD236" s="359"/>
      <c r="AE236" s="260"/>
      <c r="AF236" s="323"/>
      <c r="AG236" s="552"/>
      <c r="AH236" s="260" t="s">
        <v>1636</v>
      </c>
      <c r="AI236" s="333">
        <v>3</v>
      </c>
      <c r="AK236" s="424">
        <v>100</v>
      </c>
      <c r="AL236" s="333">
        <v>0</v>
      </c>
    </row>
    <row r="237" spans="1:38" ht="18" customHeight="1" x14ac:dyDescent="0.3">
      <c r="A237" t="s">
        <v>1466</v>
      </c>
      <c r="B237" s="302"/>
      <c r="C237" s="433">
        <v>101</v>
      </c>
      <c r="D237" s="260" t="str">
        <f>+VLOOKUP(C237,'Conteo 24-02'!$A$8:$D$246,4,0)</f>
        <v>K2A</v>
      </c>
      <c r="E237" s="320" t="s">
        <v>1651</v>
      </c>
      <c r="F237" s="327" t="s">
        <v>1189</v>
      </c>
      <c r="G237" s="260"/>
      <c r="H237" s="470"/>
      <c r="I237" s="208"/>
      <c r="J237" s="751">
        <f t="shared" si="102"/>
        <v>3.3333333333333335</v>
      </c>
      <c r="K237" s="792">
        <f t="shared" si="108"/>
        <v>3.3333333333333335</v>
      </c>
      <c r="M237" s="726">
        <f t="shared" si="103"/>
        <v>0</v>
      </c>
      <c r="N237" s="377">
        <f t="shared" si="104"/>
        <v>900</v>
      </c>
      <c r="O237" s="343">
        <f t="shared" si="105"/>
        <v>3000</v>
      </c>
      <c r="P237" s="613"/>
      <c r="R237" s="394">
        <f>+IFERROR(SUMIFS('Stock CD'!D:D,C89,'Stock CD'!C:C),0)</f>
        <v>0</v>
      </c>
      <c r="S237" s="395">
        <f t="shared" si="106"/>
        <v>3000</v>
      </c>
      <c r="T237" s="23"/>
      <c r="U237" s="502">
        <f>+IFERROR(VLOOKUP(C237,'Stock CD'!B:I,8,0),0)</f>
        <v>0</v>
      </c>
      <c r="V237" s="509">
        <f t="shared" si="107"/>
        <v>900</v>
      </c>
      <c r="X237" s="444">
        <f>+SUMIFS('Conteo 24-02'!F:F,'Conteo 24-02'!$A:$A,$C237)</f>
        <v>3</v>
      </c>
      <c r="Y237" s="304">
        <f>+SUMIFS('Conteo 24-02'!G:G,'Conteo 24-02'!$A:$A,$C237)</f>
        <v>0</v>
      </c>
      <c r="Z237" s="507">
        <v>1000</v>
      </c>
      <c r="AB237" s="424" t="s">
        <v>1466</v>
      </c>
      <c r="AC237" s="409">
        <f>IF(C237="Corb-LK",SUMIFS('Est Madre LK 10-25'!C:C,'Est Madre LK 10-25'!D:D,"si"),IF(C237="Corb-CH",SUMIFS('Est Madre CH 10-25'!C:C,'Est Madre CH 10-25'!D:D,"si"),0)+IFERROR(VLOOKUP(C237,'Est Madre LK 10-25'!$A:$C,3,),IFERROR(VLOOKUP(C237,'Est Madre CH 10-25'!$A:$C,3,),0)))</f>
        <v>300</v>
      </c>
      <c r="AD237" s="359"/>
      <c r="AE237" s="260"/>
      <c r="AF237" s="323"/>
      <c r="AG237" s="552"/>
      <c r="AH237" s="260" t="s">
        <v>1636</v>
      </c>
      <c r="AI237" s="333">
        <v>3</v>
      </c>
      <c r="AK237" s="424">
        <v>100</v>
      </c>
      <c r="AL237" s="333">
        <v>0</v>
      </c>
    </row>
    <row r="238" spans="1:38" ht="18" customHeight="1" x14ac:dyDescent="0.3">
      <c r="A238" t="s">
        <v>1466</v>
      </c>
      <c r="B238" s="302"/>
      <c r="C238" s="433">
        <v>102</v>
      </c>
      <c r="D238" s="260" t="str">
        <f>+VLOOKUP(C238,'Conteo 24-02'!$A$8:$D$246,4,0)</f>
        <v>K5C</v>
      </c>
      <c r="E238" s="320" t="s">
        <v>1651</v>
      </c>
      <c r="F238" s="327" t="s">
        <v>1578</v>
      </c>
      <c r="G238" s="260"/>
      <c r="H238" s="470"/>
      <c r="I238" s="208"/>
      <c r="J238" s="751">
        <f t="shared" si="102"/>
        <v>0</v>
      </c>
      <c r="K238" s="792">
        <f t="shared" ref="K238:K243" si="109">+IFERROR(S238/V238,0)</f>
        <v>0</v>
      </c>
      <c r="M238" s="726">
        <f t="shared" si="103"/>
        <v>0</v>
      </c>
      <c r="N238" s="377">
        <f t="shared" si="104"/>
        <v>0</v>
      </c>
      <c r="O238" s="343">
        <f t="shared" si="105"/>
        <v>0</v>
      </c>
      <c r="P238" s="613"/>
      <c r="R238" s="394">
        <f>+IFERROR(SUMIFS('Stock CD'!D:D,C58,'Stock CD'!C:C),0)</f>
        <v>0</v>
      </c>
      <c r="S238" s="395">
        <f t="shared" si="106"/>
        <v>0</v>
      </c>
      <c r="T238" s="23"/>
      <c r="U238" s="502">
        <f>+IFERROR(VLOOKUP(C238,'Stock CD'!B:I,8,0),0)</f>
        <v>0</v>
      </c>
      <c r="V238" s="509">
        <f t="shared" si="107"/>
        <v>0</v>
      </c>
      <c r="X238" s="444">
        <f>+SUMIFS('Conteo 24-02'!F:F,'Conteo 24-02'!$A:$A,$C238)</f>
        <v>0</v>
      </c>
      <c r="Y238" s="304">
        <f>+SUMIFS('Conteo 24-02'!G:G,'Conteo 24-02'!$A:$A,$C238)</f>
        <v>0</v>
      </c>
      <c r="Z238" s="507">
        <v>1000</v>
      </c>
      <c r="AB238" s="424" t="s">
        <v>1466</v>
      </c>
      <c r="AC238" s="409">
        <f>IF(C238="Corb-LK",SUMIFS('Est Madre LK 10-25'!C:C,'Est Madre LK 10-25'!D:D,"si"),IF(C238="Corb-CH",SUMIFS('Est Madre CH 10-25'!C:C,'Est Madre CH 10-25'!D:D,"si"),0)+IFERROR(VLOOKUP(C238,'Est Madre LK 10-25'!$A:$C,3,),IFERROR(VLOOKUP(C238,'Est Madre CH 10-25'!$A:$C,3,),0)))</f>
        <v>0</v>
      </c>
      <c r="AD238" s="359"/>
      <c r="AE238" s="260">
        <v>12</v>
      </c>
      <c r="AF238" s="323"/>
      <c r="AG238" s="552"/>
      <c r="AH238" s="260" t="s">
        <v>1636</v>
      </c>
      <c r="AI238" s="333">
        <v>3</v>
      </c>
      <c r="AK238" s="424">
        <v>100</v>
      </c>
      <c r="AL238" s="333">
        <v>0</v>
      </c>
    </row>
    <row r="239" spans="1:38" ht="18" customHeight="1" x14ac:dyDescent="0.3">
      <c r="A239" t="s">
        <v>1466</v>
      </c>
      <c r="B239" s="302"/>
      <c r="C239" s="433">
        <v>103</v>
      </c>
      <c r="D239" s="260" t="str">
        <f>+VLOOKUP(C239,'Conteo 24-02'!$A$8:$D$246,4,0)</f>
        <v>K5B</v>
      </c>
      <c r="E239" s="320" t="s">
        <v>1651</v>
      </c>
      <c r="F239" s="327" t="s">
        <v>1410</v>
      </c>
      <c r="G239" s="260"/>
      <c r="H239" s="470"/>
      <c r="I239" s="208"/>
      <c r="J239" s="751">
        <f t="shared" si="102"/>
        <v>0.9765625</v>
      </c>
      <c r="K239" s="792">
        <f t="shared" si="109"/>
        <v>0.9765625</v>
      </c>
      <c r="M239" s="726">
        <f t="shared" si="103"/>
        <v>72</v>
      </c>
      <c r="N239" s="377">
        <f t="shared" si="104"/>
        <v>3072</v>
      </c>
      <c r="O239" s="343">
        <f t="shared" si="105"/>
        <v>3000</v>
      </c>
      <c r="P239" s="613"/>
      <c r="R239" s="394">
        <f>+IFERROR(SUMIFS('Stock CD'!D:D,#REF!,'Stock CD'!C:C),0)</f>
        <v>0</v>
      </c>
      <c r="S239" s="395">
        <f t="shared" si="106"/>
        <v>3000</v>
      </c>
      <c r="T239" s="23"/>
      <c r="U239" s="502">
        <f>+IFERROR(VLOOKUP(C239,'Stock CD'!B:I,8,0),0)</f>
        <v>0</v>
      </c>
      <c r="V239" s="509">
        <f t="shared" si="107"/>
        <v>3072</v>
      </c>
      <c r="X239" s="444">
        <f>+SUMIFS('Conteo 24-02'!F:F,'Conteo 24-02'!$A:$A,$C239)</f>
        <v>3</v>
      </c>
      <c r="Y239" s="304">
        <f>+SUMIFS('Conteo 24-02'!G:G,'Conteo 24-02'!$A:$A,$C239)</f>
        <v>0</v>
      </c>
      <c r="Z239" s="507">
        <v>1000</v>
      </c>
      <c r="AB239" s="424" t="s">
        <v>1466</v>
      </c>
      <c r="AC239" s="409">
        <f>IF(C239="Corb-LK",SUMIFS('Est Madre LK 10-25'!C:C,'Est Madre LK 10-25'!D:D,"si"),IF(C239="Corb-CH",SUMIFS('Est Madre CH 10-25'!C:C,'Est Madre CH 10-25'!D:D,"si"),0)+IFERROR(VLOOKUP(C239,'Est Madre LK 10-25'!$A:$C,3,),IFERROR(VLOOKUP(C239,'Est Madre CH 10-25'!$A:$C,3,),0)))</f>
        <v>1024</v>
      </c>
      <c r="AD239" s="359"/>
      <c r="AE239" s="260">
        <v>12</v>
      </c>
      <c r="AF239" s="323"/>
      <c r="AG239" s="552"/>
      <c r="AH239" s="260" t="s">
        <v>1636</v>
      </c>
      <c r="AI239" s="333">
        <v>3</v>
      </c>
      <c r="AK239" s="424">
        <v>100</v>
      </c>
      <c r="AL239" s="333">
        <v>0</v>
      </c>
    </row>
    <row r="240" spans="1:38" ht="18" customHeight="1" x14ac:dyDescent="0.3">
      <c r="A240" t="s">
        <v>1466</v>
      </c>
      <c r="B240" s="302"/>
      <c r="C240" s="433">
        <v>104</v>
      </c>
      <c r="D240" s="260" t="str">
        <f>+VLOOKUP(C240,'Conteo 24-02'!$A$8:$D$246,4,0)</f>
        <v>K5D</v>
      </c>
      <c r="E240" s="320" t="s">
        <v>1651</v>
      </c>
      <c r="F240" s="327" t="s">
        <v>1614</v>
      </c>
      <c r="G240" s="260"/>
      <c r="H240" s="470"/>
      <c r="I240" s="208"/>
      <c r="J240" s="751">
        <f t="shared" si="102"/>
        <v>0.42105263157894735</v>
      </c>
      <c r="K240" s="792">
        <f t="shared" si="109"/>
        <v>0.42105263157894735</v>
      </c>
      <c r="M240" s="726">
        <f t="shared" si="103"/>
        <v>1980</v>
      </c>
      <c r="N240" s="377">
        <f t="shared" si="104"/>
        <v>3420</v>
      </c>
      <c r="O240" s="343">
        <f t="shared" si="105"/>
        <v>1440</v>
      </c>
      <c r="P240" s="613"/>
      <c r="R240" s="394">
        <f>+IFERROR(SUMIFS('Stock CD'!D:D,C59,'Stock CD'!C:C),0)</f>
        <v>0</v>
      </c>
      <c r="S240" s="395">
        <f t="shared" si="106"/>
        <v>1440</v>
      </c>
      <c r="T240" s="23"/>
      <c r="U240" s="502">
        <f>+IFERROR(VLOOKUP(C240,'Stock CD'!B:I,8,0),0)</f>
        <v>0</v>
      </c>
      <c r="V240" s="509">
        <f t="shared" si="107"/>
        <v>3420</v>
      </c>
      <c r="X240" s="444">
        <f>+SUMIFS('Conteo 24-02'!F:F,'Conteo 24-02'!$A:$A,$C240)</f>
        <v>1</v>
      </c>
      <c r="Y240" s="304">
        <f>+SUMIFS('Conteo 24-02'!G:G,'Conteo 24-02'!$A:$A,$C240)</f>
        <v>440</v>
      </c>
      <c r="Z240" s="507">
        <v>1000</v>
      </c>
      <c r="AB240" s="424" t="s">
        <v>1466</v>
      </c>
      <c r="AC240" s="409">
        <f>IF(C240="Corb-LK",SUMIFS('Est Madre LK 10-25'!C:C,'Est Madre LK 10-25'!D:D,"si"),IF(C240="Corb-CH",SUMIFS('Est Madre CH 10-25'!C:C,'Est Madre CH 10-25'!D:D,"si"),0)+IFERROR(VLOOKUP(C240,'Est Madre LK 10-25'!$A:$C,3,),IFERROR(VLOOKUP(C240,'Est Madre CH 10-25'!$A:$C,3,),0)))</f>
        <v>1140</v>
      </c>
      <c r="AD240" s="359"/>
      <c r="AE240" s="260">
        <v>12</v>
      </c>
      <c r="AF240" s="323"/>
      <c r="AG240" s="552"/>
      <c r="AH240" s="260" t="s">
        <v>1636</v>
      </c>
      <c r="AI240" s="333">
        <v>3</v>
      </c>
      <c r="AK240" s="424">
        <v>100</v>
      </c>
      <c r="AL240" s="333">
        <v>0</v>
      </c>
    </row>
    <row r="241" spans="1:38" ht="18" customHeight="1" x14ac:dyDescent="0.3">
      <c r="A241" t="s">
        <v>1466</v>
      </c>
      <c r="B241" s="302"/>
      <c r="C241" s="433">
        <v>109</v>
      </c>
      <c r="D241" s="260" t="str">
        <f>+VLOOKUP(C241,'Conteo 24-02'!$A$8:$D$246,4,0)</f>
        <v>K6A</v>
      </c>
      <c r="E241" s="320" t="s">
        <v>1651</v>
      </c>
      <c r="F241" s="327" t="s">
        <v>1580</v>
      </c>
      <c r="G241" s="260"/>
      <c r="H241" s="470"/>
      <c r="I241" s="208"/>
      <c r="J241" s="751">
        <f t="shared" si="102"/>
        <v>0</v>
      </c>
      <c r="K241" s="792">
        <f t="shared" si="109"/>
        <v>0</v>
      </c>
      <c r="M241" s="726">
        <f t="shared" si="103"/>
        <v>0</v>
      </c>
      <c r="N241" s="377">
        <f t="shared" si="104"/>
        <v>0</v>
      </c>
      <c r="O241" s="343">
        <f t="shared" si="105"/>
        <v>300</v>
      </c>
      <c r="P241" s="613"/>
      <c r="R241" s="394">
        <f>+IFERROR(SUMIFS('Stock CD'!D:D,C62,'Stock CD'!C:C),0)</f>
        <v>0</v>
      </c>
      <c r="S241" s="395">
        <f t="shared" si="106"/>
        <v>300</v>
      </c>
      <c r="T241" s="23"/>
      <c r="U241" s="502">
        <f>+IFERROR(VLOOKUP(C241,'Stock CD'!B:I,8,0),0)</f>
        <v>0</v>
      </c>
      <c r="V241" s="509">
        <f t="shared" si="107"/>
        <v>0</v>
      </c>
      <c r="X241" s="444">
        <f>+SUMIFS('Conteo 24-02'!F:F,'Conteo 24-02'!$A:$A,$C241)</f>
        <v>0</v>
      </c>
      <c r="Y241" s="304">
        <f>+SUMIFS('Conteo 24-02'!G:G,'Conteo 24-02'!$A:$A,$C241)</f>
        <v>300</v>
      </c>
      <c r="Z241" s="507">
        <v>1000</v>
      </c>
      <c r="AB241" s="424" t="s">
        <v>1466</v>
      </c>
      <c r="AC241" s="409">
        <f>IF(C241="Corb-LK",SUMIFS('Est Madre LK 10-25'!C:C,'Est Madre LK 10-25'!D:D,"si"),IF(C241="Corb-CH",SUMIFS('Est Madre CH 10-25'!C:C,'Est Madre CH 10-25'!D:D,"si"),0)+IFERROR(VLOOKUP(C241,'Est Madre LK 10-25'!$A:$C,3,),IFERROR(VLOOKUP(C241,'Est Madre CH 10-25'!$A:$C,3,),0)))</f>
        <v>0</v>
      </c>
      <c r="AD241" s="359"/>
      <c r="AE241" s="260">
        <v>12</v>
      </c>
      <c r="AF241" s="323"/>
      <c r="AG241" s="552"/>
      <c r="AH241" s="260" t="s">
        <v>1636</v>
      </c>
      <c r="AI241" s="333">
        <v>3</v>
      </c>
      <c r="AK241" s="424">
        <v>100</v>
      </c>
      <c r="AL241" s="333">
        <v>0</v>
      </c>
    </row>
    <row r="242" spans="1:38" ht="18" customHeight="1" x14ac:dyDescent="0.3">
      <c r="A242" t="s">
        <v>1466</v>
      </c>
      <c r="B242" s="302"/>
      <c r="C242" s="433">
        <v>118</v>
      </c>
      <c r="D242" s="260" t="e">
        <f>+VLOOKUP(C242,'Conteo 24-02'!$A$8:$D$246,4,0)</f>
        <v>#N/A</v>
      </c>
      <c r="E242" s="320" t="s">
        <v>1651</v>
      </c>
      <c r="F242" s="327" t="s">
        <v>1615</v>
      </c>
      <c r="G242" s="260"/>
      <c r="H242" s="470"/>
      <c r="I242" s="208"/>
      <c r="J242" s="751">
        <f t="shared" si="102"/>
        <v>0</v>
      </c>
      <c r="K242" s="792">
        <f t="shared" si="109"/>
        <v>0</v>
      </c>
      <c r="M242" s="726">
        <f t="shared" si="103"/>
        <v>0</v>
      </c>
      <c r="N242" s="377">
        <f t="shared" si="104"/>
        <v>0</v>
      </c>
      <c r="O242" s="343">
        <f t="shared" si="105"/>
        <v>0</v>
      </c>
      <c r="P242" s="613"/>
      <c r="R242" s="394">
        <f>+IFERROR(SUMIFS('Stock CD'!D:D,C243,'Stock CD'!C:C),0)</f>
        <v>0</v>
      </c>
      <c r="S242" s="395">
        <f t="shared" si="106"/>
        <v>0</v>
      </c>
      <c r="T242" s="23"/>
      <c r="U242" s="502">
        <f>+IFERROR(VLOOKUP(C242,'Stock CD'!B:I,8,0),0)</f>
        <v>0</v>
      </c>
      <c r="V242" s="509">
        <f t="shared" si="107"/>
        <v>0</v>
      </c>
      <c r="X242" s="444">
        <f>+SUMIFS('Conteo 24-02'!F:F,'Conteo 24-02'!$A:$A,$C242)</f>
        <v>0</v>
      </c>
      <c r="Y242" s="304">
        <f>+SUMIFS('Conteo 24-02'!G:G,'Conteo 24-02'!$A:$A,$C242)</f>
        <v>0</v>
      </c>
      <c r="Z242" s="507">
        <v>1000</v>
      </c>
      <c r="AB242" s="424" t="s">
        <v>1466</v>
      </c>
      <c r="AC242" s="409">
        <f>IF(C242="Corb-LK",SUMIFS('Est Madre LK 10-25'!C:C,'Est Madre LK 10-25'!D:D,"si"),IF(C242="Corb-CH",SUMIFS('Est Madre CH 10-25'!C:C,'Est Madre CH 10-25'!D:D,"si"),0)+IFERROR(VLOOKUP(C242,'Est Madre LK 10-25'!$A:$C,3,),IFERROR(VLOOKUP(C242,'Est Madre CH 10-25'!$A:$C,3,),0)))</f>
        <v>0</v>
      </c>
      <c r="AD242" s="359"/>
      <c r="AE242" s="260"/>
      <c r="AF242" s="323"/>
      <c r="AG242" s="552"/>
      <c r="AH242" s="260" t="s">
        <v>1636</v>
      </c>
      <c r="AI242" s="333">
        <v>3</v>
      </c>
      <c r="AK242" s="424">
        <v>100</v>
      </c>
      <c r="AL242" s="333">
        <v>0</v>
      </c>
    </row>
    <row r="243" spans="1:38" ht="18" customHeight="1" thickBot="1" x14ac:dyDescent="0.35">
      <c r="A243" t="s">
        <v>1466</v>
      </c>
      <c r="B243" s="806"/>
      <c r="C243" s="443">
        <v>122</v>
      </c>
      <c r="D243" s="262" t="e">
        <f>+VLOOKUP(C243,'Conteo 24-02'!$A$8:$D$246,4,0)</f>
        <v>#N/A</v>
      </c>
      <c r="E243" s="322" t="s">
        <v>1651</v>
      </c>
      <c r="F243" s="355" t="s">
        <v>1616</v>
      </c>
      <c r="G243" s="262"/>
      <c r="H243" s="471"/>
      <c r="I243" s="208"/>
      <c r="J243" s="750">
        <f t="shared" si="102"/>
        <v>0</v>
      </c>
      <c r="K243" s="793">
        <f t="shared" si="109"/>
        <v>0</v>
      </c>
      <c r="M243" s="659">
        <f t="shared" si="103"/>
        <v>0</v>
      </c>
      <c r="N243" s="378">
        <f t="shared" si="104"/>
        <v>0</v>
      </c>
      <c r="O243" s="345">
        <f t="shared" si="105"/>
        <v>0</v>
      </c>
      <c r="P243" s="614"/>
      <c r="R243" s="752">
        <f>+IFERROR(SUMIFS('Stock CD'!D:D,C339,'Stock CD'!C:C),0)</f>
        <v>0</v>
      </c>
      <c r="S243" s="799">
        <f t="shared" si="106"/>
        <v>0</v>
      </c>
      <c r="T243" s="29"/>
      <c r="U243" s="808">
        <f>+IFERROR(VLOOKUP(C243,'Stock CD'!B:I,8,0),0)</f>
        <v>0</v>
      </c>
      <c r="V243" s="753">
        <f t="shared" si="107"/>
        <v>0</v>
      </c>
      <c r="X243" s="445">
        <f>+SUMIFS('Conteo 24-02'!F:F,'Conteo 24-02'!$A:$A,$C243)</f>
        <v>0</v>
      </c>
      <c r="Y243" s="305">
        <f>+SUMIFS('Conteo 24-02'!G:G,'Conteo 24-02'!$A:$A,$C243)</f>
        <v>0</v>
      </c>
      <c r="Z243" s="508">
        <v>1000</v>
      </c>
      <c r="AB243" s="425" t="s">
        <v>1466</v>
      </c>
      <c r="AC243" s="423">
        <f>IF(C243="Corb-LK",SUMIFS('Est Madre LK 10-25'!C:C,'Est Madre LK 10-25'!D:D,"si"),IF(C243="Corb-CH",SUMIFS('Est Madre CH 10-25'!C:C,'Est Madre CH 10-25'!D:D,"si"),0)+IFERROR(VLOOKUP(C243,'Est Madre LK 10-25'!$A:$C,3,),IFERROR(VLOOKUP(C243,'Est Madre CH 10-25'!$A:$C,3,),0)))</f>
        <v>0</v>
      </c>
      <c r="AD243" s="361"/>
      <c r="AE243" s="262"/>
      <c r="AF243" s="325"/>
      <c r="AG243" s="554"/>
      <c r="AH243" s="262"/>
      <c r="AI243" s="335">
        <v>3</v>
      </c>
      <c r="AK243" s="425">
        <v>100</v>
      </c>
      <c r="AL243" s="335">
        <v>0</v>
      </c>
    </row>
    <row r="244" spans="1:38" ht="18" customHeight="1" x14ac:dyDescent="0.3">
      <c r="B244" s="605"/>
      <c r="C244" s="294"/>
      <c r="D244" s="127"/>
      <c r="E244" s="299"/>
      <c r="F244" s="308"/>
      <c r="G244" s="127"/>
      <c r="H244" s="308"/>
      <c r="I244" s="208"/>
      <c r="J244" s="452"/>
      <c r="K244" s="500"/>
      <c r="M244" s="611">
        <f>+SUM(M234:M243)</f>
        <v>2880</v>
      </c>
      <c r="N244" s="379"/>
      <c r="O244" s="336"/>
      <c r="P244" s="611"/>
      <c r="R244" s="501"/>
      <c r="S244" s="454"/>
      <c r="U244" s="501"/>
      <c r="V244" s="501"/>
      <c r="X244" s="307"/>
      <c r="Y244" s="307"/>
      <c r="Z244" s="384"/>
      <c r="AC244" s="382"/>
      <c r="AD244" s="384"/>
      <c r="AE244" s="127"/>
      <c r="AF244" s="348"/>
      <c r="AG244" s="550"/>
      <c r="AH244" s="127"/>
    </row>
    <row r="245" spans="1:38" ht="18" customHeight="1" thickBot="1" x14ac:dyDescent="0.35">
      <c r="B245" s="605"/>
      <c r="C245" s="294"/>
      <c r="E245" s="299"/>
      <c r="F245" s="308"/>
      <c r="G245" s="127"/>
      <c r="H245" s="308"/>
      <c r="I245" s="208"/>
      <c r="J245" s="452"/>
      <c r="K245" s="500"/>
      <c r="M245" s="611"/>
      <c r="N245" s="379"/>
      <c r="O245" s="336"/>
      <c r="P245" s="611"/>
      <c r="R245" s="501"/>
      <c r="S245" s="454"/>
      <c r="U245" s="501"/>
      <c r="V245" s="501"/>
      <c r="X245" s="307"/>
      <c r="Y245" s="307"/>
      <c r="Z245" s="384"/>
      <c r="AC245" s="382"/>
      <c r="AD245" s="384"/>
      <c r="AE245" s="127"/>
      <c r="AF245" s="348"/>
      <c r="AG245" s="550"/>
      <c r="AH245" s="127"/>
    </row>
    <row r="246" spans="1:38" s="381" customFormat="1" ht="30" customHeight="1" thickBot="1" x14ac:dyDescent="0.3">
      <c r="B246" s="966" t="s">
        <v>1729</v>
      </c>
      <c r="C246" s="967"/>
      <c r="D246" s="967"/>
      <c r="E246" s="967"/>
      <c r="F246" s="967"/>
      <c r="G246" s="967"/>
      <c r="H246" s="968"/>
      <c r="J246" s="693"/>
      <c r="K246" s="694"/>
      <c r="L246" s="506"/>
      <c r="M246" s="662"/>
      <c r="N246" s="630"/>
      <c r="O246" s="630"/>
      <c r="P246" s="662"/>
      <c r="Q246" s="506"/>
      <c r="R246" s="662"/>
      <c r="S246" s="662"/>
      <c r="T246" s="506"/>
      <c r="U246" s="662"/>
      <c r="V246" s="662"/>
      <c r="W246" s="506"/>
      <c r="X246" s="662"/>
      <c r="Y246" s="662"/>
      <c r="Z246" s="630"/>
      <c r="AA246" s="506"/>
      <c r="AB246" s="662"/>
      <c r="AC246" s="662"/>
      <c r="AD246" s="630"/>
      <c r="AE246" s="662"/>
      <c r="AF246" s="662"/>
      <c r="AG246" s="662"/>
      <c r="AH246" s="662"/>
      <c r="AI246" s="662"/>
    </row>
    <row r="247" spans="1:38" ht="18" customHeight="1" x14ac:dyDescent="0.3">
      <c r="A247" t="s">
        <v>1466</v>
      </c>
      <c r="B247" s="297"/>
      <c r="C247" s="432">
        <v>108</v>
      </c>
      <c r="D247" s="261" t="str">
        <f>+VLOOKUP(C247,'Conteo 24-02'!$A$8:$D$246,4,0)</f>
        <v>K2D</v>
      </c>
      <c r="E247" s="321" t="s">
        <v>1651</v>
      </c>
      <c r="F247" s="354" t="s">
        <v>1612</v>
      </c>
      <c r="G247" s="579"/>
      <c r="H247" s="469"/>
      <c r="I247" s="208"/>
      <c r="J247" s="749">
        <f t="shared" ref="J247:J258" si="110">+IFERROR(O247/N247,0)</f>
        <v>0.65359477124183007</v>
      </c>
      <c r="K247" s="807">
        <f t="shared" ref="K247:K258" si="111">+IFERROR(S247/V247,0)</f>
        <v>0.65359477124183007</v>
      </c>
      <c r="M247" s="658">
        <f t="shared" ref="M247:M258" si="112">IF(N247-O247-P247&lt;0,0,N247-O247-P247)</f>
        <v>424</v>
      </c>
      <c r="N247" s="376">
        <f t="shared" ref="N247:N258" si="113">+IFERROR(AC247*AI247,0)</f>
        <v>1224</v>
      </c>
      <c r="O247" s="344">
        <f t="shared" ref="O247:O258" si="114">+(X247*Z247)+Y247</f>
        <v>800</v>
      </c>
      <c r="P247" s="612"/>
      <c r="R247" s="457">
        <f>+IFERROR(SUMIFS('Stock CD'!D:D,C274,'Stock CD'!C:C),0)</f>
        <v>0</v>
      </c>
      <c r="S247" s="399">
        <f t="shared" ref="S247:S258" si="115">+R247+O247</f>
        <v>800</v>
      </c>
      <c r="U247" s="457">
        <f>+IFERROR(VLOOKUP(C247,'Stock CD'!B:I,8,0),0)</f>
        <v>0</v>
      </c>
      <c r="V247" s="604">
        <f t="shared" ref="V247:V258" si="116">+U247+N247</f>
        <v>1224</v>
      </c>
      <c r="X247" s="626">
        <f>+SUMIFS('Conteo 24-02'!F:F,'Conteo 24-02'!$A:$A,$C247)</f>
        <v>0</v>
      </c>
      <c r="Y247" s="303">
        <f>+SUMIFS('Conteo 24-02'!G:G,'Conteo 24-02'!$A:$A,$C247)</f>
        <v>800</v>
      </c>
      <c r="Z247" s="524">
        <v>1000</v>
      </c>
      <c r="AB247" s="393" t="s">
        <v>1466</v>
      </c>
      <c r="AC247" s="422">
        <f>IF(C247="Corb-LK",SUMIFS('Est Madre LK 10-25'!C:C,'Est Madre LK 10-25'!D:D,"si"),IF(C247="Corb-CH",SUMIFS('Est Madre CH 10-25'!C:C,'Est Madre CH 10-25'!D:D,"si"),0)+IFERROR(VLOOKUP(C247,'Est Madre LK 10-25'!$A:$C,3,),IFERROR(VLOOKUP(C247,'Est Madre CH 10-25'!$A:$C,3,),0)))</f>
        <v>408</v>
      </c>
      <c r="AD247" s="358"/>
      <c r="AE247" s="261">
        <v>25</v>
      </c>
      <c r="AF247" s="324"/>
      <c r="AG247" s="551"/>
      <c r="AH247" s="261" t="s">
        <v>1643</v>
      </c>
      <c r="AI247" s="331">
        <v>3</v>
      </c>
      <c r="AK247" s="393">
        <v>100</v>
      </c>
      <c r="AL247" s="331">
        <v>0</v>
      </c>
    </row>
    <row r="248" spans="1:38" ht="18" customHeight="1" x14ac:dyDescent="0.3">
      <c r="A248" t="s">
        <v>1466</v>
      </c>
      <c r="B248" s="302"/>
      <c r="C248" s="433">
        <v>186</v>
      </c>
      <c r="D248" s="260" t="str">
        <f>+VLOOKUP(C248,'Conteo 24-02'!$A$8:$D$246,4,0)</f>
        <v>K5A</v>
      </c>
      <c r="E248" s="320" t="s">
        <v>1651</v>
      </c>
      <c r="F248" s="327" t="s">
        <v>1611</v>
      </c>
      <c r="G248" s="499"/>
      <c r="H248" s="470"/>
      <c r="I248" s="208"/>
      <c r="J248" s="751">
        <f t="shared" si="110"/>
        <v>0.35842293906810035</v>
      </c>
      <c r="K248" s="792">
        <f t="shared" si="111"/>
        <v>0.35842293906810035</v>
      </c>
      <c r="M248" s="726">
        <f t="shared" si="112"/>
        <v>3580</v>
      </c>
      <c r="N248" s="377">
        <f t="shared" si="113"/>
        <v>5580</v>
      </c>
      <c r="O248" s="343">
        <f t="shared" si="114"/>
        <v>2000</v>
      </c>
      <c r="P248" s="613"/>
      <c r="R248" s="394">
        <f>+IFERROR(SUMIFS('Stock CD'!D:D,C278,'Stock CD'!C:C),0)</f>
        <v>0</v>
      </c>
      <c r="S248" s="400">
        <f t="shared" si="115"/>
        <v>2000</v>
      </c>
      <c r="U248" s="394">
        <f>+IFERROR(VLOOKUP(C248,'Stock CD'!B:I,8,0),0)</f>
        <v>0</v>
      </c>
      <c r="V248" s="509">
        <f t="shared" si="116"/>
        <v>5580</v>
      </c>
      <c r="X248" s="444">
        <f>+SUMIFS('Conteo 24-02'!F:F,'Conteo 24-02'!$A:$A,$C248)</f>
        <v>2</v>
      </c>
      <c r="Y248" s="304">
        <f>+SUMIFS('Conteo 24-02'!G:G,'Conteo 24-02'!$A:$A,$C248)</f>
        <v>0</v>
      </c>
      <c r="Z248" s="507">
        <v>1000</v>
      </c>
      <c r="AB248" s="424" t="s">
        <v>1466</v>
      </c>
      <c r="AC248" s="409">
        <f>IF(C248="Corb-LK",SUMIFS('Est Madre LK 10-25'!C:C,'Est Madre LK 10-25'!D:D,"si"),IF(C248="Corb-CH",SUMIFS('Est Madre CH 10-25'!C:C,'Est Madre CH 10-25'!D:D,"si"),0)+IFERROR(VLOOKUP(C248,'Est Madre LK 10-25'!$A:$C,3,),IFERROR(VLOOKUP(C248,'Est Madre CH 10-25'!$A:$C,3,),0)))</f>
        <v>1860</v>
      </c>
      <c r="AD248" s="359"/>
      <c r="AE248" s="260">
        <v>25</v>
      </c>
      <c r="AF248" s="323"/>
      <c r="AG248" s="552"/>
      <c r="AH248" s="260" t="s">
        <v>1644</v>
      </c>
      <c r="AI248" s="333">
        <v>3</v>
      </c>
      <c r="AK248" s="424">
        <v>100</v>
      </c>
      <c r="AL248" s="333">
        <v>0</v>
      </c>
    </row>
    <row r="249" spans="1:38" ht="18" customHeight="1" x14ac:dyDescent="0.3">
      <c r="A249" t="s">
        <v>1466</v>
      </c>
      <c r="B249" s="302"/>
      <c r="C249" s="433">
        <v>123</v>
      </c>
      <c r="D249" s="260" t="str">
        <f>+VLOOKUP(C249,'Conteo 24-02'!$A$8:$D$246,4,0)</f>
        <v>K4B</v>
      </c>
      <c r="E249" s="320" t="s">
        <v>1651</v>
      </c>
      <c r="F249" s="327" t="s">
        <v>1186</v>
      </c>
      <c r="G249" s="499"/>
      <c r="H249" s="470"/>
      <c r="I249" s="208"/>
      <c r="J249" s="751">
        <f t="shared" si="110"/>
        <v>0.39013732833957554</v>
      </c>
      <c r="K249" s="792">
        <f t="shared" si="111"/>
        <v>0.39013732833957554</v>
      </c>
      <c r="M249" s="726">
        <f t="shared" si="112"/>
        <v>3908</v>
      </c>
      <c r="N249" s="377">
        <f t="shared" si="113"/>
        <v>6408</v>
      </c>
      <c r="O249" s="343">
        <f t="shared" si="114"/>
        <v>2500</v>
      </c>
      <c r="P249" s="613"/>
      <c r="R249" s="394">
        <f>+IFERROR(SUMIFS('Stock CD'!D:D,C278,'Stock CD'!C:C),0)</f>
        <v>0</v>
      </c>
      <c r="S249" s="400">
        <f t="shared" si="115"/>
        <v>2500</v>
      </c>
      <c r="U249" s="394">
        <f>+IFERROR(VLOOKUP(C249,'Stock CD'!B:I,8,0),0)</f>
        <v>0</v>
      </c>
      <c r="V249" s="509">
        <f t="shared" si="116"/>
        <v>6408</v>
      </c>
      <c r="X249" s="444">
        <f>+SUMIFS('Conteo 24-02'!F:F,'Conteo 24-02'!$A:$A,$C249)</f>
        <v>2</v>
      </c>
      <c r="Y249" s="304">
        <f>+SUMIFS('Conteo 24-02'!G:G,'Conteo 24-02'!$A:$A,$C249)</f>
        <v>500</v>
      </c>
      <c r="Z249" s="507">
        <v>1000</v>
      </c>
      <c r="AB249" s="424" t="s">
        <v>1466</v>
      </c>
      <c r="AC249" s="409">
        <f>IF(C249="Corb-LK",SUMIFS('Est Madre LK 10-25'!C:C,'Est Madre LK 10-25'!D:D,"si"),IF(C249="Corb-CH",SUMIFS('Est Madre CH 10-25'!C:C,'Est Madre CH 10-25'!D:D,"si"),0)+IFERROR(VLOOKUP(C249,'Est Madre LK 10-25'!$A:$C,3,),IFERROR(VLOOKUP(C249,'Est Madre CH 10-25'!$A:$C,3,),0)))</f>
        <v>2136</v>
      </c>
      <c r="AD249" s="359"/>
      <c r="AE249" s="260">
        <v>25</v>
      </c>
      <c r="AF249" s="323"/>
      <c r="AG249" s="552"/>
      <c r="AH249" s="260" t="s">
        <v>1645</v>
      </c>
      <c r="AI249" s="333">
        <v>3</v>
      </c>
      <c r="AK249" s="424">
        <v>100</v>
      </c>
      <c r="AL249" s="333">
        <v>0</v>
      </c>
    </row>
    <row r="250" spans="1:38" ht="18" customHeight="1" x14ac:dyDescent="0.3">
      <c r="A250" t="s">
        <v>1466</v>
      </c>
      <c r="B250" s="302"/>
      <c r="C250" s="433">
        <v>107</v>
      </c>
      <c r="D250" s="260" t="str">
        <f>+VLOOKUP(C250,'Conteo 24-02'!$A$8:$D$246,4,0)</f>
        <v>K6B</v>
      </c>
      <c r="E250" s="320" t="s">
        <v>1651</v>
      </c>
      <c r="F250" s="327" t="s">
        <v>1613</v>
      </c>
      <c r="G250" s="499"/>
      <c r="H250" s="470"/>
      <c r="I250" s="208"/>
      <c r="J250" s="751">
        <f t="shared" si="110"/>
        <v>0</v>
      </c>
      <c r="K250" s="792">
        <f t="shared" si="111"/>
        <v>0</v>
      </c>
      <c r="M250" s="726">
        <f t="shared" si="112"/>
        <v>0</v>
      </c>
      <c r="N250" s="377">
        <f t="shared" si="113"/>
        <v>0</v>
      </c>
      <c r="O250" s="343">
        <f t="shared" si="114"/>
        <v>0</v>
      </c>
      <c r="P250" s="613"/>
      <c r="R250" s="394">
        <f>+IFERROR(SUMIFS('Stock CD'!D:D,C268,'Stock CD'!C:C),0)</f>
        <v>0</v>
      </c>
      <c r="S250" s="400">
        <f t="shared" si="115"/>
        <v>0</v>
      </c>
      <c r="U250" s="394">
        <f>+IFERROR(VLOOKUP(C250,'Stock CD'!B:I,8,0),0)</f>
        <v>0</v>
      </c>
      <c r="V250" s="509">
        <f t="shared" si="116"/>
        <v>0</v>
      </c>
      <c r="X250" s="444">
        <f>+SUMIFS('Conteo 24-02'!F:F,'Conteo 24-02'!$A:$A,$C250)</f>
        <v>0</v>
      </c>
      <c r="Y250" s="304">
        <f>+SUMIFS('Conteo 24-02'!G:G,'Conteo 24-02'!$A:$A,$C250)</f>
        <v>0</v>
      </c>
      <c r="Z250" s="507">
        <v>1000</v>
      </c>
      <c r="AB250" s="424" t="s">
        <v>1466</v>
      </c>
      <c r="AC250" s="409">
        <f>IF(C250="Corb-LK",SUMIFS('Est Madre LK 10-25'!C:C,'Est Madre LK 10-25'!D:D,"si"),IF(C250="Corb-CH",SUMIFS('Est Madre CH 10-25'!C:C,'Est Madre CH 10-25'!D:D,"si"),0)+IFERROR(VLOOKUP(C250,'Est Madre LK 10-25'!$A:$C,3,),IFERROR(VLOOKUP(C250,'Est Madre CH 10-25'!$A:$C,3,),0)))</f>
        <v>0</v>
      </c>
      <c r="AD250" s="359"/>
      <c r="AE250" s="260">
        <v>25</v>
      </c>
      <c r="AF250" s="323"/>
      <c r="AG250" s="552"/>
      <c r="AH250" s="260" t="s">
        <v>1642</v>
      </c>
      <c r="AI250" s="333">
        <v>3</v>
      </c>
      <c r="AK250" s="424">
        <v>100</v>
      </c>
      <c r="AL250" s="333">
        <v>0</v>
      </c>
    </row>
    <row r="251" spans="1:38" ht="18" customHeight="1" x14ac:dyDescent="0.3">
      <c r="A251" t="s">
        <v>1466</v>
      </c>
      <c r="B251" s="302"/>
      <c r="C251" s="433">
        <v>110</v>
      </c>
      <c r="D251" s="260" t="str">
        <f>+VLOOKUP(C251,'Conteo 24-02'!$A$8:$D$246,4,0)</f>
        <v>K2B</v>
      </c>
      <c r="E251" s="320" t="s">
        <v>1651</v>
      </c>
      <c r="F251" s="327" t="s">
        <v>1721</v>
      </c>
      <c r="G251" s="499"/>
      <c r="H251" s="470"/>
      <c r="I251" s="208"/>
      <c r="J251" s="751">
        <f t="shared" si="110"/>
        <v>0.83333333333333337</v>
      </c>
      <c r="K251" s="792">
        <f t="shared" si="111"/>
        <v>0.83333333333333337</v>
      </c>
      <c r="M251" s="726">
        <f t="shared" si="112"/>
        <v>600</v>
      </c>
      <c r="N251" s="377">
        <f t="shared" si="113"/>
        <v>3600</v>
      </c>
      <c r="O251" s="343">
        <f t="shared" si="114"/>
        <v>3000</v>
      </c>
      <c r="P251" s="613"/>
      <c r="R251" s="394">
        <f>+IFERROR(SUMIFS('Stock CD'!D:D,C270,'Stock CD'!C:C),0)</f>
        <v>0</v>
      </c>
      <c r="S251" s="400">
        <f t="shared" si="115"/>
        <v>3000</v>
      </c>
      <c r="U251" s="394">
        <f>+IFERROR(VLOOKUP(C251,'Stock CD'!B:I,8,0),0)</f>
        <v>0</v>
      </c>
      <c r="V251" s="509">
        <f t="shared" si="116"/>
        <v>3600</v>
      </c>
      <c r="X251" s="444">
        <f>+SUMIFS('Conteo 24-02'!F:F,'Conteo 24-02'!$A:$A,$C251)</f>
        <v>3</v>
      </c>
      <c r="Y251" s="304">
        <f>+SUMIFS('Conteo 24-02'!G:G,'Conteo 24-02'!$A:$A,$C251)</f>
        <v>0</v>
      </c>
      <c r="Z251" s="507">
        <v>1000</v>
      </c>
      <c r="AB251" s="424" t="s">
        <v>1466</v>
      </c>
      <c r="AC251" s="409">
        <f>IF(C251="Corb-LK",SUMIFS('Est Madre LK 10-25'!C:C,'Est Madre LK 10-25'!D:D,"si"),IF(C251="Corb-CH",SUMIFS('Est Madre CH 10-25'!C:C,'Est Madre CH 10-25'!D:D,"si"),0)+IFERROR(VLOOKUP(C251,'Est Madre LK 10-25'!$A:$C,3,),IFERROR(VLOOKUP(C251,'Est Madre CH 10-25'!$A:$C,3,),0)))</f>
        <v>1200</v>
      </c>
      <c r="AD251" s="359"/>
      <c r="AE251" s="260">
        <v>25</v>
      </c>
      <c r="AF251" s="323"/>
      <c r="AG251" s="552"/>
      <c r="AH251" s="260" t="s">
        <v>1642</v>
      </c>
      <c r="AI251" s="333">
        <v>3</v>
      </c>
      <c r="AK251" s="424">
        <v>100</v>
      </c>
      <c r="AL251" s="333">
        <v>0</v>
      </c>
    </row>
    <row r="252" spans="1:38" ht="18" customHeight="1" x14ac:dyDescent="0.3">
      <c r="A252" t="s">
        <v>1466</v>
      </c>
      <c r="B252" s="302"/>
      <c r="C252" s="433">
        <v>111</v>
      </c>
      <c r="D252" s="260" t="str">
        <f>+VLOOKUP(C252,'Conteo 24-02'!$A$8:$D$246,4,0)</f>
        <v>K2C</v>
      </c>
      <c r="E252" s="320" t="s">
        <v>1651</v>
      </c>
      <c r="F252" s="327" t="s">
        <v>1720</v>
      </c>
      <c r="G252" s="499"/>
      <c r="H252" s="470"/>
      <c r="I252" s="208"/>
      <c r="J252" s="751">
        <f t="shared" si="110"/>
        <v>0.60386473429951693</v>
      </c>
      <c r="K252" s="792">
        <f t="shared" si="111"/>
        <v>0.60386473429951693</v>
      </c>
      <c r="M252" s="726">
        <f t="shared" si="112"/>
        <v>656</v>
      </c>
      <c r="N252" s="377">
        <f t="shared" si="113"/>
        <v>1656</v>
      </c>
      <c r="O252" s="343">
        <f t="shared" si="114"/>
        <v>1000</v>
      </c>
      <c r="P252" s="613"/>
      <c r="R252" s="394">
        <f>+IFERROR(SUMIFS('Stock CD'!D:D,C271,'Stock CD'!C:C),0)</f>
        <v>0</v>
      </c>
      <c r="S252" s="400">
        <f t="shared" si="115"/>
        <v>1000</v>
      </c>
      <c r="U252" s="394">
        <f>+IFERROR(VLOOKUP(C252,'Stock CD'!B:I,8,0),0)</f>
        <v>0</v>
      </c>
      <c r="V252" s="509">
        <f t="shared" si="116"/>
        <v>1656</v>
      </c>
      <c r="X252" s="444">
        <f>+SUMIFS('Conteo 24-02'!F:F,'Conteo 24-02'!$A:$A,$C252)</f>
        <v>1</v>
      </c>
      <c r="Y252" s="304">
        <f>+SUMIFS('Conteo 24-02'!G:G,'Conteo 24-02'!$A:$A,$C252)</f>
        <v>0</v>
      </c>
      <c r="Z252" s="507">
        <v>1000</v>
      </c>
      <c r="AB252" s="424" t="s">
        <v>1466</v>
      </c>
      <c r="AC252" s="409">
        <f>IF(C252="Corb-LK",SUMIFS('Est Madre LK 10-25'!C:C,'Est Madre LK 10-25'!D:D,"si"),IF(C252="Corb-CH",SUMIFS('Est Madre CH 10-25'!C:C,'Est Madre CH 10-25'!D:D,"si"),0)+IFERROR(VLOOKUP(C252,'Est Madre LK 10-25'!$A:$C,3,),IFERROR(VLOOKUP(C252,'Est Madre CH 10-25'!$A:$C,3,),0)))</f>
        <v>552</v>
      </c>
      <c r="AD252" s="359"/>
      <c r="AE252" s="260">
        <v>25</v>
      </c>
      <c r="AF252" s="323"/>
      <c r="AG252" s="552"/>
      <c r="AH252" s="260" t="s">
        <v>1642</v>
      </c>
      <c r="AI252" s="333">
        <v>3</v>
      </c>
      <c r="AK252" s="424">
        <v>100</v>
      </c>
      <c r="AL252" s="333">
        <v>0</v>
      </c>
    </row>
    <row r="253" spans="1:38" ht="18" customHeight="1" x14ac:dyDescent="0.3">
      <c r="A253" t="s">
        <v>1466</v>
      </c>
      <c r="B253" s="302"/>
      <c r="C253" s="433">
        <v>112</v>
      </c>
      <c r="D253" s="260" t="str">
        <f>+VLOOKUP(C253,'Conteo 24-02'!$A$8:$D$246,4,0)</f>
        <v>K3A</v>
      </c>
      <c r="E253" s="320" t="s">
        <v>1651</v>
      </c>
      <c r="F253" s="327" t="s">
        <v>1623</v>
      </c>
      <c r="G253" s="499"/>
      <c r="H253" s="470"/>
      <c r="I253" s="208"/>
      <c r="J253" s="751">
        <f t="shared" si="110"/>
        <v>0</v>
      </c>
      <c r="K253" s="792">
        <f t="shared" si="111"/>
        <v>0</v>
      </c>
      <c r="M253" s="726">
        <f t="shared" si="112"/>
        <v>1080</v>
      </c>
      <c r="N253" s="377">
        <f t="shared" si="113"/>
        <v>1080</v>
      </c>
      <c r="O253" s="343">
        <f t="shared" si="114"/>
        <v>0</v>
      </c>
      <c r="P253" s="613"/>
      <c r="R253" s="394">
        <f>+IFERROR(SUMIFS('Stock CD'!D:D,C276,'Stock CD'!C:C),0)</f>
        <v>0</v>
      </c>
      <c r="S253" s="400">
        <f t="shared" si="115"/>
        <v>0</v>
      </c>
      <c r="U253" s="394">
        <f>+IFERROR(VLOOKUP(C253,'Stock CD'!B:I,8,0),0)</f>
        <v>0</v>
      </c>
      <c r="V253" s="509">
        <f t="shared" si="116"/>
        <v>1080</v>
      </c>
      <c r="X253" s="444">
        <f>+SUMIFS('Conteo 24-02'!F:F,'Conteo 24-02'!$A:$A,$C253)</f>
        <v>0</v>
      </c>
      <c r="Y253" s="304">
        <f>+SUMIFS('Conteo 24-02'!G:G,'Conteo 24-02'!$A:$A,$C253)</f>
        <v>0</v>
      </c>
      <c r="Z253" s="507">
        <v>1000</v>
      </c>
      <c r="AB253" s="424" t="s">
        <v>1466</v>
      </c>
      <c r="AC253" s="409">
        <f>IF(C253="Corb-LK",SUMIFS('Est Madre LK 10-25'!C:C,'Est Madre LK 10-25'!D:D,"si"),IF(C253="Corb-CH",SUMIFS('Est Madre CH 10-25'!C:C,'Est Madre CH 10-25'!D:D,"si"),0)+IFERROR(VLOOKUP(C253,'Est Madre LK 10-25'!$A:$C,3,),IFERROR(VLOOKUP(C253,'Est Madre CH 10-25'!$A:$C,3,),0)))</f>
        <v>360</v>
      </c>
      <c r="AD253" s="359"/>
      <c r="AE253" s="260">
        <v>25</v>
      </c>
      <c r="AF253" s="323"/>
      <c r="AG253" s="552"/>
      <c r="AH253" s="260" t="s">
        <v>1643</v>
      </c>
      <c r="AI253" s="333">
        <v>3</v>
      </c>
      <c r="AK253" s="424">
        <v>100</v>
      </c>
      <c r="AL253" s="333">
        <v>0</v>
      </c>
    </row>
    <row r="254" spans="1:38" ht="18" customHeight="1" x14ac:dyDescent="0.3">
      <c r="A254" t="s">
        <v>1466</v>
      </c>
      <c r="B254" s="302"/>
      <c r="C254" s="433">
        <v>113</v>
      </c>
      <c r="D254" s="260" t="str">
        <f>+VLOOKUP(C254,'Conteo 24-02'!$A$8:$D$246,4,0)</f>
        <v>K3B</v>
      </c>
      <c r="E254" s="320" t="s">
        <v>1651</v>
      </c>
      <c r="F254" s="327" t="s">
        <v>1719</v>
      </c>
      <c r="G254" s="499"/>
      <c r="H254" s="470"/>
      <c r="I254" s="208"/>
      <c r="J254" s="751">
        <f t="shared" si="110"/>
        <v>0.46296296296296297</v>
      </c>
      <c r="K254" s="792">
        <f t="shared" si="111"/>
        <v>0.46296296296296297</v>
      </c>
      <c r="M254" s="726">
        <f t="shared" si="112"/>
        <v>580</v>
      </c>
      <c r="N254" s="377">
        <f t="shared" si="113"/>
        <v>1080</v>
      </c>
      <c r="O254" s="343">
        <f t="shared" si="114"/>
        <v>500</v>
      </c>
      <c r="P254" s="613"/>
      <c r="R254" s="394">
        <f>+IFERROR(SUMIFS('Stock CD'!D:D,C277,'Stock CD'!C:C),0)</f>
        <v>0</v>
      </c>
      <c r="S254" s="400">
        <f t="shared" si="115"/>
        <v>500</v>
      </c>
      <c r="U254" s="394">
        <f>+IFERROR(VLOOKUP(C254,'Stock CD'!B:I,8,0),0)</f>
        <v>0</v>
      </c>
      <c r="V254" s="509">
        <f t="shared" si="116"/>
        <v>1080</v>
      </c>
      <c r="X254" s="444">
        <f>+SUMIFS('Conteo 24-02'!F:F,'Conteo 24-02'!$A:$A,$C254)</f>
        <v>0</v>
      </c>
      <c r="Y254" s="304">
        <f>+SUMIFS('Conteo 24-02'!G:G,'Conteo 24-02'!$A:$A,$C254)</f>
        <v>500</v>
      </c>
      <c r="Z254" s="507">
        <v>1000</v>
      </c>
      <c r="AB254" s="424" t="s">
        <v>1466</v>
      </c>
      <c r="AC254" s="409">
        <f>IF(C254="Corb-LK",SUMIFS('Est Madre LK 10-25'!C:C,'Est Madre LK 10-25'!D:D,"si"),IF(C254="Corb-CH",SUMIFS('Est Madre CH 10-25'!C:C,'Est Madre CH 10-25'!D:D,"si"),0)+IFERROR(VLOOKUP(C254,'Est Madre LK 10-25'!$A:$C,3,),IFERROR(VLOOKUP(C254,'Est Madre CH 10-25'!$A:$C,3,),0)))</f>
        <v>360</v>
      </c>
      <c r="AD254" s="359"/>
      <c r="AE254" s="260">
        <v>25</v>
      </c>
      <c r="AF254" s="323"/>
      <c r="AG254" s="552"/>
      <c r="AH254" s="260" t="s">
        <v>1643</v>
      </c>
      <c r="AI254" s="333">
        <v>3</v>
      </c>
      <c r="AK254" s="424">
        <v>100</v>
      </c>
      <c r="AL254" s="333">
        <v>0</v>
      </c>
    </row>
    <row r="255" spans="1:38" ht="18" customHeight="1" x14ac:dyDescent="0.3">
      <c r="A255" t="s">
        <v>1466</v>
      </c>
      <c r="B255" s="302"/>
      <c r="C255" s="433">
        <v>115</v>
      </c>
      <c r="D255" s="260" t="str">
        <f>+VLOOKUP(C255,'Conteo 24-02'!$A$8:$D$246,4,0)</f>
        <v>K3C</v>
      </c>
      <c r="E255" s="320" t="s">
        <v>1651</v>
      </c>
      <c r="F255" s="327" t="s">
        <v>1193</v>
      </c>
      <c r="G255" s="499"/>
      <c r="H255" s="470"/>
      <c r="I255" s="208"/>
      <c r="J255" s="751">
        <f t="shared" si="110"/>
        <v>0.55555555555555558</v>
      </c>
      <c r="K255" s="792">
        <f t="shared" si="111"/>
        <v>0.55555555555555558</v>
      </c>
      <c r="M255" s="726">
        <f t="shared" si="112"/>
        <v>416</v>
      </c>
      <c r="N255" s="377">
        <f t="shared" si="113"/>
        <v>936</v>
      </c>
      <c r="O255" s="343">
        <f t="shared" si="114"/>
        <v>520</v>
      </c>
      <c r="P255" s="613"/>
      <c r="R255" s="394">
        <f>+IFERROR(SUMIFS('Stock CD'!D:D,C269,'Stock CD'!C:C),0)</f>
        <v>0</v>
      </c>
      <c r="S255" s="400">
        <f t="shared" si="115"/>
        <v>520</v>
      </c>
      <c r="U255" s="394">
        <f>+IFERROR(VLOOKUP(C255,'Stock CD'!B:I,8,0),0)</f>
        <v>0</v>
      </c>
      <c r="V255" s="509">
        <f t="shared" si="116"/>
        <v>936</v>
      </c>
      <c r="X255" s="444">
        <f>+SUMIFS('Conteo 24-02'!F:F,'Conteo 24-02'!$A:$A,$C255)</f>
        <v>0</v>
      </c>
      <c r="Y255" s="304">
        <f>+SUMIFS('Conteo 24-02'!G:G,'Conteo 24-02'!$A:$A,$C255)</f>
        <v>520</v>
      </c>
      <c r="Z255" s="507">
        <v>1000</v>
      </c>
      <c r="AB255" s="424" t="s">
        <v>1466</v>
      </c>
      <c r="AC255" s="409">
        <f>IF(C255="Corb-LK",SUMIFS('Est Madre LK 10-25'!C:C,'Est Madre LK 10-25'!D:D,"si"),IF(C255="Corb-CH",SUMIFS('Est Madre CH 10-25'!C:C,'Est Madre CH 10-25'!D:D,"si"),0)+IFERROR(VLOOKUP(C255,'Est Madre LK 10-25'!$A:$C,3,),IFERROR(VLOOKUP(C255,'Est Madre CH 10-25'!$A:$C,3,),0)))</f>
        <v>312</v>
      </c>
      <c r="AD255" s="359"/>
      <c r="AE255" s="260">
        <v>25</v>
      </c>
      <c r="AF255" s="323"/>
      <c r="AG255" s="552"/>
      <c r="AH255" s="260" t="s">
        <v>1642</v>
      </c>
      <c r="AI255" s="333">
        <v>3</v>
      </c>
      <c r="AK255" s="424">
        <v>100</v>
      </c>
      <c r="AL255" s="333">
        <v>0</v>
      </c>
    </row>
    <row r="256" spans="1:38" ht="18" customHeight="1" x14ac:dyDescent="0.3">
      <c r="A256" t="s">
        <v>1466</v>
      </c>
      <c r="B256" s="302"/>
      <c r="C256" s="433">
        <v>119</v>
      </c>
      <c r="D256" s="260" t="str">
        <f>+VLOOKUP(C256,'Conteo 24-02'!$A$8:$D$246,4,0)</f>
        <v>K6C</v>
      </c>
      <c r="E256" s="320" t="s">
        <v>1651</v>
      </c>
      <c r="F256" s="327" t="s">
        <v>1601</v>
      </c>
      <c r="G256" s="499"/>
      <c r="H256" s="470"/>
      <c r="I256" s="208"/>
      <c r="J256" s="751">
        <f t="shared" si="110"/>
        <v>0.69444444444444442</v>
      </c>
      <c r="K256" s="792">
        <f t="shared" si="111"/>
        <v>0.69444444444444442</v>
      </c>
      <c r="M256" s="726">
        <f t="shared" si="112"/>
        <v>550</v>
      </c>
      <c r="N256" s="377">
        <f t="shared" si="113"/>
        <v>1800</v>
      </c>
      <c r="O256" s="343">
        <f t="shared" si="114"/>
        <v>1250</v>
      </c>
      <c r="P256" s="613"/>
      <c r="R256" s="394">
        <f>+IFERROR(SUMIFS('Stock CD'!D:D,C271,'Stock CD'!C:C),0)</f>
        <v>0</v>
      </c>
      <c r="S256" s="400">
        <f t="shared" si="115"/>
        <v>1250</v>
      </c>
      <c r="U256" s="394">
        <f>+IFERROR(VLOOKUP(C256,'Stock CD'!B:I,8,0),0)</f>
        <v>0</v>
      </c>
      <c r="V256" s="509">
        <f t="shared" si="116"/>
        <v>1800</v>
      </c>
      <c r="X256" s="444">
        <f>+SUMIFS('Conteo 24-02'!F:F,'Conteo 24-02'!$A:$A,$C256)</f>
        <v>0</v>
      </c>
      <c r="Y256" s="304">
        <f>+SUMIFS('Conteo 24-02'!G:G,'Conteo 24-02'!$A:$A,$C256)</f>
        <v>1250</v>
      </c>
      <c r="Z256" s="507">
        <v>1000</v>
      </c>
      <c r="AB256" s="424" t="s">
        <v>1466</v>
      </c>
      <c r="AC256" s="409">
        <f>IF(C256="Corb-LK",SUMIFS('Est Madre LK 10-25'!C:C,'Est Madre LK 10-25'!D:D,"si"),IF(C256="Corb-CH",SUMIFS('Est Madre CH 10-25'!C:C,'Est Madre CH 10-25'!D:D,"si"),0)+IFERROR(VLOOKUP(C256,'Est Madre LK 10-25'!$A:$C,3,),IFERROR(VLOOKUP(C256,'Est Madre CH 10-25'!$A:$C,3,),0)))</f>
        <v>600</v>
      </c>
      <c r="AD256" s="359"/>
      <c r="AE256" s="260">
        <v>25</v>
      </c>
      <c r="AF256" s="323"/>
      <c r="AG256" s="552"/>
      <c r="AH256" s="260" t="s">
        <v>1642</v>
      </c>
      <c r="AI256" s="333">
        <v>3</v>
      </c>
      <c r="AK256" s="424">
        <v>100</v>
      </c>
      <c r="AL256" s="333">
        <v>0</v>
      </c>
    </row>
    <row r="257" spans="1:38" ht="18" customHeight="1" x14ac:dyDescent="0.3">
      <c r="A257" t="s">
        <v>1466</v>
      </c>
      <c r="B257" s="302"/>
      <c r="C257" s="433">
        <v>121</v>
      </c>
      <c r="D257" s="260" t="str">
        <f>+VLOOKUP(C257,'Conteo 24-02'!$A$8:$D$246,4,0)</f>
        <v>K4C</v>
      </c>
      <c r="E257" s="320" t="s">
        <v>1651</v>
      </c>
      <c r="F257" s="327" t="s">
        <v>766</v>
      </c>
      <c r="G257" s="499"/>
      <c r="H257" s="470"/>
      <c r="I257" s="208"/>
      <c r="J257" s="751">
        <f t="shared" si="110"/>
        <v>0.36549707602339182</v>
      </c>
      <c r="K257" s="792">
        <f t="shared" si="111"/>
        <v>0.36549707602339182</v>
      </c>
      <c r="M257" s="726">
        <f t="shared" si="112"/>
        <v>868</v>
      </c>
      <c r="N257" s="377">
        <f t="shared" si="113"/>
        <v>1368</v>
      </c>
      <c r="O257" s="343">
        <f t="shared" si="114"/>
        <v>500</v>
      </c>
      <c r="P257" s="613"/>
      <c r="R257" s="394">
        <f>+IFERROR(SUMIFS('Stock CD'!D:D,C272,'Stock CD'!C:C),0)</f>
        <v>0</v>
      </c>
      <c r="S257" s="400">
        <f t="shared" si="115"/>
        <v>500</v>
      </c>
      <c r="U257" s="394">
        <f>+IFERROR(VLOOKUP(C257,'Stock CD'!B:I,8,0),0)</f>
        <v>0</v>
      </c>
      <c r="V257" s="509">
        <f t="shared" si="116"/>
        <v>1368</v>
      </c>
      <c r="X257" s="444">
        <f>+SUMIFS('Conteo 24-02'!F:F,'Conteo 24-02'!$A:$A,$C257)</f>
        <v>0</v>
      </c>
      <c r="Y257" s="304">
        <f>+SUMIFS('Conteo 24-02'!G:G,'Conteo 24-02'!$A:$A,$C257)</f>
        <v>500</v>
      </c>
      <c r="Z257" s="507">
        <v>1000</v>
      </c>
      <c r="AB257" s="424" t="s">
        <v>1466</v>
      </c>
      <c r="AC257" s="409">
        <f>IF(C257="Corb-LK",SUMIFS('Est Madre LK 10-25'!C:C,'Est Madre LK 10-25'!D:D,"si"),IF(C257="Corb-CH",SUMIFS('Est Madre CH 10-25'!C:C,'Est Madre CH 10-25'!D:D,"si"),0)+IFERROR(VLOOKUP(C257,'Est Madre LK 10-25'!$A:$C,3,),IFERROR(VLOOKUP(C257,'Est Madre CH 10-25'!$A:$C,3,),0)))</f>
        <v>456</v>
      </c>
      <c r="AD257" s="359"/>
      <c r="AE257" s="260">
        <v>25</v>
      </c>
      <c r="AF257" s="323"/>
      <c r="AG257" s="552"/>
      <c r="AH257" s="260" t="s">
        <v>1642</v>
      </c>
      <c r="AI257" s="333">
        <v>3</v>
      </c>
      <c r="AK257" s="424">
        <v>100</v>
      </c>
      <c r="AL257" s="333">
        <v>0</v>
      </c>
    </row>
    <row r="258" spans="1:38" ht="18" customHeight="1" thickBot="1" x14ac:dyDescent="0.35">
      <c r="A258" t="s">
        <v>1466</v>
      </c>
      <c r="B258" s="298"/>
      <c r="C258" s="443">
        <v>116</v>
      </c>
      <c r="D258" s="262" t="str">
        <f>+VLOOKUP(C258,'Conteo 24-02'!$A$8:$D$246,4,0)</f>
        <v>K3D</v>
      </c>
      <c r="E258" s="322" t="s">
        <v>1651</v>
      </c>
      <c r="F258" s="355" t="s">
        <v>1276</v>
      </c>
      <c r="G258" s="262"/>
      <c r="H258" s="471"/>
      <c r="I258" s="208"/>
      <c r="J258" s="750">
        <f t="shared" si="110"/>
        <v>0.69444444444444442</v>
      </c>
      <c r="K258" s="793">
        <f t="shared" si="111"/>
        <v>0.69444444444444442</v>
      </c>
      <c r="M258" s="659">
        <f t="shared" si="112"/>
        <v>550</v>
      </c>
      <c r="N258" s="378">
        <f t="shared" si="113"/>
        <v>1800</v>
      </c>
      <c r="O258" s="345">
        <f t="shared" si="114"/>
        <v>1250</v>
      </c>
      <c r="P258" s="614"/>
      <c r="R258" s="752">
        <f>+IFERROR(SUMIFS('Stock CD'!D:D,C275,'Stock CD'!C:C),0)</f>
        <v>0</v>
      </c>
      <c r="S258" s="401">
        <f t="shared" si="115"/>
        <v>1250</v>
      </c>
      <c r="U258" s="752">
        <f>+IFERROR(VLOOKUP(C258,'Stock CD'!B:I,8,0),0)</f>
        <v>0</v>
      </c>
      <c r="V258" s="753">
        <f t="shared" si="116"/>
        <v>1800</v>
      </c>
      <c r="X258" s="445">
        <f>+SUMIFS('Conteo 24-02'!F:F,'Conteo 24-02'!$A:$A,$C258)</f>
        <v>0</v>
      </c>
      <c r="Y258" s="305">
        <f>+SUMIFS('Conteo 24-02'!G:G,'Conteo 24-02'!$A:$A,$C258)</f>
        <v>1250</v>
      </c>
      <c r="Z258" s="508">
        <v>1000</v>
      </c>
      <c r="AB258" s="425" t="s">
        <v>1466</v>
      </c>
      <c r="AC258" s="423">
        <f>IF(C258="Corb-LK",SUMIFS('Est Madre LK 10-25'!C:C,'Est Madre LK 10-25'!D:D,"si"),IF(C258="Corb-CH",SUMIFS('Est Madre CH 10-25'!C:C,'Est Madre CH 10-25'!D:D,"si"),0)+IFERROR(VLOOKUP(C258,'Est Madre LK 10-25'!$A:$C,3,),IFERROR(VLOOKUP(C258,'Est Madre CH 10-25'!$A:$C,3,),0)))</f>
        <v>600</v>
      </c>
      <c r="AD258" s="361"/>
      <c r="AE258" s="262">
        <v>25</v>
      </c>
      <c r="AF258" s="325"/>
      <c r="AG258" s="554"/>
      <c r="AH258" s="262" t="s">
        <v>1643</v>
      </c>
      <c r="AI258" s="335">
        <v>3</v>
      </c>
      <c r="AK258" s="425">
        <v>100</v>
      </c>
      <c r="AL258" s="335">
        <v>0</v>
      </c>
    </row>
    <row r="259" spans="1:38" ht="18" customHeight="1" x14ac:dyDescent="0.3">
      <c r="B259" s="294"/>
      <c r="C259" s="294"/>
      <c r="D259" s="127"/>
      <c r="E259" s="299"/>
      <c r="F259" s="308"/>
      <c r="G259" s="127"/>
      <c r="H259" s="308"/>
      <c r="I259" s="208"/>
      <c r="J259" s="452"/>
      <c r="K259" s="500"/>
      <c r="M259" s="611">
        <f>+SUM(M247:M258)</f>
        <v>13212</v>
      </c>
      <c r="N259" s="379"/>
      <c r="O259" s="336"/>
      <c r="P259" s="611"/>
      <c r="R259" s="501"/>
      <c r="S259" s="454"/>
      <c r="U259" s="501"/>
      <c r="V259" s="501"/>
      <c r="X259" s="307"/>
      <c r="Y259" s="307"/>
      <c r="Z259" s="384"/>
      <c r="AC259" s="382"/>
      <c r="AD259" s="384"/>
      <c r="AE259" s="127"/>
      <c r="AF259" s="348"/>
      <c r="AG259" s="550"/>
      <c r="AH259" s="127"/>
    </row>
    <row r="260" spans="1:38" x14ac:dyDescent="0.3">
      <c r="B260" s="294"/>
      <c r="C260" s="294"/>
      <c r="D260" s="127"/>
      <c r="E260" s="299"/>
      <c r="F260" s="308"/>
      <c r="G260" s="127"/>
      <c r="H260" s="308"/>
      <c r="I260" s="208"/>
      <c r="J260" s="452"/>
      <c r="K260" s="500"/>
      <c r="M260" s="611"/>
      <c r="N260" s="379"/>
      <c r="O260" s="336"/>
      <c r="P260" s="611"/>
      <c r="R260" s="501"/>
      <c r="S260" s="454"/>
      <c r="U260" s="501"/>
      <c r="V260" s="501"/>
      <c r="X260" s="307"/>
      <c r="Y260" s="307"/>
      <c r="Z260" s="384"/>
      <c r="AC260" s="382"/>
      <c r="AD260" s="384"/>
      <c r="AE260" s="127"/>
      <c r="AF260" s="348"/>
      <c r="AG260" s="550"/>
      <c r="AH260" s="127"/>
    </row>
    <row r="261" spans="1:38" ht="18" customHeight="1" x14ac:dyDescent="0.3">
      <c r="B261" s="294"/>
      <c r="C261" s="294"/>
      <c r="D261" s="127"/>
      <c r="E261" s="299"/>
      <c r="F261" s="308"/>
      <c r="G261" s="127"/>
      <c r="H261" s="308"/>
      <c r="J261" s="452"/>
      <c r="K261" s="453"/>
      <c r="M261" s="611"/>
      <c r="N261" s="379"/>
      <c r="O261" s="336"/>
      <c r="P261" s="611"/>
      <c r="R261" s="454"/>
      <c r="S261" s="454"/>
      <c r="U261" s="454"/>
      <c r="V261" s="454"/>
      <c r="X261" s="307"/>
      <c r="Y261" s="307"/>
      <c r="Z261" s="384"/>
      <c r="AC261" s="382"/>
      <c r="AD261" s="384"/>
      <c r="AE261" s="299"/>
      <c r="AF261" s="348"/>
      <c r="AG261" s="550"/>
      <c r="AH261" s="10"/>
    </row>
    <row r="262" spans="1:38" ht="24" thickBot="1" x14ac:dyDescent="0.4">
      <c r="C262" s="292"/>
      <c r="F262" s="451" t="s">
        <v>1492</v>
      </c>
      <c r="G262" s="494"/>
      <c r="H262" s="451"/>
      <c r="J262" s="448"/>
      <c r="N262" s="292"/>
      <c r="O262"/>
      <c r="X262" s="292"/>
      <c r="Y262"/>
      <c r="Z262" s="292"/>
      <c r="AF262" s="695"/>
      <c r="AG262" s="696"/>
    </row>
    <row r="263" spans="1:38" ht="29.25" thickBot="1" x14ac:dyDescent="0.35">
      <c r="C263" s="292"/>
      <c r="F263" s="610" t="s">
        <v>1494</v>
      </c>
      <c r="G263" s="732" t="s">
        <v>1493</v>
      </c>
      <c r="H263" s="450"/>
      <c r="J263" s="477"/>
      <c r="K263" s="349"/>
      <c r="L263" s="208"/>
      <c r="M263" s="380"/>
      <c r="N263" s="367"/>
      <c r="O263" s="342"/>
      <c r="P263" s="380"/>
      <c r="Q263" s="711"/>
      <c r="T263" s="208"/>
      <c r="W263" s="711"/>
      <c r="X263" s="368"/>
      <c r="Y263" s="338"/>
      <c r="Z263" s="292"/>
      <c r="AA263" s="705"/>
      <c r="AB263" s="706"/>
      <c r="AC263" s="712"/>
      <c r="AD263" s="712"/>
      <c r="AE263" s="712"/>
      <c r="AF263" s="713"/>
      <c r="AG263" s="714"/>
      <c r="AH263" s="705"/>
      <c r="AI263" s="706"/>
    </row>
    <row r="264" spans="1:38" ht="74.650000000000006" customHeight="1" thickBot="1" x14ac:dyDescent="0.3">
      <c r="B264" s="446" t="s">
        <v>1293</v>
      </c>
      <c r="C264" s="310" t="s">
        <v>748</v>
      </c>
      <c r="D264" s="541" t="s">
        <v>1198</v>
      </c>
      <c r="E264" s="310" t="s">
        <v>1018</v>
      </c>
      <c r="F264" s="415" t="s">
        <v>1396</v>
      </c>
      <c r="G264" s="495" t="s">
        <v>1496</v>
      </c>
      <c r="H264" s="319" t="s">
        <v>1511</v>
      </c>
      <c r="J264" s="291" t="s">
        <v>1384</v>
      </c>
      <c r="K264" s="741" t="s">
        <v>1435</v>
      </c>
      <c r="M264" s="319" t="s">
        <v>1475</v>
      </c>
      <c r="N264" s="312" t="s">
        <v>1508</v>
      </c>
      <c r="O264" s="312" t="s">
        <v>1474</v>
      </c>
      <c r="P264" s="319" t="s">
        <v>1739</v>
      </c>
      <c r="R264" s="291" t="s">
        <v>1459</v>
      </c>
      <c r="S264" s="741" t="s">
        <v>1460</v>
      </c>
      <c r="U264" s="296" t="s">
        <v>1463</v>
      </c>
      <c r="V264" s="291" t="s">
        <v>1464</v>
      </c>
      <c r="X264" s="296" t="s">
        <v>1197</v>
      </c>
      <c r="Y264" s="291" t="s">
        <v>1477</v>
      </c>
      <c r="Z264" s="293" t="s">
        <v>857</v>
      </c>
      <c r="AB264" s="687" t="s">
        <v>1399</v>
      </c>
      <c r="AC264" s="687" t="s">
        <v>1478</v>
      </c>
      <c r="AD264" s="685" t="s">
        <v>1476</v>
      </c>
      <c r="AE264" s="687" t="s">
        <v>1479</v>
      </c>
      <c r="AF264" s="688" t="s">
        <v>1383</v>
      </c>
      <c r="AG264" s="687"/>
      <c r="AH264" s="687" t="s">
        <v>1400</v>
      </c>
      <c r="AI264" s="687" t="s">
        <v>1509</v>
      </c>
      <c r="AK264" s="840" t="s">
        <v>746</v>
      </c>
      <c r="AL264" s="310" t="s">
        <v>1041</v>
      </c>
    </row>
    <row r="265" spans="1:38" ht="18.600000000000001" customHeight="1" x14ac:dyDescent="0.3">
      <c r="A265" t="s">
        <v>1494</v>
      </c>
      <c r="B265" s="297">
        <v>1259700</v>
      </c>
      <c r="C265" s="432">
        <v>500</v>
      </c>
      <c r="D265" s="261" t="str">
        <f>+VLOOKUP(C265,'Conteo 24-02'!$A$8:$D$246,4,0)</f>
        <v>A2A</v>
      </c>
      <c r="E265" s="321" t="s">
        <v>746</v>
      </c>
      <c r="F265" s="354" t="s">
        <v>1391</v>
      </c>
      <c r="G265" s="261"/>
      <c r="H265" s="469"/>
      <c r="J265" s="717">
        <f t="shared" ref="J265:J273" si="117">+IFERROR(O265/N265,0)</f>
        <v>5.5555555555555562</v>
      </c>
      <c r="K265" s="734">
        <f t="shared" ref="K265:K273" si="118">+IFERROR(S265/V265,0)</f>
        <v>5.5555555555555562</v>
      </c>
      <c r="M265" s="658">
        <f t="shared" ref="M265:M273" si="119">IF(N265-O265-P265&lt;0,0,N265-O265-P265)</f>
        <v>0</v>
      </c>
      <c r="N265" s="376">
        <f>+IFERROR(AC265*AI265,0)</f>
        <v>1.7999999999999998</v>
      </c>
      <c r="O265" s="344">
        <f>+(X265+(Y265/AH265))</f>
        <v>10</v>
      </c>
      <c r="P265" s="612"/>
      <c r="R265" s="396">
        <f>+IFERROR(SUMIFS('Stock CD'!D:D,C345,'Stock CD'!C:C),0)</f>
        <v>0</v>
      </c>
      <c r="S265" s="399">
        <f t="shared" ref="S265:S273" si="120">+R265+O265</f>
        <v>10</v>
      </c>
      <c r="U265" s="402">
        <f>+IFERROR(VLOOKUP(C265,'Stock CD'!B:I,8,0)/Z265,0)</f>
        <v>0</v>
      </c>
      <c r="V265" s="403">
        <f t="shared" ref="V265:V273" si="121">+U265+N265</f>
        <v>1.7999999999999998</v>
      </c>
      <c r="X265" s="626">
        <f>+SUMIFS('Conteo 24-02'!F:F,'Conteo 24-02'!$A:$A,$C265)</f>
        <v>10</v>
      </c>
      <c r="Y265" s="303">
        <f>+SUMIFS('Conteo 24-02'!G:G,'Conteo 24-02'!$A:$A,$C265)</f>
        <v>0</v>
      </c>
      <c r="Z265" s="524">
        <f>200*12</f>
        <v>2400</v>
      </c>
      <c r="AB265" s="393" t="s">
        <v>1494</v>
      </c>
      <c r="AC265" s="409">
        <f>+IF(C265="Bomb-CH",SUMIFS('Est Madre CH 10-25'!C:C,'Est Madre CH 10-25'!G:G,"SI")/Z265,0)+IFERROR(VLOOKUP(C265,'Est Madre LK 10-25'!$A:$C,3,)/Z265,IFERROR(VLOOKUP(C265,'Est Madre CH 10-25'!$A:$C,3,)/Z265,0))</f>
        <v>0.6</v>
      </c>
      <c r="AD265" s="440">
        <v>1</v>
      </c>
      <c r="AE265" s="261">
        <v>12</v>
      </c>
      <c r="AF265" s="324">
        <v>0</v>
      </c>
      <c r="AG265" s="551"/>
      <c r="AH265" s="321">
        <v>200</v>
      </c>
      <c r="AI265" s="331">
        <v>3</v>
      </c>
      <c r="AK265" s="393">
        <v>100</v>
      </c>
      <c r="AL265" s="331">
        <v>0</v>
      </c>
    </row>
    <row r="266" spans="1:38" ht="18.600000000000001" customHeight="1" x14ac:dyDescent="0.3">
      <c r="A266" t="s">
        <v>1494</v>
      </c>
      <c r="B266" s="302">
        <v>1260700</v>
      </c>
      <c r="C266" s="433">
        <v>506</v>
      </c>
      <c r="D266" s="260" t="str">
        <f>+VLOOKUP(C266,'Conteo 24-02'!$A$8:$D$246,4,0)</f>
        <v>V2A</v>
      </c>
      <c r="E266" s="320" t="s">
        <v>746</v>
      </c>
      <c r="F266" s="327" t="s">
        <v>1392</v>
      </c>
      <c r="G266" s="499"/>
      <c r="H266" s="470"/>
      <c r="J266" s="718">
        <f t="shared" si="117"/>
        <v>1.0191082802547773</v>
      </c>
      <c r="K266" s="735">
        <f t="shared" si="118"/>
        <v>1.0191082802547773</v>
      </c>
      <c r="M266" s="726">
        <f t="shared" si="119"/>
        <v>0</v>
      </c>
      <c r="N266" s="377">
        <f t="shared" ref="N266:N273" si="122">+IFERROR(AC266*AI266,0)</f>
        <v>23.549999999999997</v>
      </c>
      <c r="O266" s="343">
        <f t="shared" ref="O266:O273" si="123">+(X266+(Y266/AH266))</f>
        <v>24</v>
      </c>
      <c r="P266" s="613"/>
      <c r="R266" s="397">
        <f>+IFERROR(SUMIFS('Stock CD'!D:D,C346,'Stock CD'!C:C),0)</f>
        <v>0</v>
      </c>
      <c r="S266" s="400">
        <f t="shared" si="120"/>
        <v>24</v>
      </c>
      <c r="U266" s="397">
        <f>+IFERROR(VLOOKUP(C266,'Stock CD'!B:I,8,0)/Z266,0)</f>
        <v>0</v>
      </c>
      <c r="V266" s="400">
        <f t="shared" si="121"/>
        <v>23.549999999999997</v>
      </c>
      <c r="X266" s="444">
        <f>+SUMIFS('Conteo 24-02'!F:F,'Conteo 24-02'!$A:$A,$C266)</f>
        <v>24</v>
      </c>
      <c r="Y266" s="304">
        <f>+SUMIFS('Conteo 24-02'!G:G,'Conteo 24-02'!$A:$A,$C266)</f>
        <v>0</v>
      </c>
      <c r="Z266" s="507">
        <f>200*12</f>
        <v>2400</v>
      </c>
      <c r="AB266" s="424" t="s">
        <v>1494</v>
      </c>
      <c r="AC266" s="409">
        <f>+IF(C266="Bomb-CH",SUMIFS('Est Madre CH 10-25'!C:C,'Est Madre CH 10-25'!G:G,"SI")/Z266,0)+IFERROR(VLOOKUP(C266,'Est Madre LK 10-25'!$A:$C,3,)/Z266,IFERROR(VLOOKUP(C266,'Est Madre CH 10-25'!$A:$C,3,)/Z266,0))</f>
        <v>7.85</v>
      </c>
      <c r="AD266" s="439">
        <v>1</v>
      </c>
      <c r="AE266" s="260">
        <v>12</v>
      </c>
      <c r="AF266" s="323">
        <v>78.77</v>
      </c>
      <c r="AG266" s="552"/>
      <c r="AH266" s="320">
        <v>200</v>
      </c>
      <c r="AI266" s="333">
        <v>3</v>
      </c>
      <c r="AK266" s="424">
        <v>100</v>
      </c>
      <c r="AL266" s="333">
        <v>0</v>
      </c>
    </row>
    <row r="267" spans="1:38" ht="18.600000000000001" customHeight="1" x14ac:dyDescent="0.3">
      <c r="A267" t="s">
        <v>1494</v>
      </c>
      <c r="B267" s="302">
        <v>1279700</v>
      </c>
      <c r="C267" s="433">
        <v>510</v>
      </c>
      <c r="D267" s="260" t="str">
        <f>+VLOOKUP(C267,'Conteo 24-02'!$A$8:$D$246,4,0)</f>
        <v>CAPL2G</v>
      </c>
      <c r="E267" s="320" t="s">
        <v>746</v>
      </c>
      <c r="F267" s="327" t="s">
        <v>1393</v>
      </c>
      <c r="G267" s="499"/>
      <c r="H267" s="470"/>
      <c r="J267" s="718">
        <f t="shared" si="117"/>
        <v>1.5427509293680295</v>
      </c>
      <c r="K267" s="735">
        <f t="shared" si="118"/>
        <v>1.5427509293680295</v>
      </c>
      <c r="M267" s="726">
        <f t="shared" si="119"/>
        <v>0</v>
      </c>
      <c r="N267" s="377">
        <f t="shared" si="122"/>
        <v>8.07</v>
      </c>
      <c r="O267" s="343">
        <f t="shared" si="123"/>
        <v>12.45</v>
      </c>
      <c r="P267" s="613"/>
      <c r="R267" s="397">
        <f>+IFERROR(SUMIFS('Stock CD'!D:D,C347,'Stock CD'!C:C),0)</f>
        <v>0</v>
      </c>
      <c r="S267" s="400">
        <f t="shared" si="120"/>
        <v>12.45</v>
      </c>
      <c r="U267" s="397">
        <f>+IFERROR(VLOOKUP(C267,'Stock CD'!B:I,8,0)/Z267,0)</f>
        <v>0</v>
      </c>
      <c r="V267" s="400">
        <f t="shared" si="121"/>
        <v>8.07</v>
      </c>
      <c r="X267" s="444">
        <f>+SUMIFS('Conteo 24-02'!F:F,'Conteo 24-02'!$A:$A,$C267)</f>
        <v>12</v>
      </c>
      <c r="Y267" s="304">
        <f>+SUMIFS('Conteo 24-02'!G:G,'Conteo 24-02'!$A:$A,$C267)</f>
        <v>90</v>
      </c>
      <c r="Z267" s="507">
        <v>2400</v>
      </c>
      <c r="AB267" s="424" t="s">
        <v>1494</v>
      </c>
      <c r="AC267" s="409">
        <f>+IF(C267="Bomb-CH",SUMIFS('Est Madre CH 10-25'!C:C,'Est Madre CH 10-25'!G:G,"SI")/Z267,0)+IFERROR(VLOOKUP(C267,'Est Madre LK 10-25'!$A:$C,3,)/Z267,IFERROR(VLOOKUP(C267,'Est Madre CH 10-25'!$A:$C,3,)/Z267,0))</f>
        <v>2.69</v>
      </c>
      <c r="AD267" s="439">
        <v>1</v>
      </c>
      <c r="AE267" s="260">
        <v>12</v>
      </c>
      <c r="AF267" s="323">
        <v>0</v>
      </c>
      <c r="AG267" s="552"/>
      <c r="AH267" s="320">
        <v>200</v>
      </c>
      <c r="AI267" s="333">
        <v>3</v>
      </c>
      <c r="AK267" s="424">
        <v>100</v>
      </c>
      <c r="AL267" s="333">
        <v>0</v>
      </c>
    </row>
    <row r="268" spans="1:38" x14ac:dyDescent="0.3">
      <c r="A268" t="s">
        <v>1494</v>
      </c>
      <c r="B268" s="302">
        <v>2326700</v>
      </c>
      <c r="C268" s="433">
        <v>706</v>
      </c>
      <c r="D268" s="260" t="str">
        <f>+VLOOKUP(C268,'Conteo 24-02'!$A$8:$D$246,4,0)</f>
        <v>V2D</v>
      </c>
      <c r="E268" s="320" t="s">
        <v>1041</v>
      </c>
      <c r="F268" s="327" t="s">
        <v>1402</v>
      </c>
      <c r="G268" s="499"/>
      <c r="H268" s="470"/>
      <c r="J268" s="718">
        <f t="shared" si="117"/>
        <v>0</v>
      </c>
      <c r="K268" s="735">
        <f t="shared" si="118"/>
        <v>0</v>
      </c>
      <c r="M268" s="726">
        <f t="shared" si="119"/>
        <v>47.160000000000004</v>
      </c>
      <c r="N268" s="377">
        <f t="shared" si="122"/>
        <v>47.160000000000004</v>
      </c>
      <c r="O268" s="343">
        <f t="shared" si="123"/>
        <v>0</v>
      </c>
      <c r="P268" s="613"/>
      <c r="R268" s="397">
        <f>+IFERROR(SUMIFS('Stock CD'!D:D,C348,'Stock CD'!C:C),0)</f>
        <v>0</v>
      </c>
      <c r="S268" s="400">
        <f t="shared" si="120"/>
        <v>0</v>
      </c>
      <c r="U268" s="397">
        <f>+IFERROR(VLOOKUP(C268,'Stock CD'!B:I,8,0)/Z268,0)</f>
        <v>0</v>
      </c>
      <c r="V268" s="400">
        <f t="shared" si="121"/>
        <v>47.160000000000004</v>
      </c>
      <c r="X268" s="444">
        <f>+SUMIFS('Conteo 24-02'!F:F,'Conteo 24-02'!$A:$A,$C268)</f>
        <v>0</v>
      </c>
      <c r="Y268" s="304">
        <f>+SUMIFS('Conteo 24-02'!G:G,'Conteo 24-02'!$A:$A,$C268)</f>
        <v>0</v>
      </c>
      <c r="Z268" s="507">
        <v>200</v>
      </c>
      <c r="AB268" s="424" t="s">
        <v>1494</v>
      </c>
      <c r="AC268" s="409">
        <f>+IF(C268="Bomb-CH",SUMIFS('Est Madre CH 10-25'!C:C,'Est Madre CH 10-25'!G:G,"SI")/Z268,0)+IFERROR(VLOOKUP(C268,'Est Madre LK 10-25'!$A:$C,3,)/Z268,IFERROR(VLOOKUP(C268,'Est Madre CH 10-25'!$A:$C,3,)/Z268,0))</f>
        <v>15.72</v>
      </c>
      <c r="AD268" s="439">
        <v>1</v>
      </c>
      <c r="AE268" s="260">
        <v>20</v>
      </c>
      <c r="AF268" s="323">
        <v>717.08130000000006</v>
      </c>
      <c r="AG268" s="552"/>
      <c r="AH268" s="320">
        <v>200</v>
      </c>
      <c r="AI268" s="333">
        <v>3</v>
      </c>
      <c r="AK268" s="424">
        <v>0</v>
      </c>
      <c r="AL268" s="333">
        <v>100</v>
      </c>
    </row>
    <row r="269" spans="1:38" x14ac:dyDescent="0.3">
      <c r="A269" t="s">
        <v>1494</v>
      </c>
      <c r="B269" s="302">
        <v>1262700</v>
      </c>
      <c r="C269" s="433">
        <v>555</v>
      </c>
      <c r="D269" s="260" t="str">
        <f>+VLOOKUP(C269,'Conteo 24-02'!$A$8:$D$246,4,0)</f>
        <v>V2E</v>
      </c>
      <c r="E269" s="320" t="s">
        <v>746</v>
      </c>
      <c r="F269" s="416" t="s">
        <v>1403</v>
      </c>
      <c r="G269" s="499"/>
      <c r="H269" s="483"/>
      <c r="J269" s="718">
        <f t="shared" si="117"/>
        <v>0.18518518518518517</v>
      </c>
      <c r="K269" s="735">
        <f t="shared" si="118"/>
        <v>0.18518518518518517</v>
      </c>
      <c r="M269" s="726">
        <f t="shared" si="119"/>
        <v>8.8000000000000007</v>
      </c>
      <c r="N269" s="377">
        <f t="shared" si="122"/>
        <v>10.8</v>
      </c>
      <c r="O269" s="343">
        <f t="shared" si="123"/>
        <v>2</v>
      </c>
      <c r="P269" s="613"/>
      <c r="R269" s="397">
        <f>+IFERROR(SUMIFS('Stock CD'!D:D,C349,'Stock CD'!C:C),0)</f>
        <v>0</v>
      </c>
      <c r="S269" s="400">
        <f t="shared" si="120"/>
        <v>2</v>
      </c>
      <c r="U269" s="397">
        <f>+IFERROR(VLOOKUP(C269,'Stock CD'!B:I,8,0)/Z269,0)</f>
        <v>0</v>
      </c>
      <c r="V269" s="400">
        <f t="shared" si="121"/>
        <v>10.8</v>
      </c>
      <c r="X269" s="444">
        <f>+SUMIFS('Conteo 24-02'!F:F,'Conteo 24-02'!$A:$A,$C269)</f>
        <v>2</v>
      </c>
      <c r="Y269" s="304">
        <f>+SUMIFS('Conteo 24-02'!G:G,'Conteo 24-02'!$A:$A,$C269)</f>
        <v>0</v>
      </c>
      <c r="Z269" s="507">
        <v>500</v>
      </c>
      <c r="AB269" s="424" t="s">
        <v>1494</v>
      </c>
      <c r="AC269" s="409">
        <f>+IF(C269="Bomb-CH",SUMIFS('Est Madre CH 10-25'!C:C,'Est Madre CH 10-25'!G:G,"SI")/Z269,0)+IFERROR(VLOOKUP(C269,'Est Madre LK 10-25'!$A:$C,3,)/Z269,IFERROR(VLOOKUP(C269,'Est Madre CH 10-25'!$A:$C,3,)/Z269,0))</f>
        <v>3.6</v>
      </c>
      <c r="AD269" s="439">
        <v>1</v>
      </c>
      <c r="AE269" s="260">
        <v>16</v>
      </c>
      <c r="AF269" s="323">
        <v>0</v>
      </c>
      <c r="AG269" s="552"/>
      <c r="AH269" s="320">
        <v>200</v>
      </c>
      <c r="AI269" s="333">
        <v>3</v>
      </c>
      <c r="AK269" s="424">
        <v>100</v>
      </c>
      <c r="AL269" s="333">
        <v>0</v>
      </c>
    </row>
    <row r="270" spans="1:38" x14ac:dyDescent="0.3">
      <c r="A270" t="s">
        <v>1494</v>
      </c>
      <c r="B270" s="302">
        <v>1262700</v>
      </c>
      <c r="C270" s="433">
        <v>557</v>
      </c>
      <c r="D270" s="260" t="str">
        <f>+VLOOKUP(C270,'Conteo 24-02'!$A$8:$D$246,4,0)</f>
        <v>V1A</v>
      </c>
      <c r="E270" s="320" t="s">
        <v>746</v>
      </c>
      <c r="F270" s="416" t="s">
        <v>1404</v>
      </c>
      <c r="G270" s="260"/>
      <c r="H270" s="483"/>
      <c r="J270" s="718">
        <f t="shared" si="117"/>
        <v>0</v>
      </c>
      <c r="K270" s="735">
        <f t="shared" si="118"/>
        <v>0</v>
      </c>
      <c r="M270" s="726">
        <f t="shared" si="119"/>
        <v>1.3125</v>
      </c>
      <c r="N270" s="377">
        <f t="shared" si="122"/>
        <v>1.3125</v>
      </c>
      <c r="O270" s="343">
        <f t="shared" si="123"/>
        <v>0</v>
      </c>
      <c r="P270" s="613"/>
      <c r="R270" s="397">
        <f>+IFERROR(SUMIFS('Stock CD'!D:D,C350,'Stock CD'!C:C),0)</f>
        <v>0</v>
      </c>
      <c r="S270" s="400">
        <f t="shared" si="120"/>
        <v>0</v>
      </c>
      <c r="U270" s="397">
        <f>+IFERROR(VLOOKUP(C270,'Stock CD'!B:I,8,0)/Z270,0)</f>
        <v>0</v>
      </c>
      <c r="V270" s="400">
        <f t="shared" si="121"/>
        <v>1.3125</v>
      </c>
      <c r="X270" s="444">
        <f>+SUMIFS('Conteo 24-02'!F:F,'Conteo 24-02'!$A:$A,$C270)</f>
        <v>0</v>
      </c>
      <c r="Y270" s="304">
        <f>+SUMIFS('Conteo 24-02'!G:G,'Conteo 24-02'!$A:$A,$C270)</f>
        <v>0</v>
      </c>
      <c r="Z270" s="507">
        <f>200*16</f>
        <v>3200</v>
      </c>
      <c r="AB270" s="424" t="s">
        <v>1494</v>
      </c>
      <c r="AC270" s="409">
        <f>+IF(C270="Bomb-CH",SUMIFS('Est Madre CH 10-25'!C:C,'Est Madre CH 10-25'!G:G,"SI")/Z270,0)+IFERROR(VLOOKUP(C270,'Est Madre LK 10-25'!$A:$C,3,)/Z270,IFERROR(VLOOKUP(C270,'Est Madre CH 10-25'!$A:$C,3,)/Z270,0))</f>
        <v>0.4375</v>
      </c>
      <c r="AD270" s="439">
        <v>1</v>
      </c>
      <c r="AE270" s="260">
        <v>16</v>
      </c>
      <c r="AF270" s="323">
        <v>0</v>
      </c>
      <c r="AG270" s="552"/>
      <c r="AH270" s="320">
        <v>200</v>
      </c>
      <c r="AI270" s="333">
        <v>3</v>
      </c>
      <c r="AK270" s="424">
        <v>100</v>
      </c>
      <c r="AL270" s="333">
        <v>0</v>
      </c>
    </row>
    <row r="271" spans="1:38" x14ac:dyDescent="0.3">
      <c r="A271" t="s">
        <v>1494</v>
      </c>
      <c r="B271" s="302">
        <v>1262700</v>
      </c>
      <c r="C271" s="433">
        <v>558</v>
      </c>
      <c r="D271" s="260" t="str">
        <f>+VLOOKUP(C271,'Conteo 24-02'!$A$8:$D$246,4,0)</f>
        <v>V2B</v>
      </c>
      <c r="E271" s="320" t="s">
        <v>746</v>
      </c>
      <c r="F271" s="416" t="s">
        <v>1405</v>
      </c>
      <c r="G271" s="499"/>
      <c r="H271" s="483"/>
      <c r="J271" s="718">
        <f t="shared" si="117"/>
        <v>0.12554927809165098</v>
      </c>
      <c r="K271" s="735">
        <f t="shared" si="118"/>
        <v>0.12554927809165098</v>
      </c>
      <c r="M271" s="726">
        <f t="shared" si="119"/>
        <v>1.74125</v>
      </c>
      <c r="N271" s="377">
        <f t="shared" si="122"/>
        <v>1.99125</v>
      </c>
      <c r="O271" s="343">
        <f t="shared" si="123"/>
        <v>0.25</v>
      </c>
      <c r="P271" s="613"/>
      <c r="R271" s="397">
        <f>+IFERROR(SUMIFS('Stock CD'!D:D,C351,'Stock CD'!C:C),0)</f>
        <v>0</v>
      </c>
      <c r="S271" s="400">
        <f t="shared" si="120"/>
        <v>0.25</v>
      </c>
      <c r="U271" s="397">
        <f>+IFERROR(VLOOKUP(C271,'Stock CD'!B:I,8,0)/Z271,0)</f>
        <v>0</v>
      </c>
      <c r="V271" s="400">
        <f t="shared" si="121"/>
        <v>1.99125</v>
      </c>
      <c r="X271" s="444">
        <f>+SUMIFS('Conteo 24-02'!F:F,'Conteo 24-02'!$A:$A,$C271)</f>
        <v>0</v>
      </c>
      <c r="Y271" s="304">
        <f>+SUMIFS('Conteo 24-02'!G:G,'Conteo 24-02'!$A:$A,$C271)</f>
        <v>50</v>
      </c>
      <c r="Z271" s="507">
        <f>200*16</f>
        <v>3200</v>
      </c>
      <c r="AB271" s="424" t="s">
        <v>1494</v>
      </c>
      <c r="AC271" s="409">
        <f>+IF(C271="Bomb-CH",SUMIFS('Est Madre CH 10-25'!C:C,'Est Madre CH 10-25'!G:G,"SI")/Z271,0)+IFERROR(VLOOKUP(C271,'Est Madre LK 10-25'!$A:$C,3,)/Z271,IFERROR(VLOOKUP(C271,'Est Madre CH 10-25'!$A:$C,3,)/Z271,0))</f>
        <v>0.66374999999999995</v>
      </c>
      <c r="AD271" s="439">
        <v>1</v>
      </c>
      <c r="AE271" s="260">
        <v>16</v>
      </c>
      <c r="AF271" s="323">
        <v>0</v>
      </c>
      <c r="AG271" s="552"/>
      <c r="AH271" s="320">
        <v>200</v>
      </c>
      <c r="AI271" s="333">
        <v>3</v>
      </c>
      <c r="AK271" s="424">
        <v>100</v>
      </c>
      <c r="AL271" s="333">
        <v>0</v>
      </c>
    </row>
    <row r="272" spans="1:38" x14ac:dyDescent="0.3">
      <c r="A272" t="s">
        <v>1494</v>
      </c>
      <c r="B272" s="302">
        <v>1262700</v>
      </c>
      <c r="C272" s="433">
        <v>654</v>
      </c>
      <c r="D272" s="260" t="str">
        <f>+VLOOKUP(C272,'Conteo 24-02'!$A$8:$D$246,4,0)</f>
        <v>V1B</v>
      </c>
      <c r="E272" s="320" t="s">
        <v>746</v>
      </c>
      <c r="F272" s="416" t="s">
        <v>1406</v>
      </c>
      <c r="G272" s="260"/>
      <c r="H272" s="483"/>
      <c r="J272" s="718">
        <f t="shared" si="117"/>
        <v>2.3391812865497075</v>
      </c>
      <c r="K272" s="735">
        <f t="shared" si="118"/>
        <v>2.3391812865497075</v>
      </c>
      <c r="M272" s="726">
        <f t="shared" si="119"/>
        <v>0</v>
      </c>
      <c r="N272" s="377">
        <f t="shared" si="122"/>
        <v>0.85499999999999998</v>
      </c>
      <c r="O272" s="343">
        <f t="shared" si="123"/>
        <v>2</v>
      </c>
      <c r="P272" s="613"/>
      <c r="R272" s="397">
        <f>+IFERROR(SUMIFS('Stock CD'!D:D,C352,'Stock CD'!C:C),0)</f>
        <v>0</v>
      </c>
      <c r="S272" s="400">
        <f t="shared" si="120"/>
        <v>2</v>
      </c>
      <c r="U272" s="397">
        <f>+IFERROR(VLOOKUP(C272,'Stock CD'!B:I,8,0)/Z272,0)</f>
        <v>0</v>
      </c>
      <c r="V272" s="400">
        <f t="shared" si="121"/>
        <v>0.85499999999999998</v>
      </c>
      <c r="X272" s="444">
        <f>+SUMIFS('Conteo 24-02'!F:F,'Conteo 24-02'!$A:$A,$C272)</f>
        <v>2</v>
      </c>
      <c r="Y272" s="304">
        <f>+SUMIFS('Conteo 24-02'!G:G,'Conteo 24-02'!$A:$A,$C272)</f>
        <v>0</v>
      </c>
      <c r="Z272" s="507">
        <f>200*16</f>
        <v>3200</v>
      </c>
      <c r="AB272" s="424" t="s">
        <v>1494</v>
      </c>
      <c r="AC272" s="409">
        <f>+IF(C272="Bomb-CH",SUMIFS('Est Madre CH 10-25'!C:C,'Est Madre CH 10-25'!G:G,"SI")/Z272,0)+IFERROR(VLOOKUP(C272,'Est Madre LK 10-25'!$A:$C,3,)/Z272,IFERROR(VLOOKUP(C272,'Est Madre CH 10-25'!$A:$C,3,)/Z272,0))</f>
        <v>0.28499999999999998</v>
      </c>
      <c r="AD272" s="439">
        <v>1</v>
      </c>
      <c r="AE272" s="260">
        <v>16</v>
      </c>
      <c r="AF272" s="323">
        <v>0</v>
      </c>
      <c r="AG272" s="552"/>
      <c r="AH272" s="320">
        <v>200</v>
      </c>
      <c r="AI272" s="333">
        <v>3</v>
      </c>
      <c r="AK272" s="424">
        <v>100</v>
      </c>
      <c r="AL272" s="333">
        <v>0</v>
      </c>
    </row>
    <row r="273" spans="1:38" ht="19.5" thickBot="1" x14ac:dyDescent="0.35">
      <c r="A273" t="s">
        <v>1494</v>
      </c>
      <c r="B273" s="298">
        <v>2326700</v>
      </c>
      <c r="C273" s="443" t="s">
        <v>1648</v>
      </c>
      <c r="D273" s="262" t="str">
        <f>+VLOOKUP(C273,'Conteo 24-02'!$A$8:$D$246,4,0)</f>
        <v>A2C</v>
      </c>
      <c r="E273" s="322" t="s">
        <v>1041</v>
      </c>
      <c r="F273" s="417" t="s">
        <v>1407</v>
      </c>
      <c r="G273" s="262"/>
      <c r="H273" s="484"/>
      <c r="J273" s="719">
        <f t="shared" si="117"/>
        <v>11.851851851851851</v>
      </c>
      <c r="K273" s="736">
        <f t="shared" si="118"/>
        <v>11.851851851851851</v>
      </c>
      <c r="M273" s="659">
        <f t="shared" si="119"/>
        <v>0</v>
      </c>
      <c r="N273" s="378">
        <f t="shared" si="122"/>
        <v>0.67500000000000004</v>
      </c>
      <c r="O273" s="345">
        <f t="shared" si="123"/>
        <v>8</v>
      </c>
      <c r="P273" s="614"/>
      <c r="R273" s="398">
        <f>+IFERROR(SUMIFS('Stock CD'!D:D,C353,'Stock CD'!C:C),0)</f>
        <v>0</v>
      </c>
      <c r="S273" s="401">
        <f t="shared" si="120"/>
        <v>8</v>
      </c>
      <c r="U273" s="398">
        <f>+IFERROR(VLOOKUP(C273,'Stock CD'!B:I,8,0)/Z273,0)</f>
        <v>0</v>
      </c>
      <c r="V273" s="401">
        <f t="shared" si="121"/>
        <v>0.67500000000000004</v>
      </c>
      <c r="X273" s="445">
        <f>+SUMIFS('Conteo 24-02'!F:F,'Conteo 24-02'!$A:$A,$C273)</f>
        <v>8</v>
      </c>
      <c r="Y273" s="305">
        <f>+SUMIFS('Conteo 24-02'!G:G,'Conteo 24-02'!$A:$A,$C273)</f>
        <v>0</v>
      </c>
      <c r="Z273" s="508">
        <f>200*16</f>
        <v>3200</v>
      </c>
      <c r="AB273" s="561" t="s">
        <v>1494</v>
      </c>
      <c r="AC273" s="519">
        <f>+IF(C273="Bomb-CH",SUMIFS('Est Madre CH 10-25'!C:C,'Est Madre CH 10-25'!G:G,"SI")/Z273,0)+IFERROR(VLOOKUP(C273,'Est Madre LK 10-25'!$A:$C,3,)/Z273,IFERROR(VLOOKUP(C273,'Est Madre CH 10-25'!$A:$C,3,)/Z273,0))</f>
        <v>0.22500000000000001</v>
      </c>
      <c r="AD273" s="677">
        <v>1</v>
      </c>
      <c r="AE273" s="525">
        <v>16</v>
      </c>
      <c r="AF273" s="526">
        <v>717.08130000000006</v>
      </c>
      <c r="AG273" s="553"/>
      <c r="AH273" s="558">
        <v>200</v>
      </c>
      <c r="AI273" s="562">
        <v>3</v>
      </c>
      <c r="AK273" s="425">
        <v>0</v>
      </c>
      <c r="AL273" s="335">
        <v>100</v>
      </c>
    </row>
    <row r="274" spans="1:38" ht="16.149999999999999" customHeight="1" x14ac:dyDescent="0.3">
      <c r="B274" s="294"/>
      <c r="C274" s="294"/>
      <c r="E274" s="299"/>
      <c r="F274" s="300"/>
      <c r="G274" s="578"/>
      <c r="H274" s="300"/>
      <c r="J274" s="300"/>
      <c r="K274" s="347"/>
      <c r="M274" s="611"/>
      <c r="N274" s="379"/>
      <c r="O274" s="336"/>
      <c r="P274" s="611"/>
      <c r="Q274" s="627"/>
      <c r="R274" s="347"/>
      <c r="S274" s="347"/>
      <c r="U274" s="347"/>
      <c r="V274" s="347"/>
      <c r="W274" s="627"/>
      <c r="X274" s="307"/>
      <c r="Y274" s="314"/>
      <c r="Z274" s="384"/>
      <c r="AA274" s="627"/>
      <c r="AB274" s="697"/>
      <c r="AC274" s="698"/>
      <c r="AD274" s="702"/>
      <c r="AE274" s="699"/>
      <c r="AF274" s="700"/>
      <c r="AG274" s="701"/>
      <c r="AH274" s="627"/>
      <c r="AI274" s="697"/>
    </row>
    <row r="275" spans="1:38" ht="24" thickBot="1" x14ac:dyDescent="0.4">
      <c r="B275" s="294"/>
      <c r="C275" s="294"/>
      <c r="E275" s="299"/>
      <c r="F275" s="451" t="s">
        <v>1492</v>
      </c>
      <c r="G275" s="494"/>
      <c r="H275" s="451"/>
      <c r="J275" s="448"/>
      <c r="K275" s="347"/>
      <c r="M275" s="611"/>
      <c r="N275" s="379"/>
      <c r="O275" s="336"/>
      <c r="P275" s="611"/>
      <c r="R275" s="347"/>
      <c r="S275" s="347"/>
      <c r="U275" s="347"/>
      <c r="V275" s="347"/>
      <c r="X275" s="307"/>
      <c r="Y275" s="314"/>
      <c r="Z275" s="384"/>
      <c r="AC275" s="382"/>
      <c r="AE275" s="127"/>
      <c r="AF275" s="348"/>
      <c r="AG275" s="550"/>
    </row>
    <row r="276" spans="1:38" ht="29.25" thickBot="1" x14ac:dyDescent="0.35">
      <c r="B276" s="294"/>
      <c r="C276" s="294"/>
      <c r="E276" s="299"/>
      <c r="F276" s="610" t="s">
        <v>1466</v>
      </c>
      <c r="G276" s="732" t="s">
        <v>1493</v>
      </c>
      <c r="H276" s="450"/>
      <c r="J276" s="477"/>
      <c r="K276" s="349"/>
      <c r="L276" s="208"/>
      <c r="M276" s="380"/>
      <c r="N276" s="367"/>
      <c r="O276" s="342"/>
      <c r="P276" s="380"/>
      <c r="Q276" s="711"/>
      <c r="R276" s="347"/>
      <c r="S276" s="347"/>
      <c r="T276" s="208"/>
      <c r="U276" s="347"/>
      <c r="V276" s="347"/>
      <c r="W276" s="711"/>
      <c r="X276" s="368"/>
      <c r="Y276" s="338"/>
      <c r="Z276" s="384"/>
      <c r="AA276" s="705"/>
      <c r="AB276" s="706"/>
      <c r="AC276" s="707"/>
      <c r="AD276" s="712"/>
      <c r="AE276" s="708"/>
      <c r="AF276" s="709"/>
      <c r="AG276" s="710"/>
      <c r="AH276" s="705"/>
      <c r="AI276" s="706"/>
    </row>
    <row r="277" spans="1:38" ht="74.45" customHeight="1" thickBot="1" x14ac:dyDescent="0.3">
      <c r="B277" s="446" t="s">
        <v>1293</v>
      </c>
      <c r="C277" s="310" t="s">
        <v>748</v>
      </c>
      <c r="D277" s="541" t="s">
        <v>1198</v>
      </c>
      <c r="E277" s="310" t="s">
        <v>1018</v>
      </c>
      <c r="F277" s="418" t="s">
        <v>1397</v>
      </c>
      <c r="G277" s="495" t="s">
        <v>1496</v>
      </c>
      <c r="H277" s="319" t="s">
        <v>1511</v>
      </c>
      <c r="J277" s="291" t="s">
        <v>1384</v>
      </c>
      <c r="K277" s="741" t="s">
        <v>1435</v>
      </c>
      <c r="M277" s="319" t="s">
        <v>1475</v>
      </c>
      <c r="N277" s="312" t="s">
        <v>1508</v>
      </c>
      <c r="O277" s="312" t="s">
        <v>1474</v>
      </c>
      <c r="P277" s="625" t="s">
        <v>1739</v>
      </c>
      <c r="R277" s="291" t="s">
        <v>1459</v>
      </c>
      <c r="S277" s="741" t="s">
        <v>1460</v>
      </c>
      <c r="U277" s="296" t="s">
        <v>1463</v>
      </c>
      <c r="V277" s="291" t="s">
        <v>1464</v>
      </c>
      <c r="X277" s="296" t="s">
        <v>1197</v>
      </c>
      <c r="Y277" s="291" t="s">
        <v>1477</v>
      </c>
      <c r="Z277" s="293" t="s">
        <v>857</v>
      </c>
      <c r="AB277" s="687" t="s">
        <v>1399</v>
      </c>
      <c r="AC277" s="687" t="s">
        <v>1478</v>
      </c>
      <c r="AD277" s="685" t="s">
        <v>1476</v>
      </c>
      <c r="AE277" s="687" t="s">
        <v>1479</v>
      </c>
      <c r="AF277" s="687" t="s">
        <v>1383</v>
      </c>
      <c r="AG277" s="687"/>
      <c r="AH277" s="687" t="s">
        <v>1400</v>
      </c>
      <c r="AI277" s="687" t="s">
        <v>1509</v>
      </c>
      <c r="AK277" s="840" t="s">
        <v>746</v>
      </c>
      <c r="AL277" s="310" t="s">
        <v>1041</v>
      </c>
    </row>
    <row r="278" spans="1:38" x14ac:dyDescent="0.3">
      <c r="A278" t="s">
        <v>1466</v>
      </c>
      <c r="B278" s="297">
        <v>1259700</v>
      </c>
      <c r="C278" s="432">
        <v>500</v>
      </c>
      <c r="D278" s="261" t="str">
        <f>+VLOOKUP(C278,'Conteo 24-02'!$A$8:$D$246,4,0)</f>
        <v>A2A</v>
      </c>
      <c r="E278" s="321" t="s">
        <v>746</v>
      </c>
      <c r="F278" s="354" t="s">
        <v>1408</v>
      </c>
      <c r="G278" s="579"/>
      <c r="H278" s="469"/>
      <c r="J278" s="717">
        <f t="shared" ref="J278:J286" si="124">+IFERROR(O278/N278,0)</f>
        <v>2.7777777777777781</v>
      </c>
      <c r="K278" s="734">
        <f t="shared" ref="K278:K286" si="125">+IFERROR(S278/V278,0)</f>
        <v>2.7777777777777781</v>
      </c>
      <c r="M278" s="658">
        <f t="shared" ref="M278:M286" si="126">IF(N278-O278-P278&lt;0,0,N278-O278-P278)</f>
        <v>0</v>
      </c>
      <c r="N278" s="376">
        <f t="shared" ref="N278:N286" si="127">+IFERROR(AC278*AI278,0)</f>
        <v>3.5999999999999996</v>
      </c>
      <c r="O278" s="344">
        <f t="shared" ref="O278:O286" si="128">+(X278+(Y278/AH278))</f>
        <v>10</v>
      </c>
      <c r="P278" s="612"/>
      <c r="R278" s="396">
        <f>+IFERROR(SUMIFS('Stock CD'!D:D,C226,'Stock CD'!C:C),0)</f>
        <v>0</v>
      </c>
      <c r="S278" s="399">
        <f t="shared" ref="S278:S286" si="129">+R278+O278</f>
        <v>10</v>
      </c>
      <c r="U278" s="396">
        <f>+IFERROR(VLOOKUP(C278,'Stock CD'!B:I,8,0)/Z278,0)</f>
        <v>0</v>
      </c>
      <c r="V278" s="399">
        <f t="shared" ref="V278:V286" si="130">+U278+N278</f>
        <v>3.5999999999999996</v>
      </c>
      <c r="X278" s="626">
        <f>+SUMIFS('Conteo 24-02'!F:F,'Conteo 24-02'!$A:$A,$C278)</f>
        <v>10</v>
      </c>
      <c r="Y278" s="303">
        <f>+SUMIFS('Conteo 24-02'!G:G,'Conteo 24-02'!$A:$A,$C278)</f>
        <v>0</v>
      </c>
      <c r="Z278" s="524">
        <f>100*12</f>
        <v>1200</v>
      </c>
      <c r="AB278" s="393" t="s">
        <v>1466</v>
      </c>
      <c r="AC278" s="409">
        <f>+IF(C278="Bomb-CH",SUMIFS('Est Madre CH 10-25'!C:C,'Est Madre CH 10-25'!G:G,"SI")/Z278,0)+IFERROR(VLOOKUP(C278,'Est Madre LK 10-25'!$A:$C,3,)/Z278,IFERROR(VLOOKUP(C278,'Est Madre CH 10-25'!$A:$C,3,)/Z278,0))</f>
        <v>1.2</v>
      </c>
      <c r="AD278" s="440">
        <v>1</v>
      </c>
      <c r="AE278" s="261">
        <v>12</v>
      </c>
      <c r="AF278" s="324">
        <v>0</v>
      </c>
      <c r="AG278" s="551"/>
      <c r="AH278" s="321">
        <v>100</v>
      </c>
      <c r="AI278" s="331">
        <v>3</v>
      </c>
      <c r="AK278" s="393">
        <v>100</v>
      </c>
      <c r="AL278" s="331">
        <v>0</v>
      </c>
    </row>
    <row r="279" spans="1:38" x14ac:dyDescent="0.3">
      <c r="A279" t="s">
        <v>1466</v>
      </c>
      <c r="B279" s="302">
        <v>1260700</v>
      </c>
      <c r="C279" s="433">
        <v>506</v>
      </c>
      <c r="D279" s="260" t="str">
        <f>+VLOOKUP(C279,'Conteo 24-02'!$A$8:$D$246,4,0)</f>
        <v>V2A</v>
      </c>
      <c r="E279" s="320" t="s">
        <v>746</v>
      </c>
      <c r="F279" s="327" t="s">
        <v>1409</v>
      </c>
      <c r="G279" s="260">
        <v>25</v>
      </c>
      <c r="H279" s="470">
        <v>27</v>
      </c>
      <c r="J279" s="718">
        <f t="shared" si="124"/>
        <v>0.50955414012738864</v>
      </c>
      <c r="K279" s="735">
        <f t="shared" si="125"/>
        <v>0.50955414012738864</v>
      </c>
      <c r="M279" s="726">
        <f t="shared" si="126"/>
        <v>23.099999999999994</v>
      </c>
      <c r="N279" s="377">
        <f t="shared" si="127"/>
        <v>47.099999999999994</v>
      </c>
      <c r="O279" s="343">
        <f t="shared" si="128"/>
        <v>24</v>
      </c>
      <c r="P279" s="613"/>
      <c r="R279" s="397">
        <f>+IFERROR(SUMIFS('Stock CD'!D:D,C227,'Stock CD'!C:C),0)</f>
        <v>0</v>
      </c>
      <c r="S279" s="400">
        <f t="shared" si="129"/>
        <v>24</v>
      </c>
      <c r="U279" s="397">
        <f>+IFERROR(VLOOKUP(C279,'Stock CD'!B:I,8,0)/Z279,0)</f>
        <v>0</v>
      </c>
      <c r="V279" s="400">
        <f t="shared" si="130"/>
        <v>47.099999999999994</v>
      </c>
      <c r="X279" s="444">
        <f>+SUMIFS('Conteo 24-02'!F:F,'Conteo 24-02'!$A:$A,$C279)</f>
        <v>24</v>
      </c>
      <c r="Y279" s="304">
        <f>+SUMIFS('Conteo 24-02'!G:G,'Conteo 24-02'!$A:$A,$C279)</f>
        <v>0</v>
      </c>
      <c r="Z279" s="507">
        <f>100*12</f>
        <v>1200</v>
      </c>
      <c r="AB279" s="424" t="s">
        <v>1466</v>
      </c>
      <c r="AC279" s="409">
        <f>+IF(C279="Bomb-CH",SUMIFS('Est Madre CH 10-25'!C:C,'Est Madre CH 10-25'!G:G,"SI")/Z279,0)+IFERROR(VLOOKUP(C279,'Est Madre LK 10-25'!$A:$C,3,)/Z279,IFERROR(VLOOKUP(C279,'Est Madre CH 10-25'!$A:$C,3,)/Z279,0))</f>
        <v>15.7</v>
      </c>
      <c r="AD279" s="439">
        <v>1</v>
      </c>
      <c r="AE279" s="260">
        <v>12</v>
      </c>
      <c r="AF279" s="323">
        <v>78.77</v>
      </c>
      <c r="AG279" s="552"/>
      <c r="AH279" s="320">
        <v>100</v>
      </c>
      <c r="AI279" s="333">
        <v>3</v>
      </c>
      <c r="AK279" s="424">
        <v>100</v>
      </c>
      <c r="AL279" s="333">
        <v>0</v>
      </c>
    </row>
    <row r="280" spans="1:38" x14ac:dyDescent="0.3">
      <c r="A280" t="s">
        <v>1466</v>
      </c>
      <c r="B280" s="302">
        <v>1279700</v>
      </c>
      <c r="C280" s="433">
        <v>510</v>
      </c>
      <c r="D280" s="260" t="str">
        <f>+VLOOKUP(C280,'Conteo 24-02'!$A$8:$D$246,4,0)</f>
        <v>CAPL2G</v>
      </c>
      <c r="E280" s="320" t="s">
        <v>746</v>
      </c>
      <c r="F280" s="327" t="s">
        <v>1410</v>
      </c>
      <c r="G280" s="499">
        <v>3</v>
      </c>
      <c r="H280" s="470">
        <v>26</v>
      </c>
      <c r="J280" s="718">
        <f t="shared" si="124"/>
        <v>0.7992565055762082</v>
      </c>
      <c r="K280" s="735">
        <f t="shared" si="125"/>
        <v>0.7992565055762082</v>
      </c>
      <c r="M280" s="726">
        <f t="shared" si="126"/>
        <v>3.24</v>
      </c>
      <c r="N280" s="377">
        <f t="shared" si="127"/>
        <v>16.14</v>
      </c>
      <c r="O280" s="343">
        <f t="shared" si="128"/>
        <v>12.9</v>
      </c>
      <c r="P280" s="613"/>
      <c r="R280" s="397">
        <f>+IFERROR(SUMIFS('Stock CD'!D:D,C228,'Stock CD'!C:C),0)</f>
        <v>0</v>
      </c>
      <c r="S280" s="400">
        <f t="shared" si="129"/>
        <v>12.9</v>
      </c>
      <c r="U280" s="397">
        <f>+IFERROR(VLOOKUP(C280,'Stock CD'!B:I,8,0)/Z280,0)</f>
        <v>0</v>
      </c>
      <c r="V280" s="400">
        <f t="shared" si="130"/>
        <v>16.14</v>
      </c>
      <c r="X280" s="444">
        <f>+SUMIFS('Conteo 24-02'!F:F,'Conteo 24-02'!$A:$A,$C280)</f>
        <v>12</v>
      </c>
      <c r="Y280" s="304">
        <f>+SUMIFS('Conteo 24-02'!G:G,'Conteo 24-02'!$A:$A,$C280)</f>
        <v>90</v>
      </c>
      <c r="Z280" s="507">
        <v>1200</v>
      </c>
      <c r="AB280" s="424" t="s">
        <v>1466</v>
      </c>
      <c r="AC280" s="409">
        <f>+IF(C280="Bomb-CH",SUMIFS('Est Madre CH 10-25'!C:C,'Est Madre CH 10-25'!G:G,"SI")/Z280,0)+IFERROR(VLOOKUP(C280,'Est Madre LK 10-25'!$A:$C,3,)/Z280,IFERROR(VLOOKUP(C280,'Est Madre CH 10-25'!$A:$C,3,)/Z280,0))</f>
        <v>5.38</v>
      </c>
      <c r="AD280" s="439">
        <v>1</v>
      </c>
      <c r="AE280" s="260">
        <v>12</v>
      </c>
      <c r="AF280" s="323">
        <v>0</v>
      </c>
      <c r="AG280" s="552"/>
      <c r="AH280" s="320">
        <v>100</v>
      </c>
      <c r="AI280" s="333">
        <v>3</v>
      </c>
      <c r="AK280" s="424">
        <v>100</v>
      </c>
      <c r="AL280" s="333">
        <v>0</v>
      </c>
    </row>
    <row r="281" spans="1:38" x14ac:dyDescent="0.3">
      <c r="A281" t="s">
        <v>1466</v>
      </c>
      <c r="B281" s="302">
        <v>2326700</v>
      </c>
      <c r="C281" s="433">
        <v>706</v>
      </c>
      <c r="D281" s="260" t="str">
        <f>+VLOOKUP(C281,'Conteo 24-02'!$A$8:$D$246,4,0)</f>
        <v>V2D</v>
      </c>
      <c r="E281" s="320" t="s">
        <v>1041</v>
      </c>
      <c r="F281" s="327" t="s">
        <v>1402</v>
      </c>
      <c r="G281" s="499"/>
      <c r="H281" s="470"/>
      <c r="J281" s="718">
        <f t="shared" si="124"/>
        <v>0</v>
      </c>
      <c r="K281" s="735">
        <f t="shared" si="125"/>
        <v>0</v>
      </c>
      <c r="M281" s="726">
        <f t="shared" si="126"/>
        <v>4.7160000000000002</v>
      </c>
      <c r="N281" s="377">
        <f t="shared" si="127"/>
        <v>4.7160000000000002</v>
      </c>
      <c r="O281" s="343">
        <f t="shared" si="128"/>
        <v>0</v>
      </c>
      <c r="P281" s="613"/>
      <c r="R281" s="397">
        <f>+IFERROR(SUMIFS('Stock CD'!D:D,C229,'Stock CD'!C:C),0)</f>
        <v>0</v>
      </c>
      <c r="S281" s="400">
        <f t="shared" si="129"/>
        <v>0</v>
      </c>
      <c r="U281" s="397">
        <f>+IFERROR(VLOOKUP(C281,'Stock CD'!B:I,8,0)/Z281,0)</f>
        <v>0</v>
      </c>
      <c r="V281" s="400">
        <f t="shared" si="130"/>
        <v>4.7160000000000002</v>
      </c>
      <c r="X281" s="444">
        <f>+SUMIFS('Conteo 24-02'!F:F,'Conteo 24-02'!$A:$A,$C281)</f>
        <v>0</v>
      </c>
      <c r="Y281" s="304">
        <f>+SUMIFS('Conteo 24-02'!G:G,'Conteo 24-02'!$A:$A,$C281)</f>
        <v>0</v>
      </c>
      <c r="Z281" s="507">
        <f>100*20</f>
        <v>2000</v>
      </c>
      <c r="AB281" s="424" t="s">
        <v>1466</v>
      </c>
      <c r="AC281" s="409">
        <f>+IF(C281="Bomb-CH",SUMIFS('Est Madre CH 10-25'!C:C,'Est Madre CH 10-25'!G:G,"SI")/Z281,0)+IFERROR(VLOOKUP(C281,'Est Madre LK 10-25'!$A:$C,3,)/Z281,IFERROR(VLOOKUP(C281,'Est Madre CH 10-25'!$A:$C,3,)/Z281,0))</f>
        <v>1.5720000000000001</v>
      </c>
      <c r="AD281" s="439">
        <v>1</v>
      </c>
      <c r="AE281" s="260">
        <v>20</v>
      </c>
      <c r="AF281" s="323">
        <v>717.08130000000006</v>
      </c>
      <c r="AG281" s="552"/>
      <c r="AH281" s="320">
        <v>100</v>
      </c>
      <c r="AI281" s="333">
        <v>3</v>
      </c>
      <c r="AK281" s="424">
        <v>0</v>
      </c>
      <c r="AL281" s="333">
        <v>100</v>
      </c>
    </row>
    <row r="282" spans="1:38" x14ac:dyDescent="0.3">
      <c r="A282" t="s">
        <v>1466</v>
      </c>
      <c r="B282" s="302">
        <v>1262700</v>
      </c>
      <c r="C282" s="433">
        <v>555</v>
      </c>
      <c r="D282" s="260" t="str">
        <f>+VLOOKUP(C282,'Conteo 24-02'!$A$8:$D$246,4,0)</f>
        <v>V2E</v>
      </c>
      <c r="E282" s="320" t="s">
        <v>746</v>
      </c>
      <c r="F282" s="416" t="s">
        <v>1403</v>
      </c>
      <c r="G282" s="260"/>
      <c r="H282" s="483"/>
      <c r="J282" s="718">
        <f t="shared" si="124"/>
        <v>0.59259259259259256</v>
      </c>
      <c r="K282" s="735">
        <f t="shared" si="125"/>
        <v>0.59259259259259256</v>
      </c>
      <c r="M282" s="726">
        <f t="shared" si="126"/>
        <v>1.375</v>
      </c>
      <c r="N282" s="377">
        <f t="shared" si="127"/>
        <v>3.375</v>
      </c>
      <c r="O282" s="343">
        <f t="shared" si="128"/>
        <v>2</v>
      </c>
      <c r="P282" s="613"/>
      <c r="R282" s="397">
        <f>+IFERROR(SUMIFS('Stock CD'!D:D,C230,'Stock CD'!C:C),0)</f>
        <v>0</v>
      </c>
      <c r="S282" s="400">
        <f t="shared" si="129"/>
        <v>2</v>
      </c>
      <c r="U282" s="397">
        <f>+IFERROR(VLOOKUP(C282,'Stock CD'!B:I,8,0)/Z282,0)</f>
        <v>0</v>
      </c>
      <c r="V282" s="400">
        <f t="shared" si="130"/>
        <v>3.375</v>
      </c>
      <c r="X282" s="444">
        <f>+SUMIFS('Conteo 24-02'!F:F,'Conteo 24-02'!$A:$A,$C282)</f>
        <v>2</v>
      </c>
      <c r="Y282" s="304">
        <f>+SUMIFS('Conteo 24-02'!G:G,'Conteo 24-02'!$A:$A,$C282)</f>
        <v>0</v>
      </c>
      <c r="Z282" s="507">
        <f>100*16</f>
        <v>1600</v>
      </c>
      <c r="AB282" s="424" t="s">
        <v>1466</v>
      </c>
      <c r="AC282" s="409">
        <f>+IF(C282="Bomb-CH",SUMIFS('Est Madre CH 10-25'!C:C,'Est Madre CH 10-25'!G:G,"SI")/Z282,0)+IFERROR(VLOOKUP(C282,'Est Madre LK 10-25'!$A:$C,3,)/Z282,IFERROR(VLOOKUP(C282,'Est Madre CH 10-25'!$A:$C,3,)/Z282,0))</f>
        <v>1.125</v>
      </c>
      <c r="AD282" s="439">
        <v>1</v>
      </c>
      <c r="AE282" s="260">
        <v>16</v>
      </c>
      <c r="AF282" s="323">
        <v>0</v>
      </c>
      <c r="AG282" s="552"/>
      <c r="AH282" s="320">
        <v>100</v>
      </c>
      <c r="AI282" s="333">
        <v>3</v>
      </c>
      <c r="AK282" s="424">
        <v>100</v>
      </c>
      <c r="AL282" s="333">
        <v>0</v>
      </c>
    </row>
    <row r="283" spans="1:38" x14ac:dyDescent="0.3">
      <c r="A283" t="s">
        <v>1466</v>
      </c>
      <c r="B283" s="302">
        <v>1262700</v>
      </c>
      <c r="C283" s="433">
        <v>557</v>
      </c>
      <c r="D283" s="260" t="str">
        <f>+VLOOKUP(C283,'Conteo 24-02'!$A$8:$D$246,4,0)</f>
        <v>V1A</v>
      </c>
      <c r="E283" s="320" t="s">
        <v>746</v>
      </c>
      <c r="F283" s="416" t="s">
        <v>1404</v>
      </c>
      <c r="G283" s="260">
        <v>3</v>
      </c>
      <c r="H283" s="483">
        <v>28</v>
      </c>
      <c r="J283" s="718">
        <f t="shared" si="124"/>
        <v>0</v>
      </c>
      <c r="K283" s="735">
        <f t="shared" si="125"/>
        <v>0</v>
      </c>
      <c r="M283" s="726">
        <f t="shared" si="126"/>
        <v>2.625</v>
      </c>
      <c r="N283" s="377">
        <f t="shared" si="127"/>
        <v>2.625</v>
      </c>
      <c r="O283" s="343">
        <f t="shared" si="128"/>
        <v>0</v>
      </c>
      <c r="P283" s="613"/>
      <c r="R283" s="397">
        <f>+IFERROR(SUMIFS('Stock CD'!D:D,C357,'Stock CD'!C:C),0)</f>
        <v>0</v>
      </c>
      <c r="S283" s="400">
        <f t="shared" si="129"/>
        <v>0</v>
      </c>
      <c r="U283" s="397">
        <f>+IFERROR(VLOOKUP(C283,'Stock CD'!B:I,8,0)/Z283,0)</f>
        <v>0</v>
      </c>
      <c r="V283" s="400">
        <f t="shared" si="130"/>
        <v>2.625</v>
      </c>
      <c r="X283" s="444">
        <f>+SUMIFS('Conteo 24-02'!F:F,'Conteo 24-02'!$A:$A,$C283)</f>
        <v>0</v>
      </c>
      <c r="Y283" s="304">
        <f>+SUMIFS('Conteo 24-02'!G:G,'Conteo 24-02'!$A:$A,$C283)</f>
        <v>0</v>
      </c>
      <c r="Z283" s="507">
        <f>100*16</f>
        <v>1600</v>
      </c>
      <c r="AB283" s="424" t="s">
        <v>1466</v>
      </c>
      <c r="AC283" s="409">
        <f>+IF(C283="Bomb-CH",SUMIFS('Est Madre CH 10-25'!C:C,'Est Madre CH 10-25'!G:G,"SI")/Z283,0)+IFERROR(VLOOKUP(C283,'Est Madre LK 10-25'!$A:$C,3,)/Z283,IFERROR(VLOOKUP(C283,'Est Madre CH 10-25'!$A:$C,3,)/Z283,0))</f>
        <v>0.875</v>
      </c>
      <c r="AD283" s="439">
        <v>1</v>
      </c>
      <c r="AE283" s="260">
        <v>16</v>
      </c>
      <c r="AF283" s="323">
        <v>0</v>
      </c>
      <c r="AG283" s="552"/>
      <c r="AH283" s="320">
        <v>100</v>
      </c>
      <c r="AI283" s="333">
        <v>3</v>
      </c>
      <c r="AK283" s="424">
        <v>100</v>
      </c>
      <c r="AL283" s="333">
        <v>0</v>
      </c>
    </row>
    <row r="284" spans="1:38" x14ac:dyDescent="0.3">
      <c r="A284" t="s">
        <v>1466</v>
      </c>
      <c r="B284" s="302">
        <v>1262700</v>
      </c>
      <c r="C284" s="433">
        <v>558</v>
      </c>
      <c r="D284" s="260" t="str">
        <f>+VLOOKUP(C284,'Conteo 24-02'!$A$8:$D$246,4,0)</f>
        <v>V2B</v>
      </c>
      <c r="E284" s="320" t="s">
        <v>746</v>
      </c>
      <c r="F284" s="416" t="s">
        <v>1405</v>
      </c>
      <c r="G284" s="260">
        <v>7</v>
      </c>
      <c r="H284" s="483">
        <v>29</v>
      </c>
      <c r="J284" s="718">
        <f t="shared" si="124"/>
        <v>0.12554927809165098</v>
      </c>
      <c r="K284" s="735">
        <f t="shared" si="125"/>
        <v>0.12554927809165098</v>
      </c>
      <c r="M284" s="726">
        <f t="shared" si="126"/>
        <v>3.4824999999999999</v>
      </c>
      <c r="N284" s="377">
        <f t="shared" si="127"/>
        <v>3.9824999999999999</v>
      </c>
      <c r="O284" s="343">
        <f t="shared" si="128"/>
        <v>0.5</v>
      </c>
      <c r="P284" s="613"/>
      <c r="R284" s="397">
        <f>+IFERROR(SUMIFS('Stock CD'!D:D,C358,'Stock CD'!C:C),0)</f>
        <v>0</v>
      </c>
      <c r="S284" s="400">
        <f t="shared" si="129"/>
        <v>0.5</v>
      </c>
      <c r="U284" s="397">
        <f>+IFERROR(VLOOKUP(C284,'Stock CD'!B:I,8,0)/Z284,0)</f>
        <v>0</v>
      </c>
      <c r="V284" s="400">
        <f t="shared" si="130"/>
        <v>3.9824999999999999</v>
      </c>
      <c r="X284" s="444">
        <f>+SUMIFS('Conteo 24-02'!F:F,'Conteo 24-02'!$A:$A,$C284)</f>
        <v>0</v>
      </c>
      <c r="Y284" s="304">
        <f>+SUMIFS('Conteo 24-02'!G:G,'Conteo 24-02'!$A:$A,$C284)</f>
        <v>50</v>
      </c>
      <c r="Z284" s="507">
        <f>100*16</f>
        <v>1600</v>
      </c>
      <c r="AB284" s="424" t="s">
        <v>1466</v>
      </c>
      <c r="AC284" s="409">
        <f>+IF(C284="Bomb-CH",SUMIFS('Est Madre CH 10-25'!C:C,'Est Madre CH 10-25'!G:G,"SI")/Z284,0)+IFERROR(VLOOKUP(C284,'Est Madre LK 10-25'!$A:$C,3,)/Z284,IFERROR(VLOOKUP(C284,'Est Madre CH 10-25'!$A:$C,3,)/Z284,0))</f>
        <v>1.3274999999999999</v>
      </c>
      <c r="AD284" s="439">
        <v>1</v>
      </c>
      <c r="AE284" s="260">
        <v>16</v>
      </c>
      <c r="AF284" s="323">
        <v>0</v>
      </c>
      <c r="AG284" s="552"/>
      <c r="AH284" s="320">
        <v>100</v>
      </c>
      <c r="AI284" s="333">
        <v>3</v>
      </c>
      <c r="AK284" s="424">
        <v>100</v>
      </c>
      <c r="AL284" s="333">
        <v>0</v>
      </c>
    </row>
    <row r="285" spans="1:38" x14ac:dyDescent="0.3">
      <c r="A285" t="s">
        <v>1466</v>
      </c>
      <c r="B285" s="302">
        <v>1262700</v>
      </c>
      <c r="C285" s="433">
        <v>654</v>
      </c>
      <c r="D285" s="260" t="str">
        <f>+VLOOKUP(C285,'Conteo 24-02'!$A$8:$D$246,4,0)</f>
        <v>V1B</v>
      </c>
      <c r="E285" s="320" t="s">
        <v>746</v>
      </c>
      <c r="F285" s="416" t="s">
        <v>1406</v>
      </c>
      <c r="G285" s="260"/>
      <c r="H285" s="483"/>
      <c r="J285" s="718">
        <f t="shared" si="124"/>
        <v>1.1695906432748537</v>
      </c>
      <c r="K285" s="735">
        <f t="shared" si="125"/>
        <v>1.1695906432748537</v>
      </c>
      <c r="M285" s="726">
        <f t="shared" si="126"/>
        <v>0</v>
      </c>
      <c r="N285" s="377">
        <f t="shared" si="127"/>
        <v>1.71</v>
      </c>
      <c r="O285" s="343">
        <f t="shared" si="128"/>
        <v>2</v>
      </c>
      <c r="P285" s="613"/>
      <c r="R285" s="397">
        <f>+IFERROR(SUMIFS('Stock CD'!D:D,C359,'Stock CD'!C:C),0)</f>
        <v>0</v>
      </c>
      <c r="S285" s="400">
        <f t="shared" si="129"/>
        <v>2</v>
      </c>
      <c r="U285" s="397">
        <f>+IFERROR(VLOOKUP(C285,'Stock CD'!B:I,8,0)/Z285,0)</f>
        <v>0</v>
      </c>
      <c r="V285" s="400">
        <f t="shared" si="130"/>
        <v>1.71</v>
      </c>
      <c r="X285" s="444">
        <f>+SUMIFS('Conteo 24-02'!F:F,'Conteo 24-02'!$A:$A,$C285)</f>
        <v>2</v>
      </c>
      <c r="Y285" s="304">
        <f>+SUMIFS('Conteo 24-02'!G:G,'Conteo 24-02'!$A:$A,$C285)</f>
        <v>0</v>
      </c>
      <c r="Z285" s="507">
        <f>100*16</f>
        <v>1600</v>
      </c>
      <c r="AB285" s="424" t="s">
        <v>1466</v>
      </c>
      <c r="AC285" s="409">
        <f>+IF(C285="Bomb-CH",SUMIFS('Est Madre CH 10-25'!C:C,'Est Madre CH 10-25'!G:G,"SI")/Z285,0)+IFERROR(VLOOKUP(C285,'Est Madre LK 10-25'!$A:$C,3,)/Z285,IFERROR(VLOOKUP(C285,'Est Madre CH 10-25'!$A:$C,3,)/Z285,0))</f>
        <v>0.56999999999999995</v>
      </c>
      <c r="AD285" s="439">
        <v>1</v>
      </c>
      <c r="AE285" s="260">
        <v>16</v>
      </c>
      <c r="AF285" s="323">
        <v>0</v>
      </c>
      <c r="AG285" s="552"/>
      <c r="AH285" s="320">
        <v>100</v>
      </c>
      <c r="AI285" s="333">
        <v>3</v>
      </c>
      <c r="AK285" s="424">
        <v>100</v>
      </c>
      <c r="AL285" s="333">
        <v>0</v>
      </c>
    </row>
    <row r="286" spans="1:38" ht="19.5" thickBot="1" x14ac:dyDescent="0.35">
      <c r="A286" t="s">
        <v>1466</v>
      </c>
      <c r="B286" s="298">
        <v>2326700</v>
      </c>
      <c r="C286" s="443" t="s">
        <v>1648</v>
      </c>
      <c r="D286" s="262" t="str">
        <f>+VLOOKUP(C286,'Conteo 24-02'!$A$8:$D$246,4,0)</f>
        <v>A2C</v>
      </c>
      <c r="E286" s="322" t="s">
        <v>1041</v>
      </c>
      <c r="F286" s="417" t="s">
        <v>1407</v>
      </c>
      <c r="G286" s="262"/>
      <c r="H286" s="484"/>
      <c r="J286" s="719">
        <f t="shared" si="124"/>
        <v>5.9259259259259256</v>
      </c>
      <c r="K286" s="736">
        <f t="shared" si="125"/>
        <v>5.9259259259259256</v>
      </c>
      <c r="M286" s="659">
        <f t="shared" si="126"/>
        <v>0</v>
      </c>
      <c r="N286" s="378">
        <f t="shared" si="127"/>
        <v>1.35</v>
      </c>
      <c r="O286" s="345">
        <f t="shared" si="128"/>
        <v>8</v>
      </c>
      <c r="P286" s="614"/>
      <c r="R286" s="398">
        <f>+IFERROR(SUMIFS('Stock CD'!D:D,C360,'Stock CD'!C:C),0)</f>
        <v>0</v>
      </c>
      <c r="S286" s="401">
        <f t="shared" si="129"/>
        <v>8</v>
      </c>
      <c r="U286" s="398">
        <f>+IFERROR(VLOOKUP(C286,'Stock CD'!B:I,8,0)/Z286,0)</f>
        <v>0</v>
      </c>
      <c r="V286" s="401">
        <f t="shared" si="130"/>
        <v>1.35</v>
      </c>
      <c r="X286" s="445">
        <f>+SUMIFS('Conteo 24-02'!F:F,'Conteo 24-02'!$A:$A,$C286)</f>
        <v>8</v>
      </c>
      <c r="Y286" s="305">
        <f>+SUMIFS('Conteo 24-02'!G:G,'Conteo 24-02'!$A:$A,$C286)</f>
        <v>0</v>
      </c>
      <c r="Z286" s="508">
        <f>100*16</f>
        <v>1600</v>
      </c>
      <c r="AB286" s="561" t="s">
        <v>1466</v>
      </c>
      <c r="AC286" s="519">
        <f>+IF(C286="Bomb-CH",SUMIFS('Est Madre CH 10-25'!C:C,'Est Madre CH 10-25'!G:G,"SI")/Z286,0)+IFERROR(VLOOKUP(C286,'Est Madre LK 10-25'!$A:$C,3,)/Z286,IFERROR(VLOOKUP(C286,'Est Madre CH 10-25'!$A:$C,3,)/Z286,0))</f>
        <v>0.45</v>
      </c>
      <c r="AD286" s="677">
        <v>1</v>
      </c>
      <c r="AE286" s="525">
        <v>16</v>
      </c>
      <c r="AF286" s="526">
        <v>717.08130000000006</v>
      </c>
      <c r="AG286" s="554"/>
      <c r="AH286" s="322">
        <v>100</v>
      </c>
      <c r="AI286" s="335">
        <v>3</v>
      </c>
      <c r="AK286" s="425">
        <v>0</v>
      </c>
      <c r="AL286" s="335">
        <v>100</v>
      </c>
    </row>
    <row r="287" spans="1:38" ht="11.85" customHeight="1" x14ac:dyDescent="0.3">
      <c r="B287" s="208"/>
      <c r="C287" s="368"/>
      <c r="E287" s="368"/>
      <c r="F287" s="338"/>
      <c r="G287" s="646"/>
      <c r="H287" s="338"/>
      <c r="J287" s="338"/>
      <c r="K287" s="349"/>
      <c r="M287" s="380"/>
      <c r="N287" s="367"/>
      <c r="O287" s="342"/>
      <c r="P287" s="380"/>
      <c r="Q287" s="627"/>
      <c r="R287" s="349"/>
      <c r="S287" s="349"/>
      <c r="U287" s="349"/>
      <c r="V287" s="349"/>
      <c r="W287" s="627"/>
      <c r="X287" s="368"/>
      <c r="Y287" s="338"/>
      <c r="Z287" s="368"/>
      <c r="AA287" s="627"/>
      <c r="AB287" s="697"/>
      <c r="AC287" s="702"/>
      <c r="AD287" s="702"/>
      <c r="AE287" s="702"/>
      <c r="AF287" s="627"/>
    </row>
    <row r="288" spans="1:38" ht="29.25" thickBot="1" x14ac:dyDescent="0.4">
      <c r="B288" s="208"/>
      <c r="C288" s="368"/>
      <c r="E288" s="368"/>
      <c r="F288" s="451" t="s">
        <v>1492</v>
      </c>
      <c r="G288" s="494"/>
      <c r="H288" s="451"/>
      <c r="J288" s="448"/>
      <c r="K288" s="349"/>
      <c r="M288" s="380"/>
      <c r="N288" s="367"/>
      <c r="O288" s="342"/>
      <c r="P288" s="380"/>
      <c r="R288" s="349"/>
      <c r="S288" s="349"/>
      <c r="U288" s="349"/>
      <c r="V288" s="349"/>
      <c r="X288" s="368"/>
      <c r="Y288" s="338"/>
      <c r="Z288" s="368"/>
    </row>
    <row r="289" spans="1:38" ht="29.25" thickBot="1" x14ac:dyDescent="0.35">
      <c r="B289" s="208"/>
      <c r="C289" s="368"/>
      <c r="E289" s="368"/>
      <c r="F289" s="449" t="s">
        <v>1481</v>
      </c>
      <c r="G289" s="496" t="s">
        <v>1493</v>
      </c>
      <c r="H289" s="459"/>
      <c r="J289" s="477"/>
      <c r="K289" s="349"/>
      <c r="L289" s="208"/>
      <c r="M289" s="380"/>
      <c r="N289" s="367"/>
      <c r="O289" s="342"/>
      <c r="P289" s="380"/>
      <c r="Q289" s="711"/>
      <c r="R289" s="349"/>
      <c r="S289" s="349"/>
      <c r="T289" s="208"/>
      <c r="U289" s="349"/>
      <c r="V289" s="349"/>
      <c r="W289" s="711"/>
      <c r="X289" s="368"/>
      <c r="Y289" s="338"/>
      <c r="Z289" s="368"/>
      <c r="AA289" s="705"/>
      <c r="AB289" s="706"/>
      <c r="AC289" s="712"/>
      <c r="AD289" s="712"/>
      <c r="AE289" s="712"/>
      <c r="AF289" s="705"/>
    </row>
    <row r="290" spans="1:38" ht="58.35" customHeight="1" thickBot="1" x14ac:dyDescent="0.3">
      <c r="B290" s="310" t="s">
        <v>1293</v>
      </c>
      <c r="C290" s="310" t="s">
        <v>748</v>
      </c>
      <c r="D290" s="541" t="s">
        <v>1198</v>
      </c>
      <c r="E290" s="310" t="s">
        <v>1018</v>
      </c>
      <c r="F290" s="326" t="s">
        <v>1207</v>
      </c>
      <c r="G290" s="495" t="s">
        <v>1496</v>
      </c>
      <c r="H290" s="319" t="s">
        <v>1511</v>
      </c>
      <c r="J290" s="291" t="s">
        <v>1384</v>
      </c>
      <c r="K290" s="741" t="s">
        <v>1435</v>
      </c>
      <c r="M290" s="319" t="s">
        <v>1042</v>
      </c>
      <c r="N290" s="312" t="s">
        <v>1398</v>
      </c>
      <c r="O290" s="309" t="s">
        <v>1178</v>
      </c>
      <c r="P290" s="625" t="s">
        <v>1738</v>
      </c>
      <c r="R290" s="291" t="s">
        <v>1436</v>
      </c>
      <c r="S290" s="741" t="s">
        <v>1437</v>
      </c>
      <c r="U290" s="296" t="s">
        <v>1438</v>
      </c>
      <c r="V290" s="291" t="s">
        <v>1439</v>
      </c>
      <c r="X290" s="296" t="s">
        <v>1197</v>
      </c>
      <c r="Y290" s="291" t="s">
        <v>1456</v>
      </c>
      <c r="Z290" s="293" t="s">
        <v>857</v>
      </c>
      <c r="AB290" s="687" t="s">
        <v>1399</v>
      </c>
      <c r="AC290" s="686" t="s">
        <v>1411</v>
      </c>
      <c r="AD290" s="685" t="s">
        <v>1434</v>
      </c>
      <c r="AE290" s="684" t="s">
        <v>1212</v>
      </c>
      <c r="AF290" s="687" t="s">
        <v>1383</v>
      </c>
      <c r="AG290" s="315"/>
      <c r="AH290" s="315"/>
      <c r="AI290" s="319" t="s">
        <v>1509</v>
      </c>
      <c r="AK290" s="840" t="s">
        <v>746</v>
      </c>
      <c r="AL290" s="310" t="s">
        <v>1041</v>
      </c>
    </row>
    <row r="291" spans="1:38" ht="16.5" customHeight="1" x14ac:dyDescent="0.3">
      <c r="A291" t="s">
        <v>1831</v>
      </c>
      <c r="B291" s="460" t="s">
        <v>1510</v>
      </c>
      <c r="C291" s="492">
        <v>34</v>
      </c>
      <c r="D291" s="261" t="str">
        <f>+VLOOKUP(C291,'Conteo 24-02'!$A$8:$D$246,4,0)</f>
        <v>B5B</v>
      </c>
      <c r="E291" s="321" t="s">
        <v>746</v>
      </c>
      <c r="F291" s="354" t="s">
        <v>1209</v>
      </c>
      <c r="G291" s="261">
        <v>0</v>
      </c>
      <c r="H291" s="469"/>
      <c r="J291" s="717">
        <f>+O291/N291</f>
        <v>1.6276041666666667</v>
      </c>
      <c r="K291" s="734">
        <f>+IFERROR(S291/V291,0)</f>
        <v>1.6276041666666667</v>
      </c>
      <c r="M291" s="658">
        <f t="shared" ref="M291:M292" si="131">IF(N291-O291-P291&lt;0,0,N291-O291-P291)</f>
        <v>0</v>
      </c>
      <c r="N291" s="376">
        <f>+IFERROR(AC291*AI291,0)</f>
        <v>4608</v>
      </c>
      <c r="O291" s="344">
        <f>+(X291*Z291)+Y291</f>
        <v>7500</v>
      </c>
      <c r="P291" s="612"/>
      <c r="R291" s="396">
        <f>+IFERROR(SUMIFS('Stock CD'!D:D,#REF!,'Stock CD'!C:C),0)</f>
        <v>0</v>
      </c>
      <c r="S291" s="399">
        <f>+R291+O291</f>
        <v>7500</v>
      </c>
      <c r="U291" s="396">
        <f>+IFERROR(VLOOKUP(C291,'Stock CD'!B:I,8,0),0)</f>
        <v>0</v>
      </c>
      <c r="V291" s="399">
        <f>+U291+N291</f>
        <v>4608</v>
      </c>
      <c r="X291" s="626">
        <f>+SUMIFS('Conteo 24-02'!F:F,'Conteo 24-02'!$A:$A,$C291)</f>
        <v>1</v>
      </c>
      <c r="Y291" s="303">
        <f>+SUMIFS('Conteo 24-02'!G:G,'Conteo 24-02'!$A:$A,$C291)</f>
        <v>0</v>
      </c>
      <c r="Z291" s="524">
        <v>7500</v>
      </c>
      <c r="AB291" s="393" t="s">
        <v>1481</v>
      </c>
      <c r="AC291" s="422">
        <f>+IFERROR(VLOOKUP(C291,'Est Madre LK 10-25'!A:C,3,),VLOOKUP(C291,'Est Madre CH 10-25'!A:C,3,))</f>
        <v>1536</v>
      </c>
      <c r="AD291" s="286"/>
      <c r="AE291" s="286"/>
      <c r="AF291" s="339">
        <v>0</v>
      </c>
      <c r="AG291" s="550"/>
      <c r="AI291" s="465">
        <v>3</v>
      </c>
      <c r="AK291" s="393">
        <v>100</v>
      </c>
      <c r="AL291" s="331">
        <v>0</v>
      </c>
    </row>
    <row r="292" spans="1:38" ht="16.5" customHeight="1" thickBot="1" x14ac:dyDescent="0.35">
      <c r="A292" t="s">
        <v>1831</v>
      </c>
      <c r="B292" s="298"/>
      <c r="C292" s="443">
        <v>867</v>
      </c>
      <c r="D292" s="262" t="str">
        <f>+VLOOKUP(C292,'Conteo 24-02'!$A$8:$D$246,4,0)</f>
        <v>B5C</v>
      </c>
      <c r="E292" s="322" t="s">
        <v>1041</v>
      </c>
      <c r="F292" s="370" t="s">
        <v>1211</v>
      </c>
      <c r="G292" s="262">
        <v>0</v>
      </c>
      <c r="H292" s="474"/>
      <c r="J292" s="719">
        <f>+O292/N292</f>
        <v>0</v>
      </c>
      <c r="K292" s="736">
        <f>+IFERROR(S292/V292,0)</f>
        <v>0</v>
      </c>
      <c r="M292" s="659">
        <f t="shared" si="131"/>
        <v>936</v>
      </c>
      <c r="N292" s="378">
        <f>+IFERROR(AC292*AI292,0)</f>
        <v>936</v>
      </c>
      <c r="O292" s="345">
        <f>+(X292*Z292)+Y292</f>
        <v>0</v>
      </c>
      <c r="P292" s="614"/>
      <c r="R292" s="398">
        <f>+IFERROR(SUMIFS('Stock CD'!D:D,#REF!,'Stock CD'!C:C),0)</f>
        <v>0</v>
      </c>
      <c r="S292" s="401">
        <f>+R292+O292</f>
        <v>0</v>
      </c>
      <c r="U292" s="398">
        <f>+IFERROR(VLOOKUP(C292,'Stock CD'!B:I,8,0),0)</f>
        <v>0</v>
      </c>
      <c r="V292" s="401">
        <f>+U292+N292</f>
        <v>936</v>
      </c>
      <c r="X292" s="445">
        <f>+SUMIFS('Conteo 24-02'!F:F,'Conteo 24-02'!$A:$A,$C292)</f>
        <v>0</v>
      </c>
      <c r="Y292" s="305">
        <f>+SUMIFS('Conteo 24-02'!G:G,'Conteo 24-02'!$A:$A,$C292)</f>
        <v>0</v>
      </c>
      <c r="Z292" s="508">
        <v>7500</v>
      </c>
      <c r="AB292" s="561" t="s">
        <v>1481</v>
      </c>
      <c r="AC292" s="519">
        <f>+IFERROR(VLOOKUP(C292,'Est Madre LK 10-25'!A:C,3,),VLOOKUP(C292,'Est Madre CH 10-25'!A:C,3,))</f>
        <v>312</v>
      </c>
      <c r="AD292" s="678"/>
      <c r="AE292" s="678"/>
      <c r="AF292" s="679">
        <v>0</v>
      </c>
      <c r="AG292" s="550"/>
      <c r="AI292" s="467">
        <v>3</v>
      </c>
      <c r="AK292" s="425">
        <v>0</v>
      </c>
      <c r="AL292" s="335">
        <v>100</v>
      </c>
    </row>
    <row r="293" spans="1:38" ht="16.5" customHeight="1" x14ac:dyDescent="0.3">
      <c r="B293" s="294"/>
      <c r="C293" s="294"/>
      <c r="E293" s="299"/>
      <c r="F293" s="447"/>
      <c r="G293" s="578"/>
      <c r="H293" s="447"/>
      <c r="J293" s="452"/>
      <c r="K293" s="453"/>
      <c r="M293" s="611"/>
      <c r="N293" s="379"/>
      <c r="O293" s="336"/>
      <c r="P293" s="611"/>
      <c r="Q293" s="627"/>
      <c r="R293" s="454"/>
      <c r="S293" s="454"/>
      <c r="U293" s="454"/>
      <c r="V293" s="454"/>
      <c r="W293" s="627"/>
      <c r="X293" s="307"/>
      <c r="Y293" s="372"/>
      <c r="Z293" s="384"/>
      <c r="AA293" s="627"/>
      <c r="AB293" s="697"/>
      <c r="AC293" s="698"/>
      <c r="AD293" s="702"/>
      <c r="AE293" s="702"/>
      <c r="AF293" s="703"/>
      <c r="AG293" s="550"/>
    </row>
    <row r="294" spans="1:38" ht="29.25" thickBot="1" x14ac:dyDescent="0.4">
      <c r="B294" s="208"/>
      <c r="C294" s="368"/>
      <c r="E294" s="368"/>
      <c r="F294" s="451" t="s">
        <v>1492</v>
      </c>
      <c r="G294" s="494"/>
      <c r="H294" s="451"/>
      <c r="J294" s="448"/>
      <c r="K294" s="349"/>
      <c r="M294" s="380"/>
      <c r="N294" s="367"/>
      <c r="O294" s="342"/>
      <c r="P294" s="380"/>
      <c r="R294" s="349"/>
      <c r="S294" s="349"/>
      <c r="U294" s="349"/>
      <c r="V294" s="349"/>
      <c r="X294" s="368"/>
      <c r="Y294" s="338"/>
      <c r="Z294" s="368"/>
    </row>
    <row r="295" spans="1:38" ht="29.25" thickBot="1" x14ac:dyDescent="0.35">
      <c r="B295" s="208"/>
      <c r="C295" s="368"/>
      <c r="E295" s="368"/>
      <c r="F295" s="449" t="s">
        <v>1467</v>
      </c>
      <c r="G295" s="496" t="s">
        <v>1493</v>
      </c>
      <c r="H295" s="450"/>
      <c r="J295" s="477"/>
      <c r="K295" s="349"/>
      <c r="L295" s="208"/>
      <c r="M295" s="380"/>
      <c r="N295" s="367"/>
      <c r="O295" s="342"/>
      <c r="P295" s="380"/>
      <c r="Q295" s="711"/>
      <c r="R295" s="349"/>
      <c r="S295" s="349"/>
      <c r="T295" s="208"/>
      <c r="U295" s="349"/>
      <c r="V295" s="349"/>
      <c r="W295" s="711"/>
      <c r="X295" s="368"/>
      <c r="Y295" s="338"/>
      <c r="Z295" s="368"/>
      <c r="AA295" s="705"/>
      <c r="AB295" s="706"/>
      <c r="AC295" s="712"/>
      <c r="AD295" s="712"/>
      <c r="AE295" s="712"/>
      <c r="AF295" s="705"/>
    </row>
    <row r="296" spans="1:38" ht="58.35" customHeight="1" thickBot="1" x14ac:dyDescent="0.3">
      <c r="B296" s="310" t="s">
        <v>1293</v>
      </c>
      <c r="C296" s="310" t="s">
        <v>748</v>
      </c>
      <c r="D296" s="541" t="s">
        <v>1198</v>
      </c>
      <c r="E296" s="310" t="s">
        <v>1018</v>
      </c>
      <c r="F296" s="326" t="s">
        <v>1207</v>
      </c>
      <c r="G296" s="495" t="s">
        <v>1496</v>
      </c>
      <c r="H296" s="319" t="s">
        <v>1511</v>
      </c>
      <c r="J296" s="319" t="s">
        <v>1384</v>
      </c>
      <c r="K296" s="741" t="s">
        <v>1435</v>
      </c>
      <c r="M296" s="319" t="s">
        <v>1042</v>
      </c>
      <c r="N296" s="312" t="s">
        <v>1398</v>
      </c>
      <c r="O296" s="309" t="s">
        <v>1178</v>
      </c>
      <c r="P296" s="505" t="s">
        <v>1738</v>
      </c>
      <c r="R296" s="319" t="s">
        <v>1436</v>
      </c>
      <c r="S296" s="329" t="s">
        <v>1437</v>
      </c>
      <c r="U296" s="311" t="s">
        <v>1438</v>
      </c>
      <c r="V296" s="319" t="s">
        <v>1439</v>
      </c>
      <c r="X296" s="296" t="s">
        <v>1197</v>
      </c>
      <c r="Y296" s="291" t="s">
        <v>1456</v>
      </c>
      <c r="Z296" s="293" t="s">
        <v>857</v>
      </c>
      <c r="AB296" s="687" t="s">
        <v>1399</v>
      </c>
      <c r="AC296" s="686" t="s">
        <v>1411</v>
      </c>
      <c r="AD296" s="685" t="s">
        <v>1434</v>
      </c>
      <c r="AE296" s="684" t="s">
        <v>1212</v>
      </c>
      <c r="AF296" s="687" t="s">
        <v>1383</v>
      </c>
      <c r="AG296" s="315"/>
      <c r="AH296" s="315"/>
      <c r="AI296" s="319" t="s">
        <v>1509</v>
      </c>
      <c r="AK296" s="840" t="s">
        <v>746</v>
      </c>
      <c r="AL296" s="310" t="s">
        <v>1041</v>
      </c>
    </row>
    <row r="297" spans="1:38" ht="16.5" customHeight="1" x14ac:dyDescent="0.3">
      <c r="A297" t="s">
        <v>1830</v>
      </c>
      <c r="B297" s="297">
        <v>1203700</v>
      </c>
      <c r="C297" s="432">
        <v>31</v>
      </c>
      <c r="D297" s="261" t="e">
        <f>+VLOOKUP(C297,'Conteo 24-02'!$A$8:$D$246,4,0)</f>
        <v>#N/A</v>
      </c>
      <c r="E297" s="321" t="s">
        <v>746</v>
      </c>
      <c r="F297" s="354" t="s">
        <v>1208</v>
      </c>
      <c r="G297" s="579">
        <v>0</v>
      </c>
      <c r="H297" s="469"/>
      <c r="J297" s="717">
        <f>+O297/N297</f>
        <v>1.75</v>
      </c>
      <c r="K297" s="734">
        <f>+IFERROR(S297/V297,0)</f>
        <v>1.75</v>
      </c>
      <c r="M297" s="658">
        <f t="shared" ref="M297:M300" si="132">IF(N297-O297-P297&lt;0,0,N297-O297-P297)</f>
        <v>0</v>
      </c>
      <c r="N297" s="376">
        <v>60000</v>
      </c>
      <c r="O297" s="344">
        <f>+(X297*Z297)+Y297</f>
        <v>105000</v>
      </c>
      <c r="P297" s="612"/>
      <c r="R297" s="396">
        <f>+IFERROR(SUMIFS('Stock CD'!D:D,C371,'Stock CD'!C:C),0)</f>
        <v>0</v>
      </c>
      <c r="S297" s="399">
        <f>+R297+O297</f>
        <v>105000</v>
      </c>
      <c r="U297" s="396">
        <f>+IFERROR(VLOOKUP(C297,'Stock CD'!B:I,8,0),0)</f>
        <v>0</v>
      </c>
      <c r="V297" s="399">
        <f>+U297+N297</f>
        <v>60000</v>
      </c>
      <c r="X297" s="626">
        <f>+SUMIFS('Conteo 24-02'!F:F,'Conteo 24-02'!$A:$A,$B297)</f>
        <v>14</v>
      </c>
      <c r="Y297" s="303">
        <f>+SUMIFS('Conteo 24-02'!G:G,'Conteo 24-02'!$A:$A,$B297)</f>
        <v>0</v>
      </c>
      <c r="Z297" s="524">
        <v>7500</v>
      </c>
      <c r="AB297" s="393" t="s">
        <v>1467</v>
      </c>
      <c r="AC297" s="422">
        <f>+IFERROR(VLOOKUP(C297,'Est Madre LK 10-25'!A:C,3,),VLOOKUP(C297,'Est Madre CH 10-25'!A:C,3,))</f>
        <v>18192</v>
      </c>
      <c r="AD297" s="321">
        <v>55000</v>
      </c>
      <c r="AE297" s="286"/>
      <c r="AF297" s="339">
        <v>35</v>
      </c>
      <c r="AG297" s="550"/>
      <c r="AI297" s="465">
        <v>4</v>
      </c>
      <c r="AK297" s="393">
        <v>100</v>
      </c>
      <c r="AL297" s="331">
        <v>0</v>
      </c>
    </row>
    <row r="298" spans="1:38" ht="16.5" customHeight="1" x14ac:dyDescent="0.3">
      <c r="A298" t="s">
        <v>1830</v>
      </c>
      <c r="B298" s="414">
        <v>2314700</v>
      </c>
      <c r="C298" s="433">
        <v>836</v>
      </c>
      <c r="D298" s="260" t="e">
        <f>+VLOOKUP(C298,'Conteo 24-02'!$A$8:$D$246,4,0)</f>
        <v>#N/A</v>
      </c>
      <c r="E298" s="320" t="s">
        <v>1041</v>
      </c>
      <c r="F298" s="327" t="s">
        <v>1210</v>
      </c>
      <c r="G298" s="260">
        <v>0</v>
      </c>
      <c r="H298" s="470"/>
      <c r="J298" s="718">
        <f>+O298/N298</f>
        <v>1.171875</v>
      </c>
      <c r="K298" s="735">
        <f>+IFERROR(S298/V298,0)</f>
        <v>1.171875</v>
      </c>
      <c r="M298" s="726">
        <f t="shared" si="132"/>
        <v>0</v>
      </c>
      <c r="N298" s="377">
        <f>+IFERROR(AC298*AI298,0)</f>
        <v>9600</v>
      </c>
      <c r="O298" s="343">
        <f>+(X298*Z298)+Y298</f>
        <v>11250</v>
      </c>
      <c r="P298" s="613"/>
      <c r="R298" s="397">
        <f>+IFERROR(SUMIFS('Stock CD'!D:D,C372,'Stock CD'!C:C),0)</f>
        <v>0</v>
      </c>
      <c r="S298" s="400">
        <f>+R298+O298</f>
        <v>11250</v>
      </c>
      <c r="U298" s="397">
        <f>+IFERROR(VLOOKUP(C298,'Stock CD'!B:I,8,0),0)</f>
        <v>0</v>
      </c>
      <c r="V298" s="400">
        <f>+U298+N298</f>
        <v>9600</v>
      </c>
      <c r="X298" s="444">
        <f>+SUMIFS('Conteo 24-02'!F:F,'Conteo 24-02'!$A:$A,$B298)</f>
        <v>1.5</v>
      </c>
      <c r="Y298" s="304">
        <f>+SUMIFS('Conteo 24-02'!G:G,'Conteo 24-02'!$A:$A,$B298)</f>
        <v>0</v>
      </c>
      <c r="Z298" s="507">
        <v>7500</v>
      </c>
      <c r="AB298" s="424" t="s">
        <v>1467</v>
      </c>
      <c r="AC298" s="409">
        <f>+IFERROR(VLOOKUP(C298,'Est Madre LK 10-25'!A:C,3,),VLOOKUP(C298,'Est Madre CH 10-25'!A:C,3,))</f>
        <v>2400</v>
      </c>
      <c r="AD298" s="320">
        <v>0</v>
      </c>
      <c r="AE298" s="219"/>
      <c r="AF298" s="340">
        <v>35</v>
      </c>
      <c r="AG298" s="550"/>
      <c r="AI298" s="466">
        <v>4</v>
      </c>
      <c r="AK298" s="424">
        <v>0</v>
      </c>
      <c r="AL298" s="333">
        <v>100</v>
      </c>
    </row>
    <row r="299" spans="1:38" ht="16.5" customHeight="1" x14ac:dyDescent="0.3">
      <c r="A299" t="s">
        <v>1830</v>
      </c>
      <c r="B299" s="810">
        <v>1385700</v>
      </c>
      <c r="C299" s="811">
        <v>120</v>
      </c>
      <c r="D299" s="525" t="s">
        <v>1203</v>
      </c>
      <c r="E299" s="558" t="s">
        <v>1651</v>
      </c>
      <c r="F299" s="812" t="s">
        <v>1801</v>
      </c>
      <c r="G299" s="525"/>
      <c r="H299" s="813"/>
      <c r="J299" s="718">
        <f>+O299/N299</f>
        <v>0</v>
      </c>
      <c r="K299" s="735">
        <f>+IFERROR(S299/V299,0)</f>
        <v>0</v>
      </c>
      <c r="M299" s="726">
        <f t="shared" ref="M299" si="133">IF(N299-O299-P299&lt;0,0,N299-O299-P299)</f>
        <v>1920</v>
      </c>
      <c r="N299" s="377">
        <f>+IFERROR(AC299*AI299,0)</f>
        <v>1920</v>
      </c>
      <c r="O299" s="343">
        <f>+(X299*Z299)+Y299</f>
        <v>0</v>
      </c>
      <c r="P299" s="613"/>
      <c r="R299" s="814">
        <f>+IFERROR(SUMIFS('Stock CD'!D:D,C373,'Stock CD'!C:C),0)</f>
        <v>0</v>
      </c>
      <c r="S299" s="815">
        <f>+R299+O299</f>
        <v>0</v>
      </c>
      <c r="U299" s="814">
        <f>+IFERROR(VLOOKUP(C299,'Stock CD'!B:I,8,0),0)</f>
        <v>0</v>
      </c>
      <c r="V299" s="815">
        <f>+U299+N299</f>
        <v>1920</v>
      </c>
      <c r="X299" s="821">
        <f>+SUMIFS('Conteo 24-02'!F:F,'Conteo 24-02'!$A:$A,$B299)</f>
        <v>0</v>
      </c>
      <c r="Y299" s="559">
        <f>+SUMIFS('Conteo 24-02'!G:G,'Conteo 24-02'!$A:$A,$B299)</f>
        <v>0</v>
      </c>
      <c r="Z299" s="560">
        <v>7500</v>
      </c>
      <c r="AB299" s="561" t="s">
        <v>1467</v>
      </c>
      <c r="AC299" s="519">
        <f>+IFERROR(VLOOKUP(C299,'Est Madre LK 10-25'!A:C,3,),VLOOKUP(C299,'Est Madre CH 10-25'!A:C,3,))</f>
        <v>480</v>
      </c>
      <c r="AD299" s="558"/>
      <c r="AE299" s="678"/>
      <c r="AF299" s="816"/>
      <c r="AG299" s="550"/>
      <c r="AI299" s="817">
        <v>4</v>
      </c>
      <c r="AK299" s="424">
        <v>100</v>
      </c>
      <c r="AL299" s="333">
        <v>0</v>
      </c>
    </row>
    <row r="300" spans="1:38" ht="16.5" customHeight="1" thickBot="1" x14ac:dyDescent="0.35">
      <c r="A300" t="s">
        <v>1830</v>
      </c>
      <c r="B300" s="298">
        <v>1204700</v>
      </c>
      <c r="C300" s="443">
        <v>715</v>
      </c>
      <c r="D300" s="262">
        <f>+VLOOKUP(C300,'Conteo 24-02'!$A$8:$D$246,4,0)</f>
        <v>0</v>
      </c>
      <c r="E300" s="322" t="s">
        <v>1041</v>
      </c>
      <c r="F300" s="370" t="s">
        <v>1491</v>
      </c>
      <c r="G300" s="262"/>
      <c r="H300" s="474"/>
      <c r="J300" s="719">
        <f>+O300/N300</f>
        <v>0</v>
      </c>
      <c r="K300" s="736">
        <f>+IFERROR(S300/V300,0)</f>
        <v>0</v>
      </c>
      <c r="M300" s="659">
        <f t="shared" si="132"/>
        <v>768</v>
      </c>
      <c r="N300" s="378">
        <f>+IFERROR(AC300*AI300,0)</f>
        <v>768</v>
      </c>
      <c r="O300" s="345">
        <f>+(X300*Z300)+Y300</f>
        <v>0</v>
      </c>
      <c r="P300" s="614"/>
      <c r="R300" s="398">
        <f>+IFERROR(SUMIFS('Stock CD'!D:D,C373,'Stock CD'!C:C),0)</f>
        <v>0</v>
      </c>
      <c r="S300" s="401">
        <f>+R300+O300</f>
        <v>0</v>
      </c>
      <c r="U300" s="398">
        <f>+IFERROR(VLOOKUP(C300,'Stock CD'!B:I,8,0),0)</f>
        <v>120</v>
      </c>
      <c r="V300" s="401">
        <f>+U300+N300</f>
        <v>888</v>
      </c>
      <c r="X300" s="445">
        <f>+SUMIFS('Conteo 24-02'!F:F,'Conteo 24-02'!$A:$A,$B300)</f>
        <v>0</v>
      </c>
      <c r="Y300" s="305">
        <f>+SUMIFS('Conteo 24-02'!G:G,'Conteo 24-02'!$A:$A,$B300)</f>
        <v>0</v>
      </c>
      <c r="Z300" s="508">
        <v>4500</v>
      </c>
      <c r="AB300" s="561" t="s">
        <v>1467</v>
      </c>
      <c r="AC300" s="519">
        <f>+IFERROR(VLOOKUP(C300,'Est Madre LK 10-25'!A:C,3,),VLOOKUP(C300,'Est Madre CH 10-25'!A:C,3,))</f>
        <v>192</v>
      </c>
      <c r="AD300" s="558"/>
      <c r="AE300" s="678"/>
      <c r="AF300" s="679">
        <v>35</v>
      </c>
      <c r="AG300" s="550"/>
      <c r="AI300" s="467">
        <v>4</v>
      </c>
      <c r="AK300" s="425">
        <v>0</v>
      </c>
      <c r="AL300" s="335">
        <v>100</v>
      </c>
    </row>
    <row r="301" spans="1:38" ht="9.1999999999999993" customHeight="1" x14ac:dyDescent="0.3">
      <c r="B301" s="294"/>
      <c r="C301" s="294"/>
      <c r="E301" s="299"/>
      <c r="F301" s="308"/>
      <c r="G301" s="578"/>
      <c r="H301" s="308"/>
      <c r="J301" s="308"/>
      <c r="K301"/>
      <c r="N301" s="292"/>
      <c r="O301"/>
      <c r="Q301" s="627"/>
      <c r="R301"/>
      <c r="S301"/>
      <c r="U301"/>
      <c r="V301"/>
      <c r="W301" s="627"/>
      <c r="X301" s="307"/>
      <c r="Y301" s="314"/>
      <c r="Z301" s="384"/>
      <c r="AA301" s="627"/>
      <c r="AB301" s="697"/>
      <c r="AC301" s="702"/>
      <c r="AD301" s="702"/>
      <c r="AE301" s="702"/>
      <c r="AF301" s="627"/>
    </row>
    <row r="302" spans="1:38" ht="19.5" thickBot="1" x14ac:dyDescent="0.35">
      <c r="B302" s="294"/>
      <c r="C302" s="294"/>
      <c r="E302" s="299"/>
      <c r="F302" s="451" t="s">
        <v>1492</v>
      </c>
      <c r="G302" s="494"/>
      <c r="H302" s="451"/>
      <c r="J302" s="308"/>
      <c r="K302"/>
      <c r="N302" s="292"/>
      <c r="O302"/>
      <c r="R302"/>
      <c r="S302"/>
      <c r="U302"/>
      <c r="V302"/>
      <c r="X302" s="307"/>
      <c r="Y302" s="314"/>
      <c r="Z302" s="384"/>
    </row>
    <row r="303" spans="1:38" ht="29.25" thickBot="1" x14ac:dyDescent="0.35">
      <c r="B303" s="294"/>
      <c r="C303" s="294"/>
      <c r="E303" s="299"/>
      <c r="F303" s="449" t="s">
        <v>1495</v>
      </c>
      <c r="G303" s="496" t="s">
        <v>1493</v>
      </c>
      <c r="H303" s="450"/>
      <c r="J303" s="477"/>
      <c r="K303" s="349"/>
      <c r="L303" s="208"/>
      <c r="M303" s="380"/>
      <c r="N303" s="367"/>
      <c r="O303" s="342"/>
      <c r="P303" s="380"/>
      <c r="Q303" s="711"/>
      <c r="R303"/>
      <c r="S303"/>
      <c r="T303" s="208"/>
      <c r="U303"/>
      <c r="V303"/>
      <c r="W303" s="711"/>
      <c r="X303" s="368"/>
      <c r="Y303" s="338"/>
      <c r="Z303" s="384"/>
      <c r="AA303" s="705"/>
      <c r="AB303" s="706"/>
      <c r="AC303" s="712"/>
      <c r="AD303" s="712"/>
      <c r="AE303" s="712"/>
      <c r="AF303" s="705"/>
    </row>
    <row r="304" spans="1:38" s="208" customFormat="1" ht="56.1" customHeight="1" thickBot="1" x14ac:dyDescent="0.3">
      <c r="A304"/>
      <c r="B304" s="310" t="s">
        <v>1293</v>
      </c>
      <c r="C304" s="446" t="s">
        <v>748</v>
      </c>
      <c r="D304" s="541" t="s">
        <v>1198</v>
      </c>
      <c r="E304" s="545"/>
      <c r="F304" s="326" t="s">
        <v>1302</v>
      </c>
      <c r="G304" s="495" t="s">
        <v>1496</v>
      </c>
      <c r="H304" s="319" t="s">
        <v>1511</v>
      </c>
      <c r="J304" s="319" t="s">
        <v>1384</v>
      </c>
      <c r="K304" s="329" t="s">
        <v>1435</v>
      </c>
      <c r="M304" s="291" t="s">
        <v>1042</v>
      </c>
      <c r="N304" s="312" t="s">
        <v>1398</v>
      </c>
      <c r="O304" s="309" t="s">
        <v>1178</v>
      </c>
      <c r="P304" s="625" t="s">
        <v>1738</v>
      </c>
      <c r="R304" s="291" t="s">
        <v>1436</v>
      </c>
      <c r="S304" s="741" t="s">
        <v>1437</v>
      </c>
      <c r="U304" s="311" t="s">
        <v>1438</v>
      </c>
      <c r="V304" s="319" t="s">
        <v>1439</v>
      </c>
      <c r="X304" s="296" t="s">
        <v>1197</v>
      </c>
      <c r="Y304" s="291" t="s">
        <v>1456</v>
      </c>
      <c r="Z304" s="293" t="s">
        <v>857</v>
      </c>
      <c r="AB304" s="687" t="s">
        <v>1399</v>
      </c>
      <c r="AC304" s="687" t="s">
        <v>1411</v>
      </c>
      <c r="AD304" s="685" t="s">
        <v>1434</v>
      </c>
      <c r="AE304" s="687" t="s">
        <v>1432</v>
      </c>
      <c r="AF304" s="687" t="s">
        <v>1383</v>
      </c>
      <c r="AG304" s="315"/>
      <c r="AH304" s="315"/>
      <c r="AI304" s="319" t="s">
        <v>1509</v>
      </c>
      <c r="AK304" s="840" t="s">
        <v>746</v>
      </c>
      <c r="AL304" s="310" t="s">
        <v>1041</v>
      </c>
    </row>
    <row r="305" spans="1:38" s="208" customFormat="1" ht="16.5" customHeight="1" thickBot="1" x14ac:dyDescent="0.35">
      <c r="A305" t="s">
        <v>1495</v>
      </c>
      <c r="B305" s="413">
        <v>1249700</v>
      </c>
      <c r="C305" s="432" t="s">
        <v>869</v>
      </c>
      <c r="D305" s="261" t="str">
        <f>+VLOOKUP(C305,'Conteo 24-02'!$A$8:$D$246,4,0)</f>
        <v>K7A</v>
      </c>
      <c r="E305" s="432"/>
      <c r="F305" s="354" t="s">
        <v>1659</v>
      </c>
      <c r="G305" s="579">
        <v>30000</v>
      </c>
      <c r="H305" s="351"/>
      <c r="J305" s="718">
        <f>+O305/N305</f>
        <v>0.39457070707070707</v>
      </c>
      <c r="K305" s="735">
        <f>+IFERROR(S305/V305,0)</f>
        <v>0.39457070707070707</v>
      </c>
      <c r="M305" s="739">
        <f t="shared" ref="M305:M309" si="134">IF(N305-O305-P305&lt;0,0,N305-O305-P305)</f>
        <v>30688</v>
      </c>
      <c r="N305" s="479">
        <f>+IFERROR(AC305*AI305,0)</f>
        <v>50688</v>
      </c>
      <c r="O305" s="344">
        <f>+(X305*Z305)+Y305</f>
        <v>20000</v>
      </c>
      <c r="P305" s="648"/>
      <c r="R305" s="396">
        <f>+IFERROR(SUMIFS('Stock CD'!D:D,C378,'Stock CD'!C:C),0)</f>
        <v>0</v>
      </c>
      <c r="S305" s="399">
        <f>+R305+O305</f>
        <v>20000</v>
      </c>
      <c r="U305" s="396">
        <f>+SUMIF('Stock CD'!$A:$A,F305,'Stock CD'!I:I)</f>
        <v>0</v>
      </c>
      <c r="V305" s="399">
        <f>+U305+N305</f>
        <v>50688</v>
      </c>
      <c r="X305" s="626">
        <f>+SUMIFS('Conteo 24-02'!F:F,'Conteo 24-02'!$A:$A,$B305)</f>
        <v>1</v>
      </c>
      <c r="Y305" s="303">
        <f>+SUMIFS('Conteo 24-02'!G:G,'Conteo 24-02'!$A:$A,$B305)</f>
        <v>0</v>
      </c>
      <c r="Z305" s="524">
        <v>20000</v>
      </c>
      <c r="AB305" s="393" t="s">
        <v>1495</v>
      </c>
      <c r="AC305" s="422">
        <f>+SUMIFS('Est Madre LK 10-25'!$I:$I,'Est Madre LK 10-25'!$G:$G,"8")+SUMIFS('Est Madre CH 10-25'!$J:$J,'Est Madre CH 10-25'!$H:$H,"8")</f>
        <v>16896</v>
      </c>
      <c r="AD305" s="358">
        <v>4000</v>
      </c>
      <c r="AE305" s="358">
        <v>1000</v>
      </c>
      <c r="AF305" s="339">
        <v>1.39</v>
      </c>
      <c r="AG305" s="550"/>
      <c r="AH305"/>
      <c r="AI305" s="482">
        <v>3</v>
      </c>
      <c r="AK305" s="543">
        <v>70</v>
      </c>
      <c r="AL305" s="351">
        <v>30</v>
      </c>
    </row>
    <row r="306" spans="1:38" ht="19.5" thickBot="1" x14ac:dyDescent="0.35">
      <c r="A306" t="s">
        <v>1495</v>
      </c>
      <c r="B306" s="414">
        <v>1248700</v>
      </c>
      <c r="C306" s="433" t="s">
        <v>869</v>
      </c>
      <c r="D306" s="260" t="str">
        <f>+VLOOKUP(C306,'Conteo 24-02'!$A$8:$D$246,4,0)</f>
        <v>K7A</v>
      </c>
      <c r="E306" s="433"/>
      <c r="F306" s="327" t="s">
        <v>1660</v>
      </c>
      <c r="G306" s="499">
        <v>130000</v>
      </c>
      <c r="H306" s="352"/>
      <c r="J306" s="718">
        <f>+O306/N306</f>
        <v>0.13255391630545724</v>
      </c>
      <c r="K306" s="735">
        <f>+IFERROR(S306/V306,0)</f>
        <v>0.13255391630545724</v>
      </c>
      <c r="M306" s="739">
        <f t="shared" si="134"/>
        <v>130882</v>
      </c>
      <c r="N306" s="480">
        <f>+IFERROR(AC306*AI306,0)</f>
        <v>150882</v>
      </c>
      <c r="O306" s="343">
        <f>+(X306*Z306)+Y306</f>
        <v>20000</v>
      </c>
      <c r="P306" s="650"/>
      <c r="R306" s="397">
        <f>+IFERROR(SUMIFS('Stock CD'!D:D,C379,'Stock CD'!C:C),0)</f>
        <v>0</v>
      </c>
      <c r="S306" s="400">
        <f>+R306+O306</f>
        <v>20000</v>
      </c>
      <c r="U306" s="397">
        <f>+SUMIF('Stock CD'!$A:$A,F306,'Stock CD'!I:I)</f>
        <v>0</v>
      </c>
      <c r="V306" s="400">
        <f>+U306+N306</f>
        <v>150882</v>
      </c>
      <c r="X306" s="444">
        <f>+SUMIFS('Conteo 24-02'!F:F,'Conteo 24-02'!$A:$A,$B306)</f>
        <v>1</v>
      </c>
      <c r="Y306" s="304">
        <f>+SUMIFS('Conteo 24-02'!G:G,'Conteo 24-02'!$A:$A,$B306)</f>
        <v>0</v>
      </c>
      <c r="Z306" s="507">
        <v>20000</v>
      </c>
      <c r="AB306" s="424" t="s">
        <v>1495</v>
      </c>
      <c r="AC306" s="409">
        <f>+SUMIFS('Est Madre LK 10-25'!$I:$I,'Est Madre LK 10-25'!$G:$G,"10")+SUMIFS('Est Madre CH 10-25'!$J:$J,'Est Madre CH 10-25'!$H:$H,"10")</f>
        <v>50294</v>
      </c>
      <c r="AD306" s="359">
        <v>4000</v>
      </c>
      <c r="AE306" s="359">
        <v>1000</v>
      </c>
      <c r="AF306" s="340">
        <v>1.75</v>
      </c>
      <c r="AG306" s="550"/>
      <c r="AI306" s="128">
        <v>3</v>
      </c>
      <c r="AK306" s="424">
        <v>70</v>
      </c>
      <c r="AL306" s="333">
        <v>30</v>
      </c>
    </row>
    <row r="307" spans="1:38" ht="19.5" thickBot="1" x14ac:dyDescent="0.35">
      <c r="A307" t="s">
        <v>1495</v>
      </c>
      <c r="B307" s="414">
        <v>1247700</v>
      </c>
      <c r="C307" s="433" t="s">
        <v>869</v>
      </c>
      <c r="D307" s="260" t="str">
        <f>+VLOOKUP(C307,'Conteo 24-02'!$A$8:$D$246,4,0)</f>
        <v>K7A</v>
      </c>
      <c r="E307" s="433"/>
      <c r="F307" s="327" t="s">
        <v>1661</v>
      </c>
      <c r="G307" s="260">
        <v>0</v>
      </c>
      <c r="H307" s="352"/>
      <c r="J307" s="718">
        <f>+O307/N307</f>
        <v>0.9701202949165697</v>
      </c>
      <c r="K307" s="735">
        <f>+IFERROR(S307/V307,0)</f>
        <v>0.9701202949165697</v>
      </c>
      <c r="M307" s="739">
        <f t="shared" si="134"/>
        <v>616</v>
      </c>
      <c r="N307" s="480">
        <f>+IFERROR(AC307*AI307,0)</f>
        <v>20616</v>
      </c>
      <c r="O307" s="343">
        <f>+(X307*Z307)+Y307</f>
        <v>20000</v>
      </c>
      <c r="P307" s="650"/>
      <c r="R307" s="397">
        <f>+IFERROR(SUMIFS('Stock CD'!D:D,C380,'Stock CD'!C:C),0)</f>
        <v>0</v>
      </c>
      <c r="S307" s="400">
        <f>+R307+O307</f>
        <v>20000</v>
      </c>
      <c r="U307" s="397">
        <f>+SUMIF('Stock CD'!$A:$A,F307,'Stock CD'!I:I)</f>
        <v>0</v>
      </c>
      <c r="V307" s="400">
        <f>+U307+N307</f>
        <v>20616</v>
      </c>
      <c r="X307" s="444">
        <f>+SUMIFS('Conteo 24-02'!F:F,'Conteo 24-02'!$A:$A,$B307)</f>
        <v>1</v>
      </c>
      <c r="Y307" s="304">
        <f>+SUMIFS('Conteo 24-02'!G:G,'Conteo 24-02'!$A:$A,$B307)</f>
        <v>0</v>
      </c>
      <c r="Z307" s="507">
        <v>20000</v>
      </c>
      <c r="AB307" s="424" t="s">
        <v>1495</v>
      </c>
      <c r="AC307" s="409">
        <f>+SUMIFS('Est Madre LK 10-25'!$I:$I,'Est Madre LK 10-25'!$G:$G,"12")+SUMIFS('Est Madre CH 10-25'!$J:$J,'Est Madre CH 10-25'!$H:$H,"12")</f>
        <v>6872</v>
      </c>
      <c r="AD307" s="359">
        <v>4000</v>
      </c>
      <c r="AE307" s="359">
        <v>1000</v>
      </c>
      <c r="AF307" s="340"/>
      <c r="AG307" s="550"/>
      <c r="AI307" s="128">
        <v>3</v>
      </c>
      <c r="AK307" s="424">
        <v>70</v>
      </c>
      <c r="AL307" s="333">
        <v>30</v>
      </c>
    </row>
    <row r="308" spans="1:38" ht="19.5" thickBot="1" x14ac:dyDescent="0.35">
      <c r="A308" t="s">
        <v>1495</v>
      </c>
      <c r="B308" s="414">
        <v>1246700</v>
      </c>
      <c r="C308" s="433" t="s">
        <v>869</v>
      </c>
      <c r="D308" s="260" t="str">
        <f>+VLOOKUP(C308,'Conteo 24-02'!$A$8:$D$246,4,0)</f>
        <v>K7A</v>
      </c>
      <c r="E308" s="433"/>
      <c r="F308" s="327" t="s">
        <v>1662</v>
      </c>
      <c r="G308" s="499">
        <v>4000</v>
      </c>
      <c r="H308" s="352"/>
      <c r="J308" s="718">
        <f>+O308/N308</f>
        <v>0</v>
      </c>
      <c r="K308" s="735">
        <f>+IFERROR(S308/V308,0)</f>
        <v>0</v>
      </c>
      <c r="M308" s="739">
        <f t="shared" si="134"/>
        <v>4176</v>
      </c>
      <c r="N308" s="480">
        <f>+IFERROR(AC308*AI308,0)</f>
        <v>4176</v>
      </c>
      <c r="O308" s="343">
        <f>+(X308*Z308)+Y308</f>
        <v>0</v>
      </c>
      <c r="P308" s="650"/>
      <c r="R308" s="397">
        <f>+IFERROR(SUMIFS('Stock CD'!D:D,C381,'Stock CD'!C:C),0)</f>
        <v>0</v>
      </c>
      <c r="S308" s="400">
        <f>+R308+O308</f>
        <v>0</v>
      </c>
      <c r="U308" s="397">
        <f>+SUMIF('Stock CD'!$A:$A,F308,'Stock CD'!I:I)</f>
        <v>0</v>
      </c>
      <c r="V308" s="400">
        <f>+U308+N308</f>
        <v>4176</v>
      </c>
      <c r="X308" s="444">
        <f>+SUMIFS('Conteo 24-02'!F:F,'Conteo 24-02'!$A:$A,$B308)</f>
        <v>0</v>
      </c>
      <c r="Y308" s="304">
        <f>+SUMIFS('Conteo 24-02'!G:G,'Conteo 24-02'!$A:$A,$B308)</f>
        <v>0</v>
      </c>
      <c r="Z308" s="507">
        <v>20000</v>
      </c>
      <c r="AB308" s="424" t="s">
        <v>1495</v>
      </c>
      <c r="AC308" s="409">
        <f>+SUMIFS('Est Madre LK 10-25'!$I:$I,'Est Madre LK 10-25'!$G:$G,"14")+SUMIFS('Est Madre CH 10-25'!$J:$J,'Est Madre CH 10-25'!$H:$H,"14")</f>
        <v>1392</v>
      </c>
      <c r="AD308" s="359">
        <v>4000</v>
      </c>
      <c r="AE308" s="359">
        <v>1000</v>
      </c>
      <c r="AF308" s="340"/>
      <c r="AG308" s="550"/>
      <c r="AI308" s="128">
        <v>3</v>
      </c>
      <c r="AK308" s="424">
        <v>70</v>
      </c>
      <c r="AL308" s="333">
        <v>30</v>
      </c>
    </row>
    <row r="309" spans="1:38" s="31" customFormat="1" ht="20.25" customHeight="1" thickBot="1" x14ac:dyDescent="0.3">
      <c r="A309" t="s">
        <v>1495</v>
      </c>
      <c r="B309" s="493">
        <v>1284700</v>
      </c>
      <c r="C309" s="443" t="s">
        <v>869</v>
      </c>
      <c r="D309" s="262" t="str">
        <f>+VLOOKUP(C309,'Conteo 24-02'!$A$8:$D$246,4,0)</f>
        <v>K7A</v>
      </c>
      <c r="E309" s="443"/>
      <c r="F309" s="355" t="s">
        <v>1663</v>
      </c>
      <c r="G309" s="262">
        <v>0</v>
      </c>
      <c r="H309" s="471"/>
      <c r="J309" s="723">
        <f>+O309/N309</f>
        <v>6.2266500622665006</v>
      </c>
      <c r="K309" s="742">
        <f>+IFERROR(S309/V309,0)</f>
        <v>6.2266500622665006</v>
      </c>
      <c r="M309" s="739">
        <f t="shared" si="134"/>
        <v>0</v>
      </c>
      <c r="N309" s="743">
        <f>+IFERROR(AC309*AI309,0)</f>
        <v>9636</v>
      </c>
      <c r="O309" s="744">
        <f>+(X309*Z309)+Y309</f>
        <v>60000</v>
      </c>
      <c r="P309" s="652"/>
      <c r="R309" s="754">
        <f>+IFERROR(SUMIFS('Stock CD'!D:D,C382,'Stock CD'!C:C),0)</f>
        <v>0</v>
      </c>
      <c r="S309" s="408">
        <f>+R309+O309</f>
        <v>60000</v>
      </c>
      <c r="U309" s="754">
        <f>+SUMIF('Stock CD'!$A:$A,F309,'Stock CD'!I:I)</f>
        <v>0</v>
      </c>
      <c r="V309" s="408">
        <f>+U309+N309</f>
        <v>9636</v>
      </c>
      <c r="X309" s="445">
        <f>+SUMIFS('Conteo 24-02'!F:F,'Conteo 24-02'!$A:$A,$B309)</f>
        <v>3</v>
      </c>
      <c r="Y309" s="305">
        <f>+SUMIFS('Conteo 24-02'!G:G,'Conteo 24-02'!$A:$A,$B309)</f>
        <v>0</v>
      </c>
      <c r="Z309" s="762">
        <v>20000</v>
      </c>
      <c r="AB309" s="680" t="s">
        <v>1495</v>
      </c>
      <c r="AC309" s="681">
        <f>+SUMIFS('Est Madre LK 10-25'!$I:$I,'Est Madre LK 10-25'!$G:$G,"16")+SUMIFS('Est Madre CH 10-25'!$J:$J,'Est Madre CH 10-25'!$H:$H,"16")</f>
        <v>3212</v>
      </c>
      <c r="AD309" s="682">
        <v>4000</v>
      </c>
      <c r="AE309" s="682">
        <v>1000</v>
      </c>
      <c r="AF309" s="683"/>
      <c r="AG309" s="555"/>
      <c r="AI309" s="130">
        <v>3</v>
      </c>
      <c r="AK309" s="461">
        <v>70</v>
      </c>
      <c r="AL309" s="356">
        <v>30</v>
      </c>
    </row>
    <row r="310" spans="1:38" ht="12.75" customHeight="1" x14ac:dyDescent="0.3">
      <c r="B310" s="346"/>
      <c r="C310" s="294"/>
      <c r="E310" s="294"/>
      <c r="F310"/>
      <c r="G310" s="731"/>
      <c r="H310"/>
      <c r="J310"/>
      <c r="K310" s="347"/>
      <c r="M310" s="611"/>
      <c r="N310" s="379"/>
      <c r="O310" s="336"/>
      <c r="P310" s="611"/>
      <c r="Q310" s="627"/>
      <c r="R310" s="347"/>
      <c r="S310" s="347"/>
      <c r="U310" s="347"/>
      <c r="V310" s="347"/>
      <c r="W310" s="627"/>
      <c r="X310" s="307"/>
      <c r="Y310" s="372"/>
      <c r="Z310" s="384"/>
      <c r="AA310" s="627"/>
      <c r="AB310" s="697"/>
      <c r="AC310" s="698"/>
      <c r="AD310" s="702"/>
      <c r="AE310" s="702"/>
      <c r="AF310" s="703"/>
      <c r="AG310" s="550"/>
    </row>
    <row r="311" spans="1:38" ht="19.5" thickBot="1" x14ac:dyDescent="0.35">
      <c r="B311" s="346"/>
      <c r="C311" s="294"/>
      <c r="E311" s="294"/>
      <c r="F311" s="451" t="s">
        <v>1492</v>
      </c>
      <c r="G311" s="494"/>
      <c r="H311" s="451"/>
      <c r="J311"/>
      <c r="K311" s="347"/>
      <c r="M311" s="611"/>
      <c r="N311" s="379"/>
      <c r="O311" s="336"/>
      <c r="P311" s="611"/>
      <c r="R311" s="347"/>
      <c r="S311" s="347"/>
      <c r="U311" s="347"/>
      <c r="V311" s="347"/>
      <c r="X311" s="307"/>
      <c r="Y311" s="372"/>
      <c r="Z311" s="384"/>
      <c r="AC311" s="382"/>
      <c r="AF311" s="373"/>
      <c r="AG311" s="550"/>
    </row>
    <row r="312" spans="1:38" ht="29.25" thickBot="1" x14ac:dyDescent="0.35">
      <c r="B312" s="346"/>
      <c r="C312" s="294"/>
      <c r="E312" s="294"/>
      <c r="F312" s="449" t="s">
        <v>1468</v>
      </c>
      <c r="G312" s="496" t="s">
        <v>1493</v>
      </c>
      <c r="H312" s="450"/>
      <c r="J312" s="477"/>
      <c r="K312" s="349"/>
      <c r="L312" s="208"/>
      <c r="M312" s="380"/>
      <c r="N312" s="367"/>
      <c r="O312" s="342"/>
      <c r="P312" s="380"/>
      <c r="Q312" s="711"/>
      <c r="R312" s="347"/>
      <c r="S312" s="347"/>
      <c r="T312" s="208"/>
      <c r="U312" s="347"/>
      <c r="V312" s="347"/>
      <c r="W312" s="711"/>
      <c r="X312" s="368"/>
      <c r="Y312" s="338"/>
      <c r="Z312" s="384"/>
      <c r="AA312" s="705"/>
      <c r="AB312" s="706"/>
      <c r="AC312" s="707"/>
      <c r="AD312" s="712"/>
      <c r="AE312" s="712"/>
      <c r="AF312" s="715"/>
      <c r="AG312" s="550"/>
    </row>
    <row r="313" spans="1:38" ht="60" customHeight="1" thickBot="1" x14ac:dyDescent="0.3">
      <c r="B313" s="310" t="s">
        <v>1293</v>
      </c>
      <c r="C313" s="446" t="s">
        <v>748</v>
      </c>
      <c r="D313" s="541" t="s">
        <v>1198</v>
      </c>
      <c r="E313" s="545"/>
      <c r="F313" s="326" t="s">
        <v>1413</v>
      </c>
      <c r="G313" s="495" t="s">
        <v>1496</v>
      </c>
      <c r="H313" s="319" t="s">
        <v>1511</v>
      </c>
      <c r="J313" s="291" t="s">
        <v>1384</v>
      </c>
      <c r="K313" s="741" t="s">
        <v>1435</v>
      </c>
      <c r="M313" s="291" t="s">
        <v>1401</v>
      </c>
      <c r="N313" s="312" t="s">
        <v>1431</v>
      </c>
      <c r="O313" s="312" t="s">
        <v>1414</v>
      </c>
      <c r="P313" s="625" t="s">
        <v>1738</v>
      </c>
      <c r="R313" s="319" t="s">
        <v>1457</v>
      </c>
      <c r="S313" s="329" t="s">
        <v>1458</v>
      </c>
      <c r="U313" s="311" t="s">
        <v>1461</v>
      </c>
      <c r="V313" s="319" t="s">
        <v>1462</v>
      </c>
      <c r="X313" s="296" t="s">
        <v>1582</v>
      </c>
      <c r="Y313" s="291" t="s">
        <v>1456</v>
      </c>
      <c r="Z313" s="293" t="s">
        <v>1415</v>
      </c>
      <c r="AB313" s="687" t="s">
        <v>1399</v>
      </c>
      <c r="AC313" s="687" t="s">
        <v>1411</v>
      </c>
      <c r="AD313" s="685" t="s">
        <v>1487</v>
      </c>
      <c r="AE313" s="687" t="s">
        <v>1488</v>
      </c>
      <c r="AF313" s="689" t="s">
        <v>1416</v>
      </c>
      <c r="AG313" s="547"/>
      <c r="AI313" s="319" t="s">
        <v>1509</v>
      </c>
      <c r="AK313" s="840" t="s">
        <v>746</v>
      </c>
      <c r="AL313" s="310" t="s">
        <v>1041</v>
      </c>
    </row>
    <row r="314" spans="1:38" ht="19.5" thickBot="1" x14ac:dyDescent="0.35">
      <c r="A314" t="s">
        <v>1825</v>
      </c>
      <c r="B314" s="413">
        <v>1251700</v>
      </c>
      <c r="C314" s="432" t="s">
        <v>869</v>
      </c>
      <c r="D314" s="261" t="str">
        <f>+VLOOKUP(C314,'Conteo 24-02'!$A$8:$D$246,4,0)</f>
        <v>K7A</v>
      </c>
      <c r="E314" s="432"/>
      <c r="F314" s="354" t="s">
        <v>1472</v>
      </c>
      <c r="G314" s="261">
        <v>32</v>
      </c>
      <c r="H314" s="351"/>
      <c r="J314" s="722">
        <f>+O314/N314</f>
        <v>0.60093896713615025</v>
      </c>
      <c r="K314" s="745">
        <f>+IFERROR(S314/V314,0)</f>
        <v>0.60093896713615025</v>
      </c>
      <c r="M314" s="739">
        <f t="shared" ref="M314:M315" si="135">IF(N314-O314-P314&lt;0,0,N314-O314-P314)</f>
        <v>21.25</v>
      </c>
      <c r="N314" s="479">
        <f>+IFERROR(AC314*AI314,0)</f>
        <v>53.25</v>
      </c>
      <c r="O314" s="344">
        <f>+(X314*Z314)+Y314</f>
        <v>32</v>
      </c>
      <c r="P314" s="648"/>
      <c r="R314" s="396">
        <f>+IFERROR(SUMIFS('Stock CD'!D:D,C387,'Stock CD'!C:C),0)</f>
        <v>0</v>
      </c>
      <c r="S314" s="399">
        <f>+R314+O314</f>
        <v>32</v>
      </c>
      <c r="U314" s="396">
        <f>+IFERROR(VLOOKUP(F314,'Stock CD'!A:I,10,0),0)</f>
        <v>0</v>
      </c>
      <c r="V314" s="399">
        <f>+U314+N314</f>
        <v>53.25</v>
      </c>
      <c r="X314" s="626">
        <f>+SUMIFS('Conteo 24-02'!F:F,'Conteo 24-02'!$A:$A,$B314)</f>
        <v>2</v>
      </c>
      <c r="Y314" s="303">
        <f>+SUMIFS('Conteo 24-02'!G:G,'Conteo 24-02'!$A:$A,$B314)</f>
        <v>0</v>
      </c>
      <c r="Z314" s="524">
        <v>16</v>
      </c>
      <c r="AB314" s="427" t="s">
        <v>1468</v>
      </c>
      <c r="AC314" s="430">
        <v>17.75</v>
      </c>
      <c r="AD314" s="358">
        <v>80</v>
      </c>
      <c r="AE314" s="358">
        <v>4</v>
      </c>
      <c r="AF314" s="339">
        <v>2.15</v>
      </c>
      <c r="AG314" s="550"/>
      <c r="AH314" s="328"/>
      <c r="AI314" s="465">
        <v>3</v>
      </c>
      <c r="AK314" s="393">
        <v>70</v>
      </c>
      <c r="AL314" s="331">
        <v>30</v>
      </c>
    </row>
    <row r="315" spans="1:38" ht="19.5" thickBot="1" x14ac:dyDescent="0.35">
      <c r="A315" t="s">
        <v>1825</v>
      </c>
      <c r="B315" s="493">
        <v>1252700</v>
      </c>
      <c r="C315" s="443" t="s">
        <v>869</v>
      </c>
      <c r="D315" s="262" t="str">
        <f>+VLOOKUP(C315,'Conteo 24-02'!$A$8:$D$246,4,0)</f>
        <v>K7A</v>
      </c>
      <c r="E315" s="443"/>
      <c r="F315" s="355" t="s">
        <v>1310</v>
      </c>
      <c r="G315" s="262">
        <v>30</v>
      </c>
      <c r="H315" s="356"/>
      <c r="J315" s="719">
        <f>+O315/N315</f>
        <v>0.78871617731721366</v>
      </c>
      <c r="K315" s="736">
        <f>+IFERROR(S315/V315,0)</f>
        <v>0.78871617731721366</v>
      </c>
      <c r="M315" s="739">
        <f t="shared" si="135"/>
        <v>26.788321167883197</v>
      </c>
      <c r="N315" s="481">
        <f>+IFERROR(AC315*AI315,0)</f>
        <v>126.7883211678832</v>
      </c>
      <c r="O315" s="345">
        <f>+(X315*Z315)+Y315</f>
        <v>100</v>
      </c>
      <c r="P315" s="652"/>
      <c r="R315" s="398">
        <f>+IFERROR(SUMIFS('Stock CD'!D:D,C388,'Stock CD'!C:C),0)</f>
        <v>0</v>
      </c>
      <c r="S315" s="401">
        <f>+R315+O315</f>
        <v>100</v>
      </c>
      <c r="U315" s="398">
        <f>+IFERROR(VLOOKUP(F315,'Stock CD'!A:I,10,0),0)</f>
        <v>0</v>
      </c>
      <c r="V315" s="401">
        <f>+U315+N315</f>
        <v>126.7883211678832</v>
      </c>
      <c r="X315" s="445">
        <f>+SUMIFS('Conteo 24-02'!F:F,'Conteo 24-02'!$A:$A,$B315)</f>
        <v>10</v>
      </c>
      <c r="Y315" s="305">
        <f>+SUMIFS('Conteo 24-02'!G:G,'Conteo 24-02'!$A:$A,$B315)</f>
        <v>0</v>
      </c>
      <c r="Z315" s="508">
        <v>10</v>
      </c>
      <c r="AB315" s="429" t="s">
        <v>1468</v>
      </c>
      <c r="AC315" s="431">
        <v>42.262773722627735</v>
      </c>
      <c r="AD315" s="361">
        <v>50</v>
      </c>
      <c r="AE315" s="361">
        <v>1</v>
      </c>
      <c r="AF315" s="487">
        <v>4.5999999999999996</v>
      </c>
      <c r="AG315" s="548"/>
      <c r="AH315" s="328"/>
      <c r="AI315" s="467">
        <v>3</v>
      </c>
      <c r="AK315" s="425">
        <v>70</v>
      </c>
      <c r="AL315" s="335">
        <v>30</v>
      </c>
    </row>
    <row r="316" spans="1:38" s="208" customFormat="1" ht="10.15" customHeight="1" x14ac:dyDescent="0.3">
      <c r="A316"/>
      <c r="B316" s="294"/>
      <c r="C316" s="368"/>
      <c r="D316"/>
      <c r="E316" s="368"/>
      <c r="F316" s="338"/>
      <c r="G316" s="646"/>
      <c r="H316" s="338"/>
      <c r="J316" s="338"/>
      <c r="K316" s="349"/>
      <c r="M316" s="380"/>
      <c r="N316" s="367"/>
      <c r="O316" s="342"/>
      <c r="P316" s="380"/>
      <c r="Q316" s="704"/>
      <c r="R316" s="349"/>
      <c r="S316" s="349"/>
      <c r="U316" s="349"/>
      <c r="V316" s="349"/>
      <c r="X316" s="368"/>
      <c r="Y316" s="338"/>
      <c r="Z316" s="368"/>
      <c r="AB316" s="299"/>
      <c r="AC316" s="292"/>
      <c r="AE316" s="127"/>
      <c r="AF316"/>
      <c r="AG316" s="292"/>
      <c r="AH316" s="127"/>
      <c r="AI316" s="299"/>
    </row>
    <row r="317" spans="1:38" s="208" customFormat="1" ht="29.25" thickBot="1" x14ac:dyDescent="0.35">
      <c r="A317"/>
      <c r="B317" s="294"/>
      <c r="C317" s="368"/>
      <c r="D317"/>
      <c r="E317" s="368"/>
      <c r="F317" s="451" t="s">
        <v>1492</v>
      </c>
      <c r="G317" s="494"/>
      <c r="H317" s="451"/>
      <c r="J317" s="338"/>
      <c r="K317" s="349"/>
      <c r="M317" s="380"/>
      <c r="N317" s="367"/>
      <c r="O317" s="342"/>
      <c r="P317" s="380"/>
      <c r="R317" s="349"/>
      <c r="S317" s="349"/>
      <c r="U317" s="349"/>
      <c r="V317" s="349"/>
      <c r="X317" s="368"/>
      <c r="Y317" s="338"/>
      <c r="Z317" s="368"/>
      <c r="AB317" s="299"/>
      <c r="AC317" s="292"/>
      <c r="AE317" s="127"/>
      <c r="AF317"/>
      <c r="AG317" s="292"/>
      <c r="AH317" s="127"/>
      <c r="AI317" s="299"/>
    </row>
    <row r="318" spans="1:38" s="208" customFormat="1" ht="29.25" thickBot="1" x14ac:dyDescent="0.35">
      <c r="A318"/>
      <c r="B318" s="294"/>
      <c r="C318" s="368"/>
      <c r="D318"/>
      <c r="E318" s="368"/>
      <c r="F318" s="449" t="s">
        <v>1470</v>
      </c>
      <c r="G318" s="496" t="s">
        <v>1493</v>
      </c>
      <c r="H318" s="459"/>
      <c r="J318" s="477"/>
      <c r="K318" s="349"/>
      <c r="M318" s="380"/>
      <c r="N318" s="367"/>
      <c r="O318" s="342"/>
      <c r="P318" s="380"/>
      <c r="Q318" s="711"/>
      <c r="R318" s="349"/>
      <c r="S318" s="349"/>
      <c r="U318" s="349"/>
      <c r="V318" s="349"/>
      <c r="X318" s="368"/>
      <c r="Y318" s="338"/>
      <c r="Z318" s="368"/>
      <c r="AB318" s="299"/>
      <c r="AC318" s="292"/>
      <c r="AE318" s="127"/>
      <c r="AF318"/>
      <c r="AG318" s="292"/>
      <c r="AH318" s="127"/>
      <c r="AI318" s="299"/>
    </row>
    <row r="319" spans="1:38" ht="54" customHeight="1" thickBot="1" x14ac:dyDescent="0.3">
      <c r="B319" s="310" t="s">
        <v>1293</v>
      </c>
      <c r="C319" s="446" t="s">
        <v>748</v>
      </c>
      <c r="D319" s="541" t="s">
        <v>1198</v>
      </c>
      <c r="E319" s="545"/>
      <c r="F319" s="326" t="s">
        <v>1303</v>
      </c>
      <c r="G319" s="495" t="s">
        <v>1496</v>
      </c>
      <c r="H319" s="319" t="s">
        <v>1511</v>
      </c>
      <c r="J319" s="291" t="s">
        <v>1384</v>
      </c>
      <c r="K319" s="741" t="s">
        <v>1435</v>
      </c>
      <c r="M319" s="319" t="s">
        <v>1042</v>
      </c>
      <c r="N319" s="312" t="s">
        <v>1398</v>
      </c>
      <c r="O319" s="309" t="s">
        <v>1178</v>
      </c>
      <c r="P319" s="625" t="s">
        <v>1738</v>
      </c>
      <c r="R319" s="319" t="s">
        <v>1436</v>
      </c>
      <c r="S319" s="329" t="s">
        <v>1437</v>
      </c>
      <c r="U319" s="311" t="s">
        <v>1438</v>
      </c>
      <c r="V319" s="319" t="s">
        <v>1439</v>
      </c>
      <c r="X319" s="311" t="s">
        <v>1512</v>
      </c>
      <c r="Y319" s="319" t="s">
        <v>1456</v>
      </c>
      <c r="Z319" s="312" t="s">
        <v>1389</v>
      </c>
      <c r="AB319" s="291" t="s">
        <v>1399</v>
      </c>
      <c r="AC319" s="291" t="s">
        <v>1411</v>
      </c>
      <c r="AD319" s="296" t="s">
        <v>1434</v>
      </c>
      <c r="AE319" s="291" t="s">
        <v>1513</v>
      </c>
      <c r="AF319" s="291" t="s">
        <v>1383</v>
      </c>
      <c r="AG319" s="315"/>
      <c r="AI319" s="319" t="s">
        <v>1509</v>
      </c>
      <c r="AK319" s="840" t="s">
        <v>746</v>
      </c>
      <c r="AL319" s="310" t="s">
        <v>1041</v>
      </c>
    </row>
    <row r="320" spans="1:38" ht="19.5" thickBot="1" x14ac:dyDescent="0.35">
      <c r="A320" t="s">
        <v>1470</v>
      </c>
      <c r="B320" s="413">
        <v>1256700</v>
      </c>
      <c r="C320" s="432" t="s">
        <v>869</v>
      </c>
      <c r="D320" s="261" t="str">
        <f>+VLOOKUP(C320,'Conteo 24-02'!$A$8:$D$246,4,0)</f>
        <v>K7A</v>
      </c>
      <c r="E320" s="432"/>
      <c r="F320" s="354" t="s">
        <v>1305</v>
      </c>
      <c r="G320" s="261">
        <v>0</v>
      </c>
      <c r="H320" s="469"/>
      <c r="J320" s="717">
        <f>+O320/N320</f>
        <v>0.67265328086637743</v>
      </c>
      <c r="K320" s="734">
        <f>+IFERROR(S320/V320,0)</f>
        <v>0.67265328086637743</v>
      </c>
      <c r="M320" s="739">
        <f t="shared" ref="M320:M324" si="136">IF(N320-O320-P320&lt;0,0,N320-O320-P320)</f>
        <v>38932</v>
      </c>
      <c r="N320" s="479">
        <f>+IFERROR(AC320*AI320,0)</f>
        <v>118932</v>
      </c>
      <c r="O320" s="344">
        <f>+(X320*AE320)+(Y320*Z320)</f>
        <v>80000</v>
      </c>
      <c r="P320" s="648"/>
      <c r="R320" s="396">
        <f>+IFERROR(SUMIFS('Stock CD'!D:D,C393,'Stock CD'!C:C),0)</f>
        <v>0</v>
      </c>
      <c r="S320" s="399">
        <f>+R320+O320</f>
        <v>80000</v>
      </c>
      <c r="U320" s="396">
        <f>+IFERROR(VLOOKUP(F320,'Stock CD'!A:I,10,0),0)</f>
        <v>0</v>
      </c>
      <c r="V320" s="399">
        <f>+U320+N320</f>
        <v>118932</v>
      </c>
      <c r="X320" s="626">
        <f>+SUMIFS('Conteo 24-02'!F:F,'Conteo 24-02'!$A:$A,$B320)</f>
        <v>1</v>
      </c>
      <c r="Y320" s="303">
        <f>+SUMIFS('Conteo 24-02'!G:G,'Conteo 24-02'!$A:$A,$B320)</f>
        <v>0</v>
      </c>
      <c r="Z320" s="524">
        <v>8000</v>
      </c>
      <c r="AB320" s="393" t="s">
        <v>1470</v>
      </c>
      <c r="AC320" s="422">
        <f>SUMIFS('Est Madre LK 10-25'!$C:$C,'Est Madre LK 10-25'!$E:$E,"49x25")+SUMIFS('Est Madre CH 10-25'!$C:$C,'Est Madre CH 10-25'!$E:$E,"49x25")+IFERROR(VLOOKUP(F320,'TN ETIQUETAS'!$A$2:$D$6,4,0),0)</f>
        <v>39644</v>
      </c>
      <c r="AD320" s="358">
        <f>20*Z320</f>
        <v>160000</v>
      </c>
      <c r="AE320" s="358">
        <f>8000*10</f>
        <v>80000</v>
      </c>
      <c r="AF320" s="339">
        <v>23.82</v>
      </c>
      <c r="AG320" s="550"/>
      <c r="AI320" s="465">
        <v>3</v>
      </c>
      <c r="AK320" s="297">
        <v>70</v>
      </c>
      <c r="AL320" s="868">
        <v>30</v>
      </c>
    </row>
    <row r="321" spans="1:38" ht="19.5" thickBot="1" x14ac:dyDescent="0.35">
      <c r="A321" t="s">
        <v>1470</v>
      </c>
      <c r="B321" s="414">
        <v>1255700</v>
      </c>
      <c r="C321" s="433" t="s">
        <v>869</v>
      </c>
      <c r="D321" s="260" t="str">
        <f>+VLOOKUP(C321,'Conteo 24-02'!$A$8:$D$246,4,0)</f>
        <v>K7A</v>
      </c>
      <c r="E321" s="433"/>
      <c r="F321" s="327" t="s">
        <v>1306</v>
      </c>
      <c r="G321" s="260">
        <v>0</v>
      </c>
      <c r="H321" s="470"/>
      <c r="J321" s="718">
        <f>+O321/N321</f>
        <v>24.498545398866941</v>
      </c>
      <c r="K321" s="735">
        <f>+IFERROR(S321/V321,0)</f>
        <v>24.498545398866941</v>
      </c>
      <c r="M321" s="739">
        <f t="shared" si="136"/>
        <v>0</v>
      </c>
      <c r="N321" s="480">
        <f>+IFERROR(AC321*AI321,0)</f>
        <v>26124</v>
      </c>
      <c r="O321" s="343">
        <f t="shared" ref="O321:O324" si="137">+(X321*AE321)+(Y321*Z321)</f>
        <v>640000</v>
      </c>
      <c r="P321" s="650"/>
      <c r="R321" s="397">
        <f>+IFERROR(SUMIFS('Stock CD'!D:D,C394,'Stock CD'!C:C),0)</f>
        <v>0</v>
      </c>
      <c r="S321" s="400">
        <f>+R321+O321</f>
        <v>640000</v>
      </c>
      <c r="U321" s="397">
        <f>+IFERROR(VLOOKUP(F321,'Stock CD'!A:I,10,0),0)</f>
        <v>0</v>
      </c>
      <c r="V321" s="400">
        <f>+U321+N321</f>
        <v>26124</v>
      </c>
      <c r="X321" s="444">
        <f>+SUMIFS('Conteo 24-02'!F:F,'Conteo 24-02'!$A:$A,$B321)</f>
        <v>8</v>
      </c>
      <c r="Y321" s="304">
        <f>+SUMIFS('Conteo 24-02'!G:G,'Conteo 24-02'!$A:$A,$B321)</f>
        <v>0</v>
      </c>
      <c r="Z321" s="507">
        <v>8000</v>
      </c>
      <c r="AB321" s="424" t="s">
        <v>1470</v>
      </c>
      <c r="AC321" s="409">
        <f>SUMIFS('Est Madre LK 10-25'!$C:$C,'Est Madre LK 10-25'!$E:$E,"38x20")+SUMIFS('Est Madre CH 10-25'!$C:$C,'Est Madre CH 10-25'!$E:$E,"38x20")+IFERROR(VLOOKUP(F321,'TN ETIQUETAS'!$A$2:$D$6,4,0),0)</f>
        <v>8708</v>
      </c>
      <c r="AD321" s="359">
        <f>8000*15</f>
        <v>120000</v>
      </c>
      <c r="AE321" s="359">
        <f>8000*10</f>
        <v>80000</v>
      </c>
      <c r="AF321" s="340">
        <v>15</v>
      </c>
      <c r="AG321" s="550"/>
      <c r="AI321" s="466">
        <v>3</v>
      </c>
      <c r="AK321" s="424">
        <v>70</v>
      </c>
      <c r="AL321" s="333">
        <v>30</v>
      </c>
    </row>
    <row r="322" spans="1:38" ht="19.5" thickBot="1" x14ac:dyDescent="0.35">
      <c r="A322" t="s">
        <v>1470</v>
      </c>
      <c r="B322" s="414">
        <v>1258700</v>
      </c>
      <c r="C322" s="433" t="s">
        <v>869</v>
      </c>
      <c r="D322" s="260" t="str">
        <f>+VLOOKUP(C322,'Conteo 24-02'!$A$8:$D$246,4,0)</f>
        <v>K7A</v>
      </c>
      <c r="E322" s="433"/>
      <c r="F322" s="327" t="s">
        <v>1307</v>
      </c>
      <c r="G322" s="260">
        <v>0</v>
      </c>
      <c r="H322" s="470"/>
      <c r="J322" s="718">
        <f>+O322/N322</f>
        <v>230</v>
      </c>
      <c r="K322" s="735">
        <f>+IFERROR(S322/V322,0)</f>
        <v>230</v>
      </c>
      <c r="M322" s="739">
        <f t="shared" si="136"/>
        <v>0</v>
      </c>
      <c r="N322" s="480">
        <f>+IFERROR(AC322*AI322,0)</f>
        <v>3000</v>
      </c>
      <c r="O322" s="343">
        <f t="shared" si="137"/>
        <v>690000</v>
      </c>
      <c r="P322" s="650"/>
      <c r="R322" s="397">
        <f>+IFERROR(SUMIFS('Stock CD'!D:D,C395,'Stock CD'!C:C),0)</f>
        <v>0</v>
      </c>
      <c r="S322" s="400">
        <f>+R322+O322</f>
        <v>690000</v>
      </c>
      <c r="U322" s="397">
        <f>+IFERROR(VLOOKUP(F322,'Stock CD'!A:I,10,0),0)</f>
        <v>0</v>
      </c>
      <c r="V322" s="400">
        <f>+U322+N322</f>
        <v>3000</v>
      </c>
      <c r="X322" s="444">
        <f>+SUMIFS('Conteo 24-02'!F:F,'Conteo 24-02'!$A:$A,$B322)</f>
        <v>3</v>
      </c>
      <c r="Y322" s="304">
        <f>+SUMIFS('Conteo 24-02'!G:G,'Conteo 24-02'!$A:$A,$B322)</f>
        <v>75</v>
      </c>
      <c r="Z322" s="507">
        <v>8000</v>
      </c>
      <c r="AB322" s="424" t="s">
        <v>1470</v>
      </c>
      <c r="AC322" s="409">
        <f>SUMIFS('Est Madre LK 10-25'!$C:$C,'Est Madre LK 10-25'!$E:$E,"100x35")+SUMIFS('Est Madre CH 10-25'!$C:$C,'Est Madre CH 10-25'!$E:$E,"100x35")+IFERROR(VLOOKUP(F322,'TN ETIQUETAS'!$A$2:$D$6,4,0),0)</f>
        <v>1000</v>
      </c>
      <c r="AD322" s="359">
        <f>20*1000</f>
        <v>20000</v>
      </c>
      <c r="AE322" s="359">
        <f>30*1000</f>
        <v>30000</v>
      </c>
      <c r="AF322" s="340">
        <v>7.15</v>
      </c>
      <c r="AG322" s="550"/>
      <c r="AI322" s="466">
        <v>3</v>
      </c>
      <c r="AK322" s="424">
        <v>70</v>
      </c>
      <c r="AL322" s="333">
        <v>30</v>
      </c>
    </row>
    <row r="323" spans="1:38" ht="19.5" thickBot="1" x14ac:dyDescent="0.35">
      <c r="A323" t="s">
        <v>1470</v>
      </c>
      <c r="B323" s="414">
        <v>1257700</v>
      </c>
      <c r="C323" s="433" t="s">
        <v>869</v>
      </c>
      <c r="D323" s="260" t="str">
        <f>+VLOOKUP(C323,'Conteo 24-02'!$A$8:$D$246,4,0)</f>
        <v>K7A</v>
      </c>
      <c r="E323" s="433"/>
      <c r="F323" s="327" t="s">
        <v>1314</v>
      </c>
      <c r="G323" s="260">
        <v>0</v>
      </c>
      <c r="H323" s="470"/>
      <c r="J323" s="718">
        <f>+O323/N323</f>
        <v>4</v>
      </c>
      <c r="K323" s="735">
        <f>+IFERROR(S323/V323,0)</f>
        <v>4</v>
      </c>
      <c r="M323" s="739">
        <f t="shared" si="136"/>
        <v>0</v>
      </c>
      <c r="N323" s="480">
        <f>+IFERROR(AC323*AI323,0)</f>
        <v>3000</v>
      </c>
      <c r="O323" s="343">
        <f t="shared" si="137"/>
        <v>12000</v>
      </c>
      <c r="P323" s="650"/>
      <c r="R323" s="397">
        <f>+IFERROR(SUMIFS('Stock CD'!D:D,C396,'Stock CD'!C:C),0)</f>
        <v>0</v>
      </c>
      <c r="S323" s="400">
        <f>+R323+O323</f>
        <v>12000</v>
      </c>
      <c r="U323" s="397">
        <f>+IFERROR(VLOOKUP(F323,'Stock CD'!A:I,10,0),0)</f>
        <v>0</v>
      </c>
      <c r="V323" s="400">
        <f>+U323+N323</f>
        <v>3000</v>
      </c>
      <c r="X323" s="444">
        <f>+SUMIFS('Conteo 24-02'!F:F,'Conteo 24-02'!$A:$A,$B323)</f>
        <v>1</v>
      </c>
      <c r="Y323" s="304">
        <f>+SUMIFS('Conteo 24-02'!G:G,'Conteo 24-02'!$A:$A,$B323)</f>
        <v>0</v>
      </c>
      <c r="Z323" s="507">
        <v>8000</v>
      </c>
      <c r="AB323" s="424" t="s">
        <v>1470</v>
      </c>
      <c r="AC323" s="409">
        <f>SUMIFS('Est Madre LK 10-25'!$C:$C,'Est Madre LK 10-25'!$E:$E,"100x65")+SUMIFS('Est Madre CH 10-25'!$C:$C,'Est Madre CH 10-25'!$E:$E,"100x65")+IFERROR(VLOOKUP(F323,'TN ETIQUETAS'!$A$2:$D$6,4,0),0)</f>
        <v>1000</v>
      </c>
      <c r="AD323" s="359">
        <f>+AE323*20</f>
        <v>240000</v>
      </c>
      <c r="AE323" s="359">
        <f>24*500</f>
        <v>12000</v>
      </c>
      <c r="AF323" s="340">
        <v>8.8000000000000007</v>
      </c>
      <c r="AG323" s="550"/>
      <c r="AI323" s="466">
        <v>3</v>
      </c>
      <c r="AK323" s="424">
        <v>70</v>
      </c>
      <c r="AL323" s="333">
        <v>30</v>
      </c>
    </row>
    <row r="324" spans="1:38" ht="19.5" thickBot="1" x14ac:dyDescent="0.35">
      <c r="A324" t="s">
        <v>1470</v>
      </c>
      <c r="B324" s="493">
        <v>1254700</v>
      </c>
      <c r="C324" s="443" t="s">
        <v>869</v>
      </c>
      <c r="D324" s="262" t="str">
        <f>+VLOOKUP(C324,'Conteo 24-02'!$A$8:$D$246,4,0)</f>
        <v>K7A</v>
      </c>
      <c r="E324" s="443"/>
      <c r="F324" s="355" t="s">
        <v>1315</v>
      </c>
      <c r="G324" s="262">
        <v>0</v>
      </c>
      <c r="H324" s="471"/>
      <c r="J324" s="719">
        <f>+O324/N324</f>
        <v>24</v>
      </c>
      <c r="K324" s="736">
        <f>+IFERROR(S324/V324,0)</f>
        <v>24</v>
      </c>
      <c r="M324" s="739">
        <f t="shared" si="136"/>
        <v>0</v>
      </c>
      <c r="N324" s="481">
        <f>+IFERROR(AC324*AI324,0)</f>
        <v>6000</v>
      </c>
      <c r="O324" s="345">
        <f t="shared" si="137"/>
        <v>144000</v>
      </c>
      <c r="P324" s="652"/>
      <c r="R324" s="398">
        <f>+IFERROR(SUMIFS('Stock CD'!D:D,C397,'Stock CD'!C:C),0)</f>
        <v>0</v>
      </c>
      <c r="S324" s="401">
        <f>+R324+O324</f>
        <v>144000</v>
      </c>
      <c r="U324" s="398">
        <f>+IFERROR(VLOOKUP(F324,'Stock CD'!A:I,10,0),0)</f>
        <v>0</v>
      </c>
      <c r="V324" s="401">
        <f>+U324+N324</f>
        <v>6000</v>
      </c>
      <c r="X324" s="445">
        <f>+SUMIFS('Conteo 24-02'!F:F,'Conteo 24-02'!$A:$A,$B324)</f>
        <v>0</v>
      </c>
      <c r="Y324" s="305">
        <f>+SUMIFS('Conteo 24-02'!G:G,'Conteo 24-02'!$A:$A,$B324)</f>
        <v>18</v>
      </c>
      <c r="Z324" s="508">
        <v>8000</v>
      </c>
      <c r="AB324" s="425" t="s">
        <v>1470</v>
      </c>
      <c r="AC324" s="423">
        <f>IFERROR(VLOOKUP(F324,'TN ETIQUETAS'!$A$2:$D$6,4,0),0)</f>
        <v>2000</v>
      </c>
      <c r="AD324" s="361">
        <f>10*AE324</f>
        <v>45000</v>
      </c>
      <c r="AE324" s="361">
        <f>10*450</f>
        <v>4500</v>
      </c>
      <c r="AF324" s="341">
        <v>15</v>
      </c>
      <c r="AG324" s="550"/>
      <c r="AI324" s="467">
        <v>3</v>
      </c>
      <c r="AK324" s="461">
        <v>70</v>
      </c>
      <c r="AL324" s="356">
        <v>30</v>
      </c>
    </row>
    <row r="325" spans="1:38" s="208" customFormat="1" ht="10.15" customHeight="1" x14ac:dyDescent="0.3">
      <c r="A325"/>
      <c r="B325" s="294"/>
      <c r="C325" s="368"/>
      <c r="D325"/>
      <c r="E325" s="368"/>
      <c r="F325" s="338"/>
      <c r="G325" s="646"/>
      <c r="H325" s="338"/>
      <c r="J325" s="338"/>
      <c r="K325" s="349"/>
      <c r="M325" s="380"/>
      <c r="N325" s="367"/>
      <c r="O325" s="342"/>
      <c r="P325" s="380"/>
      <c r="Q325" s="704"/>
      <c r="R325" s="349"/>
      <c r="S325" s="349"/>
      <c r="U325" s="349"/>
      <c r="V325" s="349"/>
      <c r="X325" s="368"/>
      <c r="Y325" s="338"/>
      <c r="Z325" s="368"/>
      <c r="AB325" s="299"/>
      <c r="AC325" s="292"/>
      <c r="AE325" s="127"/>
      <c r="AF325"/>
      <c r="AG325" s="292"/>
      <c r="AH325" s="127"/>
      <c r="AI325" s="299"/>
    </row>
    <row r="326" spans="1:38" s="208" customFormat="1" ht="29.25" thickBot="1" x14ac:dyDescent="0.35">
      <c r="A326"/>
      <c r="B326" s="294"/>
      <c r="C326" s="368"/>
      <c r="D326"/>
      <c r="E326" s="368"/>
      <c r="F326" s="451" t="s">
        <v>1492</v>
      </c>
      <c r="G326" s="494"/>
      <c r="H326" s="451"/>
      <c r="J326" s="338"/>
      <c r="K326" s="349"/>
      <c r="M326" s="380"/>
      <c r="N326" s="367"/>
      <c r="O326" s="342"/>
      <c r="P326" s="380"/>
      <c r="R326" s="349"/>
      <c r="S326" s="349"/>
      <c r="U326" s="349"/>
      <c r="V326" s="349"/>
      <c r="X326" s="368"/>
      <c r="Y326" s="338"/>
      <c r="Z326" s="368"/>
      <c r="AB326" s="299"/>
      <c r="AC326" s="292"/>
      <c r="AE326" s="127"/>
      <c r="AF326"/>
      <c r="AG326" s="292"/>
      <c r="AH326" s="127"/>
      <c r="AI326" s="299"/>
    </row>
    <row r="327" spans="1:38" s="208" customFormat="1" ht="29.25" thickBot="1" x14ac:dyDescent="0.35">
      <c r="A327"/>
      <c r="B327" s="294"/>
      <c r="C327" s="368"/>
      <c r="D327"/>
      <c r="E327" s="368"/>
      <c r="F327" s="449" t="s">
        <v>1471</v>
      </c>
      <c r="G327" s="496" t="s">
        <v>1493</v>
      </c>
      <c r="H327" s="450"/>
      <c r="J327" s="477"/>
      <c r="K327" s="349"/>
      <c r="M327" s="380"/>
      <c r="N327" s="367"/>
      <c r="O327" s="342"/>
      <c r="P327" s="380"/>
      <c r="Q327" s="711"/>
      <c r="R327" s="349"/>
      <c r="S327" s="349"/>
      <c r="U327" s="349"/>
      <c r="V327" s="349"/>
      <c r="X327" s="368"/>
      <c r="Y327" s="338"/>
      <c r="Z327" s="368"/>
      <c r="AB327" s="299"/>
      <c r="AC327" s="292"/>
      <c r="AE327" s="127"/>
      <c r="AF327"/>
      <c r="AG327" s="292"/>
      <c r="AH327" s="127"/>
      <c r="AI327" s="299"/>
    </row>
    <row r="328" spans="1:38" ht="54" customHeight="1" thickBot="1" x14ac:dyDescent="0.3">
      <c r="B328" s="310" t="s">
        <v>1293</v>
      </c>
      <c r="C328" s="446" t="s">
        <v>748</v>
      </c>
      <c r="D328" s="541" t="s">
        <v>1198</v>
      </c>
      <c r="E328" s="310" t="s">
        <v>1018</v>
      </c>
      <c r="F328" s="326" t="s">
        <v>1303</v>
      </c>
      <c r="G328" s="495" t="s">
        <v>1496</v>
      </c>
      <c r="H328" s="319" t="s">
        <v>1511</v>
      </c>
      <c r="J328" s="319" t="s">
        <v>1384</v>
      </c>
      <c r="K328" s="329" t="s">
        <v>1435</v>
      </c>
      <c r="M328" s="291" t="s">
        <v>1042</v>
      </c>
      <c r="N328" s="819" t="s">
        <v>1398</v>
      </c>
      <c r="O328" s="309" t="s">
        <v>1178</v>
      </c>
      <c r="P328" s="625" t="s">
        <v>1738</v>
      </c>
      <c r="R328" s="319" t="s">
        <v>1436</v>
      </c>
      <c r="S328" s="319" t="s">
        <v>1437</v>
      </c>
      <c r="U328" s="296" t="s">
        <v>1438</v>
      </c>
      <c r="V328" s="291" t="s">
        <v>1439</v>
      </c>
      <c r="X328" s="311" t="s">
        <v>1433</v>
      </c>
      <c r="Y328" s="319" t="s">
        <v>1456</v>
      </c>
      <c r="Z328" s="312" t="s">
        <v>857</v>
      </c>
      <c r="AB328" s="291" t="s">
        <v>1399</v>
      </c>
      <c r="AC328" s="291" t="s">
        <v>1411</v>
      </c>
      <c r="AD328" s="296" t="s">
        <v>1434</v>
      </c>
      <c r="AE328" s="291" t="s">
        <v>1417</v>
      </c>
      <c r="AF328" s="291" t="s">
        <v>1383</v>
      </c>
      <c r="AG328" s="315"/>
      <c r="AI328" s="319" t="s">
        <v>1509</v>
      </c>
      <c r="AK328" s="840" t="s">
        <v>746</v>
      </c>
      <c r="AL328" s="310" t="s">
        <v>1041</v>
      </c>
    </row>
    <row r="329" spans="1:38" ht="19.5" thickBot="1" x14ac:dyDescent="0.35">
      <c r="A329" t="s">
        <v>451</v>
      </c>
      <c r="B329" s="413">
        <v>1202700</v>
      </c>
      <c r="C329" s="432">
        <v>504</v>
      </c>
      <c r="D329" s="261" t="str">
        <f>+VLOOKUP(C329,'Conteo 24-02'!$A$8:$D$246,4,0)</f>
        <v>C3</v>
      </c>
      <c r="E329" s="321" t="s">
        <v>746</v>
      </c>
      <c r="F329" s="371" t="s">
        <v>1428</v>
      </c>
      <c r="G329" s="579">
        <v>10000</v>
      </c>
      <c r="H329" s="351"/>
      <c r="J329" s="717">
        <f>+O329/N329</f>
        <v>0.57175528873642079</v>
      </c>
      <c r="K329" s="734">
        <f>+IFERROR(S329/V329,0)</f>
        <v>0.57175528873642079</v>
      </c>
      <c r="M329" s="739">
        <f t="shared" ref="M329:M331" si="138">IF(N329-O329-P329&lt;0,0,N329-O329-P329)</f>
        <v>8988</v>
      </c>
      <c r="N329" s="479">
        <f>+AC329*3</f>
        <v>20988</v>
      </c>
      <c r="O329" s="344">
        <f>+(X329*Z329)+(Y329*AE329)</f>
        <v>12000</v>
      </c>
      <c r="P329" s="648"/>
      <c r="R329" s="396">
        <f>+IFERROR(SUMIFS('Stock CD'!D:D,C402,'Stock CD'!C:C),0)</f>
        <v>0</v>
      </c>
      <c r="S329" s="399">
        <f>+R329+O329</f>
        <v>12000</v>
      </c>
      <c r="U329" s="402">
        <f>+VLOOKUP(C329,'Stock CD'!B:I,8,0)</f>
        <v>0</v>
      </c>
      <c r="V329" s="403">
        <f>+U329+N329</f>
        <v>20988</v>
      </c>
      <c r="X329" s="626">
        <f>+SUMIFS('Conteo 24-02'!F:F,'Conteo 24-02'!$A:$A,$B329)</f>
        <v>0</v>
      </c>
      <c r="Y329" s="303">
        <f>+SUMIFS('Conteo 24-02'!G:G,'Conteo 24-02'!$A:$A,$B329)</f>
        <v>12</v>
      </c>
      <c r="Z329" s="524">
        <v>10000</v>
      </c>
      <c r="AB329" s="428" t="s">
        <v>1471</v>
      </c>
      <c r="AC329" s="409">
        <f>+IFERROR(VLOOKUP(C329,'Est Madre LK 10-25'!A:C,3,),VLOOKUP(C329,'Est Madre CH 10-25'!A:C,3,))</f>
        <v>6996</v>
      </c>
      <c r="AD329" s="359">
        <v>10000</v>
      </c>
      <c r="AE329" s="260">
        <v>1000</v>
      </c>
      <c r="AF329" s="419">
        <v>9.92</v>
      </c>
      <c r="AG329" s="550"/>
      <c r="AI329" s="465">
        <v>3</v>
      </c>
      <c r="AK329" s="393">
        <v>100</v>
      </c>
      <c r="AL329" s="331">
        <v>0</v>
      </c>
    </row>
    <row r="330" spans="1:38" ht="19.5" thickBot="1" x14ac:dyDescent="0.35">
      <c r="A330" t="s">
        <v>451</v>
      </c>
      <c r="B330" s="414">
        <v>1202701</v>
      </c>
      <c r="C330" s="433">
        <v>114</v>
      </c>
      <c r="D330" s="260" t="str">
        <f>+VLOOKUP(C330,'Conteo 24-02'!$A$8:$D$246,4,0)</f>
        <v>K4D</v>
      </c>
      <c r="E330" s="320" t="s">
        <v>746</v>
      </c>
      <c r="F330" s="369" t="s">
        <v>1608</v>
      </c>
      <c r="G330" s="499">
        <v>0</v>
      </c>
      <c r="H330" s="473"/>
      <c r="J330" s="718">
        <f>+O330/N330</f>
        <v>5.5555555555555554</v>
      </c>
      <c r="K330" s="735">
        <f>+IFERROR(S330/V330,0)</f>
        <v>5.5555555555555554</v>
      </c>
      <c r="M330" s="739">
        <f t="shared" si="138"/>
        <v>0</v>
      </c>
      <c r="N330" s="480">
        <f>+AC330*3</f>
        <v>1800</v>
      </c>
      <c r="O330" s="343">
        <f t="shared" ref="O330:O331" si="139">+(X330*Z330)+(Y330*AE330)</f>
        <v>10000</v>
      </c>
      <c r="P330" s="650"/>
      <c r="R330" s="397">
        <f>+IFERROR(SUMIFS('Stock CD'!D:D,C403,'Stock CD'!C:C),0)</f>
        <v>0</v>
      </c>
      <c r="S330" s="400">
        <f t="shared" ref="S330:S331" si="140">+R330+O330</f>
        <v>10000</v>
      </c>
      <c r="U330" s="402">
        <f>+VLOOKUP(C330,'Stock CD'!B:I,8,0)</f>
        <v>0</v>
      </c>
      <c r="V330" s="403">
        <f>+U330+N330</f>
        <v>1800</v>
      </c>
      <c r="X330" s="444">
        <f>+SUMIFS('Conteo 24-02'!F:F,'Conteo 24-02'!$A:$A,$B330)</f>
        <v>0</v>
      </c>
      <c r="Y330" s="304">
        <f>+SUMIFS('Conteo 24-02'!G:G,'Conteo 24-02'!$A:$A,$B330)</f>
        <v>10</v>
      </c>
      <c r="Z330" s="507">
        <v>10000</v>
      </c>
      <c r="AB330" s="428" t="s">
        <v>1471</v>
      </c>
      <c r="AC330" s="519">
        <v>600</v>
      </c>
      <c r="AD330" s="359">
        <v>10000</v>
      </c>
      <c r="AE330" s="260">
        <v>1000</v>
      </c>
      <c r="AF330" s="419">
        <v>9.92</v>
      </c>
      <c r="AG330" s="550"/>
      <c r="AI330" s="520">
        <v>3</v>
      </c>
      <c r="AK330" s="424">
        <v>100</v>
      </c>
      <c r="AL330" s="333">
        <v>0</v>
      </c>
    </row>
    <row r="331" spans="1:38" ht="19.5" thickBot="1" x14ac:dyDescent="0.35">
      <c r="A331" t="s">
        <v>451</v>
      </c>
      <c r="B331" s="493">
        <v>2302700</v>
      </c>
      <c r="C331" s="443">
        <v>97</v>
      </c>
      <c r="D331" s="262" t="str">
        <f>+VLOOKUP(C331,'Conteo 24-02'!$A$8:$D$246,4,0)</f>
        <v>S4A</v>
      </c>
      <c r="E331" s="322" t="s">
        <v>1041</v>
      </c>
      <c r="F331" s="355" t="s">
        <v>1429</v>
      </c>
      <c r="G331" s="262">
        <v>0</v>
      </c>
      <c r="H331" s="471"/>
      <c r="J331" s="719">
        <f>+O331/N331</f>
        <v>7.4074074074074074</v>
      </c>
      <c r="K331" s="736">
        <f>+IFERROR(S331/V331,0)</f>
        <v>7.4074074074074074</v>
      </c>
      <c r="M331" s="739">
        <f t="shared" si="138"/>
        <v>0</v>
      </c>
      <c r="N331" s="481">
        <v>1350</v>
      </c>
      <c r="O331" s="345">
        <f t="shared" si="139"/>
        <v>10000</v>
      </c>
      <c r="P331" s="652"/>
      <c r="R331" s="398">
        <f>+IFERROR(SUMIFS('Stock CD'!D:D,C403,'Stock CD'!C:C),0)</f>
        <v>0</v>
      </c>
      <c r="S331" s="401">
        <f t="shared" si="140"/>
        <v>10000</v>
      </c>
      <c r="U331" s="398">
        <f>+VLOOKUP(C331,'Stock CD'!B:I,8,0)</f>
        <v>0</v>
      </c>
      <c r="V331" s="401">
        <f>+U331+N331</f>
        <v>1350</v>
      </c>
      <c r="X331" s="445">
        <f>+SUMIFS('Conteo 24-02'!F:F,'Conteo 24-02'!$A:$A,$B331)</f>
        <v>1</v>
      </c>
      <c r="Y331" s="305">
        <f>+SUMIFS('Conteo 24-02'!G:G,'Conteo 24-02'!$A:$A,$B331)</f>
        <v>0</v>
      </c>
      <c r="Z331" s="508">
        <v>10000</v>
      </c>
      <c r="AB331" s="429" t="s">
        <v>1471</v>
      </c>
      <c r="AC331" s="423">
        <f>+IFERROR(VLOOKUP(C331,'Est Madre LK 10-25'!A:C,3,),VLOOKUP(C331,'Est Madre CH 10-25'!A:C,3,))</f>
        <v>840</v>
      </c>
      <c r="AD331" s="361">
        <v>10000</v>
      </c>
      <c r="AE331" s="262">
        <v>1000</v>
      </c>
      <c r="AF331" s="341">
        <v>9.92</v>
      </c>
      <c r="AG331" s="550"/>
      <c r="AI331" s="467">
        <v>3</v>
      </c>
      <c r="AK331" s="425">
        <v>0</v>
      </c>
      <c r="AL331" s="335">
        <v>100</v>
      </c>
    </row>
    <row r="332" spans="1:38" s="208" customFormat="1" ht="10.15" customHeight="1" x14ac:dyDescent="0.3">
      <c r="A332"/>
      <c r="B332" s="294"/>
      <c r="C332" s="368"/>
      <c r="D332"/>
      <c r="E332" s="368"/>
      <c r="F332" s="338"/>
      <c r="G332" s="646"/>
      <c r="H332" s="338"/>
      <c r="J332" s="338"/>
      <c r="K332" s="349"/>
      <c r="M332" s="380"/>
      <c r="N332" s="367"/>
      <c r="O332" s="342"/>
      <c r="P332" s="380"/>
      <c r="Q332" s="704"/>
      <c r="R332" s="349"/>
      <c r="S332" s="349"/>
      <c r="U332" s="349"/>
      <c r="V332" s="349"/>
      <c r="X332" s="368"/>
      <c r="Y332" s="338"/>
      <c r="Z332" s="368"/>
      <c r="AB332" s="299"/>
      <c r="AC332" s="292"/>
      <c r="AE332" s="127"/>
      <c r="AF332"/>
      <c r="AG332" s="292"/>
      <c r="AH332" s="127"/>
      <c r="AI332" s="299"/>
    </row>
    <row r="333" spans="1:38" s="208" customFormat="1" ht="29.25" thickBot="1" x14ac:dyDescent="0.35">
      <c r="A333"/>
      <c r="B333" s="294"/>
      <c r="C333" s="368"/>
      <c r="D333"/>
      <c r="E333" s="368"/>
      <c r="F333" s="451" t="s">
        <v>1492</v>
      </c>
      <c r="G333" s="494"/>
      <c r="H333" s="451"/>
      <c r="J333" s="338"/>
      <c r="K333" s="349"/>
      <c r="M333" s="380"/>
      <c r="N333" s="367"/>
      <c r="O333" s="342"/>
      <c r="P333" s="380"/>
      <c r="R333" s="349"/>
      <c r="S333" s="349"/>
      <c r="U333" s="349"/>
      <c r="V333" s="349"/>
      <c r="X333" s="368"/>
      <c r="Y333" s="338"/>
      <c r="Z333" s="368"/>
      <c r="AB333" s="299"/>
      <c r="AC333" s="292"/>
      <c r="AE333" s="127"/>
      <c r="AF333"/>
      <c r="AG333" s="292"/>
      <c r="AH333" s="127"/>
      <c r="AI333" s="299"/>
    </row>
    <row r="334" spans="1:38" s="208" customFormat="1" ht="29.25" thickBot="1" x14ac:dyDescent="0.35">
      <c r="A334"/>
      <c r="B334" s="294"/>
      <c r="C334" s="368"/>
      <c r="D334"/>
      <c r="E334" s="368"/>
      <c r="F334" s="449" t="s">
        <v>1469</v>
      </c>
      <c r="G334" s="496" t="s">
        <v>1493</v>
      </c>
      <c r="H334" s="450"/>
      <c r="J334" s="477"/>
      <c r="K334" s="349"/>
      <c r="M334" s="380"/>
      <c r="N334" s="367"/>
      <c r="O334" s="342"/>
      <c r="P334" s="380"/>
      <c r="Q334" s="711"/>
      <c r="R334" s="349"/>
      <c r="S334" s="349"/>
      <c r="U334" s="349"/>
      <c r="V334" s="349"/>
      <c r="X334" s="368"/>
      <c r="Y334" s="338"/>
      <c r="Z334" s="368"/>
      <c r="AB334" s="299"/>
      <c r="AC334" s="292"/>
      <c r="AE334" s="127"/>
      <c r="AF334"/>
      <c r="AG334" s="292"/>
      <c r="AH334" s="127"/>
      <c r="AI334" s="299"/>
    </row>
    <row r="335" spans="1:38" ht="56.25" customHeight="1" thickBot="1" x14ac:dyDescent="0.3">
      <c r="B335" s="310" t="s">
        <v>1293</v>
      </c>
      <c r="C335" s="310" t="s">
        <v>748</v>
      </c>
      <c r="D335" s="310" t="s">
        <v>1198</v>
      </c>
      <c r="E335" s="310" t="s">
        <v>1018</v>
      </c>
      <c r="F335" s="326" t="s">
        <v>1312</v>
      </c>
      <c r="G335" s="495" t="s">
        <v>1496</v>
      </c>
      <c r="H335" s="319" t="s">
        <v>1511</v>
      </c>
      <c r="J335" s="291" t="s">
        <v>1384</v>
      </c>
      <c r="K335" s="741" t="s">
        <v>1435</v>
      </c>
      <c r="M335" s="291" t="s">
        <v>1042</v>
      </c>
      <c r="N335" s="293" t="s">
        <v>1398</v>
      </c>
      <c r="O335" s="748" t="s">
        <v>1178</v>
      </c>
      <c r="P335" s="625" t="s">
        <v>1738</v>
      </c>
      <c r="R335" s="291" t="s">
        <v>1436</v>
      </c>
      <c r="S335" s="741" t="s">
        <v>1437</v>
      </c>
      <c r="U335" s="311" t="s">
        <v>1438</v>
      </c>
      <c r="V335" s="319" t="s">
        <v>1439</v>
      </c>
      <c r="X335" s="311" t="s">
        <v>1197</v>
      </c>
      <c r="Y335" s="319" t="s">
        <v>1456</v>
      </c>
      <c r="Z335" s="312" t="s">
        <v>1443</v>
      </c>
      <c r="AB335" s="291" t="s">
        <v>1399</v>
      </c>
      <c r="AC335" s="291" t="s">
        <v>1411</v>
      </c>
      <c r="AD335" s="296" t="s">
        <v>1386</v>
      </c>
      <c r="AE335" s="291" t="s">
        <v>1486</v>
      </c>
      <c r="AF335" s="291" t="s">
        <v>1383</v>
      </c>
      <c r="AG335" s="315"/>
      <c r="AI335" s="319" t="s">
        <v>1509</v>
      </c>
      <c r="AK335" s="840" t="s">
        <v>746</v>
      </c>
      <c r="AL335" s="310" t="s">
        <v>1041</v>
      </c>
    </row>
    <row r="336" spans="1:38" ht="18.600000000000001" customHeight="1" thickBot="1" x14ac:dyDescent="0.35">
      <c r="A336" t="s">
        <v>1469</v>
      </c>
      <c r="B336" s="462">
        <v>6010600</v>
      </c>
      <c r="C336" s="432">
        <v>535</v>
      </c>
      <c r="D336" s="261" t="s">
        <v>1626</v>
      </c>
      <c r="E336" s="321" t="s">
        <v>746</v>
      </c>
      <c r="F336" s="371" t="s">
        <v>1452</v>
      </c>
      <c r="G336" s="579">
        <v>3600</v>
      </c>
      <c r="H336" s="472"/>
      <c r="J336" s="724">
        <f t="shared" ref="J336:J341" si="141">+O336/N336</f>
        <v>0.25252525252525254</v>
      </c>
      <c r="K336" s="746">
        <f t="shared" ref="K336:K341" si="142">+IFERROR(S336/V336,0)</f>
        <v>0.25252525252525254</v>
      </c>
      <c r="M336" s="739">
        <f t="shared" ref="M336:M341" si="143">IF(N336-O336-P336&lt;0,0,N336-O336-P336)</f>
        <v>3552</v>
      </c>
      <c r="N336" s="475">
        <f t="shared" ref="N336:N341" si="144">+IFERROR(AC336*AI336,0)</f>
        <v>4752</v>
      </c>
      <c r="O336" s="364">
        <f>+X336*AE336</f>
        <v>1200</v>
      </c>
      <c r="P336" s="648"/>
      <c r="R336" s="404">
        <f>+IFERROR(SUMIFS('Stock CD'!D:D,C408,'Stock CD'!C:C),0)</f>
        <v>0</v>
      </c>
      <c r="S336" s="405">
        <f t="shared" ref="S336:S341" si="145">+R336+O336</f>
        <v>1200</v>
      </c>
      <c r="U336" s="404">
        <f>+VLOOKUP(C336,'Stock CD'!B:I,8,0)</f>
        <v>0</v>
      </c>
      <c r="V336" s="405">
        <f t="shared" ref="V336:V341" si="146">+U336+N336</f>
        <v>4752</v>
      </c>
      <c r="X336" s="626">
        <f>+SUMIFS('Conteo 24-02'!F:F,'Conteo 24-02'!$A:$A,$B336)</f>
        <v>6</v>
      </c>
      <c r="Y336" s="303">
        <f>+SUMIFS('Conteo 24-02'!G:G,'Conteo 24-02'!$A:$A,$B336)</f>
        <v>0</v>
      </c>
      <c r="Z336" s="820"/>
      <c r="AB336" s="393" t="s">
        <v>1469</v>
      </c>
      <c r="AC336" s="422">
        <f>+IFERROR(VLOOKUP(C336,'Est Madre LK 10-25'!A:C,3,),VLOOKUP(C336,'Est Madre CH 10-25'!A:C,3,))</f>
        <v>1584</v>
      </c>
      <c r="AD336" s="358"/>
      <c r="AE336" s="358">
        <v>200</v>
      </c>
      <c r="AF336" s="410">
        <v>460</v>
      </c>
      <c r="AG336" s="555"/>
      <c r="AI336" s="465">
        <v>3</v>
      </c>
      <c r="AK336" s="393">
        <v>100</v>
      </c>
      <c r="AL336" s="331">
        <v>0</v>
      </c>
    </row>
    <row r="337" spans="1:38" ht="18.600000000000001" customHeight="1" thickBot="1" x14ac:dyDescent="0.35">
      <c r="A337" t="s">
        <v>1469</v>
      </c>
      <c r="B337" s="463">
        <v>5154600</v>
      </c>
      <c r="C337" s="433">
        <v>307</v>
      </c>
      <c r="D337" s="260" t="s">
        <v>1625</v>
      </c>
      <c r="E337" s="320" t="s">
        <v>1041</v>
      </c>
      <c r="F337" s="369" t="s">
        <v>1453</v>
      </c>
      <c r="G337" s="499">
        <v>1200</v>
      </c>
      <c r="H337" s="473"/>
      <c r="J337" s="725">
        <f t="shared" si="141"/>
        <v>0</v>
      </c>
      <c r="K337" s="747">
        <f t="shared" si="142"/>
        <v>0</v>
      </c>
      <c r="M337" s="739">
        <f t="shared" si="143"/>
        <v>1080</v>
      </c>
      <c r="N337" s="476">
        <f t="shared" si="144"/>
        <v>1080</v>
      </c>
      <c r="O337" s="365">
        <f t="shared" ref="O337:O341" si="147">+X337*AE337</f>
        <v>0</v>
      </c>
      <c r="P337" s="650"/>
      <c r="R337" s="406">
        <f>+IFERROR(SUMIFS('Stock CD'!D:D,C409,'Stock CD'!C:C),0)</f>
        <v>0</v>
      </c>
      <c r="S337" s="407">
        <f t="shared" si="145"/>
        <v>0</v>
      </c>
      <c r="U337" s="406">
        <f>+VLOOKUP(C337,'Stock CD'!B:I,8,0)</f>
        <v>0</v>
      </c>
      <c r="V337" s="407">
        <f t="shared" si="146"/>
        <v>1080</v>
      </c>
      <c r="X337" s="444">
        <f>+SUMIFS('Conteo 24-02'!F:F,'Conteo 24-02'!$A:$A,$B337)</f>
        <v>0</v>
      </c>
      <c r="Y337" s="304">
        <f>+SUMIFS('Conteo 24-02'!G:G,'Conteo 24-02'!$A:$A,$B337)</f>
        <v>0</v>
      </c>
      <c r="Z337" s="507"/>
      <c r="AB337" s="424" t="s">
        <v>1469</v>
      </c>
      <c r="AC337" s="409">
        <f>+IFERROR(VLOOKUP(C337,'Est Madre LK 10-25'!A:C,3,),VLOOKUP(C337,'Est Madre CH 10-25'!A:C,3,))</f>
        <v>360</v>
      </c>
      <c r="AD337" s="359"/>
      <c r="AE337" s="359">
        <v>200</v>
      </c>
      <c r="AF337" s="411">
        <v>460</v>
      </c>
      <c r="AG337" s="555"/>
      <c r="AI337" s="466">
        <v>3</v>
      </c>
      <c r="AK337" s="424">
        <v>0</v>
      </c>
      <c r="AL337" s="333">
        <v>100</v>
      </c>
    </row>
    <row r="338" spans="1:38" ht="18.600000000000001" customHeight="1" thickBot="1" x14ac:dyDescent="0.35">
      <c r="A338" t="s">
        <v>1469</v>
      </c>
      <c r="B338" s="463">
        <v>6015600</v>
      </c>
      <c r="C338" s="433">
        <v>534</v>
      </c>
      <c r="D338" s="260" t="s">
        <v>1627</v>
      </c>
      <c r="E338" s="320" t="s">
        <v>746</v>
      </c>
      <c r="F338" s="369" t="s">
        <v>1483</v>
      </c>
      <c r="G338" s="499">
        <v>0</v>
      </c>
      <c r="H338" s="473"/>
      <c r="J338" s="725">
        <f t="shared" si="141"/>
        <v>1.8518518518518519</v>
      </c>
      <c r="K338" s="747">
        <f t="shared" si="142"/>
        <v>1.8518518518518519</v>
      </c>
      <c r="M338" s="739">
        <f t="shared" si="143"/>
        <v>0</v>
      </c>
      <c r="N338" s="476">
        <f t="shared" si="144"/>
        <v>432</v>
      </c>
      <c r="O338" s="365">
        <f t="shared" si="147"/>
        <v>800</v>
      </c>
      <c r="P338" s="650"/>
      <c r="R338" s="406">
        <f>+IFERROR(SUMIFS('Stock CD'!D:D,C410,'Stock CD'!C:C),0)</f>
        <v>0</v>
      </c>
      <c r="S338" s="407">
        <f t="shared" si="145"/>
        <v>800</v>
      </c>
      <c r="U338" s="406">
        <f>+VLOOKUP(C338,'Stock CD'!B:I,8,0)</f>
        <v>0</v>
      </c>
      <c r="V338" s="407">
        <f t="shared" si="146"/>
        <v>432</v>
      </c>
      <c r="X338" s="444">
        <f>+SUMIFS('Conteo 24-02'!F:F,'Conteo 24-02'!$A:$A,$B338)</f>
        <v>4</v>
      </c>
      <c r="Y338" s="304">
        <f>+SUMIFS('Conteo 24-02'!G:G,'Conteo 24-02'!$A:$A,$B338)</f>
        <v>0</v>
      </c>
      <c r="Z338" s="507"/>
      <c r="AB338" s="424" t="s">
        <v>1469</v>
      </c>
      <c r="AC338" s="409">
        <f>+IFERROR(VLOOKUP(C338,'Est Madre LK 10-25'!A:C,3,),VLOOKUP(C338,'Est Madre CH 10-25'!A:C,3,))</f>
        <v>144</v>
      </c>
      <c r="AD338" s="359"/>
      <c r="AE338" s="359">
        <v>200</v>
      </c>
      <c r="AF338" s="411">
        <v>490</v>
      </c>
      <c r="AG338" s="555"/>
      <c r="AI338" s="466">
        <v>3</v>
      </c>
      <c r="AK338" s="424">
        <v>100</v>
      </c>
      <c r="AL338" s="333">
        <v>0</v>
      </c>
    </row>
    <row r="339" spans="1:38" ht="18.600000000000001" customHeight="1" thickBot="1" x14ac:dyDescent="0.35">
      <c r="A339" t="s">
        <v>1469</v>
      </c>
      <c r="B339" s="463">
        <v>5157600</v>
      </c>
      <c r="C339" s="433">
        <v>52</v>
      </c>
      <c r="D339" s="260" t="s">
        <v>1628</v>
      </c>
      <c r="E339" s="320" t="s">
        <v>1041</v>
      </c>
      <c r="F339" s="369" t="s">
        <v>1484</v>
      </c>
      <c r="G339" s="499">
        <v>0</v>
      </c>
      <c r="H339" s="473"/>
      <c r="J339" s="725">
        <f t="shared" si="141"/>
        <v>0</v>
      </c>
      <c r="K339" s="747">
        <f t="shared" si="142"/>
        <v>0</v>
      </c>
      <c r="M339" s="739">
        <f t="shared" si="143"/>
        <v>72</v>
      </c>
      <c r="N339" s="476">
        <f t="shared" si="144"/>
        <v>72</v>
      </c>
      <c r="O339" s="365">
        <f t="shared" si="147"/>
        <v>0</v>
      </c>
      <c r="P339" s="650"/>
      <c r="R339" s="406">
        <f>+IFERROR(SUMIFS('Stock CD'!D:D,C411,'Stock CD'!C:C),0)</f>
        <v>0</v>
      </c>
      <c r="S339" s="407">
        <f t="shared" si="145"/>
        <v>0</v>
      </c>
      <c r="U339" s="406">
        <f>+VLOOKUP(C339,'Stock CD'!B:I,8,0)</f>
        <v>0</v>
      </c>
      <c r="V339" s="407">
        <f t="shared" si="146"/>
        <v>72</v>
      </c>
      <c r="X339" s="444">
        <f>+SUMIFS('Conteo 24-02'!F:F,'Conteo 24-02'!$A:$A,$B339)</f>
        <v>0</v>
      </c>
      <c r="Y339" s="304">
        <f>+SUMIFS('Conteo 24-02'!G:G,'Conteo 24-02'!$A:$A,$B339)</f>
        <v>0</v>
      </c>
      <c r="Z339" s="507"/>
      <c r="AB339" s="424" t="s">
        <v>1469</v>
      </c>
      <c r="AC339" s="409">
        <f>+IFERROR(VLOOKUP(C339,'Est Madre LK 10-25'!A:C,3,),VLOOKUP(C339,'Est Madre CH 10-25'!A:C,3,))</f>
        <v>24</v>
      </c>
      <c r="AD339" s="359"/>
      <c r="AE339" s="359">
        <v>200</v>
      </c>
      <c r="AF339" s="411">
        <v>490</v>
      </c>
      <c r="AG339" s="555"/>
      <c r="AI339" s="466">
        <v>3</v>
      </c>
      <c r="AK339" s="424">
        <v>0</v>
      </c>
      <c r="AL339" s="333">
        <v>100</v>
      </c>
    </row>
    <row r="340" spans="1:38" ht="18.75" customHeight="1" thickBot="1" x14ac:dyDescent="0.35">
      <c r="A340" t="s">
        <v>1469</v>
      </c>
      <c r="B340" s="463">
        <v>6005600</v>
      </c>
      <c r="C340" s="433">
        <v>555</v>
      </c>
      <c r="D340" s="260" t="s">
        <v>1630</v>
      </c>
      <c r="E340" s="320" t="s">
        <v>746</v>
      </c>
      <c r="F340" s="369" t="s">
        <v>1454</v>
      </c>
      <c r="G340" s="499">
        <v>5400</v>
      </c>
      <c r="H340" s="473"/>
      <c r="J340" s="725">
        <f t="shared" si="141"/>
        <v>0</v>
      </c>
      <c r="K340" s="747">
        <f t="shared" si="142"/>
        <v>0</v>
      </c>
      <c r="M340" s="739">
        <f t="shared" si="143"/>
        <v>5400</v>
      </c>
      <c r="N340" s="476">
        <f t="shared" si="144"/>
        <v>5400</v>
      </c>
      <c r="O340" s="365">
        <f t="shared" si="147"/>
        <v>0</v>
      </c>
      <c r="P340" s="650"/>
      <c r="R340" s="406">
        <f>+IFERROR(SUMIFS('Stock CD'!D:D,C412,'Stock CD'!C:C),0)</f>
        <v>0</v>
      </c>
      <c r="S340" s="407">
        <f t="shared" si="145"/>
        <v>0</v>
      </c>
      <c r="U340" s="406">
        <f>+VLOOKUP(C340,'Stock CD'!B:I,8,0)</f>
        <v>0</v>
      </c>
      <c r="V340" s="407">
        <f t="shared" si="146"/>
        <v>5400</v>
      </c>
      <c r="X340" s="444">
        <f>+SUMIFS('Conteo 24-02'!F:F,'Conteo 24-02'!$A:$A,$B340)</f>
        <v>0</v>
      </c>
      <c r="Y340" s="304">
        <f>+SUMIFS('Conteo 24-02'!G:G,'Conteo 24-02'!$A:$A,$B340)</f>
        <v>0</v>
      </c>
      <c r="Z340" s="507"/>
      <c r="AB340" s="424" t="s">
        <v>1469</v>
      </c>
      <c r="AC340" s="409">
        <f>+IFERROR(VLOOKUP(C340,'Est Madre LK 10-25'!A:C,3,),VLOOKUP(C340,'Est Madre CH 10-25'!A:C,3,))</f>
        <v>1800</v>
      </c>
      <c r="AD340" s="359"/>
      <c r="AE340" s="359">
        <v>2000</v>
      </c>
      <c r="AF340" s="411">
        <v>220</v>
      </c>
      <c r="AG340" s="555"/>
      <c r="AI340" s="466">
        <v>3</v>
      </c>
      <c r="AK340" s="424">
        <v>100</v>
      </c>
      <c r="AL340" s="333">
        <v>0</v>
      </c>
    </row>
    <row r="341" spans="1:38" ht="19.7" customHeight="1" thickBot="1" x14ac:dyDescent="0.35">
      <c r="A341" t="s">
        <v>1469</v>
      </c>
      <c r="B341" s="464">
        <v>5150600</v>
      </c>
      <c r="C341" s="443">
        <v>764</v>
      </c>
      <c r="D341" s="262" t="s">
        <v>1629</v>
      </c>
      <c r="E341" s="322" t="s">
        <v>1041</v>
      </c>
      <c r="F341" s="370" t="s">
        <v>1455</v>
      </c>
      <c r="G341" s="580">
        <v>1600</v>
      </c>
      <c r="H341" s="474"/>
      <c r="J341" s="723">
        <f t="shared" si="141"/>
        <v>0</v>
      </c>
      <c r="K341" s="742">
        <f t="shared" si="142"/>
        <v>0</v>
      </c>
      <c r="M341" s="739">
        <f t="shared" si="143"/>
        <v>1512</v>
      </c>
      <c r="N341" s="743">
        <f t="shared" si="144"/>
        <v>1512</v>
      </c>
      <c r="O341" s="744">
        <f t="shared" si="147"/>
        <v>0</v>
      </c>
      <c r="P341" s="652"/>
      <c r="R341" s="754">
        <f>+IFERROR(SUMIFS('Stock CD'!D:D,C413,'Stock CD'!C:C),0)</f>
        <v>0</v>
      </c>
      <c r="S341" s="408">
        <f t="shared" si="145"/>
        <v>0</v>
      </c>
      <c r="U341" s="754">
        <f>+VLOOKUP(C341,'Stock CD'!B:I,8,0)</f>
        <v>0</v>
      </c>
      <c r="V341" s="408">
        <f t="shared" si="146"/>
        <v>1512</v>
      </c>
      <c r="X341" s="445">
        <f>+SUMIFS('Conteo 24-02'!F:F,'Conteo 24-02'!$A:$A,$B341)</f>
        <v>0</v>
      </c>
      <c r="Y341" s="305">
        <f>+SUMIFS('Conteo 24-02'!G:G,'Conteo 24-02'!$A:$A,$B341)</f>
        <v>0</v>
      </c>
      <c r="Z341" s="508"/>
      <c r="AB341" s="425" t="s">
        <v>1469</v>
      </c>
      <c r="AC341" s="423">
        <f>+IFERROR(VLOOKUP(C341,'Est Madre LK 10-25'!A:C,3,),VLOOKUP(C341,'Est Madre CH 10-25'!A:C,3,))</f>
        <v>504</v>
      </c>
      <c r="AD341" s="361"/>
      <c r="AE341" s="361">
        <v>1500</v>
      </c>
      <c r="AF341" s="412">
        <v>220</v>
      </c>
      <c r="AG341" s="555"/>
      <c r="AI341" s="467">
        <v>3</v>
      </c>
      <c r="AK341" s="425">
        <v>0</v>
      </c>
      <c r="AL341" s="335">
        <v>100</v>
      </c>
    </row>
    <row r="342" spans="1:38" x14ac:dyDescent="0.3">
      <c r="C342" s="292"/>
      <c r="F342"/>
      <c r="H342"/>
      <c r="J342"/>
      <c r="N342" s="292"/>
      <c r="O342"/>
      <c r="Q342" s="627"/>
      <c r="X342" s="292"/>
      <c r="Y342"/>
      <c r="Z342" s="292"/>
    </row>
    <row r="343" spans="1:38" ht="19.5" thickBot="1" x14ac:dyDescent="0.35">
      <c r="C343" s="292"/>
      <c r="F343"/>
      <c r="H343"/>
      <c r="J343" s="705"/>
      <c r="K343" s="712"/>
      <c r="M343" s="716"/>
      <c r="N343" s="712"/>
      <c r="O343" s="705"/>
      <c r="P343" s="716"/>
      <c r="Q343" s="705"/>
      <c r="R343" s="712"/>
      <c r="S343" s="712"/>
      <c r="X343" s="292"/>
      <c r="Y343"/>
      <c r="Z343" s="292"/>
    </row>
    <row r="344" spans="1:38" ht="34.5" thickBot="1" x14ac:dyDescent="0.55000000000000004">
      <c r="C344" s="366" t="s">
        <v>1419</v>
      </c>
      <c r="E344" s="360"/>
      <c r="F344" s="360"/>
      <c r="G344" s="733"/>
      <c r="H344" s="491"/>
      <c r="J344" s="690"/>
      <c r="K344" s="691"/>
      <c r="M344" s="692"/>
      <c r="N344" s="690"/>
      <c r="O344" s="691"/>
      <c r="P344" s="692"/>
      <c r="R344" s="691"/>
      <c r="S344" s="691"/>
      <c r="U344" s="362"/>
      <c r="V344" s="362"/>
      <c r="X344" s="360"/>
      <c r="Y344" s="362"/>
      <c r="Z344" s="360"/>
      <c r="AB344" s="426"/>
      <c r="AC344" s="360"/>
      <c r="AD344" s="360"/>
      <c r="AE344" s="360"/>
      <c r="AF344" s="362"/>
      <c r="AG344" s="360"/>
      <c r="AH344" s="363"/>
    </row>
    <row r="345" spans="1:38" ht="19.5" thickBot="1" x14ac:dyDescent="0.35">
      <c r="C345" s="292"/>
      <c r="F345"/>
      <c r="H345"/>
      <c r="J345"/>
      <c r="N345" s="292"/>
      <c r="O345"/>
      <c r="X345" s="292"/>
      <c r="Y345"/>
      <c r="Z345" s="292"/>
    </row>
    <row r="346" spans="1:38" ht="54.6" customHeight="1" x14ac:dyDescent="0.3">
      <c r="B346" s="310" t="s">
        <v>1293</v>
      </c>
      <c r="C346" s="310" t="s">
        <v>748</v>
      </c>
      <c r="E346" s="310" t="s">
        <v>1018</v>
      </c>
      <c r="F346" s="326" t="s">
        <v>1418</v>
      </c>
      <c r="G346" s="326"/>
      <c r="H346" s="337"/>
      <c r="J346" s="653"/>
      <c r="K346" s="294"/>
      <c r="M346" s="329" t="s">
        <v>1042</v>
      </c>
      <c r="N346" s="312" t="s">
        <v>1395</v>
      </c>
      <c r="O346" s="309" t="s">
        <v>1178</v>
      </c>
      <c r="P346" s="319"/>
      <c r="R346" s="294"/>
      <c r="S346" s="294"/>
      <c r="U346" s="294"/>
      <c r="V346" s="294"/>
      <c r="X346" s="311" t="s">
        <v>1197</v>
      </c>
      <c r="Y346" s="311" t="s">
        <v>1196</v>
      </c>
      <c r="Z346" s="312" t="s">
        <v>857</v>
      </c>
      <c r="AC346" s="319" t="s">
        <v>1411</v>
      </c>
      <c r="AD346" s="312" t="s">
        <v>1386</v>
      </c>
      <c r="AE346" s="319" t="s">
        <v>1212</v>
      </c>
      <c r="AF346" s="319" t="s">
        <v>1383</v>
      </c>
      <c r="AG346" s="319"/>
      <c r="AH346" s="319" t="s">
        <v>1412</v>
      </c>
    </row>
    <row r="347" spans="1:38" ht="18" customHeight="1" thickBot="1" x14ac:dyDescent="0.35">
      <c r="B347" s="294"/>
      <c r="C347" s="294">
        <v>556</v>
      </c>
      <c r="E347" s="322" t="s">
        <v>746</v>
      </c>
      <c r="F347" s="308" t="s">
        <v>818</v>
      </c>
      <c r="G347" s="127"/>
      <c r="H347" s="308"/>
      <c r="J347" s="452"/>
      <c r="K347" s="500"/>
      <c r="M347" s="611"/>
      <c r="N347" s="379"/>
      <c r="O347" s="336"/>
      <c r="P347" s="611"/>
      <c r="R347" s="501"/>
      <c r="S347" s="454"/>
      <c r="U347" s="501"/>
      <c r="V347" s="501"/>
      <c r="X347" s="307"/>
      <c r="Y347" s="314"/>
      <c r="Z347" s="384"/>
      <c r="AC347" s="382"/>
      <c r="AD347" s="384"/>
      <c r="AE347" s="127"/>
      <c r="AF347" s="348"/>
      <c r="AG347" s="550"/>
      <c r="AH347" s="127"/>
    </row>
    <row r="348" spans="1:38" ht="18" customHeight="1" thickBot="1" x14ac:dyDescent="0.35">
      <c r="B348" s="294"/>
      <c r="C348" s="294">
        <v>553</v>
      </c>
      <c r="E348" s="322" t="s">
        <v>746</v>
      </c>
      <c r="F348" s="308" t="s">
        <v>1526</v>
      </c>
      <c r="G348" s="127"/>
      <c r="H348" s="308"/>
      <c r="J348" s="452"/>
      <c r="K348" s="500"/>
      <c r="M348" s="611"/>
      <c r="N348" s="379"/>
      <c r="O348" s="336"/>
      <c r="P348" s="611"/>
      <c r="R348" s="501"/>
      <c r="S348" s="454"/>
      <c r="U348" s="501"/>
      <c r="V348" s="501"/>
      <c r="X348" s="307"/>
      <c r="Y348" s="314"/>
      <c r="Z348" s="384"/>
      <c r="AC348" s="382"/>
      <c r="AD348" s="384"/>
      <c r="AE348" s="127"/>
      <c r="AF348" s="348"/>
      <c r="AG348" s="550"/>
      <c r="AH348" s="127"/>
    </row>
    <row r="349" spans="1:38" ht="18" customHeight="1" thickBot="1" x14ac:dyDescent="0.35">
      <c r="B349" s="294"/>
      <c r="C349" s="294">
        <v>573</v>
      </c>
      <c r="E349" s="322" t="s">
        <v>746</v>
      </c>
      <c r="F349" s="308" t="s">
        <v>1527</v>
      </c>
      <c r="G349" s="127"/>
      <c r="H349" s="308"/>
      <c r="J349" s="452"/>
      <c r="K349" s="500"/>
      <c r="M349" s="611"/>
      <c r="N349" s="379"/>
      <c r="O349" s="336"/>
      <c r="P349" s="611"/>
      <c r="R349" s="501"/>
      <c r="S349" s="454"/>
      <c r="U349" s="501"/>
      <c r="V349" s="501"/>
      <c r="X349" s="307"/>
      <c r="Y349" s="314"/>
      <c r="Z349" s="384"/>
      <c r="AC349" s="382"/>
      <c r="AD349" s="384"/>
      <c r="AE349" s="127"/>
      <c r="AF349" s="348"/>
      <c r="AG349" s="550"/>
      <c r="AH349" s="127"/>
    </row>
    <row r="350" spans="1:38" ht="18" customHeight="1" thickBot="1" x14ac:dyDescent="0.35">
      <c r="B350" s="294"/>
      <c r="C350" s="294">
        <v>563</v>
      </c>
      <c r="E350" s="322" t="s">
        <v>746</v>
      </c>
      <c r="F350" s="308" t="s">
        <v>1528</v>
      </c>
      <c r="G350" s="127"/>
      <c r="H350" s="308"/>
      <c r="J350" s="452"/>
      <c r="K350" s="500"/>
      <c r="M350" s="611"/>
      <c r="N350" s="379"/>
      <c r="O350" s="336"/>
      <c r="P350" s="611"/>
      <c r="R350" s="501"/>
      <c r="S350" s="454"/>
      <c r="U350" s="501"/>
      <c r="V350" s="501"/>
      <c r="X350" s="307"/>
      <c r="Y350" s="314"/>
      <c r="Z350" s="384"/>
      <c r="AC350" s="382"/>
      <c r="AD350" s="384"/>
      <c r="AE350" s="127"/>
      <c r="AF350" s="348"/>
      <c r="AG350" s="550"/>
      <c r="AH350" s="127"/>
    </row>
    <row r="351" spans="1:38" ht="18" customHeight="1" x14ac:dyDescent="0.3">
      <c r="B351" s="294"/>
      <c r="C351" s="302">
        <v>398</v>
      </c>
      <c r="E351" s="320" t="s">
        <v>746</v>
      </c>
      <c r="F351" s="327" t="s">
        <v>1524</v>
      </c>
      <c r="G351" s="260"/>
      <c r="H351" s="635"/>
      <c r="J351" s="638">
        <f>+IFERROR(O351/N351,0)</f>
        <v>0</v>
      </c>
      <c r="K351" s="665">
        <f>+IFERROR(S351/V351,0)</f>
        <v>0</v>
      </c>
      <c r="M351" s="673">
        <f>IF(N351-O351&lt;0,0,N351-O351)</f>
        <v>0</v>
      </c>
      <c r="N351" s="377">
        <f>+IFERROR(AC351*AI351,0)</f>
        <v>0</v>
      </c>
      <c r="O351" s="343">
        <f>+(X351*Z351)+Y351</f>
        <v>0</v>
      </c>
      <c r="P351" s="615"/>
      <c r="R351" s="502">
        <f>+IFERROR(SUMIF('Stock CD'!#REF!,'Pedido VACIO'!#REF!,'Stock CD'!D:D),0)</f>
        <v>0</v>
      </c>
      <c r="S351" s="661">
        <f>+R351+O351</f>
        <v>0</v>
      </c>
      <c r="U351" s="670" t="e">
        <f>+VLOOKUP(C351,'Stock CD'!B:I,8,0)</f>
        <v>#N/A</v>
      </c>
      <c r="V351" s="502" t="e">
        <f>+U351+N351</f>
        <v>#N/A</v>
      </c>
      <c r="X351" s="304"/>
      <c r="Y351" s="306"/>
      <c r="Z351" s="359"/>
      <c r="AB351" s="424" t="s">
        <v>1466</v>
      </c>
      <c r="AC351" s="409"/>
      <c r="AD351" s="359"/>
      <c r="AE351" s="260"/>
      <c r="AF351" s="323"/>
      <c r="AG351" s="552"/>
      <c r="AH351" s="260"/>
      <c r="AI351" s="320">
        <v>3</v>
      </c>
    </row>
    <row r="352" spans="1:38" ht="18" customHeight="1" x14ac:dyDescent="0.3">
      <c r="B352" s="294"/>
      <c r="C352" s="302">
        <v>399</v>
      </c>
      <c r="E352" s="320" t="s">
        <v>746</v>
      </c>
      <c r="F352" s="327" t="s">
        <v>1525</v>
      </c>
      <c r="G352" s="260"/>
      <c r="H352" s="635"/>
      <c r="J352" s="638">
        <f>+IFERROR(O352/N352,0)</f>
        <v>0</v>
      </c>
      <c r="K352" s="665">
        <f>+IFERROR(S352/V352,0)</f>
        <v>0</v>
      </c>
      <c r="M352" s="673">
        <f>IF(N352-O352&lt;0,0,N352-O352)</f>
        <v>0</v>
      </c>
      <c r="N352" s="377">
        <f>+IFERROR(AC352*AI352,0)</f>
        <v>0</v>
      </c>
      <c r="O352" s="343">
        <f>+(X352*Z352)+Y352</f>
        <v>0</v>
      </c>
      <c r="P352" s="615"/>
      <c r="R352" s="502">
        <f>+IFERROR(SUMIF('Stock CD'!#REF!,'Pedido VACIO'!#REF!,'Stock CD'!D:D),0)</f>
        <v>0</v>
      </c>
      <c r="S352" s="661">
        <f>+R352+O352</f>
        <v>0</v>
      </c>
      <c r="U352" s="670" t="e">
        <f>+VLOOKUP(C352,'Stock CD'!B:I,8,0)</f>
        <v>#N/A</v>
      </c>
      <c r="V352" s="502" t="e">
        <f>+U352+N352</f>
        <v>#N/A</v>
      </c>
      <c r="X352" s="304"/>
      <c r="Y352" s="306"/>
      <c r="Z352" s="359"/>
      <c r="AB352" s="424" t="s">
        <v>1466</v>
      </c>
      <c r="AC352" s="409"/>
      <c r="AD352" s="359"/>
      <c r="AE352" s="260"/>
      <c r="AF352" s="323"/>
      <c r="AG352" s="552"/>
      <c r="AH352" s="260"/>
      <c r="AI352" s="320">
        <v>3</v>
      </c>
    </row>
    <row r="353" spans="1:36" ht="18" customHeight="1" x14ac:dyDescent="0.3">
      <c r="B353" s="294"/>
      <c r="C353" s="302">
        <v>400</v>
      </c>
      <c r="E353" s="320" t="s">
        <v>746</v>
      </c>
      <c r="F353" s="327" t="s">
        <v>1514</v>
      </c>
      <c r="G353" s="260"/>
      <c r="H353" s="635"/>
      <c r="J353" s="638">
        <f>+IFERROR(O353/N353,0)</f>
        <v>0</v>
      </c>
      <c r="K353" s="665">
        <f>+IFERROR(S353/V353,0)</f>
        <v>0</v>
      </c>
      <c r="M353" s="673">
        <f>IF(N353-O353&lt;0,0,N353-O353)</f>
        <v>0</v>
      </c>
      <c r="N353" s="377">
        <f>+IFERROR(AC353*AI353,0)</f>
        <v>0</v>
      </c>
      <c r="O353" s="343">
        <f>+(X353*Z353)+Y353</f>
        <v>0</v>
      </c>
      <c r="P353" s="615"/>
      <c r="R353" s="502">
        <f>+IFERROR(SUMIF('Stock CD'!#REF!,'Pedido VACIO'!#REF!,'Stock CD'!D:D),0)</f>
        <v>0</v>
      </c>
      <c r="S353" s="661">
        <f>+R353+O353</f>
        <v>0</v>
      </c>
      <c r="U353" s="670" t="e">
        <f>+VLOOKUP(C353,'Stock CD'!B:I,8,0)</f>
        <v>#N/A</v>
      </c>
      <c r="V353" s="502" t="e">
        <f>+U353+N353</f>
        <v>#N/A</v>
      </c>
      <c r="X353" s="304"/>
      <c r="Y353" s="306"/>
      <c r="Z353" s="359"/>
      <c r="AB353" s="424" t="s">
        <v>1466</v>
      </c>
      <c r="AC353" s="409"/>
      <c r="AD353" s="359"/>
      <c r="AE353" s="260"/>
      <c r="AF353" s="323"/>
      <c r="AG353" s="552"/>
      <c r="AH353" s="260"/>
      <c r="AI353" s="320">
        <v>3</v>
      </c>
    </row>
    <row r="354" spans="1:36" s="208" customFormat="1" ht="16.149999999999999" customHeight="1" x14ac:dyDescent="0.3">
      <c r="A354"/>
      <c r="B354" s="302"/>
      <c r="C354" s="433">
        <v>59</v>
      </c>
      <c r="D354"/>
      <c r="E354" s="320" t="s">
        <v>1041</v>
      </c>
      <c r="F354" s="327" t="s">
        <v>556</v>
      </c>
      <c r="G354" s="260"/>
      <c r="H354" s="308"/>
      <c r="J354" s="675"/>
      <c r="K354" s="313"/>
      <c r="M354" s="673" t="e">
        <f>IF(N354-O354&lt;0,0,N354-O354)</f>
        <v>#REF!</v>
      </c>
      <c r="N354" s="359" t="e">
        <f>+AC354*#REF!</f>
        <v>#REF!</v>
      </c>
      <c r="O354" s="301">
        <f>+(X354*Z354)+Y354</f>
        <v>0</v>
      </c>
      <c r="P354" s="615"/>
      <c r="R354" s="313"/>
      <c r="S354" s="313"/>
      <c r="U354" s="313"/>
      <c r="V354" s="313"/>
      <c r="X354" s="304"/>
      <c r="Y354" s="306"/>
      <c r="Z354" s="359"/>
      <c r="AB354" s="299"/>
      <c r="AC354" s="383"/>
      <c r="AD354" s="350"/>
      <c r="AE354" s="260"/>
      <c r="AF354" s="23"/>
      <c r="AG354" s="556"/>
      <c r="AH354" s="352"/>
      <c r="AI354" s="299"/>
    </row>
    <row r="355" spans="1:36" s="208" customFormat="1" ht="16.149999999999999" customHeight="1" x14ac:dyDescent="0.3">
      <c r="A355"/>
      <c r="B355" s="302"/>
      <c r="C355" s="433">
        <v>824</v>
      </c>
      <c r="D355"/>
      <c r="E355" s="320" t="s">
        <v>1041</v>
      </c>
      <c r="F355" s="327" t="s">
        <v>1133</v>
      </c>
      <c r="G355" s="260"/>
      <c r="H355" s="308"/>
      <c r="J355" s="675"/>
      <c r="K355" s="313"/>
      <c r="M355" s="673"/>
      <c r="N355" s="359"/>
      <c r="O355" s="301"/>
      <c r="P355" s="615"/>
      <c r="R355" s="313"/>
      <c r="S355" s="313"/>
      <c r="U355" s="313"/>
      <c r="V355" s="313"/>
      <c r="X355" s="304"/>
      <c r="Y355" s="306"/>
      <c r="Z355" s="359"/>
      <c r="AB355" s="299"/>
      <c r="AC355" s="383"/>
      <c r="AD355" s="350"/>
      <c r="AE355" s="260">
        <v>25</v>
      </c>
      <c r="AF355" s="23"/>
      <c r="AG355" s="556"/>
      <c r="AH355" s="352" t="s">
        <v>1214</v>
      </c>
      <c r="AI355" s="299"/>
    </row>
    <row r="356" spans="1:36" s="208" customFormat="1" ht="16.149999999999999" customHeight="1" x14ac:dyDescent="0.3">
      <c r="A356"/>
      <c r="B356" s="302"/>
      <c r="C356" s="433">
        <v>825</v>
      </c>
      <c r="D356"/>
      <c r="E356" s="320" t="s">
        <v>1041</v>
      </c>
      <c r="F356" s="369" t="s">
        <v>1134</v>
      </c>
      <c r="G356" s="260"/>
      <c r="H356" s="447"/>
      <c r="J356" s="676"/>
      <c r="K356" s="313"/>
      <c r="M356" s="673"/>
      <c r="N356" s="359"/>
      <c r="O356" s="301"/>
      <c r="P356" s="615"/>
      <c r="R356" s="313"/>
      <c r="S356" s="313"/>
      <c r="U356" s="313"/>
      <c r="V356" s="313"/>
      <c r="X356" s="304"/>
      <c r="Y356" s="374"/>
      <c r="Z356" s="359"/>
      <c r="AB356" s="299"/>
      <c r="AC356" s="383"/>
      <c r="AD356" s="350"/>
      <c r="AE356" s="260">
        <v>25</v>
      </c>
      <c r="AF356" s="23"/>
      <c r="AG356" s="556"/>
      <c r="AH356" s="352" t="s">
        <v>1214</v>
      </c>
      <c r="AI356" s="299"/>
    </row>
    <row r="357" spans="1:36" ht="18" customHeight="1" x14ac:dyDescent="0.3">
      <c r="B357" s="414">
        <v>1206700</v>
      </c>
      <c r="C357" s="433">
        <v>396</v>
      </c>
      <c r="E357" s="320" t="s">
        <v>746</v>
      </c>
      <c r="F357" s="327" t="s">
        <v>1192</v>
      </c>
      <c r="G357" s="260"/>
      <c r="H357" s="308"/>
      <c r="J357" s="638">
        <f t="shared" ref="J357:J366" si="148">+IFERROR(O357/N357,0)</f>
        <v>0</v>
      </c>
      <c r="K357" s="668">
        <f t="shared" ref="K357:K362" si="149">+IFERROR(S357/V357,0)</f>
        <v>0</v>
      </c>
      <c r="M357" s="650" t="e">
        <f>IF(N357-O357-#REF!&lt;0,0,N357-O357-#REF!)</f>
        <v>#REF!</v>
      </c>
      <c r="N357" s="377">
        <f>+IFERROR(AC357*#REF!,0)</f>
        <v>0</v>
      </c>
      <c r="O357" s="343">
        <f t="shared" ref="O357:O362" si="150">+(X357*Z357)+Y357</f>
        <v>0</v>
      </c>
      <c r="P357" s="642"/>
      <c r="R357" s="395">
        <f>+IFERROR(SUMIF('Stock CD'!#REF!,'Pedido VACIO'!#REF!,'Stock CD'!D:D),0)</f>
        <v>0</v>
      </c>
      <c r="S357" s="661">
        <f t="shared" ref="S357:S366" si="151">+R357+O357</f>
        <v>0</v>
      </c>
      <c r="U357" s="669">
        <f>+VLOOKUP(C357,'Stock CD'!B:I,8,0)</f>
        <v>0</v>
      </c>
      <c r="V357" s="400">
        <f t="shared" ref="V357:V366" si="152">+U357+N357</f>
        <v>0</v>
      </c>
      <c r="X357" s="304"/>
      <c r="Y357" s="304"/>
      <c r="Z357" s="359">
        <v>1000</v>
      </c>
      <c r="AB357" s="424" t="s">
        <v>1466</v>
      </c>
      <c r="AC357" s="409"/>
      <c r="AD357" s="359">
        <v>12000</v>
      </c>
      <c r="AE357" s="260">
        <v>12</v>
      </c>
      <c r="AF357" s="323">
        <v>68.570279999999997</v>
      </c>
      <c r="AG357" s="557"/>
      <c r="AH357" s="352" t="s">
        <v>1213</v>
      </c>
      <c r="AI357" s="299">
        <v>3</v>
      </c>
    </row>
    <row r="358" spans="1:36" ht="18" customHeight="1" x14ac:dyDescent="0.3">
      <c r="B358" s="414">
        <v>2315700</v>
      </c>
      <c r="C358" s="433">
        <v>710</v>
      </c>
      <c r="E358" s="320" t="s">
        <v>1041</v>
      </c>
      <c r="F358" s="327" t="s">
        <v>1192</v>
      </c>
      <c r="G358" s="260"/>
      <c r="H358" s="308"/>
      <c r="J358" s="638">
        <f t="shared" si="148"/>
        <v>0</v>
      </c>
      <c r="K358" s="668">
        <f t="shared" si="149"/>
        <v>0</v>
      </c>
      <c r="M358" s="650" t="e">
        <f>IF(N358-O358-#REF!&lt;0,0,N358-O358-#REF!)</f>
        <v>#REF!</v>
      </c>
      <c r="N358" s="377">
        <f>+IFERROR(AC358*#REF!,0)</f>
        <v>0</v>
      </c>
      <c r="O358" s="343">
        <f t="shared" si="150"/>
        <v>0</v>
      </c>
      <c r="P358" s="642"/>
      <c r="R358" s="395">
        <f>+IFERROR(SUMIF('Stock CD'!#REF!,'Pedido VACIO'!#REF!,'Stock CD'!D:D),0)</f>
        <v>0</v>
      </c>
      <c r="S358" s="661">
        <f t="shared" si="151"/>
        <v>0</v>
      </c>
      <c r="U358" s="669">
        <f>+VLOOKUP(C358,'Stock CD'!B:I,8,0)</f>
        <v>0</v>
      </c>
      <c r="V358" s="400">
        <f t="shared" si="152"/>
        <v>0</v>
      </c>
      <c r="X358" s="304"/>
      <c r="Y358" s="304"/>
      <c r="Z358" s="359">
        <v>1000</v>
      </c>
      <c r="AB358" s="424" t="s">
        <v>1466</v>
      </c>
      <c r="AC358" s="409"/>
      <c r="AD358" s="359">
        <v>12000</v>
      </c>
      <c r="AE358" s="260">
        <v>12</v>
      </c>
      <c r="AF358" s="323">
        <v>68.570279999999997</v>
      </c>
      <c r="AG358" s="557"/>
      <c r="AH358" s="352" t="s">
        <v>1220</v>
      </c>
    </row>
    <row r="359" spans="1:36" ht="18" customHeight="1" x14ac:dyDescent="0.3">
      <c r="B359" s="414">
        <v>2319700</v>
      </c>
      <c r="C359" s="433">
        <v>724</v>
      </c>
      <c r="E359" s="320" t="s">
        <v>1041</v>
      </c>
      <c r="F359" s="327" t="s">
        <v>1382</v>
      </c>
      <c r="G359" s="260"/>
      <c r="H359" s="308"/>
      <c r="J359" s="638">
        <f t="shared" si="148"/>
        <v>0</v>
      </c>
      <c r="K359" s="668">
        <f t="shared" si="149"/>
        <v>0</v>
      </c>
      <c r="M359" s="650" t="e">
        <f>IF(N359-O359-#REF!&lt;0,0,N359-O359-#REF!)</f>
        <v>#REF!</v>
      </c>
      <c r="N359" s="377">
        <f>+IFERROR(AC359*#REF!,0)</f>
        <v>0</v>
      </c>
      <c r="O359" s="343">
        <f t="shared" si="150"/>
        <v>0</v>
      </c>
      <c r="P359" s="642"/>
      <c r="R359" s="395">
        <f>+IFERROR(SUMIF('Stock CD'!#REF!,'Pedido VACIO'!#REF!,'Stock CD'!D:D),0)</f>
        <v>0</v>
      </c>
      <c r="S359" s="661">
        <f t="shared" si="151"/>
        <v>0</v>
      </c>
      <c r="U359" s="669">
        <f>+VLOOKUP(C359,'Stock CD'!B:I,8,0)</f>
        <v>0</v>
      </c>
      <c r="V359" s="400">
        <f t="shared" si="152"/>
        <v>0</v>
      </c>
      <c r="X359" s="304"/>
      <c r="Y359" s="304"/>
      <c r="Z359" s="359">
        <v>1000</v>
      </c>
      <c r="AB359" s="424" t="s">
        <v>1466</v>
      </c>
      <c r="AC359" s="409"/>
      <c r="AD359" s="359">
        <v>12000</v>
      </c>
      <c r="AE359" s="260">
        <v>6</v>
      </c>
      <c r="AF359" s="323">
        <v>115.9353</v>
      </c>
      <c r="AG359" s="557"/>
      <c r="AH359" s="353" t="s">
        <v>1222</v>
      </c>
    </row>
    <row r="360" spans="1:36" ht="18" customHeight="1" x14ac:dyDescent="0.3">
      <c r="B360" s="414">
        <v>2319700</v>
      </c>
      <c r="C360" s="433">
        <v>617</v>
      </c>
      <c r="E360" s="320" t="s">
        <v>1041</v>
      </c>
      <c r="F360" s="327" t="s">
        <v>1096</v>
      </c>
      <c r="G360" s="260"/>
      <c r="H360" s="308"/>
      <c r="J360" s="638">
        <f t="shared" si="148"/>
        <v>0</v>
      </c>
      <c r="K360" s="668">
        <f t="shared" si="149"/>
        <v>0</v>
      </c>
      <c r="M360" s="650" t="e">
        <f>IF(N360-O360-#REF!&lt;0,0,N360-O360-#REF!)</f>
        <v>#REF!</v>
      </c>
      <c r="N360" s="377">
        <f>+IFERROR(AC360*#REF!,0)</f>
        <v>0</v>
      </c>
      <c r="O360" s="343">
        <f t="shared" si="150"/>
        <v>0</v>
      </c>
      <c r="P360" s="642"/>
      <c r="R360" s="395">
        <f>+IFERROR(SUMIF('Stock CD'!#REF!,'Pedido VACIO'!#REF!,'Stock CD'!D:D),0)</f>
        <v>0</v>
      </c>
      <c r="S360" s="661">
        <f t="shared" si="151"/>
        <v>0</v>
      </c>
      <c r="U360" s="669">
        <f>+VLOOKUP(C360,'Stock CD'!B:I,8,0)</f>
        <v>0</v>
      </c>
      <c r="V360" s="400">
        <f t="shared" si="152"/>
        <v>0</v>
      </c>
      <c r="X360" s="304"/>
      <c r="Y360" s="304"/>
      <c r="Z360" s="359">
        <v>1000</v>
      </c>
      <c r="AB360" s="424" t="s">
        <v>1466</v>
      </c>
      <c r="AC360" s="409"/>
      <c r="AD360" s="359">
        <v>12000</v>
      </c>
      <c r="AE360" s="260">
        <v>6</v>
      </c>
      <c r="AF360" s="323">
        <v>115.9353</v>
      </c>
      <c r="AG360" s="557"/>
      <c r="AH360" s="353" t="s">
        <v>1222</v>
      </c>
    </row>
    <row r="361" spans="1:36" ht="18" customHeight="1" x14ac:dyDescent="0.3">
      <c r="B361" s="414">
        <v>2319700</v>
      </c>
      <c r="C361" s="433">
        <v>765</v>
      </c>
      <c r="E361" s="320" t="s">
        <v>1041</v>
      </c>
      <c r="F361" s="327" t="s">
        <v>818</v>
      </c>
      <c r="G361" s="260"/>
      <c r="H361" s="308"/>
      <c r="J361" s="638">
        <f t="shared" si="148"/>
        <v>0</v>
      </c>
      <c r="K361" s="668">
        <f t="shared" si="149"/>
        <v>0</v>
      </c>
      <c r="M361" s="650" t="e">
        <f>IF(N361-O361-#REF!&lt;0,0,N361-O361-#REF!)</f>
        <v>#REF!</v>
      </c>
      <c r="N361" s="377">
        <f>+IFERROR(AC361*#REF!,0)</f>
        <v>0</v>
      </c>
      <c r="O361" s="343">
        <f t="shared" si="150"/>
        <v>0</v>
      </c>
      <c r="P361" s="642"/>
      <c r="R361" s="395">
        <f>+IFERROR(SUMIF('Stock CD'!#REF!,'Pedido VACIO'!#REF!,'Stock CD'!D:D),0)</f>
        <v>0</v>
      </c>
      <c r="S361" s="661">
        <f t="shared" si="151"/>
        <v>0</v>
      </c>
      <c r="U361" s="669">
        <v>0</v>
      </c>
      <c r="V361" s="400">
        <f t="shared" si="152"/>
        <v>0</v>
      </c>
      <c r="X361" s="304"/>
      <c r="Y361" s="304"/>
      <c r="Z361" s="359">
        <v>1000</v>
      </c>
      <c r="AB361" s="424" t="s">
        <v>1466</v>
      </c>
      <c r="AC361" s="409"/>
      <c r="AD361" s="359">
        <v>12000</v>
      </c>
      <c r="AE361" s="260">
        <v>6</v>
      </c>
      <c r="AF361" s="323">
        <v>115.9353</v>
      </c>
      <c r="AG361" s="557"/>
      <c r="AH361" s="352" t="s">
        <v>1222</v>
      </c>
    </row>
    <row r="362" spans="1:36" ht="18" customHeight="1" x14ac:dyDescent="0.3">
      <c r="B362" s="414">
        <v>2319700</v>
      </c>
      <c r="C362" s="433">
        <v>879</v>
      </c>
      <c r="E362" s="320" t="s">
        <v>1041</v>
      </c>
      <c r="F362" s="327" t="s">
        <v>1376</v>
      </c>
      <c r="G362" s="260"/>
      <c r="H362" s="308"/>
      <c r="J362" s="638">
        <f t="shared" si="148"/>
        <v>0</v>
      </c>
      <c r="K362" s="668">
        <f t="shared" si="149"/>
        <v>0</v>
      </c>
      <c r="M362" s="650" t="e">
        <f>IF(N362-O362-#REF!&lt;0,0,N362-O362-#REF!)</f>
        <v>#REF!</v>
      </c>
      <c r="N362" s="377">
        <f>+IFERROR(AC362*#REF!,0)</f>
        <v>0</v>
      </c>
      <c r="O362" s="343">
        <f t="shared" si="150"/>
        <v>0</v>
      </c>
      <c r="P362" s="642"/>
      <c r="R362" s="395">
        <f>+IFERROR(SUMIF('Stock CD'!#REF!,'Pedido VACIO'!#REF!,'Stock CD'!D:D),0)</f>
        <v>0</v>
      </c>
      <c r="S362" s="661">
        <f t="shared" si="151"/>
        <v>0</v>
      </c>
      <c r="U362" s="669">
        <f>+VLOOKUP(C362,'Stock CD'!B:I,8,0)</f>
        <v>0</v>
      </c>
      <c r="V362" s="400">
        <f t="shared" si="152"/>
        <v>0</v>
      </c>
      <c r="X362" s="304"/>
      <c r="Y362" s="304"/>
      <c r="Z362" s="359">
        <v>1000</v>
      </c>
      <c r="AB362" s="424" t="s">
        <v>1466</v>
      </c>
      <c r="AC362" s="409"/>
      <c r="AD362" s="359">
        <v>12000</v>
      </c>
      <c r="AE362" s="260">
        <v>6</v>
      </c>
      <c r="AF362" s="323">
        <v>115.9353</v>
      </c>
      <c r="AG362" s="557"/>
      <c r="AH362" s="352" t="s">
        <v>1222</v>
      </c>
    </row>
    <row r="363" spans="1:36" ht="18" customHeight="1" x14ac:dyDescent="0.3">
      <c r="B363" s="302"/>
      <c r="C363" s="521">
        <v>25</v>
      </c>
      <c r="E363" s="320" t="s">
        <v>746</v>
      </c>
      <c r="F363" s="327" t="s">
        <v>1652</v>
      </c>
      <c r="G363" s="260"/>
      <c r="H363" s="635"/>
      <c r="I363" s="208"/>
      <c r="J363" s="638">
        <f t="shared" si="148"/>
        <v>0</v>
      </c>
      <c r="K363" s="665">
        <f>+IFERROR(S363/V363,0)</f>
        <v>0</v>
      </c>
      <c r="M363" s="650">
        <f>IF(N363-O363&lt;0,0,N363-O363)</f>
        <v>0</v>
      </c>
      <c r="N363" s="480">
        <f>+IFERROR(AC363*AI363,0)</f>
        <v>0</v>
      </c>
      <c r="O363" s="343">
        <f>+(X363*Z363)+Y363</f>
        <v>0</v>
      </c>
      <c r="P363" s="641"/>
      <c r="R363" s="394">
        <f>+IFERROR(SUMIFS('Stock CD'!D:D,C330,'Stock CD'!C:C),0)</f>
        <v>0</v>
      </c>
      <c r="S363" s="661">
        <f t="shared" si="151"/>
        <v>0</v>
      </c>
      <c r="U363" s="670">
        <f>+IFERROR(VLOOKUP(C363,'Stock CD'!B:I,8,0),0)</f>
        <v>0</v>
      </c>
      <c r="V363" s="509">
        <f t="shared" si="152"/>
        <v>0</v>
      </c>
      <c r="X363" s="304">
        <f>+SUMIFS('Conteo 24-02'!F:F,'Conteo 24-02'!$A:$A,$C363)</f>
        <v>0</v>
      </c>
      <c r="Y363" s="304">
        <f>+SUMIFS('Conteo 24-02'!G:G,'Conteo 24-02'!$A:$A,$C363)</f>
        <v>0</v>
      </c>
      <c r="Z363" s="507">
        <v>1000</v>
      </c>
      <c r="AB363" s="424" t="s">
        <v>1466</v>
      </c>
      <c r="AC363" s="409">
        <f>IF(C363="Corb-LK",SUMIFS('Est Madre LK 10-25'!C:C,'Est Madre LK 10-25'!D:D,"si"),IF(C363="Corb-CH",SUMIFS('Est Madre CH 10-25'!C:C,'Est Madre CH 10-25'!D:D,"si"),0)+IFERROR(VLOOKUP(C363,'Est Madre LK 10-25'!$A:$C,3,),IFERROR(VLOOKUP(C363,'Est Madre CH 10-25'!$A:$C,3,),0)))</f>
        <v>0</v>
      </c>
      <c r="AD363" s="359"/>
      <c r="AE363" s="260"/>
      <c r="AF363" s="323"/>
      <c r="AG363" s="552"/>
      <c r="AH363" s="260"/>
      <c r="AI363" s="320">
        <v>3</v>
      </c>
    </row>
    <row r="364" spans="1:36" ht="18" customHeight="1" x14ac:dyDescent="0.3">
      <c r="B364" s="302">
        <v>1216700</v>
      </c>
      <c r="C364" s="521" t="s">
        <v>869</v>
      </c>
      <c r="E364" s="320" t="s">
        <v>746</v>
      </c>
      <c r="F364" s="327" t="s">
        <v>1450</v>
      </c>
      <c r="G364" s="260"/>
      <c r="H364" s="635"/>
      <c r="I364" s="208"/>
      <c r="J364" s="638">
        <f t="shared" si="148"/>
        <v>0</v>
      </c>
      <c r="K364" s="664">
        <f>+IFERROR(S364/V364,0)</f>
        <v>0</v>
      </c>
      <c r="L364" s="208"/>
      <c r="M364" s="650">
        <f>IF(N364-O364&lt;0,0,N364-O364)</f>
        <v>0</v>
      </c>
      <c r="N364" s="480">
        <f>+IFERROR(AC364*AI364,0)</f>
        <v>0</v>
      </c>
      <c r="O364" s="343">
        <f>+(X364*Z364)+Y364</f>
        <v>30000</v>
      </c>
      <c r="P364" s="641"/>
      <c r="Q364" s="208"/>
      <c r="R364" s="397">
        <f>+IFERROR(SUMIFS('Stock CD'!D:D,C328,'Stock CD'!C:C),0)</f>
        <v>0</v>
      </c>
      <c r="S364" s="661">
        <f t="shared" si="151"/>
        <v>30000</v>
      </c>
      <c r="T364" s="208"/>
      <c r="U364" s="669">
        <f>+IFERROR(VLOOKUP(C364,'Stock CD'!B:I,8,0),0)</f>
        <v>0</v>
      </c>
      <c r="V364" s="400">
        <f t="shared" si="152"/>
        <v>0</v>
      </c>
      <c r="W364" s="208"/>
      <c r="X364" s="304">
        <f>+SUMIFS('Conteo 24-02'!F:F,'Conteo 24-02'!$A:$A,$C364)</f>
        <v>6</v>
      </c>
      <c r="Y364" s="304">
        <f>+SUMIFS('Conteo 24-02'!G:G,'Conteo 24-02'!$A:$A,$C364)</f>
        <v>0</v>
      </c>
      <c r="Z364" s="507">
        <v>5000</v>
      </c>
      <c r="AA364" s="208"/>
      <c r="AB364" s="424" t="s">
        <v>1466</v>
      </c>
      <c r="AC364" s="409">
        <f>IF(C364="Corb-LK",SUMIFS('Est Madre LK 10-25'!C:C,'Est Madre LK 10-25'!D:D,"si"),IF(C364="Corb-CH",SUMIFS('Est Madre CH 10-25'!C:C,'Est Madre CH 10-25'!D:D,"si"),0)+IFERROR(VLOOKUP(C364,'Est Madre LK 10-25'!$A:$C,3,),IFERROR(VLOOKUP(C364,'Est Madre CH 10-25'!$A:$C,3,),0)))</f>
        <v>0</v>
      </c>
      <c r="AD364" s="359">
        <v>12000</v>
      </c>
      <c r="AE364" s="320"/>
      <c r="AF364" s="323">
        <v>14.8635</v>
      </c>
      <c r="AG364" s="552"/>
      <c r="AH364" s="295"/>
      <c r="AI364" s="320">
        <v>3</v>
      </c>
      <c r="AJ364" s="208"/>
    </row>
    <row r="365" spans="1:36" ht="18" customHeight="1" thickBot="1" x14ac:dyDescent="0.35">
      <c r="B365" s="563">
        <v>1217700</v>
      </c>
      <c r="C365" s="564" t="s">
        <v>1647</v>
      </c>
      <c r="E365" s="565" t="s">
        <v>746</v>
      </c>
      <c r="F365" s="566" t="s">
        <v>1498</v>
      </c>
      <c r="G365" s="567"/>
      <c r="H365" s="636"/>
      <c r="J365" s="639">
        <f t="shared" si="148"/>
        <v>0</v>
      </c>
      <c r="K365" s="667">
        <f>+IFERROR(S365/V365,0)</f>
        <v>0</v>
      </c>
      <c r="M365" s="674">
        <f>IF(N365-O365&lt;0,0,N365-O365)</f>
        <v>97956</v>
      </c>
      <c r="N365" s="568">
        <f>+IFERROR(AC365*AI365,0)</f>
        <v>97956</v>
      </c>
      <c r="O365" s="569">
        <f>+(X365*Z365)+Y365</f>
        <v>0</v>
      </c>
      <c r="P365" s="643"/>
      <c r="R365" s="402">
        <f>+IFERROR(SUMIFS('Stock CD'!D:D,C46,'Stock CD'!C:C),0)</f>
        <v>0</v>
      </c>
      <c r="S365" s="663">
        <f t="shared" si="151"/>
        <v>0</v>
      </c>
      <c r="U365" s="672">
        <f>SUMIFS('Stock CD'!I:I,'Stock CD'!A:A,F365)</f>
        <v>0</v>
      </c>
      <c r="V365" s="403">
        <f t="shared" si="152"/>
        <v>97956</v>
      </c>
      <c r="X365" s="570">
        <f>+SUMIFS('Conteo 24-02'!F:F,'Conteo 24-02'!$A:$A,$C365)</f>
        <v>0</v>
      </c>
      <c r="Y365" s="570">
        <f>+SUMIFS('Conteo 24-02'!G:G,'Conteo 24-02'!$A:$A,$C365)</f>
        <v>0</v>
      </c>
      <c r="Z365" s="571">
        <v>2500</v>
      </c>
      <c r="AB365" s="572" t="s">
        <v>1466</v>
      </c>
      <c r="AC365" s="573">
        <f>IF(C365="Corb-LK",SUMIFS('Est Madre LK 10-25'!C:C,'Est Madre LK 10-25'!D:D,"si"),IF(C365="Corb-CH",SUMIFS('Est Madre CH 10-25'!C:C,'Est Madre CH 10-25'!D:D,"si"),0)+IFERROR(VLOOKUP(C365,'Est Madre LK 10-25'!$A:$C,3,),IFERROR(VLOOKUP(C365,'Est Madre CH 10-25'!$A:$C,3,),0)))</f>
        <v>32652</v>
      </c>
      <c r="AD365" s="574">
        <v>25000</v>
      </c>
      <c r="AE365" s="575">
        <v>25</v>
      </c>
      <c r="AF365" s="576">
        <v>31.048200000000001</v>
      </c>
      <c r="AG365" s="577"/>
      <c r="AH365" s="575" t="s">
        <v>1654</v>
      </c>
      <c r="AI365" s="320">
        <v>3</v>
      </c>
    </row>
    <row r="366" spans="1:36" ht="18" customHeight="1" x14ac:dyDescent="0.3">
      <c r="B366" s="608"/>
      <c r="C366" s="297">
        <v>28</v>
      </c>
      <c r="D366" s="482" t="str">
        <f>+VLOOKUP(C366,'Conteo 24-02'!$A$8:$D$246,4,0)</f>
        <v>L2C</v>
      </c>
      <c r="E366" s="321" t="s">
        <v>746</v>
      </c>
      <c r="F366" s="354" t="s">
        <v>1653</v>
      </c>
      <c r="G366" s="261"/>
      <c r="H366" s="634"/>
      <c r="I366" s="208"/>
      <c r="J366" s="637">
        <f t="shared" si="148"/>
        <v>0</v>
      </c>
      <c r="K366" s="666">
        <f>+IFERROR(S366/V366,0)</f>
        <v>0</v>
      </c>
      <c r="M366" s="648">
        <f>IF(N366-O366&lt;0,0,N366-O366)</f>
        <v>0</v>
      </c>
      <c r="N366" s="479">
        <f>+IFERROR(AC366*AI366,0)</f>
        <v>0</v>
      </c>
      <c r="O366" s="344">
        <f>+(X366*Z366)+Y366</f>
        <v>0</v>
      </c>
      <c r="P366" s="640"/>
      <c r="Q366" s="199"/>
      <c r="R366" s="457">
        <f>+IFERROR(SUMIFS('Stock CD'!D:D,C331,'Stock CD'!C:C),0)</f>
        <v>0</v>
      </c>
      <c r="S366" s="660">
        <f t="shared" si="151"/>
        <v>0</v>
      </c>
      <c r="U366" s="671">
        <f>+IFERROR(VLOOKUP(C366,'Stock CD'!B:I,8,0),0)</f>
        <v>0</v>
      </c>
      <c r="V366" s="604">
        <f t="shared" si="152"/>
        <v>0</v>
      </c>
      <c r="W366" s="199"/>
      <c r="X366" s="303">
        <f>+SUMIFS('Conteo 24-02'!F:F,'Conteo 24-02'!$A:$A,$C366)</f>
        <v>0</v>
      </c>
      <c r="Y366" s="303">
        <f>+SUMIFS('Conteo 24-02'!G:G,'Conteo 24-02'!$A:$A,$C366)</f>
        <v>0</v>
      </c>
      <c r="Z366" s="524">
        <v>1000</v>
      </c>
      <c r="AA366" s="199"/>
      <c r="AB366" s="393" t="s">
        <v>1466</v>
      </c>
      <c r="AC366" s="422">
        <f>IF(C366="Corb-LK",SUMIFS('Est Madre LK 10-25'!C:C,'Est Madre LK 10-25'!D:D,"si"),IF(C366="Corb-CH",SUMIFS('Est Madre CH 10-25'!C:C,'Est Madre CH 10-25'!D:D,"si"),0)+IFERROR(VLOOKUP(C366,'Est Madre LK 10-25'!$A:$C,3,),IFERROR(VLOOKUP(C366,'Est Madre CH 10-25'!$A:$C,3,),0)))</f>
        <v>0</v>
      </c>
      <c r="AD366" s="358"/>
      <c r="AE366" s="261"/>
      <c r="AF366" s="628"/>
      <c r="AG366" s="629" t="s">
        <v>1691</v>
      </c>
      <c r="AH366" s="261" t="s">
        <v>1666</v>
      </c>
      <c r="AI366" s="331">
        <v>3</v>
      </c>
    </row>
    <row r="367" spans="1:36" x14ac:dyDescent="0.3">
      <c r="C367" s="292"/>
      <c r="F367"/>
      <c r="H367"/>
      <c r="J367"/>
      <c r="N367" s="292"/>
      <c r="O367"/>
      <c r="X367" s="292"/>
      <c r="Y367"/>
      <c r="Z367" s="292"/>
    </row>
    <row r="368" spans="1:36" x14ac:dyDescent="0.3">
      <c r="C368" s="292"/>
      <c r="F368"/>
      <c r="H368"/>
      <c r="J368"/>
      <c r="N368" s="292"/>
      <c r="O368"/>
      <c r="X368" s="292"/>
      <c r="Y368"/>
      <c r="Z368" s="292"/>
    </row>
    <row r="369" spans="3:35" x14ac:dyDescent="0.3">
      <c r="C369" s="292"/>
      <c r="F369"/>
      <c r="H369"/>
      <c r="J369"/>
      <c r="N369" s="292"/>
      <c r="O369"/>
      <c r="X369" s="292"/>
      <c r="Y369"/>
      <c r="Z369" s="292"/>
    </row>
    <row r="370" spans="3:35" x14ac:dyDescent="0.3">
      <c r="C370" s="292"/>
      <c r="F370"/>
      <c r="H370"/>
      <c r="J370"/>
      <c r="N370" s="292"/>
      <c r="O370"/>
      <c r="X370" s="292"/>
      <c r="Y370"/>
      <c r="Z370" s="292"/>
    </row>
    <row r="371" spans="3:35" x14ac:dyDescent="0.3">
      <c r="C371" s="292"/>
      <c r="F371"/>
      <c r="H371"/>
      <c r="J371"/>
      <c r="N371" s="292"/>
      <c r="O371"/>
      <c r="X371" s="292"/>
      <c r="Y371"/>
      <c r="Z371" s="292"/>
    </row>
    <row r="372" spans="3:35" x14ac:dyDescent="0.3">
      <c r="C372" s="292"/>
      <c r="F372"/>
      <c r="H372"/>
      <c r="J372"/>
      <c r="N372" s="292"/>
      <c r="O372"/>
      <c r="X372" s="292"/>
      <c r="Y372"/>
      <c r="Z372" s="292"/>
    </row>
    <row r="373" spans="3:35" x14ac:dyDescent="0.3">
      <c r="C373" s="292"/>
      <c r="F373"/>
      <c r="H373"/>
      <c r="J373"/>
      <c r="N373" s="292"/>
      <c r="O373"/>
      <c r="X373" s="292"/>
      <c r="Y373"/>
      <c r="Z373" s="292"/>
    </row>
    <row r="374" spans="3:35" x14ac:dyDescent="0.3">
      <c r="C374" s="292"/>
      <c r="F374"/>
      <c r="H374"/>
      <c r="J374"/>
      <c r="N374" s="292"/>
      <c r="O374"/>
      <c r="X374" s="292"/>
      <c r="Y374"/>
      <c r="Z374" s="292"/>
    </row>
    <row r="375" spans="3:35" x14ac:dyDescent="0.3">
      <c r="C375" s="292"/>
      <c r="F375"/>
      <c r="H375"/>
      <c r="J375"/>
      <c r="N375" s="292"/>
      <c r="O375"/>
      <c r="X375" s="292"/>
      <c r="Y375"/>
      <c r="Z375" s="292"/>
    </row>
    <row r="376" spans="3:35" x14ac:dyDescent="0.3">
      <c r="C376" s="292"/>
      <c r="F376"/>
      <c r="H376"/>
      <c r="J376"/>
      <c r="N376" s="292"/>
      <c r="O376"/>
      <c r="X376" s="292"/>
      <c r="Y376"/>
      <c r="Z376" s="292"/>
    </row>
    <row r="377" spans="3:35" ht="15.75" thickBot="1" x14ac:dyDescent="0.3">
      <c r="C377" s="292"/>
      <c r="F377"/>
      <c r="H377"/>
      <c r="J377"/>
      <c r="N377" s="292"/>
      <c r="O377"/>
      <c r="X377" s="292"/>
      <c r="Y377"/>
      <c r="Z377" s="292"/>
      <c r="AB377"/>
      <c r="AC377"/>
      <c r="AD377"/>
      <c r="AE377"/>
      <c r="AG377"/>
      <c r="AI377"/>
    </row>
    <row r="378" spans="3:35" ht="19.5" thickBot="1" x14ac:dyDescent="0.3">
      <c r="C378" s="292"/>
      <c r="F378" s="541" t="s">
        <v>1640</v>
      </c>
      <c r="G378" s="541">
        <v>12816</v>
      </c>
      <c r="H378"/>
      <c r="J378"/>
      <c r="N378" s="292"/>
      <c r="O378"/>
      <c r="X378" s="292"/>
      <c r="Y378"/>
      <c r="Z378" s="292"/>
      <c r="AB378"/>
      <c r="AC378"/>
      <c r="AD378"/>
      <c r="AE378"/>
      <c r="AG378"/>
      <c r="AI378"/>
    </row>
    <row r="379" spans="3:35" ht="19.5" thickBot="1" x14ac:dyDescent="0.3">
      <c r="C379" s="292"/>
      <c r="F379" s="540" t="s">
        <v>1641</v>
      </c>
      <c r="G379" s="540">
        <v>16000</v>
      </c>
      <c r="H379"/>
      <c r="J379"/>
      <c r="N379" s="292"/>
      <c r="O379"/>
      <c r="X379" s="292"/>
      <c r="Y379"/>
      <c r="Z379" s="292"/>
      <c r="AB379"/>
      <c r="AC379"/>
      <c r="AD379"/>
      <c r="AE379"/>
      <c r="AG379"/>
      <c r="AI379"/>
    </row>
    <row r="380" spans="3:35" ht="15" x14ac:dyDescent="0.25">
      <c r="C380" s="292"/>
      <c r="F380"/>
      <c r="H380"/>
      <c r="J380"/>
      <c r="N380" s="292"/>
      <c r="O380"/>
      <c r="X380" s="292"/>
      <c r="Y380"/>
      <c r="Z380" s="292"/>
      <c r="AB380"/>
      <c r="AC380"/>
      <c r="AD380"/>
      <c r="AE380"/>
      <c r="AG380"/>
      <c r="AI380"/>
    </row>
    <row r="381" spans="3:35" ht="15" x14ac:dyDescent="0.25">
      <c r="C381" s="292"/>
      <c r="F381"/>
      <c r="H381"/>
      <c r="J381"/>
      <c r="N381" s="292"/>
      <c r="O381"/>
      <c r="X381" s="292"/>
      <c r="Y381"/>
      <c r="Z381" s="292"/>
      <c r="AB381"/>
      <c r="AC381"/>
      <c r="AD381"/>
      <c r="AE381"/>
      <c r="AG381"/>
      <c r="AI381"/>
    </row>
    <row r="382" spans="3:35" ht="15" x14ac:dyDescent="0.25">
      <c r="C382" s="292"/>
      <c r="F382"/>
      <c r="H382"/>
      <c r="J382"/>
      <c r="N382" s="292"/>
      <c r="O382"/>
      <c r="X382" s="292"/>
      <c r="Y382"/>
      <c r="Z382" s="292"/>
      <c r="AB382"/>
      <c r="AC382"/>
      <c r="AD382"/>
      <c r="AE382"/>
      <c r="AG382"/>
      <c r="AI382"/>
    </row>
    <row r="383" spans="3:35" ht="15" x14ac:dyDescent="0.25">
      <c r="C383" s="292"/>
      <c r="F383"/>
      <c r="H383"/>
      <c r="J383"/>
      <c r="N383" s="292"/>
      <c r="O383"/>
      <c r="X383" s="292"/>
      <c r="Y383"/>
      <c r="Z383" s="292"/>
      <c r="AB383"/>
      <c r="AC383"/>
      <c r="AD383"/>
      <c r="AE383"/>
      <c r="AG383"/>
      <c r="AI383"/>
    </row>
    <row r="384" spans="3:35" ht="15" x14ac:dyDescent="0.25">
      <c r="C384" s="292"/>
      <c r="F384"/>
      <c r="H384"/>
      <c r="J384"/>
      <c r="N384" s="292"/>
      <c r="O384"/>
      <c r="X384" s="292"/>
      <c r="Y384"/>
      <c r="Z384" s="292"/>
      <c r="AB384"/>
      <c r="AC384"/>
      <c r="AD384"/>
      <c r="AE384"/>
      <c r="AG384"/>
      <c r="AI384"/>
    </row>
    <row r="385" spans="3:35" ht="15" x14ac:dyDescent="0.25">
      <c r="C385" s="292"/>
      <c r="F385"/>
      <c r="H385"/>
      <c r="J385"/>
      <c r="N385" s="292"/>
      <c r="O385"/>
      <c r="X385" s="292"/>
      <c r="Y385"/>
      <c r="Z385" s="292"/>
      <c r="AB385"/>
      <c r="AC385"/>
      <c r="AD385"/>
      <c r="AE385"/>
      <c r="AG385"/>
      <c r="AI385"/>
    </row>
    <row r="386" spans="3:35" ht="15" x14ac:dyDescent="0.25">
      <c r="C386" s="292"/>
      <c r="F386"/>
      <c r="H386"/>
      <c r="J386"/>
      <c r="N386" s="292">
        <v>5040</v>
      </c>
      <c r="O386"/>
      <c r="X386" s="292"/>
      <c r="Y386"/>
      <c r="Z386" s="292"/>
      <c r="AB386"/>
      <c r="AC386"/>
      <c r="AD386"/>
      <c r="AE386"/>
      <c r="AG386"/>
      <c r="AI386"/>
    </row>
    <row r="387" spans="3:35" ht="15" x14ac:dyDescent="0.25">
      <c r="C387" s="292"/>
      <c r="F387"/>
      <c r="H387"/>
      <c r="J387"/>
      <c r="N387" s="292"/>
      <c r="O387"/>
      <c r="X387" s="292"/>
      <c r="Y387"/>
      <c r="Z387" s="292"/>
      <c r="AB387"/>
      <c r="AC387"/>
      <c r="AD387"/>
      <c r="AE387"/>
      <c r="AG387"/>
      <c r="AI387"/>
    </row>
    <row r="388" spans="3:35" ht="15" x14ac:dyDescent="0.25">
      <c r="C388" s="292"/>
      <c r="F388"/>
      <c r="H388"/>
      <c r="J388"/>
      <c r="N388" s="292"/>
      <c r="O388"/>
      <c r="X388" s="292"/>
      <c r="Y388"/>
      <c r="Z388" s="292"/>
      <c r="AB388"/>
      <c r="AC388"/>
      <c r="AD388"/>
      <c r="AE388"/>
      <c r="AG388"/>
      <c r="AI388"/>
    </row>
    <row r="389" spans="3:35" ht="15" x14ac:dyDescent="0.25">
      <c r="C389" s="292"/>
      <c r="F389"/>
      <c r="H389"/>
      <c r="J389"/>
      <c r="N389" s="292"/>
      <c r="O389"/>
      <c r="X389" s="292"/>
      <c r="Y389"/>
      <c r="Z389" s="292"/>
      <c r="AB389"/>
      <c r="AC389"/>
      <c r="AD389"/>
      <c r="AE389"/>
      <c r="AG389"/>
      <c r="AI389"/>
    </row>
    <row r="390" spans="3:35" ht="15" x14ac:dyDescent="0.25">
      <c r="C390" s="292"/>
      <c r="F390"/>
      <c r="H390"/>
      <c r="J390"/>
      <c r="N390" s="292"/>
      <c r="O390"/>
      <c r="X390" s="292"/>
      <c r="Y390"/>
      <c r="Z390" s="292"/>
      <c r="AB390"/>
      <c r="AC390"/>
      <c r="AD390"/>
      <c r="AE390"/>
      <c r="AG390"/>
      <c r="AI390"/>
    </row>
    <row r="391" spans="3:35" ht="15" x14ac:dyDescent="0.25">
      <c r="C391" s="292"/>
      <c r="F391"/>
      <c r="H391"/>
      <c r="J391"/>
      <c r="N391" s="292"/>
      <c r="O391"/>
      <c r="X391" s="292"/>
      <c r="Y391"/>
      <c r="Z391" s="292"/>
      <c r="AB391"/>
      <c r="AC391"/>
      <c r="AD391"/>
      <c r="AE391"/>
      <c r="AG391"/>
      <c r="AI391"/>
    </row>
    <row r="392" spans="3:35" ht="15" x14ac:dyDescent="0.25">
      <c r="C392" s="292"/>
      <c r="F392"/>
      <c r="H392"/>
      <c r="J392"/>
      <c r="N392" s="292"/>
      <c r="O392"/>
      <c r="X392" s="292"/>
      <c r="Y392"/>
      <c r="Z392" s="292"/>
      <c r="AB392"/>
      <c r="AC392"/>
      <c r="AD392"/>
      <c r="AE392"/>
      <c r="AG392"/>
      <c r="AI392"/>
    </row>
    <row r="393" spans="3:35" ht="15" x14ac:dyDescent="0.25">
      <c r="C393" s="292"/>
      <c r="F393"/>
      <c r="H393"/>
      <c r="J393"/>
      <c r="N393" s="292"/>
      <c r="O393"/>
      <c r="X393" s="292"/>
      <c r="Y393"/>
      <c r="Z393" s="292"/>
      <c r="AB393"/>
      <c r="AC393"/>
      <c r="AD393"/>
      <c r="AE393"/>
      <c r="AG393"/>
      <c r="AI393"/>
    </row>
    <row r="394" spans="3:35" ht="15" x14ac:dyDescent="0.25">
      <c r="C394" s="292"/>
      <c r="F394"/>
      <c r="H394"/>
      <c r="J394"/>
      <c r="N394" s="292"/>
      <c r="O394"/>
      <c r="X394" s="292"/>
      <c r="Y394"/>
      <c r="Z394" s="292"/>
      <c r="AB394"/>
      <c r="AC394"/>
      <c r="AD394"/>
      <c r="AE394"/>
      <c r="AG394"/>
      <c r="AI394"/>
    </row>
    <row r="395" spans="3:35" ht="15" x14ac:dyDescent="0.25">
      <c r="C395" s="292"/>
      <c r="F395"/>
      <c r="H395"/>
      <c r="J395"/>
      <c r="N395" s="292"/>
      <c r="O395"/>
      <c r="X395" s="292"/>
      <c r="Y395"/>
      <c r="Z395" s="292"/>
      <c r="AB395"/>
      <c r="AC395"/>
      <c r="AD395"/>
      <c r="AE395"/>
      <c r="AG395"/>
      <c r="AI395"/>
    </row>
  </sheetData>
  <mergeCells count="22">
    <mergeCell ref="B7:H7"/>
    <mergeCell ref="B131:H131"/>
    <mergeCell ref="B5:E5"/>
    <mergeCell ref="B67:H67"/>
    <mergeCell ref="B99:H99"/>
    <mergeCell ref="B127:H127"/>
    <mergeCell ref="B123:H123"/>
    <mergeCell ref="B16:H16"/>
    <mergeCell ref="B25:H25"/>
    <mergeCell ref="B35:H35"/>
    <mergeCell ref="B8:H8"/>
    <mergeCell ref="B21:H21"/>
    <mergeCell ref="B233:H233"/>
    <mergeCell ref="B246:H246"/>
    <mergeCell ref="B132:H132"/>
    <mergeCell ref="B137:H137"/>
    <mergeCell ref="B93:H93"/>
    <mergeCell ref="B232:H232"/>
    <mergeCell ref="B220:H220"/>
    <mergeCell ref="B215:H215"/>
    <mergeCell ref="B176:H176"/>
    <mergeCell ref="B172:H172"/>
  </mergeCells>
  <phoneticPr fontId="48" type="noConversion"/>
  <printOptions horizontalCentered="1" verticalCentered="1"/>
  <pageMargins left="0" right="0" top="0.74803149606299213" bottom="0.74803149606299213" header="0.31496062992125984" footer="0.31496062992125984"/>
  <pageSetup paperSize="9" fitToHeight="0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2:AK76"/>
  <sheetViews>
    <sheetView view="pageBreakPreview" zoomScale="85" zoomScaleNormal="70" zoomScaleSheetLayoutView="85" workbookViewId="0">
      <selection activeCell="G64" sqref="G64:G73"/>
    </sheetView>
  </sheetViews>
  <sheetFormatPr baseColWidth="10" defaultRowHeight="15" x14ac:dyDescent="0.25"/>
  <cols>
    <col min="2" max="2" width="11.5703125" customWidth="1"/>
    <col min="3" max="3" width="8.7109375" customWidth="1"/>
    <col min="4" max="4" width="8" hidden="1" customWidth="1"/>
    <col min="5" max="5" width="5.28515625" customWidth="1"/>
    <col min="6" max="6" width="36.7109375" customWidth="1"/>
    <col min="7" max="7" width="11" style="292" customWidth="1"/>
    <col min="8" max="8" width="0" hidden="1" customWidth="1"/>
    <col min="9" max="34" width="11.5703125" hidden="1" customWidth="1"/>
  </cols>
  <sheetData>
    <row r="2" spans="2:34" ht="15.75" thickBot="1" x14ac:dyDescent="0.3"/>
    <row r="3" spans="2:34" ht="27" thickBot="1" x14ac:dyDescent="0.3">
      <c r="B3" s="977" t="s">
        <v>1679</v>
      </c>
      <c r="C3" s="978"/>
      <c r="D3" s="978"/>
      <c r="E3" s="978"/>
      <c r="F3" s="978"/>
      <c r="G3" s="978"/>
      <c r="H3" s="979"/>
    </row>
    <row r="4" spans="2:34" ht="15.75" thickBot="1" x14ac:dyDescent="0.3"/>
    <row r="5" spans="2:34" ht="24" thickBot="1" x14ac:dyDescent="0.3">
      <c r="B5" s="768" t="s">
        <v>1725</v>
      </c>
      <c r="C5" s="756"/>
      <c r="D5" s="756"/>
      <c r="E5" s="756"/>
      <c r="F5" s="767"/>
      <c r="G5" s="757"/>
      <c r="I5" s="766"/>
    </row>
    <row r="6" spans="2:34" ht="57" thickBot="1" x14ac:dyDescent="0.3">
      <c r="B6" s="563" t="s">
        <v>1293</v>
      </c>
      <c r="C6" s="657" t="s">
        <v>748</v>
      </c>
      <c r="D6" s="657" t="s">
        <v>1198</v>
      </c>
      <c r="E6" s="657" t="s">
        <v>1018</v>
      </c>
      <c r="F6" s="657" t="s">
        <v>749</v>
      </c>
      <c r="G6" s="775" t="s">
        <v>1522</v>
      </c>
      <c r="I6" s="291" t="s">
        <v>1521</v>
      </c>
    </row>
    <row r="7" spans="2:34" s="381" customFormat="1" ht="18.75" x14ac:dyDescent="0.25">
      <c r="B7" s="302">
        <f>+IF(C7&gt;0,'Pedido VACIO'!B10)</f>
        <v>1206700</v>
      </c>
      <c r="C7" s="433">
        <f>+IF(D7&gt;0,'Pedido VACIO'!C10)</f>
        <v>502</v>
      </c>
      <c r="D7" s="433" t="str">
        <f>+IF(E7&gt;0,'Pedido VACIO'!D10)</f>
        <v>D3</v>
      </c>
      <c r="E7" s="433" t="str">
        <f>+IF(F7&gt;0,'Pedido VACIO'!E10)</f>
        <v>LK</v>
      </c>
      <c r="F7" s="433" t="str">
        <f>+IF(G7&gt;0,'Pedido VACIO'!F10)</f>
        <v>Abrelata Mariposa Cromado</v>
      </c>
      <c r="G7" s="773">
        <f>+IF('Pedido VACIO'!G10&gt;0,'Pedido VACIO'!G10,0)</f>
        <v>12000</v>
      </c>
      <c r="I7" s="693"/>
      <c r="J7" s="694"/>
      <c r="K7" s="506"/>
      <c r="L7" s="662"/>
      <c r="M7" s="630"/>
      <c r="N7" s="630"/>
      <c r="O7" s="662"/>
      <c r="P7" s="506"/>
      <c r="Q7" s="662"/>
      <c r="R7" s="662"/>
      <c r="S7" s="506"/>
      <c r="T7" s="662"/>
      <c r="U7" s="662"/>
      <c r="V7" s="506"/>
      <c r="W7" s="662"/>
      <c r="X7" s="662"/>
      <c r="Y7" s="630"/>
      <c r="Z7" s="506"/>
      <c r="AA7" s="662"/>
      <c r="AB7" s="662"/>
      <c r="AC7" s="630"/>
      <c r="AD7" s="662"/>
      <c r="AE7" s="662"/>
      <c r="AF7" s="662"/>
      <c r="AG7" s="662"/>
      <c r="AH7" s="662"/>
    </row>
    <row r="8" spans="2:34" s="381" customFormat="1" ht="18.75" x14ac:dyDescent="0.25">
      <c r="B8" s="302">
        <f>+IF(C8&gt;0,'Pedido VACIO'!B11)</f>
        <v>1206700</v>
      </c>
      <c r="C8" s="433">
        <f>+IF(D8&gt;0,'Pedido VACIO'!C11)</f>
        <v>512</v>
      </c>
      <c r="D8" s="433" t="str">
        <f>+IF(E8&gt;0,'Pedido VACIO'!D11)</f>
        <v>D1B</v>
      </c>
      <c r="E8" s="433" t="str">
        <f>+IF(F8&gt;0,'Pedido VACIO'!E11)</f>
        <v>LK</v>
      </c>
      <c r="F8" s="433" t="b">
        <f>+IF(G8&gt;0,'Pedido VACIO'!F11)</f>
        <v>0</v>
      </c>
      <c r="G8" s="773">
        <f>+IF('Pedido VACIO'!G11&gt;0,'Pedido VACIO'!G11,0)</f>
        <v>0</v>
      </c>
      <c r="H8" s="315"/>
      <c r="I8" s="693"/>
      <c r="J8" s="694"/>
      <c r="K8" s="506"/>
      <c r="L8" s="662"/>
      <c r="M8" s="630"/>
      <c r="N8" s="630"/>
      <c r="O8" s="662"/>
      <c r="P8" s="506"/>
      <c r="Q8" s="662"/>
      <c r="R8" s="662"/>
      <c r="S8" s="506"/>
      <c r="T8" s="662"/>
      <c r="U8" s="662"/>
      <c r="V8" s="506"/>
      <c r="W8" s="662"/>
      <c r="X8" s="662"/>
      <c r="Y8" s="630"/>
      <c r="Z8" s="506"/>
      <c r="AA8" s="662"/>
      <c r="AB8" s="662"/>
      <c r="AC8" s="630"/>
      <c r="AD8" s="662"/>
      <c r="AE8" s="662"/>
      <c r="AF8" s="662"/>
      <c r="AG8" s="662"/>
      <c r="AH8" s="662"/>
    </row>
    <row r="9" spans="2:34" ht="18.75" x14ac:dyDescent="0.3">
      <c r="B9" s="302">
        <f>+IF(C9&gt;0,'Pedido VACIO'!B12)</f>
        <v>1206700</v>
      </c>
      <c r="C9" s="433">
        <f>+IF(D9&gt;0,'Pedido VACIO'!C12)</f>
        <v>66</v>
      </c>
      <c r="D9" s="433" t="str">
        <f>+IF(E9&gt;0,'Pedido VACIO'!D12)</f>
        <v>D1A</v>
      </c>
      <c r="E9" s="433" t="str">
        <f>+IF(F9&gt;0,'Pedido VACIO'!E12)</f>
        <v>LK</v>
      </c>
      <c r="F9" s="433" t="b">
        <f>+IF(G9&gt;0,'Pedido VACIO'!F12)</f>
        <v>0</v>
      </c>
      <c r="G9" s="773">
        <f>+IF('Pedido VACIO'!G12&gt;0,'Pedido VACIO'!G12,0)</f>
        <v>0</v>
      </c>
      <c r="I9" s="452"/>
      <c r="J9" s="453"/>
      <c r="L9" s="611"/>
      <c r="M9" s="379"/>
      <c r="N9" s="336"/>
      <c r="O9" s="611"/>
      <c r="Q9" s="454"/>
      <c r="R9" s="454"/>
      <c r="T9" s="454"/>
      <c r="U9" s="454"/>
      <c r="W9" s="307"/>
      <c r="X9" s="307"/>
      <c r="Y9" s="384"/>
      <c r="AA9" s="299"/>
      <c r="AB9" s="382"/>
      <c r="AC9" s="384"/>
      <c r="AD9" s="127"/>
      <c r="AE9" s="348"/>
      <c r="AF9" s="550"/>
      <c r="AG9" s="127"/>
      <c r="AH9" s="299"/>
    </row>
    <row r="10" spans="2:34" ht="19.5" thickBot="1" x14ac:dyDescent="0.35">
      <c r="B10" s="298">
        <f>+IF(C10&gt;0,'Pedido VACIO'!B13)</f>
        <v>1206700</v>
      </c>
      <c r="C10" s="443">
        <f>+IF(D10&gt;0,'Pedido VACIO'!C13)</f>
        <v>501</v>
      </c>
      <c r="D10" s="443" t="str">
        <f>+IF(E10&gt;0,'Pedido VACIO'!D13)</f>
        <v>D2</v>
      </c>
      <c r="E10" s="443" t="str">
        <f>+IF(F10&gt;0,'Pedido VACIO'!E13)</f>
        <v>LK</v>
      </c>
      <c r="F10" s="443" t="str">
        <f>+IF(G10&gt;0,'Pedido VACIO'!F13)</f>
        <v>Abrelata A Manija</v>
      </c>
      <c r="G10" s="774">
        <f>+IF('Pedido VACIO'!G13&gt;0,'Pedido VACIO'!G13,0)</f>
        <v>12000</v>
      </c>
      <c r="J10" s="453"/>
      <c r="L10" s="611"/>
      <c r="M10" s="379"/>
      <c r="N10" s="336"/>
      <c r="O10" s="611"/>
      <c r="Q10" s="454"/>
      <c r="R10" s="454"/>
      <c r="T10" s="454"/>
      <c r="U10" s="454"/>
      <c r="W10" s="307"/>
      <c r="X10" s="307"/>
      <c r="Y10" s="384"/>
      <c r="AA10" s="299"/>
      <c r="AB10" s="382"/>
      <c r="AC10" s="384"/>
      <c r="AD10" s="127"/>
      <c r="AE10" s="348"/>
      <c r="AF10" s="550"/>
      <c r="AG10" s="127"/>
      <c r="AH10" s="299"/>
    </row>
    <row r="11" spans="2:34" ht="19.5" thickBot="1" x14ac:dyDescent="0.35">
      <c r="B11" s="294"/>
      <c r="C11" s="294"/>
      <c r="D11" s="294"/>
      <c r="E11" s="294"/>
      <c r="F11" s="294"/>
      <c r="G11" s="294"/>
      <c r="J11" s="453"/>
      <c r="L11" s="611"/>
      <c r="M11" s="379"/>
      <c r="N11" s="336"/>
      <c r="O11" s="611"/>
      <c r="Q11" s="454"/>
      <c r="R11" s="454"/>
      <c r="T11" s="454"/>
      <c r="U11" s="454"/>
      <c r="W11" s="307"/>
      <c r="X11" s="307"/>
      <c r="Y11" s="384"/>
      <c r="AA11" s="299"/>
      <c r="AB11" s="382"/>
      <c r="AC11" s="384"/>
      <c r="AD11" s="127"/>
      <c r="AE11" s="348"/>
      <c r="AF11" s="550"/>
      <c r="AG11" s="127"/>
      <c r="AH11" s="299"/>
    </row>
    <row r="12" spans="2:34" ht="24" thickBot="1" x14ac:dyDescent="0.35">
      <c r="B12" s="768" t="s">
        <v>1724</v>
      </c>
      <c r="C12" s="767"/>
      <c r="D12" s="767"/>
      <c r="E12" s="767"/>
      <c r="F12" s="767"/>
      <c r="G12" s="771"/>
      <c r="H12" s="770"/>
      <c r="I12" s="452"/>
      <c r="J12" s="453"/>
      <c r="L12" s="611"/>
      <c r="M12" s="379"/>
      <c r="N12" s="336"/>
      <c r="O12" s="611"/>
      <c r="Q12" s="454"/>
      <c r="R12" s="454"/>
      <c r="T12" s="454"/>
      <c r="U12" s="454"/>
      <c r="W12" s="307"/>
      <c r="X12" s="307"/>
      <c r="Y12" s="384"/>
      <c r="AA12" s="299"/>
      <c r="AB12" s="382"/>
      <c r="AC12" s="384"/>
      <c r="AD12" s="127"/>
      <c r="AE12" s="348"/>
      <c r="AF12" s="550"/>
      <c r="AG12" s="127"/>
      <c r="AH12" s="299"/>
    </row>
    <row r="13" spans="2:34" ht="18.75" x14ac:dyDescent="0.3">
      <c r="B13" s="563">
        <f>+IF(C13&gt;0,'Pedido VACIO'!B17)</f>
        <v>1207700</v>
      </c>
      <c r="C13" s="657">
        <f>+IF(D13&gt;0,'Pedido VACIO'!C17)</f>
        <v>513</v>
      </c>
      <c r="D13" s="657" t="str">
        <f>+IF(E13&gt;0,'Pedido VACIO'!D17)</f>
        <v>C1</v>
      </c>
      <c r="E13" s="657" t="str">
        <f>+IF(F13&gt;0,'Pedido VACIO'!E17)</f>
        <v>LK</v>
      </c>
      <c r="F13" s="657" t="str">
        <f>+IF(G13&gt;0,'Pedido VACIO'!F17)</f>
        <v>Pelador Mgo Metalico</v>
      </c>
      <c r="G13" s="772">
        <f>+IF('Pedido VACIO'!G17&gt;0,'Pedido VACIO'!G17,0)</f>
        <v>36000</v>
      </c>
      <c r="I13" s="452"/>
      <c r="J13" s="453"/>
      <c r="L13" s="611"/>
      <c r="M13" s="379"/>
      <c r="N13" s="336"/>
      <c r="O13" s="611"/>
      <c r="Q13" s="454"/>
      <c r="R13" s="454"/>
      <c r="T13" s="454"/>
      <c r="U13" s="454"/>
      <c r="W13" s="307"/>
      <c r="X13" s="307"/>
      <c r="Y13" s="384"/>
      <c r="AA13" s="299"/>
      <c r="AB13" s="382"/>
      <c r="AC13" s="384"/>
      <c r="AD13" s="127"/>
      <c r="AE13" s="348"/>
      <c r="AF13" s="550"/>
      <c r="AG13" s="127"/>
      <c r="AH13" s="299"/>
    </row>
    <row r="14" spans="2:34" ht="18.75" x14ac:dyDescent="0.3">
      <c r="B14" s="302">
        <f>+IF(C14&gt;0,'Pedido VACIO'!B18)</f>
        <v>1207700</v>
      </c>
      <c r="C14" s="433">
        <f>+IF(D14&gt;0,'Pedido VACIO'!C18)</f>
        <v>505</v>
      </c>
      <c r="D14" s="433" t="str">
        <f>+IF(E14&gt;0,'Pedido VACIO'!D18)</f>
        <v>B1</v>
      </c>
      <c r="E14" s="433" t="str">
        <f>+IF(F14&gt;0,'Pedido VACIO'!E18)</f>
        <v>LK</v>
      </c>
      <c r="F14" s="433" t="str">
        <f>+IF(G14&gt;0,'Pedido VACIO'!F18)</f>
        <v>Pelador Mgo Plastico</v>
      </c>
      <c r="G14" s="773">
        <f>+IF('Pedido VACIO'!G18&gt;0,'Pedido VACIO'!G18,0)</f>
        <v>48000</v>
      </c>
      <c r="I14" s="452"/>
      <c r="J14" s="453"/>
      <c r="L14" s="611"/>
      <c r="M14" s="379"/>
      <c r="N14" s="336"/>
      <c r="O14" s="611"/>
      <c r="Q14" s="454"/>
      <c r="R14" s="454"/>
      <c r="T14" s="454"/>
      <c r="U14" s="454"/>
      <c r="W14" s="307"/>
      <c r="X14" s="307"/>
      <c r="Y14" s="384"/>
      <c r="AA14" s="299"/>
      <c r="AB14" s="382"/>
      <c r="AC14" s="384"/>
      <c r="AD14" s="127"/>
      <c r="AE14" s="348"/>
      <c r="AF14" s="550"/>
      <c r="AG14" s="127"/>
      <c r="AH14" s="299"/>
    </row>
    <row r="15" spans="2:34" ht="18.75" x14ac:dyDescent="0.3">
      <c r="B15" s="302">
        <f>+IF(C15&gt;0,'Pedido VACIO'!B19)</f>
        <v>1207700</v>
      </c>
      <c r="C15" s="433">
        <f>+IF(D15&gt;0,'Pedido VACIO'!C19)</f>
        <v>586</v>
      </c>
      <c r="D15" s="433" t="str">
        <f>+IF(E15&gt;0,'Pedido VACIO'!D19)</f>
        <v>B3</v>
      </c>
      <c r="E15" s="433" t="str">
        <f>+IF(F15&gt;0,'Pedido VACIO'!E19)</f>
        <v>LK</v>
      </c>
      <c r="F15" s="433" t="b">
        <f>+IF(G15&gt;0,'Pedido VACIO'!F19)</f>
        <v>0</v>
      </c>
      <c r="G15" s="773">
        <f>+IF('Pedido VACIO'!G19&gt;0,'Pedido VACIO'!G19,0)</f>
        <v>0</v>
      </c>
      <c r="I15" s="452"/>
      <c r="J15" s="453"/>
      <c r="L15" s="611"/>
      <c r="M15" s="379"/>
      <c r="N15" s="336"/>
      <c r="O15" s="611"/>
      <c r="Q15" s="454"/>
      <c r="R15" s="454"/>
      <c r="T15" s="454"/>
      <c r="U15" s="454"/>
      <c r="W15" s="307"/>
      <c r="X15" s="307"/>
      <c r="Y15" s="384"/>
      <c r="AA15" s="299"/>
      <c r="AB15" s="382"/>
      <c r="AC15" s="384"/>
      <c r="AD15" s="127"/>
      <c r="AE15" s="348"/>
      <c r="AF15" s="550"/>
      <c r="AG15" s="127"/>
      <c r="AH15" s="299"/>
    </row>
    <row r="16" spans="2:34" ht="19.5" thickBot="1" x14ac:dyDescent="0.35">
      <c r="B16" s="298">
        <f>+IF(C16&gt;0,'Pedido VACIO'!B22)</f>
        <v>1207700</v>
      </c>
      <c r="C16" s="443">
        <f>+IF(D16&gt;0,'Pedido VACIO'!C22)</f>
        <v>587</v>
      </c>
      <c r="D16" s="443" t="str">
        <f>+IF(E16&gt;0,'Pedido VACIO'!D22)</f>
        <v>B4</v>
      </c>
      <c r="E16" s="443" t="str">
        <f>+IF(F16&gt;0,'Pedido VACIO'!E22)</f>
        <v>LK</v>
      </c>
      <c r="F16" s="443" t="str">
        <f>+IF(G16&gt;0,'Pedido VACIO'!F22)</f>
        <v>Pelador Metalico Corte Laser</v>
      </c>
      <c r="G16" s="774">
        <f>+IF('Pedido VACIO'!G22&gt;0,'Pedido VACIO'!G22,0)</f>
        <v>12000</v>
      </c>
      <c r="I16" s="452"/>
      <c r="J16" s="453"/>
      <c r="L16" s="611"/>
      <c r="M16" s="379"/>
      <c r="N16" s="336"/>
      <c r="O16" s="611"/>
      <c r="Q16" s="454"/>
      <c r="R16" s="454"/>
      <c r="T16" s="454"/>
      <c r="U16" s="454"/>
      <c r="W16" s="307"/>
      <c r="X16" s="307"/>
      <c r="Y16" s="384"/>
      <c r="AA16" s="299"/>
      <c r="AB16" s="382"/>
      <c r="AC16" s="384"/>
      <c r="AD16" s="127"/>
      <c r="AE16" s="348"/>
      <c r="AF16" s="550"/>
      <c r="AG16" s="127"/>
      <c r="AH16" s="299"/>
    </row>
    <row r="17" spans="2:35" ht="19.5" thickBot="1" x14ac:dyDescent="0.35">
      <c r="B17" s="294"/>
      <c r="C17" s="294"/>
      <c r="D17" s="294"/>
      <c r="E17" s="294"/>
      <c r="F17" s="294"/>
      <c r="G17" s="294"/>
      <c r="I17" s="452"/>
      <c r="J17" s="453"/>
      <c r="L17" s="611"/>
      <c r="M17" s="379"/>
      <c r="N17" s="336"/>
      <c r="O17" s="611"/>
      <c r="Q17" s="454"/>
      <c r="R17" s="454"/>
      <c r="T17" s="454"/>
      <c r="U17" s="454"/>
      <c r="W17" s="307"/>
      <c r="X17" s="307"/>
      <c r="Y17" s="384"/>
      <c r="AA17" s="299"/>
      <c r="AB17" s="382"/>
      <c r="AC17" s="384"/>
      <c r="AD17" s="127"/>
      <c r="AE17" s="348"/>
      <c r="AF17" s="550"/>
      <c r="AG17" s="127"/>
      <c r="AH17" s="299"/>
    </row>
    <row r="18" spans="2:35" ht="24" thickBot="1" x14ac:dyDescent="0.3">
      <c r="B18" s="764" t="s">
        <v>1723</v>
      </c>
      <c r="C18" s="765"/>
      <c r="D18" s="765"/>
      <c r="E18" s="765"/>
      <c r="F18" s="765"/>
      <c r="G18" s="766"/>
      <c r="H18" s="769"/>
      <c r="I18" s="381"/>
      <c r="J18" s="693"/>
      <c r="K18" s="694"/>
      <c r="L18" s="506"/>
      <c r="M18" s="662"/>
      <c r="N18" s="630"/>
      <c r="O18" s="630"/>
      <c r="P18" s="662"/>
      <c r="Q18" s="506"/>
      <c r="R18" s="662"/>
      <c r="S18" s="662"/>
      <c r="T18" s="506"/>
      <c r="U18" s="662"/>
      <c r="V18" s="662"/>
      <c r="W18" s="506"/>
      <c r="X18" s="662"/>
      <c r="Y18" s="662"/>
      <c r="Z18" s="630"/>
      <c r="AA18" s="506"/>
      <c r="AB18" s="662"/>
      <c r="AC18" s="662"/>
      <c r="AD18" s="630"/>
      <c r="AE18" s="662"/>
      <c r="AF18" s="662"/>
      <c r="AG18" s="662"/>
      <c r="AH18" s="662"/>
      <c r="AI18" s="662"/>
    </row>
    <row r="19" spans="2:35" ht="18.75" x14ac:dyDescent="0.25">
      <c r="B19" s="563">
        <f>+IF(C19&gt;0,'Pedido VACIO'!B26)</f>
        <v>1261700</v>
      </c>
      <c r="C19" s="657">
        <f>+IF(D19&gt;0,'Pedido VACIO'!C26)</f>
        <v>525</v>
      </c>
      <c r="D19" s="657" t="str">
        <f>+IF(E19&gt;0,'Pedido VACIO'!D26)</f>
        <v>E1B</v>
      </c>
      <c r="E19" s="657" t="str">
        <f>+IF(F19&gt;0,'Pedido VACIO'!E26)</f>
        <v>LK</v>
      </c>
      <c r="F19" s="657" t="b">
        <f>+IF(G19&gt;0,'Pedido VACIO'!F26)</f>
        <v>0</v>
      </c>
      <c r="G19" s="772">
        <f>+IF('Pedido VACIO'!G26&gt;0,'Pedido VACIO'!G26,0)</f>
        <v>0</v>
      </c>
      <c r="H19" s="315"/>
      <c r="I19" s="381"/>
      <c r="J19" s="693"/>
      <c r="K19" s="694"/>
      <c r="L19" s="506"/>
      <c r="M19" s="662"/>
      <c r="N19" s="630"/>
      <c r="O19" s="630"/>
      <c r="P19" s="662"/>
      <c r="Q19" s="506"/>
      <c r="R19" s="662"/>
      <c r="S19" s="662"/>
      <c r="T19" s="506"/>
      <c r="U19" s="662"/>
      <c r="V19" s="662"/>
      <c r="W19" s="506"/>
      <c r="X19" s="662"/>
      <c r="Y19" s="662"/>
      <c r="Z19" s="630"/>
      <c r="AA19" s="506"/>
      <c r="AB19" s="662"/>
      <c r="AC19" s="662"/>
      <c r="AD19" s="630"/>
      <c r="AE19" s="662"/>
      <c r="AF19" s="662"/>
      <c r="AG19" s="662"/>
      <c r="AH19" s="662"/>
      <c r="AI19" s="662"/>
    </row>
    <row r="20" spans="2:35" ht="18.75" x14ac:dyDescent="0.3">
      <c r="B20" s="302">
        <f>+IF(C20&gt;0,'Pedido VACIO'!B27)</f>
        <v>1261700</v>
      </c>
      <c r="C20" s="433">
        <f>+IF(D20&gt;0,'Pedido VACIO'!C27)</f>
        <v>531</v>
      </c>
      <c r="D20" s="433" t="str">
        <f>+IF(E20&gt;0,'Pedido VACIO'!D27)</f>
        <v>E4B</v>
      </c>
      <c r="E20" s="433" t="str">
        <f>+IF(F20&gt;0,'Pedido VACIO'!E27)</f>
        <v>LK</v>
      </c>
      <c r="F20" s="433" t="b">
        <f>+IF(G20&gt;0,'Pedido VACIO'!F27)</f>
        <v>0</v>
      </c>
      <c r="G20" s="773">
        <f>+IF('Pedido VACIO'!G27&gt;0,'Pedido VACIO'!G27,0)</f>
        <v>0</v>
      </c>
      <c r="I20" s="452"/>
      <c r="J20" s="453"/>
      <c r="L20" s="611"/>
      <c r="M20" s="379"/>
      <c r="N20" s="336"/>
      <c r="O20" s="611"/>
      <c r="Q20" s="454"/>
      <c r="R20" s="454"/>
      <c r="T20" s="454"/>
      <c r="U20" s="454"/>
      <c r="W20" s="307"/>
      <c r="X20" s="307"/>
      <c r="Y20" s="384"/>
      <c r="AA20" s="299"/>
      <c r="AB20" s="382"/>
      <c r="AC20" s="384"/>
      <c r="AD20" s="127"/>
      <c r="AE20" s="348"/>
      <c r="AF20" s="550"/>
      <c r="AG20" s="127"/>
      <c r="AH20" s="299"/>
    </row>
    <row r="21" spans="2:35" ht="18.75" x14ac:dyDescent="0.3">
      <c r="B21" s="302">
        <f>+IF(C21&gt;0,'Pedido VACIO'!B28)</f>
        <v>1261700</v>
      </c>
      <c r="C21" s="433">
        <f>+IF(D21&gt;0,'Pedido VACIO'!C28)</f>
        <v>521</v>
      </c>
      <c r="D21" s="433" t="str">
        <f>+IF(E21&gt;0,'Pedido VACIO'!D28)</f>
        <v>E1A</v>
      </c>
      <c r="E21" s="433" t="str">
        <f>+IF(F21&gt;0,'Pedido VACIO'!E28)</f>
        <v>LK</v>
      </c>
      <c r="F21" s="433" t="str">
        <f>+IF(G21&gt;0,'Pedido VACIO'!F28)</f>
        <v>Sacacorcho Combinado Crom</v>
      </c>
      <c r="G21" s="773">
        <f>+IF('Pedido VACIO'!G28&gt;0,'Pedido VACIO'!G28,0)</f>
        <v>4000</v>
      </c>
      <c r="I21" s="452"/>
      <c r="J21" s="453"/>
      <c r="L21" s="611"/>
      <c r="M21" s="379"/>
      <c r="N21" s="336"/>
      <c r="O21" s="611"/>
      <c r="Q21" s="454"/>
      <c r="R21" s="454"/>
      <c r="T21" s="454"/>
      <c r="U21" s="454"/>
      <c r="W21" s="307"/>
      <c r="X21" s="307"/>
      <c r="Y21" s="384"/>
      <c r="AA21" s="299"/>
      <c r="AB21" s="382"/>
      <c r="AC21" s="384"/>
      <c r="AD21" s="127"/>
      <c r="AE21" s="348"/>
      <c r="AF21" s="550"/>
      <c r="AG21" s="127"/>
      <c r="AH21" s="299"/>
    </row>
    <row r="22" spans="2:35" ht="18.75" x14ac:dyDescent="0.3">
      <c r="B22" s="302">
        <f>+IF(C22&gt;0,'Pedido VACIO'!B29)</f>
        <v>1261700</v>
      </c>
      <c r="C22" s="433">
        <f>+IF(D22&gt;0,'Pedido VACIO'!C29)</f>
        <v>523</v>
      </c>
      <c r="D22" s="433" t="str">
        <f>+IF(E22&gt;0,'Pedido VACIO'!D29)</f>
        <v>E4A</v>
      </c>
      <c r="E22" s="433" t="str">
        <f>+IF(F22&gt;0,'Pedido VACIO'!E29)</f>
        <v>LK</v>
      </c>
      <c r="F22" s="433" t="str">
        <f>+IF(G22&gt;0,'Pedido VACIO'!F29)</f>
        <v xml:space="preserve">Sacacorcho Doble Aleta  </v>
      </c>
      <c r="G22" s="773">
        <f>+IF('Pedido VACIO'!G29&gt;0,'Pedido VACIO'!G29,0)</f>
        <v>4000</v>
      </c>
      <c r="I22" s="452"/>
      <c r="J22" s="453"/>
      <c r="L22" s="611"/>
      <c r="M22" s="379"/>
      <c r="N22" s="336"/>
      <c r="O22" s="611"/>
      <c r="Q22" s="454"/>
      <c r="R22" s="454"/>
      <c r="T22" s="454"/>
      <c r="U22" s="454"/>
      <c r="W22" s="307"/>
      <c r="X22" s="307"/>
      <c r="Y22" s="384"/>
      <c r="AA22" s="299"/>
      <c r="AB22" s="382"/>
      <c r="AC22" s="384"/>
      <c r="AD22" s="127"/>
      <c r="AE22" s="348"/>
      <c r="AF22" s="550"/>
      <c r="AG22" s="127"/>
      <c r="AH22" s="299"/>
    </row>
    <row r="23" spans="2:35" ht="18.75" x14ac:dyDescent="0.3">
      <c r="B23" s="302">
        <f>+IF(C23&gt;0,'Pedido VACIO'!B30)</f>
        <v>1261700</v>
      </c>
      <c r="C23" s="433">
        <f>+IF(D23&gt;0,'Pedido VACIO'!C30)</f>
        <v>581</v>
      </c>
      <c r="D23" s="433" t="str">
        <f>+IF(E23&gt;0,'Pedido VACIO'!D30)</f>
        <v>E2B</v>
      </c>
      <c r="E23" s="433" t="str">
        <f>+IF(F23&gt;0,'Pedido VACIO'!E30)</f>
        <v>LK</v>
      </c>
      <c r="F23" s="433" t="str">
        <f>+IF(G23&gt;0,'Pedido VACIO'!F30)</f>
        <v>Sacacorcho Mgo Ergonomico</v>
      </c>
      <c r="G23" s="773">
        <f>+IF('Pedido VACIO'!G31&gt;0,'Pedido VACIO'!G31,0)</f>
        <v>6000</v>
      </c>
      <c r="I23" s="452"/>
      <c r="J23" s="453"/>
      <c r="L23" s="611"/>
      <c r="M23" s="379"/>
      <c r="N23" s="336"/>
      <c r="O23" s="611"/>
      <c r="Q23" s="454"/>
      <c r="R23" s="454"/>
      <c r="T23" s="454"/>
      <c r="U23" s="454"/>
      <c r="W23" s="307"/>
      <c r="X23" s="307"/>
      <c r="Y23" s="384"/>
      <c r="AA23" s="299"/>
      <c r="AB23" s="382"/>
      <c r="AC23" s="384"/>
      <c r="AD23" s="127"/>
      <c r="AE23" s="348"/>
      <c r="AF23" s="550"/>
      <c r="AG23" s="127"/>
      <c r="AH23" s="299"/>
    </row>
    <row r="24" spans="2:35" ht="18.75" x14ac:dyDescent="0.3">
      <c r="B24" s="302">
        <f>+IF(C24&gt;0,'Pedido VACIO'!B31)</f>
        <v>1261700</v>
      </c>
      <c r="C24" s="433">
        <f>+IF(D24&gt;0,'Pedido VACIO'!C31)</f>
        <v>530</v>
      </c>
      <c r="D24" s="433" t="str">
        <f>+IF(E24&gt;0,'Pedido VACIO'!D31)</f>
        <v>E3</v>
      </c>
      <c r="E24" s="433" t="str">
        <f>+IF(F24&gt;0,'Pedido VACIO'!E31)</f>
        <v>LK</v>
      </c>
      <c r="F24" s="433" t="str">
        <f>+IF(G24&gt;0,'Pedido VACIO'!F31)</f>
        <v>Sacacorcho Tipo Mozo Color</v>
      </c>
      <c r="G24" s="773">
        <f>+IF('Pedido VACIO'!G32&gt;0,'Pedido VACIO'!G32,0)</f>
        <v>10000</v>
      </c>
      <c r="I24" s="452"/>
      <c r="J24" s="453"/>
      <c r="L24" s="611"/>
      <c r="M24" s="379"/>
      <c r="N24" s="336"/>
      <c r="O24" s="611"/>
      <c r="Q24" s="454"/>
      <c r="R24" s="454"/>
      <c r="T24" s="454"/>
      <c r="U24" s="454"/>
      <c r="W24" s="307"/>
      <c r="X24" s="307"/>
      <c r="Y24" s="384"/>
      <c r="AA24" s="299"/>
      <c r="AB24" s="382"/>
      <c r="AC24" s="384"/>
      <c r="AD24" s="127"/>
      <c r="AE24" s="348"/>
      <c r="AF24" s="550"/>
      <c r="AG24" s="127"/>
      <c r="AH24" s="299"/>
    </row>
    <row r="25" spans="2:35" ht="19.5" thickBot="1" x14ac:dyDescent="0.35">
      <c r="B25" s="298">
        <f>+IF(C25&gt;0,'Pedido VACIO'!B32)</f>
        <v>1261700</v>
      </c>
      <c r="C25" s="443">
        <f>+IF(D25&gt;0,'Pedido VACIO'!C32)</f>
        <v>520</v>
      </c>
      <c r="D25" s="443" t="str">
        <f>+IF(E25&gt;0,'Pedido VACIO'!D32)</f>
        <v>E2A</v>
      </c>
      <c r="E25" s="443" t="str">
        <f>+IF(F25&gt;0,'Pedido VACIO'!E32)</f>
        <v>LK</v>
      </c>
      <c r="F25" s="443" t="str">
        <f>+IF(G25&gt;0,'Pedido VACIO'!F32)</f>
        <v>Sacacorcho Tipo Mozo Crom</v>
      </c>
      <c r="G25" s="774">
        <f>+IF('Pedido VACIO'!G32&gt;0,'Pedido VACIO'!G32,0)</f>
        <v>10000</v>
      </c>
      <c r="I25" s="452"/>
      <c r="J25" s="453"/>
      <c r="L25" s="611"/>
      <c r="M25" s="379"/>
      <c r="N25" s="336"/>
      <c r="O25" s="611"/>
      <c r="Q25" s="454"/>
      <c r="R25" s="454"/>
      <c r="T25" s="454"/>
      <c r="U25" s="454"/>
      <c r="W25" s="307"/>
      <c r="X25" s="307"/>
      <c r="Y25" s="384"/>
      <c r="AA25" s="299"/>
      <c r="AB25" s="382"/>
      <c r="AC25" s="384"/>
      <c r="AD25" s="127"/>
      <c r="AE25" s="348"/>
      <c r="AF25" s="550"/>
      <c r="AG25" s="127"/>
      <c r="AH25" s="299"/>
    </row>
    <row r="26" spans="2:35" ht="19.5" thickBot="1" x14ac:dyDescent="0.35">
      <c r="B26" s="294"/>
      <c r="C26" s="294"/>
      <c r="D26" s="294"/>
      <c r="E26" s="294"/>
      <c r="F26" s="294"/>
      <c r="G26" s="294"/>
      <c r="I26" s="452"/>
      <c r="J26" s="453"/>
      <c r="L26" s="611"/>
      <c r="M26" s="379"/>
      <c r="N26" s="336"/>
      <c r="O26" s="611"/>
      <c r="Q26" s="454"/>
      <c r="R26" s="454"/>
      <c r="T26" s="454"/>
      <c r="U26" s="454"/>
      <c r="W26" s="307"/>
      <c r="X26" s="307"/>
      <c r="Y26" s="384"/>
      <c r="AA26" s="299"/>
      <c r="AB26" s="382"/>
      <c r="AC26" s="384"/>
      <c r="AD26" s="127"/>
      <c r="AE26" s="348"/>
      <c r="AF26" s="550"/>
      <c r="AG26" s="127"/>
      <c r="AH26" s="299"/>
    </row>
    <row r="27" spans="2:35" ht="24" thickBot="1" x14ac:dyDescent="0.3">
      <c r="B27" s="764" t="s">
        <v>1726</v>
      </c>
      <c r="C27" s="765"/>
      <c r="D27" s="765"/>
      <c r="E27" s="765"/>
      <c r="F27" s="765"/>
      <c r="G27" s="766"/>
      <c r="H27" s="769"/>
    </row>
    <row r="28" spans="2:35" ht="18.75" x14ac:dyDescent="0.25">
      <c r="B28" s="294">
        <f>+IF(C28&gt;0,'Pedido VACIO'!B36)</f>
        <v>1273700</v>
      </c>
      <c r="C28" s="294">
        <f>+IF(D28&gt;0,'Pedido VACIO'!C36)</f>
        <v>504</v>
      </c>
      <c r="D28" s="294" t="str">
        <f>+IF(E28&gt;0,'Pedido VACIO'!D36)</f>
        <v>C3</v>
      </c>
      <c r="E28" s="294" t="str">
        <f>+IF(F28&gt;0,'Pedido VACIO'!E36)</f>
        <v>LK</v>
      </c>
      <c r="F28" s="294" t="str">
        <f>+IF(G28&gt;0,'Pedido VACIO'!F36)</f>
        <v>Afila Cuchillos</v>
      </c>
      <c r="G28" s="294">
        <f>+IF('Pedido VACIO'!G36&gt;0,'Pedido VACIO'!G36,0)</f>
        <v>12000</v>
      </c>
    </row>
    <row r="29" spans="2:35" ht="18.75" x14ac:dyDescent="0.25">
      <c r="B29" s="294">
        <f>+IF(C29&gt;0,'Pedido VACIO'!B37)</f>
        <v>1269700</v>
      </c>
      <c r="C29" s="294">
        <f>+IF(D29&gt;0,'Pedido VACIO'!C37)</f>
        <v>511</v>
      </c>
      <c r="D29" s="294" t="str">
        <f>+IF(E29&gt;0,'Pedido VACIO'!D37)</f>
        <v>G3D</v>
      </c>
      <c r="E29" s="294" t="str">
        <f>+IF(F29&gt;0,'Pedido VACIO'!E37)</f>
        <v>LK</v>
      </c>
      <c r="F29" s="294" t="b">
        <f>+IF(G29&gt;0,'Pedido VACIO'!F37)</f>
        <v>0</v>
      </c>
      <c r="G29" s="294">
        <f>+IF('Pedido VACIO'!G37&gt;0,'Pedido VACIO'!G37,0)</f>
        <v>0</v>
      </c>
    </row>
    <row r="30" spans="2:35" ht="18.75" x14ac:dyDescent="0.25">
      <c r="B30" s="294">
        <f>+IF(C30&gt;0,'Pedido VACIO'!B38)</f>
        <v>1206700</v>
      </c>
      <c r="C30" s="294">
        <f>+IF(D30&gt;0,'Pedido VACIO'!C38)</f>
        <v>58</v>
      </c>
      <c r="D30" s="294" t="str">
        <f>+IF(E30&gt;0,'Pedido VACIO'!D38)</f>
        <v>G5C</v>
      </c>
      <c r="E30" s="294" t="str">
        <f>+IF(F30&gt;0,'Pedido VACIO'!E38)</f>
        <v>LK</v>
      </c>
      <c r="F30" s="294" t="b">
        <f>+IF(G30&gt;0,'Pedido VACIO'!F38)</f>
        <v>0</v>
      </c>
      <c r="G30" s="294">
        <f>+IF('Pedido VACIO'!G38&gt;0,'Pedido VACIO'!G38,0)</f>
        <v>0</v>
      </c>
    </row>
    <row r="31" spans="2:35" ht="18.75" x14ac:dyDescent="0.25">
      <c r="B31" s="294">
        <f>+IF(C31&gt;0,'Pedido VACIO'!B39)</f>
        <v>1206700</v>
      </c>
      <c r="C31" s="294">
        <f>+IF(D31&gt;0,'Pedido VACIO'!C39)</f>
        <v>547</v>
      </c>
      <c r="D31" s="294" t="str">
        <f>+IF(E31&gt;0,'Pedido VACIO'!D39)</f>
        <v>G7D</v>
      </c>
      <c r="E31" s="294" t="str">
        <f>+IF(F31&gt;0,'Pedido VACIO'!E39)</f>
        <v>LK</v>
      </c>
      <c r="F31" s="294" t="b">
        <f>+IF(G31&gt;0,'Pedido VACIO'!F39)</f>
        <v>0</v>
      </c>
      <c r="G31" s="294">
        <f>+IF('Pedido VACIO'!G39&gt;0,'Pedido VACIO'!G39,0)</f>
        <v>0</v>
      </c>
      <c r="H31" s="755"/>
    </row>
    <row r="32" spans="2:35" ht="18.75" x14ac:dyDescent="0.25">
      <c r="B32" s="294">
        <f>+IF(C32&gt;0,'Pedido VACIO'!B40)</f>
        <v>1263700</v>
      </c>
      <c r="C32" s="294">
        <f>+IF(D32&gt;0,'Pedido VACIO'!C40)</f>
        <v>532</v>
      </c>
      <c r="D32" s="294" t="str">
        <f>+IF(E32&gt;0,'Pedido VACIO'!D40)</f>
        <v>G2B</v>
      </c>
      <c r="E32" s="294" t="str">
        <f>+IF(F32&gt;0,'Pedido VACIO'!E40)</f>
        <v>LK</v>
      </c>
      <c r="F32" s="294" t="str">
        <f>+IF(G32&gt;0,'Pedido VACIO'!F40)</f>
        <v>Cuchara De Helado</v>
      </c>
      <c r="G32" s="294">
        <f>+IF('Pedido VACIO'!G40&gt;0,'Pedido VACIO'!G40,0)</f>
        <v>1000</v>
      </c>
      <c r="H32" s="315"/>
    </row>
    <row r="33" spans="2:34" ht="18.75" x14ac:dyDescent="0.25">
      <c r="B33" s="294">
        <f>+IF(C33&gt;0,'Pedido VACIO'!B41)</f>
        <v>1281700</v>
      </c>
      <c r="C33" s="294">
        <f>+IF(D33&gt;0,'Pedido VACIO'!C41)</f>
        <v>551</v>
      </c>
      <c r="D33" s="294" t="str">
        <f>+IF(E33&gt;0,'Pedido VACIO'!D41)</f>
        <v>G8A</v>
      </c>
      <c r="E33" s="294" t="str">
        <f>+IF(F33&gt;0,'Pedido VACIO'!E41)</f>
        <v>LK</v>
      </c>
      <c r="F33" s="294" t="str">
        <f>+IF(G33&gt;0,'Pedido VACIO'!F41)</f>
        <v>Cuchillo Untar Mgo Plast x 2</v>
      </c>
      <c r="G33" s="294">
        <f>+IF('Pedido VACIO'!G41&gt;0,'Pedido VACIO'!G41,0)</f>
        <v>1000</v>
      </c>
    </row>
    <row r="34" spans="2:34" ht="18.75" x14ac:dyDescent="0.25">
      <c r="B34" s="294">
        <f>+IF(C34&gt;0,'Pedido VACIO'!B42)</f>
        <v>1281700</v>
      </c>
      <c r="C34" s="294">
        <f>+IF(D34&gt;0,'Pedido VACIO'!C42)</f>
        <v>519</v>
      </c>
      <c r="D34" s="294" t="str">
        <f>+IF(E34&gt;0,'Pedido VACIO'!D42)</f>
        <v>G5E</v>
      </c>
      <c r="E34" s="294" t="str">
        <f>+IF(F34&gt;0,'Pedido VACIO'!E42)</f>
        <v>LK</v>
      </c>
      <c r="F34" s="294" t="b">
        <f>+IF(G34&gt;0,'Pedido VACIO'!F42)</f>
        <v>0</v>
      </c>
      <c r="G34" s="294">
        <f>+IF('Pedido VACIO'!G42&gt;0,'Pedido VACIO'!G42,0)</f>
        <v>0</v>
      </c>
    </row>
    <row r="35" spans="2:34" ht="18.75" x14ac:dyDescent="0.25">
      <c r="B35" s="294">
        <f>+IF(C35&gt;0,'Pedido VACIO'!B43)</f>
        <v>1206700</v>
      </c>
      <c r="C35" s="294">
        <f>+IF(D35&gt;0,'Pedido VACIO'!C43)</f>
        <v>395</v>
      </c>
      <c r="D35" s="294" t="str">
        <f>+IF(E35&gt;0,'Pedido VACIO'!D43)</f>
        <v>G1C</v>
      </c>
      <c r="E35" s="294" t="str">
        <f>+IF(F35&gt;0,'Pedido VACIO'!E43)</f>
        <v>LK</v>
      </c>
      <c r="F35" s="294" t="b">
        <f>+IF(G35&gt;0,'Pedido VACIO'!F43)</f>
        <v>0</v>
      </c>
      <c r="G35" s="294">
        <f>+IF('Pedido VACIO'!G43&gt;0,'Pedido VACIO'!G43,0)</f>
        <v>0</v>
      </c>
    </row>
    <row r="36" spans="2:34" ht="18.75" x14ac:dyDescent="0.25">
      <c r="B36" s="294">
        <f>+IF(C36&gt;0,'Pedido VACIO'!B44)</f>
        <v>1206700</v>
      </c>
      <c r="C36" s="294">
        <f>+IF(D36&gt;0,'Pedido VACIO'!C44)</f>
        <v>57</v>
      </c>
      <c r="D36" s="294" t="str">
        <f>+IF(E36&gt;0,'Pedido VACIO'!D44)</f>
        <v>G7A</v>
      </c>
      <c r="E36" s="294" t="str">
        <f>+IF(F36&gt;0,'Pedido VACIO'!E44)</f>
        <v>LK</v>
      </c>
      <c r="F36" s="294" t="str">
        <f>+IF(G36&gt;0,'Pedido VACIO'!F44)</f>
        <v>Destapa Corona x 1 Cromado</v>
      </c>
      <c r="G36" s="294">
        <f>+IF('Pedido VACIO'!G44&gt;0,'Pedido VACIO'!G44,0)</f>
        <v>2000</v>
      </c>
    </row>
    <row r="37" spans="2:34" ht="18.75" x14ac:dyDescent="0.25">
      <c r="B37" s="294">
        <f>+IF(C37&gt;0,'Pedido VACIO'!B45)</f>
        <v>2374700</v>
      </c>
      <c r="C37" s="294">
        <f>+IF(D37&gt;0,'Pedido VACIO'!C45)</f>
        <v>550</v>
      </c>
      <c r="D37" s="294" t="str">
        <f>+IF(E37&gt;0,'Pedido VACIO'!D45)</f>
        <v>G6B</v>
      </c>
      <c r="E37" s="294" t="str">
        <f>+IF(F37&gt;0,'Pedido VACIO'!E45)</f>
        <v>LK</v>
      </c>
      <c r="F37" s="294" t="str">
        <f>+IF(G37&gt;0,'Pedido VACIO'!F45)</f>
        <v>Filtro Para Bombillas</v>
      </c>
      <c r="G37" s="294">
        <f>+IF('Pedido VACIO'!G45&gt;0,'Pedido VACIO'!G45,0)</f>
        <v>2000</v>
      </c>
    </row>
    <row r="38" spans="2:34" ht="18.75" x14ac:dyDescent="0.25">
      <c r="B38" s="294">
        <f>+IF(C38&gt;0,'Pedido VACIO'!B46)</f>
        <v>1206700</v>
      </c>
      <c r="C38" s="294">
        <f>+IF(D38&gt;0,'Pedido VACIO'!C46)</f>
        <v>499</v>
      </c>
      <c r="D38" s="294" t="str">
        <f>+IF(E38&gt;0,'Pedido VACIO'!D46)</f>
        <v>G7C</v>
      </c>
      <c r="E38" s="294" t="str">
        <f>+IF(F38&gt;0,'Pedido VACIO'!E46)</f>
        <v>LK</v>
      </c>
      <c r="F38" s="294" t="b">
        <f>+IF(G38&gt;0,'Pedido VACIO'!F46)</f>
        <v>0</v>
      </c>
      <c r="G38" s="294">
        <f>+IF('Pedido VACIO'!G46&gt;0,'Pedido VACIO'!G46,0)</f>
        <v>0</v>
      </c>
    </row>
    <row r="39" spans="2:34" ht="18.75" x14ac:dyDescent="0.25">
      <c r="B39" s="294">
        <f>+IF(C39&gt;0,'Pedido VACIO'!B47)</f>
        <v>1270700</v>
      </c>
      <c r="C39" s="294">
        <f>+IF(D39&gt;0,'Pedido VACIO'!C47)</f>
        <v>229</v>
      </c>
      <c r="D39" s="294" t="str">
        <f>+IF(E39&gt;0,'Pedido VACIO'!D47)</f>
        <v>G3C</v>
      </c>
      <c r="E39" s="294" t="str">
        <f>+IF(F39&gt;0,'Pedido VACIO'!E47)</f>
        <v>LK</v>
      </c>
      <c r="F39" s="294" t="b">
        <f>+IF(G39&gt;0,'Pedido VACIO'!F47)</f>
        <v>0</v>
      </c>
      <c r="G39" s="294">
        <f>+IF('Pedido VACIO'!G47&gt;0,'Pedido VACIO'!G47,0)</f>
        <v>0</v>
      </c>
    </row>
    <row r="40" spans="2:34" ht="18.75" x14ac:dyDescent="0.25">
      <c r="B40" s="294">
        <f>+IF(C40&gt;0,'Pedido VACIO'!B48)</f>
        <v>1207700</v>
      </c>
      <c r="C40" s="294">
        <f>+IF(D40&gt;0,'Pedido VACIO'!C48)</f>
        <v>569</v>
      </c>
      <c r="D40" s="294" t="str">
        <f>+IF(E40&gt;0,'Pedido VACIO'!D48)</f>
        <v>G5D</v>
      </c>
      <c r="E40" s="294" t="str">
        <f>+IF(F40&gt;0,'Pedido VACIO'!E48)</f>
        <v>LK</v>
      </c>
      <c r="F40" s="294" t="b">
        <f>+IF(G40&gt;0,'Pedido VACIO'!F48)</f>
        <v>0</v>
      </c>
      <c r="G40" s="294">
        <f>+IF('Pedido VACIO'!G48&gt;0,'Pedido VACIO'!G48,0)</f>
        <v>0</v>
      </c>
    </row>
    <row r="41" spans="2:34" ht="18.75" x14ac:dyDescent="0.25">
      <c r="B41" s="294">
        <f>+IF(C41&gt;0,'Pedido VACIO'!B49)</f>
        <v>1266700</v>
      </c>
      <c r="C41" s="294">
        <f>+IF(D41&gt;0,'Pedido VACIO'!C49)</f>
        <v>560</v>
      </c>
      <c r="D41" s="294" t="str">
        <f>+IF(E41&gt;0,'Pedido VACIO'!D49)</f>
        <v>G3E</v>
      </c>
      <c r="E41" s="294" t="str">
        <f>+IF(F41&gt;0,'Pedido VACIO'!E49)</f>
        <v>LK</v>
      </c>
      <c r="F41" s="294" t="b">
        <f>+IF(G41&gt;0,'Pedido VACIO'!F49)</f>
        <v>0</v>
      </c>
      <c r="G41" s="294">
        <f>+IF('Pedido VACIO'!G49&gt;0,'Pedido VACIO'!G49,0)</f>
        <v>0</v>
      </c>
    </row>
    <row r="42" spans="2:34" ht="18.75" x14ac:dyDescent="0.25">
      <c r="B42" s="294">
        <f>+IF(C42&gt;0,'Pedido VACIO'!B50)</f>
        <v>1206700</v>
      </c>
      <c r="C42" s="294">
        <f>+IF(D42&gt;0,'Pedido VACIO'!C50)</f>
        <v>596</v>
      </c>
      <c r="D42" s="294" t="str">
        <f>+IF(E42&gt;0,'Pedido VACIO'!D50)</f>
        <v>G4E</v>
      </c>
      <c r="E42" s="294" t="str">
        <f>+IF(F42&gt;0,'Pedido VACIO'!E50)</f>
        <v>LK</v>
      </c>
      <c r="F42" s="294" t="b">
        <f>+IF(G42&gt;0,'Pedido VACIO'!F50)</f>
        <v>0</v>
      </c>
      <c r="G42" s="294">
        <f>+IF('Pedido VACIO'!G50&gt;0,'Pedido VACIO'!G50,0)</f>
        <v>0</v>
      </c>
    </row>
    <row r="43" spans="2:34" ht="18.75" x14ac:dyDescent="0.25">
      <c r="B43" s="294">
        <f>+IF(C43&gt;0,'Pedido VACIO'!B51)</f>
        <v>1206700</v>
      </c>
      <c r="C43" s="294">
        <f>+IF(D43&gt;0,'Pedido VACIO'!C51)</f>
        <v>595</v>
      </c>
      <c r="D43" s="294" t="str">
        <f>+IF(E43&gt;0,'Pedido VACIO'!D51)</f>
        <v>G4D</v>
      </c>
      <c r="E43" s="294" t="str">
        <f>+IF(F43&gt;0,'Pedido VACIO'!E51)</f>
        <v>LK</v>
      </c>
      <c r="F43" s="294" t="b">
        <f>+IF(G43&gt;0,'Pedido VACIO'!F51)</f>
        <v>0</v>
      </c>
      <c r="G43" s="294">
        <f>+IF('Pedido VACIO'!G51&gt;0,'Pedido VACIO'!G51,0)</f>
        <v>0</v>
      </c>
    </row>
    <row r="44" spans="2:34" ht="18.75" x14ac:dyDescent="0.25">
      <c r="B44" s="294">
        <f>+IF(C44&gt;0,'Pedido VACIO'!B52)</f>
        <v>1206700</v>
      </c>
      <c r="C44" s="294">
        <f>+IF(D44&gt;0,'Pedido VACIO'!C52)</f>
        <v>594</v>
      </c>
      <c r="D44" s="294" t="str">
        <f>+IF(E44&gt;0,'Pedido VACIO'!D52)</f>
        <v>G4C</v>
      </c>
      <c r="E44" s="294" t="str">
        <f>+IF(F44&gt;0,'Pedido VACIO'!E52)</f>
        <v>LK</v>
      </c>
      <c r="F44" s="294" t="b">
        <f>+IF(G44&gt;0,'Pedido VACIO'!F52)</f>
        <v>0</v>
      </c>
      <c r="G44" s="294">
        <f>+IF('Pedido VACIO'!G52&gt;0,'Pedido VACIO'!G52,0)</f>
        <v>0</v>
      </c>
    </row>
    <row r="45" spans="2:34" ht="18.75" x14ac:dyDescent="0.25">
      <c r="B45" s="294">
        <f>+IF(C45&gt;0,'Pedido VACIO'!B53)</f>
        <v>1206700</v>
      </c>
      <c r="C45" s="294">
        <f>+IF(D45&gt;0,'Pedido VACIO'!C53)</f>
        <v>565</v>
      </c>
      <c r="D45" s="294" t="str">
        <f>+IF(E45&gt;0,'Pedido VACIO'!D53)</f>
        <v>G4B</v>
      </c>
      <c r="E45" s="294" t="str">
        <f>+IF(F45&gt;0,'Pedido VACIO'!E53)</f>
        <v>LK</v>
      </c>
      <c r="F45" s="294" t="b">
        <f>+IF(G45&gt;0,'Pedido VACIO'!F53)</f>
        <v>0</v>
      </c>
      <c r="G45" s="294">
        <f>+IF('Pedido VACIO'!G53&gt;0,'Pedido VACIO'!G53,0)</f>
        <v>0</v>
      </c>
    </row>
    <row r="46" spans="2:34" ht="18.75" x14ac:dyDescent="0.25">
      <c r="B46" s="294">
        <f>+IF(C46&gt;0,'Pedido VACIO'!B54)</f>
        <v>1268700</v>
      </c>
      <c r="C46" s="294">
        <f>+IF(D46&gt;0,'Pedido VACIO'!C54)</f>
        <v>507</v>
      </c>
      <c r="D46" s="294" t="str">
        <f>+IF(E46&gt;0,'Pedido VACIO'!D54)</f>
        <v>G1E</v>
      </c>
      <c r="E46" s="294" t="str">
        <f>+IF(F46&gt;0,'Pedido VACIO'!E54)</f>
        <v>LK</v>
      </c>
      <c r="F46" s="294" t="str">
        <f>+IF(G46&gt;0,'Pedido VACIO'!F54)</f>
        <v>Rompenueces</v>
      </c>
      <c r="G46" s="294">
        <f>+IF('Pedido VACIO'!G54&gt;0,'Pedido VACIO'!G54,0)</f>
        <v>2000</v>
      </c>
      <c r="H46" s="315"/>
    </row>
    <row r="47" spans="2:34" ht="18.75" x14ac:dyDescent="0.3">
      <c r="B47" s="294">
        <f>+IF(C47&gt;0,'Pedido VACIO'!B55)</f>
        <v>1206700</v>
      </c>
      <c r="C47" s="294">
        <f>+IF(D47&gt;0,'Pedido VACIO'!C55)</f>
        <v>518</v>
      </c>
      <c r="D47" s="294" t="str">
        <f>+IF(E47&gt;0,'Pedido VACIO'!D55)</f>
        <v>G7E</v>
      </c>
      <c r="E47" s="294" t="str">
        <f>+IF(F47&gt;0,'Pedido VACIO'!E55)</f>
        <v>LK</v>
      </c>
      <c r="F47" s="294" t="str">
        <f>+IF(G47&gt;0,'Pedido VACIO'!F55)</f>
        <v>Sacafuente Pizzero</v>
      </c>
      <c r="G47" s="294">
        <f>+IF('Pedido VACIO'!G55&gt;0,'Pedido VACIO'!G55,0)</f>
        <v>3000</v>
      </c>
      <c r="I47" s="452"/>
      <c r="J47" s="453"/>
      <c r="L47" s="611"/>
      <c r="M47" s="379"/>
      <c r="N47" s="336"/>
      <c r="O47" s="611"/>
      <c r="Q47" s="454"/>
      <c r="R47" s="454"/>
      <c r="T47" s="454"/>
      <c r="U47" s="454"/>
      <c r="W47" s="307"/>
      <c r="X47" s="307"/>
      <c r="Y47" s="384"/>
      <c r="AA47" s="299"/>
      <c r="AB47" s="382"/>
      <c r="AC47" s="384"/>
      <c r="AD47" s="127"/>
      <c r="AE47" s="348"/>
      <c r="AF47" s="550"/>
      <c r="AG47" s="127"/>
      <c r="AH47" s="299"/>
    </row>
    <row r="48" spans="2:34" ht="18.75" x14ac:dyDescent="0.3">
      <c r="B48" s="294">
        <f>+IF(C48&gt;0,'Pedido VACIO'!B56)</f>
        <v>0</v>
      </c>
      <c r="C48" s="294">
        <f>+IF(D48&gt;0,'Pedido VACIO'!C56)</f>
        <v>208</v>
      </c>
      <c r="D48" s="294" t="str">
        <f>+IF(E48&gt;0,'Pedido VACIO'!D56)</f>
        <v>G3B</v>
      </c>
      <c r="E48" s="294" t="str">
        <f>+IF(F48&gt;0,'Pedido VACIO'!E56)</f>
        <v>LK</v>
      </c>
      <c r="F48" s="294" t="str">
        <f>+IF(G48&gt;0,'Pedido VACIO'!F56)</f>
        <v>Cucharita 13cm Azucar Madera</v>
      </c>
      <c r="G48" s="294">
        <f>+IF('Pedido VACIO'!G56&gt;0,'Pedido VACIO'!G56,0)</f>
        <v>1000</v>
      </c>
      <c r="I48" s="452"/>
      <c r="J48" s="453"/>
      <c r="L48" s="611"/>
      <c r="M48" s="379"/>
      <c r="N48" s="336"/>
      <c r="O48" s="611"/>
      <c r="Q48" s="454"/>
      <c r="R48" s="454"/>
      <c r="T48" s="454"/>
      <c r="U48" s="454"/>
      <c r="W48" s="307"/>
      <c r="X48" s="307"/>
      <c r="Y48" s="384"/>
      <c r="AA48" s="299"/>
      <c r="AB48" s="382"/>
      <c r="AC48" s="384"/>
      <c r="AD48" s="127"/>
      <c r="AE48" s="348"/>
      <c r="AF48" s="550"/>
      <c r="AG48" s="127"/>
      <c r="AH48" s="299"/>
    </row>
    <row r="49" spans="2:37" ht="18.75" x14ac:dyDescent="0.3">
      <c r="B49" s="294">
        <f>+IF(C49&gt;0,'Pedido VACIO'!B58)</f>
        <v>0</v>
      </c>
      <c r="C49" s="294">
        <f>+IF(D49&gt;0,'Pedido VACIO'!C58)</f>
        <v>498</v>
      </c>
      <c r="D49" s="294" t="str">
        <f>+IF(E49&gt;0,'Pedido VACIO'!D58)</f>
        <v>G7B</v>
      </c>
      <c r="E49" s="294" t="str">
        <f>+IF(F49&gt;0,'Pedido VACIO'!E58)</f>
        <v>LK</v>
      </c>
      <c r="F49" s="294" t="b">
        <f>+IF(G49&gt;0,'Pedido VACIO'!F58)</f>
        <v>0</v>
      </c>
      <c r="G49" s="294">
        <f>+IF('Pedido VACIO'!G58&gt;0,'Pedido VACIO'!G58,0)</f>
        <v>0</v>
      </c>
      <c r="I49" s="452"/>
      <c r="J49" s="453"/>
      <c r="L49" s="611"/>
      <c r="M49" s="379"/>
      <c r="N49" s="336"/>
      <c r="O49" s="611"/>
      <c r="Q49" s="454"/>
      <c r="R49" s="454"/>
      <c r="T49" s="454"/>
      <c r="U49" s="454"/>
      <c r="W49" s="307"/>
      <c r="X49" s="307"/>
      <c r="Y49" s="384"/>
      <c r="AA49" s="299"/>
      <c r="AB49" s="382"/>
      <c r="AC49" s="384"/>
      <c r="AD49" s="127"/>
      <c r="AE49" s="348"/>
      <c r="AF49" s="550"/>
      <c r="AG49" s="127"/>
      <c r="AH49" s="299"/>
    </row>
    <row r="50" spans="2:37" ht="18.75" x14ac:dyDescent="0.3">
      <c r="B50" s="294">
        <f>+IF(C50&gt;0,'Pedido VACIO'!B59)</f>
        <v>1206700</v>
      </c>
      <c r="C50" s="294">
        <f>+IF(D50&gt;0,'Pedido VACIO'!C59)</f>
        <v>299</v>
      </c>
      <c r="D50" s="294" t="str">
        <f>+IF(E50&gt;0,'Pedido VACIO'!D59)</f>
        <v>G8B</v>
      </c>
      <c r="E50" s="294" t="str">
        <f>+IF(F50&gt;0,'Pedido VACIO'!E59)</f>
        <v>LK</v>
      </c>
      <c r="F50" s="294" t="b">
        <f>+IF(G50&gt;0,'Pedido VACIO'!F59)</f>
        <v>0</v>
      </c>
      <c r="G50" s="294">
        <f>+IF('Pedido VACIO'!G59&gt;0,'Pedido VACIO'!G59,0)</f>
        <v>0</v>
      </c>
      <c r="I50" s="452"/>
      <c r="J50" s="453"/>
      <c r="L50" s="611"/>
      <c r="M50" s="379"/>
      <c r="N50" s="336"/>
      <c r="O50" s="611"/>
      <c r="Q50" s="454"/>
      <c r="R50" s="454"/>
      <c r="T50" s="454"/>
      <c r="U50" s="454"/>
      <c r="W50" s="307"/>
      <c r="X50" s="307"/>
      <c r="Y50" s="384"/>
      <c r="AA50" s="299"/>
      <c r="AB50" s="382"/>
      <c r="AC50" s="384"/>
      <c r="AD50" s="127"/>
      <c r="AE50" s="348"/>
      <c r="AF50" s="550"/>
      <c r="AG50" s="127"/>
      <c r="AH50" s="299"/>
    </row>
    <row r="51" spans="2:37" ht="18.75" x14ac:dyDescent="0.3">
      <c r="B51" s="294">
        <f>+IF(C51&gt;0,'Pedido VACIO'!B60)</f>
        <v>0</v>
      </c>
      <c r="C51" s="294">
        <f>+IF(D51&gt;0,'Pedido VACIO'!C60)</f>
        <v>207</v>
      </c>
      <c r="D51" s="294" t="str">
        <f>+IF(E51&gt;0,'Pedido VACIO'!D60)</f>
        <v>G3A</v>
      </c>
      <c r="E51" s="294" t="str">
        <f>+IF(F51&gt;0,'Pedido VACIO'!E60)</f>
        <v>LK</v>
      </c>
      <c r="F51" s="294" t="b">
        <f>+IF(G51&gt;0,'Pedido VACIO'!F60)</f>
        <v>0</v>
      </c>
      <c r="G51" s="294">
        <f>+IF('Pedido VACIO'!G60&gt;0,'Pedido VACIO'!G60,0)</f>
        <v>0</v>
      </c>
      <c r="I51" s="452"/>
      <c r="J51" s="453"/>
      <c r="L51" s="611"/>
      <c r="M51" s="379"/>
      <c r="N51" s="336"/>
      <c r="O51" s="611"/>
      <c r="Q51" s="454"/>
      <c r="R51" s="454"/>
      <c r="T51" s="454"/>
      <c r="U51" s="454"/>
      <c r="W51" s="307"/>
      <c r="X51" s="307"/>
      <c r="Y51" s="384"/>
      <c r="AA51" s="299"/>
      <c r="AB51" s="382"/>
      <c r="AC51" s="384"/>
      <c r="AD51" s="127"/>
      <c r="AE51" s="348"/>
      <c r="AF51" s="550"/>
      <c r="AG51" s="127"/>
      <c r="AH51" s="299"/>
    </row>
    <row r="52" spans="2:37" ht="18.75" x14ac:dyDescent="0.3">
      <c r="B52" s="294">
        <f>+IF(C52&gt;0,'Pedido VACIO'!B61)</f>
        <v>1267700</v>
      </c>
      <c r="C52" s="294">
        <f>+IF(D52&gt;0,'Pedido VACIO'!C61)</f>
        <v>517</v>
      </c>
      <c r="D52" s="294" t="str">
        <f>+IF(E52&gt;0,'Pedido VACIO'!D61)</f>
        <v>G2A</v>
      </c>
      <c r="E52" s="294" t="str">
        <f>+IF(F52&gt;0,'Pedido VACIO'!E61)</f>
        <v>LK</v>
      </c>
      <c r="F52" s="294" t="b">
        <f>+IF(G52&gt;0,'Pedido VACIO'!F61)</f>
        <v>0</v>
      </c>
      <c r="G52" s="294">
        <f>+IF('Pedido VACIO'!G61&gt;0,'Pedido VACIO'!G61,0)</f>
        <v>0</v>
      </c>
      <c r="I52" s="452"/>
      <c r="J52" s="453"/>
      <c r="L52" s="611"/>
      <c r="M52" s="379"/>
      <c r="N52" s="336"/>
      <c r="O52" s="611"/>
      <c r="Q52" s="454"/>
      <c r="R52" s="454"/>
      <c r="T52" s="454"/>
      <c r="U52" s="454"/>
      <c r="W52" s="307"/>
      <c r="X52" s="307"/>
      <c r="Y52" s="384"/>
      <c r="AA52" s="299"/>
      <c r="AB52" s="382"/>
      <c r="AC52" s="384"/>
      <c r="AD52" s="127"/>
      <c r="AE52" s="348"/>
      <c r="AF52" s="550"/>
      <c r="AG52" s="127"/>
      <c r="AH52" s="299"/>
    </row>
    <row r="53" spans="2:37" ht="18.75" x14ac:dyDescent="0.3">
      <c r="B53" s="294">
        <f>+IF(C53&gt;0,'Pedido VACIO'!B62)</f>
        <v>0</v>
      </c>
      <c r="C53" s="294">
        <f>+IF(D53&gt;0,'Pedido VACIO'!C62)</f>
        <v>561</v>
      </c>
      <c r="D53" s="294" t="str">
        <f>+IF(E53&gt;0,'Pedido VACIO'!D62)</f>
        <v>G4A</v>
      </c>
      <c r="E53" s="294" t="str">
        <f>+IF(F53&gt;0,'Pedido VACIO'!E62)</f>
        <v>LK</v>
      </c>
      <c r="F53" s="294" t="b">
        <f>+IF(G53&gt;0,'Pedido VACIO'!F62)</f>
        <v>0</v>
      </c>
      <c r="G53" s="294">
        <f>+IF('Pedido VACIO'!G62&gt;0,'Pedido VACIO'!G62,0)</f>
        <v>0</v>
      </c>
      <c r="I53" s="452"/>
      <c r="J53" s="453"/>
      <c r="L53" s="611"/>
      <c r="M53" s="379"/>
      <c r="N53" s="336"/>
      <c r="O53" s="611"/>
      <c r="Q53" s="454"/>
      <c r="R53" s="454"/>
      <c r="T53" s="454"/>
      <c r="U53" s="454"/>
      <c r="W53" s="307"/>
      <c r="X53" s="307"/>
      <c r="Y53" s="384"/>
      <c r="AA53" s="299"/>
      <c r="AB53" s="382"/>
      <c r="AC53" s="384"/>
      <c r="AD53" s="127"/>
      <c r="AE53" s="348"/>
      <c r="AF53" s="550"/>
      <c r="AG53" s="127"/>
      <c r="AH53" s="299"/>
    </row>
    <row r="54" spans="2:37" ht="18.75" x14ac:dyDescent="0.3">
      <c r="B54" s="294">
        <f>+IF(C54&gt;0,'Pedido VACIO'!B63)</f>
        <v>1206700</v>
      </c>
      <c r="C54" s="294">
        <f>+IF(D54&gt;0,'Pedido VACIO'!C63)</f>
        <v>508</v>
      </c>
      <c r="D54" s="294" t="str">
        <f>+IF(E54&gt;0,'Pedido VACIO'!D63)</f>
        <v>G6A</v>
      </c>
      <c r="E54" s="294" t="str">
        <f>+IF(F54&gt;0,'Pedido VACIO'!E63)</f>
        <v>LK</v>
      </c>
      <c r="F54" s="294" t="b">
        <f>+IF(G54&gt;0,'Pedido VACIO'!F63)</f>
        <v>0</v>
      </c>
      <c r="G54" s="294">
        <f>+IF('Pedido VACIO'!G63&gt;0,'Pedido VACIO'!G63,0)</f>
        <v>0</v>
      </c>
      <c r="I54" s="452"/>
      <c r="J54" s="453"/>
      <c r="L54" s="611"/>
      <c r="M54" s="379"/>
      <c r="N54" s="336"/>
      <c r="O54" s="611"/>
      <c r="Q54" s="454"/>
      <c r="R54" s="454"/>
      <c r="T54" s="454"/>
      <c r="U54" s="454"/>
      <c r="W54" s="307"/>
      <c r="X54" s="307"/>
      <c r="Y54" s="384"/>
      <c r="AA54" s="299"/>
      <c r="AB54" s="382"/>
      <c r="AC54" s="384"/>
      <c r="AD54" s="127"/>
      <c r="AE54" s="348"/>
      <c r="AF54" s="550"/>
      <c r="AG54" s="127"/>
      <c r="AH54" s="299"/>
    </row>
    <row r="55" spans="2:37" s="381" customFormat="1" ht="18.75" x14ac:dyDescent="0.25">
      <c r="B55" s="294" t="e">
        <f>+IF(C55&gt;0,'Pedido VACIO'!B64)</f>
        <v>#N/A</v>
      </c>
      <c r="C55" s="294" t="e">
        <f>+IF(D55&gt;0,'Pedido VACIO'!C64)</f>
        <v>#N/A</v>
      </c>
      <c r="D55" s="294" t="e">
        <f>+IF(E55&gt;0,'Pedido VACIO'!D64)</f>
        <v>#N/A</v>
      </c>
      <c r="E55" s="294" t="str">
        <f>+IF(F55&gt;0,'Pedido VACIO'!E64)</f>
        <v>LK</v>
      </c>
      <c r="F55" s="294" t="b">
        <f>+IF(G55&gt;0,'Pedido VACIO'!F64)</f>
        <v>0</v>
      </c>
      <c r="G55" s="294">
        <f>+IF('Pedido VACIO'!G64&gt;0,'Pedido VACIO'!G64,0)</f>
        <v>0</v>
      </c>
      <c r="H55" s="315"/>
      <c r="I55" s="693"/>
      <c r="J55" s="694"/>
      <c r="K55" s="506"/>
      <c r="L55" s="662"/>
      <c r="M55" s="630"/>
      <c r="N55" s="630"/>
      <c r="O55" s="662"/>
      <c r="P55" s="506"/>
      <c r="Q55" s="662"/>
      <c r="R55" s="662"/>
      <c r="S55" s="506"/>
      <c r="T55" s="662"/>
      <c r="U55" s="662"/>
      <c r="V55" s="506"/>
      <c r="W55" s="662"/>
      <c r="X55" s="662"/>
      <c r="Y55" s="630"/>
      <c r="Z55" s="506"/>
      <c r="AA55" s="662"/>
      <c r="AB55" s="662"/>
      <c r="AC55" s="630"/>
      <c r="AD55" s="662"/>
      <c r="AE55" s="662"/>
      <c r="AF55" s="662"/>
      <c r="AG55" s="662"/>
      <c r="AH55" s="662"/>
    </row>
    <row r="56" spans="2:37" ht="18.75" x14ac:dyDescent="0.3">
      <c r="B56" s="294" t="b">
        <f>+IF(C56&gt;0,'Pedido VACIO'!B66)</f>
        <v>0</v>
      </c>
      <c r="C56" s="294">
        <f>+IF(D56&gt;0,'Pedido VACIO'!C66)</f>
        <v>0</v>
      </c>
      <c r="D56" s="294" t="b">
        <f>+IF(E56&gt;0,'Pedido VACIO'!D66)</f>
        <v>0</v>
      </c>
      <c r="E56" s="294">
        <f>+IF(F56&gt;0,'Pedido VACIO'!E66)</f>
        <v>0</v>
      </c>
      <c r="F56" s="294" t="b">
        <f>+IF(G56&gt;0,'Pedido VACIO'!F66)</f>
        <v>0</v>
      </c>
      <c r="G56" s="294">
        <f>+IF('Pedido VACIO'!G66&gt;0,'Pedido VACIO'!G66,0)</f>
        <v>0</v>
      </c>
      <c r="I56" s="452"/>
      <c r="J56" s="453"/>
      <c r="L56" s="611"/>
      <c r="M56" s="379"/>
      <c r="N56" s="336"/>
      <c r="O56" s="611"/>
      <c r="Q56" s="454"/>
      <c r="R56" s="454"/>
      <c r="T56" s="454"/>
      <c r="U56" s="454"/>
      <c r="W56" s="307"/>
      <c r="X56" s="307"/>
      <c r="Y56" s="384"/>
      <c r="AA56" s="299"/>
      <c r="AB56" s="382"/>
      <c r="AC56" s="384"/>
      <c r="AD56" s="127"/>
      <c r="AE56" s="348"/>
      <c r="AF56" s="550"/>
      <c r="AG56" s="127"/>
      <c r="AH56" s="299"/>
    </row>
    <row r="57" spans="2:37" ht="18.75" x14ac:dyDescent="0.3">
      <c r="B57" s="294" t="b">
        <f>+IF(C57&gt;0,'Pedido VACIO'!B67)</f>
        <v>0</v>
      </c>
      <c r="C57" s="294">
        <f>+IF(D57&gt;0,'Pedido VACIO'!C67)</f>
        <v>0</v>
      </c>
      <c r="D57" s="294" t="b">
        <f>+IF(E57&gt;0,'Pedido VACIO'!D67)</f>
        <v>0</v>
      </c>
      <c r="E57" s="294">
        <f>+IF(F57&gt;0,'Pedido VACIO'!E67)</f>
        <v>0</v>
      </c>
      <c r="F57" s="294" t="b">
        <f>+IF(G57&gt;0,'Pedido VACIO'!F67)</f>
        <v>0</v>
      </c>
      <c r="G57" s="294">
        <f>+IF('Pedido VACIO'!G67&gt;0,'Pedido VACIO'!G67,0)</f>
        <v>0</v>
      </c>
      <c r="I57" s="452"/>
      <c r="J57" s="453"/>
      <c r="L57" s="611"/>
      <c r="M57" s="379"/>
      <c r="N57" s="336"/>
      <c r="O57" s="611"/>
      <c r="Q57" s="454"/>
      <c r="R57" s="454"/>
      <c r="T57" s="454"/>
      <c r="U57" s="454"/>
      <c r="W57" s="307"/>
      <c r="X57" s="307"/>
      <c r="Y57" s="384"/>
      <c r="AA57" s="299"/>
      <c r="AB57" s="382"/>
      <c r="AC57" s="384"/>
      <c r="AD57" s="127"/>
      <c r="AE57" s="348"/>
      <c r="AF57" s="550"/>
      <c r="AG57" s="127"/>
      <c r="AH57" s="299"/>
    </row>
    <row r="58" spans="2:37" ht="18.75" x14ac:dyDescent="0.3">
      <c r="B58" s="294"/>
      <c r="C58" s="294"/>
      <c r="D58" s="294"/>
      <c r="E58" s="294"/>
      <c r="F58" s="294"/>
      <c r="G58" s="294"/>
      <c r="I58" s="452"/>
      <c r="J58" s="453"/>
      <c r="L58" s="611"/>
      <c r="M58" s="379"/>
      <c r="N58" s="336"/>
      <c r="O58" s="611"/>
      <c r="Q58" s="454"/>
      <c r="R58" s="454"/>
      <c r="T58" s="454"/>
      <c r="U58" s="454"/>
      <c r="W58" s="307"/>
      <c r="X58" s="307"/>
      <c r="Y58" s="384"/>
      <c r="AA58" s="299"/>
      <c r="AB58" s="382"/>
      <c r="AC58" s="384"/>
      <c r="AD58" s="127"/>
      <c r="AE58" s="348"/>
      <c r="AF58" s="550"/>
      <c r="AG58" s="127"/>
      <c r="AH58" s="299"/>
    </row>
    <row r="59" spans="2:37" ht="18.75" x14ac:dyDescent="0.3">
      <c r="B59" s="294"/>
      <c r="C59" s="294"/>
      <c r="D59" s="294"/>
      <c r="E59" s="294"/>
      <c r="F59" s="294"/>
      <c r="G59" s="294"/>
      <c r="I59" s="452"/>
      <c r="J59" s="453"/>
      <c r="L59" s="611"/>
      <c r="M59" s="379"/>
      <c r="N59" s="336"/>
      <c r="O59" s="611"/>
      <c r="Q59" s="454"/>
      <c r="R59" s="454"/>
      <c r="T59" s="454"/>
      <c r="U59" s="454"/>
      <c r="W59" s="307"/>
      <c r="X59" s="307"/>
      <c r="Y59" s="384"/>
      <c r="AA59" s="299"/>
      <c r="AB59" s="382"/>
      <c r="AC59" s="384"/>
      <c r="AD59" s="127"/>
      <c r="AE59" s="348"/>
      <c r="AF59" s="550"/>
      <c r="AG59" s="127"/>
      <c r="AH59" s="299"/>
    </row>
    <row r="60" spans="2:37" ht="18.75" x14ac:dyDescent="0.25">
      <c r="B60" s="294"/>
      <c r="C60" s="294"/>
      <c r="D60" s="294"/>
      <c r="E60" s="294"/>
      <c r="F60" s="294"/>
      <c r="G60" s="294"/>
    </row>
    <row r="61" spans="2:37" s="381" customFormat="1" ht="19.5" thickBot="1" x14ac:dyDescent="0.3">
      <c r="B61" s="294"/>
      <c r="C61" s="294"/>
      <c r="D61" s="294"/>
      <c r="E61" s="294"/>
      <c r="F61" s="294"/>
      <c r="G61" s="294"/>
      <c r="I61" s="693"/>
      <c r="J61" s="694"/>
      <c r="K61" s="506"/>
      <c r="L61" s="662"/>
      <c r="M61" s="630"/>
      <c r="N61" s="630"/>
      <c r="O61" s="662"/>
      <c r="P61" s="506"/>
      <c r="Q61" s="662"/>
      <c r="R61" s="662"/>
      <c r="S61" s="506"/>
      <c r="T61" s="662"/>
      <c r="U61" s="662"/>
      <c r="V61" s="506"/>
      <c r="W61" s="662"/>
      <c r="X61" s="662"/>
      <c r="Y61" s="630"/>
      <c r="Z61" s="506"/>
      <c r="AA61" s="662"/>
      <c r="AB61" s="662"/>
      <c r="AC61" s="630"/>
      <c r="AD61" s="662"/>
      <c r="AE61" s="662"/>
      <c r="AF61" s="662"/>
      <c r="AG61" s="662"/>
      <c r="AH61" s="662"/>
    </row>
    <row r="62" spans="2:37" s="381" customFormat="1" ht="24" thickBot="1" x14ac:dyDescent="0.3">
      <c r="B62" s="974" t="s">
        <v>1734</v>
      </c>
      <c r="C62" s="975"/>
      <c r="D62" s="975"/>
      <c r="E62" s="975"/>
      <c r="F62" s="975"/>
      <c r="G62" s="975"/>
      <c r="H62" s="975"/>
      <c r="I62" s="975"/>
      <c r="J62" s="975"/>
      <c r="K62" s="975"/>
      <c r="L62" s="975"/>
      <c r="M62" s="975"/>
      <c r="N62" s="975"/>
      <c r="O62" s="975"/>
      <c r="P62" s="975"/>
      <c r="Q62" s="975"/>
      <c r="R62" s="975"/>
      <c r="S62" s="975"/>
      <c r="T62" s="975"/>
      <c r="U62" s="975"/>
      <c r="V62" s="975"/>
      <c r="W62" s="975"/>
      <c r="X62" s="975"/>
      <c r="Y62" s="975"/>
      <c r="Z62" s="975"/>
      <c r="AA62" s="975"/>
      <c r="AB62" s="975"/>
      <c r="AC62" s="975"/>
      <c r="AD62" s="975"/>
      <c r="AE62" s="975"/>
      <c r="AF62" s="975"/>
      <c r="AG62" s="975"/>
      <c r="AH62" s="975"/>
      <c r="AI62" s="975"/>
      <c r="AJ62" s="975"/>
      <c r="AK62" s="976"/>
    </row>
    <row r="63" spans="2:37" s="381" customFormat="1" ht="57" thickBot="1" x14ac:dyDescent="0.3">
      <c r="B63" s="833" t="s">
        <v>1293</v>
      </c>
      <c r="C63" s="836" t="s">
        <v>748</v>
      </c>
      <c r="D63" s="837" t="s">
        <v>1198</v>
      </c>
      <c r="E63" s="838" t="s">
        <v>1018</v>
      </c>
      <c r="F63" s="838" t="s">
        <v>749</v>
      </c>
      <c r="G63" s="684" t="s">
        <v>1522</v>
      </c>
      <c r="H63" s="826"/>
      <c r="I63" s="693"/>
      <c r="J63" s="694"/>
      <c r="K63" s="506"/>
      <c r="L63" s="662"/>
      <c r="M63" s="630"/>
      <c r="N63" s="630"/>
      <c r="O63" s="662"/>
      <c r="P63" s="506"/>
      <c r="Q63" s="662"/>
      <c r="R63" s="662"/>
      <c r="S63" s="506"/>
      <c r="T63" s="662"/>
      <c r="U63" s="662"/>
      <c r="V63" s="506"/>
      <c r="W63" s="662"/>
      <c r="X63" s="662"/>
      <c r="Y63" s="630"/>
      <c r="Z63" s="506"/>
      <c r="AA63" s="662"/>
      <c r="AB63" s="662"/>
      <c r="AC63" s="630"/>
      <c r="AD63" s="662"/>
      <c r="AE63" s="662"/>
      <c r="AF63" s="662"/>
      <c r="AG63" s="662"/>
      <c r="AH63" s="662"/>
      <c r="AI63" s="687" t="s">
        <v>1814</v>
      </c>
      <c r="AJ63" s="687" t="s">
        <v>1581</v>
      </c>
      <c r="AK63" s="687" t="s">
        <v>1665</v>
      </c>
    </row>
    <row r="64" spans="2:37" ht="18.75" x14ac:dyDescent="0.3">
      <c r="B64" s="413">
        <v>2435700</v>
      </c>
      <c r="C64" s="432">
        <v>802</v>
      </c>
      <c r="D64" s="261" t="s">
        <v>909</v>
      </c>
      <c r="E64" s="321" t="s">
        <v>1041</v>
      </c>
      <c r="F64" s="261" t="s">
        <v>1193</v>
      </c>
      <c r="G64" s="818"/>
      <c r="H64" s="828"/>
      <c r="I64" s="452"/>
      <c r="J64" s="453"/>
      <c r="L64" s="611"/>
      <c r="M64" s="379"/>
      <c r="N64" s="336"/>
      <c r="O64" s="611"/>
      <c r="Q64" s="454"/>
      <c r="R64" s="454"/>
      <c r="T64" s="454"/>
      <c r="U64" s="454"/>
      <c r="W64" s="307"/>
      <c r="X64" s="307"/>
      <c r="Y64" s="384"/>
      <c r="AA64" s="299"/>
      <c r="AB64" s="382"/>
      <c r="AC64" s="384"/>
      <c r="AD64" s="127"/>
      <c r="AE64" s="348"/>
      <c r="AF64" s="550"/>
      <c r="AG64" s="127"/>
      <c r="AH64" s="299"/>
      <c r="AI64" s="503"/>
      <c r="AJ64" s="503"/>
      <c r="AK64" s="503"/>
    </row>
    <row r="65" spans="1:37" ht="18.75" x14ac:dyDescent="0.3">
      <c r="B65" s="414">
        <v>2425700</v>
      </c>
      <c r="C65" s="433">
        <v>824</v>
      </c>
      <c r="D65" s="260" t="s">
        <v>1780</v>
      </c>
      <c r="E65" s="320" t="s">
        <v>1041</v>
      </c>
      <c r="F65" s="260" t="s">
        <v>1809</v>
      </c>
      <c r="G65" s="827"/>
      <c r="H65" s="829"/>
      <c r="I65" s="452"/>
      <c r="J65" s="453"/>
      <c r="L65" s="611"/>
      <c r="M65" s="379"/>
      <c r="N65" s="336"/>
      <c r="O65" s="611"/>
      <c r="Q65" s="454"/>
      <c r="R65" s="454"/>
      <c r="T65" s="454"/>
      <c r="U65" s="454"/>
      <c r="W65" s="307"/>
      <c r="X65" s="307"/>
      <c r="Y65" s="384"/>
      <c r="AA65" s="299"/>
      <c r="AB65" s="382"/>
      <c r="AC65" s="384"/>
      <c r="AD65" s="127"/>
      <c r="AE65" s="348"/>
      <c r="AF65" s="550"/>
      <c r="AG65" s="127"/>
      <c r="AH65" s="299"/>
      <c r="AI65" s="504"/>
      <c r="AJ65" s="504"/>
      <c r="AK65" s="504"/>
    </row>
    <row r="66" spans="1:37" ht="18.75" x14ac:dyDescent="0.3">
      <c r="B66" s="414">
        <v>2426700</v>
      </c>
      <c r="C66" s="433">
        <v>825</v>
      </c>
      <c r="D66" s="260" t="s">
        <v>1781</v>
      </c>
      <c r="E66" s="320" t="s">
        <v>1041</v>
      </c>
      <c r="F66" s="260" t="s">
        <v>1810</v>
      </c>
      <c r="G66" s="827"/>
      <c r="H66" s="829"/>
      <c r="I66" s="452"/>
      <c r="J66" s="453"/>
      <c r="L66" s="611"/>
      <c r="M66" s="379"/>
      <c r="N66" s="336"/>
      <c r="O66" s="611"/>
      <c r="Q66" s="454"/>
      <c r="R66" s="454"/>
      <c r="T66" s="454"/>
      <c r="U66" s="454"/>
      <c r="W66" s="307"/>
      <c r="X66" s="307"/>
      <c r="Y66" s="384"/>
      <c r="AA66" s="299"/>
      <c r="AB66" s="382"/>
      <c r="AC66" s="384"/>
      <c r="AD66" s="127"/>
      <c r="AE66" s="348"/>
      <c r="AF66" s="550"/>
      <c r="AG66" s="127"/>
      <c r="AH66" s="299"/>
      <c r="AI66" s="504"/>
      <c r="AJ66" s="504"/>
      <c r="AK66" s="504"/>
    </row>
    <row r="67" spans="1:37" ht="18.75" x14ac:dyDescent="0.3">
      <c r="B67" s="414">
        <v>2434700</v>
      </c>
      <c r="C67" s="433">
        <v>908</v>
      </c>
      <c r="D67" s="320"/>
      <c r="E67" s="320" t="s">
        <v>1041</v>
      </c>
      <c r="F67" s="260" t="s">
        <v>1811</v>
      </c>
      <c r="G67" s="827"/>
      <c r="H67" s="830"/>
      <c r="AI67" s="504"/>
      <c r="AJ67" s="504"/>
      <c r="AK67" s="504"/>
    </row>
    <row r="68" spans="1:37" s="381" customFormat="1" ht="18.75" x14ac:dyDescent="0.3">
      <c r="B68" s="302">
        <v>2431700</v>
      </c>
      <c r="C68" s="433">
        <v>901</v>
      </c>
      <c r="D68" s="320" t="s">
        <v>1806</v>
      </c>
      <c r="E68" s="320" t="s">
        <v>1041</v>
      </c>
      <c r="F68" s="260" t="s">
        <v>1171</v>
      </c>
      <c r="G68" s="352"/>
      <c r="H68" s="831"/>
      <c r="I68" s="755"/>
      <c r="J68" s="755"/>
      <c r="K68" s="755"/>
      <c r="L68" s="755"/>
      <c r="M68" s="755"/>
      <c r="N68" s="755"/>
      <c r="O68" s="755"/>
      <c r="P68" s="755"/>
      <c r="Q68" s="755"/>
      <c r="R68" s="755"/>
      <c r="S68" s="755"/>
      <c r="T68" s="755"/>
      <c r="U68" s="755"/>
      <c r="V68" s="755"/>
      <c r="W68" s="755"/>
      <c r="X68" s="755"/>
      <c r="Y68" s="755"/>
      <c r="Z68" s="755"/>
      <c r="AA68" s="755"/>
      <c r="AB68" s="755"/>
      <c r="AC68" s="755"/>
      <c r="AD68" s="755"/>
      <c r="AE68" s="755"/>
      <c r="AF68" s="755"/>
      <c r="AG68" s="755"/>
      <c r="AH68" s="755"/>
      <c r="AI68" s="834"/>
      <c r="AJ68" s="834"/>
      <c r="AK68" s="834"/>
    </row>
    <row r="69" spans="1:37" ht="18.75" x14ac:dyDescent="0.3">
      <c r="B69" s="302">
        <v>2433700</v>
      </c>
      <c r="C69" s="433">
        <v>902</v>
      </c>
      <c r="D69" s="320" t="s">
        <v>1803</v>
      </c>
      <c r="E69" s="320" t="s">
        <v>1041</v>
      </c>
      <c r="F69" s="260" t="s">
        <v>1172</v>
      </c>
      <c r="G69" s="352"/>
      <c r="H69" s="831"/>
      <c r="I69" s="755"/>
      <c r="J69" s="755"/>
      <c r="K69" s="755"/>
      <c r="L69" s="755"/>
      <c r="M69" s="755"/>
      <c r="N69" s="755"/>
      <c r="O69" s="755"/>
      <c r="P69" s="755"/>
      <c r="Q69" s="755"/>
      <c r="R69" s="755"/>
      <c r="S69" s="755"/>
      <c r="T69" s="755"/>
      <c r="U69" s="755"/>
      <c r="V69" s="755"/>
      <c r="W69" s="755"/>
      <c r="X69" s="755"/>
      <c r="Y69" s="755"/>
      <c r="Z69" s="755"/>
      <c r="AA69" s="755"/>
      <c r="AB69" s="755"/>
      <c r="AC69" s="755"/>
      <c r="AD69" s="755"/>
      <c r="AE69" s="755"/>
      <c r="AF69" s="755"/>
      <c r="AG69" s="755"/>
      <c r="AH69" s="755"/>
      <c r="AI69" s="834"/>
      <c r="AJ69" s="834"/>
      <c r="AK69" s="834"/>
    </row>
    <row r="70" spans="1:37" ht="18.75" x14ac:dyDescent="0.3">
      <c r="B70" s="302">
        <v>2440700</v>
      </c>
      <c r="C70" s="433">
        <v>910</v>
      </c>
      <c r="D70" s="320" t="s">
        <v>1029</v>
      </c>
      <c r="E70" s="320" t="s">
        <v>1041</v>
      </c>
      <c r="F70" s="260" t="s">
        <v>1174</v>
      </c>
      <c r="G70" s="352"/>
      <c r="H70" s="831"/>
      <c r="I70" s="755"/>
      <c r="J70" s="755"/>
      <c r="K70" s="755"/>
      <c r="L70" s="755"/>
      <c r="M70" s="755"/>
      <c r="N70" s="755"/>
      <c r="O70" s="755"/>
      <c r="P70" s="755"/>
      <c r="Q70" s="755"/>
      <c r="R70" s="755"/>
      <c r="S70" s="755"/>
      <c r="T70" s="755"/>
      <c r="U70" s="755"/>
      <c r="V70" s="755"/>
      <c r="W70" s="755"/>
      <c r="X70" s="755"/>
      <c r="Y70" s="755"/>
      <c r="Z70" s="755"/>
      <c r="AA70" s="755"/>
      <c r="AB70" s="755"/>
      <c r="AC70" s="755"/>
      <c r="AD70" s="755"/>
      <c r="AE70" s="755"/>
      <c r="AF70" s="755"/>
      <c r="AG70" s="755"/>
      <c r="AH70" s="755"/>
      <c r="AI70" s="834"/>
      <c r="AJ70" s="834"/>
      <c r="AK70" s="834"/>
    </row>
    <row r="71" spans="1:37" ht="18.75" x14ac:dyDescent="0.3">
      <c r="B71" s="302">
        <v>2430700</v>
      </c>
      <c r="C71" s="433">
        <v>911</v>
      </c>
      <c r="D71" s="320" t="s">
        <v>1804</v>
      </c>
      <c r="E71" s="320" t="s">
        <v>1041</v>
      </c>
      <c r="F71" s="260" t="s">
        <v>1175</v>
      </c>
      <c r="G71" s="352"/>
      <c r="H71" s="831"/>
      <c r="I71" s="755"/>
      <c r="J71" s="755"/>
      <c r="K71" s="755"/>
      <c r="L71" s="755"/>
      <c r="M71" s="755"/>
      <c r="N71" s="755"/>
      <c r="O71" s="755"/>
      <c r="P71" s="755"/>
      <c r="Q71" s="755"/>
      <c r="R71" s="755"/>
      <c r="S71" s="755"/>
      <c r="T71" s="755"/>
      <c r="U71" s="755"/>
      <c r="V71" s="755"/>
      <c r="W71" s="755"/>
      <c r="X71" s="755"/>
      <c r="Y71" s="755"/>
      <c r="Z71" s="755"/>
      <c r="AA71" s="755"/>
      <c r="AB71" s="755"/>
      <c r="AC71" s="755"/>
      <c r="AD71" s="755"/>
      <c r="AE71" s="755"/>
      <c r="AF71" s="755"/>
      <c r="AG71" s="755"/>
      <c r="AH71" s="755"/>
      <c r="AI71" s="834"/>
      <c r="AJ71" s="834"/>
      <c r="AK71" s="834"/>
    </row>
    <row r="72" spans="1:37" s="208" customFormat="1" ht="19.5" thickBot="1" x14ac:dyDescent="0.35">
      <c r="A72"/>
      <c r="B72" s="302">
        <v>2432700</v>
      </c>
      <c r="C72" s="433">
        <v>920</v>
      </c>
      <c r="D72" s="320" t="s">
        <v>1805</v>
      </c>
      <c r="E72" s="320" t="s">
        <v>1041</v>
      </c>
      <c r="F72" s="260" t="s">
        <v>1176</v>
      </c>
      <c r="G72" s="352"/>
      <c r="H72" s="832"/>
      <c r="I72" s="755"/>
      <c r="J72" s="755"/>
      <c r="K72" s="755"/>
      <c r="L72" s="755"/>
      <c r="M72" s="755"/>
      <c r="N72" s="755"/>
      <c r="O72" s="755"/>
      <c r="P72" s="755"/>
      <c r="Q72" s="755"/>
      <c r="R72" s="755"/>
      <c r="S72" s="755"/>
      <c r="T72" s="755"/>
      <c r="U72" s="755"/>
      <c r="V72" s="755"/>
      <c r="W72" s="755"/>
      <c r="X72" s="755"/>
      <c r="Y72" s="755"/>
      <c r="Z72" s="755"/>
      <c r="AA72" s="755"/>
      <c r="AB72" s="755"/>
      <c r="AC72" s="755"/>
      <c r="AD72" s="755"/>
      <c r="AE72" s="755"/>
      <c r="AF72" s="755"/>
      <c r="AG72" s="755"/>
      <c r="AH72" s="755"/>
      <c r="AI72" s="834"/>
      <c r="AJ72" s="834"/>
      <c r="AK72" s="834"/>
    </row>
    <row r="73" spans="1:37" ht="19.5" thickBot="1" x14ac:dyDescent="0.3">
      <c r="B73" s="298">
        <v>2429700</v>
      </c>
      <c r="C73" s="443">
        <v>922</v>
      </c>
      <c r="D73" s="443" t="s">
        <v>1807</v>
      </c>
      <c r="E73" s="262" t="s">
        <v>1041</v>
      </c>
      <c r="F73" s="262" t="s">
        <v>1177</v>
      </c>
      <c r="G73" s="356"/>
      <c r="H73" s="755"/>
      <c r="I73" s="755"/>
      <c r="J73" s="755"/>
      <c r="K73" s="755"/>
      <c r="L73" s="755"/>
      <c r="M73" s="755"/>
      <c r="N73" s="755"/>
      <c r="O73" s="755"/>
      <c r="P73" s="755"/>
      <c r="Q73" s="755"/>
      <c r="R73" s="755"/>
      <c r="S73" s="755"/>
      <c r="T73" s="755"/>
      <c r="U73" s="755"/>
      <c r="V73" s="755"/>
      <c r="W73" s="755"/>
      <c r="X73" s="755"/>
      <c r="Y73" s="755"/>
      <c r="Z73" s="755"/>
      <c r="AA73" s="755"/>
      <c r="AB73" s="755"/>
      <c r="AC73" s="755"/>
      <c r="AD73" s="755"/>
      <c r="AE73" s="755"/>
      <c r="AF73" s="755"/>
      <c r="AG73" s="755"/>
      <c r="AH73" s="755"/>
      <c r="AI73" s="835"/>
      <c r="AJ73" s="835"/>
      <c r="AK73" s="835"/>
    </row>
    <row r="74" spans="1:37" s="381" customFormat="1" ht="18.75" x14ac:dyDescent="0.25">
      <c r="B74" s="755"/>
      <c r="C74" s="755"/>
      <c r="D74" s="755"/>
      <c r="E74" s="755"/>
      <c r="F74" s="755"/>
      <c r="G74" s="755"/>
      <c r="H74" s="755"/>
      <c r="I74" s="755"/>
      <c r="J74" s="755"/>
      <c r="K74" s="755"/>
      <c r="L74" s="755"/>
      <c r="M74" s="755"/>
      <c r="N74" s="755"/>
      <c r="O74" s="755"/>
      <c r="P74" s="755"/>
      <c r="Q74" s="755"/>
      <c r="R74" s="755"/>
      <c r="S74" s="755"/>
      <c r="T74" s="755"/>
      <c r="U74" s="755"/>
      <c r="V74" s="755"/>
      <c r="W74" s="755"/>
      <c r="X74" s="755"/>
      <c r="Y74" s="755"/>
      <c r="Z74" s="755"/>
      <c r="AA74" s="755"/>
      <c r="AB74" s="755"/>
      <c r="AC74" s="755"/>
      <c r="AD74" s="755"/>
      <c r="AE74" s="755"/>
      <c r="AF74" s="755"/>
      <c r="AG74" s="755"/>
      <c r="AH74" s="755"/>
      <c r="AI74" s="755"/>
      <c r="AJ74" s="755"/>
    </row>
    <row r="75" spans="1:37" ht="18.75" x14ac:dyDescent="0.3">
      <c r="B75" s="294"/>
      <c r="C75" s="294"/>
      <c r="D75" s="299"/>
      <c r="E75" s="308"/>
      <c r="F75" s="581"/>
      <c r="G75" s="127"/>
      <c r="I75" s="452"/>
      <c r="J75" s="453"/>
      <c r="L75" s="611"/>
      <c r="M75" s="379"/>
      <c r="N75" s="336"/>
      <c r="O75" s="611"/>
      <c r="Q75" s="454"/>
      <c r="R75" s="454"/>
      <c r="T75" s="454"/>
      <c r="U75" s="454"/>
      <c r="W75" s="307"/>
      <c r="X75" s="307"/>
      <c r="Y75" s="384"/>
      <c r="AA75" s="299"/>
      <c r="AB75" s="382"/>
      <c r="AC75" s="384"/>
      <c r="AD75" s="127"/>
      <c r="AE75" s="348"/>
      <c r="AF75" s="550"/>
      <c r="AG75" s="127"/>
      <c r="AH75" s="299"/>
    </row>
    <row r="76" spans="1:37" ht="18.75" x14ac:dyDescent="0.3">
      <c r="B76" s="294"/>
      <c r="C76" s="294"/>
      <c r="D76" s="299"/>
      <c r="E76" s="308"/>
      <c r="F76" s="581"/>
      <c r="G76" s="127"/>
      <c r="I76" s="452"/>
      <c r="J76" s="453"/>
      <c r="L76" s="611"/>
      <c r="M76" s="379"/>
      <c r="N76" s="336"/>
      <c r="O76" s="611"/>
      <c r="Q76" s="454"/>
      <c r="R76" s="454"/>
      <c r="T76" s="454"/>
      <c r="U76" s="454"/>
      <c r="W76" s="307"/>
      <c r="X76" s="307"/>
      <c r="Y76" s="384"/>
      <c r="AA76" s="299"/>
      <c r="AB76" s="382"/>
      <c r="AC76" s="384"/>
      <c r="AD76" s="127"/>
      <c r="AE76" s="348"/>
      <c r="AF76" s="550"/>
      <c r="AG76" s="127"/>
      <c r="AH76" s="299"/>
    </row>
  </sheetData>
  <sortState ref="B56:I59">
    <sortCondition ref="I56:I59"/>
  </sortState>
  <mergeCells count="2">
    <mergeCell ref="B3:H3"/>
    <mergeCell ref="B62:AK62"/>
  </mergeCells>
  <pageMargins left="0.25" right="0.25" top="0.75" bottom="0.75" header="0.3" footer="0.3"/>
  <pageSetup scale="78" fitToHeight="0" orientation="portrait" r:id="rId1"/>
  <rowBreaks count="1" manualBreakCount="1">
    <brk id="81" max="35" man="1"/>
  </row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1:K266"/>
  <sheetViews>
    <sheetView topLeftCell="A201" zoomScale="87" zoomScaleNormal="87" workbookViewId="0">
      <selection activeCell="F213" sqref="F213"/>
    </sheetView>
  </sheetViews>
  <sheetFormatPr baseColWidth="10" defaultColWidth="11.5703125" defaultRowHeight="15.75" x14ac:dyDescent="0.25"/>
  <cols>
    <col min="1" max="1" width="10.28515625" style="208" customWidth="1"/>
    <col min="2" max="2" width="9.42578125" style="1" customWidth="1"/>
    <col min="3" max="3" width="37.7109375" style="1" customWidth="1"/>
    <col min="4" max="5" width="9.7109375" style="209" customWidth="1"/>
    <col min="6" max="6" width="10.7109375" style="1" customWidth="1"/>
    <col min="7" max="7" width="11.28515625" style="1" customWidth="1"/>
    <col min="8" max="8" width="9.42578125" style="420" customWidth="1"/>
    <col min="9" max="9" width="0.85546875" style="1" customWidth="1"/>
    <col min="10" max="10" width="10.5703125" style="1" customWidth="1"/>
    <col min="11" max="11" width="11.28515625" style="1" customWidth="1"/>
    <col min="12" max="16384" width="11.5703125" style="1"/>
  </cols>
  <sheetData>
    <row r="1" spans="1:11" ht="41.45" customHeight="1" thickBot="1" x14ac:dyDescent="0.3">
      <c r="A1" s="980" t="s">
        <v>1507</v>
      </c>
      <c r="B1" s="981"/>
      <c r="C1" s="981"/>
      <c r="D1" s="981"/>
      <c r="E1" s="981"/>
      <c r="F1" s="981"/>
      <c r="G1" s="624"/>
      <c r="H1" s="644"/>
    </row>
    <row r="2" spans="1:11" ht="10.35" customHeight="1" thickBot="1" x14ac:dyDescent="0.3">
      <c r="D2" s="1"/>
      <c r="E2" s="1"/>
      <c r="H2" s="1"/>
    </row>
    <row r="3" spans="1:11" ht="23.65" customHeight="1" thickBot="1" x14ac:dyDescent="0.3">
      <c r="B3" s="760"/>
      <c r="C3" s="456" t="s">
        <v>1385</v>
      </c>
      <c r="D3" s="982">
        <f ca="1">+TODAY()</f>
        <v>46099</v>
      </c>
      <c r="E3" s="983"/>
      <c r="F3" s="984"/>
      <c r="G3" s="468"/>
      <c r="J3" s="761"/>
      <c r="K3" s="421"/>
    </row>
    <row r="4" spans="1:11" ht="10.35" customHeight="1" thickBot="1" x14ac:dyDescent="0.3">
      <c r="D4" s="1"/>
      <c r="E4" s="1"/>
      <c r="H4" s="1"/>
    </row>
    <row r="5" spans="1:11" ht="23.65" customHeight="1" thickBot="1" x14ac:dyDescent="0.3">
      <c r="C5" s="455" t="s">
        <v>1465</v>
      </c>
      <c r="D5" s="875"/>
      <c r="E5" s="876"/>
      <c r="F5" s="877"/>
      <c r="J5" s="761"/>
      <c r="K5" s="421"/>
    </row>
    <row r="6" spans="1:11" ht="10.35" customHeight="1" thickBot="1" x14ac:dyDescent="0.3">
      <c r="D6" s="1"/>
      <c r="E6" s="1"/>
      <c r="H6" s="1"/>
    </row>
    <row r="7" spans="1:11" s="209" customFormat="1" ht="56.1" customHeight="1" thickBot="1" x14ac:dyDescent="0.3">
      <c r="A7" s="310" t="s">
        <v>748</v>
      </c>
      <c r="B7" s="310" t="s">
        <v>1018</v>
      </c>
      <c r="C7" s="310" t="s">
        <v>749</v>
      </c>
      <c r="D7" s="446" t="s">
        <v>1198</v>
      </c>
      <c r="E7" s="311" t="s">
        <v>1637</v>
      </c>
      <c r="F7" s="311" t="s">
        <v>1197</v>
      </c>
      <c r="G7" s="319" t="s">
        <v>1456</v>
      </c>
      <c r="H7" s="312" t="s">
        <v>857</v>
      </c>
      <c r="J7" s="291" t="s">
        <v>1618</v>
      </c>
    </row>
    <row r="8" spans="1:11" ht="18" customHeight="1" x14ac:dyDescent="0.25">
      <c r="A8" s="302">
        <v>248</v>
      </c>
      <c r="B8" s="260" t="s">
        <v>746</v>
      </c>
      <c r="C8" s="260" t="s">
        <v>1318</v>
      </c>
      <c r="D8" s="433" t="s">
        <v>939</v>
      </c>
      <c r="E8" s="538" t="e">
        <f>+VLOOKUP(A8,'Pedido VACIO'!$B:$N,13,0)/H8</f>
        <v>#N/A</v>
      </c>
      <c r="F8" s="304">
        <v>0</v>
      </c>
      <c r="G8" s="304"/>
      <c r="H8" s="530"/>
      <c r="J8" s="482">
        <f>+(F8*H8)+G8</f>
        <v>0</v>
      </c>
    </row>
    <row r="9" spans="1:11" ht="16.149999999999999" customHeight="1" x14ac:dyDescent="0.25">
      <c r="A9" s="302">
        <v>500</v>
      </c>
      <c r="B9" s="260" t="s">
        <v>746</v>
      </c>
      <c r="C9" s="260" t="s">
        <v>1408</v>
      </c>
      <c r="D9" s="433" t="s">
        <v>839</v>
      </c>
      <c r="E9" s="538" t="e">
        <f>+VLOOKUP(A9,#REF!,10,0)</f>
        <v>#REF!</v>
      </c>
      <c r="F9" s="304"/>
      <c r="G9" s="304"/>
      <c r="H9" s="530"/>
      <c r="J9" s="128">
        <f t="shared" ref="J9:J72" si="0">+(F9*H9)+G9</f>
        <v>0</v>
      </c>
    </row>
    <row r="10" spans="1:11" ht="18" customHeight="1" x14ac:dyDescent="0.25">
      <c r="A10" s="302">
        <v>505</v>
      </c>
      <c r="B10" s="260" t="s">
        <v>746</v>
      </c>
      <c r="C10" s="260" t="s">
        <v>1186</v>
      </c>
      <c r="D10" s="433" t="s">
        <v>460</v>
      </c>
      <c r="E10" s="538" t="e">
        <f>+VLOOKUP(A10,#REF!,10,0)/H10</f>
        <v>#REF!</v>
      </c>
      <c r="F10" s="304">
        <v>45</v>
      </c>
      <c r="G10" s="304">
        <v>615</v>
      </c>
      <c r="H10" s="530"/>
      <c r="J10" s="128">
        <f>+(F10*H10)+G10</f>
        <v>615</v>
      </c>
    </row>
    <row r="11" spans="1:11" ht="18" customHeight="1" x14ac:dyDescent="0.25">
      <c r="A11" s="302">
        <v>586</v>
      </c>
      <c r="B11" s="260" t="s">
        <v>746</v>
      </c>
      <c r="C11" s="260" t="s">
        <v>1505</v>
      </c>
      <c r="D11" s="433" t="s">
        <v>484</v>
      </c>
      <c r="E11" s="538" t="e">
        <f>+VLOOKUP(A11,#REF!,10,0)/H11</f>
        <v>#REF!</v>
      </c>
      <c r="F11" s="304">
        <v>30</v>
      </c>
      <c r="G11" s="304">
        <v>900</v>
      </c>
      <c r="H11" s="530"/>
      <c r="J11" s="128">
        <f t="shared" si="0"/>
        <v>900</v>
      </c>
    </row>
    <row r="12" spans="1:11" ht="18" customHeight="1" x14ac:dyDescent="0.25">
      <c r="A12" s="302">
        <v>587</v>
      </c>
      <c r="B12" s="260" t="s">
        <v>746</v>
      </c>
      <c r="C12" s="260" t="s">
        <v>1320</v>
      </c>
      <c r="D12" s="433" t="s">
        <v>464</v>
      </c>
      <c r="E12" s="538" t="e">
        <f>+VLOOKUP(A12,#REF!,10,0)/H12</f>
        <v>#REF!</v>
      </c>
      <c r="F12" s="304">
        <v>0</v>
      </c>
      <c r="G12" s="304">
        <v>250</v>
      </c>
      <c r="H12" s="530"/>
      <c r="J12" s="128">
        <f t="shared" si="0"/>
        <v>250</v>
      </c>
    </row>
    <row r="13" spans="1:11" ht="18" customHeight="1" x14ac:dyDescent="0.25">
      <c r="A13" s="302">
        <v>513</v>
      </c>
      <c r="B13" s="260" t="s">
        <v>746</v>
      </c>
      <c r="C13" s="260" t="s">
        <v>1183</v>
      </c>
      <c r="D13" s="433" t="s">
        <v>459</v>
      </c>
      <c r="E13" s="538" t="e">
        <f>+VLOOKUP(A13,#REF!,10,0)/H13</f>
        <v>#REF!</v>
      </c>
      <c r="F13" s="304">
        <v>20</v>
      </c>
      <c r="G13" s="304">
        <v>300</v>
      </c>
      <c r="H13" s="530"/>
      <c r="J13" s="128">
        <f t="shared" si="0"/>
        <v>300</v>
      </c>
    </row>
    <row r="14" spans="1:11" ht="18" customHeight="1" x14ac:dyDescent="0.25">
      <c r="A14" s="302">
        <v>504</v>
      </c>
      <c r="B14" s="260" t="s">
        <v>746</v>
      </c>
      <c r="C14" s="260" t="s">
        <v>1194</v>
      </c>
      <c r="D14" s="433" t="s">
        <v>466</v>
      </c>
      <c r="E14" s="538" t="e">
        <f>+VLOOKUP(A14,#REF!,10,0)/H14</f>
        <v>#REF!</v>
      </c>
      <c r="F14" s="304">
        <v>13</v>
      </c>
      <c r="G14" s="304">
        <v>1630</v>
      </c>
      <c r="H14" s="530"/>
      <c r="J14" s="128">
        <f t="shared" si="0"/>
        <v>1630</v>
      </c>
    </row>
    <row r="15" spans="1:11" ht="18" customHeight="1" x14ac:dyDescent="0.25">
      <c r="A15" s="302">
        <v>546</v>
      </c>
      <c r="B15" s="260" t="s">
        <v>746</v>
      </c>
      <c r="C15" s="260" t="s">
        <v>1338</v>
      </c>
      <c r="D15" s="433" t="s">
        <v>476</v>
      </c>
      <c r="E15" s="538" t="e">
        <f>+VLOOKUP(A15,#REF!,10,0)/H15</f>
        <v>#REF!</v>
      </c>
      <c r="F15" s="304">
        <v>10</v>
      </c>
      <c r="G15" s="304">
        <v>200</v>
      </c>
      <c r="H15" s="530"/>
      <c r="J15" s="128">
        <f t="shared" si="0"/>
        <v>200</v>
      </c>
    </row>
    <row r="16" spans="1:11" ht="18" customHeight="1" x14ac:dyDescent="0.25">
      <c r="A16" s="302">
        <v>66</v>
      </c>
      <c r="B16" s="260" t="s">
        <v>746</v>
      </c>
      <c r="C16" s="260" t="s">
        <v>1265</v>
      </c>
      <c r="D16" s="433" t="s">
        <v>1550</v>
      </c>
      <c r="E16" s="538" t="e">
        <f>+VLOOKUP(A16,#REF!,10,0)/H16</f>
        <v>#REF!</v>
      </c>
      <c r="F16" s="304">
        <v>13</v>
      </c>
      <c r="G16" s="304">
        <v>500</v>
      </c>
      <c r="H16" s="530"/>
      <c r="J16" s="128">
        <f t="shared" si="0"/>
        <v>500</v>
      </c>
    </row>
    <row r="17" spans="1:10" ht="18" customHeight="1" x14ac:dyDescent="0.25">
      <c r="A17" s="302">
        <v>512</v>
      </c>
      <c r="B17" s="260" t="s">
        <v>746</v>
      </c>
      <c r="C17" s="260" t="s">
        <v>1335</v>
      </c>
      <c r="D17" s="433" t="s">
        <v>1549</v>
      </c>
      <c r="E17" s="538" t="e">
        <f>+VLOOKUP(A17,#REF!,10,0)/H17</f>
        <v>#REF!</v>
      </c>
      <c r="F17" s="304">
        <v>6</v>
      </c>
      <c r="G17" s="304">
        <v>1900</v>
      </c>
      <c r="H17" s="530"/>
      <c r="J17" s="128">
        <f t="shared" si="0"/>
        <v>1900</v>
      </c>
    </row>
    <row r="18" spans="1:10" ht="18" customHeight="1" x14ac:dyDescent="0.25">
      <c r="A18" s="302">
        <v>501</v>
      </c>
      <c r="B18" s="260" t="s">
        <v>746</v>
      </c>
      <c r="C18" s="260" t="s">
        <v>1189</v>
      </c>
      <c r="D18" s="433" t="s">
        <v>470</v>
      </c>
      <c r="E18" s="538" t="e">
        <f>+VLOOKUP(A18,#REF!,10,0)/H18</f>
        <v>#REF!</v>
      </c>
      <c r="F18" s="304">
        <v>0</v>
      </c>
      <c r="G18" s="304"/>
      <c r="H18" s="530"/>
      <c r="J18" s="128">
        <f t="shared" si="0"/>
        <v>0</v>
      </c>
    </row>
    <row r="19" spans="1:10" ht="18" customHeight="1" x14ac:dyDescent="0.25">
      <c r="A19" s="302">
        <v>502</v>
      </c>
      <c r="B19" s="260" t="s">
        <v>746</v>
      </c>
      <c r="C19" s="260" t="s">
        <v>1316</v>
      </c>
      <c r="D19" s="433" t="s">
        <v>469</v>
      </c>
      <c r="E19" s="538" t="e">
        <f>+VLOOKUP(A19,#REF!,10,0)/H19</f>
        <v>#REF!</v>
      </c>
      <c r="F19" s="304">
        <v>8</v>
      </c>
      <c r="G19" s="304">
        <v>1920</v>
      </c>
      <c r="H19" s="530"/>
      <c r="J19" s="128">
        <f t="shared" si="0"/>
        <v>1920</v>
      </c>
    </row>
    <row r="20" spans="1:10" ht="18" customHeight="1" x14ac:dyDescent="0.25">
      <c r="A20" s="302">
        <v>521</v>
      </c>
      <c r="B20" s="260" t="s">
        <v>746</v>
      </c>
      <c r="C20" s="260" t="s">
        <v>803</v>
      </c>
      <c r="D20" s="433" t="s">
        <v>1551</v>
      </c>
      <c r="E20" s="538" t="e">
        <f>+VLOOKUP(A20,#REF!,10,0)/H20</f>
        <v>#REF!</v>
      </c>
      <c r="F20" s="304">
        <v>5</v>
      </c>
      <c r="G20" s="304">
        <v>730</v>
      </c>
      <c r="H20" s="530"/>
      <c r="J20" s="128">
        <f t="shared" si="0"/>
        <v>730</v>
      </c>
    </row>
    <row r="21" spans="1:10" ht="18" customHeight="1" x14ac:dyDescent="0.25">
      <c r="A21" s="302">
        <v>525</v>
      </c>
      <c r="B21" s="260" t="s">
        <v>746</v>
      </c>
      <c r="C21" s="260" t="s">
        <v>805</v>
      </c>
      <c r="D21" s="433" t="s">
        <v>1552</v>
      </c>
      <c r="E21" s="538" t="e">
        <f>+VLOOKUP(A21,#REF!,10,0)/H21</f>
        <v>#REF!</v>
      </c>
      <c r="F21" s="304">
        <v>7</v>
      </c>
      <c r="G21" s="304">
        <v>650</v>
      </c>
      <c r="H21" s="530"/>
      <c r="J21" s="128">
        <f t="shared" si="0"/>
        <v>650</v>
      </c>
    </row>
    <row r="22" spans="1:10" ht="18" customHeight="1" x14ac:dyDescent="0.25">
      <c r="A22" s="302">
        <v>520</v>
      </c>
      <c r="B22" s="260" t="s">
        <v>746</v>
      </c>
      <c r="C22" s="260" t="s">
        <v>802</v>
      </c>
      <c r="D22" s="433" t="s">
        <v>1420</v>
      </c>
      <c r="E22" s="538" t="e">
        <f>+VLOOKUP(A22,#REF!,10,0)/H22</f>
        <v>#REF!</v>
      </c>
      <c r="F22" s="304">
        <v>4</v>
      </c>
      <c r="G22" s="304">
        <v>323</v>
      </c>
      <c r="H22" s="530"/>
      <c r="J22" s="128">
        <f t="shared" si="0"/>
        <v>323</v>
      </c>
    </row>
    <row r="23" spans="1:10" ht="18" customHeight="1" x14ac:dyDescent="0.25">
      <c r="A23" s="302">
        <v>581</v>
      </c>
      <c r="B23" s="260" t="s">
        <v>746</v>
      </c>
      <c r="C23" s="260" t="s">
        <v>1319</v>
      </c>
      <c r="D23" s="433" t="s">
        <v>1553</v>
      </c>
      <c r="E23" s="538" t="e">
        <f>+VLOOKUP(A23,#REF!,10,0)/H23</f>
        <v>#REF!</v>
      </c>
      <c r="F23" s="304">
        <v>4</v>
      </c>
      <c r="G23" s="304">
        <v>1150</v>
      </c>
      <c r="H23" s="530"/>
      <c r="J23" s="128">
        <f t="shared" si="0"/>
        <v>1150</v>
      </c>
    </row>
    <row r="24" spans="1:10" ht="18" customHeight="1" x14ac:dyDescent="0.25">
      <c r="A24" s="302">
        <v>530</v>
      </c>
      <c r="B24" s="260" t="s">
        <v>746</v>
      </c>
      <c r="C24" s="260" t="s">
        <v>1223</v>
      </c>
      <c r="D24" s="433" t="s">
        <v>467</v>
      </c>
      <c r="E24" s="538" t="e">
        <f>+VLOOKUP(A24,#REF!,10,0)/H24</f>
        <v>#REF!</v>
      </c>
      <c r="F24" s="304">
        <v>9</v>
      </c>
      <c r="G24" s="304">
        <v>150</v>
      </c>
      <c r="H24" s="530"/>
      <c r="J24" s="128">
        <f t="shared" si="0"/>
        <v>150</v>
      </c>
    </row>
    <row r="25" spans="1:10" ht="18" customHeight="1" x14ac:dyDescent="0.25">
      <c r="A25" s="302">
        <v>523</v>
      </c>
      <c r="B25" s="260" t="s">
        <v>746</v>
      </c>
      <c r="C25" s="260" t="s">
        <v>1323</v>
      </c>
      <c r="D25" s="433" t="s">
        <v>1554</v>
      </c>
      <c r="E25" s="538" t="e">
        <f>+VLOOKUP(A25,#REF!,10,0)/H25</f>
        <v>#REF!</v>
      </c>
      <c r="F25" s="304">
        <v>5</v>
      </c>
      <c r="G25" s="304"/>
      <c r="H25" s="530"/>
      <c r="J25" s="128">
        <f t="shared" si="0"/>
        <v>0</v>
      </c>
    </row>
    <row r="26" spans="1:10" ht="18.75" customHeight="1" x14ac:dyDescent="0.25">
      <c r="A26" s="302">
        <v>531</v>
      </c>
      <c r="B26" s="260" t="s">
        <v>746</v>
      </c>
      <c r="C26" s="260" t="s">
        <v>1199</v>
      </c>
      <c r="D26" s="433" t="s">
        <v>841</v>
      </c>
      <c r="E26" s="538" t="e">
        <f>+VLOOKUP(A26,#REF!,10,0)/H26</f>
        <v>#REF!</v>
      </c>
      <c r="F26" s="304">
        <v>5</v>
      </c>
      <c r="G26" s="304">
        <v>615</v>
      </c>
      <c r="H26" s="530"/>
      <c r="J26" s="128">
        <f t="shared" si="0"/>
        <v>615</v>
      </c>
    </row>
    <row r="27" spans="1:10" ht="18" customHeight="1" x14ac:dyDescent="0.25">
      <c r="A27" s="302">
        <v>280</v>
      </c>
      <c r="B27" s="260" t="s">
        <v>746</v>
      </c>
      <c r="C27" s="260" t="s">
        <v>1329</v>
      </c>
      <c r="D27" s="433" t="s">
        <v>1555</v>
      </c>
      <c r="E27" s="538" t="e">
        <f>+VLOOKUP(A27,#REF!,10,0)/H27</f>
        <v>#REF!</v>
      </c>
      <c r="F27" s="304">
        <v>7</v>
      </c>
      <c r="G27" s="304"/>
      <c r="H27" s="530"/>
      <c r="J27" s="128">
        <f t="shared" si="0"/>
        <v>0</v>
      </c>
    </row>
    <row r="28" spans="1:10" ht="18" customHeight="1" x14ac:dyDescent="0.25">
      <c r="A28" s="302">
        <v>544</v>
      </c>
      <c r="B28" s="260" t="s">
        <v>746</v>
      </c>
      <c r="C28" s="260" t="s">
        <v>1193</v>
      </c>
      <c r="D28" s="433" t="s">
        <v>482</v>
      </c>
      <c r="E28" s="538" t="e">
        <f>+VLOOKUP(A28,#REF!,10,0)/H28</f>
        <v>#REF!</v>
      </c>
      <c r="F28" s="304">
        <v>16</v>
      </c>
      <c r="G28" s="304">
        <v>4000</v>
      </c>
      <c r="H28" s="530"/>
      <c r="J28" s="128">
        <f t="shared" si="0"/>
        <v>4000</v>
      </c>
    </row>
    <row r="29" spans="1:10" ht="18" customHeight="1" x14ac:dyDescent="0.25">
      <c r="A29" s="302">
        <v>562</v>
      </c>
      <c r="B29" s="260" t="s">
        <v>746</v>
      </c>
      <c r="C29" s="260" t="s">
        <v>1394</v>
      </c>
      <c r="D29" s="433" t="s">
        <v>842</v>
      </c>
      <c r="E29" s="538" t="e">
        <f>+VLOOKUP(A29,#REF!,10,0)/H29</f>
        <v>#REF!</v>
      </c>
      <c r="F29" s="304">
        <v>2</v>
      </c>
      <c r="G29" s="304">
        <v>850</v>
      </c>
      <c r="H29" s="530"/>
      <c r="J29" s="128">
        <f t="shared" si="0"/>
        <v>850</v>
      </c>
    </row>
    <row r="30" spans="1:10" ht="18" customHeight="1" x14ac:dyDescent="0.25">
      <c r="A30" s="302">
        <v>564</v>
      </c>
      <c r="B30" s="260" t="s">
        <v>746</v>
      </c>
      <c r="C30" s="260" t="s">
        <v>1339</v>
      </c>
      <c r="D30" s="433" t="s">
        <v>843</v>
      </c>
      <c r="E30" s="538" t="e">
        <f>+VLOOKUP(A30,#REF!,10,0)/H30</f>
        <v>#REF!</v>
      </c>
      <c r="F30" s="304">
        <v>0</v>
      </c>
      <c r="G30" s="304">
        <v>610</v>
      </c>
      <c r="H30" s="530"/>
      <c r="J30" s="128">
        <f t="shared" si="0"/>
        <v>610</v>
      </c>
    </row>
    <row r="31" spans="1:10" ht="18" customHeight="1" x14ac:dyDescent="0.25">
      <c r="A31" s="302">
        <v>575</v>
      </c>
      <c r="B31" s="260" t="s">
        <v>746</v>
      </c>
      <c r="C31" s="260" t="s">
        <v>1326</v>
      </c>
      <c r="D31" s="433" t="s">
        <v>844</v>
      </c>
      <c r="E31" s="538" t="e">
        <f>+VLOOKUP(A31,#REF!,10,0)/H31</f>
        <v>#REF!</v>
      </c>
      <c r="F31" s="304">
        <v>1</v>
      </c>
      <c r="G31" s="304">
        <v>1550</v>
      </c>
      <c r="H31" s="530"/>
      <c r="J31" s="128">
        <f t="shared" si="0"/>
        <v>1550</v>
      </c>
    </row>
    <row r="32" spans="1:10" ht="18" customHeight="1" x14ac:dyDescent="0.25">
      <c r="A32" s="302">
        <v>579</v>
      </c>
      <c r="B32" s="260" t="s">
        <v>746</v>
      </c>
      <c r="C32" s="260" t="s">
        <v>1328</v>
      </c>
      <c r="D32" s="433" t="s">
        <v>845</v>
      </c>
      <c r="E32" s="538" t="e">
        <f>+VLOOKUP(A32,#REF!,10,0)/H32</f>
        <v>#REF!</v>
      </c>
      <c r="F32" s="304">
        <v>0</v>
      </c>
      <c r="G32" s="304">
        <v>2050</v>
      </c>
      <c r="H32" s="530"/>
      <c r="J32" s="128">
        <f t="shared" si="0"/>
        <v>2050</v>
      </c>
    </row>
    <row r="33" spans="1:10" ht="18" customHeight="1" x14ac:dyDescent="0.25">
      <c r="A33" s="302">
        <v>321</v>
      </c>
      <c r="B33" s="260" t="s">
        <v>746</v>
      </c>
      <c r="C33" s="260" t="s">
        <v>1334</v>
      </c>
      <c r="D33" s="433" t="s">
        <v>847</v>
      </c>
      <c r="E33" s="538" t="e">
        <f>+VLOOKUP(A33,#REF!,10,0)/H33</f>
        <v>#REF!</v>
      </c>
      <c r="F33" s="304">
        <v>4</v>
      </c>
      <c r="G33" s="304"/>
      <c r="H33" s="530"/>
      <c r="J33" s="128">
        <f t="shared" si="0"/>
        <v>0</v>
      </c>
    </row>
    <row r="34" spans="1:10" ht="18" customHeight="1" x14ac:dyDescent="0.25">
      <c r="A34" s="302">
        <v>577</v>
      </c>
      <c r="B34" s="260" t="s">
        <v>746</v>
      </c>
      <c r="C34" s="260" t="s">
        <v>1327</v>
      </c>
      <c r="D34" s="433" t="s">
        <v>1556</v>
      </c>
      <c r="E34" s="538" t="e">
        <f>+VLOOKUP(A34,#REF!,10,0)/H34</f>
        <v>#REF!</v>
      </c>
      <c r="F34" s="304">
        <v>0</v>
      </c>
      <c r="G34" s="304">
        <v>5070</v>
      </c>
      <c r="H34" s="530"/>
      <c r="J34" s="128">
        <f t="shared" si="0"/>
        <v>5070</v>
      </c>
    </row>
    <row r="35" spans="1:10" ht="16.149999999999999" customHeight="1" x14ac:dyDescent="0.25">
      <c r="A35" s="302">
        <v>311</v>
      </c>
      <c r="B35" s="260" t="s">
        <v>746</v>
      </c>
      <c r="C35" s="260" t="s">
        <v>1227</v>
      </c>
      <c r="D35" s="433" t="s">
        <v>1421</v>
      </c>
      <c r="E35" s="538" t="e">
        <f>+VLOOKUP(A35,#REF!,10,0)/H35</f>
        <v>#REF!</v>
      </c>
      <c r="F35" s="304">
        <v>0</v>
      </c>
      <c r="G35" s="304">
        <v>1200</v>
      </c>
      <c r="H35" s="530"/>
      <c r="J35" s="128">
        <f t="shared" si="0"/>
        <v>1200</v>
      </c>
    </row>
    <row r="36" spans="1:10" ht="18" customHeight="1" x14ac:dyDescent="0.25">
      <c r="A36" s="302">
        <v>312</v>
      </c>
      <c r="B36" s="260" t="s">
        <v>746</v>
      </c>
      <c r="C36" s="260" t="s">
        <v>1340</v>
      </c>
      <c r="D36" s="433" t="s">
        <v>1529</v>
      </c>
      <c r="E36" s="538" t="e">
        <f>+VLOOKUP(A36,#REF!,10,0)/H36</f>
        <v>#REF!</v>
      </c>
      <c r="F36" s="304">
        <v>0</v>
      </c>
      <c r="G36" s="304">
        <v>3500</v>
      </c>
      <c r="H36" s="530"/>
      <c r="J36" s="128">
        <f t="shared" si="0"/>
        <v>3500</v>
      </c>
    </row>
    <row r="37" spans="1:10" ht="18" customHeight="1" x14ac:dyDescent="0.25">
      <c r="A37" s="302">
        <v>395</v>
      </c>
      <c r="B37" s="260" t="s">
        <v>746</v>
      </c>
      <c r="C37" s="260" t="s">
        <v>786</v>
      </c>
      <c r="D37" s="433" t="s">
        <v>1530</v>
      </c>
      <c r="E37" s="538" t="e">
        <f>+VLOOKUP(A37,#REF!,10,0)/H37</f>
        <v>#REF!</v>
      </c>
      <c r="F37" s="304">
        <v>1</v>
      </c>
      <c r="G37" s="304">
        <v>1000</v>
      </c>
      <c r="H37" s="530"/>
      <c r="J37" s="128">
        <f t="shared" si="0"/>
        <v>1000</v>
      </c>
    </row>
    <row r="38" spans="1:10" ht="18" customHeight="1" x14ac:dyDescent="0.25">
      <c r="A38" s="302">
        <v>507</v>
      </c>
      <c r="B38" s="260" t="s">
        <v>746</v>
      </c>
      <c r="C38" s="260" t="s">
        <v>243</v>
      </c>
      <c r="D38" s="433" t="s">
        <v>1531</v>
      </c>
      <c r="E38" s="538" t="e">
        <f>+VLOOKUP(A38,#REF!,10,0)/H38</f>
        <v>#REF!</v>
      </c>
      <c r="F38" s="304">
        <v>1</v>
      </c>
      <c r="G38" s="304">
        <v>700</v>
      </c>
      <c r="H38" s="530"/>
      <c r="J38" s="128">
        <f t="shared" si="0"/>
        <v>700</v>
      </c>
    </row>
    <row r="39" spans="1:10" ht="18" customHeight="1" x14ac:dyDescent="0.25">
      <c r="A39" s="302">
        <v>517</v>
      </c>
      <c r="B39" s="260" t="s">
        <v>746</v>
      </c>
      <c r="C39" s="260" t="s">
        <v>1363</v>
      </c>
      <c r="D39" s="433" t="s">
        <v>849</v>
      </c>
      <c r="E39" s="538" t="e">
        <f>+VLOOKUP(A39,#REF!,10,0)/H39</f>
        <v>#REF!</v>
      </c>
      <c r="F39" s="304">
        <v>0</v>
      </c>
      <c r="G39" s="304"/>
      <c r="H39" s="530"/>
      <c r="J39" s="128">
        <f t="shared" si="0"/>
        <v>0</v>
      </c>
    </row>
    <row r="40" spans="1:10" ht="18" customHeight="1" x14ac:dyDescent="0.25">
      <c r="A40" s="302">
        <v>532</v>
      </c>
      <c r="B40" s="260" t="s">
        <v>746</v>
      </c>
      <c r="C40" s="260" t="s">
        <v>1182</v>
      </c>
      <c r="D40" s="433" t="s">
        <v>850</v>
      </c>
      <c r="E40" s="538" t="e">
        <f>+VLOOKUP(A40,#REF!,10,0)/H40</f>
        <v>#REF!</v>
      </c>
      <c r="F40" s="304">
        <v>0</v>
      </c>
      <c r="G40" s="304">
        <v>750</v>
      </c>
      <c r="H40" s="530"/>
      <c r="J40" s="128">
        <f t="shared" si="0"/>
        <v>750</v>
      </c>
    </row>
    <row r="41" spans="1:10" ht="18.75" customHeight="1" x14ac:dyDescent="0.25">
      <c r="A41" s="302">
        <v>548</v>
      </c>
      <c r="B41" s="260" t="s">
        <v>746</v>
      </c>
      <c r="C41" s="260" t="s">
        <v>1187</v>
      </c>
      <c r="D41" s="433" t="s">
        <v>1532</v>
      </c>
      <c r="E41" s="538" t="e">
        <f>+VLOOKUP(A41,#REF!,10,0)/H41</f>
        <v>#REF!</v>
      </c>
      <c r="F41" s="304">
        <v>0</v>
      </c>
      <c r="G41" s="304">
        <v>1200</v>
      </c>
      <c r="H41" s="530"/>
      <c r="J41" s="128">
        <f t="shared" si="0"/>
        <v>1200</v>
      </c>
    </row>
    <row r="42" spans="1:10" ht="18" customHeight="1" x14ac:dyDescent="0.25">
      <c r="A42" s="302">
        <v>559</v>
      </c>
      <c r="B42" s="260" t="s">
        <v>746</v>
      </c>
      <c r="C42" s="260" t="s">
        <v>1332</v>
      </c>
      <c r="D42" s="433" t="s">
        <v>1533</v>
      </c>
      <c r="E42" s="538" t="e">
        <f>+VLOOKUP(A42,#REF!,10,0)/H42</f>
        <v>#REF!</v>
      </c>
      <c r="F42" s="304">
        <v>0</v>
      </c>
      <c r="G42" s="304">
        <v>950</v>
      </c>
      <c r="H42" s="530"/>
      <c r="J42" s="128">
        <f t="shared" si="0"/>
        <v>950</v>
      </c>
    </row>
    <row r="43" spans="1:10" ht="18" customHeight="1" x14ac:dyDescent="0.25">
      <c r="A43" s="302">
        <v>570</v>
      </c>
      <c r="B43" s="260" t="s">
        <v>746</v>
      </c>
      <c r="C43" s="260" t="s">
        <v>1185</v>
      </c>
      <c r="D43" s="433" t="s">
        <v>1534</v>
      </c>
      <c r="E43" s="538" t="e">
        <f>+VLOOKUP(A43,#REF!,10,0)/H43</f>
        <v>#REF!</v>
      </c>
      <c r="F43" s="304">
        <v>0</v>
      </c>
      <c r="G43" s="304"/>
      <c r="H43" s="530"/>
      <c r="J43" s="128">
        <f t="shared" si="0"/>
        <v>0</v>
      </c>
    </row>
    <row r="44" spans="1:10" ht="18" customHeight="1" x14ac:dyDescent="0.25">
      <c r="A44" s="302">
        <v>207</v>
      </c>
      <c r="B44" s="260" t="s">
        <v>746</v>
      </c>
      <c r="C44" s="260" t="s">
        <v>1516</v>
      </c>
      <c r="D44" s="433" t="s">
        <v>851</v>
      </c>
      <c r="E44" s="538" t="e">
        <f>+VLOOKUP(A44,#REF!,10,0)/H44</f>
        <v>#REF!</v>
      </c>
      <c r="F44" s="304">
        <v>1</v>
      </c>
      <c r="G44" s="304">
        <v>300</v>
      </c>
      <c r="H44" s="530"/>
      <c r="J44" s="128">
        <f t="shared" si="0"/>
        <v>300</v>
      </c>
    </row>
    <row r="45" spans="1:10" ht="18" customHeight="1" x14ac:dyDescent="0.25">
      <c r="A45" s="302">
        <v>208</v>
      </c>
      <c r="B45" s="260" t="s">
        <v>746</v>
      </c>
      <c r="C45" s="260" t="s">
        <v>1517</v>
      </c>
      <c r="D45" s="433" t="s">
        <v>852</v>
      </c>
      <c r="E45" s="538" t="e">
        <f>+VLOOKUP(A45,#REF!,10,0)/H45</f>
        <v>#REF!</v>
      </c>
      <c r="F45" s="304">
        <v>0</v>
      </c>
      <c r="G45" s="304">
        <v>100</v>
      </c>
      <c r="H45" s="530"/>
      <c r="J45" s="128">
        <f t="shared" si="0"/>
        <v>100</v>
      </c>
    </row>
    <row r="46" spans="1:10" ht="18" customHeight="1" x14ac:dyDescent="0.25">
      <c r="A46" s="302">
        <v>229</v>
      </c>
      <c r="B46" s="260" t="s">
        <v>746</v>
      </c>
      <c r="C46" s="260" t="s">
        <v>1191</v>
      </c>
      <c r="D46" s="433" t="s">
        <v>853</v>
      </c>
      <c r="E46" s="538" t="e">
        <f>+VLOOKUP(A46,#REF!,10,0)/H46</f>
        <v>#REF!</v>
      </c>
      <c r="F46" s="304">
        <v>4</v>
      </c>
      <c r="G46" s="304">
        <v>800</v>
      </c>
      <c r="H46" s="530"/>
      <c r="J46" s="128">
        <f t="shared" si="0"/>
        <v>800</v>
      </c>
    </row>
    <row r="47" spans="1:10" ht="18" customHeight="1" x14ac:dyDescent="0.25">
      <c r="A47" s="302">
        <v>511</v>
      </c>
      <c r="B47" s="260" t="s">
        <v>746</v>
      </c>
      <c r="C47" s="260" t="s">
        <v>1336</v>
      </c>
      <c r="D47" s="433" t="s">
        <v>1535</v>
      </c>
      <c r="E47" s="538" t="e">
        <f>+VLOOKUP(A47,#REF!,10,0)/H47</f>
        <v>#REF!</v>
      </c>
      <c r="F47" s="304">
        <v>2</v>
      </c>
      <c r="G47" s="304"/>
      <c r="H47" s="530"/>
      <c r="J47" s="128">
        <f t="shared" si="0"/>
        <v>0</v>
      </c>
    </row>
    <row r="48" spans="1:10" ht="18" customHeight="1" x14ac:dyDescent="0.25">
      <c r="A48" s="302">
        <v>560</v>
      </c>
      <c r="B48" s="260" t="s">
        <v>746</v>
      </c>
      <c r="C48" s="260" t="s">
        <v>1333</v>
      </c>
      <c r="D48" s="433" t="s">
        <v>1536</v>
      </c>
      <c r="E48" s="538" t="e">
        <f>+VLOOKUP(A48,#REF!,10,0)/H48</f>
        <v>#REF!</v>
      </c>
      <c r="F48" s="304">
        <v>3</v>
      </c>
      <c r="G48" s="304">
        <v>1080</v>
      </c>
      <c r="H48" s="530"/>
      <c r="J48" s="128">
        <f t="shared" si="0"/>
        <v>1080</v>
      </c>
    </row>
    <row r="49" spans="1:10" ht="18" customHeight="1" x14ac:dyDescent="0.25">
      <c r="A49" s="302">
        <v>561</v>
      </c>
      <c r="B49" s="260" t="s">
        <v>746</v>
      </c>
      <c r="C49" s="260" t="s">
        <v>1523</v>
      </c>
      <c r="D49" s="433" t="s">
        <v>855</v>
      </c>
      <c r="E49" s="538" t="e">
        <f>+VLOOKUP(A49,#REF!,10,0)/H49</f>
        <v>#REF!</v>
      </c>
      <c r="F49" s="304">
        <v>0</v>
      </c>
      <c r="G49" s="304"/>
      <c r="H49" s="530"/>
      <c r="J49" s="128">
        <f t="shared" si="0"/>
        <v>0</v>
      </c>
    </row>
    <row r="50" spans="1:10" ht="18" customHeight="1" x14ac:dyDescent="0.25">
      <c r="A50" s="302">
        <v>565</v>
      </c>
      <c r="B50" s="260" t="s">
        <v>746</v>
      </c>
      <c r="C50" s="260" t="s">
        <v>1325</v>
      </c>
      <c r="D50" s="433" t="s">
        <v>854</v>
      </c>
      <c r="E50" s="538" t="e">
        <f>+VLOOKUP(A50,#REF!,10,0)/H50</f>
        <v>#REF!</v>
      </c>
      <c r="F50" s="304">
        <v>2</v>
      </c>
      <c r="G50" s="304">
        <v>480</v>
      </c>
      <c r="H50" s="530"/>
      <c r="J50" s="128">
        <f t="shared" si="0"/>
        <v>480</v>
      </c>
    </row>
    <row r="51" spans="1:10" ht="18" customHeight="1" x14ac:dyDescent="0.25">
      <c r="A51" s="302">
        <v>594</v>
      </c>
      <c r="B51" s="260" t="s">
        <v>746</v>
      </c>
      <c r="C51" s="260" t="s">
        <v>1504</v>
      </c>
      <c r="D51" s="433" t="s">
        <v>1537</v>
      </c>
      <c r="E51" s="538" t="e">
        <f>+VLOOKUP(A51,#REF!,10,0)/H51</f>
        <v>#REF!</v>
      </c>
      <c r="F51" s="304">
        <v>2</v>
      </c>
      <c r="G51" s="304"/>
      <c r="H51" s="530"/>
      <c r="J51" s="128">
        <f t="shared" si="0"/>
        <v>0</v>
      </c>
    </row>
    <row r="52" spans="1:10" ht="18" customHeight="1" x14ac:dyDescent="0.25">
      <c r="A52" s="302">
        <v>595</v>
      </c>
      <c r="B52" s="260" t="s">
        <v>746</v>
      </c>
      <c r="C52" s="260" t="s">
        <v>1503</v>
      </c>
      <c r="D52" s="433" t="s">
        <v>1538</v>
      </c>
      <c r="E52" s="538" t="e">
        <f>+VLOOKUP(A52,#REF!,10,0)/H52</f>
        <v>#REF!</v>
      </c>
      <c r="F52" s="304">
        <v>1</v>
      </c>
      <c r="G52" s="304">
        <v>1850</v>
      </c>
      <c r="H52" s="530"/>
      <c r="J52" s="128">
        <f t="shared" si="0"/>
        <v>1850</v>
      </c>
    </row>
    <row r="53" spans="1:10" ht="18" customHeight="1" x14ac:dyDescent="0.25">
      <c r="A53" s="302">
        <v>596</v>
      </c>
      <c r="B53" s="260" t="s">
        <v>746</v>
      </c>
      <c r="C53" s="260" t="s">
        <v>1502</v>
      </c>
      <c r="D53" s="433" t="s">
        <v>1539</v>
      </c>
      <c r="E53" s="538" t="e">
        <f>+VLOOKUP(A53,#REF!,10,0)/H53</f>
        <v>#REF!</v>
      </c>
      <c r="F53" s="304">
        <v>1</v>
      </c>
      <c r="G53" s="304">
        <v>2000</v>
      </c>
      <c r="H53" s="530"/>
      <c r="J53" s="128">
        <f t="shared" si="0"/>
        <v>2000</v>
      </c>
    </row>
    <row r="54" spans="1:10" ht="18" customHeight="1" x14ac:dyDescent="0.25">
      <c r="A54" s="302">
        <v>542</v>
      </c>
      <c r="B54" s="260" t="s">
        <v>746</v>
      </c>
      <c r="C54" s="260" t="s">
        <v>1179</v>
      </c>
      <c r="D54" s="433" t="s">
        <v>856</v>
      </c>
      <c r="E54" s="538" t="e">
        <f>+VLOOKUP(A54,#REF!,10,0)/H54</f>
        <v>#REF!</v>
      </c>
      <c r="F54" s="304">
        <v>0</v>
      </c>
      <c r="G54" s="304">
        <v>500</v>
      </c>
      <c r="H54" s="530"/>
      <c r="J54" s="128">
        <f t="shared" si="0"/>
        <v>500</v>
      </c>
    </row>
    <row r="55" spans="1:10" ht="18.75" customHeight="1" x14ac:dyDescent="0.25">
      <c r="A55" s="302">
        <v>543</v>
      </c>
      <c r="B55" s="260" t="s">
        <v>746</v>
      </c>
      <c r="C55" s="260" t="s">
        <v>1180</v>
      </c>
      <c r="D55" s="433" t="s">
        <v>846</v>
      </c>
      <c r="E55" s="538" t="e">
        <f>+VLOOKUP(A55,#REF!,10,0)/H55</f>
        <v>#REF!</v>
      </c>
      <c r="F55" s="304">
        <v>0</v>
      </c>
      <c r="G55" s="304">
        <v>1640</v>
      </c>
      <c r="H55" s="530"/>
      <c r="J55" s="128">
        <f t="shared" si="0"/>
        <v>1640</v>
      </c>
    </row>
    <row r="56" spans="1:10" ht="18" customHeight="1" x14ac:dyDescent="0.25">
      <c r="A56" s="302">
        <v>58</v>
      </c>
      <c r="B56" s="260" t="s">
        <v>746</v>
      </c>
      <c r="C56" s="260" t="s">
        <v>1360</v>
      </c>
      <c r="D56" s="433" t="s">
        <v>1540</v>
      </c>
      <c r="E56" s="538" t="e">
        <f>+VLOOKUP(A56,#REF!,10,0)/H56</f>
        <v>#REF!</v>
      </c>
      <c r="F56" s="304">
        <v>1</v>
      </c>
      <c r="G56" s="304"/>
      <c r="H56" s="530"/>
      <c r="J56" s="128">
        <f t="shared" si="0"/>
        <v>0</v>
      </c>
    </row>
    <row r="57" spans="1:10" ht="18" customHeight="1" x14ac:dyDescent="0.25">
      <c r="A57" s="302">
        <v>569</v>
      </c>
      <c r="B57" s="260" t="s">
        <v>746</v>
      </c>
      <c r="C57" s="260" t="s">
        <v>1331</v>
      </c>
      <c r="D57" s="433" t="s">
        <v>1541</v>
      </c>
      <c r="E57" s="538" t="e">
        <f>+VLOOKUP(A57,#REF!,10,0)/H57</f>
        <v>#REF!</v>
      </c>
      <c r="F57" s="304">
        <v>1</v>
      </c>
      <c r="G57" s="304">
        <v>460</v>
      </c>
      <c r="H57" s="530"/>
      <c r="J57" s="128">
        <f t="shared" si="0"/>
        <v>460</v>
      </c>
    </row>
    <row r="58" spans="1:10" ht="18" customHeight="1" x14ac:dyDescent="0.25">
      <c r="A58" s="302">
        <v>519</v>
      </c>
      <c r="B58" s="260" t="s">
        <v>746</v>
      </c>
      <c r="C58" s="260" t="s">
        <v>1330</v>
      </c>
      <c r="D58" s="433" t="s">
        <v>1542</v>
      </c>
      <c r="E58" s="538" t="e">
        <f>+VLOOKUP(A58,#REF!,10,0)/H58</f>
        <v>#REF!</v>
      </c>
      <c r="F58" s="304">
        <v>2</v>
      </c>
      <c r="G58" s="304">
        <v>260</v>
      </c>
      <c r="H58" s="530"/>
      <c r="J58" s="128">
        <f t="shared" si="0"/>
        <v>260</v>
      </c>
    </row>
    <row r="59" spans="1:10" ht="18" customHeight="1" x14ac:dyDescent="0.25">
      <c r="A59" s="302">
        <v>508</v>
      </c>
      <c r="B59" s="260" t="s">
        <v>746</v>
      </c>
      <c r="C59" s="260" t="s">
        <v>1190</v>
      </c>
      <c r="D59" s="433" t="s">
        <v>1543</v>
      </c>
      <c r="E59" s="538" t="e">
        <f>+VLOOKUP(A59,#REF!,10,0)/H59</f>
        <v>#REF!</v>
      </c>
      <c r="F59" s="304">
        <v>1</v>
      </c>
      <c r="G59" s="304">
        <v>570</v>
      </c>
      <c r="H59" s="530"/>
      <c r="J59" s="128">
        <f t="shared" si="0"/>
        <v>570</v>
      </c>
    </row>
    <row r="60" spans="1:10" ht="18" customHeight="1" x14ac:dyDescent="0.25">
      <c r="A60" s="302">
        <v>550</v>
      </c>
      <c r="B60" s="260" t="s">
        <v>746</v>
      </c>
      <c r="C60" s="260" t="s">
        <v>1317</v>
      </c>
      <c r="D60" s="433" t="s">
        <v>1544</v>
      </c>
      <c r="E60" s="538" t="e">
        <f>+VLOOKUP(A60,#REF!,10,0)/H60</f>
        <v>#REF!</v>
      </c>
      <c r="F60" s="304">
        <v>4</v>
      </c>
      <c r="G60" s="304">
        <v>350</v>
      </c>
      <c r="H60" s="530"/>
      <c r="J60" s="128">
        <f t="shared" si="0"/>
        <v>350</v>
      </c>
    </row>
    <row r="61" spans="1:10" ht="18" customHeight="1" x14ac:dyDescent="0.25">
      <c r="A61" s="302">
        <v>57</v>
      </c>
      <c r="B61" s="260" t="s">
        <v>746</v>
      </c>
      <c r="C61" s="260" t="s">
        <v>1361</v>
      </c>
      <c r="D61" s="433" t="s">
        <v>1545</v>
      </c>
      <c r="E61" s="538" t="e">
        <f>+VLOOKUP(A61,#REF!,10,0)/H61</f>
        <v>#REF!</v>
      </c>
      <c r="F61" s="304">
        <v>1</v>
      </c>
      <c r="G61" s="304">
        <v>850</v>
      </c>
      <c r="H61" s="530"/>
      <c r="J61" s="128">
        <f t="shared" si="0"/>
        <v>850</v>
      </c>
    </row>
    <row r="62" spans="1:10" ht="18" customHeight="1" x14ac:dyDescent="0.25">
      <c r="A62" s="302">
        <v>498</v>
      </c>
      <c r="B62" s="260" t="s">
        <v>746</v>
      </c>
      <c r="C62" s="260" t="s">
        <v>1515</v>
      </c>
      <c r="D62" s="433" t="s">
        <v>1546</v>
      </c>
      <c r="E62" s="538" t="e">
        <f>+VLOOKUP(A62,#REF!,10,0)/H62</f>
        <v>#REF!</v>
      </c>
      <c r="F62" s="304">
        <v>2</v>
      </c>
      <c r="G62" s="304">
        <v>720</v>
      </c>
      <c r="H62" s="530"/>
      <c r="J62" s="128">
        <f t="shared" si="0"/>
        <v>720</v>
      </c>
    </row>
    <row r="63" spans="1:10" ht="18" customHeight="1" x14ac:dyDescent="0.25">
      <c r="A63" s="302">
        <v>499</v>
      </c>
      <c r="B63" s="260" t="s">
        <v>746</v>
      </c>
      <c r="C63" s="260" t="s">
        <v>1337</v>
      </c>
      <c r="D63" s="433" t="s">
        <v>1547</v>
      </c>
      <c r="E63" s="538" t="e">
        <f>+VLOOKUP(A63,#REF!,10,0)/H63</f>
        <v>#REF!</v>
      </c>
      <c r="F63" s="304">
        <v>1</v>
      </c>
      <c r="G63" s="304"/>
      <c r="H63" s="530"/>
      <c r="J63" s="128">
        <f t="shared" si="0"/>
        <v>0</v>
      </c>
    </row>
    <row r="64" spans="1:10" ht="18" customHeight="1" x14ac:dyDescent="0.25">
      <c r="A64" s="302">
        <v>547</v>
      </c>
      <c r="B64" s="260" t="s">
        <v>746</v>
      </c>
      <c r="C64" s="260" t="s">
        <v>1188</v>
      </c>
      <c r="D64" s="433" t="s">
        <v>1548</v>
      </c>
      <c r="E64" s="538" t="e">
        <f>+VLOOKUP(A64,#REF!,10,0)/H64</f>
        <v>#REF!</v>
      </c>
      <c r="F64" s="304">
        <v>0</v>
      </c>
      <c r="G64" s="304"/>
      <c r="H64" s="530"/>
      <c r="J64" s="128">
        <f t="shared" si="0"/>
        <v>0</v>
      </c>
    </row>
    <row r="65" spans="1:10" ht="18" customHeight="1" x14ac:dyDescent="0.25">
      <c r="A65" s="302">
        <v>518</v>
      </c>
      <c r="B65" s="260" t="s">
        <v>746</v>
      </c>
      <c r="C65" s="260" t="s">
        <v>1341</v>
      </c>
      <c r="D65" s="433" t="s">
        <v>1562</v>
      </c>
      <c r="E65" s="538" t="e">
        <f>+VLOOKUP(A65,#REF!,10,0)/H65</f>
        <v>#REF!</v>
      </c>
      <c r="F65" s="304">
        <v>1</v>
      </c>
      <c r="G65" s="304"/>
      <c r="H65" s="530"/>
      <c r="J65" s="128">
        <f t="shared" si="0"/>
        <v>0</v>
      </c>
    </row>
    <row r="66" spans="1:10" ht="18" customHeight="1" x14ac:dyDescent="0.25">
      <c r="A66" s="302">
        <v>551</v>
      </c>
      <c r="B66" s="260" t="s">
        <v>746</v>
      </c>
      <c r="C66" s="260" t="s">
        <v>1342</v>
      </c>
      <c r="D66" s="433" t="s">
        <v>1561</v>
      </c>
      <c r="E66" s="538" t="e">
        <f>+VLOOKUP(A66,#REF!,10,0)/H66</f>
        <v>#REF!</v>
      </c>
      <c r="F66" s="304">
        <v>1</v>
      </c>
      <c r="G66" s="304">
        <v>150</v>
      </c>
      <c r="H66" s="530"/>
      <c r="J66" s="128">
        <f t="shared" si="0"/>
        <v>150</v>
      </c>
    </row>
    <row r="67" spans="1:10" ht="18" customHeight="1" x14ac:dyDescent="0.25">
      <c r="A67" s="302">
        <v>299</v>
      </c>
      <c r="B67" s="260" t="s">
        <v>746</v>
      </c>
      <c r="C67" s="260" t="s">
        <v>1322</v>
      </c>
      <c r="D67" s="433" t="s">
        <v>1563</v>
      </c>
      <c r="E67" s="538" t="e">
        <f>+VLOOKUP(A67,#REF!,10,0)/H67</f>
        <v>#REF!</v>
      </c>
      <c r="F67" s="304">
        <v>1</v>
      </c>
      <c r="G67" s="304"/>
      <c r="H67" s="530"/>
      <c r="J67" s="128">
        <f t="shared" si="0"/>
        <v>0</v>
      </c>
    </row>
    <row r="68" spans="1:10" ht="18" customHeight="1" x14ac:dyDescent="0.25">
      <c r="A68" s="302">
        <v>580</v>
      </c>
      <c r="B68" s="260" t="s">
        <v>746</v>
      </c>
      <c r="C68" s="260" t="s">
        <v>1273</v>
      </c>
      <c r="D68" s="433" t="s">
        <v>1576</v>
      </c>
      <c r="E68" s="538" t="e">
        <f>+VLOOKUP(A68,#REF!,10,0)/H68</f>
        <v>#REF!</v>
      </c>
      <c r="F68" s="304">
        <v>2</v>
      </c>
      <c r="G68" s="304"/>
      <c r="H68" s="530"/>
      <c r="J68" s="128">
        <f t="shared" si="0"/>
        <v>0</v>
      </c>
    </row>
    <row r="69" spans="1:10" ht="18" customHeight="1" x14ac:dyDescent="0.25">
      <c r="A69" s="302">
        <v>942</v>
      </c>
      <c r="B69" s="260" t="s">
        <v>746</v>
      </c>
      <c r="C69" s="260" t="s">
        <v>1785</v>
      </c>
      <c r="D69" s="433" t="s">
        <v>1790</v>
      </c>
      <c r="E69" s="538" t="e">
        <f>+VLOOKUP(A69,#REF!,10,0)/H69</f>
        <v>#REF!</v>
      </c>
      <c r="F69" s="304">
        <v>0</v>
      </c>
      <c r="G69" s="304">
        <v>1500</v>
      </c>
      <c r="H69" s="530"/>
      <c r="J69" s="128">
        <f t="shared" si="0"/>
        <v>1500</v>
      </c>
    </row>
    <row r="70" spans="1:10" ht="18" customHeight="1" x14ac:dyDescent="0.25">
      <c r="A70" s="302">
        <v>943</v>
      </c>
      <c r="B70" s="260" t="s">
        <v>746</v>
      </c>
      <c r="C70" s="260" t="s">
        <v>1786</v>
      </c>
      <c r="D70" s="433" t="s">
        <v>1791</v>
      </c>
      <c r="E70" s="538" t="e">
        <f>+VLOOKUP(A70,#REF!,10,0)/H70</f>
        <v>#REF!</v>
      </c>
      <c r="F70" s="304">
        <v>0</v>
      </c>
      <c r="G70" s="304">
        <v>1750</v>
      </c>
      <c r="H70" s="530"/>
      <c r="J70" s="128">
        <f t="shared" si="0"/>
        <v>1750</v>
      </c>
    </row>
    <row r="71" spans="1:10" ht="18" customHeight="1" x14ac:dyDescent="0.25">
      <c r="A71" s="302">
        <v>944</v>
      </c>
      <c r="B71" s="260" t="s">
        <v>746</v>
      </c>
      <c r="C71" s="260" t="s">
        <v>1787</v>
      </c>
      <c r="D71" s="433" t="s">
        <v>1792</v>
      </c>
      <c r="E71" s="538" t="e">
        <f>+VLOOKUP(A71,#REF!,10,0)/H71</f>
        <v>#REF!</v>
      </c>
      <c r="F71" s="304">
        <v>0</v>
      </c>
      <c r="G71" s="304">
        <v>1000</v>
      </c>
      <c r="H71" s="530"/>
      <c r="J71" s="128">
        <f t="shared" si="0"/>
        <v>1000</v>
      </c>
    </row>
    <row r="72" spans="1:10" ht="18" customHeight="1" x14ac:dyDescent="0.25">
      <c r="A72" s="302">
        <v>945</v>
      </c>
      <c r="B72" s="260" t="s">
        <v>746</v>
      </c>
      <c r="C72" s="260" t="s">
        <v>1788</v>
      </c>
      <c r="D72" s="433" t="s">
        <v>1793</v>
      </c>
      <c r="E72" s="538" t="e">
        <f>+VLOOKUP(A72,#REF!,10,0)/H72</f>
        <v>#REF!</v>
      </c>
      <c r="F72" s="304">
        <v>1</v>
      </c>
      <c r="G72" s="304">
        <v>100</v>
      </c>
      <c r="H72" s="530"/>
      <c r="J72" s="128">
        <f t="shared" si="0"/>
        <v>100</v>
      </c>
    </row>
    <row r="73" spans="1:10" ht="18" customHeight="1" x14ac:dyDescent="0.25">
      <c r="A73" s="302">
        <v>948</v>
      </c>
      <c r="B73" s="260" t="s">
        <v>746</v>
      </c>
      <c r="C73" s="260" t="s">
        <v>1789</v>
      </c>
      <c r="D73" s="433" t="s">
        <v>1794</v>
      </c>
      <c r="E73" s="538" t="e">
        <f>+VLOOKUP(A73,#REF!,10,0)/H73</f>
        <v>#REF!</v>
      </c>
      <c r="F73" s="304">
        <v>0</v>
      </c>
      <c r="G73" s="304">
        <v>1850</v>
      </c>
      <c r="H73" s="530"/>
      <c r="J73" s="128">
        <f t="shared" ref="J73:J136" si="1">+(F73*H73)+G73</f>
        <v>1850</v>
      </c>
    </row>
    <row r="74" spans="1:10" ht="18" customHeight="1" x14ac:dyDescent="0.25">
      <c r="A74" s="302">
        <v>193</v>
      </c>
      <c r="B74" s="260" t="s">
        <v>1651</v>
      </c>
      <c r="C74" s="260" t="s">
        <v>1617</v>
      </c>
      <c r="D74" s="433" t="s">
        <v>1635</v>
      </c>
      <c r="E74" s="538" t="e">
        <f>+VLOOKUP(A74,#REF!,10,0)/H74</f>
        <v>#REF!</v>
      </c>
      <c r="F74" s="304">
        <v>0</v>
      </c>
      <c r="G74" s="304"/>
      <c r="H74" s="530"/>
      <c r="J74" s="128">
        <f t="shared" si="1"/>
        <v>0</v>
      </c>
    </row>
    <row r="75" spans="1:10" ht="18" customHeight="1" x14ac:dyDescent="0.25">
      <c r="A75" s="302">
        <v>101</v>
      </c>
      <c r="B75" s="260" t="s">
        <v>1636</v>
      </c>
      <c r="C75" s="260" t="s">
        <v>1189</v>
      </c>
      <c r="D75" s="433" t="s">
        <v>1635</v>
      </c>
      <c r="E75" s="538" t="e">
        <f>+VLOOKUP(A75,#REF!,10,0)/H75</f>
        <v>#REF!</v>
      </c>
      <c r="F75" s="304">
        <v>3</v>
      </c>
      <c r="G75" s="304"/>
      <c r="H75" s="530"/>
      <c r="J75" s="128">
        <f t="shared" si="1"/>
        <v>0</v>
      </c>
    </row>
    <row r="76" spans="1:10" ht="18" customHeight="1" x14ac:dyDescent="0.25">
      <c r="A76" s="302">
        <v>110</v>
      </c>
      <c r="B76" s="260" t="s">
        <v>1642</v>
      </c>
      <c r="C76" s="260" t="s">
        <v>1620</v>
      </c>
      <c r="D76" s="433" t="s">
        <v>1761</v>
      </c>
      <c r="E76" s="538" t="e">
        <f>+VLOOKUP(A76,#REF!,10,0)/H76</f>
        <v>#REF!</v>
      </c>
      <c r="F76" s="304">
        <v>3</v>
      </c>
      <c r="G76" s="304"/>
      <c r="H76" s="530"/>
      <c r="J76" s="128">
        <f t="shared" si="1"/>
        <v>0</v>
      </c>
    </row>
    <row r="77" spans="1:10" ht="18" customHeight="1" x14ac:dyDescent="0.25">
      <c r="A77" s="302">
        <v>111</v>
      </c>
      <c r="B77" s="260" t="s">
        <v>1642</v>
      </c>
      <c r="C77" s="260" t="s">
        <v>1621</v>
      </c>
      <c r="D77" s="433" t="s">
        <v>1762</v>
      </c>
      <c r="E77" s="538" t="e">
        <f>+VLOOKUP(A77,#REF!,10,0)/H77</f>
        <v>#REF!</v>
      </c>
      <c r="F77" s="304">
        <v>1</v>
      </c>
      <c r="G77" s="304"/>
      <c r="H77" s="530"/>
      <c r="J77" s="128">
        <f t="shared" si="1"/>
        <v>0</v>
      </c>
    </row>
    <row r="78" spans="1:10" ht="18" customHeight="1" x14ac:dyDescent="0.25">
      <c r="A78" s="302">
        <v>108</v>
      </c>
      <c r="B78" s="260" t="s">
        <v>1643</v>
      </c>
      <c r="C78" s="260" t="s">
        <v>1612</v>
      </c>
      <c r="D78" s="433" t="s">
        <v>1763</v>
      </c>
      <c r="E78" s="538" t="e">
        <f>+VLOOKUP(A78,#REF!,10,0)/H78</f>
        <v>#REF!</v>
      </c>
      <c r="F78" s="304">
        <v>0</v>
      </c>
      <c r="G78" s="304">
        <v>800</v>
      </c>
      <c r="H78" s="530"/>
      <c r="J78" s="128">
        <f t="shared" si="1"/>
        <v>800</v>
      </c>
    </row>
    <row r="79" spans="1:10" ht="18" customHeight="1" x14ac:dyDescent="0.25">
      <c r="A79" s="302">
        <v>112</v>
      </c>
      <c r="B79" s="260" t="s">
        <v>1643</v>
      </c>
      <c r="C79" s="260" t="s">
        <v>1623</v>
      </c>
      <c r="D79" s="433" t="s">
        <v>916</v>
      </c>
      <c r="E79" s="538" t="e">
        <f>+VLOOKUP(A79,#REF!,10,0)/H79</f>
        <v>#REF!</v>
      </c>
      <c r="F79" s="304">
        <v>0</v>
      </c>
      <c r="G79" s="304"/>
      <c r="H79" s="530"/>
      <c r="J79" s="128">
        <f t="shared" si="1"/>
        <v>0</v>
      </c>
    </row>
    <row r="80" spans="1:10" ht="18" customHeight="1" x14ac:dyDescent="0.25">
      <c r="A80" s="302">
        <v>113</v>
      </c>
      <c r="B80" s="260" t="s">
        <v>1643</v>
      </c>
      <c r="C80" s="260" t="s">
        <v>1624</v>
      </c>
      <c r="D80" s="433" t="s">
        <v>928</v>
      </c>
      <c r="E80" s="538" t="e">
        <f>+VLOOKUP(A80,#REF!,10,0)/H80</f>
        <v>#REF!</v>
      </c>
      <c r="F80" s="304">
        <v>0</v>
      </c>
      <c r="G80" s="304">
        <v>500</v>
      </c>
      <c r="H80" s="530"/>
      <c r="J80" s="128">
        <f t="shared" si="1"/>
        <v>500</v>
      </c>
    </row>
    <row r="81" spans="1:10" ht="18" customHeight="1" x14ac:dyDescent="0.25">
      <c r="A81" s="302">
        <v>115</v>
      </c>
      <c r="B81" s="260" t="s">
        <v>1642</v>
      </c>
      <c r="C81" s="260" t="s">
        <v>1193</v>
      </c>
      <c r="D81" s="433" t="s">
        <v>1633</v>
      </c>
      <c r="E81" s="538" t="e">
        <f>+VLOOKUP(A81,#REF!,10,0)/H81</f>
        <v>#REF!</v>
      </c>
      <c r="F81" s="304">
        <v>0</v>
      </c>
      <c r="G81" s="304">
        <v>520</v>
      </c>
      <c r="H81" s="530"/>
      <c r="J81" s="128">
        <f t="shared" si="1"/>
        <v>520</v>
      </c>
    </row>
    <row r="82" spans="1:10" ht="18" customHeight="1" x14ac:dyDescent="0.25">
      <c r="A82" s="302">
        <v>116</v>
      </c>
      <c r="B82" s="260" t="s">
        <v>1643</v>
      </c>
      <c r="C82" s="260" t="s">
        <v>1276</v>
      </c>
      <c r="D82" s="433" t="s">
        <v>1634</v>
      </c>
      <c r="E82" s="538" t="e">
        <f>+VLOOKUP(A82,#REF!,10,0)/H82</f>
        <v>#REF!</v>
      </c>
      <c r="F82" s="304">
        <v>0</v>
      </c>
      <c r="G82" s="304">
        <v>1250</v>
      </c>
      <c r="H82" s="530"/>
      <c r="J82" s="128">
        <f t="shared" si="1"/>
        <v>1250</v>
      </c>
    </row>
    <row r="83" spans="1:10" ht="18" customHeight="1" x14ac:dyDescent="0.25">
      <c r="A83" s="302">
        <v>117</v>
      </c>
      <c r="B83" s="260" t="s">
        <v>1636</v>
      </c>
      <c r="C83" s="260" t="s">
        <v>1649</v>
      </c>
      <c r="D83" s="433" t="s">
        <v>1567</v>
      </c>
      <c r="E83" s="538"/>
      <c r="F83" s="304">
        <v>0</v>
      </c>
      <c r="G83" s="304"/>
      <c r="H83" s="530"/>
      <c r="J83" s="128">
        <f t="shared" si="1"/>
        <v>0</v>
      </c>
    </row>
    <row r="84" spans="1:10" ht="18" customHeight="1" x14ac:dyDescent="0.25">
      <c r="A84" s="302">
        <v>123</v>
      </c>
      <c r="B84" s="260" t="s">
        <v>1645</v>
      </c>
      <c r="C84" s="260" t="s">
        <v>1186</v>
      </c>
      <c r="D84" s="433" t="s">
        <v>1568</v>
      </c>
      <c r="E84" s="538" t="e">
        <f>+VLOOKUP(A84,#REF!,10,0)/H84</f>
        <v>#REF!</v>
      </c>
      <c r="F84" s="304">
        <v>2</v>
      </c>
      <c r="G84" s="304">
        <v>500</v>
      </c>
      <c r="H84" s="530"/>
      <c r="J84" s="128">
        <f t="shared" si="1"/>
        <v>500</v>
      </c>
    </row>
    <row r="85" spans="1:10" ht="18" customHeight="1" x14ac:dyDescent="0.25">
      <c r="A85" s="302">
        <v>121</v>
      </c>
      <c r="B85" s="260" t="s">
        <v>1642</v>
      </c>
      <c r="C85" s="260" t="s">
        <v>766</v>
      </c>
      <c r="D85" s="433" t="s">
        <v>1569</v>
      </c>
      <c r="E85" s="538" t="e">
        <f>+VLOOKUP(A85,#REF!,10,0)/H85</f>
        <v>#REF!</v>
      </c>
      <c r="F85" s="304">
        <v>0</v>
      </c>
      <c r="G85" s="304">
        <v>500</v>
      </c>
      <c r="H85" s="530"/>
      <c r="J85" s="128">
        <f t="shared" si="1"/>
        <v>500</v>
      </c>
    </row>
    <row r="86" spans="1:10" ht="18" customHeight="1" x14ac:dyDescent="0.25">
      <c r="A86" s="302">
        <v>114</v>
      </c>
      <c r="B86" s="260" t="s">
        <v>1636</v>
      </c>
      <c r="C86" s="260" t="s">
        <v>1622</v>
      </c>
      <c r="D86" s="433" t="s">
        <v>1650</v>
      </c>
      <c r="E86" s="538" t="e">
        <f>+VLOOKUP(A86,#REF!,10,0)/H86</f>
        <v>#REF!</v>
      </c>
      <c r="F86" s="304">
        <v>3</v>
      </c>
      <c r="G86" s="304"/>
      <c r="H86" s="530"/>
      <c r="J86" s="128">
        <f t="shared" si="1"/>
        <v>0</v>
      </c>
    </row>
    <row r="87" spans="1:10" ht="18" customHeight="1" x14ac:dyDescent="0.25">
      <c r="A87" s="302">
        <v>186</v>
      </c>
      <c r="B87" s="260" t="s">
        <v>1644</v>
      </c>
      <c r="C87" s="260" t="s">
        <v>1611</v>
      </c>
      <c r="D87" s="433" t="s">
        <v>1570</v>
      </c>
      <c r="E87" s="538" t="e">
        <f>+VLOOKUP(A87,#REF!,10,0)/H87</f>
        <v>#REF!</v>
      </c>
      <c r="F87" s="304">
        <v>2</v>
      </c>
      <c r="G87" s="304"/>
      <c r="H87" s="530"/>
      <c r="J87" s="128">
        <f t="shared" si="1"/>
        <v>0</v>
      </c>
    </row>
    <row r="88" spans="1:10" ht="18" customHeight="1" x14ac:dyDescent="0.25">
      <c r="A88" s="302">
        <v>103</v>
      </c>
      <c r="B88" s="260" t="s">
        <v>1636</v>
      </c>
      <c r="C88" s="260" t="s">
        <v>1410</v>
      </c>
      <c r="D88" s="433" t="s">
        <v>1571</v>
      </c>
      <c r="E88" s="538" t="e">
        <f>+VLOOKUP(A88,#REF!,10,0)/H88</f>
        <v>#REF!</v>
      </c>
      <c r="F88" s="304">
        <v>3</v>
      </c>
      <c r="G88" s="304"/>
      <c r="H88" s="530"/>
      <c r="J88" s="128">
        <f t="shared" si="1"/>
        <v>0</v>
      </c>
    </row>
    <row r="89" spans="1:10" ht="18" customHeight="1" x14ac:dyDescent="0.25">
      <c r="A89" s="302">
        <v>102</v>
      </c>
      <c r="B89" s="260" t="s">
        <v>1636</v>
      </c>
      <c r="C89" s="260" t="s">
        <v>1578</v>
      </c>
      <c r="D89" s="433" t="s">
        <v>1572</v>
      </c>
      <c r="E89" s="538" t="e">
        <f>+VLOOKUP(A89,#REF!,10,0)/H89</f>
        <v>#REF!</v>
      </c>
      <c r="F89" s="304">
        <v>0</v>
      </c>
      <c r="G89" s="304"/>
      <c r="H89" s="530"/>
      <c r="J89" s="128">
        <f t="shared" si="1"/>
        <v>0</v>
      </c>
    </row>
    <row r="90" spans="1:10" ht="18" customHeight="1" x14ac:dyDescent="0.25">
      <c r="A90" s="302">
        <v>104</v>
      </c>
      <c r="B90" s="260" t="s">
        <v>1636</v>
      </c>
      <c r="C90" s="260" t="s">
        <v>1614</v>
      </c>
      <c r="D90" s="433" t="s">
        <v>1764</v>
      </c>
      <c r="E90" s="538" t="e">
        <f>+VLOOKUP(A90,#REF!,10,0)/H90</f>
        <v>#REF!</v>
      </c>
      <c r="F90" s="304">
        <v>1</v>
      </c>
      <c r="G90" s="304">
        <v>440</v>
      </c>
      <c r="H90" s="530"/>
      <c r="J90" s="128">
        <f t="shared" si="1"/>
        <v>440</v>
      </c>
    </row>
    <row r="91" spans="1:10" ht="18" customHeight="1" x14ac:dyDescent="0.25">
      <c r="A91" s="533">
        <v>109</v>
      </c>
      <c r="B91" s="260" t="s">
        <v>1636</v>
      </c>
      <c r="C91" s="260" t="s">
        <v>1580</v>
      </c>
      <c r="D91" s="433" t="s">
        <v>1573</v>
      </c>
      <c r="E91" s="538" t="e">
        <f>+VLOOKUP(A91,#REF!,10,0)/H91</f>
        <v>#REF!</v>
      </c>
      <c r="F91" s="304">
        <v>0</v>
      </c>
      <c r="G91" s="304">
        <v>300</v>
      </c>
      <c r="H91" s="530"/>
      <c r="J91" s="128">
        <f t="shared" si="1"/>
        <v>300</v>
      </c>
    </row>
    <row r="92" spans="1:10" ht="18" customHeight="1" x14ac:dyDescent="0.25">
      <c r="A92" s="533">
        <v>107</v>
      </c>
      <c r="B92" s="260" t="s">
        <v>1642</v>
      </c>
      <c r="C92" s="260" t="s">
        <v>1613</v>
      </c>
      <c r="D92" s="433" t="s">
        <v>1765</v>
      </c>
      <c r="E92" s="538" t="e">
        <f>+VLOOKUP(A92,#REF!,10,0)/H92</f>
        <v>#REF!</v>
      </c>
      <c r="F92" s="304">
        <v>0</v>
      </c>
      <c r="G92" s="304"/>
      <c r="H92" s="530"/>
      <c r="J92" s="128">
        <f t="shared" si="1"/>
        <v>0</v>
      </c>
    </row>
    <row r="93" spans="1:10" ht="18" customHeight="1" x14ac:dyDescent="0.25">
      <c r="A93" s="302">
        <v>119</v>
      </c>
      <c r="B93" s="260" t="s">
        <v>1642</v>
      </c>
      <c r="C93" s="260" t="s">
        <v>1601</v>
      </c>
      <c r="D93" s="433" t="s">
        <v>1574</v>
      </c>
      <c r="E93" s="538" t="e">
        <f>+VLOOKUP(A93,#REF!,10,0)/H93</f>
        <v>#REF!</v>
      </c>
      <c r="F93" s="304">
        <v>0</v>
      </c>
      <c r="G93" s="304">
        <v>1250</v>
      </c>
      <c r="H93" s="530"/>
      <c r="J93" s="128">
        <f t="shared" si="1"/>
        <v>1250</v>
      </c>
    </row>
    <row r="94" spans="1:10" ht="18" customHeight="1" x14ac:dyDescent="0.25">
      <c r="A94" s="302" t="s">
        <v>869</v>
      </c>
      <c r="B94" s="260" t="s">
        <v>1651</v>
      </c>
      <c r="C94" s="260" t="s">
        <v>1735</v>
      </c>
      <c r="D94" s="433" t="s">
        <v>1575</v>
      </c>
      <c r="E94" s="538"/>
      <c r="F94" s="304">
        <v>6</v>
      </c>
      <c r="G94" s="304"/>
      <c r="H94" s="530"/>
      <c r="J94" s="128">
        <f t="shared" si="1"/>
        <v>0</v>
      </c>
    </row>
    <row r="95" spans="1:10" ht="18" customHeight="1" x14ac:dyDescent="0.25">
      <c r="A95" s="302">
        <v>332</v>
      </c>
      <c r="B95" s="260" t="s">
        <v>746</v>
      </c>
      <c r="C95" s="260" t="s">
        <v>1351</v>
      </c>
      <c r="D95" s="433" t="s">
        <v>918</v>
      </c>
      <c r="E95" s="538" t="e">
        <f>+VLOOKUP(A95,#REF!,10,0)/H95</f>
        <v>#REF!</v>
      </c>
      <c r="F95" s="304">
        <v>0</v>
      </c>
      <c r="G95" s="304">
        <v>1900</v>
      </c>
      <c r="H95" s="530"/>
      <c r="J95" s="128">
        <f t="shared" si="1"/>
        <v>1900</v>
      </c>
    </row>
    <row r="96" spans="1:10" ht="18" customHeight="1" x14ac:dyDescent="0.25">
      <c r="A96" s="302">
        <v>334</v>
      </c>
      <c r="B96" s="260" t="s">
        <v>746</v>
      </c>
      <c r="C96" s="260" t="s">
        <v>1352</v>
      </c>
      <c r="D96" s="433" t="s">
        <v>920</v>
      </c>
      <c r="E96" s="538" t="e">
        <f>+VLOOKUP(A96,#REF!,10,0)/H96</f>
        <v>#REF!</v>
      </c>
      <c r="F96" s="304">
        <v>0</v>
      </c>
      <c r="G96" s="304"/>
      <c r="H96" s="530"/>
      <c r="J96" s="128">
        <f t="shared" si="1"/>
        <v>0</v>
      </c>
    </row>
    <row r="97" spans="1:10" ht="18" customHeight="1" x14ac:dyDescent="0.25">
      <c r="A97" s="302">
        <v>28</v>
      </c>
      <c r="B97" s="260" t="s">
        <v>746</v>
      </c>
      <c r="C97" s="260" t="s">
        <v>1631</v>
      </c>
      <c r="D97" s="433" t="s">
        <v>922</v>
      </c>
      <c r="E97" s="538" t="e">
        <f>+VLOOKUP(A97,#REF!,10,0)/H97</f>
        <v>#REF!</v>
      </c>
      <c r="F97" s="304">
        <v>0</v>
      </c>
      <c r="G97" s="304"/>
      <c r="H97" s="530"/>
      <c r="J97" s="128">
        <f t="shared" si="1"/>
        <v>0</v>
      </c>
    </row>
    <row r="98" spans="1:10" ht="18" customHeight="1" x14ac:dyDescent="0.25">
      <c r="A98" s="302">
        <v>336</v>
      </c>
      <c r="B98" s="260" t="s">
        <v>746</v>
      </c>
      <c r="C98" s="260" t="s">
        <v>1353</v>
      </c>
      <c r="D98" s="433" t="s">
        <v>1240</v>
      </c>
      <c r="E98" s="538" t="e">
        <f>+VLOOKUP(A98,#REF!,10,0)/H98</f>
        <v>#REF!</v>
      </c>
      <c r="F98" s="304">
        <v>2</v>
      </c>
      <c r="G98" s="304"/>
      <c r="H98" s="530"/>
      <c r="J98" s="128">
        <f t="shared" si="1"/>
        <v>0</v>
      </c>
    </row>
    <row r="99" spans="1:10" ht="18" customHeight="1" x14ac:dyDescent="0.25">
      <c r="A99" s="302">
        <v>337</v>
      </c>
      <c r="B99" s="260" t="s">
        <v>746</v>
      </c>
      <c r="C99" s="260" t="s">
        <v>1354</v>
      </c>
      <c r="D99" s="433" t="s">
        <v>1241</v>
      </c>
      <c r="E99" s="538" t="e">
        <f>+VLOOKUP(A99,#REF!,10,0)/H99</f>
        <v>#REF!</v>
      </c>
      <c r="F99" s="304">
        <v>0</v>
      </c>
      <c r="G99" s="304">
        <v>2000</v>
      </c>
      <c r="H99" s="530"/>
      <c r="J99" s="128">
        <f t="shared" si="1"/>
        <v>2000</v>
      </c>
    </row>
    <row r="100" spans="1:10" ht="18" customHeight="1" x14ac:dyDescent="0.25">
      <c r="A100" s="302">
        <v>535</v>
      </c>
      <c r="B100" s="260" t="s">
        <v>746</v>
      </c>
      <c r="C100" s="260" t="s">
        <v>1772</v>
      </c>
      <c r="D100" s="433" t="s">
        <v>1242</v>
      </c>
      <c r="E100" s="538"/>
      <c r="F100" s="304">
        <v>4</v>
      </c>
      <c r="G100" s="304">
        <v>1125</v>
      </c>
      <c r="H100" s="530"/>
      <c r="J100" s="128">
        <f t="shared" si="1"/>
        <v>1125</v>
      </c>
    </row>
    <row r="101" spans="1:10" ht="18" customHeight="1" x14ac:dyDescent="0.25">
      <c r="A101" s="302">
        <v>338</v>
      </c>
      <c r="B101" s="260" t="s">
        <v>746</v>
      </c>
      <c r="C101" s="260" t="s">
        <v>1355</v>
      </c>
      <c r="D101" s="433" t="s">
        <v>1766</v>
      </c>
      <c r="E101" s="538" t="e">
        <f>+VLOOKUP(A101,#REF!,10,0)/H101</f>
        <v>#REF!</v>
      </c>
      <c r="F101" s="304">
        <v>1</v>
      </c>
      <c r="G101" s="304">
        <v>490</v>
      </c>
      <c r="H101" s="530"/>
      <c r="J101" s="128">
        <f t="shared" si="1"/>
        <v>490</v>
      </c>
    </row>
    <row r="102" spans="1:10" ht="18" customHeight="1" x14ac:dyDescent="0.25">
      <c r="A102" s="302">
        <v>389</v>
      </c>
      <c r="B102" s="260" t="s">
        <v>746</v>
      </c>
      <c r="C102" s="260" t="s">
        <v>1364</v>
      </c>
      <c r="D102" s="433" t="s">
        <v>1427</v>
      </c>
      <c r="E102" s="538" t="e">
        <f>+VLOOKUP(A102,#REF!,10,0)/H102</f>
        <v>#REF!</v>
      </c>
      <c r="F102" s="304">
        <v>1</v>
      </c>
      <c r="G102" s="304">
        <v>500</v>
      </c>
      <c r="H102" s="530"/>
      <c r="J102" s="128">
        <f t="shared" si="1"/>
        <v>500</v>
      </c>
    </row>
    <row r="103" spans="1:10" ht="18" customHeight="1" x14ac:dyDescent="0.25">
      <c r="A103" s="302">
        <v>315</v>
      </c>
      <c r="B103" s="260" t="s">
        <v>746</v>
      </c>
      <c r="C103" s="260" t="s">
        <v>766</v>
      </c>
      <c r="D103" s="433" t="s">
        <v>1426</v>
      </c>
      <c r="E103" s="538" t="e">
        <f>+VLOOKUP(A103,#REF!,10,0)/H103</f>
        <v>#REF!</v>
      </c>
      <c r="F103" s="304">
        <v>1</v>
      </c>
      <c r="G103" s="304">
        <v>1750</v>
      </c>
      <c r="H103" s="530"/>
      <c r="J103" s="128">
        <f t="shared" si="1"/>
        <v>1750</v>
      </c>
    </row>
    <row r="104" spans="1:10" ht="18" customHeight="1" x14ac:dyDescent="0.25">
      <c r="A104" s="302">
        <v>390</v>
      </c>
      <c r="B104" s="260" t="s">
        <v>746</v>
      </c>
      <c r="C104" s="260" t="s">
        <v>1356</v>
      </c>
      <c r="D104" s="433" t="s">
        <v>1564</v>
      </c>
      <c r="E104" s="538" t="e">
        <f>+VLOOKUP(A104,#REF!,10,0)/H104</f>
        <v>#REF!</v>
      </c>
      <c r="F104" s="304">
        <v>0</v>
      </c>
      <c r="G104" s="304">
        <v>350</v>
      </c>
      <c r="H104" s="530"/>
      <c r="J104" s="128">
        <f t="shared" si="1"/>
        <v>350</v>
      </c>
    </row>
    <row r="105" spans="1:10" ht="18" customHeight="1" x14ac:dyDescent="0.25">
      <c r="A105" s="302">
        <v>27</v>
      </c>
      <c r="B105" s="260" t="s">
        <v>746</v>
      </c>
      <c r="C105" s="260" t="s">
        <v>1359</v>
      </c>
      <c r="D105" s="433" t="s">
        <v>1254</v>
      </c>
      <c r="E105" s="538" t="e">
        <f>+VLOOKUP(A105,#REF!,10,0)/H105</f>
        <v>#REF!</v>
      </c>
      <c r="F105" s="304">
        <v>5</v>
      </c>
      <c r="G105" s="304"/>
      <c r="H105" s="530"/>
      <c r="J105" s="128">
        <f t="shared" si="1"/>
        <v>0</v>
      </c>
    </row>
    <row r="106" spans="1:10" ht="18" customHeight="1" x14ac:dyDescent="0.25">
      <c r="A106" s="302">
        <v>26</v>
      </c>
      <c r="B106" s="260" t="s">
        <v>746</v>
      </c>
      <c r="C106" s="260" t="s">
        <v>1358</v>
      </c>
      <c r="D106" s="433" t="s">
        <v>1255</v>
      </c>
      <c r="E106" s="538" t="e">
        <f>+VLOOKUP(A106,#REF!,10,0)/H106</f>
        <v>#REF!</v>
      </c>
      <c r="F106" s="304">
        <v>9</v>
      </c>
      <c r="G106" s="304">
        <v>2350</v>
      </c>
      <c r="H106" s="530"/>
      <c r="J106" s="128">
        <f t="shared" si="1"/>
        <v>2350</v>
      </c>
    </row>
    <row r="107" spans="1:10" ht="18" customHeight="1" x14ac:dyDescent="0.25">
      <c r="A107" s="302">
        <v>325</v>
      </c>
      <c r="B107" s="260" t="s">
        <v>746</v>
      </c>
      <c r="C107" s="260" t="s">
        <v>771</v>
      </c>
      <c r="D107" s="433" t="s">
        <v>1565</v>
      </c>
      <c r="E107" s="538" t="e">
        <f>+VLOOKUP(A107,#REF!,10,0)/H107</f>
        <v>#REF!</v>
      </c>
      <c r="F107" s="304">
        <v>1</v>
      </c>
      <c r="G107" s="304">
        <v>2550</v>
      </c>
      <c r="H107" s="530"/>
      <c r="J107" s="128">
        <f t="shared" si="1"/>
        <v>2550</v>
      </c>
    </row>
    <row r="108" spans="1:10" ht="18" customHeight="1" x14ac:dyDescent="0.25">
      <c r="A108" s="302">
        <v>223</v>
      </c>
      <c r="B108" s="260" t="s">
        <v>746</v>
      </c>
      <c r="C108" s="260" t="s">
        <v>1344</v>
      </c>
      <c r="D108" s="433" t="s">
        <v>1249</v>
      </c>
      <c r="E108" s="538" t="e">
        <f>+VLOOKUP(A108,#REF!,10,0)/H108</f>
        <v>#REF!</v>
      </c>
      <c r="F108" s="304">
        <v>0</v>
      </c>
      <c r="G108" s="304">
        <v>1120</v>
      </c>
      <c r="H108" s="530"/>
      <c r="J108" s="128">
        <f t="shared" si="1"/>
        <v>1120</v>
      </c>
    </row>
    <row r="109" spans="1:10" ht="18" customHeight="1" x14ac:dyDescent="0.25">
      <c r="A109" s="302">
        <v>222</v>
      </c>
      <c r="B109" s="260" t="s">
        <v>746</v>
      </c>
      <c r="C109" s="260" t="s">
        <v>1345</v>
      </c>
      <c r="D109" s="433" t="s">
        <v>1250</v>
      </c>
      <c r="E109" s="538" t="e">
        <f>+VLOOKUP(A109,#REF!,10,0)/H109</f>
        <v>#REF!</v>
      </c>
      <c r="F109" s="304">
        <v>1</v>
      </c>
      <c r="G109" s="304">
        <v>110</v>
      </c>
      <c r="H109" s="530"/>
      <c r="J109" s="128">
        <f t="shared" si="1"/>
        <v>110</v>
      </c>
    </row>
    <row r="110" spans="1:10" ht="18" customHeight="1" x14ac:dyDescent="0.25">
      <c r="A110" s="302">
        <v>221</v>
      </c>
      <c r="B110" s="260" t="s">
        <v>746</v>
      </c>
      <c r="C110" s="260" t="s">
        <v>1346</v>
      </c>
      <c r="D110" s="433" t="s">
        <v>1251</v>
      </c>
      <c r="E110" s="538" t="e">
        <f>+VLOOKUP(A110,#REF!,10,0)/H110</f>
        <v>#REF!</v>
      </c>
      <c r="F110" s="304">
        <v>0</v>
      </c>
      <c r="G110" s="304">
        <v>2000</v>
      </c>
      <c r="H110" s="530"/>
      <c r="J110" s="128">
        <f t="shared" si="1"/>
        <v>2000</v>
      </c>
    </row>
    <row r="111" spans="1:10" ht="18" customHeight="1" x14ac:dyDescent="0.25">
      <c r="A111" s="302">
        <v>224</v>
      </c>
      <c r="B111" s="260" t="s">
        <v>746</v>
      </c>
      <c r="C111" s="260" t="s">
        <v>1347</v>
      </c>
      <c r="D111" s="433" t="s">
        <v>1423</v>
      </c>
      <c r="E111" s="538" t="e">
        <f>+VLOOKUP(A111,#REF!,10,0)/H111</f>
        <v>#REF!</v>
      </c>
      <c r="F111" s="304">
        <v>1</v>
      </c>
      <c r="G111" s="304">
        <v>1120</v>
      </c>
      <c r="H111" s="530"/>
      <c r="J111" s="128">
        <f t="shared" si="1"/>
        <v>1120</v>
      </c>
    </row>
    <row r="112" spans="1:10" ht="18" customHeight="1" x14ac:dyDescent="0.25">
      <c r="A112" s="302">
        <v>220</v>
      </c>
      <c r="B112" s="260" t="s">
        <v>746</v>
      </c>
      <c r="C112" s="260" t="s">
        <v>1343</v>
      </c>
      <c r="D112" s="433" t="s">
        <v>1422</v>
      </c>
      <c r="E112" s="538" t="e">
        <f>+VLOOKUP(A112,#REF!,10,0)/H112</f>
        <v>#REF!</v>
      </c>
      <c r="F112" s="304">
        <v>2</v>
      </c>
      <c r="G112" s="304"/>
      <c r="H112" s="530"/>
      <c r="J112" s="128">
        <f t="shared" si="1"/>
        <v>0</v>
      </c>
    </row>
    <row r="113" spans="1:10" ht="18" customHeight="1" x14ac:dyDescent="0.25">
      <c r="A113" s="302">
        <v>333</v>
      </c>
      <c r="B113" s="260" t="s">
        <v>746</v>
      </c>
      <c r="C113" s="260" t="s">
        <v>1181</v>
      </c>
      <c r="D113" s="433" t="s">
        <v>1558</v>
      </c>
      <c r="E113" s="538" t="e">
        <f>+VLOOKUP(A113,#REF!,10,0)/H113</f>
        <v>#REF!</v>
      </c>
      <c r="F113" s="304">
        <v>1</v>
      </c>
      <c r="G113" s="304">
        <v>750</v>
      </c>
      <c r="H113" s="530"/>
      <c r="J113" s="128">
        <f t="shared" si="1"/>
        <v>750</v>
      </c>
    </row>
    <row r="114" spans="1:10" ht="18" customHeight="1" x14ac:dyDescent="0.25">
      <c r="A114" s="302">
        <v>392</v>
      </c>
      <c r="B114" s="260" t="s">
        <v>746</v>
      </c>
      <c r="C114" s="260" t="s">
        <v>1348</v>
      </c>
      <c r="D114" s="433" t="s">
        <v>1252</v>
      </c>
      <c r="E114" s="538" t="e">
        <f>+VLOOKUP(A114,#REF!,10,0)/H114</f>
        <v>#REF!</v>
      </c>
      <c r="F114" s="304">
        <v>0</v>
      </c>
      <c r="G114" s="304"/>
      <c r="H114" s="306"/>
      <c r="J114" s="128">
        <f t="shared" si="1"/>
        <v>0</v>
      </c>
    </row>
    <row r="115" spans="1:10" ht="18" customHeight="1" x14ac:dyDescent="0.25">
      <c r="A115" s="302">
        <v>394</v>
      </c>
      <c r="B115" s="260" t="s">
        <v>746</v>
      </c>
      <c r="C115" s="260" t="s">
        <v>785</v>
      </c>
      <c r="D115" s="433" t="s">
        <v>1253</v>
      </c>
      <c r="E115" s="538" t="e">
        <f>+VLOOKUP(A115,#REF!,10,0)/H115</f>
        <v>#REF!</v>
      </c>
      <c r="F115" s="304">
        <v>0</v>
      </c>
      <c r="G115" s="304"/>
      <c r="H115" s="306"/>
      <c r="J115" s="128">
        <f t="shared" si="1"/>
        <v>0</v>
      </c>
    </row>
    <row r="116" spans="1:10" ht="18" customHeight="1" x14ac:dyDescent="0.25">
      <c r="A116" s="302">
        <v>225</v>
      </c>
      <c r="B116" s="260" t="s">
        <v>746</v>
      </c>
      <c r="C116" s="260" t="s">
        <v>1324</v>
      </c>
      <c r="D116" s="433" t="s">
        <v>1560</v>
      </c>
      <c r="E116" s="538" t="e">
        <f>+VLOOKUP(A116,#REF!,10,0)/H116</f>
        <v>#REF!</v>
      </c>
      <c r="F116" s="304">
        <v>1</v>
      </c>
      <c r="G116" s="304">
        <v>2360</v>
      </c>
      <c r="H116" s="306"/>
      <c r="J116" s="128">
        <f t="shared" si="1"/>
        <v>2360</v>
      </c>
    </row>
    <row r="117" spans="1:10" ht="18" customHeight="1" x14ac:dyDescent="0.25">
      <c r="A117" s="302">
        <v>391</v>
      </c>
      <c r="B117" s="260" t="s">
        <v>746</v>
      </c>
      <c r="C117" s="260" t="s">
        <v>1349</v>
      </c>
      <c r="D117" s="433" t="s">
        <v>1424</v>
      </c>
      <c r="E117" s="538" t="e">
        <f>+VLOOKUP(A117,#REF!,10,0)/H117</f>
        <v>#REF!</v>
      </c>
      <c r="F117" s="304">
        <v>0</v>
      </c>
      <c r="G117" s="304">
        <v>1470</v>
      </c>
      <c r="H117" s="306"/>
      <c r="J117" s="128">
        <f t="shared" si="1"/>
        <v>1470</v>
      </c>
    </row>
    <row r="118" spans="1:10" ht="18" customHeight="1" x14ac:dyDescent="0.25">
      <c r="A118" s="433">
        <v>393</v>
      </c>
      <c r="B118" s="260" t="s">
        <v>746</v>
      </c>
      <c r="C118" s="260" t="s">
        <v>1350</v>
      </c>
      <c r="D118" s="433" t="s">
        <v>1425</v>
      </c>
      <c r="E118" s="538" t="e">
        <f>+VLOOKUP(A118,#REF!,10,0)/H118</f>
        <v>#REF!</v>
      </c>
      <c r="F118" s="304">
        <v>0</v>
      </c>
      <c r="G118" s="304">
        <v>1210</v>
      </c>
      <c r="H118" s="306"/>
      <c r="J118" s="128">
        <f t="shared" si="1"/>
        <v>1210</v>
      </c>
    </row>
    <row r="119" spans="1:10" ht="18" customHeight="1" x14ac:dyDescent="0.25">
      <c r="A119" s="433">
        <v>29</v>
      </c>
      <c r="B119" s="260" t="s">
        <v>746</v>
      </c>
      <c r="C119" s="260" t="s">
        <v>1321</v>
      </c>
      <c r="D119" s="433" t="s">
        <v>1557</v>
      </c>
      <c r="E119" s="538" t="e">
        <f>+VLOOKUP(A119,#REF!,10,0)/H119</f>
        <v>#REF!</v>
      </c>
      <c r="F119" s="304">
        <v>0</v>
      </c>
      <c r="G119" s="304"/>
      <c r="H119" s="306"/>
      <c r="J119" s="128">
        <f t="shared" si="1"/>
        <v>0</v>
      </c>
    </row>
    <row r="120" spans="1:10" ht="18" customHeight="1" thickBot="1" x14ac:dyDescent="0.3">
      <c r="A120" s="433">
        <v>30</v>
      </c>
      <c r="B120" s="260" t="s">
        <v>746</v>
      </c>
      <c r="C120" s="260" t="s">
        <v>1357</v>
      </c>
      <c r="D120" s="433" t="s">
        <v>1559</v>
      </c>
      <c r="E120" s="538" t="e">
        <f>+VLOOKUP(A120,#REF!,10,0)/H120</f>
        <v>#REF!</v>
      </c>
      <c r="F120" s="304">
        <v>3</v>
      </c>
      <c r="G120" s="304"/>
      <c r="H120" s="306"/>
      <c r="J120" s="128">
        <f t="shared" si="1"/>
        <v>0</v>
      </c>
    </row>
    <row r="121" spans="1:10" ht="18" customHeight="1" x14ac:dyDescent="0.25">
      <c r="A121" s="433">
        <v>862</v>
      </c>
      <c r="B121" s="260" t="s">
        <v>1041</v>
      </c>
      <c r="C121" s="260" t="s">
        <v>1276</v>
      </c>
      <c r="D121" s="433" t="s">
        <v>871</v>
      </c>
      <c r="E121" s="539" t="e">
        <f>+VLOOKUP(A121,#REF!,10,0)/H121</f>
        <v>#REF!</v>
      </c>
      <c r="F121" s="304">
        <v>1</v>
      </c>
      <c r="G121" s="304">
        <v>350</v>
      </c>
      <c r="H121" s="306"/>
      <c r="J121" s="128">
        <f t="shared" si="1"/>
        <v>350</v>
      </c>
    </row>
    <row r="122" spans="1:10" ht="18" customHeight="1" x14ac:dyDescent="0.25">
      <c r="A122" s="433">
        <v>859</v>
      </c>
      <c r="B122" s="260" t="s">
        <v>1041</v>
      </c>
      <c r="C122" s="260" t="s">
        <v>1365</v>
      </c>
      <c r="D122" s="433" t="s">
        <v>874</v>
      </c>
      <c r="E122" s="538" t="e">
        <f>+VLOOKUP(A122,#REF!,10,0)/H122</f>
        <v>#REF!</v>
      </c>
      <c r="F122" s="304">
        <v>1</v>
      </c>
      <c r="G122" s="304">
        <v>500</v>
      </c>
      <c r="H122" s="306"/>
      <c r="J122" s="128">
        <f t="shared" si="1"/>
        <v>500</v>
      </c>
    </row>
    <row r="123" spans="1:10" ht="18" customHeight="1" x14ac:dyDescent="0.25">
      <c r="A123" s="433">
        <v>720</v>
      </c>
      <c r="B123" s="260" t="s">
        <v>1041</v>
      </c>
      <c r="C123" s="260" t="s">
        <v>1179</v>
      </c>
      <c r="D123" s="433" t="s">
        <v>872</v>
      </c>
      <c r="E123" s="538" t="e">
        <f>+VLOOKUP(A123,#REF!,10,0)/H123</f>
        <v>#REF!</v>
      </c>
      <c r="F123" s="304">
        <v>2</v>
      </c>
      <c r="G123" s="304">
        <v>280</v>
      </c>
      <c r="H123" s="306"/>
      <c r="J123" s="128">
        <f t="shared" si="1"/>
        <v>280</v>
      </c>
    </row>
    <row r="124" spans="1:10" ht="18" customHeight="1" x14ac:dyDescent="0.25">
      <c r="A124" s="433">
        <v>722</v>
      </c>
      <c r="B124" s="260" t="s">
        <v>1041</v>
      </c>
      <c r="C124" s="260" t="s">
        <v>1180</v>
      </c>
      <c r="D124" s="433" t="s">
        <v>873</v>
      </c>
      <c r="E124" s="538" t="e">
        <f>+VLOOKUP(A124,#REF!,10,0)/H124</f>
        <v>#REF!</v>
      </c>
      <c r="F124" s="304">
        <v>0</v>
      </c>
      <c r="G124" s="304">
        <v>270</v>
      </c>
      <c r="H124" s="306"/>
      <c r="J124" s="128">
        <f t="shared" si="1"/>
        <v>270</v>
      </c>
    </row>
    <row r="125" spans="1:10" ht="18" customHeight="1" x14ac:dyDescent="0.25">
      <c r="A125" s="302">
        <v>54</v>
      </c>
      <c r="B125" s="260" t="s">
        <v>1041</v>
      </c>
      <c r="C125" s="260" t="s">
        <v>1377</v>
      </c>
      <c r="D125" s="433" t="s">
        <v>893</v>
      </c>
      <c r="E125" s="538" t="e">
        <f>+VLOOKUP(A125,#REF!,10,0)/H125</f>
        <v>#REF!</v>
      </c>
      <c r="F125" s="304">
        <v>1</v>
      </c>
      <c r="G125" s="304">
        <v>550</v>
      </c>
      <c r="H125" s="530"/>
      <c r="J125" s="128">
        <f t="shared" si="1"/>
        <v>550</v>
      </c>
    </row>
    <row r="126" spans="1:10" ht="18" customHeight="1" x14ac:dyDescent="0.25">
      <c r="A126" s="302">
        <v>708</v>
      </c>
      <c r="B126" s="260" t="s">
        <v>1041</v>
      </c>
      <c r="C126" s="260" t="s">
        <v>1776</v>
      </c>
      <c r="D126" s="433" t="s">
        <v>1773</v>
      </c>
      <c r="E126" s="538" t="e">
        <f>+VLOOKUP(A126,#REF!,10,0)/H126</f>
        <v>#REF!</v>
      </c>
      <c r="F126" s="304">
        <v>1</v>
      </c>
      <c r="G126" s="304"/>
      <c r="H126" s="530"/>
      <c r="J126" s="128">
        <f t="shared" si="1"/>
        <v>0</v>
      </c>
    </row>
    <row r="127" spans="1:10" ht="18" customHeight="1" x14ac:dyDescent="0.25">
      <c r="A127" s="302">
        <v>711</v>
      </c>
      <c r="B127" s="260" t="s">
        <v>1041</v>
      </c>
      <c r="C127" s="260" t="s">
        <v>1777</v>
      </c>
      <c r="D127" s="433" t="s">
        <v>1774</v>
      </c>
      <c r="E127" s="538"/>
      <c r="F127" s="304">
        <v>0</v>
      </c>
      <c r="G127" s="304"/>
      <c r="H127" s="530"/>
      <c r="J127" s="128">
        <f t="shared" si="1"/>
        <v>0</v>
      </c>
    </row>
    <row r="128" spans="1:10" ht="18" customHeight="1" x14ac:dyDescent="0.25">
      <c r="A128" s="302">
        <v>803</v>
      </c>
      <c r="B128" s="260" t="s">
        <v>1041</v>
      </c>
      <c r="C128" s="260" t="s">
        <v>1778</v>
      </c>
      <c r="D128" s="433" t="s">
        <v>1775</v>
      </c>
      <c r="E128" s="538"/>
      <c r="F128" s="304">
        <v>0</v>
      </c>
      <c r="G128" s="304"/>
      <c r="H128" s="530"/>
      <c r="J128" s="128">
        <f t="shared" si="1"/>
        <v>0</v>
      </c>
    </row>
    <row r="129" spans="1:10" ht="18" customHeight="1" x14ac:dyDescent="0.25">
      <c r="A129" s="302">
        <v>702</v>
      </c>
      <c r="B129" s="260" t="s">
        <v>1041</v>
      </c>
      <c r="C129" s="260" t="s">
        <v>1366</v>
      </c>
      <c r="D129" s="433" t="s">
        <v>900</v>
      </c>
      <c r="E129" s="538" t="e">
        <f>+VLOOKUP(A129,#REF!,10,0)/H129</f>
        <v>#REF!</v>
      </c>
      <c r="F129" s="304">
        <v>1</v>
      </c>
      <c r="G129" s="304">
        <v>610</v>
      </c>
      <c r="H129" s="530"/>
      <c r="J129" s="128">
        <f t="shared" si="1"/>
        <v>610</v>
      </c>
    </row>
    <row r="130" spans="1:10" ht="18" customHeight="1" x14ac:dyDescent="0.25">
      <c r="A130" s="302">
        <v>707</v>
      </c>
      <c r="B130" s="260" t="s">
        <v>1041</v>
      </c>
      <c r="C130" s="260" t="s">
        <v>243</v>
      </c>
      <c r="D130" s="433" t="s">
        <v>894</v>
      </c>
      <c r="E130" s="538" t="e">
        <f>+VLOOKUP(A130,#REF!,10,0)/H130</f>
        <v>#REF!</v>
      </c>
      <c r="F130" s="304">
        <v>1</v>
      </c>
      <c r="G130" s="304">
        <v>800</v>
      </c>
      <c r="H130" s="530"/>
      <c r="J130" s="128">
        <f t="shared" si="1"/>
        <v>800</v>
      </c>
    </row>
    <row r="131" spans="1:10" ht="18" customHeight="1" x14ac:dyDescent="0.25">
      <c r="A131" s="302">
        <v>701</v>
      </c>
      <c r="B131" s="260" t="s">
        <v>1041</v>
      </c>
      <c r="C131" s="260" t="s">
        <v>1189</v>
      </c>
      <c r="D131" s="433" t="s">
        <v>901</v>
      </c>
      <c r="E131" s="538" t="e">
        <f>+VLOOKUP(A131,#REF!,10,0)/H131</f>
        <v>#REF!</v>
      </c>
      <c r="F131" s="304">
        <v>10</v>
      </c>
      <c r="G131" s="304"/>
      <c r="H131" s="530"/>
      <c r="J131" s="128">
        <f t="shared" si="1"/>
        <v>0</v>
      </c>
    </row>
    <row r="132" spans="1:10" ht="18" customHeight="1" x14ac:dyDescent="0.25">
      <c r="A132" s="302">
        <v>723</v>
      </c>
      <c r="B132" s="260" t="s">
        <v>1041</v>
      </c>
      <c r="C132" s="260" t="s">
        <v>1184</v>
      </c>
      <c r="D132" s="433" t="s">
        <v>902</v>
      </c>
      <c r="E132" s="538" t="e">
        <f>+VLOOKUP(A132,#REF!,10,0)/H132</f>
        <v>#REF!</v>
      </c>
      <c r="F132" s="304">
        <v>0</v>
      </c>
      <c r="G132" s="304"/>
      <c r="H132" s="530"/>
      <c r="J132" s="128">
        <f t="shared" si="1"/>
        <v>0</v>
      </c>
    </row>
    <row r="133" spans="1:10" ht="18" customHeight="1" x14ac:dyDescent="0.25">
      <c r="A133" s="302">
        <v>864</v>
      </c>
      <c r="B133" s="260" t="s">
        <v>1041</v>
      </c>
      <c r="C133" s="260" t="s">
        <v>1187</v>
      </c>
      <c r="D133" s="433" t="s">
        <v>879</v>
      </c>
      <c r="E133" s="538" t="e">
        <f>+VLOOKUP(A133,#REF!,10,0)/H133</f>
        <v>#REF!</v>
      </c>
      <c r="F133" s="304">
        <v>3</v>
      </c>
      <c r="G133" s="304"/>
      <c r="H133" s="530"/>
      <c r="J133" s="128">
        <f t="shared" si="1"/>
        <v>0</v>
      </c>
    </row>
    <row r="134" spans="1:10" ht="18" customHeight="1" x14ac:dyDescent="0.25">
      <c r="A134" s="302">
        <v>719</v>
      </c>
      <c r="B134" s="260" t="s">
        <v>1041</v>
      </c>
      <c r="C134" s="260" t="s">
        <v>1367</v>
      </c>
      <c r="D134" s="433" t="s">
        <v>1039</v>
      </c>
      <c r="E134" s="538" t="e">
        <f>+VLOOKUP(A134,#REF!,10,0)/H134</f>
        <v>#REF!</v>
      </c>
      <c r="F134" s="304">
        <v>0</v>
      </c>
      <c r="G134" s="304">
        <v>500</v>
      </c>
      <c r="H134" s="530"/>
      <c r="J134" s="128">
        <f t="shared" si="1"/>
        <v>500</v>
      </c>
    </row>
    <row r="135" spans="1:10" ht="18" customHeight="1" x14ac:dyDescent="0.25">
      <c r="A135" s="302">
        <v>99</v>
      </c>
      <c r="B135" s="260" t="s">
        <v>1041</v>
      </c>
      <c r="C135" s="260" t="s">
        <v>1500</v>
      </c>
      <c r="D135" s="433" t="s">
        <v>1035</v>
      </c>
      <c r="E135" s="538" t="e">
        <f>+VLOOKUP(A135,#REF!,10,0)/H135</f>
        <v>#REF!</v>
      </c>
      <c r="F135" s="304">
        <v>4</v>
      </c>
      <c r="G135" s="304">
        <v>950</v>
      </c>
      <c r="H135" s="530"/>
      <c r="J135" s="128">
        <f t="shared" si="1"/>
        <v>950</v>
      </c>
    </row>
    <row r="136" spans="1:10" ht="18" customHeight="1" x14ac:dyDescent="0.25">
      <c r="A136" s="302">
        <v>732</v>
      </c>
      <c r="B136" s="260" t="s">
        <v>1041</v>
      </c>
      <c r="C136" s="260" t="s">
        <v>1368</v>
      </c>
      <c r="D136" s="433" t="s">
        <v>1033</v>
      </c>
      <c r="E136" s="538" t="e">
        <f>+VLOOKUP(A136,#REF!,10,0)/H136</f>
        <v>#REF!</v>
      </c>
      <c r="F136" s="304">
        <v>1</v>
      </c>
      <c r="G136" s="304">
        <v>260</v>
      </c>
      <c r="H136" s="530"/>
      <c r="J136" s="128">
        <f t="shared" si="1"/>
        <v>260</v>
      </c>
    </row>
    <row r="137" spans="1:10" ht="18" customHeight="1" x14ac:dyDescent="0.25">
      <c r="A137" s="302">
        <v>700</v>
      </c>
      <c r="B137" s="260" t="s">
        <v>1041</v>
      </c>
      <c r="C137" s="260" t="s">
        <v>1369</v>
      </c>
      <c r="D137" s="433" t="s">
        <v>870</v>
      </c>
      <c r="E137" s="538" t="e">
        <f>+VLOOKUP(A137,#REF!,10,0)/H137</f>
        <v>#REF!</v>
      </c>
      <c r="F137" s="304">
        <v>8</v>
      </c>
      <c r="G137" s="304"/>
      <c r="H137" s="530"/>
      <c r="J137" s="128">
        <f t="shared" ref="J137:J199" si="2">+(F137*H137)+G137</f>
        <v>0</v>
      </c>
    </row>
    <row r="138" spans="1:10" ht="18" customHeight="1" x14ac:dyDescent="0.25">
      <c r="A138" s="302">
        <v>615</v>
      </c>
      <c r="B138" s="260" t="s">
        <v>1041</v>
      </c>
      <c r="C138" s="260" t="s">
        <v>1195</v>
      </c>
      <c r="D138" s="433" t="s">
        <v>882</v>
      </c>
      <c r="E138" s="538" t="e">
        <f>+VLOOKUP(A138,#REF!,10,0)/H138</f>
        <v>#REF!</v>
      </c>
      <c r="F138" s="304">
        <v>1</v>
      </c>
      <c r="G138" s="304">
        <v>350</v>
      </c>
      <c r="H138" s="530"/>
      <c r="J138" s="128">
        <f t="shared" si="2"/>
        <v>350</v>
      </c>
    </row>
    <row r="139" spans="1:10" ht="18" customHeight="1" x14ac:dyDescent="0.25">
      <c r="A139" s="302">
        <v>817</v>
      </c>
      <c r="B139" s="260" t="s">
        <v>1041</v>
      </c>
      <c r="C139" s="260" t="s">
        <v>1326</v>
      </c>
      <c r="D139" s="433" t="s">
        <v>883</v>
      </c>
      <c r="E139" s="538" t="e">
        <f>+VLOOKUP(A139,#REF!,10,0)/H139</f>
        <v>#REF!</v>
      </c>
      <c r="F139" s="304">
        <v>2</v>
      </c>
      <c r="G139" s="304">
        <v>850</v>
      </c>
      <c r="H139" s="530"/>
      <c r="J139" s="128">
        <f t="shared" si="2"/>
        <v>850</v>
      </c>
    </row>
    <row r="140" spans="1:10" ht="18" customHeight="1" x14ac:dyDescent="0.25">
      <c r="A140" s="302">
        <v>857</v>
      </c>
      <c r="B140" s="260" t="s">
        <v>1041</v>
      </c>
      <c r="C140" s="260" t="s">
        <v>1370</v>
      </c>
      <c r="D140" s="433" t="s">
        <v>884</v>
      </c>
      <c r="E140" s="538" t="e">
        <f>+VLOOKUP(A140,#REF!,10,0)/H140</f>
        <v>#REF!</v>
      </c>
      <c r="F140" s="304">
        <v>0</v>
      </c>
      <c r="G140" s="304"/>
      <c r="H140" s="530"/>
      <c r="J140" s="128">
        <f t="shared" si="2"/>
        <v>0</v>
      </c>
    </row>
    <row r="141" spans="1:10" ht="18" customHeight="1" x14ac:dyDescent="0.25">
      <c r="A141" s="302">
        <v>858</v>
      </c>
      <c r="B141" s="260" t="s">
        <v>1041</v>
      </c>
      <c r="C141" s="763" t="s">
        <v>823</v>
      </c>
      <c r="D141" s="433" t="s">
        <v>884</v>
      </c>
      <c r="E141" s="538"/>
      <c r="F141" s="304">
        <v>0</v>
      </c>
      <c r="G141" s="304">
        <v>1600</v>
      </c>
      <c r="H141" s="530"/>
      <c r="J141" s="128">
        <f t="shared" si="2"/>
        <v>1600</v>
      </c>
    </row>
    <row r="142" spans="1:10" ht="18" customHeight="1" x14ac:dyDescent="0.25">
      <c r="A142" s="302">
        <v>53</v>
      </c>
      <c r="B142" s="260" t="s">
        <v>1041</v>
      </c>
      <c r="C142" s="260" t="s">
        <v>1379</v>
      </c>
      <c r="D142" s="433" t="s">
        <v>896</v>
      </c>
      <c r="E142" s="538" t="e">
        <f>+VLOOKUP(A142,#REF!,10,0)/H142</f>
        <v>#REF!</v>
      </c>
      <c r="F142" s="304">
        <v>0</v>
      </c>
      <c r="G142" s="304">
        <v>1670</v>
      </c>
      <c r="H142" s="530"/>
      <c r="J142" s="128">
        <f t="shared" si="2"/>
        <v>1670</v>
      </c>
    </row>
    <row r="143" spans="1:10" ht="18" customHeight="1" x14ac:dyDescent="0.25">
      <c r="A143" s="302">
        <v>856</v>
      </c>
      <c r="B143" s="260" t="s">
        <v>1041</v>
      </c>
      <c r="C143" s="260" t="s">
        <v>1340</v>
      </c>
      <c r="D143" s="433" t="s">
        <v>886</v>
      </c>
      <c r="E143" s="538" t="e">
        <f>+VLOOKUP(A143,#REF!,10,0)/H143</f>
        <v>#REF!</v>
      </c>
      <c r="F143" s="304">
        <v>0</v>
      </c>
      <c r="G143" s="304"/>
      <c r="H143" s="530"/>
      <c r="J143" s="128">
        <f t="shared" si="2"/>
        <v>0</v>
      </c>
    </row>
    <row r="144" spans="1:10" ht="18" customHeight="1" x14ac:dyDescent="0.25">
      <c r="A144" s="302">
        <v>730</v>
      </c>
      <c r="B144" s="260" t="s">
        <v>1041</v>
      </c>
      <c r="C144" s="260" t="s">
        <v>1223</v>
      </c>
      <c r="D144" s="433" t="s">
        <v>1258</v>
      </c>
      <c r="E144" s="538" t="e">
        <f>+VLOOKUP(A144,#REF!,10,0)/H144</f>
        <v>#REF!</v>
      </c>
      <c r="F144" s="304">
        <v>2</v>
      </c>
      <c r="G144" s="304">
        <v>620</v>
      </c>
      <c r="H144" s="530"/>
      <c r="J144" s="128">
        <f t="shared" si="2"/>
        <v>620</v>
      </c>
    </row>
    <row r="145" spans="1:10" ht="18" customHeight="1" x14ac:dyDescent="0.25">
      <c r="A145" s="302">
        <v>800</v>
      </c>
      <c r="B145" s="260" t="s">
        <v>1041</v>
      </c>
      <c r="C145" s="260" t="s">
        <v>1371</v>
      </c>
      <c r="D145" s="433" t="s">
        <v>898</v>
      </c>
      <c r="E145" s="538" t="e">
        <f>+VLOOKUP(A145,#REF!,10,0)/H145</f>
        <v>#REF!</v>
      </c>
      <c r="F145" s="304">
        <v>0</v>
      </c>
      <c r="G145" s="304"/>
      <c r="H145" s="530"/>
      <c r="J145" s="128">
        <f t="shared" si="2"/>
        <v>0</v>
      </c>
    </row>
    <row r="146" spans="1:10" ht="18" customHeight="1" x14ac:dyDescent="0.25">
      <c r="A146" s="302">
        <v>809</v>
      </c>
      <c r="B146" s="260" t="s">
        <v>1041</v>
      </c>
      <c r="C146" s="260" t="s">
        <v>1501</v>
      </c>
      <c r="D146" s="433" t="s">
        <v>1768</v>
      </c>
      <c r="E146" s="538" t="e">
        <f>+VLOOKUP(A146,#REF!,10,0)/H146</f>
        <v>#REF!</v>
      </c>
      <c r="F146" s="304">
        <v>13</v>
      </c>
      <c r="G146" s="304">
        <v>350</v>
      </c>
      <c r="H146" s="530"/>
      <c r="J146" s="128">
        <f t="shared" si="2"/>
        <v>350</v>
      </c>
    </row>
    <row r="147" spans="1:10" ht="18" customHeight="1" x14ac:dyDescent="0.25">
      <c r="A147" s="302">
        <v>760</v>
      </c>
      <c r="B147" s="260" t="s">
        <v>1041</v>
      </c>
      <c r="C147" s="260" t="s">
        <v>1372</v>
      </c>
      <c r="D147" s="433" t="s">
        <v>911</v>
      </c>
      <c r="E147" s="538" t="e">
        <f>+VLOOKUP(A147,#REF!,10,0)/H147</f>
        <v>#REF!</v>
      </c>
      <c r="F147" s="304">
        <v>7</v>
      </c>
      <c r="G147" s="304"/>
      <c r="H147" s="530"/>
      <c r="J147" s="128">
        <f t="shared" si="2"/>
        <v>0</v>
      </c>
    </row>
    <row r="148" spans="1:10" ht="18" customHeight="1" x14ac:dyDescent="0.25">
      <c r="A148" s="302">
        <v>840</v>
      </c>
      <c r="B148" s="260" t="s">
        <v>1041</v>
      </c>
      <c r="C148" s="260" t="s">
        <v>1334</v>
      </c>
      <c r="D148" s="433" t="s">
        <v>910</v>
      </c>
      <c r="E148" s="538" t="e">
        <f>+VLOOKUP(A148,#REF!,10,0)/H148</f>
        <v>#REF!</v>
      </c>
      <c r="F148" s="304">
        <v>2</v>
      </c>
      <c r="G148" s="304">
        <v>3570</v>
      </c>
      <c r="H148" s="530"/>
      <c r="J148" s="128">
        <f t="shared" si="2"/>
        <v>3570</v>
      </c>
    </row>
    <row r="149" spans="1:10" ht="18" customHeight="1" x14ac:dyDescent="0.25">
      <c r="A149" s="302">
        <v>709</v>
      </c>
      <c r="B149" s="260" t="s">
        <v>1041</v>
      </c>
      <c r="C149" s="260" t="s">
        <v>786</v>
      </c>
      <c r="D149" s="433" t="s">
        <v>887</v>
      </c>
      <c r="E149" s="538" t="e">
        <f>+VLOOKUP(A149,#REF!,10,0)/H149</f>
        <v>#REF!</v>
      </c>
      <c r="F149" s="304">
        <v>0</v>
      </c>
      <c r="G149" s="304"/>
      <c r="H149" s="530"/>
      <c r="J149" s="128">
        <f t="shared" si="2"/>
        <v>0</v>
      </c>
    </row>
    <row r="150" spans="1:10" ht="18" customHeight="1" x14ac:dyDescent="0.25">
      <c r="A150" s="302">
        <v>802</v>
      </c>
      <c r="B150" s="260" t="s">
        <v>1041</v>
      </c>
      <c r="C150" s="260" t="s">
        <v>1193</v>
      </c>
      <c r="D150" s="433" t="s">
        <v>909</v>
      </c>
      <c r="E150" s="538" t="e">
        <f>+VLOOKUP(A150,#REF!,10,0)/H150</f>
        <v>#REF!</v>
      </c>
      <c r="F150" s="304">
        <v>3</v>
      </c>
      <c r="G150" s="304">
        <v>800</v>
      </c>
      <c r="H150" s="530"/>
      <c r="J150" s="128">
        <f t="shared" si="2"/>
        <v>800</v>
      </c>
    </row>
    <row r="151" spans="1:10" ht="18" customHeight="1" x14ac:dyDescent="0.25">
      <c r="A151" s="302">
        <v>725</v>
      </c>
      <c r="B151" s="260" t="s">
        <v>1041</v>
      </c>
      <c r="C151" s="260" t="s">
        <v>805</v>
      </c>
      <c r="D151" s="433" t="s">
        <v>888</v>
      </c>
      <c r="E151" s="538" t="e">
        <f>+VLOOKUP(A151,#REF!,10,0)/H151</f>
        <v>#REF!</v>
      </c>
      <c r="F151" s="304">
        <v>1</v>
      </c>
      <c r="G151" s="304"/>
      <c r="H151" s="530"/>
      <c r="J151" s="128">
        <f t="shared" si="2"/>
        <v>0</v>
      </c>
    </row>
    <row r="152" spans="1:10" ht="18" customHeight="1" x14ac:dyDescent="0.25">
      <c r="A152" s="302">
        <v>713</v>
      </c>
      <c r="B152" s="260" t="s">
        <v>1041</v>
      </c>
      <c r="C152" s="260" t="s">
        <v>1183</v>
      </c>
      <c r="D152" s="433" t="s">
        <v>1027</v>
      </c>
      <c r="E152" s="538" t="e">
        <f>+VLOOKUP(A152,#REF!,10,0)/H152</f>
        <v>#REF!</v>
      </c>
      <c r="F152" s="304">
        <v>3</v>
      </c>
      <c r="G152" s="304">
        <v>120</v>
      </c>
      <c r="H152" s="530"/>
      <c r="J152" s="128">
        <f t="shared" si="2"/>
        <v>120</v>
      </c>
    </row>
    <row r="153" spans="1:10" ht="18" customHeight="1" x14ac:dyDescent="0.25">
      <c r="A153" s="302">
        <v>55</v>
      </c>
      <c r="B153" s="260" t="s">
        <v>1041</v>
      </c>
      <c r="C153" s="260" t="s">
        <v>1380</v>
      </c>
      <c r="D153" s="433" t="s">
        <v>1256</v>
      </c>
      <c r="E153" s="538" t="e">
        <f>+VLOOKUP(A153,#REF!,10,0)/H153</f>
        <v>#REF!</v>
      </c>
      <c r="F153" s="304">
        <v>2</v>
      </c>
      <c r="G153" s="304"/>
      <c r="H153" s="530"/>
      <c r="J153" s="128">
        <f t="shared" si="2"/>
        <v>0</v>
      </c>
    </row>
    <row r="154" spans="1:10" ht="18" customHeight="1" x14ac:dyDescent="0.25">
      <c r="A154" s="302">
        <v>43</v>
      </c>
      <c r="B154" s="260" t="s">
        <v>1041</v>
      </c>
      <c r="C154" s="260" t="s">
        <v>1336</v>
      </c>
      <c r="D154" s="433" t="s">
        <v>1040</v>
      </c>
      <c r="E154" s="538" t="e">
        <f>+VLOOKUP(A154,#REF!,10,0)/H154</f>
        <v>#REF!</v>
      </c>
      <c r="F154" s="304">
        <v>0</v>
      </c>
      <c r="G154" s="304"/>
      <c r="H154" s="530"/>
      <c r="J154" s="128">
        <f t="shared" si="2"/>
        <v>0</v>
      </c>
    </row>
    <row r="155" spans="1:10" ht="18" customHeight="1" x14ac:dyDescent="0.25">
      <c r="A155" s="302">
        <v>848</v>
      </c>
      <c r="B155" s="260" t="s">
        <v>1041</v>
      </c>
      <c r="C155" s="260" t="s">
        <v>771</v>
      </c>
      <c r="D155" s="433" t="s">
        <v>1029</v>
      </c>
      <c r="E155" s="538"/>
      <c r="F155" s="304">
        <v>0</v>
      </c>
      <c r="G155" s="304">
        <v>1130</v>
      </c>
      <c r="H155" s="530"/>
      <c r="J155" s="128">
        <f t="shared" si="2"/>
        <v>1130</v>
      </c>
    </row>
    <row r="156" spans="1:10" ht="18" customHeight="1" x14ac:dyDescent="0.25">
      <c r="A156" s="302">
        <v>910</v>
      </c>
      <c r="B156" s="260" t="s">
        <v>1041</v>
      </c>
      <c r="C156" s="260" t="s">
        <v>1174</v>
      </c>
      <c r="D156" s="433" t="s">
        <v>1029</v>
      </c>
      <c r="E156" s="538"/>
      <c r="F156" s="304">
        <v>2</v>
      </c>
      <c r="G156" s="304">
        <v>1130</v>
      </c>
      <c r="H156" s="530"/>
      <c r="J156" s="128">
        <f t="shared" si="2"/>
        <v>1130</v>
      </c>
    </row>
    <row r="157" spans="1:10" ht="18" customHeight="1" x14ac:dyDescent="0.25">
      <c r="A157" s="302" t="s">
        <v>1741</v>
      </c>
      <c r="B157" s="260" t="s">
        <v>1041</v>
      </c>
      <c r="C157" s="260" t="s">
        <v>1742</v>
      </c>
      <c r="D157" s="433" t="s">
        <v>1029</v>
      </c>
      <c r="E157" s="538"/>
      <c r="F157" s="304">
        <v>0</v>
      </c>
      <c r="G157" s="304"/>
      <c r="H157" s="530"/>
      <c r="J157" s="128">
        <f t="shared" si="2"/>
        <v>0</v>
      </c>
    </row>
    <row r="158" spans="1:10" ht="18" customHeight="1" x14ac:dyDescent="0.25">
      <c r="A158" s="302" t="s">
        <v>1743</v>
      </c>
      <c r="B158" s="260" t="s">
        <v>1041</v>
      </c>
      <c r="C158" s="260" t="s">
        <v>1082</v>
      </c>
      <c r="D158" s="433" t="s">
        <v>1029</v>
      </c>
      <c r="E158" s="538"/>
      <c r="F158" s="304">
        <v>0</v>
      </c>
      <c r="G158" s="304"/>
      <c r="H158" s="530"/>
      <c r="J158" s="128">
        <f t="shared" si="2"/>
        <v>0</v>
      </c>
    </row>
    <row r="159" spans="1:10" ht="18" customHeight="1" x14ac:dyDescent="0.25">
      <c r="A159" s="302">
        <v>307</v>
      </c>
      <c r="B159" s="260" t="s">
        <v>1041</v>
      </c>
      <c r="C159" s="260" t="s">
        <v>1089</v>
      </c>
      <c r="D159" s="433" t="s">
        <v>1029</v>
      </c>
      <c r="E159" s="538"/>
      <c r="F159" s="304">
        <v>1</v>
      </c>
      <c r="G159" s="304">
        <v>880</v>
      </c>
      <c r="H159" s="530"/>
      <c r="J159" s="128">
        <f t="shared" si="2"/>
        <v>880</v>
      </c>
    </row>
    <row r="160" spans="1:10" ht="18" customHeight="1" x14ac:dyDescent="0.25">
      <c r="A160" s="302">
        <v>453</v>
      </c>
      <c r="B160" s="260" t="s">
        <v>1041</v>
      </c>
      <c r="C160" s="260" t="s">
        <v>1744</v>
      </c>
      <c r="D160" s="433" t="s">
        <v>1029</v>
      </c>
      <c r="E160" s="538"/>
      <c r="F160" s="304">
        <v>0</v>
      </c>
      <c r="G160" s="304"/>
      <c r="H160" s="530"/>
      <c r="J160" s="128">
        <f t="shared" si="2"/>
        <v>0</v>
      </c>
    </row>
    <row r="161" spans="1:10" ht="18" customHeight="1" x14ac:dyDescent="0.25">
      <c r="A161" s="302">
        <v>456</v>
      </c>
      <c r="B161" s="260" t="s">
        <v>1041</v>
      </c>
      <c r="C161" s="260" t="s">
        <v>1745</v>
      </c>
      <c r="D161" s="433" t="s">
        <v>1029</v>
      </c>
      <c r="E161" s="538"/>
      <c r="F161" s="304">
        <v>0</v>
      </c>
      <c r="G161" s="304"/>
      <c r="H161" s="530"/>
      <c r="J161" s="128">
        <f t="shared" si="2"/>
        <v>0</v>
      </c>
    </row>
    <row r="162" spans="1:10" ht="18" customHeight="1" x14ac:dyDescent="0.25">
      <c r="A162" s="302">
        <v>630</v>
      </c>
      <c r="B162" s="260" t="s">
        <v>1041</v>
      </c>
      <c r="C162" s="260" t="s">
        <v>1746</v>
      </c>
      <c r="D162" s="433" t="s">
        <v>1029</v>
      </c>
      <c r="E162" s="538"/>
      <c r="F162" s="304">
        <v>0</v>
      </c>
      <c r="G162" s="304"/>
      <c r="H162" s="530"/>
      <c r="J162" s="128">
        <f t="shared" si="2"/>
        <v>0</v>
      </c>
    </row>
    <row r="163" spans="1:10" ht="18" customHeight="1" x14ac:dyDescent="0.25">
      <c r="A163" s="302">
        <v>631</v>
      </c>
      <c r="B163" s="260" t="s">
        <v>1041</v>
      </c>
      <c r="C163" s="260" t="s">
        <v>1747</v>
      </c>
      <c r="D163" s="433" t="s">
        <v>1029</v>
      </c>
      <c r="E163" s="538"/>
      <c r="F163" s="304">
        <v>0</v>
      </c>
      <c r="G163" s="304"/>
      <c r="H163" s="530"/>
      <c r="J163" s="128">
        <f t="shared" si="2"/>
        <v>0</v>
      </c>
    </row>
    <row r="164" spans="1:10" ht="18" customHeight="1" x14ac:dyDescent="0.25">
      <c r="A164" s="302">
        <v>632</v>
      </c>
      <c r="B164" s="260" t="s">
        <v>1041</v>
      </c>
      <c r="C164" s="260" t="s">
        <v>1748</v>
      </c>
      <c r="D164" s="433" t="s">
        <v>1029</v>
      </c>
      <c r="E164" s="538"/>
      <c r="F164" s="304">
        <v>0</v>
      </c>
      <c r="G164" s="304"/>
      <c r="H164" s="530"/>
      <c r="J164" s="128">
        <f t="shared" si="2"/>
        <v>0</v>
      </c>
    </row>
    <row r="165" spans="1:10" ht="18" customHeight="1" x14ac:dyDescent="0.25">
      <c r="A165" s="302">
        <v>633</v>
      </c>
      <c r="B165" s="260" t="s">
        <v>1041</v>
      </c>
      <c r="C165" s="260" t="s">
        <v>1352</v>
      </c>
      <c r="D165" s="433" t="s">
        <v>1029</v>
      </c>
      <c r="E165" s="538"/>
      <c r="F165" s="304">
        <v>0</v>
      </c>
      <c r="G165" s="304"/>
      <c r="H165" s="530"/>
      <c r="J165" s="128">
        <f t="shared" si="2"/>
        <v>0</v>
      </c>
    </row>
    <row r="166" spans="1:10" ht="18" customHeight="1" x14ac:dyDescent="0.25">
      <c r="A166" s="302">
        <v>634</v>
      </c>
      <c r="B166" s="260" t="s">
        <v>1041</v>
      </c>
      <c r="C166" s="260" t="s">
        <v>1749</v>
      </c>
      <c r="D166" s="433" t="s">
        <v>1029</v>
      </c>
      <c r="E166" s="538"/>
      <c r="F166" s="304">
        <v>0</v>
      </c>
      <c r="G166" s="304"/>
      <c r="H166" s="530"/>
      <c r="J166" s="128">
        <f t="shared" si="2"/>
        <v>0</v>
      </c>
    </row>
    <row r="167" spans="1:10" ht="18" customHeight="1" x14ac:dyDescent="0.25">
      <c r="A167" s="302">
        <v>635</v>
      </c>
      <c r="B167" s="260" t="s">
        <v>1041</v>
      </c>
      <c r="C167" s="260" t="s">
        <v>1750</v>
      </c>
      <c r="D167" s="433" t="s">
        <v>1029</v>
      </c>
      <c r="E167" s="538"/>
      <c r="F167" s="304">
        <v>0</v>
      </c>
      <c r="G167" s="304"/>
      <c r="H167" s="530"/>
      <c r="J167" s="128">
        <f t="shared" si="2"/>
        <v>0</v>
      </c>
    </row>
    <row r="168" spans="1:10" ht="18" customHeight="1" x14ac:dyDescent="0.25">
      <c r="A168" s="302">
        <v>636</v>
      </c>
      <c r="B168" s="260" t="s">
        <v>1041</v>
      </c>
      <c r="C168" s="260" t="s">
        <v>1751</v>
      </c>
      <c r="D168" s="433" t="s">
        <v>1029</v>
      </c>
      <c r="E168" s="538"/>
      <c r="F168" s="304">
        <v>0</v>
      </c>
      <c r="G168" s="304"/>
      <c r="H168" s="530"/>
      <c r="J168" s="128">
        <f t="shared" si="2"/>
        <v>0</v>
      </c>
    </row>
    <row r="169" spans="1:10" ht="18" customHeight="1" x14ac:dyDescent="0.25">
      <c r="A169" s="302">
        <v>637</v>
      </c>
      <c r="B169" s="260" t="s">
        <v>1041</v>
      </c>
      <c r="C169" s="260" t="s">
        <v>1752</v>
      </c>
      <c r="D169" s="433" t="s">
        <v>1029</v>
      </c>
      <c r="E169" s="538"/>
      <c r="F169" s="304">
        <v>0</v>
      </c>
      <c r="G169" s="304"/>
      <c r="H169" s="530"/>
      <c r="J169" s="128">
        <f t="shared" si="2"/>
        <v>0</v>
      </c>
    </row>
    <row r="170" spans="1:10" ht="18" customHeight="1" x14ac:dyDescent="0.25">
      <c r="A170" s="302">
        <v>843</v>
      </c>
      <c r="B170" s="260" t="s">
        <v>1041</v>
      </c>
      <c r="C170" s="260" t="s">
        <v>1138</v>
      </c>
      <c r="D170" s="433" t="s">
        <v>1029</v>
      </c>
      <c r="E170" s="538"/>
      <c r="F170" s="304">
        <v>0</v>
      </c>
      <c r="G170" s="304"/>
      <c r="H170" s="530"/>
      <c r="J170" s="128">
        <f t="shared" si="2"/>
        <v>0</v>
      </c>
    </row>
    <row r="171" spans="1:10" ht="18" customHeight="1" x14ac:dyDescent="0.25">
      <c r="A171" s="302">
        <v>844</v>
      </c>
      <c r="B171" s="260" t="s">
        <v>1041</v>
      </c>
      <c r="C171" s="260" t="s">
        <v>1139</v>
      </c>
      <c r="D171" s="433" t="s">
        <v>1029</v>
      </c>
      <c r="E171" s="538"/>
      <c r="F171" s="304">
        <v>0</v>
      </c>
      <c r="G171" s="304">
        <v>1110</v>
      </c>
      <c r="H171" s="530"/>
      <c r="J171" s="128">
        <f t="shared" si="2"/>
        <v>1110</v>
      </c>
    </row>
    <row r="172" spans="1:10" ht="18" customHeight="1" x14ac:dyDescent="0.25">
      <c r="A172" s="302">
        <v>845</v>
      </c>
      <c r="B172" s="260" t="s">
        <v>1041</v>
      </c>
      <c r="C172" s="260" t="s">
        <v>1140</v>
      </c>
      <c r="D172" s="433" t="s">
        <v>1029</v>
      </c>
      <c r="E172" s="538"/>
      <c r="F172" s="304">
        <v>0</v>
      </c>
      <c r="G172" s="304"/>
      <c r="H172" s="530"/>
      <c r="J172" s="128">
        <f t="shared" si="2"/>
        <v>0</v>
      </c>
    </row>
    <row r="173" spans="1:10" ht="18" customHeight="1" x14ac:dyDescent="0.25">
      <c r="A173" s="302">
        <v>846</v>
      </c>
      <c r="B173" s="260" t="s">
        <v>1041</v>
      </c>
      <c r="C173" s="260" t="s">
        <v>1141</v>
      </c>
      <c r="D173" s="433" t="s">
        <v>1029</v>
      </c>
      <c r="E173" s="538"/>
      <c r="F173" s="304">
        <v>2</v>
      </c>
      <c r="G173" s="304">
        <v>500</v>
      </c>
      <c r="H173" s="530"/>
      <c r="J173" s="128">
        <f t="shared" si="2"/>
        <v>500</v>
      </c>
    </row>
    <row r="174" spans="1:10" ht="18" customHeight="1" x14ac:dyDescent="0.25">
      <c r="A174" s="302">
        <v>847</v>
      </c>
      <c r="B174" s="260" t="s">
        <v>1041</v>
      </c>
      <c r="C174" s="260" t="s">
        <v>1142</v>
      </c>
      <c r="D174" s="433" t="s">
        <v>1029</v>
      </c>
      <c r="E174" s="538"/>
      <c r="F174" s="304">
        <v>10</v>
      </c>
      <c r="G174" s="304"/>
      <c r="H174" s="530"/>
      <c r="J174" s="128">
        <f t="shared" si="2"/>
        <v>0</v>
      </c>
    </row>
    <row r="175" spans="1:10" ht="18" customHeight="1" x14ac:dyDescent="0.25">
      <c r="A175" s="302">
        <v>856</v>
      </c>
      <c r="B175" s="260" t="s">
        <v>1041</v>
      </c>
      <c r="C175" s="260" t="s">
        <v>1144</v>
      </c>
      <c r="D175" s="433" t="s">
        <v>1029</v>
      </c>
      <c r="E175" s="538"/>
      <c r="F175" s="304">
        <v>0</v>
      </c>
      <c r="G175" s="304"/>
      <c r="H175" s="530"/>
      <c r="J175" s="128">
        <f t="shared" si="2"/>
        <v>0</v>
      </c>
    </row>
    <row r="176" spans="1:10" ht="18" customHeight="1" x14ac:dyDescent="0.25">
      <c r="A176" s="302">
        <v>857</v>
      </c>
      <c r="B176" s="260" t="s">
        <v>1041</v>
      </c>
      <c r="C176" s="260" t="s">
        <v>1145</v>
      </c>
      <c r="D176" s="433" t="s">
        <v>1029</v>
      </c>
      <c r="E176" s="538"/>
      <c r="F176" s="304">
        <v>0</v>
      </c>
      <c r="G176" s="304"/>
      <c r="H176" s="530"/>
      <c r="J176" s="128">
        <f t="shared" si="2"/>
        <v>0</v>
      </c>
    </row>
    <row r="177" spans="1:10" ht="18" customHeight="1" x14ac:dyDescent="0.25">
      <c r="A177" s="302">
        <v>859</v>
      </c>
      <c r="B177" s="260" t="s">
        <v>1041</v>
      </c>
      <c r="C177" s="260" t="s">
        <v>819</v>
      </c>
      <c r="D177" s="433" t="s">
        <v>1029</v>
      </c>
      <c r="E177" s="538"/>
      <c r="F177" s="304">
        <v>0</v>
      </c>
      <c r="G177" s="304"/>
      <c r="H177" s="530"/>
      <c r="J177" s="128">
        <f t="shared" si="2"/>
        <v>0</v>
      </c>
    </row>
    <row r="178" spans="1:10" ht="18" customHeight="1" x14ac:dyDescent="0.25">
      <c r="A178" s="302">
        <v>609</v>
      </c>
      <c r="B178" s="260" t="s">
        <v>1041</v>
      </c>
      <c r="C178" s="260" t="s">
        <v>1094</v>
      </c>
      <c r="D178" s="433" t="s">
        <v>1029</v>
      </c>
      <c r="E178" s="538"/>
      <c r="F178" s="304">
        <v>4</v>
      </c>
      <c r="G178" s="304"/>
      <c r="H178" s="530"/>
      <c r="J178" s="128">
        <f t="shared" si="2"/>
        <v>0</v>
      </c>
    </row>
    <row r="179" spans="1:10" ht="18" customHeight="1" x14ac:dyDescent="0.25">
      <c r="A179" s="302">
        <v>789</v>
      </c>
      <c r="B179" s="260" t="s">
        <v>1041</v>
      </c>
      <c r="C179" s="260" t="s">
        <v>1127</v>
      </c>
      <c r="D179" s="433" t="s">
        <v>1029</v>
      </c>
      <c r="E179" s="538"/>
      <c r="F179" s="304">
        <v>1</v>
      </c>
      <c r="G179" s="304">
        <v>1130</v>
      </c>
      <c r="H179" s="530"/>
      <c r="J179" s="128">
        <f t="shared" si="2"/>
        <v>1130</v>
      </c>
    </row>
    <row r="180" spans="1:10" ht="18" customHeight="1" x14ac:dyDescent="0.25">
      <c r="A180" s="302">
        <v>615</v>
      </c>
      <c r="B180" s="260" t="s">
        <v>1041</v>
      </c>
      <c r="C180" s="260" t="s">
        <v>799</v>
      </c>
      <c r="D180" s="433" t="s">
        <v>1029</v>
      </c>
      <c r="E180" s="538"/>
      <c r="F180" s="304">
        <v>0</v>
      </c>
      <c r="G180" s="304"/>
      <c r="H180" s="530"/>
      <c r="J180" s="128">
        <f t="shared" si="2"/>
        <v>0</v>
      </c>
    </row>
    <row r="181" spans="1:10" ht="18" customHeight="1" x14ac:dyDescent="0.25">
      <c r="A181" s="302">
        <v>828</v>
      </c>
      <c r="B181" s="260" t="s">
        <v>1041</v>
      </c>
      <c r="C181" s="260" t="s">
        <v>1753</v>
      </c>
      <c r="D181" s="433" t="s">
        <v>1029</v>
      </c>
      <c r="E181" s="538"/>
      <c r="F181" s="304">
        <v>0</v>
      </c>
      <c r="G181" s="304">
        <v>1310</v>
      </c>
      <c r="H181" s="530"/>
      <c r="J181" s="128">
        <f t="shared" si="2"/>
        <v>1310</v>
      </c>
    </row>
    <row r="182" spans="1:10" ht="18" customHeight="1" x14ac:dyDescent="0.25">
      <c r="A182" s="302">
        <v>830</v>
      </c>
      <c r="B182" s="260" t="s">
        <v>1041</v>
      </c>
      <c r="C182" s="260" t="s">
        <v>1754</v>
      </c>
      <c r="D182" s="433" t="s">
        <v>1029</v>
      </c>
      <c r="E182" s="538"/>
      <c r="F182" s="304">
        <v>0</v>
      </c>
      <c r="G182" s="304">
        <v>1290</v>
      </c>
      <c r="H182" s="530"/>
      <c r="J182" s="128">
        <f t="shared" si="2"/>
        <v>1290</v>
      </c>
    </row>
    <row r="183" spans="1:10" ht="18" customHeight="1" x14ac:dyDescent="0.25">
      <c r="A183" s="302">
        <v>824</v>
      </c>
      <c r="B183" s="260" t="s">
        <v>1041</v>
      </c>
      <c r="C183" s="260" t="s">
        <v>1782</v>
      </c>
      <c r="D183" s="433" t="s">
        <v>1780</v>
      </c>
      <c r="E183" s="538"/>
      <c r="F183" s="304">
        <v>2</v>
      </c>
      <c r="G183" s="304">
        <v>1220</v>
      </c>
      <c r="H183" s="530"/>
      <c r="J183" s="128">
        <f t="shared" si="2"/>
        <v>1220</v>
      </c>
    </row>
    <row r="184" spans="1:10" ht="18" customHeight="1" x14ac:dyDescent="0.25">
      <c r="A184" s="302">
        <v>825</v>
      </c>
      <c r="B184" s="260" t="s">
        <v>1041</v>
      </c>
      <c r="C184" s="260" t="s">
        <v>1802</v>
      </c>
      <c r="D184" s="433" t="s">
        <v>1781</v>
      </c>
      <c r="E184" s="538"/>
      <c r="F184" s="304">
        <v>4</v>
      </c>
      <c r="G184" s="304"/>
      <c r="H184" s="530"/>
      <c r="J184" s="128">
        <f t="shared" si="2"/>
        <v>0</v>
      </c>
    </row>
    <row r="185" spans="1:10" ht="18" customHeight="1" x14ac:dyDescent="0.25">
      <c r="A185" s="302">
        <v>902</v>
      </c>
      <c r="B185" s="260" t="s">
        <v>1041</v>
      </c>
      <c r="C185" s="260" t="s">
        <v>1346</v>
      </c>
      <c r="D185" s="433" t="s">
        <v>1803</v>
      </c>
      <c r="E185" s="538" t="e">
        <f>+VLOOKUP(A185,#REF!,10,0)/H185</f>
        <v>#REF!</v>
      </c>
      <c r="F185" s="304">
        <v>0</v>
      </c>
      <c r="G185" s="304">
        <v>1120</v>
      </c>
      <c r="H185" s="530"/>
      <c r="J185" s="128">
        <f t="shared" si="2"/>
        <v>1120</v>
      </c>
    </row>
    <row r="186" spans="1:10" ht="18" customHeight="1" x14ac:dyDescent="0.25">
      <c r="A186" s="302">
        <v>911</v>
      </c>
      <c r="B186" s="260" t="s">
        <v>1041</v>
      </c>
      <c r="C186" s="260" t="s">
        <v>1347</v>
      </c>
      <c r="D186" s="433" t="s">
        <v>1804</v>
      </c>
      <c r="E186" s="538" t="e">
        <f>+VLOOKUP(A186,#REF!,10,0)/H186</f>
        <v>#REF!</v>
      </c>
      <c r="F186" s="304">
        <v>0</v>
      </c>
      <c r="G186" s="304"/>
      <c r="H186" s="530"/>
      <c r="J186" s="128">
        <f t="shared" si="2"/>
        <v>0</v>
      </c>
    </row>
    <row r="187" spans="1:10" ht="18" customHeight="1" x14ac:dyDescent="0.25">
      <c r="A187" s="302">
        <v>920</v>
      </c>
      <c r="B187" s="260" t="s">
        <v>1041</v>
      </c>
      <c r="C187" s="260" t="s">
        <v>1343</v>
      </c>
      <c r="D187" s="433" t="s">
        <v>1805</v>
      </c>
      <c r="E187" s="538" t="e">
        <f>+VLOOKUP(A187,#REF!,10,0)/H187</f>
        <v>#REF!</v>
      </c>
      <c r="F187" s="304">
        <v>0</v>
      </c>
      <c r="G187" s="304"/>
      <c r="H187" s="530"/>
      <c r="J187" s="128">
        <f t="shared" si="2"/>
        <v>0</v>
      </c>
    </row>
    <row r="188" spans="1:10" ht="18" customHeight="1" x14ac:dyDescent="0.25">
      <c r="A188" s="302">
        <v>901</v>
      </c>
      <c r="B188" s="260" t="s">
        <v>1041</v>
      </c>
      <c r="C188" s="260" t="s">
        <v>1324</v>
      </c>
      <c r="D188" s="433" t="s">
        <v>1806</v>
      </c>
      <c r="E188" s="538"/>
      <c r="F188" s="304">
        <v>3</v>
      </c>
      <c r="G188" s="304"/>
      <c r="H188" s="530"/>
      <c r="J188" s="128">
        <f t="shared" si="2"/>
        <v>0</v>
      </c>
    </row>
    <row r="189" spans="1:10" ht="18" customHeight="1" x14ac:dyDescent="0.25">
      <c r="A189" s="302">
        <v>922</v>
      </c>
      <c r="B189" s="260" t="s">
        <v>1041</v>
      </c>
      <c r="C189" s="260" t="s">
        <v>1344</v>
      </c>
      <c r="D189" s="433" t="s">
        <v>1807</v>
      </c>
      <c r="E189" s="538"/>
      <c r="F189" s="304">
        <v>1</v>
      </c>
      <c r="G189" s="304"/>
      <c r="H189" s="530"/>
      <c r="J189" s="128">
        <f t="shared" si="2"/>
        <v>0</v>
      </c>
    </row>
    <row r="190" spans="1:10" ht="18" customHeight="1" x14ac:dyDescent="0.25">
      <c r="A190" s="302">
        <v>908</v>
      </c>
      <c r="B190" s="260" t="s">
        <v>1041</v>
      </c>
      <c r="C190" s="260" t="s">
        <v>1808</v>
      </c>
      <c r="D190" s="433" t="s">
        <v>908</v>
      </c>
      <c r="E190" s="538"/>
      <c r="F190" s="304">
        <v>0</v>
      </c>
      <c r="G190" s="304">
        <v>1120</v>
      </c>
      <c r="H190" s="530"/>
      <c r="J190" s="128">
        <f t="shared" si="2"/>
        <v>1120</v>
      </c>
    </row>
    <row r="191" spans="1:10" ht="18" customHeight="1" x14ac:dyDescent="0.25">
      <c r="A191" s="302">
        <v>816</v>
      </c>
      <c r="B191" s="260" t="s">
        <v>1041</v>
      </c>
      <c r="C191" s="260" t="s">
        <v>1328</v>
      </c>
      <c r="D191" s="433" t="s">
        <v>892</v>
      </c>
      <c r="E191" s="538" t="e">
        <f>+VLOOKUP(A191,#REF!,10,0)/H191</f>
        <v>#REF!</v>
      </c>
      <c r="F191" s="304">
        <v>2</v>
      </c>
      <c r="G191" s="304">
        <v>260</v>
      </c>
      <c r="H191" s="530"/>
      <c r="J191" s="128">
        <f t="shared" si="2"/>
        <v>260</v>
      </c>
    </row>
    <row r="192" spans="1:10" ht="18" customHeight="1" x14ac:dyDescent="0.25">
      <c r="A192" s="302">
        <v>858</v>
      </c>
      <c r="B192" s="260" t="s">
        <v>1041</v>
      </c>
      <c r="C192" s="260" t="s">
        <v>1373</v>
      </c>
      <c r="D192" s="433" t="s">
        <v>1260</v>
      </c>
      <c r="E192" s="538" t="e">
        <f>+VLOOKUP(A192,#REF!,10,0)/H192</f>
        <v>#REF!</v>
      </c>
      <c r="F192" s="304">
        <v>0</v>
      </c>
      <c r="G192" s="304"/>
      <c r="H192" s="530"/>
      <c r="J192" s="128">
        <f t="shared" si="2"/>
        <v>0</v>
      </c>
    </row>
    <row r="193" spans="1:10" ht="18" customHeight="1" x14ac:dyDescent="0.25">
      <c r="A193" s="302">
        <v>863</v>
      </c>
      <c r="B193" s="260" t="s">
        <v>1041</v>
      </c>
      <c r="C193" s="260" t="s">
        <v>1506</v>
      </c>
      <c r="D193" s="433" t="s">
        <v>1261</v>
      </c>
      <c r="E193" s="538" t="e">
        <f>+VLOOKUP(A193,#REF!,10,0)/H193</f>
        <v>#REF!</v>
      </c>
      <c r="F193" s="304">
        <v>0</v>
      </c>
      <c r="G193" s="304"/>
      <c r="H193" s="530"/>
      <c r="J193" s="128">
        <f t="shared" si="2"/>
        <v>0</v>
      </c>
    </row>
    <row r="194" spans="1:10" ht="18" customHeight="1" x14ac:dyDescent="0.25">
      <c r="A194" s="302">
        <v>729</v>
      </c>
      <c r="B194" s="260" t="s">
        <v>1041</v>
      </c>
      <c r="C194" s="260" t="s">
        <v>1784</v>
      </c>
      <c r="D194" s="433" t="s">
        <v>1783</v>
      </c>
      <c r="E194" s="538"/>
      <c r="F194" s="304">
        <v>0</v>
      </c>
      <c r="G194" s="304">
        <v>250</v>
      </c>
      <c r="H194" s="530"/>
      <c r="J194" s="128">
        <f t="shared" si="2"/>
        <v>250</v>
      </c>
    </row>
    <row r="195" spans="1:10" ht="18" customHeight="1" x14ac:dyDescent="0.25">
      <c r="A195" s="302">
        <v>878</v>
      </c>
      <c r="B195" s="260" t="s">
        <v>1041</v>
      </c>
      <c r="C195" s="260" t="s">
        <v>1342</v>
      </c>
      <c r="D195" s="433" t="s">
        <v>1262</v>
      </c>
      <c r="E195" s="538" t="e">
        <f>+VLOOKUP(A195,#REF!,10,0)/H195</f>
        <v>#REF!</v>
      </c>
      <c r="F195" s="304">
        <v>0</v>
      </c>
      <c r="G195" s="304">
        <v>275</v>
      </c>
      <c r="H195" s="530"/>
      <c r="J195" s="128">
        <f t="shared" si="2"/>
        <v>275</v>
      </c>
    </row>
    <row r="196" spans="1:10" ht="18" customHeight="1" x14ac:dyDescent="0.25">
      <c r="A196" s="302">
        <v>735</v>
      </c>
      <c r="B196" s="260" t="s">
        <v>1041</v>
      </c>
      <c r="C196" s="260" t="s">
        <v>1375</v>
      </c>
      <c r="D196" s="433" t="s">
        <v>1263</v>
      </c>
      <c r="E196" s="538" t="e">
        <f>+VLOOKUP(A196,#REF!,10,0)/H196</f>
        <v>#REF!</v>
      </c>
      <c r="F196" s="304">
        <v>2</v>
      </c>
      <c r="G196" s="304"/>
      <c r="H196" s="530"/>
      <c r="J196" s="128">
        <f t="shared" si="2"/>
        <v>0</v>
      </c>
    </row>
    <row r="197" spans="1:10" ht="18" customHeight="1" x14ac:dyDescent="0.25">
      <c r="A197" s="302">
        <v>731</v>
      </c>
      <c r="B197" s="260" t="s">
        <v>1041</v>
      </c>
      <c r="C197" s="260" t="s">
        <v>1199</v>
      </c>
      <c r="D197" s="433" t="s">
        <v>1259</v>
      </c>
      <c r="E197" s="538" t="e">
        <f>+VLOOKUP(A197,#REF!,10,0)/H197</f>
        <v>#REF!</v>
      </c>
      <c r="F197" s="304">
        <v>1</v>
      </c>
      <c r="G197" s="304">
        <v>180</v>
      </c>
      <c r="H197" s="530"/>
      <c r="J197" s="128">
        <f t="shared" si="2"/>
        <v>180</v>
      </c>
    </row>
    <row r="198" spans="1:10" ht="18" customHeight="1" x14ac:dyDescent="0.25">
      <c r="A198" s="302">
        <v>97</v>
      </c>
      <c r="B198" s="260" t="s">
        <v>1041</v>
      </c>
      <c r="C198" s="260" t="s">
        <v>1381</v>
      </c>
      <c r="D198" s="433" t="s">
        <v>1257</v>
      </c>
      <c r="E198" s="538" t="e">
        <f>+VLOOKUP(A198,#REF!,10,0)/H198</f>
        <v>#REF!</v>
      </c>
      <c r="F198" s="304">
        <v>4</v>
      </c>
      <c r="G198" s="304">
        <v>500</v>
      </c>
      <c r="H198" s="530"/>
      <c r="J198" s="128">
        <f t="shared" si="2"/>
        <v>500</v>
      </c>
    </row>
    <row r="199" spans="1:10" ht="18" customHeight="1" thickBot="1" x14ac:dyDescent="0.3">
      <c r="A199" s="302">
        <v>842</v>
      </c>
      <c r="B199" s="260" t="s">
        <v>1041</v>
      </c>
      <c r="C199" s="763" t="s">
        <v>1137</v>
      </c>
      <c r="D199" s="433" t="s">
        <v>1767</v>
      </c>
      <c r="E199" s="538"/>
      <c r="F199" s="304">
        <v>2</v>
      </c>
      <c r="G199" s="304">
        <v>570</v>
      </c>
      <c r="H199" s="530"/>
      <c r="J199" s="130">
        <f t="shared" si="2"/>
        <v>570</v>
      </c>
    </row>
    <row r="200" spans="1:10" ht="38.25" thickBot="1" x14ac:dyDescent="0.3">
      <c r="A200" s="302" t="s">
        <v>748</v>
      </c>
      <c r="B200" s="433" t="s">
        <v>1018</v>
      </c>
      <c r="C200" s="531" t="s">
        <v>1396</v>
      </c>
      <c r="D200" s="433" t="s">
        <v>1198</v>
      </c>
      <c r="E200" s="433"/>
      <c r="F200" s="304"/>
      <c r="G200" s="304"/>
      <c r="H200" s="532" t="s">
        <v>857</v>
      </c>
      <c r="J200" s="127"/>
    </row>
    <row r="201" spans="1:10" ht="18.600000000000001" customHeight="1" x14ac:dyDescent="0.25">
      <c r="A201" s="302">
        <v>500</v>
      </c>
      <c r="B201" s="260" t="s">
        <v>746</v>
      </c>
      <c r="C201" s="260" t="s">
        <v>1391</v>
      </c>
      <c r="D201" s="433" t="s">
        <v>839</v>
      </c>
      <c r="E201" s="304" t="e">
        <f>+VLOOKUP(A201,#REF!,10,0)</f>
        <v>#REF!</v>
      </c>
      <c r="F201" s="304">
        <v>0</v>
      </c>
      <c r="G201" s="304"/>
      <c r="H201" s="530"/>
      <c r="J201" s="482">
        <f t="shared" ref="J201:J209" si="3">+(F201*H201)+G201</f>
        <v>0</v>
      </c>
    </row>
    <row r="202" spans="1:10" ht="18.600000000000001" customHeight="1" x14ac:dyDescent="0.25">
      <c r="A202" s="302" t="s">
        <v>1648</v>
      </c>
      <c r="B202" s="260" t="s">
        <v>1041</v>
      </c>
      <c r="C202" s="260" t="s">
        <v>1407</v>
      </c>
      <c r="D202" s="433" t="s">
        <v>1201</v>
      </c>
      <c r="E202" s="304" t="e">
        <f>+VLOOKUP(A202,#REF!,10,0)</f>
        <v>#REF!</v>
      </c>
      <c r="F202" s="304">
        <v>2</v>
      </c>
      <c r="G202" s="304"/>
      <c r="H202" s="530"/>
      <c r="J202" s="128">
        <f t="shared" si="3"/>
        <v>0</v>
      </c>
    </row>
    <row r="203" spans="1:10" ht="18.600000000000001" customHeight="1" x14ac:dyDescent="0.25">
      <c r="A203" s="302">
        <v>510</v>
      </c>
      <c r="B203" s="260" t="s">
        <v>746</v>
      </c>
      <c r="C203" s="260" t="s">
        <v>1393</v>
      </c>
      <c r="D203" s="433" t="s">
        <v>866</v>
      </c>
      <c r="E203" s="304" t="e">
        <f>+VLOOKUP(A203,#REF!,10,0)</f>
        <v>#REF!</v>
      </c>
      <c r="F203" s="304">
        <v>4</v>
      </c>
      <c r="G203" s="304">
        <v>90</v>
      </c>
      <c r="H203" s="530"/>
      <c r="J203" s="128">
        <f t="shared" si="3"/>
        <v>90</v>
      </c>
    </row>
    <row r="204" spans="1:10" ht="16.149999999999999" customHeight="1" x14ac:dyDescent="0.25">
      <c r="A204" s="302">
        <v>557</v>
      </c>
      <c r="B204" s="260" t="s">
        <v>746</v>
      </c>
      <c r="C204" s="260" t="s">
        <v>1404</v>
      </c>
      <c r="D204" s="433" t="s">
        <v>1246</v>
      </c>
      <c r="E204" s="304" t="e">
        <f>+VLOOKUP(A204,#REF!,10,0)</f>
        <v>#REF!</v>
      </c>
      <c r="F204" s="304">
        <v>0</v>
      </c>
      <c r="G204" s="304"/>
      <c r="H204" s="530"/>
      <c r="J204" s="128">
        <f t="shared" si="3"/>
        <v>0</v>
      </c>
    </row>
    <row r="205" spans="1:10" ht="16.149999999999999" customHeight="1" x14ac:dyDescent="0.25">
      <c r="A205" s="302">
        <v>654</v>
      </c>
      <c r="B205" s="260" t="s">
        <v>746</v>
      </c>
      <c r="C205" s="260" t="s">
        <v>1406</v>
      </c>
      <c r="D205" s="433" t="s">
        <v>1247</v>
      </c>
      <c r="E205" s="304" t="e">
        <f>+VLOOKUP(A205,#REF!,10,0)</f>
        <v>#REF!</v>
      </c>
      <c r="F205" s="304">
        <v>2</v>
      </c>
      <c r="G205" s="304"/>
      <c r="H205" s="530"/>
      <c r="J205" s="128">
        <f t="shared" si="3"/>
        <v>0</v>
      </c>
    </row>
    <row r="206" spans="1:10" ht="16.149999999999999" customHeight="1" x14ac:dyDescent="0.25">
      <c r="A206" s="302">
        <v>506</v>
      </c>
      <c r="B206" s="260" t="s">
        <v>746</v>
      </c>
      <c r="C206" s="260" t="s">
        <v>1392</v>
      </c>
      <c r="D206" s="433" t="s">
        <v>1200</v>
      </c>
      <c r="E206" s="304" t="e">
        <f>+VLOOKUP(A206,#REF!,10,0)</f>
        <v>#REF!</v>
      </c>
      <c r="F206" s="304">
        <v>6</v>
      </c>
      <c r="G206" s="304"/>
      <c r="H206" s="530"/>
      <c r="J206" s="128">
        <f t="shared" si="3"/>
        <v>0</v>
      </c>
    </row>
    <row r="207" spans="1:10" ht="16.149999999999999" customHeight="1" x14ac:dyDescent="0.25">
      <c r="A207" s="302">
        <v>558</v>
      </c>
      <c r="B207" s="260" t="s">
        <v>746</v>
      </c>
      <c r="C207" s="260" t="s">
        <v>1405</v>
      </c>
      <c r="D207" s="433" t="s">
        <v>1205</v>
      </c>
      <c r="E207" s="304" t="e">
        <f>+VLOOKUP(A207,#REF!,10,0)</f>
        <v>#REF!</v>
      </c>
      <c r="F207" s="304">
        <v>0</v>
      </c>
      <c r="G207" s="304"/>
      <c r="H207" s="530"/>
      <c r="J207" s="128">
        <f t="shared" si="3"/>
        <v>0</v>
      </c>
    </row>
    <row r="208" spans="1:10" ht="16.149999999999999" customHeight="1" x14ac:dyDescent="0.25">
      <c r="A208" s="302">
        <v>706</v>
      </c>
      <c r="B208" s="260" t="s">
        <v>1041</v>
      </c>
      <c r="C208" s="260" t="s">
        <v>1402</v>
      </c>
      <c r="D208" s="433" t="s">
        <v>1202</v>
      </c>
      <c r="E208" s="304" t="e">
        <f>+VLOOKUP(A208,#REF!,10,0)</f>
        <v>#REF!</v>
      </c>
      <c r="F208" s="304"/>
      <c r="G208" s="304"/>
      <c r="H208" s="530"/>
      <c r="J208" s="128">
        <f t="shared" si="3"/>
        <v>0</v>
      </c>
    </row>
    <row r="209" spans="1:10" ht="16.149999999999999" customHeight="1" thickBot="1" x14ac:dyDescent="0.3">
      <c r="A209" s="302">
        <v>555</v>
      </c>
      <c r="B209" s="260" t="s">
        <v>746</v>
      </c>
      <c r="C209" s="260" t="s">
        <v>1403</v>
      </c>
      <c r="D209" s="433" t="s">
        <v>1248</v>
      </c>
      <c r="E209" s="304" t="e">
        <f>+VLOOKUP(A209,#REF!,10,0)</f>
        <v>#REF!</v>
      </c>
      <c r="F209" s="304">
        <v>2</v>
      </c>
      <c r="G209" s="304"/>
      <c r="H209" s="530"/>
      <c r="J209" s="130">
        <f t="shared" si="3"/>
        <v>0</v>
      </c>
    </row>
    <row r="210" spans="1:10" ht="74.650000000000006" customHeight="1" thickBot="1" x14ac:dyDescent="0.3">
      <c r="A210" s="302" t="s">
        <v>748</v>
      </c>
      <c r="B210" s="433" t="s">
        <v>1018</v>
      </c>
      <c r="C210" s="531" t="s">
        <v>1397</v>
      </c>
      <c r="D210" s="433" t="s">
        <v>1198</v>
      </c>
      <c r="E210" s="433"/>
      <c r="F210" s="304"/>
      <c r="G210" s="304"/>
      <c r="H210" s="532" t="s">
        <v>857</v>
      </c>
      <c r="J210" s="127"/>
    </row>
    <row r="211" spans="1:10" ht="16.149999999999999" customHeight="1" x14ac:dyDescent="0.25">
      <c r="A211" s="302">
        <v>1203700</v>
      </c>
      <c r="B211" s="260" t="s">
        <v>746</v>
      </c>
      <c r="C211" s="260" t="s">
        <v>1208</v>
      </c>
      <c r="D211" s="433" t="s">
        <v>1014</v>
      </c>
      <c r="E211" s="433"/>
      <c r="F211" s="304">
        <v>14</v>
      </c>
      <c r="G211" s="304"/>
      <c r="H211" s="530"/>
      <c r="J211" s="482">
        <f t="shared" ref="J211:J246" si="4">+(F211*H211)+G211</f>
        <v>0</v>
      </c>
    </row>
    <row r="212" spans="1:10" ht="16.149999999999999" customHeight="1" x14ac:dyDescent="0.25">
      <c r="A212" s="414">
        <v>2314700</v>
      </c>
      <c r="B212" s="260" t="s">
        <v>1041</v>
      </c>
      <c r="C212" s="260" t="s">
        <v>1210</v>
      </c>
      <c r="D212" s="433" t="s">
        <v>1038</v>
      </c>
      <c r="E212" s="433"/>
      <c r="F212" s="304">
        <v>1.5</v>
      </c>
      <c r="G212" s="304"/>
      <c r="H212" s="530"/>
      <c r="J212" s="128">
        <f t="shared" si="4"/>
        <v>0</v>
      </c>
    </row>
    <row r="213" spans="1:10" ht="16.149999999999999" customHeight="1" x14ac:dyDescent="0.25">
      <c r="A213" s="414">
        <v>1385700</v>
      </c>
      <c r="B213" s="260" t="s">
        <v>1651</v>
      </c>
      <c r="C213" s="260" t="s">
        <v>1801</v>
      </c>
      <c r="D213" s="433" t="s">
        <v>1203</v>
      </c>
      <c r="E213" s="433"/>
      <c r="F213" s="304">
        <v>0</v>
      </c>
      <c r="G213" s="304"/>
      <c r="H213" s="530"/>
      <c r="J213" s="128">
        <f t="shared" si="4"/>
        <v>0</v>
      </c>
    </row>
    <row r="214" spans="1:10" ht="16.149999999999999" customHeight="1" x14ac:dyDescent="0.25">
      <c r="A214" s="302" t="s">
        <v>1648</v>
      </c>
      <c r="B214" s="260" t="s">
        <v>1041</v>
      </c>
      <c r="C214" s="260" t="s">
        <v>1407</v>
      </c>
      <c r="D214" s="433" t="s">
        <v>1203</v>
      </c>
      <c r="E214" s="538" t="e">
        <f>+VLOOKUP(A214,#REF!,10,0)</f>
        <v>#REF!</v>
      </c>
      <c r="F214" s="304">
        <v>6</v>
      </c>
      <c r="G214" s="304"/>
      <c r="H214" s="530"/>
      <c r="J214" s="128">
        <f t="shared" si="4"/>
        <v>0</v>
      </c>
    </row>
    <row r="215" spans="1:10" ht="16.149999999999999" customHeight="1" x14ac:dyDescent="0.25">
      <c r="A215" s="414">
        <v>1252700</v>
      </c>
      <c r="B215" s="433"/>
      <c r="C215" s="260" t="s">
        <v>1310</v>
      </c>
      <c r="D215" s="433" t="s">
        <v>1311</v>
      </c>
      <c r="E215" s="433"/>
      <c r="F215" s="304">
        <v>10</v>
      </c>
      <c r="G215" s="306"/>
      <c r="H215" s="530"/>
      <c r="J215" s="128">
        <f t="shared" si="4"/>
        <v>0</v>
      </c>
    </row>
    <row r="216" spans="1:10" ht="16.149999999999999" customHeight="1" x14ac:dyDescent="0.25">
      <c r="A216" s="529">
        <v>34</v>
      </c>
      <c r="B216" s="260" t="s">
        <v>746</v>
      </c>
      <c r="C216" s="260" t="s">
        <v>1209</v>
      </c>
      <c r="D216" s="433" t="s">
        <v>840</v>
      </c>
      <c r="E216" s="433"/>
      <c r="F216" s="304">
        <v>1</v>
      </c>
      <c r="G216" s="304"/>
      <c r="H216" s="530"/>
      <c r="J216" s="128">
        <f t="shared" si="4"/>
        <v>0</v>
      </c>
    </row>
    <row r="217" spans="1:10" ht="16.149999999999999" customHeight="1" x14ac:dyDescent="0.25">
      <c r="A217" s="302">
        <v>867</v>
      </c>
      <c r="B217" s="260" t="s">
        <v>1041</v>
      </c>
      <c r="C217" s="260" t="s">
        <v>1211</v>
      </c>
      <c r="D217" s="433" t="s">
        <v>1482</v>
      </c>
      <c r="E217" s="433"/>
      <c r="F217" s="304">
        <v>0</v>
      </c>
      <c r="G217" s="304"/>
      <c r="H217" s="530"/>
      <c r="J217" s="128">
        <f t="shared" si="4"/>
        <v>0</v>
      </c>
    </row>
    <row r="218" spans="1:10" ht="16.149999999999999" customHeight="1" x14ac:dyDescent="0.25">
      <c r="A218" s="414">
        <v>1257700</v>
      </c>
      <c r="B218" s="433"/>
      <c r="C218" s="260" t="s">
        <v>1314</v>
      </c>
      <c r="D218" s="433" t="s">
        <v>1771</v>
      </c>
      <c r="E218" s="433"/>
      <c r="F218" s="304">
        <v>1</v>
      </c>
      <c r="G218" s="306"/>
      <c r="H218" s="530"/>
      <c r="J218" s="128">
        <f t="shared" si="4"/>
        <v>0</v>
      </c>
    </row>
    <row r="219" spans="1:10" ht="16.149999999999999" customHeight="1" x14ac:dyDescent="0.25">
      <c r="A219" s="414">
        <v>1258700</v>
      </c>
      <c r="B219" s="433"/>
      <c r="C219" s="260" t="s">
        <v>1307</v>
      </c>
      <c r="D219" s="433" t="s">
        <v>1770</v>
      </c>
      <c r="E219" s="433"/>
      <c r="F219" s="304">
        <v>3</v>
      </c>
      <c r="G219" s="306">
        <v>75</v>
      </c>
      <c r="H219" s="530"/>
      <c r="J219" s="128">
        <f t="shared" si="4"/>
        <v>75</v>
      </c>
    </row>
    <row r="220" spans="1:10" ht="16.5" customHeight="1" x14ac:dyDescent="0.25">
      <c r="A220" s="302">
        <v>1202700</v>
      </c>
      <c r="B220" s="260" t="s">
        <v>746</v>
      </c>
      <c r="C220" s="260" t="s">
        <v>1428</v>
      </c>
      <c r="D220" s="433" t="s">
        <v>926</v>
      </c>
      <c r="E220" s="433"/>
      <c r="F220" s="304">
        <v>0</v>
      </c>
      <c r="G220" s="306">
        <v>12</v>
      </c>
      <c r="H220" s="530"/>
      <c r="J220" s="128">
        <f t="shared" si="4"/>
        <v>12</v>
      </c>
    </row>
    <row r="221" spans="1:10" ht="16.5" customHeight="1" x14ac:dyDescent="0.25">
      <c r="A221" s="302">
        <v>2302700</v>
      </c>
      <c r="B221" s="260" t="s">
        <v>1041</v>
      </c>
      <c r="C221" s="260" t="s">
        <v>1429</v>
      </c>
      <c r="D221" s="433" t="s">
        <v>913</v>
      </c>
      <c r="E221" s="433"/>
      <c r="F221" s="304">
        <v>1</v>
      </c>
      <c r="G221" s="306"/>
      <c r="H221" s="530"/>
      <c r="J221" s="128">
        <f t="shared" si="4"/>
        <v>0</v>
      </c>
    </row>
    <row r="222" spans="1:10" ht="16.5" customHeight="1" x14ac:dyDescent="0.25">
      <c r="A222" s="302">
        <v>1202701</v>
      </c>
      <c r="B222" s="260" t="s">
        <v>746</v>
      </c>
      <c r="C222" s="260" t="s">
        <v>1608</v>
      </c>
      <c r="D222" s="433" t="s">
        <v>1609</v>
      </c>
      <c r="E222" s="433"/>
      <c r="F222" s="304">
        <v>0</v>
      </c>
      <c r="G222" s="306">
        <v>10</v>
      </c>
      <c r="H222" s="530"/>
      <c r="J222" s="128">
        <f t="shared" si="4"/>
        <v>10</v>
      </c>
    </row>
    <row r="223" spans="1:10" ht="16.5" customHeight="1" x14ac:dyDescent="0.25">
      <c r="A223" s="414">
        <v>1255700</v>
      </c>
      <c r="B223" s="433"/>
      <c r="C223" s="260" t="s">
        <v>1306</v>
      </c>
      <c r="D223" s="433" t="s">
        <v>1769</v>
      </c>
      <c r="E223" s="433"/>
      <c r="F223" s="304">
        <v>8</v>
      </c>
      <c r="G223" s="306"/>
      <c r="H223" s="530"/>
      <c r="J223" s="128">
        <f t="shared" si="4"/>
        <v>0</v>
      </c>
    </row>
    <row r="224" spans="1:10" ht="16.5" customHeight="1" x14ac:dyDescent="0.25">
      <c r="A224" s="414">
        <v>1254700</v>
      </c>
      <c r="B224" s="433"/>
      <c r="C224" s="260" t="s">
        <v>1315</v>
      </c>
      <c r="D224" s="433" t="s">
        <v>1473</v>
      </c>
      <c r="E224" s="433"/>
      <c r="F224" s="304">
        <v>0</v>
      </c>
      <c r="G224" s="306">
        <v>18</v>
      </c>
      <c r="H224" s="530"/>
      <c r="J224" s="128">
        <f t="shared" si="4"/>
        <v>18</v>
      </c>
    </row>
    <row r="225" spans="1:11" s="208" customFormat="1" ht="16.5" customHeight="1" x14ac:dyDescent="0.25">
      <c r="A225" s="414">
        <v>1256700</v>
      </c>
      <c r="B225" s="433"/>
      <c r="C225" s="260" t="s">
        <v>1305</v>
      </c>
      <c r="D225" s="433" t="s">
        <v>1304</v>
      </c>
      <c r="E225" s="433"/>
      <c r="F225" s="304">
        <v>1</v>
      </c>
      <c r="G225" s="306"/>
      <c r="H225" s="530"/>
      <c r="I225" s="1"/>
      <c r="J225" s="128">
        <f t="shared" si="4"/>
        <v>0</v>
      </c>
      <c r="K225" s="1"/>
    </row>
    <row r="226" spans="1:11" ht="18.75" x14ac:dyDescent="0.25">
      <c r="A226" s="302">
        <v>5154600</v>
      </c>
      <c r="B226" s="260" t="s">
        <v>1041</v>
      </c>
      <c r="C226" s="260" t="s">
        <v>1453</v>
      </c>
      <c r="D226" s="433" t="s">
        <v>1625</v>
      </c>
      <c r="E226" s="433"/>
      <c r="F226" s="304">
        <v>0</v>
      </c>
      <c r="G226" s="306"/>
      <c r="H226" s="530"/>
      <c r="J226" s="128">
        <f t="shared" si="4"/>
        <v>0</v>
      </c>
    </row>
    <row r="227" spans="1:11" ht="18.75" x14ac:dyDescent="0.25">
      <c r="A227" s="414">
        <v>6010600</v>
      </c>
      <c r="B227" s="260" t="s">
        <v>746</v>
      </c>
      <c r="C227" s="260" t="s">
        <v>1452</v>
      </c>
      <c r="D227" s="433" t="s">
        <v>1626</v>
      </c>
      <c r="E227" s="433"/>
      <c r="F227" s="304">
        <v>6</v>
      </c>
      <c r="G227" s="306"/>
      <c r="H227" s="530"/>
      <c r="J227" s="128">
        <f t="shared" si="4"/>
        <v>0</v>
      </c>
    </row>
    <row r="228" spans="1:11" ht="18.75" x14ac:dyDescent="0.25">
      <c r="A228" s="302">
        <v>5157600</v>
      </c>
      <c r="B228" s="260" t="s">
        <v>1041</v>
      </c>
      <c r="C228" s="260" t="s">
        <v>1484</v>
      </c>
      <c r="D228" s="433" t="s">
        <v>1628</v>
      </c>
      <c r="E228" s="433"/>
      <c r="F228" s="304">
        <v>0</v>
      </c>
      <c r="G228" s="306"/>
      <c r="H228" s="530"/>
      <c r="J228" s="128">
        <f t="shared" si="4"/>
        <v>0</v>
      </c>
    </row>
    <row r="229" spans="1:11" ht="20.25" customHeight="1" x14ac:dyDescent="0.25">
      <c r="A229" s="302">
        <v>6015600</v>
      </c>
      <c r="B229" s="260" t="s">
        <v>746</v>
      </c>
      <c r="C229" s="260" t="s">
        <v>1483</v>
      </c>
      <c r="D229" s="433" t="s">
        <v>1627</v>
      </c>
      <c r="E229" s="433"/>
      <c r="F229" s="304">
        <v>4</v>
      </c>
      <c r="G229" s="306"/>
      <c r="H229" s="530"/>
      <c r="J229" s="128">
        <f t="shared" si="4"/>
        <v>0</v>
      </c>
    </row>
    <row r="230" spans="1:11" ht="56.25" x14ac:dyDescent="0.25">
      <c r="A230" s="302">
        <v>5150600</v>
      </c>
      <c r="B230" s="260" t="s">
        <v>1041</v>
      </c>
      <c r="C230" s="260" t="s">
        <v>1455</v>
      </c>
      <c r="D230" s="528" t="s">
        <v>1629</v>
      </c>
      <c r="E230" s="528"/>
      <c r="F230" s="304">
        <v>0</v>
      </c>
      <c r="G230" s="306"/>
      <c r="H230" s="530"/>
      <c r="J230" s="128">
        <f t="shared" si="4"/>
        <v>0</v>
      </c>
    </row>
    <row r="231" spans="1:11" ht="37.5" x14ac:dyDescent="0.25">
      <c r="A231" s="302">
        <v>6005600</v>
      </c>
      <c r="B231" s="260" t="s">
        <v>746</v>
      </c>
      <c r="C231" s="260" t="s">
        <v>1454</v>
      </c>
      <c r="D231" s="528" t="s">
        <v>1630</v>
      </c>
      <c r="E231" s="528"/>
      <c r="F231" s="304">
        <v>0</v>
      </c>
      <c r="G231" s="306"/>
      <c r="H231" s="530"/>
      <c r="J231" s="128">
        <f t="shared" si="4"/>
        <v>0</v>
      </c>
    </row>
    <row r="232" spans="1:11" ht="18.75" x14ac:dyDescent="0.25">
      <c r="A232" s="414">
        <v>1249700</v>
      </c>
      <c r="B232" s="433"/>
      <c r="C232" s="260" t="s">
        <v>1294</v>
      </c>
      <c r="D232" s="433" t="s">
        <v>1288</v>
      </c>
      <c r="E232" s="433"/>
      <c r="F232" s="304">
        <v>1</v>
      </c>
      <c r="G232" s="304"/>
      <c r="H232" s="530"/>
      <c r="I232" s="208"/>
      <c r="J232" s="128">
        <f>+(F232*H232)+G232</f>
        <v>0</v>
      </c>
    </row>
    <row r="233" spans="1:11" ht="18.75" x14ac:dyDescent="0.25">
      <c r="A233" s="414">
        <v>1248700</v>
      </c>
      <c r="B233" s="433"/>
      <c r="C233" s="260" t="s">
        <v>1295</v>
      </c>
      <c r="D233" s="433" t="s">
        <v>1289</v>
      </c>
      <c r="E233" s="433"/>
      <c r="F233" s="528">
        <v>1</v>
      </c>
      <c r="G233" s="528"/>
      <c r="H233" s="530"/>
      <c r="J233" s="128">
        <f t="shared" si="4"/>
        <v>0</v>
      </c>
    </row>
    <row r="234" spans="1:11" ht="18" customHeight="1" x14ac:dyDescent="0.25">
      <c r="A234" s="414">
        <v>1284700</v>
      </c>
      <c r="B234" s="433"/>
      <c r="C234" s="260" t="s">
        <v>1298</v>
      </c>
      <c r="D234" s="527" t="s">
        <v>1292</v>
      </c>
      <c r="E234" s="527"/>
      <c r="F234" s="304">
        <v>3</v>
      </c>
      <c r="G234" s="306"/>
      <c r="H234" s="530"/>
      <c r="J234" s="128">
        <f t="shared" si="4"/>
        <v>0</v>
      </c>
    </row>
    <row r="235" spans="1:11" ht="18.75" x14ac:dyDescent="0.25">
      <c r="A235" s="414">
        <v>1247700</v>
      </c>
      <c r="B235" s="433"/>
      <c r="C235" s="260" t="s">
        <v>1296</v>
      </c>
      <c r="D235" s="433" t="s">
        <v>1290</v>
      </c>
      <c r="E235" s="433"/>
      <c r="F235" s="304">
        <v>1</v>
      </c>
      <c r="G235" s="306"/>
      <c r="H235" s="530"/>
      <c r="J235" s="128">
        <f t="shared" si="4"/>
        <v>0</v>
      </c>
    </row>
    <row r="236" spans="1:11" ht="18.75" x14ac:dyDescent="0.25">
      <c r="A236" s="414">
        <v>1246700</v>
      </c>
      <c r="B236" s="433"/>
      <c r="C236" s="260" t="s">
        <v>1297</v>
      </c>
      <c r="D236" s="433" t="s">
        <v>1291</v>
      </c>
      <c r="E236" s="433"/>
      <c r="F236" s="304">
        <v>0</v>
      </c>
      <c r="G236" s="306"/>
      <c r="H236" s="530"/>
      <c r="J236" s="128">
        <f t="shared" si="4"/>
        <v>0</v>
      </c>
    </row>
    <row r="237" spans="1:11" ht="18.75" x14ac:dyDescent="0.25">
      <c r="A237" s="302">
        <v>557</v>
      </c>
      <c r="B237" s="260" t="s">
        <v>746</v>
      </c>
      <c r="C237" s="260" t="s">
        <v>1404</v>
      </c>
      <c r="D237" s="433" t="s">
        <v>1246</v>
      </c>
      <c r="E237" s="538" t="e">
        <f>+VLOOKUP(A237,#REF!,10,0)</f>
        <v>#REF!</v>
      </c>
      <c r="F237" s="304">
        <v>0</v>
      </c>
      <c r="G237" s="528"/>
      <c r="H237" s="530"/>
      <c r="J237" s="128">
        <f t="shared" si="4"/>
        <v>0</v>
      </c>
    </row>
    <row r="238" spans="1:11" ht="18.75" x14ac:dyDescent="0.25">
      <c r="A238" s="302">
        <v>654</v>
      </c>
      <c r="B238" s="260" t="s">
        <v>746</v>
      </c>
      <c r="C238" s="260" t="s">
        <v>1406</v>
      </c>
      <c r="D238" s="433" t="s">
        <v>1247</v>
      </c>
      <c r="E238" s="538" t="e">
        <f>+VLOOKUP(A238,#REF!,10,0)</f>
        <v>#REF!</v>
      </c>
      <c r="F238" s="304">
        <v>0</v>
      </c>
      <c r="G238" s="304"/>
      <c r="H238" s="530"/>
      <c r="J238" s="128">
        <f t="shared" si="4"/>
        <v>0</v>
      </c>
    </row>
    <row r="239" spans="1:11" ht="18.75" x14ac:dyDescent="0.25">
      <c r="A239" s="302">
        <v>510</v>
      </c>
      <c r="B239" s="260" t="s">
        <v>746</v>
      </c>
      <c r="C239" s="260" t="s">
        <v>1410</v>
      </c>
      <c r="D239" s="433" t="s">
        <v>1205</v>
      </c>
      <c r="E239" s="538" t="e">
        <f>+VLOOKUP(A239,#REF!,10,0)</f>
        <v>#REF!</v>
      </c>
      <c r="F239" s="304">
        <v>8</v>
      </c>
      <c r="G239" s="304"/>
      <c r="H239" s="530"/>
      <c r="J239" s="128">
        <f t="shared" si="4"/>
        <v>0</v>
      </c>
    </row>
    <row r="240" spans="1:11" ht="18.600000000000001" customHeight="1" x14ac:dyDescent="0.25">
      <c r="A240" s="302">
        <v>558</v>
      </c>
      <c r="B240" s="260" t="s">
        <v>746</v>
      </c>
      <c r="C240" s="260" t="s">
        <v>1405</v>
      </c>
      <c r="D240" s="433" t="s">
        <v>1205</v>
      </c>
      <c r="E240" s="538" t="e">
        <f>+VLOOKUP(A240,#REF!,10,0)</f>
        <v>#REF!</v>
      </c>
      <c r="F240" s="304">
        <v>0</v>
      </c>
      <c r="G240" s="304">
        <v>50</v>
      </c>
      <c r="H240" s="530"/>
      <c r="J240" s="128">
        <f t="shared" si="4"/>
        <v>50</v>
      </c>
    </row>
    <row r="241" spans="1:11" ht="18.600000000000001" customHeight="1" x14ac:dyDescent="0.25">
      <c r="A241" s="302">
        <v>706</v>
      </c>
      <c r="B241" s="260" t="s">
        <v>1041</v>
      </c>
      <c r="C241" s="260" t="s">
        <v>1402</v>
      </c>
      <c r="D241" s="433" t="s">
        <v>1204</v>
      </c>
      <c r="E241" s="538" t="e">
        <f>+VLOOKUP(A241,#REF!,10,0)</f>
        <v>#REF!</v>
      </c>
      <c r="F241" s="304"/>
      <c r="G241" s="304"/>
      <c r="H241" s="530"/>
      <c r="J241" s="128">
        <f t="shared" si="4"/>
        <v>0</v>
      </c>
    </row>
    <row r="242" spans="1:11" ht="18.600000000000001" customHeight="1" x14ac:dyDescent="0.25">
      <c r="A242" s="302">
        <v>500</v>
      </c>
      <c r="B242" s="260" t="s">
        <v>746</v>
      </c>
      <c r="C242" s="260" t="s">
        <v>1779</v>
      </c>
      <c r="D242" s="433" t="s">
        <v>1204</v>
      </c>
      <c r="E242" s="538"/>
      <c r="F242" s="304">
        <v>10</v>
      </c>
      <c r="G242" s="304"/>
      <c r="H242" s="530"/>
      <c r="J242" s="128">
        <f t="shared" si="4"/>
        <v>0</v>
      </c>
    </row>
    <row r="243" spans="1:11" ht="18.600000000000001" customHeight="1" x14ac:dyDescent="0.25">
      <c r="A243" s="302">
        <v>555</v>
      </c>
      <c r="B243" s="260" t="s">
        <v>746</v>
      </c>
      <c r="C243" s="260" t="s">
        <v>1403</v>
      </c>
      <c r="D243" s="433" t="s">
        <v>1248</v>
      </c>
      <c r="E243" s="538" t="e">
        <f>+VLOOKUP(A243,#REF!,10,0)</f>
        <v>#REF!</v>
      </c>
      <c r="F243" s="304">
        <v>0</v>
      </c>
      <c r="G243" s="304"/>
      <c r="H243" s="530"/>
      <c r="J243" s="128">
        <f t="shared" si="4"/>
        <v>0</v>
      </c>
    </row>
    <row r="244" spans="1:11" ht="18.600000000000001" customHeight="1" x14ac:dyDescent="0.25">
      <c r="A244" s="302">
        <v>506</v>
      </c>
      <c r="B244" s="260" t="s">
        <v>746</v>
      </c>
      <c r="C244" s="260" t="s">
        <v>1409</v>
      </c>
      <c r="D244" s="433" t="s">
        <v>1206</v>
      </c>
      <c r="E244" s="538" t="e">
        <f>+VLOOKUP(A244,#REF!,10,0)</f>
        <v>#REF!</v>
      </c>
      <c r="F244" s="304">
        <v>18</v>
      </c>
      <c r="G244" s="304"/>
      <c r="H244" s="530"/>
      <c r="J244" s="128">
        <f t="shared" si="4"/>
        <v>0</v>
      </c>
    </row>
    <row r="245" spans="1:11" ht="38.85" customHeight="1" x14ac:dyDescent="0.25">
      <c r="A245" s="302">
        <v>715</v>
      </c>
      <c r="B245" s="260" t="s">
        <v>1041</v>
      </c>
      <c r="C245" s="260" t="s">
        <v>1491</v>
      </c>
      <c r="D245" s="433"/>
      <c r="E245" s="433"/>
      <c r="F245" s="304">
        <v>0</v>
      </c>
      <c r="G245" s="304"/>
      <c r="H245" s="530"/>
      <c r="J245" s="128">
        <f t="shared" si="4"/>
        <v>0</v>
      </c>
    </row>
    <row r="246" spans="1:11" ht="39.950000000000003" customHeight="1" thickBot="1" x14ac:dyDescent="0.3">
      <c r="A246" s="493">
        <v>1251700</v>
      </c>
      <c r="B246" s="443"/>
      <c r="C246" s="262" t="s">
        <v>1472</v>
      </c>
      <c r="D246" s="443"/>
      <c r="E246" s="443"/>
      <c r="F246" s="304">
        <v>2</v>
      </c>
      <c r="G246" s="306"/>
      <c r="H246" s="762"/>
      <c r="J246" s="130">
        <f t="shared" si="4"/>
        <v>0</v>
      </c>
    </row>
    <row r="247" spans="1:11" ht="18.75" x14ac:dyDescent="0.25">
      <c r="D247" s="1"/>
      <c r="E247" s="1"/>
      <c r="F247" s="304"/>
      <c r="G247" s="306"/>
      <c r="H247" s="1"/>
    </row>
    <row r="248" spans="1:11" ht="18" customHeight="1" x14ac:dyDescent="0.25">
      <c r="A248" s="603">
        <v>25</v>
      </c>
      <c r="B248" s="619" t="s">
        <v>746</v>
      </c>
      <c r="C248" s="619" t="s">
        <v>1632</v>
      </c>
      <c r="D248" s="619" t="s">
        <v>1566</v>
      </c>
      <c r="E248" s="620" t="e">
        <f>+VLOOKUP(A248,#REF!,10,0)/H248</f>
        <v>#REF!</v>
      </c>
      <c r="F248" s="304"/>
      <c r="G248" s="306"/>
      <c r="H248" s="621"/>
      <c r="I248" s="622"/>
      <c r="J248" s="623" t="e">
        <f>+(#REF!*H248)+#REF!</f>
        <v>#REF!</v>
      </c>
    </row>
    <row r="249" spans="1:11" ht="18" customHeight="1" x14ac:dyDescent="0.25">
      <c r="A249" s="603" t="s">
        <v>1647</v>
      </c>
      <c r="B249" s="619" t="s">
        <v>746</v>
      </c>
      <c r="C249" s="619" t="s">
        <v>1498</v>
      </c>
      <c r="D249" s="619" t="s">
        <v>474</v>
      </c>
      <c r="E249" s="620" t="e">
        <f>+VLOOKUP(A249,#REF!,10,0)/H249</f>
        <v>#REF!</v>
      </c>
      <c r="F249" s="304"/>
      <c r="G249" s="306"/>
      <c r="H249" s="621"/>
      <c r="I249" s="622"/>
      <c r="J249" s="623" t="e">
        <f>+(#REF!*H249)+#REF!</f>
        <v>#REF!</v>
      </c>
    </row>
    <row r="250" spans="1:11" s="208" customFormat="1" ht="16.149999999999999" customHeight="1" x14ac:dyDescent="0.25">
      <c r="A250" s="302" t="s">
        <v>869</v>
      </c>
      <c r="B250" s="260" t="s">
        <v>746</v>
      </c>
      <c r="C250" s="260" t="s">
        <v>1450</v>
      </c>
      <c r="D250" s="433" t="s">
        <v>848</v>
      </c>
      <c r="E250" s="538" t="e">
        <f>+VLOOKUP(A250,#REF!,10,0)/H250</f>
        <v>#REF!</v>
      </c>
      <c r="F250" s="304"/>
      <c r="G250" s="306"/>
      <c r="H250" s="530"/>
      <c r="J250" s="128" t="e">
        <f>+(#REF!*H250)+#REF!</f>
        <v>#REF!</v>
      </c>
      <c r="K250" s="1"/>
    </row>
    <row r="251" spans="1:11" ht="18" customHeight="1" x14ac:dyDescent="0.25">
      <c r="A251" s="302" t="s">
        <v>869</v>
      </c>
      <c r="B251" s="260" t="s">
        <v>1041</v>
      </c>
      <c r="C251" s="260" t="s">
        <v>1451</v>
      </c>
      <c r="D251" s="433" t="s">
        <v>909</v>
      </c>
      <c r="E251" s="538" t="e">
        <f>+VLOOKUP(A251,#REF!,10,0)/H251</f>
        <v>#REF!</v>
      </c>
      <c r="F251" s="304"/>
      <c r="G251" s="306"/>
      <c r="H251" s="530"/>
      <c r="J251" s="128" t="e">
        <f>+(#REF!*H251)+#REF!</f>
        <v>#REF!</v>
      </c>
    </row>
    <row r="252" spans="1:11" ht="18" customHeight="1" x14ac:dyDescent="0.25">
      <c r="A252" s="302" t="s">
        <v>1646</v>
      </c>
      <c r="B252" s="260" t="s">
        <v>1041</v>
      </c>
      <c r="C252" s="260" t="s">
        <v>1497</v>
      </c>
      <c r="D252" s="433" t="s">
        <v>1029</v>
      </c>
      <c r="E252" s="538" t="e">
        <f>+VLOOKUP(A252,#REF!,10,0)/H252</f>
        <v>#REF!</v>
      </c>
      <c r="F252" s="304"/>
      <c r="G252" s="306"/>
      <c r="H252" s="530"/>
      <c r="J252" s="128" t="e">
        <f>+(#REF!*H252)+#REF!</f>
        <v>#REF!</v>
      </c>
    </row>
    <row r="253" spans="1:11" ht="15" x14ac:dyDescent="0.25">
      <c r="D253" s="1"/>
      <c r="E253" s="1"/>
      <c r="H253" s="1"/>
    </row>
    <row r="254" spans="1:11" ht="15" x14ac:dyDescent="0.25">
      <c r="D254" s="1"/>
      <c r="E254" s="1"/>
      <c r="H254" s="1"/>
    </row>
    <row r="255" spans="1:11" ht="15" x14ac:dyDescent="0.25">
      <c r="D255" s="1"/>
      <c r="E255" s="1"/>
      <c r="H255" s="1"/>
    </row>
    <row r="256" spans="1:11" ht="15" x14ac:dyDescent="0.25">
      <c r="D256" s="1"/>
      <c r="E256" s="1"/>
      <c r="H256" s="1"/>
    </row>
    <row r="257" spans="4:8" ht="15" x14ac:dyDescent="0.25">
      <c r="D257" s="1"/>
      <c r="E257" s="1"/>
      <c r="H257" s="1"/>
    </row>
    <row r="258" spans="4:8" ht="15" x14ac:dyDescent="0.25">
      <c r="D258" s="1"/>
      <c r="E258" s="1"/>
      <c r="H258" s="1"/>
    </row>
    <row r="259" spans="4:8" ht="15" x14ac:dyDescent="0.25">
      <c r="D259" s="1"/>
      <c r="E259" s="1"/>
      <c r="H259" s="1"/>
    </row>
    <row r="260" spans="4:8" ht="15" x14ac:dyDescent="0.25">
      <c r="D260" s="1"/>
      <c r="E260" s="1"/>
      <c r="H260" s="1"/>
    </row>
    <row r="261" spans="4:8" ht="15" x14ac:dyDescent="0.25">
      <c r="D261" s="1"/>
      <c r="E261" s="1"/>
      <c r="H261" s="1"/>
    </row>
    <row r="262" spans="4:8" ht="15" x14ac:dyDescent="0.25">
      <c r="D262" s="1"/>
      <c r="E262" s="1"/>
      <c r="H262" s="1"/>
    </row>
    <row r="263" spans="4:8" ht="15" x14ac:dyDescent="0.25">
      <c r="D263" s="1"/>
      <c r="E263" s="1"/>
      <c r="H263" s="1"/>
    </row>
    <row r="264" spans="4:8" ht="15" x14ac:dyDescent="0.25">
      <c r="D264" s="1"/>
      <c r="E264" s="1"/>
      <c r="H264" s="1"/>
    </row>
    <row r="265" spans="4:8" ht="15" x14ac:dyDescent="0.25">
      <c r="D265" s="1"/>
      <c r="E265" s="1"/>
      <c r="H265" s="1"/>
    </row>
    <row r="266" spans="4:8" ht="15" x14ac:dyDescent="0.25">
      <c r="D266" s="1"/>
      <c r="E266" s="1"/>
      <c r="H266" s="1"/>
    </row>
  </sheetData>
  <autoFilter ref="A7:K246"/>
  <sortState ref="A211:J246">
    <sortCondition ref="D211:D246"/>
  </sortState>
  <mergeCells count="3">
    <mergeCell ref="A1:F1"/>
    <mergeCell ref="D3:F3"/>
    <mergeCell ref="D5:F5"/>
  </mergeCells>
  <phoneticPr fontId="48" type="noConversion"/>
  <printOptions horizontalCentered="1" verticalCentered="1"/>
  <pageMargins left="7.874015748031496E-2" right="7.874015748031496E-2" top="0.23622047244094491" bottom="0.15748031496062992" header="0" footer="0"/>
  <pageSetup scale="89" fitToHeight="0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65"/>
  <sheetViews>
    <sheetView workbookViewId="0">
      <selection activeCell="G12" sqref="G12"/>
    </sheetView>
  </sheetViews>
  <sheetFormatPr baseColWidth="10" defaultRowHeight="15" x14ac:dyDescent="0.25"/>
  <cols>
    <col min="3" max="3" width="14.28515625" customWidth="1"/>
  </cols>
  <sheetData>
    <row r="1" spans="1:5" ht="15.75" thickBot="1" x14ac:dyDescent="0.3"/>
    <row r="2" spans="1:5" ht="57" thickBot="1" x14ac:dyDescent="0.3">
      <c r="A2" s="310" t="s">
        <v>748</v>
      </c>
      <c r="B2" s="310" t="s">
        <v>1018</v>
      </c>
      <c r="C2" s="310" t="s">
        <v>749</v>
      </c>
      <c r="D2" s="312" t="s">
        <v>1398</v>
      </c>
      <c r="E2" s="319" t="s">
        <v>1412</v>
      </c>
    </row>
    <row r="3" spans="1:5" ht="18.75" x14ac:dyDescent="0.3">
      <c r="A3" s="432">
        <v>862</v>
      </c>
      <c r="B3" s="321" t="s">
        <v>1041</v>
      </c>
      <c r="C3" s="354" t="s">
        <v>1276</v>
      </c>
      <c r="D3" s="376">
        <v>540</v>
      </c>
      <c r="E3" s="351" t="s">
        <v>1220</v>
      </c>
    </row>
    <row r="4" spans="1:5" ht="18.75" x14ac:dyDescent="0.3">
      <c r="A4" s="433">
        <v>859</v>
      </c>
      <c r="B4" s="320" t="s">
        <v>1041</v>
      </c>
      <c r="C4" s="327" t="s">
        <v>1365</v>
      </c>
      <c r="D4" s="377">
        <v>720</v>
      </c>
      <c r="E4" s="352" t="s">
        <v>1220</v>
      </c>
    </row>
    <row r="5" spans="1:5" ht="18.75" x14ac:dyDescent="0.3">
      <c r="A5" s="433">
        <v>720</v>
      </c>
      <c r="B5" s="320" t="s">
        <v>1041</v>
      </c>
      <c r="C5" s="327" t="s">
        <v>1179</v>
      </c>
      <c r="D5" s="377">
        <v>300</v>
      </c>
      <c r="E5" s="352" t="s">
        <v>1220</v>
      </c>
    </row>
    <row r="6" spans="1:5" ht="18.75" x14ac:dyDescent="0.3">
      <c r="A6" s="433">
        <v>722</v>
      </c>
      <c r="B6" s="320" t="s">
        <v>1041</v>
      </c>
      <c r="C6" s="327" t="s">
        <v>1180</v>
      </c>
      <c r="D6" s="377">
        <v>180</v>
      </c>
      <c r="E6" s="352" t="s">
        <v>1220</v>
      </c>
    </row>
    <row r="7" spans="1:5" ht="18.75" x14ac:dyDescent="0.3">
      <c r="A7" s="433">
        <v>710</v>
      </c>
      <c r="B7" s="320" t="s">
        <v>1041</v>
      </c>
      <c r="C7" s="327" t="s">
        <v>1192</v>
      </c>
      <c r="D7" s="377">
        <v>0</v>
      </c>
      <c r="E7" s="352" t="s">
        <v>1220</v>
      </c>
    </row>
    <row r="8" spans="1:5" ht="18.75" x14ac:dyDescent="0.3">
      <c r="A8" s="433">
        <v>864</v>
      </c>
      <c r="B8" s="320" t="s">
        <v>1041</v>
      </c>
      <c r="C8" s="327" t="s">
        <v>1187</v>
      </c>
      <c r="D8" s="377">
        <v>360</v>
      </c>
      <c r="E8" s="352" t="s">
        <v>1220</v>
      </c>
    </row>
    <row r="9" spans="1:5" ht="18.75" x14ac:dyDescent="0.3">
      <c r="A9" s="433">
        <v>802</v>
      </c>
      <c r="B9" s="320" t="s">
        <v>1041</v>
      </c>
      <c r="C9" s="327" t="s">
        <v>1193</v>
      </c>
      <c r="D9" s="377">
        <v>5400</v>
      </c>
      <c r="E9" s="352" t="s">
        <v>1220</v>
      </c>
    </row>
    <row r="10" spans="1:5" ht="18.75" x14ac:dyDescent="0.3">
      <c r="A10" s="433">
        <v>615</v>
      </c>
      <c r="B10" s="320" t="s">
        <v>1041</v>
      </c>
      <c r="C10" s="327" t="s">
        <v>1195</v>
      </c>
      <c r="D10" s="377">
        <v>450</v>
      </c>
      <c r="E10" s="353" t="s">
        <v>1220</v>
      </c>
    </row>
    <row r="11" spans="1:5" ht="18.75" x14ac:dyDescent="0.3">
      <c r="A11" s="433">
        <v>857</v>
      </c>
      <c r="B11" s="320" t="s">
        <v>1041</v>
      </c>
      <c r="C11" s="327" t="s">
        <v>1370</v>
      </c>
      <c r="D11" s="377">
        <v>144</v>
      </c>
      <c r="E11" s="352" t="s">
        <v>1220</v>
      </c>
    </row>
    <row r="12" spans="1:5" ht="18.75" x14ac:dyDescent="0.3">
      <c r="A12" s="433">
        <v>856</v>
      </c>
      <c r="B12" s="320" t="s">
        <v>1041</v>
      </c>
      <c r="C12" s="327" t="s">
        <v>1340</v>
      </c>
      <c r="D12" s="377">
        <v>288</v>
      </c>
      <c r="E12" s="352" t="s">
        <v>1220</v>
      </c>
    </row>
    <row r="13" spans="1:5" ht="18.75" x14ac:dyDescent="0.3">
      <c r="A13" s="433">
        <v>709</v>
      </c>
      <c r="B13" s="320" t="s">
        <v>1041</v>
      </c>
      <c r="C13" s="327" t="s">
        <v>786</v>
      </c>
      <c r="D13" s="377">
        <v>180</v>
      </c>
      <c r="E13" s="352" t="s">
        <v>1220</v>
      </c>
    </row>
    <row r="14" spans="1:5" ht="18.75" x14ac:dyDescent="0.3">
      <c r="A14" s="433">
        <v>858</v>
      </c>
      <c r="B14" s="320" t="s">
        <v>1041</v>
      </c>
      <c r="C14" s="327" t="s">
        <v>1373</v>
      </c>
      <c r="D14" s="377">
        <v>360</v>
      </c>
      <c r="E14" s="352" t="s">
        <v>1220</v>
      </c>
    </row>
    <row r="15" spans="1:5" ht="18.75" x14ac:dyDescent="0.3">
      <c r="A15" s="433">
        <v>863</v>
      </c>
      <c r="B15" s="320" t="s">
        <v>1041</v>
      </c>
      <c r="C15" s="327" t="s">
        <v>1374</v>
      </c>
      <c r="D15" s="377">
        <v>288</v>
      </c>
      <c r="E15" s="352" t="s">
        <v>1220</v>
      </c>
    </row>
    <row r="16" spans="1:5" ht="15.75" thickBot="1" x14ac:dyDescent="0.3"/>
    <row r="17" spans="1:5" ht="56.25" x14ac:dyDescent="0.25">
      <c r="A17" s="310" t="s">
        <v>748</v>
      </c>
      <c r="B17" s="310" t="s">
        <v>1018</v>
      </c>
      <c r="C17" s="310" t="s">
        <v>749</v>
      </c>
      <c r="D17" s="312" t="s">
        <v>1398</v>
      </c>
      <c r="E17" s="319" t="s">
        <v>1412</v>
      </c>
    </row>
    <row r="18" spans="1:5" ht="18.75" x14ac:dyDescent="0.3">
      <c r="A18" s="433">
        <v>719</v>
      </c>
      <c r="B18" s="320" t="s">
        <v>1041</v>
      </c>
      <c r="C18" s="327" t="s">
        <v>1367</v>
      </c>
      <c r="D18" s="377">
        <v>432</v>
      </c>
      <c r="E18" s="352" t="s">
        <v>1489</v>
      </c>
    </row>
    <row r="19" spans="1:5" ht="18.75" x14ac:dyDescent="0.3">
      <c r="A19" s="433">
        <v>99</v>
      </c>
      <c r="B19" s="320" t="s">
        <v>1041</v>
      </c>
      <c r="C19" s="327" t="s">
        <v>1378</v>
      </c>
      <c r="D19" s="377">
        <v>4428</v>
      </c>
      <c r="E19" s="352" t="s">
        <v>1489</v>
      </c>
    </row>
    <row r="20" spans="1:5" ht="18.75" x14ac:dyDescent="0.3">
      <c r="A20" s="433">
        <v>732</v>
      </c>
      <c r="B20" s="320" t="s">
        <v>1041</v>
      </c>
      <c r="C20" s="327" t="s">
        <v>1368</v>
      </c>
      <c r="D20" s="377">
        <v>432</v>
      </c>
      <c r="E20" s="352" t="s">
        <v>1489</v>
      </c>
    </row>
    <row r="21" spans="1:5" ht="18.75" x14ac:dyDescent="0.3">
      <c r="A21" s="433">
        <v>817</v>
      </c>
      <c r="B21" s="320" t="s">
        <v>1041</v>
      </c>
      <c r="C21" s="327" t="s">
        <v>1326</v>
      </c>
      <c r="D21" s="377">
        <v>264</v>
      </c>
      <c r="E21" s="352" t="s">
        <v>1489</v>
      </c>
    </row>
    <row r="22" spans="1:5" ht="18.75" x14ac:dyDescent="0.3">
      <c r="A22" s="433">
        <v>713</v>
      </c>
      <c r="B22" s="320" t="s">
        <v>1041</v>
      </c>
      <c r="C22" s="327" t="s">
        <v>1183</v>
      </c>
      <c r="D22" s="377">
        <v>6126</v>
      </c>
      <c r="E22" s="352" t="s">
        <v>1489</v>
      </c>
    </row>
    <row r="23" spans="1:5" ht="18.75" x14ac:dyDescent="0.3">
      <c r="A23" s="433">
        <v>43</v>
      </c>
      <c r="B23" s="320" t="s">
        <v>1041</v>
      </c>
      <c r="C23" s="327" t="s">
        <v>1336</v>
      </c>
      <c r="D23" s="377">
        <v>720</v>
      </c>
      <c r="E23" s="352" t="s">
        <v>1489</v>
      </c>
    </row>
    <row r="24" spans="1:5" ht="18.75" x14ac:dyDescent="0.3">
      <c r="A24" s="433">
        <v>816</v>
      </c>
      <c r="B24" s="320" t="s">
        <v>1041</v>
      </c>
      <c r="C24" s="327" t="s">
        <v>1328</v>
      </c>
      <c r="D24" s="377">
        <v>600</v>
      </c>
      <c r="E24" s="352" t="s">
        <v>1489</v>
      </c>
    </row>
    <row r="25" spans="1:5" ht="18.75" x14ac:dyDescent="0.3">
      <c r="A25" s="433">
        <v>878</v>
      </c>
      <c r="B25" s="320" t="s">
        <v>1041</v>
      </c>
      <c r="C25" s="327" t="s">
        <v>1342</v>
      </c>
      <c r="D25" s="377">
        <v>600</v>
      </c>
      <c r="E25" s="352" t="s">
        <v>1489</v>
      </c>
    </row>
    <row r="26" spans="1:5" ht="18.75" x14ac:dyDescent="0.3">
      <c r="A26" s="433">
        <v>735</v>
      </c>
      <c r="B26" s="320" t="s">
        <v>1041</v>
      </c>
      <c r="C26" s="327" t="s">
        <v>1375</v>
      </c>
      <c r="D26" s="377">
        <v>0</v>
      </c>
      <c r="E26" s="352" t="s">
        <v>1489</v>
      </c>
    </row>
    <row r="27" spans="1:5" ht="18.75" x14ac:dyDescent="0.3">
      <c r="A27" s="433">
        <v>97</v>
      </c>
      <c r="B27" s="320" t="s">
        <v>1041</v>
      </c>
      <c r="C27" s="327" t="s">
        <v>1381</v>
      </c>
      <c r="D27" s="377">
        <v>1350</v>
      </c>
      <c r="E27" s="352" t="s">
        <v>1489</v>
      </c>
    </row>
    <row r="28" spans="1:5" ht="18.75" x14ac:dyDescent="0.3">
      <c r="A28" s="433">
        <v>99</v>
      </c>
      <c r="B28" s="320" t="s">
        <v>1041</v>
      </c>
      <c r="C28" s="327" t="s">
        <v>1378</v>
      </c>
      <c r="D28" s="377">
        <v>4428</v>
      </c>
      <c r="E28" s="352" t="s">
        <v>1489</v>
      </c>
    </row>
    <row r="29" spans="1:5" ht="15.75" thickBot="1" x14ac:dyDescent="0.3"/>
    <row r="30" spans="1:5" ht="56.25" x14ac:dyDescent="0.25">
      <c r="A30" s="310" t="s">
        <v>748</v>
      </c>
      <c r="B30" s="310" t="s">
        <v>1018</v>
      </c>
      <c r="C30" s="310" t="s">
        <v>749</v>
      </c>
      <c r="D30" s="312" t="s">
        <v>1398</v>
      </c>
      <c r="E30" s="319" t="s">
        <v>1412</v>
      </c>
    </row>
    <row r="31" spans="1:5" ht="18.75" x14ac:dyDescent="0.3">
      <c r="A31" s="433">
        <v>504</v>
      </c>
      <c r="B31" s="320" t="s">
        <v>746</v>
      </c>
      <c r="C31" s="327" t="s">
        <v>1194</v>
      </c>
      <c r="D31" s="377">
        <v>24000</v>
      </c>
      <c r="E31" s="352" t="s">
        <v>1219</v>
      </c>
    </row>
    <row r="32" spans="1:5" ht="15.75" thickBot="1" x14ac:dyDescent="0.3"/>
    <row r="33" spans="1:5" ht="56.25" x14ac:dyDescent="0.25">
      <c r="A33" s="310" t="s">
        <v>748</v>
      </c>
      <c r="B33" s="310" t="s">
        <v>1018</v>
      </c>
      <c r="C33" s="310" t="s">
        <v>749</v>
      </c>
      <c r="D33" s="312" t="s">
        <v>1398</v>
      </c>
      <c r="E33" s="319" t="s">
        <v>1412</v>
      </c>
    </row>
    <row r="34" spans="1:5" ht="18.75" x14ac:dyDescent="0.3">
      <c r="A34" s="433">
        <v>502</v>
      </c>
      <c r="B34" s="320" t="s">
        <v>746</v>
      </c>
      <c r="C34" s="327" t="s">
        <v>1316</v>
      </c>
      <c r="D34" s="377">
        <v>19260</v>
      </c>
      <c r="E34" s="352" t="s">
        <v>1217</v>
      </c>
    </row>
    <row r="35" spans="1:5" ht="18.75" x14ac:dyDescent="0.3">
      <c r="A35" s="433">
        <v>501</v>
      </c>
      <c r="B35" s="320" t="s">
        <v>746</v>
      </c>
      <c r="C35" s="327" t="s">
        <v>1189</v>
      </c>
      <c r="D35" s="377">
        <v>18000</v>
      </c>
      <c r="E35" s="352" t="s">
        <v>1217</v>
      </c>
    </row>
    <row r="36" spans="1:5" ht="18.75" x14ac:dyDescent="0.3">
      <c r="A36" s="433">
        <v>512</v>
      </c>
      <c r="B36" s="320" t="s">
        <v>746</v>
      </c>
      <c r="C36" s="327" t="s">
        <v>1335</v>
      </c>
      <c r="D36" s="377">
        <v>12264</v>
      </c>
      <c r="E36" s="352" t="s">
        <v>1217</v>
      </c>
    </row>
    <row r="37" spans="1:5" ht="18.75" x14ac:dyDescent="0.3">
      <c r="A37" s="433">
        <v>66</v>
      </c>
      <c r="B37" s="320" t="s">
        <v>746</v>
      </c>
      <c r="C37" s="327" t="s">
        <v>1362</v>
      </c>
      <c r="D37" s="377">
        <v>6600</v>
      </c>
      <c r="E37" s="352" t="s">
        <v>1217</v>
      </c>
    </row>
    <row r="38" spans="1:5" ht="15.75" thickBot="1" x14ac:dyDescent="0.3"/>
    <row r="39" spans="1:5" ht="56.25" x14ac:dyDescent="0.25">
      <c r="A39" s="310" t="s">
        <v>748</v>
      </c>
      <c r="B39" s="310" t="s">
        <v>1018</v>
      </c>
      <c r="C39" s="310" t="s">
        <v>749</v>
      </c>
      <c r="D39" s="312" t="s">
        <v>1398</v>
      </c>
      <c r="E39" s="319" t="s">
        <v>1412</v>
      </c>
    </row>
    <row r="40" spans="1:5" ht="18.75" x14ac:dyDescent="0.3">
      <c r="A40" s="433">
        <v>702</v>
      </c>
      <c r="B40" s="320" t="s">
        <v>1041</v>
      </c>
      <c r="C40" s="327" t="s">
        <v>1366</v>
      </c>
      <c r="D40" s="377">
        <v>3000</v>
      </c>
      <c r="E40" s="352" t="s">
        <v>1222</v>
      </c>
    </row>
    <row r="41" spans="1:5" ht="18.75" x14ac:dyDescent="0.3">
      <c r="A41" s="433">
        <v>701</v>
      </c>
      <c r="B41" s="320" t="s">
        <v>1041</v>
      </c>
      <c r="C41" s="327" t="s">
        <v>1189</v>
      </c>
      <c r="D41" s="377">
        <v>2400</v>
      </c>
      <c r="E41" s="352" t="s">
        <v>1222</v>
      </c>
    </row>
    <row r="42" spans="1:5" ht="18.75" x14ac:dyDescent="0.3">
      <c r="A42" s="433">
        <v>723</v>
      </c>
      <c r="B42" s="320" t="s">
        <v>1041</v>
      </c>
      <c r="C42" s="327" t="s">
        <v>1184</v>
      </c>
      <c r="D42" s="377">
        <v>1080</v>
      </c>
      <c r="E42" s="352" t="s">
        <v>1222</v>
      </c>
    </row>
    <row r="43" spans="1:5" ht="18.75" x14ac:dyDescent="0.3">
      <c r="A43" s="433">
        <v>724</v>
      </c>
      <c r="B43" s="320" t="s">
        <v>1041</v>
      </c>
      <c r="C43" s="327" t="s">
        <v>1382</v>
      </c>
      <c r="D43" s="377">
        <v>0</v>
      </c>
      <c r="E43" s="353" t="s">
        <v>1222</v>
      </c>
    </row>
    <row r="44" spans="1:5" ht="18.75" x14ac:dyDescent="0.3">
      <c r="A44" s="433">
        <v>617</v>
      </c>
      <c r="B44" s="320" t="s">
        <v>1041</v>
      </c>
      <c r="C44" s="327" t="s">
        <v>1096</v>
      </c>
      <c r="D44" s="377">
        <v>0</v>
      </c>
      <c r="E44" s="353" t="s">
        <v>1222</v>
      </c>
    </row>
    <row r="45" spans="1:5" ht="18.75" x14ac:dyDescent="0.3">
      <c r="A45" s="433">
        <v>765</v>
      </c>
      <c r="B45" s="320" t="s">
        <v>1041</v>
      </c>
      <c r="C45" s="327" t="s">
        <v>818</v>
      </c>
      <c r="D45" s="377">
        <v>0</v>
      </c>
      <c r="E45" s="352" t="s">
        <v>1222</v>
      </c>
    </row>
    <row r="46" spans="1:5" ht="18.75" x14ac:dyDescent="0.3">
      <c r="A46" s="433">
        <v>879</v>
      </c>
      <c r="B46" s="320" t="s">
        <v>1041</v>
      </c>
      <c r="C46" s="327" t="s">
        <v>1376</v>
      </c>
      <c r="D46" s="377">
        <v>360</v>
      </c>
      <c r="E46" s="352" t="s">
        <v>1222</v>
      </c>
    </row>
    <row r="47" spans="1:5" ht="18.75" x14ac:dyDescent="0.3">
      <c r="A47" s="433">
        <v>809</v>
      </c>
      <c r="B47" s="320" t="s">
        <v>1041</v>
      </c>
      <c r="C47" s="327" t="s">
        <v>1129</v>
      </c>
      <c r="D47" s="377">
        <v>2400</v>
      </c>
      <c r="E47" s="352" t="s">
        <v>1222</v>
      </c>
    </row>
    <row r="48" spans="1:5" ht="15.75" thickBot="1" x14ac:dyDescent="0.3"/>
    <row r="49" spans="1:5" ht="56.25" x14ac:dyDescent="0.25">
      <c r="A49" s="310" t="s">
        <v>748</v>
      </c>
      <c r="B49" s="310" t="s">
        <v>1018</v>
      </c>
      <c r="C49" s="310" t="s">
        <v>749</v>
      </c>
      <c r="D49" s="312" t="s">
        <v>1398</v>
      </c>
      <c r="E49" s="319" t="s">
        <v>1412</v>
      </c>
    </row>
    <row r="50" spans="1:5" ht="18.75" x14ac:dyDescent="0.3">
      <c r="A50" s="433">
        <v>546</v>
      </c>
      <c r="B50" s="320" t="s">
        <v>746</v>
      </c>
      <c r="C50" s="327" t="s">
        <v>1338</v>
      </c>
      <c r="D50" s="377">
        <v>27000</v>
      </c>
      <c r="E50" s="352" t="s">
        <v>1218</v>
      </c>
    </row>
    <row r="51" spans="1:5" ht="18.75" x14ac:dyDescent="0.3">
      <c r="A51" s="433">
        <v>544</v>
      </c>
      <c r="B51" s="320" t="s">
        <v>746</v>
      </c>
      <c r="C51" s="327" t="s">
        <v>1193</v>
      </c>
      <c r="D51" s="377">
        <v>24000</v>
      </c>
      <c r="E51" s="352" t="s">
        <v>1218</v>
      </c>
    </row>
    <row r="52" spans="1:5" ht="15.75" thickBot="1" x14ac:dyDescent="0.3"/>
    <row r="53" spans="1:5" ht="56.25" x14ac:dyDescent="0.25">
      <c r="A53" s="310" t="s">
        <v>748</v>
      </c>
      <c r="B53" s="310" t="s">
        <v>1018</v>
      </c>
      <c r="C53" s="310" t="s">
        <v>749</v>
      </c>
      <c r="D53" s="312" t="s">
        <v>1398</v>
      </c>
      <c r="E53" s="319" t="s">
        <v>1412</v>
      </c>
    </row>
    <row r="54" spans="1:5" ht="18.75" x14ac:dyDescent="0.3">
      <c r="A54" s="433">
        <v>54</v>
      </c>
      <c r="B54" s="320" t="s">
        <v>1041</v>
      </c>
      <c r="C54" s="327" t="s">
        <v>1377</v>
      </c>
      <c r="D54" s="377">
        <v>180</v>
      </c>
      <c r="E54" s="352" t="s">
        <v>1221</v>
      </c>
    </row>
    <row r="55" spans="1:5" ht="18.75" x14ac:dyDescent="0.3">
      <c r="A55" s="433">
        <v>707</v>
      </c>
      <c r="B55" s="320" t="s">
        <v>1041</v>
      </c>
      <c r="C55" s="327" t="s">
        <v>243</v>
      </c>
      <c r="D55" s="377">
        <v>180</v>
      </c>
      <c r="E55" s="352" t="s">
        <v>1221</v>
      </c>
    </row>
    <row r="56" spans="1:5" ht="18.75" x14ac:dyDescent="0.3">
      <c r="A56" s="433">
        <v>53</v>
      </c>
      <c r="B56" s="320" t="s">
        <v>1041</v>
      </c>
      <c r="C56" s="327" t="s">
        <v>1379</v>
      </c>
      <c r="D56" s="377">
        <v>300</v>
      </c>
      <c r="E56" s="352" t="s">
        <v>1221</v>
      </c>
    </row>
    <row r="57" spans="1:5" ht="18.75" x14ac:dyDescent="0.3">
      <c r="A57" s="433">
        <v>730</v>
      </c>
      <c r="B57" s="320" t="s">
        <v>1041</v>
      </c>
      <c r="C57" s="327" t="s">
        <v>1223</v>
      </c>
      <c r="D57" s="377">
        <v>3240</v>
      </c>
      <c r="E57" s="352" t="s">
        <v>1221</v>
      </c>
    </row>
    <row r="58" spans="1:5" ht="18.75" x14ac:dyDescent="0.3">
      <c r="A58" s="433">
        <v>800</v>
      </c>
      <c r="B58" s="320" t="s">
        <v>1041</v>
      </c>
      <c r="C58" s="327" t="s">
        <v>1371</v>
      </c>
      <c r="D58" s="377">
        <v>330</v>
      </c>
      <c r="E58" s="352" t="s">
        <v>1221</v>
      </c>
    </row>
    <row r="59" spans="1:5" ht="18.75" x14ac:dyDescent="0.3">
      <c r="A59" s="433">
        <v>725</v>
      </c>
      <c r="B59" s="320" t="s">
        <v>1041</v>
      </c>
      <c r="C59" s="327" t="s">
        <v>805</v>
      </c>
      <c r="D59" s="377">
        <v>1500</v>
      </c>
      <c r="E59" s="352" t="s">
        <v>1221</v>
      </c>
    </row>
    <row r="60" spans="1:5" ht="18.75" x14ac:dyDescent="0.3">
      <c r="A60" s="433">
        <v>55</v>
      </c>
      <c r="B60" s="320" t="s">
        <v>1041</v>
      </c>
      <c r="C60" s="327" t="s">
        <v>1380</v>
      </c>
      <c r="D60" s="377">
        <v>432</v>
      </c>
      <c r="E60" s="352" t="s">
        <v>1221</v>
      </c>
    </row>
    <row r="61" spans="1:5" ht="18.75" x14ac:dyDescent="0.3">
      <c r="A61" s="433">
        <v>731</v>
      </c>
      <c r="B61" s="320" t="s">
        <v>1041</v>
      </c>
      <c r="C61" s="327" t="s">
        <v>1199</v>
      </c>
      <c r="D61" s="377">
        <v>1512</v>
      </c>
      <c r="E61" s="352" t="s">
        <v>1221</v>
      </c>
    </row>
    <row r="62" spans="1:5" ht="15.75" thickBot="1" x14ac:dyDescent="0.3"/>
    <row r="63" spans="1:5" ht="56.25" x14ac:dyDescent="0.25">
      <c r="A63" s="310" t="s">
        <v>748</v>
      </c>
      <c r="B63" s="310" t="s">
        <v>1018</v>
      </c>
      <c r="C63" s="310" t="s">
        <v>749</v>
      </c>
      <c r="D63" s="312" t="s">
        <v>1398</v>
      </c>
      <c r="E63" s="319" t="s">
        <v>1412</v>
      </c>
    </row>
    <row r="64" spans="1:5" ht="18.75" x14ac:dyDescent="0.3">
      <c r="A64" s="433" t="s">
        <v>869</v>
      </c>
      <c r="B64" s="320" t="s">
        <v>746</v>
      </c>
      <c r="C64" s="327" t="s">
        <v>502</v>
      </c>
      <c r="D64" s="377">
        <v>130428</v>
      </c>
      <c r="E64" s="352" t="s">
        <v>1215</v>
      </c>
    </row>
    <row r="65" spans="1:5" ht="18.75" x14ac:dyDescent="0.3">
      <c r="A65" s="433" t="s">
        <v>869</v>
      </c>
      <c r="B65" s="320" t="s">
        <v>1041</v>
      </c>
      <c r="C65" s="327" t="s">
        <v>502</v>
      </c>
      <c r="D65" s="377">
        <v>59004</v>
      </c>
      <c r="E65" s="352" t="s">
        <v>1215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307"/>
  <sheetViews>
    <sheetView workbookViewId="0">
      <selection sqref="A1:E2"/>
    </sheetView>
  </sheetViews>
  <sheetFormatPr baseColWidth="10" defaultRowHeight="15" x14ac:dyDescent="0.25"/>
  <cols>
    <col min="1" max="1" width="29.85546875" customWidth="1"/>
    <col min="2" max="2" width="7.85546875" customWidth="1"/>
    <col min="3" max="3" width="7.5703125" customWidth="1"/>
    <col min="4" max="4" width="7.85546875" customWidth="1"/>
    <col min="5" max="5" width="6.85546875" customWidth="1"/>
    <col min="6" max="6" width="3.140625" customWidth="1"/>
    <col min="7" max="7" width="8.85546875" customWidth="1"/>
    <col min="8" max="8" width="7.7109375" customWidth="1"/>
    <col min="9" max="10" width="8.85546875" customWidth="1"/>
  </cols>
  <sheetData>
    <row r="1" spans="1:10" ht="18.75" x14ac:dyDescent="0.3">
      <c r="A1" s="985" t="s">
        <v>1446</v>
      </c>
      <c r="B1" s="986"/>
      <c r="C1" s="986"/>
      <c r="D1" s="986"/>
      <c r="E1" s="987"/>
      <c r="F1" s="385"/>
      <c r="G1" s="991" t="s">
        <v>1430</v>
      </c>
      <c r="H1" s="992"/>
      <c r="I1" s="992"/>
      <c r="J1" s="993"/>
    </row>
    <row r="2" spans="1:10" ht="19.5" thickBot="1" x14ac:dyDescent="0.35">
      <c r="A2" s="988"/>
      <c r="B2" s="989"/>
      <c r="C2" s="989"/>
      <c r="D2" s="989"/>
      <c r="E2" s="990"/>
      <c r="F2" s="385"/>
      <c r="G2" s="994"/>
      <c r="H2" s="995"/>
      <c r="I2" s="995"/>
      <c r="J2" s="996"/>
    </row>
    <row r="3" spans="1:10" ht="55.7" customHeight="1" thickBot="1" x14ac:dyDescent="0.3">
      <c r="A3" s="319" t="s">
        <v>1447</v>
      </c>
      <c r="B3" s="387" t="s">
        <v>1440</v>
      </c>
      <c r="C3" s="319" t="s">
        <v>1441</v>
      </c>
      <c r="D3" s="388" t="s">
        <v>1444</v>
      </c>
      <c r="E3" s="291" t="s">
        <v>1442</v>
      </c>
      <c r="F3" s="389"/>
      <c r="G3" s="386" t="s">
        <v>1445</v>
      </c>
      <c r="H3" s="386" t="s">
        <v>1443</v>
      </c>
      <c r="I3" s="386" t="s">
        <v>1448</v>
      </c>
      <c r="J3" s="386" t="s">
        <v>1449</v>
      </c>
    </row>
    <row r="4" spans="1:10" ht="18.75" x14ac:dyDescent="0.3">
      <c r="A4" s="390">
        <v>248</v>
      </c>
      <c r="B4" s="432">
        <v>248</v>
      </c>
      <c r="C4" s="321">
        <f>+IFERROR(VLOOKUP(B4,'Stock ISIS LK'!A:D,4,0),IFERROR(VLOOKUP(B4,'Stock ISIS CH'!A:D,4,0),0))</f>
        <v>0</v>
      </c>
      <c r="D4" s="261">
        <f>+C4*E4</f>
        <v>0</v>
      </c>
      <c r="E4" s="331">
        <v>1</v>
      </c>
      <c r="G4" s="457">
        <f>+J4/H4</f>
        <v>0</v>
      </c>
      <c r="H4" s="321">
        <v>12</v>
      </c>
      <c r="I4" s="321">
        <f>+G4*H4*E4</f>
        <v>0</v>
      </c>
      <c r="J4" s="331">
        <f>+IFERROR(VLOOKUP(B4,#REF!,3,0),IFERROR(VLOOKUP(B4,#REF!,3,0),0))</f>
        <v>0</v>
      </c>
    </row>
    <row r="5" spans="1:10" ht="18.75" x14ac:dyDescent="0.3">
      <c r="A5" s="391">
        <v>550</v>
      </c>
      <c r="B5" s="433">
        <v>550</v>
      </c>
      <c r="C5" s="320">
        <f>+IFERROR(VLOOKUP(B5,'Stock ISIS LK'!A:D,4,0),IFERROR(VLOOKUP(B5,'Stock ISIS CH'!A:D,4,0),0))</f>
        <v>0</v>
      </c>
      <c r="D5" s="320">
        <f t="shared" ref="D5:D141" si="0">+C5*E5</f>
        <v>0</v>
      </c>
      <c r="E5" s="333">
        <v>1</v>
      </c>
      <c r="G5" s="394">
        <f t="shared" ref="G5:G69" si="1">+J5/H5</f>
        <v>0</v>
      </c>
      <c r="H5" s="320">
        <v>36</v>
      </c>
      <c r="I5" s="320">
        <f t="shared" ref="I5:I69" si="2">+G5*H5*E5</f>
        <v>0</v>
      </c>
      <c r="J5" s="333">
        <f>+IFERROR(VLOOKUP(B5,#REF!,3,0),IFERROR(VLOOKUP(B5,#REF!,3,0),0))</f>
        <v>0</v>
      </c>
    </row>
    <row r="6" spans="1:10" ht="18.75" x14ac:dyDescent="0.3">
      <c r="A6" s="391">
        <v>581</v>
      </c>
      <c r="B6" s="433">
        <v>581</v>
      </c>
      <c r="C6" s="320">
        <f>+IFERROR(VLOOKUP(B6,'Stock ISIS LK'!A:D,4,0),IFERROR(VLOOKUP(B6,'Stock ISIS CH'!A:D,4,0),0))</f>
        <v>0</v>
      </c>
      <c r="D6" s="320">
        <f t="shared" si="0"/>
        <v>0</v>
      </c>
      <c r="E6" s="333">
        <v>1</v>
      </c>
      <c r="G6" s="394">
        <f t="shared" si="1"/>
        <v>0</v>
      </c>
      <c r="H6" s="320">
        <v>12</v>
      </c>
      <c r="I6" s="320">
        <f t="shared" si="2"/>
        <v>0</v>
      </c>
      <c r="J6" s="333">
        <f>+IFERROR(VLOOKUP(B6,#REF!,3,0),IFERROR(VLOOKUP(B6,#REF!,3,0),0))</f>
        <v>0</v>
      </c>
    </row>
    <row r="7" spans="1:10" ht="18.75" x14ac:dyDescent="0.3">
      <c r="A7" s="391">
        <v>587</v>
      </c>
      <c r="B7" s="433">
        <v>587</v>
      </c>
      <c r="C7" s="320">
        <f>+IFERROR(VLOOKUP(B7,'Stock ISIS LK'!A:D,4,0),IFERROR(VLOOKUP(B7,'Stock ISIS CH'!A:D,4,0),0))</f>
        <v>0</v>
      </c>
      <c r="D7" s="320">
        <f t="shared" si="0"/>
        <v>0</v>
      </c>
      <c r="E7" s="333">
        <v>1</v>
      </c>
      <c r="G7" s="394">
        <f t="shared" si="1"/>
        <v>0</v>
      </c>
      <c r="H7" s="320">
        <v>12</v>
      </c>
      <c r="I7" s="320">
        <f t="shared" si="2"/>
        <v>0</v>
      </c>
      <c r="J7" s="333">
        <f>+IFERROR(VLOOKUP(B7,#REF!,3,0),IFERROR(VLOOKUP(B7,#REF!,3,0),0))</f>
        <v>0</v>
      </c>
    </row>
    <row r="8" spans="1:10" ht="18.75" x14ac:dyDescent="0.3">
      <c r="A8" s="391">
        <v>542</v>
      </c>
      <c r="B8" s="433">
        <v>542</v>
      </c>
      <c r="C8" s="320">
        <f>+IFERROR(VLOOKUP(B8,'Stock ISIS LK'!A:D,4,0),IFERROR(VLOOKUP(B8,'Stock ISIS CH'!A:D,4,0),0))</f>
        <v>0</v>
      </c>
      <c r="D8" s="320">
        <f t="shared" si="0"/>
        <v>0</v>
      </c>
      <c r="E8" s="333">
        <v>1</v>
      </c>
      <c r="G8" s="394">
        <f t="shared" si="1"/>
        <v>0</v>
      </c>
      <c r="H8" s="320">
        <v>12</v>
      </c>
      <c r="I8" s="320">
        <f t="shared" si="2"/>
        <v>0</v>
      </c>
      <c r="J8" s="333">
        <f>+IFERROR(VLOOKUP(B8,#REF!,3,0),IFERROR(VLOOKUP(B8,#REF!,3,0),0))</f>
        <v>0</v>
      </c>
    </row>
    <row r="9" spans="1:10" ht="18.75" x14ac:dyDescent="0.3">
      <c r="A9" s="391">
        <v>543</v>
      </c>
      <c r="B9" s="433">
        <v>543</v>
      </c>
      <c r="C9" s="320">
        <f>+IFERROR(VLOOKUP(B9,'Stock ISIS LK'!A:D,4,0),IFERROR(VLOOKUP(B9,'Stock ISIS CH'!A:D,4,0),0))</f>
        <v>0</v>
      </c>
      <c r="D9" s="320">
        <f t="shared" si="0"/>
        <v>0</v>
      </c>
      <c r="E9" s="333">
        <v>1</v>
      </c>
      <c r="G9" s="394">
        <f t="shared" si="1"/>
        <v>0</v>
      </c>
      <c r="H9" s="320">
        <v>12</v>
      </c>
      <c r="I9" s="320">
        <f t="shared" si="2"/>
        <v>0</v>
      </c>
      <c r="J9" s="333">
        <f>+IFERROR(VLOOKUP(B9,#REF!,3,0),IFERROR(VLOOKUP(B9,#REF!,3,0),0))</f>
        <v>0</v>
      </c>
    </row>
    <row r="10" spans="1:10" ht="18.75" x14ac:dyDescent="0.3">
      <c r="A10" s="391">
        <v>29</v>
      </c>
      <c r="B10" s="433">
        <v>29</v>
      </c>
      <c r="C10" s="320">
        <f>+IFERROR(VLOOKUP(B10,'Stock ISIS LK'!A:D,4,0),IFERROR(VLOOKUP(B10,'Stock ISIS CH'!A:D,4,0),0))</f>
        <v>0</v>
      </c>
      <c r="D10" s="320">
        <f t="shared" si="0"/>
        <v>0</v>
      </c>
      <c r="E10" s="333">
        <v>1</v>
      </c>
      <c r="G10" s="394">
        <f t="shared" si="1"/>
        <v>0</v>
      </c>
      <c r="H10" s="320">
        <v>24</v>
      </c>
      <c r="I10" s="320">
        <f t="shared" si="2"/>
        <v>0</v>
      </c>
      <c r="J10" s="333">
        <f>+IFERROR(VLOOKUP(B10,#REF!,3,0),IFERROR(VLOOKUP(B10,#REF!,3,0),0))</f>
        <v>0</v>
      </c>
    </row>
    <row r="11" spans="1:10" ht="18.75" x14ac:dyDescent="0.3">
      <c r="A11" s="391">
        <v>333</v>
      </c>
      <c r="B11" s="433">
        <v>333</v>
      </c>
      <c r="C11" s="320">
        <f>+IFERROR(VLOOKUP(B11,'Stock ISIS LK'!A:D,4,0),IFERROR(VLOOKUP(B11,'Stock ISIS CH'!A:D,4,0),0))</f>
        <v>0</v>
      </c>
      <c r="D11" s="320">
        <f t="shared" si="0"/>
        <v>0</v>
      </c>
      <c r="E11" s="333">
        <v>1</v>
      </c>
      <c r="G11" s="394">
        <f t="shared" si="1"/>
        <v>0</v>
      </c>
      <c r="H11" s="320">
        <v>12</v>
      </c>
      <c r="I11" s="320">
        <f t="shared" si="2"/>
        <v>0</v>
      </c>
      <c r="J11" s="333">
        <f>+IFERROR(VLOOKUP(B11,#REF!,3,0),IFERROR(VLOOKUP(B11,#REF!,3,0),0))</f>
        <v>0</v>
      </c>
    </row>
    <row r="12" spans="1:10" ht="18.75" x14ac:dyDescent="0.3">
      <c r="A12" s="391">
        <v>30</v>
      </c>
      <c r="B12" s="433">
        <v>30</v>
      </c>
      <c r="C12" s="320">
        <f>+IFERROR(VLOOKUP(B12,'Stock ISIS LK'!A:D,4,0),IFERROR(VLOOKUP(B12,'Stock ISIS CH'!A:D,4,0),0))</f>
        <v>0</v>
      </c>
      <c r="D12" s="320">
        <f t="shared" si="0"/>
        <v>0</v>
      </c>
      <c r="E12" s="333">
        <v>1</v>
      </c>
      <c r="G12" s="394">
        <f t="shared" si="1"/>
        <v>0</v>
      </c>
      <c r="H12" s="320">
        <v>24</v>
      </c>
      <c r="I12" s="320">
        <f t="shared" si="2"/>
        <v>0</v>
      </c>
      <c r="J12" s="333">
        <f>+IFERROR(VLOOKUP(B12,#REF!,3,0),IFERROR(VLOOKUP(B12,#REF!,3,0),0))</f>
        <v>0</v>
      </c>
    </row>
    <row r="13" spans="1:10" ht="18.75" x14ac:dyDescent="0.3">
      <c r="A13" s="391">
        <v>26</v>
      </c>
      <c r="B13" s="433">
        <v>26</v>
      </c>
      <c r="C13" s="320">
        <f>+IFERROR(VLOOKUP(B13,'Stock ISIS LK'!A:D,4,0),IFERROR(VLOOKUP(B13,'Stock ISIS CH'!A:D,4,0),0))</f>
        <v>0</v>
      </c>
      <c r="D13" s="320">
        <f t="shared" si="0"/>
        <v>0</v>
      </c>
      <c r="E13" s="333">
        <v>1</v>
      </c>
      <c r="G13" s="394">
        <f t="shared" si="1"/>
        <v>0</v>
      </c>
      <c r="H13" s="320">
        <v>24</v>
      </c>
      <c r="I13" s="320">
        <f t="shared" si="2"/>
        <v>0</v>
      </c>
      <c r="J13" s="333">
        <f>+IFERROR(VLOOKUP(B13,#REF!,3,0),IFERROR(VLOOKUP(B13,#REF!,3,0),0))</f>
        <v>0</v>
      </c>
    </row>
    <row r="14" spans="1:10" ht="18.75" x14ac:dyDescent="0.3">
      <c r="A14" s="302" t="s">
        <v>1450</v>
      </c>
      <c r="B14" s="433">
        <v>246</v>
      </c>
      <c r="C14" s="320">
        <f>+IFERROR(VLOOKUP(B14,'Stock ISIS LK'!A:D,4,0),IFERROR(VLOOKUP(B14,'Stock ISIS CH'!A:D,4,0),0))</f>
        <v>0</v>
      </c>
      <c r="D14" s="320">
        <f t="shared" si="0"/>
        <v>0</v>
      </c>
      <c r="E14" s="333">
        <v>1</v>
      </c>
      <c r="G14" s="394">
        <f t="shared" si="1"/>
        <v>0</v>
      </c>
      <c r="H14" s="320">
        <v>6</v>
      </c>
      <c r="I14" s="320">
        <f t="shared" si="2"/>
        <v>0</v>
      </c>
      <c r="J14" s="333">
        <f>+IFERROR(VLOOKUP(B14,#REF!,3,0),IFERROR(VLOOKUP(B14,#REF!,3,0),0))</f>
        <v>0</v>
      </c>
    </row>
    <row r="15" spans="1:10" ht="18.75" x14ac:dyDescent="0.3">
      <c r="A15" s="302" t="s">
        <v>1450</v>
      </c>
      <c r="B15" s="433" t="s">
        <v>1054</v>
      </c>
      <c r="C15" s="320">
        <f>+IFERROR(VLOOKUP(B15,'Stock ISIS LK'!A:D,4,0),IFERROR(VLOOKUP(B15,'Stock ISIS CH'!A:D,4,0),0))</f>
        <v>0</v>
      </c>
      <c r="D15" s="320">
        <f t="shared" si="0"/>
        <v>0</v>
      </c>
      <c r="E15" s="333">
        <v>1</v>
      </c>
      <c r="G15" s="394">
        <f t="shared" si="1"/>
        <v>0</v>
      </c>
      <c r="H15" s="320">
        <v>24</v>
      </c>
      <c r="I15" s="320">
        <f t="shared" si="2"/>
        <v>0</v>
      </c>
      <c r="J15" s="333">
        <f>+IFERROR(VLOOKUP(B15,#REF!,3,0),IFERROR(VLOOKUP(B15,#REF!,3,0),0))</f>
        <v>0</v>
      </c>
    </row>
    <row r="16" spans="1:10" ht="18.75" x14ac:dyDescent="0.3">
      <c r="A16" s="302" t="s">
        <v>1451</v>
      </c>
      <c r="B16" s="433" t="s">
        <v>1078</v>
      </c>
      <c r="C16" s="320">
        <f>+IFERROR(VLOOKUP(B16,'Stock ISIS LK'!A:D,4,0),IFERROR(VLOOKUP(B16,'Stock ISIS CH'!A:D,4,0),0))</f>
        <v>0</v>
      </c>
      <c r="D16" s="320">
        <f t="shared" si="0"/>
        <v>0</v>
      </c>
      <c r="E16" s="333">
        <v>1</v>
      </c>
      <c r="G16" s="394">
        <f t="shared" si="1"/>
        <v>0</v>
      </c>
      <c r="H16" s="320">
        <v>24</v>
      </c>
      <c r="I16" s="320">
        <f t="shared" si="2"/>
        <v>0</v>
      </c>
      <c r="J16" s="333">
        <f>+IFERROR(VLOOKUP(B16,#REF!,3,0),IFERROR(VLOOKUP(B16,#REF!,3,0),0))</f>
        <v>0</v>
      </c>
    </row>
    <row r="17" spans="1:10" ht="18.75" x14ac:dyDescent="0.3">
      <c r="A17" s="302" t="s">
        <v>1451</v>
      </c>
      <c r="B17" s="433">
        <v>839</v>
      </c>
      <c r="C17" s="320">
        <f>+IFERROR(VLOOKUP(B17,'Stock ISIS LK'!A:D,4,0),IFERROR(VLOOKUP(B17,'Stock ISIS CH'!A:D,4,0),0))</f>
        <v>0</v>
      </c>
      <c r="D17" s="320">
        <f t="shared" si="0"/>
        <v>0</v>
      </c>
      <c r="E17" s="333">
        <v>1</v>
      </c>
      <c r="G17" s="394">
        <f>+J17/H17</f>
        <v>0</v>
      </c>
      <c r="H17" s="320">
        <v>36</v>
      </c>
      <c r="I17" s="320">
        <f>+G17*H17*E17</f>
        <v>0</v>
      </c>
      <c r="J17" s="333">
        <f>+IFERROR(VLOOKUP(B17,#REF!,3,0),IFERROR(VLOOKUP(B17,#REF!,3,0),0))</f>
        <v>0</v>
      </c>
    </row>
    <row r="18" spans="1:10" ht="18.75" x14ac:dyDescent="0.3">
      <c r="A18" s="391">
        <v>513</v>
      </c>
      <c r="B18" s="433">
        <v>513</v>
      </c>
      <c r="C18" s="320">
        <f>+IFERROR(VLOOKUP(B18,'Stock ISIS LK'!A:D,4,0),IFERROR(VLOOKUP(B18,'Stock ISIS CH'!A:D,4,0),0))</f>
        <v>0</v>
      </c>
      <c r="D18" s="320">
        <f t="shared" si="0"/>
        <v>0</v>
      </c>
      <c r="E18" s="333">
        <v>1</v>
      </c>
      <c r="G18" s="394">
        <f t="shared" si="1"/>
        <v>0</v>
      </c>
      <c r="H18" s="320">
        <v>12</v>
      </c>
      <c r="I18" s="320">
        <f t="shared" si="2"/>
        <v>0</v>
      </c>
      <c r="J18" s="333">
        <f>+IFERROR(VLOOKUP(B18,#REF!,3,0),IFERROR(VLOOKUP(B18,#REF!,3,0),0))</f>
        <v>0</v>
      </c>
    </row>
    <row r="19" spans="1:10" ht="18.75" x14ac:dyDescent="0.3">
      <c r="A19" s="391">
        <v>525</v>
      </c>
      <c r="B19" s="433">
        <v>525</v>
      </c>
      <c r="C19" s="320">
        <f>+IFERROR(VLOOKUP(B19,'Stock ISIS LK'!A:D,4,0),IFERROR(VLOOKUP(B19,'Stock ISIS CH'!A:D,4,0),0))</f>
        <v>0</v>
      </c>
      <c r="D19" s="320">
        <f t="shared" si="0"/>
        <v>0</v>
      </c>
      <c r="E19" s="333">
        <v>1</v>
      </c>
      <c r="G19" s="394">
        <f t="shared" si="1"/>
        <v>0</v>
      </c>
      <c r="H19" s="320">
        <v>24</v>
      </c>
      <c r="I19" s="320">
        <f t="shared" si="2"/>
        <v>0</v>
      </c>
      <c r="J19" s="333">
        <f>+IFERROR(VLOOKUP(B19,#REF!,3,0),IFERROR(VLOOKUP(B19,#REF!,3,0),0))</f>
        <v>0</v>
      </c>
    </row>
    <row r="20" spans="1:10" ht="18.75" x14ac:dyDescent="0.3">
      <c r="A20" s="391">
        <v>532</v>
      </c>
      <c r="B20" s="433">
        <v>532</v>
      </c>
      <c r="C20" s="320">
        <f>+IFERROR(VLOOKUP(B20,'Stock ISIS LK'!A:D,4,0),IFERROR(VLOOKUP(B20,'Stock ISIS CH'!A:D,4,0),0))</f>
        <v>0</v>
      </c>
      <c r="D20" s="320">
        <f t="shared" si="0"/>
        <v>0</v>
      </c>
      <c r="E20" s="333">
        <v>1</v>
      </c>
      <c r="G20" s="394">
        <f t="shared" si="1"/>
        <v>0</v>
      </c>
      <c r="H20" s="320">
        <v>24</v>
      </c>
      <c r="I20" s="320">
        <f t="shared" si="2"/>
        <v>0</v>
      </c>
      <c r="J20" s="333">
        <f>+IFERROR(VLOOKUP(B20,#REF!,3,0),IFERROR(VLOOKUP(B20,#REF!,3,0),0))</f>
        <v>0</v>
      </c>
    </row>
    <row r="21" spans="1:10" ht="18.75" x14ac:dyDescent="0.3">
      <c r="A21" s="391">
        <v>27</v>
      </c>
      <c r="B21" s="433">
        <v>27</v>
      </c>
      <c r="C21" s="320">
        <f>+IFERROR(VLOOKUP(B21,'Stock ISIS LK'!A:D,4,0),IFERROR(VLOOKUP(B21,'Stock ISIS CH'!A:D,4,0),0))</f>
        <v>0</v>
      </c>
      <c r="D21" s="320">
        <f t="shared" si="0"/>
        <v>0</v>
      </c>
      <c r="E21" s="333">
        <v>1</v>
      </c>
      <c r="G21" s="394">
        <f t="shared" si="1"/>
        <v>0</v>
      </c>
      <c r="H21" s="320">
        <v>24</v>
      </c>
      <c r="I21" s="320">
        <f t="shared" si="2"/>
        <v>0</v>
      </c>
      <c r="J21" s="333">
        <f>+IFERROR(VLOOKUP(B21,#REF!,3,0),IFERROR(VLOOKUP(B21,#REF!,3,0),0))</f>
        <v>0</v>
      </c>
    </row>
    <row r="22" spans="1:10" ht="18.75" x14ac:dyDescent="0.3">
      <c r="A22" s="391">
        <v>521</v>
      </c>
      <c r="B22" s="433">
        <v>521</v>
      </c>
      <c r="C22" s="320">
        <f>+IFERROR(VLOOKUP(B22,'Stock ISIS LK'!A:D,4,0),IFERROR(VLOOKUP(B22,'Stock ISIS CH'!A:D,4,0),0))</f>
        <v>0</v>
      </c>
      <c r="D22" s="320">
        <f t="shared" si="0"/>
        <v>0</v>
      </c>
      <c r="E22" s="333">
        <v>1</v>
      </c>
      <c r="G22" s="394">
        <f t="shared" si="1"/>
        <v>0</v>
      </c>
      <c r="H22" s="320">
        <v>12</v>
      </c>
      <c r="I22" s="320">
        <f t="shared" si="2"/>
        <v>0</v>
      </c>
      <c r="J22" s="333">
        <f>+IFERROR(VLOOKUP(B22,#REF!,3,0),IFERROR(VLOOKUP(B22,#REF!,3,0),0))</f>
        <v>0</v>
      </c>
    </row>
    <row r="23" spans="1:10" ht="18.75" x14ac:dyDescent="0.3">
      <c r="A23" s="391">
        <v>594</v>
      </c>
      <c r="B23" s="433">
        <v>594</v>
      </c>
      <c r="C23" s="320">
        <f>+IFERROR(VLOOKUP(B23,'Stock ISIS LK'!A:D,4,0),IFERROR(VLOOKUP(B23,'Stock ISIS CH'!A:D,4,0),0))</f>
        <v>0</v>
      </c>
      <c r="D23" s="320">
        <f t="shared" si="0"/>
        <v>0</v>
      </c>
      <c r="E23" s="333">
        <v>1</v>
      </c>
      <c r="G23" s="394">
        <f t="shared" si="1"/>
        <v>0</v>
      </c>
      <c r="H23" s="320">
        <v>12</v>
      </c>
      <c r="I23" s="320">
        <f t="shared" si="2"/>
        <v>0</v>
      </c>
      <c r="J23" s="333">
        <f>+IFERROR(VLOOKUP(B23,#REF!,3,0),IFERROR(VLOOKUP(B23,#REF!,3,0),0))</f>
        <v>0</v>
      </c>
    </row>
    <row r="24" spans="1:10" ht="18.75" x14ac:dyDescent="0.3">
      <c r="A24" s="391">
        <v>595</v>
      </c>
      <c r="B24" s="433">
        <v>595</v>
      </c>
      <c r="C24" s="320">
        <f>+IFERROR(VLOOKUP(B24,'Stock ISIS LK'!A:D,4,0),IFERROR(VLOOKUP(B24,'Stock ISIS CH'!A:D,4,0),0))</f>
        <v>0</v>
      </c>
      <c r="D24" s="320">
        <f t="shared" si="0"/>
        <v>0</v>
      </c>
      <c r="E24" s="333">
        <v>1</v>
      </c>
      <c r="G24" s="394">
        <f t="shared" si="1"/>
        <v>0</v>
      </c>
      <c r="H24" s="320">
        <v>12</v>
      </c>
      <c r="I24" s="320">
        <f t="shared" si="2"/>
        <v>0</v>
      </c>
      <c r="J24" s="333">
        <f>+IFERROR(VLOOKUP(B24,#REF!,3,0),IFERROR(VLOOKUP(B24,#REF!,3,0),0))</f>
        <v>0</v>
      </c>
    </row>
    <row r="25" spans="1:10" ht="18.75" x14ac:dyDescent="0.3">
      <c r="A25" s="391">
        <v>596</v>
      </c>
      <c r="B25" s="433">
        <v>596</v>
      </c>
      <c r="C25" s="320">
        <f>+IFERROR(VLOOKUP(B25,'Stock ISIS LK'!A:D,4,0),IFERROR(VLOOKUP(B25,'Stock ISIS CH'!A:D,4,0),0))</f>
        <v>0</v>
      </c>
      <c r="D25" s="320">
        <f t="shared" si="0"/>
        <v>0</v>
      </c>
      <c r="E25" s="333">
        <v>1</v>
      </c>
      <c r="G25" s="394">
        <f t="shared" si="1"/>
        <v>0</v>
      </c>
      <c r="H25" s="320">
        <v>12</v>
      </c>
      <c r="I25" s="320">
        <f t="shared" si="2"/>
        <v>0</v>
      </c>
      <c r="J25" s="333">
        <f>+IFERROR(VLOOKUP(B25,#REF!,3,0),IFERROR(VLOOKUP(B25,#REF!,3,0),0))</f>
        <v>0</v>
      </c>
    </row>
    <row r="26" spans="1:10" ht="18.75" x14ac:dyDescent="0.3">
      <c r="A26" s="391">
        <v>523</v>
      </c>
      <c r="B26" s="433">
        <v>523</v>
      </c>
      <c r="C26" s="320">
        <f>+IFERROR(VLOOKUP(B26,'Stock ISIS LK'!A:D,4,0),IFERROR(VLOOKUP(B26,'Stock ISIS CH'!A:D,4,0),0))</f>
        <v>0</v>
      </c>
      <c r="D26" s="320">
        <f t="shared" si="0"/>
        <v>0</v>
      </c>
      <c r="E26" s="333">
        <v>1</v>
      </c>
      <c r="G26" s="394">
        <f t="shared" si="1"/>
        <v>0</v>
      </c>
      <c r="H26" s="320">
        <v>12</v>
      </c>
      <c r="I26" s="320">
        <f t="shared" si="2"/>
        <v>0</v>
      </c>
      <c r="J26" s="333">
        <f>+IFERROR(VLOOKUP(B26,#REF!,3,0),IFERROR(VLOOKUP(B26,#REF!,3,0),0))</f>
        <v>0</v>
      </c>
    </row>
    <row r="27" spans="1:10" ht="18.75" x14ac:dyDescent="0.3">
      <c r="A27" s="302" t="s">
        <v>1498</v>
      </c>
      <c r="B27" s="433">
        <v>321</v>
      </c>
      <c r="C27" s="320">
        <f>+IFERROR(VLOOKUP(B27,'Stock ISIS LK'!A:D,4,0),IFERROR(VLOOKUP(B27,'Stock ISIS CH'!A:D,4,0),0))</f>
        <v>0</v>
      </c>
      <c r="D27" s="320">
        <f t="shared" si="0"/>
        <v>0</v>
      </c>
      <c r="E27" s="333">
        <v>1</v>
      </c>
      <c r="G27" s="394">
        <f t="shared" si="1"/>
        <v>0</v>
      </c>
      <c r="H27" s="320">
        <v>12</v>
      </c>
      <c r="I27" s="320">
        <f t="shared" si="2"/>
        <v>0</v>
      </c>
      <c r="J27" s="333">
        <f>+IFERROR(VLOOKUP(B27,#REF!,3,0),IFERROR(VLOOKUP(B27,#REF!,3,0),0))</f>
        <v>0</v>
      </c>
    </row>
    <row r="28" spans="1:10" ht="18.75" x14ac:dyDescent="0.3">
      <c r="A28" s="302" t="s">
        <v>1498</v>
      </c>
      <c r="B28" s="433">
        <v>325</v>
      </c>
      <c r="C28" s="320">
        <f>+IFERROR(VLOOKUP(B28,'Stock ISIS LK'!A:D,4,0),IFERROR(VLOOKUP(B28,'Stock ISIS CH'!A:D,4,0),0))</f>
        <v>0</v>
      </c>
      <c r="D28" s="320">
        <f t="shared" si="0"/>
        <v>0</v>
      </c>
      <c r="E28" s="333">
        <v>1</v>
      </c>
      <c r="G28" s="394">
        <f t="shared" si="1"/>
        <v>0</v>
      </c>
      <c r="H28" s="320">
        <v>24</v>
      </c>
      <c r="I28" s="320">
        <f t="shared" si="2"/>
        <v>0</v>
      </c>
      <c r="J28" s="333">
        <f>+IFERROR(VLOOKUP(B28,#REF!,3,0),IFERROR(VLOOKUP(B28,#REF!,3,0),0))</f>
        <v>0</v>
      </c>
    </row>
    <row r="29" spans="1:10" ht="18.75" x14ac:dyDescent="0.3">
      <c r="A29" s="302" t="s">
        <v>1498</v>
      </c>
      <c r="B29" s="433">
        <v>26</v>
      </c>
      <c r="C29" s="320">
        <f>+IFERROR(VLOOKUP(B29,'Stock ISIS LK'!A:D,4,0),IFERROR(VLOOKUP(B29,'Stock ISIS CH'!A:D,4,0),0))</f>
        <v>0</v>
      </c>
      <c r="D29" s="320">
        <f t="shared" si="0"/>
        <v>0</v>
      </c>
      <c r="E29" s="333">
        <v>1</v>
      </c>
      <c r="G29" s="394">
        <f t="shared" si="1"/>
        <v>0</v>
      </c>
      <c r="H29" s="320">
        <v>24</v>
      </c>
      <c r="I29" s="320">
        <f t="shared" si="2"/>
        <v>0</v>
      </c>
      <c r="J29" s="333">
        <f>+IFERROR(VLOOKUP(B29,#REF!,3,0),IFERROR(VLOOKUP(B29,#REF!,3,0),0))</f>
        <v>0</v>
      </c>
    </row>
    <row r="30" spans="1:10" ht="18.75" x14ac:dyDescent="0.3">
      <c r="A30" s="302" t="s">
        <v>1498</v>
      </c>
      <c r="B30" s="433">
        <v>315</v>
      </c>
      <c r="C30" s="320">
        <f>+IFERROR(VLOOKUP(B30,'Stock ISIS LK'!A:D,4,0),IFERROR(VLOOKUP(B30,'Stock ISIS CH'!A:D,4,0),0))</f>
        <v>0</v>
      </c>
      <c r="D30" s="320">
        <f t="shared" si="0"/>
        <v>0</v>
      </c>
      <c r="E30" s="333">
        <v>1</v>
      </c>
      <c r="G30" s="394">
        <f t="shared" si="1"/>
        <v>0</v>
      </c>
      <c r="H30" s="320">
        <v>12</v>
      </c>
      <c r="I30" s="320">
        <f t="shared" si="2"/>
        <v>0</v>
      </c>
      <c r="J30" s="333">
        <f>+IFERROR(VLOOKUP(B30,#REF!,3,0),IFERROR(VLOOKUP(B30,#REF!,3,0),0))</f>
        <v>0</v>
      </c>
    </row>
    <row r="31" spans="1:10" ht="18.75" x14ac:dyDescent="0.3">
      <c r="A31" s="302" t="s">
        <v>1498</v>
      </c>
      <c r="B31" s="433">
        <v>225</v>
      </c>
      <c r="C31" s="320">
        <f>+IFERROR(VLOOKUP(B31,'Stock ISIS LK'!A:D,4,0),IFERROR(VLOOKUP(B31,'Stock ISIS CH'!A:D,4,0),0))</f>
        <v>0</v>
      </c>
      <c r="D31" s="320">
        <f t="shared" si="0"/>
        <v>0</v>
      </c>
      <c r="E31" s="333">
        <v>1</v>
      </c>
      <c r="G31" s="394">
        <f t="shared" si="1"/>
        <v>0</v>
      </c>
      <c r="H31" s="320">
        <v>12</v>
      </c>
      <c r="I31" s="320">
        <f t="shared" si="2"/>
        <v>0</v>
      </c>
      <c r="J31" s="333">
        <f>+IFERROR(VLOOKUP(B31,#REF!,3,0),IFERROR(VLOOKUP(B31,#REF!,3,0),0))</f>
        <v>0</v>
      </c>
    </row>
    <row r="32" spans="1:10" ht="18.75" x14ac:dyDescent="0.3">
      <c r="A32" s="302" t="s">
        <v>1498</v>
      </c>
      <c r="B32" s="433">
        <v>248</v>
      </c>
      <c r="C32" s="320">
        <f>+IFERROR(VLOOKUP(B32,'Stock ISIS LK'!A:D,4,0),IFERROR(VLOOKUP(B32,'Stock ISIS CH'!A:D,4,0),0))</f>
        <v>0</v>
      </c>
      <c r="D32" s="320">
        <f t="shared" si="0"/>
        <v>0</v>
      </c>
      <c r="E32" s="333">
        <v>1</v>
      </c>
      <c r="G32" s="394">
        <f t="shared" si="1"/>
        <v>0</v>
      </c>
      <c r="H32" s="320">
        <v>12</v>
      </c>
      <c r="I32" s="320">
        <f t="shared" si="2"/>
        <v>0</v>
      </c>
      <c r="J32" s="333">
        <f>+IFERROR(VLOOKUP(B32,#REF!,3,0),IFERROR(VLOOKUP(B32,#REF!,3,0),0))</f>
        <v>0</v>
      </c>
    </row>
    <row r="33" spans="1:10" ht="18.75" x14ac:dyDescent="0.3">
      <c r="A33" s="302" t="s">
        <v>1498</v>
      </c>
      <c r="B33" s="433">
        <v>221</v>
      </c>
      <c r="C33" s="320">
        <f>+IFERROR(VLOOKUP(B33,'Stock ISIS LK'!A:D,4,0),IFERROR(VLOOKUP(B33,'Stock ISIS CH'!A:D,4,0),0))</f>
        <v>0</v>
      </c>
      <c r="D33" s="320">
        <f t="shared" si="0"/>
        <v>0</v>
      </c>
      <c r="E33" s="333">
        <v>1</v>
      </c>
      <c r="G33" s="394">
        <f t="shared" si="1"/>
        <v>0</v>
      </c>
      <c r="H33" s="320">
        <v>12</v>
      </c>
      <c r="I33" s="320">
        <f t="shared" si="2"/>
        <v>0</v>
      </c>
      <c r="J33" s="333">
        <f>+IFERROR(VLOOKUP(B33,#REF!,3,0),IFERROR(VLOOKUP(B33,#REF!,3,0),0))</f>
        <v>0</v>
      </c>
    </row>
    <row r="34" spans="1:10" ht="18.75" x14ac:dyDescent="0.3">
      <c r="A34" s="302" t="s">
        <v>1498</v>
      </c>
      <c r="B34" s="433">
        <v>393</v>
      </c>
      <c r="C34" s="320">
        <f>+IFERROR(VLOOKUP(B34,'Stock ISIS LK'!A:D,4,0),IFERROR(VLOOKUP(B34,'Stock ISIS CH'!A:D,4,0),0))</f>
        <v>0</v>
      </c>
      <c r="D34" s="320">
        <f t="shared" si="0"/>
        <v>0</v>
      </c>
      <c r="E34" s="333">
        <v>1</v>
      </c>
      <c r="G34" s="394">
        <f t="shared" si="1"/>
        <v>0</v>
      </c>
      <c r="H34" s="320">
        <v>24</v>
      </c>
      <c r="I34" s="320">
        <f t="shared" si="2"/>
        <v>0</v>
      </c>
      <c r="J34" s="333">
        <f>+IFERROR(VLOOKUP(B34,#REF!,3,0),IFERROR(VLOOKUP(B34,#REF!,3,0),0))</f>
        <v>0</v>
      </c>
    </row>
    <row r="35" spans="1:10" ht="18.75" x14ac:dyDescent="0.3">
      <c r="A35" s="302" t="s">
        <v>1498</v>
      </c>
      <c r="B35" s="433">
        <v>222</v>
      </c>
      <c r="C35" s="320">
        <f>+IFERROR(VLOOKUP(B35,'Stock ISIS LK'!A:D,4,0),IFERROR(VLOOKUP(B35,'Stock ISIS CH'!A:D,4,0),0))</f>
        <v>0</v>
      </c>
      <c r="D35" s="320">
        <f t="shared" si="0"/>
        <v>0</v>
      </c>
      <c r="E35" s="333">
        <v>1</v>
      </c>
      <c r="G35" s="394">
        <f t="shared" si="1"/>
        <v>0</v>
      </c>
      <c r="H35" s="320">
        <v>12</v>
      </c>
      <c r="I35" s="320">
        <f t="shared" si="2"/>
        <v>0</v>
      </c>
      <c r="J35" s="333">
        <f>+IFERROR(VLOOKUP(B35,#REF!,3,0),IFERROR(VLOOKUP(B35,#REF!,3,0),0))</f>
        <v>0</v>
      </c>
    </row>
    <row r="36" spans="1:10" ht="18.75" x14ac:dyDescent="0.3">
      <c r="A36" s="302" t="s">
        <v>1498</v>
      </c>
      <c r="B36" s="433">
        <v>534</v>
      </c>
      <c r="C36" s="320">
        <f>+IFERROR(VLOOKUP(B36,'Stock ISIS LK'!A:D,4,0),IFERROR(VLOOKUP(B36,'Stock ISIS CH'!A:D,4,0),0))</f>
        <v>0</v>
      </c>
      <c r="D36" s="320">
        <f t="shared" si="0"/>
        <v>0</v>
      </c>
      <c r="E36" s="333">
        <v>1</v>
      </c>
      <c r="G36" s="394">
        <f t="shared" si="1"/>
        <v>0</v>
      </c>
      <c r="H36" s="320">
        <v>24</v>
      </c>
      <c r="I36" s="320">
        <f t="shared" si="2"/>
        <v>0</v>
      </c>
      <c r="J36" s="333">
        <f>+IFERROR(VLOOKUP(B36,#REF!,3,0),IFERROR(VLOOKUP(B36,#REF!,3,0),0))</f>
        <v>0</v>
      </c>
    </row>
    <row r="37" spans="1:10" ht="18.75" x14ac:dyDescent="0.3">
      <c r="A37" s="302" t="s">
        <v>1498</v>
      </c>
      <c r="B37" s="433">
        <v>392</v>
      </c>
      <c r="C37" s="320">
        <f>+IFERROR(VLOOKUP(B37,'Stock ISIS LK'!A:D,4,0),IFERROR(VLOOKUP(B37,'Stock ISIS CH'!A:D,4,0),0))</f>
        <v>0</v>
      </c>
      <c r="D37" s="320">
        <f t="shared" si="0"/>
        <v>0</v>
      </c>
      <c r="E37" s="333">
        <v>1</v>
      </c>
      <c r="G37" s="394">
        <f t="shared" si="1"/>
        <v>0</v>
      </c>
      <c r="H37" s="320">
        <v>24</v>
      </c>
      <c r="I37" s="320">
        <f t="shared" si="2"/>
        <v>0</v>
      </c>
      <c r="J37" s="333">
        <f>+IFERROR(VLOOKUP(B37,#REF!,3,0),IFERROR(VLOOKUP(B37,#REF!,3,0),0))</f>
        <v>0</v>
      </c>
    </row>
    <row r="38" spans="1:10" ht="18.75" x14ac:dyDescent="0.3">
      <c r="A38" s="302" t="s">
        <v>1498</v>
      </c>
      <c r="B38" s="433">
        <v>224</v>
      </c>
      <c r="C38" s="320">
        <f>+IFERROR(VLOOKUP(B38,'Stock ISIS LK'!A:D,4,0),IFERROR(VLOOKUP(B38,'Stock ISIS CH'!A:D,4,0),0))</f>
        <v>0</v>
      </c>
      <c r="D38" s="320">
        <f t="shared" si="0"/>
        <v>0</v>
      </c>
      <c r="E38" s="333">
        <v>1</v>
      </c>
      <c r="G38" s="394">
        <f t="shared" si="1"/>
        <v>0</v>
      </c>
      <c r="H38" s="320">
        <v>12</v>
      </c>
      <c r="I38" s="320">
        <f t="shared" si="2"/>
        <v>0</v>
      </c>
      <c r="J38" s="333">
        <f>+IFERROR(VLOOKUP(B38,#REF!,3,0),IFERROR(VLOOKUP(B38,#REF!,3,0),0))</f>
        <v>0</v>
      </c>
    </row>
    <row r="39" spans="1:10" ht="18.75" x14ac:dyDescent="0.3">
      <c r="A39" s="302" t="s">
        <v>1498</v>
      </c>
      <c r="B39" s="433">
        <v>394</v>
      </c>
      <c r="C39" s="320">
        <f>+IFERROR(VLOOKUP(B39,'Stock ISIS LK'!A:D,4,0),IFERROR(VLOOKUP(B39,'Stock ISIS CH'!A:D,4,0),0))</f>
        <v>0</v>
      </c>
      <c r="D39" s="320">
        <f t="shared" si="0"/>
        <v>0</v>
      </c>
      <c r="E39" s="333">
        <v>1</v>
      </c>
      <c r="G39" s="394">
        <f t="shared" si="1"/>
        <v>0</v>
      </c>
      <c r="H39" s="320">
        <v>24</v>
      </c>
      <c r="I39" s="320">
        <f t="shared" si="2"/>
        <v>0</v>
      </c>
      <c r="J39" s="333">
        <f>+IFERROR(VLOOKUP(B39,#REF!,3,0),IFERROR(VLOOKUP(B39,#REF!,3,0),0))</f>
        <v>0</v>
      </c>
    </row>
    <row r="40" spans="1:10" ht="18.75" x14ac:dyDescent="0.3">
      <c r="A40" s="302" t="s">
        <v>1498</v>
      </c>
      <c r="B40" s="433">
        <v>220</v>
      </c>
      <c r="C40" s="320">
        <f>+IFERROR(VLOOKUP(B40,'Stock ISIS LK'!A:D,4,0),IFERROR(VLOOKUP(B40,'Stock ISIS CH'!A:D,4,0),0))</f>
        <v>0</v>
      </c>
      <c r="D40" s="320">
        <f t="shared" si="0"/>
        <v>0</v>
      </c>
      <c r="E40" s="333">
        <v>1</v>
      </c>
      <c r="G40" s="394">
        <f t="shared" si="1"/>
        <v>0</v>
      </c>
      <c r="H40" s="320">
        <v>12</v>
      </c>
      <c r="I40" s="320">
        <f t="shared" si="2"/>
        <v>0</v>
      </c>
      <c r="J40" s="333">
        <f>+IFERROR(VLOOKUP(B40,#REF!,3,0),IFERROR(VLOOKUP(B40,#REF!,3,0),0))</f>
        <v>0</v>
      </c>
    </row>
    <row r="41" spans="1:10" ht="18.75" x14ac:dyDescent="0.3">
      <c r="A41" s="302" t="s">
        <v>1498</v>
      </c>
      <c r="B41" s="433">
        <v>355</v>
      </c>
      <c r="C41" s="320">
        <f>+IFERROR(VLOOKUP(B41,'Stock ISIS LK'!A:D,4,0),IFERROR(VLOOKUP(B41,'Stock ISIS CH'!A:D,4,0),0))</f>
        <v>0</v>
      </c>
      <c r="D41" s="320">
        <f t="shared" si="0"/>
        <v>0</v>
      </c>
      <c r="E41" s="333">
        <v>1</v>
      </c>
      <c r="G41" s="394">
        <f t="shared" si="1"/>
        <v>0</v>
      </c>
      <c r="H41" s="320">
        <v>24</v>
      </c>
      <c r="I41" s="320">
        <f t="shared" si="2"/>
        <v>0</v>
      </c>
      <c r="J41" s="333">
        <f>+IFERROR(VLOOKUP(B41,#REF!,3,0),IFERROR(VLOOKUP(B41,#REF!,3,0),0))</f>
        <v>0</v>
      </c>
    </row>
    <row r="42" spans="1:10" ht="18.75" x14ac:dyDescent="0.3">
      <c r="A42" s="302" t="s">
        <v>1498</v>
      </c>
      <c r="B42" s="433">
        <v>535</v>
      </c>
      <c r="C42" s="320">
        <f>+IFERROR(VLOOKUP(B42,'Stock ISIS LK'!A:D,4,0),IFERROR(VLOOKUP(B42,'Stock ISIS CH'!A:D,4,0),0))</f>
        <v>0</v>
      </c>
      <c r="D42" s="320">
        <f t="shared" si="0"/>
        <v>0</v>
      </c>
      <c r="E42" s="333">
        <v>1</v>
      </c>
      <c r="G42" s="394">
        <f t="shared" si="1"/>
        <v>0</v>
      </c>
      <c r="H42" s="320">
        <v>24</v>
      </c>
      <c r="I42" s="320">
        <f t="shared" si="2"/>
        <v>0</v>
      </c>
      <c r="J42" s="333">
        <f>+IFERROR(VLOOKUP(B42,#REF!,3,0),IFERROR(VLOOKUP(B42,#REF!,3,0),0))</f>
        <v>0</v>
      </c>
    </row>
    <row r="43" spans="1:10" ht="18.75" x14ac:dyDescent="0.3">
      <c r="A43" s="302" t="s">
        <v>1498</v>
      </c>
      <c r="B43" s="433">
        <v>333</v>
      </c>
      <c r="C43" s="320">
        <f>+IFERROR(VLOOKUP(B43,'Stock ISIS LK'!A:D,4,0),IFERROR(VLOOKUP(B43,'Stock ISIS CH'!A:D,4,0),0))</f>
        <v>0</v>
      </c>
      <c r="D43" s="320">
        <f t="shared" si="0"/>
        <v>0</v>
      </c>
      <c r="E43" s="333">
        <v>1</v>
      </c>
      <c r="G43" s="394">
        <f t="shared" si="1"/>
        <v>0</v>
      </c>
      <c r="H43" s="320">
        <v>12</v>
      </c>
      <c r="I43" s="320">
        <f t="shared" si="2"/>
        <v>0</v>
      </c>
      <c r="J43" s="333">
        <f>+IFERROR(VLOOKUP(B43,#REF!,3,0),IFERROR(VLOOKUP(B43,#REF!,3,0),0))</f>
        <v>0</v>
      </c>
    </row>
    <row r="44" spans="1:10" ht="18.75" x14ac:dyDescent="0.3">
      <c r="A44" s="302" t="s">
        <v>1498</v>
      </c>
      <c r="B44" s="433">
        <v>223</v>
      </c>
      <c r="C44" s="320">
        <f>+IFERROR(VLOOKUP(B44,'Stock ISIS LK'!A:D,4,0),IFERROR(VLOOKUP(B44,'Stock ISIS CH'!A:D,4,0),0))</f>
        <v>0</v>
      </c>
      <c r="D44" s="320">
        <f t="shared" si="0"/>
        <v>0</v>
      </c>
      <c r="E44" s="333">
        <v>1</v>
      </c>
      <c r="G44" s="394">
        <f t="shared" si="1"/>
        <v>0</v>
      </c>
      <c r="H44" s="320">
        <v>12</v>
      </c>
      <c r="I44" s="320">
        <f t="shared" si="2"/>
        <v>0</v>
      </c>
      <c r="J44" s="333">
        <f>+IFERROR(VLOOKUP(B44,#REF!,3,0),IFERROR(VLOOKUP(B44,#REF!,3,0),0))</f>
        <v>0</v>
      </c>
    </row>
    <row r="45" spans="1:10" ht="18.75" x14ac:dyDescent="0.3">
      <c r="A45" s="302" t="s">
        <v>1498</v>
      </c>
      <c r="B45" s="433">
        <v>332</v>
      </c>
      <c r="C45" s="320">
        <f>+IFERROR(VLOOKUP(B45,'Stock ISIS LK'!A:D,4,0),IFERROR(VLOOKUP(B45,'Stock ISIS CH'!A:D,4,0),0))</f>
        <v>0</v>
      </c>
      <c r="D45" s="320">
        <f t="shared" si="0"/>
        <v>0</v>
      </c>
      <c r="E45" s="333">
        <v>1</v>
      </c>
      <c r="G45" s="394">
        <f t="shared" si="1"/>
        <v>0</v>
      </c>
      <c r="H45" s="320">
        <v>24</v>
      </c>
      <c r="I45" s="320">
        <f t="shared" si="2"/>
        <v>0</v>
      </c>
      <c r="J45" s="333">
        <f>+IFERROR(VLOOKUP(B45,#REF!,3,0),IFERROR(VLOOKUP(B45,#REF!,3,0),0))</f>
        <v>0</v>
      </c>
    </row>
    <row r="46" spans="1:10" ht="18.75" x14ac:dyDescent="0.3">
      <c r="A46" s="302" t="s">
        <v>1498</v>
      </c>
      <c r="B46" s="433">
        <v>390</v>
      </c>
      <c r="C46" s="320">
        <f>+IFERROR(VLOOKUP(B46,'Stock ISIS LK'!A:D,4,0),IFERROR(VLOOKUP(B46,'Stock ISIS CH'!A:D,4,0),0))</f>
        <v>0</v>
      </c>
      <c r="D46" s="320">
        <f t="shared" si="0"/>
        <v>0</v>
      </c>
      <c r="E46" s="333">
        <v>1</v>
      </c>
      <c r="G46" s="394">
        <f t="shared" si="1"/>
        <v>0</v>
      </c>
      <c r="H46" s="320">
        <v>24</v>
      </c>
      <c r="I46" s="320">
        <f t="shared" si="2"/>
        <v>0</v>
      </c>
      <c r="J46" s="333">
        <f>+IFERROR(VLOOKUP(B46,#REF!,3,0),IFERROR(VLOOKUP(B46,#REF!,3,0),0))</f>
        <v>0</v>
      </c>
    </row>
    <row r="47" spans="1:10" ht="18.75" x14ac:dyDescent="0.3">
      <c r="A47" s="302" t="s">
        <v>1498</v>
      </c>
      <c r="B47" s="433">
        <v>336</v>
      </c>
      <c r="C47" s="320">
        <f>+IFERROR(VLOOKUP(B47,'Stock ISIS LK'!A:D,4,0),IFERROR(VLOOKUP(B47,'Stock ISIS CH'!A:D,4,0),0))</f>
        <v>0</v>
      </c>
      <c r="D47" s="320">
        <f t="shared" si="0"/>
        <v>0</v>
      </c>
      <c r="E47" s="333">
        <v>1</v>
      </c>
      <c r="G47" s="394">
        <f t="shared" si="1"/>
        <v>0</v>
      </c>
      <c r="H47" s="320">
        <v>12</v>
      </c>
      <c r="I47" s="320">
        <f t="shared" si="2"/>
        <v>0</v>
      </c>
      <c r="J47" s="333">
        <f>+IFERROR(VLOOKUP(B47,#REF!,3,0),IFERROR(VLOOKUP(B47,#REF!,3,0),0))</f>
        <v>0</v>
      </c>
    </row>
    <row r="48" spans="1:10" ht="18.75" x14ac:dyDescent="0.3">
      <c r="A48" s="302" t="s">
        <v>1498</v>
      </c>
      <c r="B48" s="433">
        <v>593</v>
      </c>
      <c r="C48" s="320">
        <f>+IFERROR(VLOOKUP(B48,'Stock ISIS LK'!A:D,4,0),IFERROR(VLOOKUP(B48,'Stock ISIS CH'!A:D,4,0),0))</f>
        <v>0</v>
      </c>
      <c r="D48" s="320">
        <f t="shared" si="0"/>
        <v>0</v>
      </c>
      <c r="E48" s="333">
        <v>1</v>
      </c>
      <c r="G48" s="394">
        <f t="shared" si="1"/>
        <v>0</v>
      </c>
      <c r="H48" s="320">
        <v>12</v>
      </c>
      <c r="I48" s="320">
        <f t="shared" si="2"/>
        <v>0</v>
      </c>
      <c r="J48" s="333">
        <f>+IFERROR(VLOOKUP(B48,#REF!,3,0),IFERROR(VLOOKUP(B48,#REF!,3,0),0))</f>
        <v>0</v>
      </c>
    </row>
    <row r="49" spans="1:10" ht="18.75" x14ac:dyDescent="0.3">
      <c r="A49" s="302" t="s">
        <v>1498</v>
      </c>
      <c r="B49" s="433">
        <v>391</v>
      </c>
      <c r="C49" s="320">
        <f>+IFERROR(VLOOKUP(B49,'Stock ISIS LK'!A:D,4,0),IFERROR(VLOOKUP(B49,'Stock ISIS CH'!A:D,4,0),0))</f>
        <v>0</v>
      </c>
      <c r="D49" s="320">
        <f t="shared" si="0"/>
        <v>0</v>
      </c>
      <c r="E49" s="333">
        <v>1</v>
      </c>
      <c r="G49" s="394">
        <f t="shared" si="1"/>
        <v>0</v>
      </c>
      <c r="H49" s="320">
        <v>24</v>
      </c>
      <c r="I49" s="320">
        <f t="shared" si="2"/>
        <v>0</v>
      </c>
      <c r="J49" s="333">
        <f>+IFERROR(VLOOKUP(B49,#REF!,3,0),IFERROR(VLOOKUP(B49,#REF!,3,0),0))</f>
        <v>0</v>
      </c>
    </row>
    <row r="50" spans="1:10" ht="18.75" x14ac:dyDescent="0.3">
      <c r="A50" s="302" t="s">
        <v>1498</v>
      </c>
      <c r="B50" s="433">
        <v>334</v>
      </c>
      <c r="C50" s="320">
        <f>+IFERROR(VLOOKUP(B50,'Stock ISIS LK'!A:D,4,0),IFERROR(VLOOKUP(B50,'Stock ISIS CH'!A:D,4,0),0))</f>
        <v>0</v>
      </c>
      <c r="D50" s="320">
        <f t="shared" si="0"/>
        <v>0</v>
      </c>
      <c r="E50" s="333">
        <v>1</v>
      </c>
      <c r="G50" s="394">
        <f t="shared" si="1"/>
        <v>0</v>
      </c>
      <c r="H50" s="320">
        <v>24</v>
      </c>
      <c r="I50" s="320">
        <f t="shared" si="2"/>
        <v>0</v>
      </c>
      <c r="J50" s="333">
        <f>+IFERROR(VLOOKUP(B50,#REF!,3,0),IFERROR(VLOOKUP(B50,#REF!,3,0),0))</f>
        <v>0</v>
      </c>
    </row>
    <row r="51" spans="1:10" ht="18.75" x14ac:dyDescent="0.3">
      <c r="A51" s="302" t="s">
        <v>1498</v>
      </c>
      <c r="B51" s="433">
        <v>338</v>
      </c>
      <c r="C51" s="320">
        <f>+IFERROR(VLOOKUP(B51,'Stock ISIS LK'!A:D,4,0),IFERROR(VLOOKUP(B51,'Stock ISIS CH'!A:D,4,0),0))</f>
        <v>0</v>
      </c>
      <c r="D51" s="320">
        <f t="shared" si="0"/>
        <v>0</v>
      </c>
      <c r="E51" s="333">
        <v>1</v>
      </c>
      <c r="G51" s="394">
        <f t="shared" si="1"/>
        <v>0</v>
      </c>
      <c r="H51" s="320">
        <v>24</v>
      </c>
      <c r="I51" s="320">
        <f t="shared" si="2"/>
        <v>0</v>
      </c>
      <c r="J51" s="333">
        <f>+IFERROR(VLOOKUP(B51,#REF!,3,0),IFERROR(VLOOKUP(B51,#REF!,3,0),0))</f>
        <v>0</v>
      </c>
    </row>
    <row r="52" spans="1:10" ht="18.75" x14ac:dyDescent="0.3">
      <c r="A52" s="302" t="s">
        <v>1498</v>
      </c>
      <c r="B52" s="433">
        <v>326</v>
      </c>
      <c r="C52" s="320">
        <f>+IFERROR(VLOOKUP(B52,'Stock ISIS LK'!A:D,4,0),IFERROR(VLOOKUP(B52,'Stock ISIS CH'!A:D,4,0),0))</f>
        <v>0</v>
      </c>
      <c r="D52" s="320">
        <f t="shared" si="0"/>
        <v>0</v>
      </c>
      <c r="E52" s="333">
        <v>1</v>
      </c>
      <c r="G52" s="394">
        <f t="shared" si="1"/>
        <v>0</v>
      </c>
      <c r="H52" s="320">
        <v>24</v>
      </c>
      <c r="I52" s="320">
        <f t="shared" si="2"/>
        <v>0</v>
      </c>
      <c r="J52" s="333">
        <f>+IFERROR(VLOOKUP(B52,#REF!,3,0),IFERROR(VLOOKUP(B52,#REF!,3,0),0))</f>
        <v>0</v>
      </c>
    </row>
    <row r="53" spans="1:10" ht="18.75" x14ac:dyDescent="0.3">
      <c r="A53" s="302" t="s">
        <v>1498</v>
      </c>
      <c r="B53" s="433">
        <v>592</v>
      </c>
      <c r="C53" s="320">
        <f>+IFERROR(VLOOKUP(B53,'Stock ISIS LK'!A:D,4,0),IFERROR(VLOOKUP(B53,'Stock ISIS CH'!A:D,4,0),0))</f>
        <v>0</v>
      </c>
      <c r="D53" s="320">
        <f t="shared" si="0"/>
        <v>0</v>
      </c>
      <c r="E53" s="333">
        <v>1</v>
      </c>
      <c r="G53" s="394">
        <f t="shared" si="1"/>
        <v>0</v>
      </c>
      <c r="H53" s="320">
        <v>12</v>
      </c>
      <c r="I53" s="320">
        <f t="shared" si="2"/>
        <v>0</v>
      </c>
      <c r="J53" s="333">
        <f>+IFERROR(VLOOKUP(B53,#REF!,3,0),IFERROR(VLOOKUP(B53,#REF!,3,0),0))</f>
        <v>0</v>
      </c>
    </row>
    <row r="54" spans="1:10" ht="18.75" x14ac:dyDescent="0.3">
      <c r="A54" s="302" t="s">
        <v>1498</v>
      </c>
      <c r="B54" s="433">
        <v>335</v>
      </c>
      <c r="C54" s="320">
        <f>+IFERROR(VLOOKUP(B54,'Stock ISIS LK'!A:D,4,0),IFERROR(VLOOKUP(B54,'Stock ISIS CH'!A:D,4,0),0))</f>
        <v>0</v>
      </c>
      <c r="D54" s="320">
        <f t="shared" si="0"/>
        <v>0</v>
      </c>
      <c r="E54" s="333">
        <v>1</v>
      </c>
      <c r="G54" s="394">
        <f t="shared" si="1"/>
        <v>0</v>
      </c>
      <c r="H54" s="320">
        <v>24</v>
      </c>
      <c r="I54" s="320">
        <f t="shared" si="2"/>
        <v>0</v>
      </c>
      <c r="J54" s="333">
        <f>+IFERROR(VLOOKUP(B54,#REF!,3,0),IFERROR(VLOOKUP(B54,#REF!,3,0),0))</f>
        <v>0</v>
      </c>
    </row>
    <row r="55" spans="1:10" ht="18.75" x14ac:dyDescent="0.3">
      <c r="A55" s="302" t="s">
        <v>1498</v>
      </c>
      <c r="B55" s="433">
        <v>337</v>
      </c>
      <c r="C55" s="320">
        <f>+IFERROR(VLOOKUP(B55,'Stock ISIS LK'!A:D,4,0),IFERROR(VLOOKUP(B55,'Stock ISIS CH'!A:D,4,0),0))</f>
        <v>0</v>
      </c>
      <c r="D55" s="320">
        <f t="shared" si="0"/>
        <v>0</v>
      </c>
      <c r="E55" s="333">
        <v>1</v>
      </c>
      <c r="G55" s="394">
        <f t="shared" si="1"/>
        <v>0</v>
      </c>
      <c r="H55" s="320">
        <v>24</v>
      </c>
      <c r="I55" s="320">
        <f t="shared" si="2"/>
        <v>0</v>
      </c>
      <c r="J55" s="333">
        <f>+IFERROR(VLOOKUP(B55,#REF!,3,0),IFERROR(VLOOKUP(B55,#REF!,3,0),0))</f>
        <v>0</v>
      </c>
    </row>
    <row r="56" spans="1:10" ht="18.75" x14ac:dyDescent="0.3">
      <c r="A56" s="302" t="s">
        <v>1498</v>
      </c>
      <c r="B56" s="433">
        <v>27</v>
      </c>
      <c r="C56" s="320">
        <f>+IFERROR(VLOOKUP(B56,'Stock ISIS LK'!A:D,4,0),IFERROR(VLOOKUP(B56,'Stock ISIS CH'!A:D,4,0),0))</f>
        <v>0</v>
      </c>
      <c r="D56" s="320">
        <f t="shared" si="0"/>
        <v>0</v>
      </c>
      <c r="E56" s="333">
        <v>1</v>
      </c>
      <c r="G56" s="394">
        <f t="shared" si="1"/>
        <v>0</v>
      </c>
      <c r="H56" s="320">
        <v>24</v>
      </c>
      <c r="I56" s="320">
        <f t="shared" si="2"/>
        <v>0</v>
      </c>
      <c r="J56" s="333">
        <f>+IFERROR(VLOOKUP(B56,#REF!,3,0),IFERROR(VLOOKUP(B56,#REF!,3,0),0))</f>
        <v>0</v>
      </c>
    </row>
    <row r="57" spans="1:10" ht="18.75" x14ac:dyDescent="0.3">
      <c r="A57" s="302" t="s">
        <v>1498</v>
      </c>
      <c r="B57" s="433">
        <v>29</v>
      </c>
      <c r="C57" s="320">
        <f>+IFERROR(VLOOKUP(B57,'Stock ISIS LK'!A:D,4,0),IFERROR(VLOOKUP(B57,'Stock ISIS CH'!A:D,4,0),0))</f>
        <v>0</v>
      </c>
      <c r="D57" s="320">
        <f t="shared" si="0"/>
        <v>0</v>
      </c>
      <c r="E57" s="333">
        <v>1</v>
      </c>
      <c r="G57" s="394">
        <f t="shared" si="1"/>
        <v>0</v>
      </c>
      <c r="H57" s="320">
        <v>24</v>
      </c>
      <c r="I57" s="320">
        <f t="shared" si="2"/>
        <v>0</v>
      </c>
      <c r="J57" s="333">
        <f>+IFERROR(VLOOKUP(B57,#REF!,3,0),IFERROR(VLOOKUP(B57,#REF!,3,0),0))</f>
        <v>0</v>
      </c>
    </row>
    <row r="58" spans="1:10" ht="18.75" x14ac:dyDescent="0.3">
      <c r="A58" s="302" t="s">
        <v>1498</v>
      </c>
      <c r="B58" s="433">
        <v>30</v>
      </c>
      <c r="C58" s="320">
        <f>+IFERROR(VLOOKUP(B58,'Stock ISIS LK'!A:D,4,0),IFERROR(VLOOKUP(B58,'Stock ISIS CH'!A:D,4,0),0))</f>
        <v>0</v>
      </c>
      <c r="D58" s="320">
        <f t="shared" si="0"/>
        <v>0</v>
      </c>
      <c r="E58" s="333">
        <v>1</v>
      </c>
      <c r="G58" s="394">
        <f t="shared" si="1"/>
        <v>0</v>
      </c>
      <c r="H58" s="320">
        <v>24</v>
      </c>
      <c r="I58" s="320">
        <f t="shared" si="2"/>
        <v>0</v>
      </c>
      <c r="J58" s="333">
        <f>+IFERROR(VLOOKUP(B58,#REF!,3,0),IFERROR(VLOOKUP(B58,#REF!,3,0),0))</f>
        <v>0</v>
      </c>
    </row>
    <row r="59" spans="1:10" ht="18.75" x14ac:dyDescent="0.3">
      <c r="A59" s="302" t="s">
        <v>1497</v>
      </c>
      <c r="B59" s="433">
        <v>52</v>
      </c>
      <c r="C59" s="320">
        <f>+IFERROR(VLOOKUP(B59,'Stock ISIS LK'!A:D,4,0),IFERROR(VLOOKUP(B59,'Stock ISIS CH'!A:D,4,0),0))</f>
        <v>0</v>
      </c>
      <c r="D59" s="320">
        <f t="shared" si="0"/>
        <v>0</v>
      </c>
      <c r="E59" s="333">
        <v>1</v>
      </c>
      <c r="G59" s="394">
        <f t="shared" si="1"/>
        <v>0</v>
      </c>
      <c r="H59" s="320">
        <v>12</v>
      </c>
      <c r="I59" s="320">
        <f t="shared" si="2"/>
        <v>0</v>
      </c>
      <c r="J59" s="333">
        <f>+IFERROR(VLOOKUP(B59,#REF!,3,0),IFERROR(VLOOKUP(B59,#REF!,3,0),0))</f>
        <v>0</v>
      </c>
    </row>
    <row r="60" spans="1:10" ht="18.75" x14ac:dyDescent="0.3">
      <c r="A60" s="302" t="s">
        <v>1497</v>
      </c>
      <c r="B60" s="433">
        <v>307</v>
      </c>
      <c r="C60" s="320">
        <f>+IFERROR(VLOOKUP(B60,'Stock ISIS LK'!A:D,4,0),IFERROR(VLOOKUP(B60,'Stock ISIS CH'!A:D,4,0),0))</f>
        <v>0</v>
      </c>
      <c r="D60" s="320">
        <f t="shared" si="0"/>
        <v>0</v>
      </c>
      <c r="E60" s="333">
        <v>1</v>
      </c>
      <c r="G60" s="394">
        <f t="shared" si="1"/>
        <v>0</v>
      </c>
      <c r="H60" s="320">
        <v>24</v>
      </c>
      <c r="I60" s="320">
        <f t="shared" si="2"/>
        <v>0</v>
      </c>
      <c r="J60" s="333">
        <f>+IFERROR(VLOOKUP(B60,#REF!,3,0),IFERROR(VLOOKUP(B60,#REF!,3,0),0))</f>
        <v>0</v>
      </c>
    </row>
    <row r="61" spans="1:10" ht="18.75" x14ac:dyDescent="0.3">
      <c r="A61" s="302" t="s">
        <v>1497</v>
      </c>
      <c r="B61" s="433">
        <v>453</v>
      </c>
      <c r="C61" s="320">
        <f>+IFERROR(VLOOKUP(B61,'Stock ISIS LK'!A:D,4,0),IFERROR(VLOOKUP(B61,'Stock ISIS CH'!A:D,4,0),0))</f>
        <v>0</v>
      </c>
      <c r="D61" s="320">
        <f t="shared" si="0"/>
        <v>0</v>
      </c>
      <c r="E61" s="333">
        <v>1</v>
      </c>
      <c r="G61" s="394">
        <f t="shared" si="1"/>
        <v>0</v>
      </c>
      <c r="H61" s="320">
        <v>24</v>
      </c>
      <c r="I61" s="320">
        <f t="shared" si="2"/>
        <v>0</v>
      </c>
      <c r="J61" s="333">
        <f>+IFERROR(VLOOKUP(B61,#REF!,3,0),IFERROR(VLOOKUP(B61,#REF!,3,0),0))</f>
        <v>0</v>
      </c>
    </row>
    <row r="62" spans="1:10" ht="18.75" x14ac:dyDescent="0.3">
      <c r="A62" s="302" t="s">
        <v>1497</v>
      </c>
      <c r="B62" s="433">
        <v>454</v>
      </c>
      <c r="C62" s="320">
        <f>+IFERROR(VLOOKUP(B62,'Stock ISIS LK'!A:D,4,0),IFERROR(VLOOKUP(B62,'Stock ISIS CH'!A:D,4,0),0))</f>
        <v>0</v>
      </c>
      <c r="D62" s="320">
        <f t="shared" si="0"/>
        <v>0</v>
      </c>
      <c r="E62" s="333">
        <v>1</v>
      </c>
      <c r="G62" s="394">
        <f t="shared" si="1"/>
        <v>0</v>
      </c>
      <c r="H62" s="320">
        <v>24</v>
      </c>
      <c r="I62" s="320">
        <f t="shared" si="2"/>
        <v>0</v>
      </c>
      <c r="J62" s="333">
        <f>+IFERROR(VLOOKUP(B62,#REF!,3,0),IFERROR(VLOOKUP(B62,#REF!,3,0),0))</f>
        <v>0</v>
      </c>
    </row>
    <row r="63" spans="1:10" ht="18.75" x14ac:dyDescent="0.3">
      <c r="A63" s="302" t="s">
        <v>1497</v>
      </c>
      <c r="B63" s="433">
        <v>455</v>
      </c>
      <c r="C63" s="320">
        <f>+IFERROR(VLOOKUP(B63,'Stock ISIS LK'!A:D,4,0),IFERROR(VLOOKUP(B63,'Stock ISIS CH'!A:D,4,0),0))</f>
        <v>0</v>
      </c>
      <c r="D63" s="320">
        <f t="shared" si="0"/>
        <v>0</v>
      </c>
      <c r="E63" s="333">
        <v>1</v>
      </c>
      <c r="G63" s="394">
        <f t="shared" si="1"/>
        <v>0</v>
      </c>
      <c r="H63" s="320">
        <v>24</v>
      </c>
      <c r="I63" s="320">
        <f t="shared" si="2"/>
        <v>0</v>
      </c>
      <c r="J63" s="333">
        <f>+IFERROR(VLOOKUP(B63,#REF!,3,0),IFERROR(VLOOKUP(B63,#REF!,3,0),0))</f>
        <v>0</v>
      </c>
    </row>
    <row r="64" spans="1:10" ht="18.75" x14ac:dyDescent="0.3">
      <c r="A64" s="302" t="s">
        <v>1497</v>
      </c>
      <c r="B64" s="433">
        <v>456</v>
      </c>
      <c r="C64" s="320">
        <f>+IFERROR(VLOOKUP(B64,'Stock ISIS LK'!A:D,4,0),IFERROR(VLOOKUP(B64,'Stock ISIS CH'!A:D,4,0),0))</f>
        <v>0</v>
      </c>
      <c r="D64" s="320">
        <f t="shared" si="0"/>
        <v>0</v>
      </c>
      <c r="E64" s="333">
        <v>1</v>
      </c>
      <c r="G64" s="394">
        <f t="shared" si="1"/>
        <v>0</v>
      </c>
      <c r="H64" s="320">
        <v>24</v>
      </c>
      <c r="I64" s="320">
        <f t="shared" si="2"/>
        <v>0</v>
      </c>
      <c r="J64" s="333">
        <f>+IFERROR(VLOOKUP(B64,#REF!,3,0),IFERROR(VLOOKUP(B64,#REF!,3,0),0))</f>
        <v>0</v>
      </c>
    </row>
    <row r="65" spans="1:10" ht="18.75" x14ac:dyDescent="0.3">
      <c r="A65" s="302" t="s">
        <v>1497</v>
      </c>
      <c r="B65" s="433">
        <v>609</v>
      </c>
      <c r="C65" s="320">
        <f>+IFERROR(VLOOKUP(B65,'Stock ISIS LK'!A:D,4,0),IFERROR(VLOOKUP(B65,'Stock ISIS CH'!A:D,4,0),0))</f>
        <v>0</v>
      </c>
      <c r="D65" s="320">
        <f t="shared" si="0"/>
        <v>0</v>
      </c>
      <c r="E65" s="333">
        <v>1</v>
      </c>
      <c r="G65" s="394">
        <f t="shared" si="1"/>
        <v>0</v>
      </c>
      <c r="H65" s="320">
        <v>12</v>
      </c>
      <c r="I65" s="320">
        <f t="shared" si="2"/>
        <v>0</v>
      </c>
      <c r="J65" s="333">
        <f>+IFERROR(VLOOKUP(B65,#REF!,3,0),IFERROR(VLOOKUP(B65,#REF!,3,0),0))</f>
        <v>0</v>
      </c>
    </row>
    <row r="66" spans="1:10" ht="18.75" x14ac:dyDescent="0.3">
      <c r="A66" s="302" t="s">
        <v>1497</v>
      </c>
      <c r="B66" s="433">
        <v>618</v>
      </c>
      <c r="C66" s="320">
        <f>+IFERROR(VLOOKUP(B66,'Stock ISIS LK'!A:D,4,0),IFERROR(VLOOKUP(B66,'Stock ISIS CH'!A:D,4,0),0))</f>
        <v>0</v>
      </c>
      <c r="D66" s="320">
        <f t="shared" si="0"/>
        <v>0</v>
      </c>
      <c r="E66" s="333">
        <v>1</v>
      </c>
      <c r="G66" s="394">
        <f t="shared" si="1"/>
        <v>0</v>
      </c>
      <c r="H66" s="320">
        <v>12</v>
      </c>
      <c r="I66" s="320">
        <f t="shared" si="2"/>
        <v>0</v>
      </c>
      <c r="J66" s="333">
        <f>+IFERROR(VLOOKUP(B66,#REF!,3,0),IFERROR(VLOOKUP(B66,#REF!,3,0),0))</f>
        <v>0</v>
      </c>
    </row>
    <row r="67" spans="1:10" ht="18.75" x14ac:dyDescent="0.3">
      <c r="A67" s="302" t="s">
        <v>1497</v>
      </c>
      <c r="B67" s="433">
        <v>619</v>
      </c>
      <c r="C67" s="320">
        <f>+IFERROR(VLOOKUP(B67,'Stock ISIS LK'!A:D,4,0),IFERROR(VLOOKUP(B67,'Stock ISIS CH'!A:D,4,0),0))</f>
        <v>0</v>
      </c>
      <c r="D67" s="320">
        <f t="shared" si="0"/>
        <v>0</v>
      </c>
      <c r="E67" s="333">
        <v>1</v>
      </c>
      <c r="G67" s="394">
        <f t="shared" si="1"/>
        <v>0</v>
      </c>
      <c r="H67" s="320">
        <v>24</v>
      </c>
      <c r="I67" s="320">
        <f t="shared" si="2"/>
        <v>0</v>
      </c>
      <c r="J67" s="333">
        <f>+IFERROR(VLOOKUP(B67,#REF!,3,0),IFERROR(VLOOKUP(B67,#REF!,3,0),0))</f>
        <v>0</v>
      </c>
    </row>
    <row r="68" spans="1:10" ht="18.75" x14ac:dyDescent="0.3">
      <c r="A68" s="302" t="s">
        <v>1497</v>
      </c>
      <c r="B68" s="433">
        <v>630</v>
      </c>
      <c r="C68" s="320">
        <f>+IFERROR(VLOOKUP(B68,'Stock ISIS LK'!A:D,4,0),IFERROR(VLOOKUP(B68,'Stock ISIS CH'!A:D,4,0),0))</f>
        <v>0</v>
      </c>
      <c r="D68" s="320">
        <f t="shared" si="0"/>
        <v>0</v>
      </c>
      <c r="E68" s="333">
        <v>1</v>
      </c>
      <c r="G68" s="394">
        <f t="shared" si="1"/>
        <v>0</v>
      </c>
      <c r="H68" s="320">
        <v>12</v>
      </c>
      <c r="I68" s="320">
        <f t="shared" si="2"/>
        <v>0</v>
      </c>
      <c r="J68" s="333">
        <f>+IFERROR(VLOOKUP(B68,#REF!,3,0),IFERROR(VLOOKUP(B68,#REF!,3,0),0))</f>
        <v>0</v>
      </c>
    </row>
    <row r="69" spans="1:10" ht="18.75" x14ac:dyDescent="0.3">
      <c r="A69" s="302" t="s">
        <v>1497</v>
      </c>
      <c r="B69" s="433">
        <v>631</v>
      </c>
      <c r="C69" s="320">
        <f>+IFERROR(VLOOKUP(B69,'Stock ISIS LK'!A:D,4,0),IFERROR(VLOOKUP(B69,'Stock ISIS CH'!A:D,4,0),0))</f>
        <v>0</v>
      </c>
      <c r="D69" s="320">
        <f t="shared" si="0"/>
        <v>0</v>
      </c>
      <c r="E69" s="333">
        <v>1</v>
      </c>
      <c r="G69" s="394">
        <f t="shared" si="1"/>
        <v>0</v>
      </c>
      <c r="H69" s="320">
        <v>24</v>
      </c>
      <c r="I69" s="320">
        <f t="shared" si="2"/>
        <v>0</v>
      </c>
      <c r="J69" s="333">
        <f>+IFERROR(VLOOKUP(B69,#REF!,3,0),IFERROR(VLOOKUP(B69,#REF!,3,0),0))</f>
        <v>0</v>
      </c>
    </row>
    <row r="70" spans="1:10" ht="18.75" x14ac:dyDescent="0.3">
      <c r="A70" s="302" t="s">
        <v>1497</v>
      </c>
      <c r="B70" s="433">
        <v>632</v>
      </c>
      <c r="C70" s="320">
        <f>+IFERROR(VLOOKUP(B70,'Stock ISIS LK'!A:D,4,0),IFERROR(VLOOKUP(B70,'Stock ISIS CH'!A:D,4,0),0))</f>
        <v>0</v>
      </c>
      <c r="D70" s="320">
        <f t="shared" si="0"/>
        <v>0</v>
      </c>
      <c r="E70" s="333">
        <v>1</v>
      </c>
      <c r="G70" s="394">
        <f t="shared" ref="G70:G133" si="3">+J70/H70</f>
        <v>0</v>
      </c>
      <c r="H70" s="320">
        <v>24</v>
      </c>
      <c r="I70" s="320">
        <f t="shared" ref="I70:I133" si="4">+G70*H70*E70</f>
        <v>0</v>
      </c>
      <c r="J70" s="333">
        <f>+IFERROR(VLOOKUP(B70,#REF!,3,0),IFERROR(VLOOKUP(B70,#REF!,3,0),0))</f>
        <v>0</v>
      </c>
    </row>
    <row r="71" spans="1:10" ht="18.75" x14ac:dyDescent="0.3">
      <c r="A71" s="302" t="s">
        <v>1497</v>
      </c>
      <c r="B71" s="433">
        <v>633</v>
      </c>
      <c r="C71" s="320">
        <f>+IFERROR(VLOOKUP(B71,'Stock ISIS LK'!A:D,4,0),IFERROR(VLOOKUP(B71,'Stock ISIS CH'!A:D,4,0),0))</f>
        <v>0</v>
      </c>
      <c r="D71" s="320">
        <f t="shared" si="0"/>
        <v>0</v>
      </c>
      <c r="E71" s="333">
        <v>1</v>
      </c>
      <c r="G71" s="394">
        <f t="shared" si="3"/>
        <v>0</v>
      </c>
      <c r="H71" s="320">
        <v>24</v>
      </c>
      <c r="I71" s="320">
        <f t="shared" si="4"/>
        <v>0</v>
      </c>
      <c r="J71" s="333">
        <f>+IFERROR(VLOOKUP(B71,#REF!,3,0),IFERROR(VLOOKUP(B71,#REF!,3,0),0))</f>
        <v>0</v>
      </c>
    </row>
    <row r="72" spans="1:10" ht="18.75" x14ac:dyDescent="0.3">
      <c r="A72" s="302" t="s">
        <v>1497</v>
      </c>
      <c r="B72" s="433">
        <v>634</v>
      </c>
      <c r="C72" s="320">
        <f>+IFERROR(VLOOKUP(B72,'Stock ISIS LK'!A:D,4,0),IFERROR(VLOOKUP(B72,'Stock ISIS CH'!A:D,4,0),0))</f>
        <v>0</v>
      </c>
      <c r="D72" s="320">
        <f t="shared" si="0"/>
        <v>0</v>
      </c>
      <c r="E72" s="333">
        <v>1</v>
      </c>
      <c r="G72" s="394">
        <f t="shared" si="3"/>
        <v>0</v>
      </c>
      <c r="H72" s="320">
        <v>24</v>
      </c>
      <c r="I72" s="320">
        <f t="shared" si="4"/>
        <v>0</v>
      </c>
      <c r="J72" s="333">
        <f>+IFERROR(VLOOKUP(B72,#REF!,3,0),IFERROR(VLOOKUP(B72,#REF!,3,0),0))</f>
        <v>0</v>
      </c>
    </row>
    <row r="73" spans="1:10" ht="18.75" x14ac:dyDescent="0.3">
      <c r="A73" s="302" t="s">
        <v>1497</v>
      </c>
      <c r="B73" s="433">
        <v>635</v>
      </c>
      <c r="C73" s="320">
        <f>+IFERROR(VLOOKUP(B73,'Stock ISIS LK'!A:D,4,0),IFERROR(VLOOKUP(B73,'Stock ISIS CH'!A:D,4,0),0))</f>
        <v>0</v>
      </c>
      <c r="D73" s="320">
        <f t="shared" si="0"/>
        <v>0</v>
      </c>
      <c r="E73" s="333">
        <v>1</v>
      </c>
      <c r="G73" s="394">
        <f t="shared" si="3"/>
        <v>0</v>
      </c>
      <c r="H73" s="320">
        <v>24</v>
      </c>
      <c r="I73" s="320">
        <f t="shared" si="4"/>
        <v>0</v>
      </c>
      <c r="J73" s="333">
        <f>+IFERROR(VLOOKUP(B73,#REF!,3,0),IFERROR(VLOOKUP(B73,#REF!,3,0),0))</f>
        <v>0</v>
      </c>
    </row>
    <row r="74" spans="1:10" ht="18.75" x14ac:dyDescent="0.3">
      <c r="A74" s="302" t="s">
        <v>1497</v>
      </c>
      <c r="B74" s="433">
        <v>636</v>
      </c>
      <c r="C74" s="320">
        <f>+IFERROR(VLOOKUP(B74,'Stock ISIS LK'!A:D,4,0),IFERROR(VLOOKUP(B74,'Stock ISIS CH'!A:D,4,0),0))</f>
        <v>0</v>
      </c>
      <c r="D74" s="320">
        <f t="shared" si="0"/>
        <v>0</v>
      </c>
      <c r="E74" s="333">
        <v>1</v>
      </c>
      <c r="G74" s="394">
        <f t="shared" si="3"/>
        <v>0</v>
      </c>
      <c r="H74" s="320">
        <v>24</v>
      </c>
      <c r="I74" s="320">
        <f t="shared" si="4"/>
        <v>0</v>
      </c>
      <c r="J74" s="333">
        <f>+IFERROR(VLOOKUP(B74,#REF!,3,0),IFERROR(VLOOKUP(B74,#REF!,3,0),0))</f>
        <v>0</v>
      </c>
    </row>
    <row r="75" spans="1:10" ht="18.75" x14ac:dyDescent="0.3">
      <c r="A75" s="302" t="s">
        <v>1497</v>
      </c>
      <c r="B75" s="433">
        <v>637</v>
      </c>
      <c r="C75" s="320">
        <f>+IFERROR(VLOOKUP(B75,'Stock ISIS LK'!A:D,4,0),IFERROR(VLOOKUP(B75,'Stock ISIS CH'!A:D,4,0),0))</f>
        <v>0</v>
      </c>
      <c r="D75" s="320">
        <f t="shared" si="0"/>
        <v>0</v>
      </c>
      <c r="E75" s="333">
        <v>1</v>
      </c>
      <c r="G75" s="394">
        <f t="shared" si="3"/>
        <v>0</v>
      </c>
      <c r="H75" s="320">
        <v>12</v>
      </c>
      <c r="I75" s="320">
        <f t="shared" si="4"/>
        <v>0</v>
      </c>
      <c r="J75" s="333">
        <f>+IFERROR(VLOOKUP(B75,#REF!,3,0),IFERROR(VLOOKUP(B75,#REF!,3,0),0))</f>
        <v>0</v>
      </c>
    </row>
    <row r="76" spans="1:10" ht="18.75" x14ac:dyDescent="0.3">
      <c r="A76" s="302" t="s">
        <v>1497</v>
      </c>
      <c r="B76" s="433">
        <v>789</v>
      </c>
      <c r="C76" s="320">
        <f>+IFERROR(VLOOKUP(B76,'Stock ISIS LK'!A:D,4,0),IFERROR(VLOOKUP(B76,'Stock ISIS CH'!A:D,4,0),0))</f>
        <v>0</v>
      </c>
      <c r="D76" s="320">
        <f t="shared" si="0"/>
        <v>0</v>
      </c>
      <c r="E76" s="333">
        <v>1</v>
      </c>
      <c r="G76" s="394">
        <f t="shared" si="3"/>
        <v>0</v>
      </c>
      <c r="H76" s="320">
        <v>24</v>
      </c>
      <c r="I76" s="320">
        <f t="shared" si="4"/>
        <v>0</v>
      </c>
      <c r="J76" s="333">
        <f>+IFERROR(VLOOKUP(B76,#REF!,3,0),IFERROR(VLOOKUP(B76,#REF!,3,0),0))</f>
        <v>0</v>
      </c>
    </row>
    <row r="77" spans="1:10" ht="18.75" x14ac:dyDescent="0.3">
      <c r="A77" s="302" t="s">
        <v>1497</v>
      </c>
      <c r="B77" s="433">
        <v>824</v>
      </c>
      <c r="C77" s="320">
        <f>+IFERROR(VLOOKUP(B77,'Stock ISIS LK'!A:D,4,0),IFERROR(VLOOKUP(B77,'Stock ISIS CH'!A:D,4,0),0))</f>
        <v>0</v>
      </c>
      <c r="D77" s="320">
        <f t="shared" si="0"/>
        <v>0</v>
      </c>
      <c r="E77" s="333">
        <v>1</v>
      </c>
      <c r="G77" s="394">
        <f t="shared" si="3"/>
        <v>0</v>
      </c>
      <c r="H77" s="320">
        <v>12</v>
      </c>
      <c r="I77" s="320">
        <f t="shared" si="4"/>
        <v>0</v>
      </c>
      <c r="J77" s="333">
        <f>+IFERROR(VLOOKUP(B77,#REF!,3,0),IFERROR(VLOOKUP(B77,#REF!,3,0),0))</f>
        <v>0</v>
      </c>
    </row>
    <row r="78" spans="1:10" ht="18.75" x14ac:dyDescent="0.3">
      <c r="A78" s="302" t="s">
        <v>1497</v>
      </c>
      <c r="B78" s="433">
        <v>825</v>
      </c>
      <c r="C78" s="320">
        <f>+IFERROR(VLOOKUP(B78,'Stock ISIS LK'!A:D,4,0),IFERROR(VLOOKUP(B78,'Stock ISIS CH'!A:D,4,0),0))</f>
        <v>0</v>
      </c>
      <c r="D78" s="320">
        <f t="shared" si="0"/>
        <v>0</v>
      </c>
      <c r="E78" s="333">
        <v>1</v>
      </c>
      <c r="G78" s="394">
        <f t="shared" si="3"/>
        <v>0</v>
      </c>
      <c r="H78" s="320">
        <v>24</v>
      </c>
      <c r="I78" s="320">
        <f t="shared" si="4"/>
        <v>0</v>
      </c>
      <c r="J78" s="333">
        <f>+IFERROR(VLOOKUP(B78,#REF!,3,0),IFERROR(VLOOKUP(B78,#REF!,3,0),0))</f>
        <v>0</v>
      </c>
    </row>
    <row r="79" spans="1:10" ht="18.75" x14ac:dyDescent="0.3">
      <c r="A79" s="302" t="s">
        <v>1497</v>
      </c>
      <c r="B79" s="433">
        <v>840</v>
      </c>
      <c r="C79" s="320">
        <f>+IFERROR(VLOOKUP(B79,'Stock ISIS LK'!A:D,4,0),IFERROR(VLOOKUP(B79,'Stock ISIS CH'!A:D,4,0),0))</f>
        <v>0</v>
      </c>
      <c r="D79" s="320">
        <f t="shared" si="0"/>
        <v>0</v>
      </c>
      <c r="E79" s="333">
        <v>1</v>
      </c>
      <c r="G79" s="394">
        <f t="shared" si="3"/>
        <v>0</v>
      </c>
      <c r="H79" s="320">
        <v>12</v>
      </c>
      <c r="I79" s="320">
        <f t="shared" si="4"/>
        <v>0</v>
      </c>
      <c r="J79" s="333">
        <f>+IFERROR(VLOOKUP(B79,#REF!,3,0),IFERROR(VLOOKUP(B79,#REF!,3,0),0))</f>
        <v>0</v>
      </c>
    </row>
    <row r="80" spans="1:10" ht="18.75" x14ac:dyDescent="0.3">
      <c r="A80" s="302" t="s">
        <v>1497</v>
      </c>
      <c r="B80" s="433">
        <v>842</v>
      </c>
      <c r="C80" s="320">
        <f>+IFERROR(VLOOKUP(B80,'Stock ISIS LK'!A:D,4,0),IFERROR(VLOOKUP(B80,'Stock ISIS CH'!A:D,4,0),0))</f>
        <v>0</v>
      </c>
      <c r="D80" s="320">
        <f t="shared" si="0"/>
        <v>0</v>
      </c>
      <c r="E80" s="333">
        <v>1</v>
      </c>
      <c r="G80" s="394">
        <f t="shared" si="3"/>
        <v>0</v>
      </c>
      <c r="H80" s="320">
        <v>24</v>
      </c>
      <c r="I80" s="320">
        <f t="shared" si="4"/>
        <v>0</v>
      </c>
      <c r="J80" s="333">
        <f>+IFERROR(VLOOKUP(B80,#REF!,3,0),IFERROR(VLOOKUP(B80,#REF!,3,0),0))</f>
        <v>0</v>
      </c>
    </row>
    <row r="81" spans="1:10" ht="18.75" x14ac:dyDescent="0.3">
      <c r="A81" s="302" t="s">
        <v>1497</v>
      </c>
      <c r="B81" s="433">
        <v>843</v>
      </c>
      <c r="C81" s="320">
        <f>+IFERROR(VLOOKUP(B81,'Stock ISIS LK'!A:D,4,0),IFERROR(VLOOKUP(B81,'Stock ISIS CH'!A:D,4,0),0))</f>
        <v>0</v>
      </c>
      <c r="D81" s="320">
        <f t="shared" si="0"/>
        <v>0</v>
      </c>
      <c r="E81" s="333">
        <v>1</v>
      </c>
      <c r="G81" s="394">
        <f t="shared" si="3"/>
        <v>0</v>
      </c>
      <c r="H81" s="320">
        <v>24</v>
      </c>
      <c r="I81" s="320">
        <f t="shared" si="4"/>
        <v>0</v>
      </c>
      <c r="J81" s="333">
        <f>+IFERROR(VLOOKUP(B81,#REF!,3,0),IFERROR(VLOOKUP(B81,#REF!,3,0),0))</f>
        <v>0</v>
      </c>
    </row>
    <row r="82" spans="1:10" ht="18.75" x14ac:dyDescent="0.3">
      <c r="A82" s="302" t="s">
        <v>1497</v>
      </c>
      <c r="B82" s="433">
        <v>844</v>
      </c>
      <c r="C82" s="320">
        <f>+IFERROR(VLOOKUP(B82,'Stock ISIS LK'!A:D,4,0),IFERROR(VLOOKUP(B82,'Stock ISIS CH'!A:D,4,0),0))</f>
        <v>0</v>
      </c>
      <c r="D82" s="320">
        <f t="shared" si="0"/>
        <v>0</v>
      </c>
      <c r="E82" s="333">
        <v>1</v>
      </c>
      <c r="G82" s="394">
        <f t="shared" si="3"/>
        <v>0</v>
      </c>
      <c r="H82" s="320">
        <v>24</v>
      </c>
      <c r="I82" s="320">
        <f t="shared" si="4"/>
        <v>0</v>
      </c>
      <c r="J82" s="333">
        <f>+IFERROR(VLOOKUP(B82,#REF!,3,0),IFERROR(VLOOKUP(B82,#REF!,3,0),0))</f>
        <v>0</v>
      </c>
    </row>
    <row r="83" spans="1:10" ht="18.75" x14ac:dyDescent="0.3">
      <c r="A83" s="302" t="s">
        <v>1497</v>
      </c>
      <c r="B83" s="433">
        <v>845</v>
      </c>
      <c r="C83" s="320">
        <f>+IFERROR(VLOOKUP(B83,'Stock ISIS LK'!A:D,4,0),IFERROR(VLOOKUP(B83,'Stock ISIS CH'!A:D,4,0),0))</f>
        <v>0</v>
      </c>
      <c r="D83" s="320">
        <f t="shared" si="0"/>
        <v>0</v>
      </c>
      <c r="E83" s="333">
        <v>1</v>
      </c>
      <c r="G83" s="394">
        <f t="shared" si="3"/>
        <v>0</v>
      </c>
      <c r="H83" s="320">
        <v>24</v>
      </c>
      <c r="I83" s="320">
        <f t="shared" si="4"/>
        <v>0</v>
      </c>
      <c r="J83" s="333">
        <f>+IFERROR(VLOOKUP(B83,#REF!,3,0),IFERROR(VLOOKUP(B83,#REF!,3,0),0))</f>
        <v>0</v>
      </c>
    </row>
    <row r="84" spans="1:10" ht="18.75" x14ac:dyDescent="0.3">
      <c r="A84" s="302" t="s">
        <v>1497</v>
      </c>
      <c r="B84" s="433">
        <v>846</v>
      </c>
      <c r="C84" s="320">
        <f>+IFERROR(VLOOKUP(B84,'Stock ISIS LK'!A:D,4,0),IFERROR(VLOOKUP(B84,'Stock ISIS CH'!A:D,4,0),0))</f>
        <v>0</v>
      </c>
      <c r="D84" s="320">
        <f t="shared" si="0"/>
        <v>0</v>
      </c>
      <c r="E84" s="333">
        <v>1</v>
      </c>
      <c r="G84" s="394">
        <f t="shared" si="3"/>
        <v>0</v>
      </c>
      <c r="H84" s="320">
        <v>24</v>
      </c>
      <c r="I84" s="320">
        <f t="shared" si="4"/>
        <v>0</v>
      </c>
      <c r="J84" s="333">
        <f>+IFERROR(VLOOKUP(B84,#REF!,3,0),IFERROR(VLOOKUP(B84,#REF!,3,0),0))</f>
        <v>0</v>
      </c>
    </row>
    <row r="85" spans="1:10" ht="18.75" x14ac:dyDescent="0.3">
      <c r="A85" s="302" t="s">
        <v>1497</v>
      </c>
      <c r="B85" s="433">
        <v>847</v>
      </c>
      <c r="C85" s="320">
        <f>+IFERROR(VLOOKUP(B85,'Stock ISIS LK'!A:D,4,0),IFERROR(VLOOKUP(B85,'Stock ISIS CH'!A:D,4,0),0))</f>
        <v>0</v>
      </c>
      <c r="D85" s="320">
        <f t="shared" si="0"/>
        <v>0</v>
      </c>
      <c r="E85" s="333">
        <v>1</v>
      </c>
      <c r="G85" s="394">
        <f t="shared" si="3"/>
        <v>0</v>
      </c>
      <c r="H85" s="320">
        <v>24</v>
      </c>
      <c r="I85" s="320">
        <f t="shared" si="4"/>
        <v>0</v>
      </c>
      <c r="J85" s="333">
        <f>+IFERROR(VLOOKUP(B85,#REF!,3,0),IFERROR(VLOOKUP(B85,#REF!,3,0),0))</f>
        <v>0</v>
      </c>
    </row>
    <row r="86" spans="1:10" ht="18.75" x14ac:dyDescent="0.3">
      <c r="A86" s="302" t="s">
        <v>1497</v>
      </c>
      <c r="B86" s="433">
        <v>848</v>
      </c>
      <c r="C86" s="320">
        <f>+IFERROR(VLOOKUP(B86,'Stock ISIS LK'!A:D,4,0),IFERROR(VLOOKUP(B86,'Stock ISIS CH'!A:D,4,0),0))</f>
        <v>0</v>
      </c>
      <c r="D86" s="320">
        <f t="shared" si="0"/>
        <v>0</v>
      </c>
      <c r="E86" s="333">
        <v>1</v>
      </c>
      <c r="G86" s="394">
        <f t="shared" si="3"/>
        <v>0</v>
      </c>
      <c r="H86" s="320">
        <v>24</v>
      </c>
      <c r="I86" s="320">
        <f t="shared" si="4"/>
        <v>0</v>
      </c>
      <c r="J86" s="333">
        <f>+IFERROR(VLOOKUP(B86,#REF!,3,0),IFERROR(VLOOKUP(B86,#REF!,3,0),0))</f>
        <v>0</v>
      </c>
    </row>
    <row r="87" spans="1:10" ht="18.75" x14ac:dyDescent="0.3">
      <c r="A87" s="302" t="s">
        <v>1497</v>
      </c>
      <c r="B87" s="433">
        <v>872</v>
      </c>
      <c r="C87" s="320">
        <f>+IFERROR(VLOOKUP(B87,'Stock ISIS LK'!A:D,4,0),IFERROR(VLOOKUP(B87,'Stock ISIS CH'!A:D,4,0),0))</f>
        <v>0</v>
      </c>
      <c r="D87" s="320">
        <f t="shared" si="0"/>
        <v>0</v>
      </c>
      <c r="E87" s="333">
        <v>1</v>
      </c>
      <c r="G87" s="394">
        <f t="shared" si="3"/>
        <v>0</v>
      </c>
      <c r="H87" s="320">
        <v>12</v>
      </c>
      <c r="I87" s="320">
        <f t="shared" si="4"/>
        <v>0</v>
      </c>
      <c r="J87" s="333">
        <f>+IFERROR(VLOOKUP(B87,#REF!,3,0),IFERROR(VLOOKUP(B87,#REF!,3,0),0))</f>
        <v>0</v>
      </c>
    </row>
    <row r="88" spans="1:10" ht="18.75" x14ac:dyDescent="0.3">
      <c r="A88" s="302" t="s">
        <v>1497</v>
      </c>
      <c r="B88" s="433">
        <v>873</v>
      </c>
      <c r="C88" s="320">
        <f>+IFERROR(VLOOKUP(B88,'Stock ISIS LK'!A:D,4,0),IFERROR(VLOOKUP(B88,'Stock ISIS CH'!A:D,4,0),0))</f>
        <v>0</v>
      </c>
      <c r="D88" s="320">
        <f t="shared" si="0"/>
        <v>0</v>
      </c>
      <c r="E88" s="333">
        <v>1</v>
      </c>
      <c r="G88" s="394">
        <f t="shared" si="3"/>
        <v>0</v>
      </c>
      <c r="H88" s="320">
        <v>12</v>
      </c>
      <c r="I88" s="320">
        <f t="shared" si="4"/>
        <v>0</v>
      </c>
      <c r="J88" s="333">
        <f>+IFERROR(VLOOKUP(B88,#REF!,3,0),IFERROR(VLOOKUP(B88,#REF!,3,0),0))</f>
        <v>0</v>
      </c>
    </row>
    <row r="89" spans="1:10" ht="18.75" x14ac:dyDescent="0.3">
      <c r="A89" s="302" t="s">
        <v>1497</v>
      </c>
      <c r="B89" s="433">
        <v>912</v>
      </c>
      <c r="C89" s="320">
        <f>+IFERROR(VLOOKUP(B89,'Stock ISIS LK'!A:D,4,0),IFERROR(VLOOKUP(B89,'Stock ISIS CH'!A:D,4,0),0))</f>
        <v>0</v>
      </c>
      <c r="D89" s="320">
        <f t="shared" si="0"/>
        <v>0</v>
      </c>
      <c r="E89" s="333">
        <v>1</v>
      </c>
      <c r="G89" s="394">
        <f t="shared" si="3"/>
        <v>0</v>
      </c>
      <c r="H89" s="320">
        <v>12</v>
      </c>
      <c r="I89" s="320">
        <f t="shared" si="4"/>
        <v>0</v>
      </c>
      <c r="J89" s="333">
        <f>+IFERROR(VLOOKUP(B89,#REF!,3,0),IFERROR(VLOOKUP(B89,#REF!,3,0),0))</f>
        <v>0</v>
      </c>
    </row>
    <row r="90" spans="1:10" ht="18.75" x14ac:dyDescent="0.3">
      <c r="A90" s="302" t="s">
        <v>1497</v>
      </c>
      <c r="B90" s="433">
        <v>901</v>
      </c>
      <c r="C90" s="320">
        <f>+IFERROR(VLOOKUP(B90,'Stock ISIS LK'!A:D,4,0),IFERROR(VLOOKUP(B90,'Stock ISIS CH'!A:D,4,0),0))</f>
        <v>0</v>
      </c>
      <c r="D90" s="320">
        <f t="shared" si="0"/>
        <v>0</v>
      </c>
      <c r="E90" s="333">
        <v>1</v>
      </c>
      <c r="G90" s="394">
        <f t="shared" si="3"/>
        <v>0</v>
      </c>
      <c r="H90" s="320">
        <v>12</v>
      </c>
      <c r="I90" s="320">
        <f t="shared" si="4"/>
        <v>0</v>
      </c>
      <c r="J90" s="333">
        <f>+IFERROR(VLOOKUP(B90,#REF!,3,0),IFERROR(VLOOKUP(B90,#REF!,3,0),0))</f>
        <v>0</v>
      </c>
    </row>
    <row r="91" spans="1:10" ht="18.75" x14ac:dyDescent="0.3">
      <c r="A91" s="302" t="s">
        <v>1497</v>
      </c>
      <c r="B91" s="433">
        <v>902</v>
      </c>
      <c r="C91" s="320">
        <f>+IFERROR(VLOOKUP(B91,'Stock ISIS LK'!A:D,4,0),IFERROR(VLOOKUP(B91,'Stock ISIS CH'!A:D,4,0),0))</f>
        <v>0</v>
      </c>
      <c r="D91" s="320">
        <f t="shared" si="0"/>
        <v>0</v>
      </c>
      <c r="E91" s="333">
        <v>1</v>
      </c>
      <c r="G91" s="394">
        <f t="shared" si="3"/>
        <v>0</v>
      </c>
      <c r="H91" s="320">
        <v>12</v>
      </c>
      <c r="I91" s="320">
        <f t="shared" si="4"/>
        <v>0</v>
      </c>
      <c r="J91" s="333">
        <f>+IFERROR(VLOOKUP(B91,#REF!,3,0),IFERROR(VLOOKUP(B91,#REF!,3,0),0))</f>
        <v>0</v>
      </c>
    </row>
    <row r="92" spans="1:10" ht="18.75" x14ac:dyDescent="0.3">
      <c r="A92" s="302" t="s">
        <v>1497</v>
      </c>
      <c r="B92" s="433">
        <v>910</v>
      </c>
      <c r="C92" s="320">
        <f>+IFERROR(VLOOKUP(B92,'Stock ISIS LK'!A:D,4,0),IFERROR(VLOOKUP(B92,'Stock ISIS CH'!A:D,4,0),0))</f>
        <v>0</v>
      </c>
      <c r="D92" s="320">
        <f t="shared" si="0"/>
        <v>0</v>
      </c>
      <c r="E92" s="333">
        <v>1</v>
      </c>
      <c r="G92" s="394">
        <f t="shared" si="3"/>
        <v>0</v>
      </c>
      <c r="H92" s="320">
        <v>12</v>
      </c>
      <c r="I92" s="320">
        <f t="shared" si="4"/>
        <v>0</v>
      </c>
      <c r="J92" s="333">
        <f>+IFERROR(VLOOKUP(B92,#REF!,3,0),IFERROR(VLOOKUP(B92,#REF!,3,0),0))</f>
        <v>0</v>
      </c>
    </row>
    <row r="93" spans="1:10" ht="18.75" x14ac:dyDescent="0.3">
      <c r="A93" s="302" t="s">
        <v>1497</v>
      </c>
      <c r="B93" s="433">
        <v>911</v>
      </c>
      <c r="C93" s="320">
        <f>+IFERROR(VLOOKUP(B93,'Stock ISIS LK'!A:D,4,0),IFERROR(VLOOKUP(B93,'Stock ISIS CH'!A:D,4,0),0))</f>
        <v>0</v>
      </c>
      <c r="D93" s="320">
        <f t="shared" si="0"/>
        <v>0</v>
      </c>
      <c r="E93" s="333">
        <v>1</v>
      </c>
      <c r="G93" s="394">
        <f t="shared" si="3"/>
        <v>0</v>
      </c>
      <c r="H93" s="320">
        <v>12</v>
      </c>
      <c r="I93" s="320">
        <f t="shared" si="4"/>
        <v>0</v>
      </c>
      <c r="J93" s="333">
        <f>+IFERROR(VLOOKUP(B93,#REF!,3,0),IFERROR(VLOOKUP(B93,#REF!,3,0),0))</f>
        <v>0</v>
      </c>
    </row>
    <row r="94" spans="1:10" ht="18.75" x14ac:dyDescent="0.3">
      <c r="A94" s="302" t="s">
        <v>1497</v>
      </c>
      <c r="B94" s="433">
        <v>920</v>
      </c>
      <c r="C94" s="320">
        <f>+IFERROR(VLOOKUP(B94,'Stock ISIS LK'!A:D,4,0),IFERROR(VLOOKUP(B94,'Stock ISIS CH'!A:D,4,0),0))</f>
        <v>0</v>
      </c>
      <c r="D94" s="320">
        <f t="shared" si="0"/>
        <v>0</v>
      </c>
      <c r="E94" s="333">
        <v>1</v>
      </c>
      <c r="G94" s="394">
        <f t="shared" si="3"/>
        <v>0</v>
      </c>
      <c r="H94" s="320">
        <v>12</v>
      </c>
      <c r="I94" s="320">
        <f t="shared" si="4"/>
        <v>0</v>
      </c>
      <c r="J94" s="333">
        <f>+IFERROR(VLOOKUP(B94,#REF!,3,0),IFERROR(VLOOKUP(B94,#REF!,3,0),0))</f>
        <v>0</v>
      </c>
    </row>
    <row r="95" spans="1:10" ht="18.75" x14ac:dyDescent="0.3">
      <c r="A95" s="302" t="s">
        <v>1497</v>
      </c>
      <c r="B95" s="433">
        <v>922</v>
      </c>
      <c r="C95" s="320">
        <f>+IFERROR(VLOOKUP(B95,'Stock ISIS LK'!A:D,4,0),IFERROR(VLOOKUP(B95,'Stock ISIS CH'!A:D,4,0),0))</f>
        <v>0</v>
      </c>
      <c r="D95" s="320">
        <f t="shared" si="0"/>
        <v>0</v>
      </c>
      <c r="E95" s="333">
        <v>1</v>
      </c>
      <c r="G95" s="394">
        <f t="shared" si="3"/>
        <v>0</v>
      </c>
      <c r="H95" s="320">
        <v>12</v>
      </c>
      <c r="I95" s="320">
        <f t="shared" si="4"/>
        <v>0</v>
      </c>
      <c r="J95" s="333">
        <f>+IFERROR(VLOOKUP(B95,#REF!,3,0),IFERROR(VLOOKUP(B95,#REF!,3,0),0))</f>
        <v>0</v>
      </c>
    </row>
    <row r="96" spans="1:10" ht="18.75" x14ac:dyDescent="0.3">
      <c r="A96" s="302" t="s">
        <v>1497</v>
      </c>
      <c r="B96" s="433">
        <v>828</v>
      </c>
      <c r="C96" s="320">
        <f>+IFERROR(VLOOKUP(B96,'Stock ISIS LK'!A:D,4,0),IFERROR(VLOOKUP(B96,'Stock ISIS CH'!A:D,4,0),0))</f>
        <v>0</v>
      </c>
      <c r="D96" s="320">
        <f t="shared" si="0"/>
        <v>0</v>
      </c>
      <c r="E96" s="333">
        <v>1</v>
      </c>
      <c r="G96" s="394">
        <f t="shared" si="3"/>
        <v>0</v>
      </c>
      <c r="H96" s="320">
        <v>24</v>
      </c>
      <c r="I96" s="320">
        <f t="shared" si="4"/>
        <v>0</v>
      </c>
      <c r="J96" s="333">
        <f>+IFERROR(VLOOKUP(B96,#REF!,3,0),IFERROR(VLOOKUP(B96,#REF!,3,0),0))</f>
        <v>0</v>
      </c>
    </row>
    <row r="97" spans="1:10" ht="18.75" x14ac:dyDescent="0.3">
      <c r="A97" s="302" t="s">
        <v>1497</v>
      </c>
      <c r="B97" s="433">
        <v>830</v>
      </c>
      <c r="C97" s="320">
        <f>+IFERROR(VLOOKUP(B97,'Stock ISIS LK'!A:D,4,0),IFERROR(VLOOKUP(B97,'Stock ISIS CH'!A:D,4,0),0))</f>
        <v>0</v>
      </c>
      <c r="D97" s="320">
        <f t="shared" si="0"/>
        <v>0</v>
      </c>
      <c r="E97" s="333">
        <v>1</v>
      </c>
      <c r="G97" s="394">
        <f t="shared" si="3"/>
        <v>0</v>
      </c>
      <c r="H97" s="320">
        <v>24</v>
      </c>
      <c r="I97" s="320">
        <f t="shared" si="4"/>
        <v>0</v>
      </c>
      <c r="J97" s="333">
        <f>+IFERROR(VLOOKUP(B97,#REF!,3,0),IFERROR(VLOOKUP(B97,#REF!,3,0),0))</f>
        <v>0</v>
      </c>
    </row>
    <row r="98" spans="1:10" ht="18.75" x14ac:dyDescent="0.3">
      <c r="A98" s="302" t="s">
        <v>1499</v>
      </c>
      <c r="B98" s="433">
        <v>66</v>
      </c>
      <c r="C98" s="320">
        <f>+IFERROR(VLOOKUP(B98,'Stock ISIS LK'!A:D,4,0),IFERROR(VLOOKUP(B98,'Stock ISIS CH'!A:D,4,0),0))</f>
        <v>0</v>
      </c>
      <c r="D98" s="320">
        <f t="shared" si="0"/>
        <v>0</v>
      </c>
      <c r="E98" s="333">
        <v>1</v>
      </c>
      <c r="G98" s="394">
        <f t="shared" si="3"/>
        <v>0</v>
      </c>
      <c r="H98" s="320">
        <v>6</v>
      </c>
      <c r="I98" s="320">
        <f t="shared" si="4"/>
        <v>0</v>
      </c>
      <c r="J98" s="333">
        <f>+IFERROR(VLOOKUP(B98,#REF!,3,0),IFERROR(VLOOKUP(B98,#REF!,3,0),0))</f>
        <v>0</v>
      </c>
    </row>
    <row r="99" spans="1:10" ht="18.75" x14ac:dyDescent="0.3">
      <c r="A99" s="391">
        <v>505</v>
      </c>
      <c r="B99" s="433">
        <v>505</v>
      </c>
      <c r="C99" s="320">
        <f>+IFERROR(VLOOKUP(B99,'Stock ISIS LK'!A:D,4,0),IFERROR(VLOOKUP(B99,'Stock ISIS CH'!A:D,4,0),0))</f>
        <v>0</v>
      </c>
      <c r="D99" s="320">
        <f t="shared" si="0"/>
        <v>0</v>
      </c>
      <c r="E99" s="333">
        <v>1</v>
      </c>
      <c r="G99" s="394">
        <f t="shared" si="3"/>
        <v>0</v>
      </c>
      <c r="H99" s="320">
        <v>12</v>
      </c>
      <c r="I99" s="320">
        <f t="shared" si="4"/>
        <v>0</v>
      </c>
      <c r="J99" s="333">
        <f>+IFERROR(VLOOKUP(B99,#REF!,3,0),IFERROR(VLOOKUP(B99,#REF!,3,0),0))</f>
        <v>0</v>
      </c>
    </row>
    <row r="100" spans="1:10" ht="18.75" x14ac:dyDescent="0.3">
      <c r="A100" s="391">
        <v>520</v>
      </c>
      <c r="B100" s="433">
        <v>520</v>
      </c>
      <c r="C100" s="320">
        <f>+IFERROR(VLOOKUP(B100,'Stock ISIS LK'!A:D,4,0),IFERROR(VLOOKUP(B100,'Stock ISIS CH'!A:D,4,0),0))</f>
        <v>0</v>
      </c>
      <c r="D100" s="320">
        <f t="shared" si="0"/>
        <v>0</v>
      </c>
      <c r="E100" s="333">
        <v>1</v>
      </c>
      <c r="G100" s="394">
        <f t="shared" si="3"/>
        <v>0</v>
      </c>
      <c r="H100" s="320">
        <v>12</v>
      </c>
      <c r="I100" s="320">
        <f t="shared" si="4"/>
        <v>0</v>
      </c>
      <c r="J100" s="333">
        <f>+IFERROR(VLOOKUP(B100,#REF!,3,0),IFERROR(VLOOKUP(B100,#REF!,3,0),0))</f>
        <v>0</v>
      </c>
    </row>
    <row r="101" spans="1:10" ht="18.75" x14ac:dyDescent="0.3">
      <c r="A101" s="391">
        <v>562</v>
      </c>
      <c r="B101" s="433">
        <v>562</v>
      </c>
      <c r="C101" s="320">
        <f>+IFERROR(VLOOKUP(B101,'Stock ISIS LK'!A:D,4,0),IFERROR(VLOOKUP(B101,'Stock ISIS CH'!A:D,4,0),0))</f>
        <v>0</v>
      </c>
      <c r="D101" s="320">
        <f t="shared" si="0"/>
        <v>0</v>
      </c>
      <c r="E101" s="333">
        <v>1</v>
      </c>
      <c r="G101" s="394">
        <f t="shared" si="3"/>
        <v>0</v>
      </c>
      <c r="H101" s="320">
        <v>12</v>
      </c>
      <c r="I101" s="320">
        <f t="shared" si="4"/>
        <v>0</v>
      </c>
      <c r="J101" s="333">
        <f>+IFERROR(VLOOKUP(B101,#REF!,3,0),IFERROR(VLOOKUP(B101,#REF!,3,0),0))</f>
        <v>0</v>
      </c>
    </row>
    <row r="102" spans="1:10" ht="18.75" x14ac:dyDescent="0.3">
      <c r="A102" s="391">
        <v>565</v>
      </c>
      <c r="B102" s="433">
        <v>565</v>
      </c>
      <c r="C102" s="320">
        <f>+IFERROR(VLOOKUP(B102,'Stock ISIS LK'!A:D,4,0),IFERROR(VLOOKUP(B102,'Stock ISIS CH'!A:D,4,0),0))</f>
        <v>0</v>
      </c>
      <c r="D102" s="320">
        <f t="shared" si="0"/>
        <v>0</v>
      </c>
      <c r="E102" s="333">
        <v>1</v>
      </c>
      <c r="G102" s="394">
        <f t="shared" si="3"/>
        <v>0</v>
      </c>
      <c r="H102" s="320">
        <v>12</v>
      </c>
      <c r="I102" s="320">
        <f t="shared" si="4"/>
        <v>0</v>
      </c>
      <c r="J102" s="333">
        <f>+IFERROR(VLOOKUP(B102,#REF!,3,0),IFERROR(VLOOKUP(B102,#REF!,3,0),0))</f>
        <v>0</v>
      </c>
    </row>
    <row r="103" spans="1:10" ht="18.75" x14ac:dyDescent="0.3">
      <c r="A103" s="391">
        <v>575</v>
      </c>
      <c r="B103" s="433">
        <v>575</v>
      </c>
      <c r="C103" s="320">
        <f>+IFERROR(VLOOKUP(B103,'Stock ISIS LK'!A:D,4,0),IFERROR(VLOOKUP(B103,'Stock ISIS CH'!A:D,4,0),0))</f>
        <v>0</v>
      </c>
      <c r="D103" s="320">
        <f t="shared" si="0"/>
        <v>0</v>
      </c>
      <c r="E103" s="333">
        <v>1</v>
      </c>
      <c r="G103" s="394">
        <f t="shared" si="3"/>
        <v>0</v>
      </c>
      <c r="H103" s="320">
        <v>12</v>
      </c>
      <c r="I103" s="320">
        <f t="shared" si="4"/>
        <v>0</v>
      </c>
      <c r="J103" s="333">
        <f>+IFERROR(VLOOKUP(B103,#REF!,3,0),IFERROR(VLOOKUP(B103,#REF!,3,0),0))</f>
        <v>0</v>
      </c>
    </row>
    <row r="104" spans="1:10" ht="18.75" x14ac:dyDescent="0.3">
      <c r="A104" s="391">
        <v>577</v>
      </c>
      <c r="B104" s="433">
        <v>577</v>
      </c>
      <c r="C104" s="320">
        <f>+IFERROR(VLOOKUP(B104,'Stock ISIS LK'!A:D,4,0),IFERROR(VLOOKUP(B104,'Stock ISIS CH'!A:D,4,0),0))</f>
        <v>0</v>
      </c>
      <c r="D104" s="320">
        <f t="shared" si="0"/>
        <v>0</v>
      </c>
      <c r="E104" s="333">
        <v>1</v>
      </c>
      <c r="G104" s="394">
        <f t="shared" si="3"/>
        <v>0</v>
      </c>
      <c r="H104" s="320">
        <v>12</v>
      </c>
      <c r="I104" s="320">
        <f t="shared" si="4"/>
        <v>0</v>
      </c>
      <c r="J104" s="333">
        <f>+IFERROR(VLOOKUP(B104,#REF!,3,0),IFERROR(VLOOKUP(B104,#REF!,3,0),0))</f>
        <v>0</v>
      </c>
    </row>
    <row r="105" spans="1:10" ht="18.75" x14ac:dyDescent="0.3">
      <c r="A105" s="391">
        <v>579</v>
      </c>
      <c r="B105" s="433">
        <v>579</v>
      </c>
      <c r="C105" s="320">
        <f>+IFERROR(VLOOKUP(B105,'Stock ISIS LK'!A:D,4,0),IFERROR(VLOOKUP(B105,'Stock ISIS CH'!A:D,4,0),0))</f>
        <v>0</v>
      </c>
      <c r="D105" s="320">
        <f t="shared" si="0"/>
        <v>0</v>
      </c>
      <c r="E105" s="333">
        <v>1</v>
      </c>
      <c r="G105" s="394">
        <f t="shared" si="3"/>
        <v>0</v>
      </c>
      <c r="H105" s="320">
        <v>12</v>
      </c>
      <c r="I105" s="320">
        <f t="shared" si="4"/>
        <v>0</v>
      </c>
      <c r="J105" s="333">
        <f>+IFERROR(VLOOKUP(B105,#REF!,3,0),IFERROR(VLOOKUP(B105,#REF!,3,0),0))</f>
        <v>0</v>
      </c>
    </row>
    <row r="106" spans="1:10" ht="18.75" x14ac:dyDescent="0.3">
      <c r="A106" s="391">
        <v>225</v>
      </c>
      <c r="B106" s="433">
        <v>225</v>
      </c>
      <c r="C106" s="320">
        <f>+IFERROR(VLOOKUP(B106,'Stock ISIS LK'!A:D,4,0),IFERROR(VLOOKUP(B106,'Stock ISIS CH'!A:D,4,0),0))</f>
        <v>0</v>
      </c>
      <c r="D106" s="320">
        <f t="shared" si="0"/>
        <v>0</v>
      </c>
      <c r="E106" s="333">
        <v>1</v>
      </c>
      <c r="G106" s="394">
        <f t="shared" si="3"/>
        <v>0</v>
      </c>
      <c r="H106" s="320">
        <v>12</v>
      </c>
      <c r="I106" s="320">
        <f t="shared" si="4"/>
        <v>0</v>
      </c>
      <c r="J106" s="333">
        <f>+IFERROR(VLOOKUP(B106,#REF!,3,0),IFERROR(VLOOKUP(B106,#REF!,3,0),0))</f>
        <v>0</v>
      </c>
    </row>
    <row r="107" spans="1:10" ht="18.75" x14ac:dyDescent="0.3">
      <c r="A107" s="391">
        <v>280</v>
      </c>
      <c r="B107" s="433">
        <v>280</v>
      </c>
      <c r="C107" s="320">
        <f>+IFERROR(VLOOKUP(B107,'Stock ISIS LK'!A:D,4,0),IFERROR(VLOOKUP(B107,'Stock ISIS CH'!A:D,4,0),0))</f>
        <v>0</v>
      </c>
      <c r="D107" s="320">
        <f t="shared" si="0"/>
        <v>0</v>
      </c>
      <c r="E107" s="333">
        <v>1</v>
      </c>
      <c r="G107" s="394">
        <f t="shared" si="3"/>
        <v>0</v>
      </c>
      <c r="H107" s="320">
        <v>12</v>
      </c>
      <c r="I107" s="320">
        <f t="shared" si="4"/>
        <v>0</v>
      </c>
      <c r="J107" s="333">
        <f>+IFERROR(VLOOKUP(B107,#REF!,3,0),IFERROR(VLOOKUP(B107,#REF!,3,0),0))</f>
        <v>0</v>
      </c>
    </row>
    <row r="108" spans="1:10" ht="18.75" x14ac:dyDescent="0.3">
      <c r="A108" s="391">
        <v>586</v>
      </c>
      <c r="B108" s="433">
        <v>586</v>
      </c>
      <c r="C108" s="320">
        <f>+IFERROR(VLOOKUP(B108,'Stock ISIS LK'!A:D,4,0),IFERROR(VLOOKUP(B108,'Stock ISIS CH'!A:D,4,0),0))</f>
        <v>0</v>
      </c>
      <c r="D108" s="320">
        <f t="shared" si="0"/>
        <v>0</v>
      </c>
      <c r="E108" s="333">
        <v>1</v>
      </c>
      <c r="G108" s="394">
        <f t="shared" si="3"/>
        <v>0</v>
      </c>
      <c r="H108" s="320">
        <v>12</v>
      </c>
      <c r="I108" s="320">
        <f t="shared" si="4"/>
        <v>0</v>
      </c>
      <c r="J108" s="333">
        <f>+IFERROR(VLOOKUP(B108,#REF!,3,0),IFERROR(VLOOKUP(B108,#REF!,3,0),0))</f>
        <v>0</v>
      </c>
    </row>
    <row r="109" spans="1:10" ht="18.75" x14ac:dyDescent="0.3">
      <c r="A109" s="391">
        <v>548</v>
      </c>
      <c r="B109" s="433">
        <v>548</v>
      </c>
      <c r="C109" s="320">
        <f>+IFERROR(VLOOKUP(B109,'Stock ISIS LK'!A:D,4,0),IFERROR(VLOOKUP(B109,'Stock ISIS CH'!A:D,4,0),0))</f>
        <v>0</v>
      </c>
      <c r="D109" s="320">
        <f t="shared" si="0"/>
        <v>0</v>
      </c>
      <c r="E109" s="333">
        <v>1</v>
      </c>
      <c r="G109" s="394">
        <f t="shared" si="3"/>
        <v>0</v>
      </c>
      <c r="H109" s="320">
        <v>24</v>
      </c>
      <c r="I109" s="320">
        <f t="shared" si="4"/>
        <v>0</v>
      </c>
      <c r="J109" s="333">
        <f>+IFERROR(VLOOKUP(B109,#REF!,3,0),IFERROR(VLOOKUP(B109,#REF!,3,0),0))</f>
        <v>0</v>
      </c>
    </row>
    <row r="110" spans="1:10" ht="18.75" x14ac:dyDescent="0.3">
      <c r="A110" s="391">
        <v>569</v>
      </c>
      <c r="B110" s="433">
        <v>569</v>
      </c>
      <c r="C110" s="320">
        <f>+IFERROR(VLOOKUP(B110,'Stock ISIS LK'!A:D,4,0),IFERROR(VLOOKUP(B110,'Stock ISIS CH'!A:D,4,0),0))</f>
        <v>0</v>
      </c>
      <c r="D110" s="320">
        <f t="shared" si="0"/>
        <v>0</v>
      </c>
      <c r="E110" s="333">
        <v>1</v>
      </c>
      <c r="G110" s="394">
        <f t="shared" si="3"/>
        <v>0</v>
      </c>
      <c r="H110" s="320">
        <v>12</v>
      </c>
      <c r="I110" s="320">
        <f t="shared" si="4"/>
        <v>0</v>
      </c>
      <c r="J110" s="333">
        <f>+IFERROR(VLOOKUP(B110,#REF!,3,0),IFERROR(VLOOKUP(B110,#REF!,3,0),0))</f>
        <v>0</v>
      </c>
    </row>
    <row r="111" spans="1:10" ht="18.75" x14ac:dyDescent="0.3">
      <c r="A111" s="391">
        <v>559</v>
      </c>
      <c r="B111" s="433">
        <v>559</v>
      </c>
      <c r="C111" s="320">
        <f>+IFERROR(VLOOKUP(B111,'Stock ISIS LK'!A:D,4,0),IFERROR(VLOOKUP(B111,'Stock ISIS CH'!A:D,4,0),0))</f>
        <v>0</v>
      </c>
      <c r="D111" s="320">
        <f t="shared" si="0"/>
        <v>0</v>
      </c>
      <c r="E111" s="333">
        <v>1</v>
      </c>
      <c r="G111" s="394">
        <f t="shared" si="3"/>
        <v>0</v>
      </c>
      <c r="H111" s="320">
        <v>12</v>
      </c>
      <c r="I111" s="320">
        <f t="shared" si="4"/>
        <v>0</v>
      </c>
      <c r="J111" s="333">
        <f>+IFERROR(VLOOKUP(B111,#REF!,3,0),IFERROR(VLOOKUP(B111,#REF!,3,0),0))</f>
        <v>0</v>
      </c>
    </row>
    <row r="112" spans="1:10" ht="18.75" x14ac:dyDescent="0.3">
      <c r="A112" s="391">
        <v>560</v>
      </c>
      <c r="B112" s="433">
        <v>560</v>
      </c>
      <c r="C112" s="320">
        <f>+IFERROR(VLOOKUP(B112,'Stock ISIS LK'!A:D,4,0),IFERROR(VLOOKUP(B112,'Stock ISIS CH'!A:D,4,0),0))</f>
        <v>0</v>
      </c>
      <c r="D112" s="320">
        <f t="shared" si="0"/>
        <v>0</v>
      </c>
      <c r="E112" s="333">
        <v>1</v>
      </c>
      <c r="G112" s="394">
        <f t="shared" si="3"/>
        <v>0</v>
      </c>
      <c r="H112" s="320">
        <v>12</v>
      </c>
      <c r="I112" s="320">
        <f t="shared" si="4"/>
        <v>0</v>
      </c>
      <c r="J112" s="333">
        <f>+IFERROR(VLOOKUP(B112,#REF!,3,0),IFERROR(VLOOKUP(B112,#REF!,3,0),0))</f>
        <v>0</v>
      </c>
    </row>
    <row r="113" spans="1:10" ht="18.75" x14ac:dyDescent="0.3">
      <c r="A113" s="391">
        <v>547</v>
      </c>
      <c r="B113" s="433">
        <v>547</v>
      </c>
      <c r="C113" s="320">
        <f>+IFERROR(VLOOKUP(B113,'Stock ISIS LK'!A:D,4,0),IFERROR(VLOOKUP(B113,'Stock ISIS CH'!A:D,4,0),0))</f>
        <v>0</v>
      </c>
      <c r="D113" s="320">
        <f t="shared" si="0"/>
        <v>0</v>
      </c>
      <c r="E113" s="333">
        <v>1</v>
      </c>
      <c r="G113" s="394">
        <f t="shared" si="3"/>
        <v>0</v>
      </c>
      <c r="H113" s="320">
        <v>12</v>
      </c>
      <c r="I113" s="320">
        <f t="shared" si="4"/>
        <v>0</v>
      </c>
      <c r="J113" s="333">
        <f>+IFERROR(VLOOKUP(B113,#REF!,3,0),IFERROR(VLOOKUP(B113,#REF!,3,0),0))</f>
        <v>0</v>
      </c>
    </row>
    <row r="114" spans="1:10" ht="18.75" x14ac:dyDescent="0.3">
      <c r="A114" s="391">
        <v>321</v>
      </c>
      <c r="B114" s="433">
        <v>321</v>
      </c>
      <c r="C114" s="320">
        <f>+IFERROR(VLOOKUP(B114,'Stock ISIS LK'!A:D,4,0),IFERROR(VLOOKUP(B114,'Stock ISIS CH'!A:D,4,0),0))</f>
        <v>0</v>
      </c>
      <c r="D114" s="320">
        <f t="shared" si="0"/>
        <v>0</v>
      </c>
      <c r="E114" s="333">
        <v>1</v>
      </c>
      <c r="G114" s="394">
        <f t="shared" si="3"/>
        <v>0</v>
      </c>
      <c r="H114" s="320">
        <v>12</v>
      </c>
      <c r="I114" s="320">
        <f t="shared" si="4"/>
        <v>0</v>
      </c>
      <c r="J114" s="333">
        <f>+IFERROR(VLOOKUP(B114,#REF!,3,0),IFERROR(VLOOKUP(B114,#REF!,3,0),0))</f>
        <v>0</v>
      </c>
    </row>
    <row r="115" spans="1:10" ht="18.75" x14ac:dyDescent="0.3">
      <c r="A115" s="391">
        <v>395</v>
      </c>
      <c r="B115" s="433">
        <v>395</v>
      </c>
      <c r="C115" s="320">
        <f>+IFERROR(VLOOKUP(B115,'Stock ISIS LK'!A:D,4,0),IFERROR(VLOOKUP(B115,'Stock ISIS CH'!A:D,4,0),0))</f>
        <v>0</v>
      </c>
      <c r="D115" s="320">
        <f t="shared" si="0"/>
        <v>0</v>
      </c>
      <c r="E115" s="333">
        <v>1</v>
      </c>
      <c r="G115" s="394">
        <f t="shared" si="3"/>
        <v>0</v>
      </c>
      <c r="H115" s="320">
        <v>12</v>
      </c>
      <c r="I115" s="320">
        <f t="shared" si="4"/>
        <v>0</v>
      </c>
      <c r="J115" s="333">
        <f>+IFERROR(VLOOKUP(B115,#REF!,3,0),IFERROR(VLOOKUP(B115,#REF!,3,0),0))</f>
        <v>0</v>
      </c>
    </row>
    <row r="116" spans="1:10" ht="18.75" x14ac:dyDescent="0.3">
      <c r="A116" s="391">
        <v>502</v>
      </c>
      <c r="B116" s="433">
        <v>502</v>
      </c>
      <c r="C116" s="320">
        <f>+IFERROR(VLOOKUP(B116,'Stock ISIS LK'!A:D,4,0),IFERROR(VLOOKUP(B116,'Stock ISIS CH'!A:D,4,0),0))</f>
        <v>0</v>
      </c>
      <c r="D116" s="320">
        <f t="shared" si="0"/>
        <v>0</v>
      </c>
      <c r="E116" s="333">
        <v>1</v>
      </c>
      <c r="G116" s="394">
        <f t="shared" si="3"/>
        <v>0</v>
      </c>
      <c r="H116" s="320">
        <v>12</v>
      </c>
      <c r="I116" s="320">
        <f t="shared" si="4"/>
        <v>0</v>
      </c>
      <c r="J116" s="333">
        <f>+IFERROR(VLOOKUP(B116,#REF!,3,0),IFERROR(VLOOKUP(B116,#REF!,3,0),0))</f>
        <v>0</v>
      </c>
    </row>
    <row r="117" spans="1:10" ht="18.75" x14ac:dyDescent="0.3">
      <c r="A117" s="391">
        <v>501</v>
      </c>
      <c r="B117" s="433">
        <v>501</v>
      </c>
      <c r="C117" s="320">
        <f>+IFERROR(VLOOKUP(B117,'Stock ISIS LK'!A:D,4,0),IFERROR(VLOOKUP(B117,'Stock ISIS CH'!A:D,4,0),0))</f>
        <v>0</v>
      </c>
      <c r="D117" s="320">
        <f t="shared" si="0"/>
        <v>0</v>
      </c>
      <c r="E117" s="333">
        <v>1</v>
      </c>
      <c r="G117" s="394">
        <f t="shared" si="3"/>
        <v>0</v>
      </c>
      <c r="H117" s="320">
        <v>6</v>
      </c>
      <c r="I117" s="320">
        <f t="shared" si="4"/>
        <v>0</v>
      </c>
      <c r="J117" s="333">
        <f>+IFERROR(VLOOKUP(B117,#REF!,3,0),IFERROR(VLOOKUP(B117,#REF!,3,0),0))</f>
        <v>0</v>
      </c>
    </row>
    <row r="118" spans="1:10" ht="18.75" x14ac:dyDescent="0.3">
      <c r="A118" s="391">
        <v>512</v>
      </c>
      <c r="B118" s="433">
        <v>512</v>
      </c>
      <c r="C118" s="320">
        <f>+IFERROR(VLOOKUP(B118,'Stock ISIS LK'!A:D,4,0),IFERROR(VLOOKUP(B118,'Stock ISIS CH'!A:D,4,0),0))</f>
        <v>0</v>
      </c>
      <c r="D118" s="320">
        <f t="shared" si="0"/>
        <v>0</v>
      </c>
      <c r="E118" s="333">
        <v>1</v>
      </c>
      <c r="G118" s="394">
        <f t="shared" si="3"/>
        <v>0</v>
      </c>
      <c r="H118" s="320">
        <v>12</v>
      </c>
      <c r="I118" s="320">
        <f t="shared" si="4"/>
        <v>0</v>
      </c>
      <c r="J118" s="333">
        <f>+IFERROR(VLOOKUP(B118,#REF!,3,0),IFERROR(VLOOKUP(B118,#REF!,3,0),0))</f>
        <v>0</v>
      </c>
    </row>
    <row r="119" spans="1:10" ht="18.75" x14ac:dyDescent="0.3">
      <c r="A119" s="391">
        <v>508</v>
      </c>
      <c r="B119" s="433">
        <v>508</v>
      </c>
      <c r="C119" s="320">
        <f>+IFERROR(VLOOKUP(B119,'Stock ISIS LK'!A:D,4,0),IFERROR(VLOOKUP(B119,'Stock ISIS CH'!A:D,4,0),0))</f>
        <v>0</v>
      </c>
      <c r="D119" s="320">
        <f t="shared" si="0"/>
        <v>0</v>
      </c>
      <c r="E119" s="333">
        <v>1</v>
      </c>
      <c r="G119" s="394">
        <f t="shared" si="3"/>
        <v>0</v>
      </c>
      <c r="H119" s="320">
        <v>12</v>
      </c>
      <c r="I119" s="320">
        <f t="shared" si="4"/>
        <v>0</v>
      </c>
      <c r="J119" s="333">
        <f>+IFERROR(VLOOKUP(B119,#REF!,3,0),IFERROR(VLOOKUP(B119,#REF!,3,0),0))</f>
        <v>0</v>
      </c>
    </row>
    <row r="120" spans="1:10" ht="18.75" x14ac:dyDescent="0.3">
      <c r="A120" s="391">
        <v>507</v>
      </c>
      <c r="B120" s="433">
        <v>507</v>
      </c>
      <c r="C120" s="320">
        <f>+IFERROR(VLOOKUP(B120,'Stock ISIS LK'!A:D,4,0),IFERROR(VLOOKUP(B120,'Stock ISIS CH'!A:D,4,0),0))</f>
        <v>0</v>
      </c>
      <c r="D120" s="320">
        <f t="shared" si="0"/>
        <v>0</v>
      </c>
      <c r="E120" s="333">
        <v>1</v>
      </c>
      <c r="G120" s="394">
        <f t="shared" si="3"/>
        <v>0</v>
      </c>
      <c r="H120" s="320">
        <v>12</v>
      </c>
      <c r="I120" s="320">
        <f t="shared" si="4"/>
        <v>0</v>
      </c>
      <c r="J120" s="333">
        <f>+IFERROR(VLOOKUP(B120,#REF!,3,0),IFERROR(VLOOKUP(B120,#REF!,3,0),0))</f>
        <v>0</v>
      </c>
    </row>
    <row r="121" spans="1:10" ht="18.75" x14ac:dyDescent="0.3">
      <c r="A121" s="391">
        <v>511</v>
      </c>
      <c r="B121" s="433">
        <v>511</v>
      </c>
      <c r="C121" s="320">
        <f>+IFERROR(VLOOKUP(B121,'Stock ISIS LK'!A:D,4,0),IFERROR(VLOOKUP(B121,'Stock ISIS CH'!A:D,4,0),0))</f>
        <v>0</v>
      </c>
      <c r="D121" s="320">
        <f t="shared" si="0"/>
        <v>0</v>
      </c>
      <c r="E121" s="333">
        <v>1</v>
      </c>
      <c r="G121" s="394">
        <f t="shared" si="3"/>
        <v>0</v>
      </c>
      <c r="H121" s="320">
        <v>12</v>
      </c>
      <c r="I121" s="320">
        <f t="shared" si="4"/>
        <v>0</v>
      </c>
      <c r="J121" s="333">
        <f>+IFERROR(VLOOKUP(B121,#REF!,3,0),IFERROR(VLOOKUP(B121,#REF!,3,0),0))</f>
        <v>0</v>
      </c>
    </row>
    <row r="122" spans="1:10" ht="18.75" x14ac:dyDescent="0.3">
      <c r="A122" s="391">
        <v>57</v>
      </c>
      <c r="B122" s="433">
        <v>57</v>
      </c>
      <c r="C122" s="320">
        <f>+IFERROR(VLOOKUP(B122,'Stock ISIS LK'!A:D,4,0),IFERROR(VLOOKUP(B122,'Stock ISIS CH'!A:D,4,0),0))</f>
        <v>0</v>
      </c>
      <c r="D122" s="320">
        <f t="shared" si="0"/>
        <v>0</v>
      </c>
      <c r="E122" s="333">
        <v>1</v>
      </c>
      <c r="G122" s="394">
        <f t="shared" si="3"/>
        <v>0</v>
      </c>
      <c r="H122" s="320">
        <v>100</v>
      </c>
      <c r="I122" s="320">
        <f t="shared" si="4"/>
        <v>0</v>
      </c>
      <c r="J122" s="333">
        <f>+IFERROR(VLOOKUP(B122,#REF!,3,0),IFERROR(VLOOKUP(B122,#REF!,3,0),0))</f>
        <v>0</v>
      </c>
    </row>
    <row r="123" spans="1:10" ht="18.75" x14ac:dyDescent="0.3">
      <c r="A123" s="391">
        <v>229</v>
      </c>
      <c r="B123" s="433">
        <v>229</v>
      </c>
      <c r="C123" s="320">
        <f>+IFERROR(VLOOKUP(B123,'Stock ISIS LK'!A:D,4,0),IFERROR(VLOOKUP(B123,'Stock ISIS CH'!A:D,4,0),0))</f>
        <v>0</v>
      </c>
      <c r="D123" s="320">
        <f t="shared" si="0"/>
        <v>0</v>
      </c>
      <c r="E123" s="333">
        <v>1</v>
      </c>
      <c r="G123" s="394">
        <f t="shared" si="3"/>
        <v>0</v>
      </c>
      <c r="H123" s="320">
        <v>12</v>
      </c>
      <c r="I123" s="320">
        <f t="shared" si="4"/>
        <v>0</v>
      </c>
      <c r="J123" s="333">
        <f>+IFERROR(VLOOKUP(B123,#REF!,3,0),IFERROR(VLOOKUP(B123,#REF!,3,0),0))</f>
        <v>0</v>
      </c>
    </row>
    <row r="124" spans="1:10" ht="18.75" x14ac:dyDescent="0.3">
      <c r="A124" s="391">
        <v>499</v>
      </c>
      <c r="B124" s="433">
        <v>499</v>
      </c>
      <c r="C124" s="320">
        <f>+IFERROR(VLOOKUP(B124,'Stock ISIS LK'!A:D,4,0),IFERROR(VLOOKUP(B124,'Stock ISIS CH'!A:D,4,0),0))</f>
        <v>0</v>
      </c>
      <c r="D124" s="320">
        <f t="shared" si="0"/>
        <v>0</v>
      </c>
      <c r="E124" s="333">
        <v>1</v>
      </c>
      <c r="G124" s="394">
        <f t="shared" si="3"/>
        <v>0</v>
      </c>
      <c r="H124" s="320">
        <v>12</v>
      </c>
      <c r="I124" s="320">
        <f t="shared" si="4"/>
        <v>0</v>
      </c>
      <c r="J124" s="333">
        <f>+IFERROR(VLOOKUP(B124,#REF!,3,0),IFERROR(VLOOKUP(B124,#REF!,3,0),0))</f>
        <v>0</v>
      </c>
    </row>
    <row r="125" spans="1:10" ht="18.75" x14ac:dyDescent="0.3">
      <c r="A125" s="391">
        <v>546</v>
      </c>
      <c r="B125" s="433">
        <v>546</v>
      </c>
      <c r="C125" s="320">
        <f>+IFERROR(VLOOKUP(B125,'Stock ISIS LK'!A:D,4,0),IFERROR(VLOOKUP(B125,'Stock ISIS CH'!A:D,4,0),0))</f>
        <v>0</v>
      </c>
      <c r="D125" s="320">
        <f t="shared" si="0"/>
        <v>0</v>
      </c>
      <c r="E125" s="333">
        <v>1</v>
      </c>
      <c r="G125" s="394">
        <f t="shared" si="3"/>
        <v>0</v>
      </c>
      <c r="H125" s="320">
        <v>12</v>
      </c>
      <c r="I125" s="320">
        <f t="shared" si="4"/>
        <v>0</v>
      </c>
      <c r="J125" s="333">
        <f>+IFERROR(VLOOKUP(B125,#REF!,3,0),IFERROR(VLOOKUP(B125,#REF!,3,0),0))</f>
        <v>0</v>
      </c>
    </row>
    <row r="126" spans="1:10" ht="18.75" x14ac:dyDescent="0.3">
      <c r="A126" s="391">
        <v>396</v>
      </c>
      <c r="B126" s="433">
        <v>396</v>
      </c>
      <c r="C126" s="320">
        <f>+IFERROR(VLOOKUP(B126,'Stock ISIS LK'!A:D,4,0),IFERROR(VLOOKUP(B126,'Stock ISIS CH'!A:D,4,0),0))</f>
        <v>0</v>
      </c>
      <c r="D126" s="320">
        <f t="shared" si="0"/>
        <v>0</v>
      </c>
      <c r="E126" s="333">
        <v>1</v>
      </c>
      <c r="G126" s="394">
        <f t="shared" si="3"/>
        <v>0</v>
      </c>
      <c r="H126" s="320">
        <v>12</v>
      </c>
      <c r="I126" s="320">
        <f t="shared" si="4"/>
        <v>0</v>
      </c>
      <c r="J126" s="333">
        <f>+IFERROR(VLOOKUP(B126,#REF!,3,0),IFERROR(VLOOKUP(B126,#REF!,3,0),0))</f>
        <v>0</v>
      </c>
    </row>
    <row r="127" spans="1:10" ht="18.75" x14ac:dyDescent="0.3">
      <c r="A127" s="391">
        <v>544</v>
      </c>
      <c r="B127" s="433">
        <v>544</v>
      </c>
      <c r="C127" s="320">
        <f>+IFERROR(VLOOKUP(B127,'Stock ISIS LK'!A:D,4,0),IFERROR(VLOOKUP(B127,'Stock ISIS CH'!A:D,4,0),0))</f>
        <v>0</v>
      </c>
      <c r="D127" s="320">
        <f t="shared" si="0"/>
        <v>0</v>
      </c>
      <c r="E127" s="333">
        <v>1</v>
      </c>
      <c r="G127" s="394">
        <f t="shared" si="3"/>
        <v>0</v>
      </c>
      <c r="H127" s="320">
        <v>12</v>
      </c>
      <c r="I127" s="320">
        <f t="shared" si="4"/>
        <v>0</v>
      </c>
      <c r="J127" s="333">
        <f>+IFERROR(VLOOKUP(B127,#REF!,3,0),IFERROR(VLOOKUP(B127,#REF!,3,0),0))</f>
        <v>0</v>
      </c>
    </row>
    <row r="128" spans="1:10" ht="18.75" x14ac:dyDescent="0.3">
      <c r="A128" s="391">
        <v>564</v>
      </c>
      <c r="B128" s="433">
        <v>564</v>
      </c>
      <c r="C128" s="320">
        <f>+IFERROR(VLOOKUP(B128,'Stock ISIS LK'!A:D,4,0),IFERROR(VLOOKUP(B128,'Stock ISIS CH'!A:D,4,0),0))</f>
        <v>0</v>
      </c>
      <c r="D128" s="320">
        <f t="shared" si="0"/>
        <v>0</v>
      </c>
      <c r="E128" s="333">
        <v>1</v>
      </c>
      <c r="G128" s="394">
        <f t="shared" si="3"/>
        <v>0</v>
      </c>
      <c r="H128" s="320">
        <v>12</v>
      </c>
      <c r="I128" s="320">
        <f t="shared" si="4"/>
        <v>0</v>
      </c>
      <c r="J128" s="333">
        <f>+IFERROR(VLOOKUP(B128,#REF!,3,0),IFERROR(VLOOKUP(B128,#REF!,3,0),0))</f>
        <v>0</v>
      </c>
    </row>
    <row r="129" spans="1:10" ht="18.75" x14ac:dyDescent="0.3">
      <c r="A129" s="391">
        <v>504</v>
      </c>
      <c r="B129" s="433">
        <v>504</v>
      </c>
      <c r="C129" s="320">
        <f>+IFERROR(VLOOKUP(B129,'Stock ISIS LK'!A:D,4,0),IFERROR(VLOOKUP(B129,'Stock ISIS CH'!A:D,4,0),0))</f>
        <v>0</v>
      </c>
      <c r="D129" s="320">
        <f t="shared" si="0"/>
        <v>0</v>
      </c>
      <c r="E129" s="333">
        <v>1</v>
      </c>
      <c r="G129" s="394">
        <f t="shared" si="3"/>
        <v>0</v>
      </c>
      <c r="H129" s="320">
        <v>6</v>
      </c>
      <c r="I129" s="320">
        <f t="shared" si="4"/>
        <v>0</v>
      </c>
      <c r="J129" s="333">
        <f>+IFERROR(VLOOKUP(B129,#REF!,3,0),IFERROR(VLOOKUP(B129,#REF!,3,0),0))</f>
        <v>0</v>
      </c>
    </row>
    <row r="130" spans="1:10" ht="18.75" x14ac:dyDescent="0.3">
      <c r="A130" s="391">
        <v>312</v>
      </c>
      <c r="B130" s="433">
        <v>312</v>
      </c>
      <c r="C130" s="320">
        <f>+IFERROR(VLOOKUP(B130,'Stock ISIS LK'!A:D,4,0),IFERROR(VLOOKUP(B130,'Stock ISIS CH'!A:D,4,0),0))</f>
        <v>0</v>
      </c>
      <c r="D130" s="320">
        <f t="shared" si="0"/>
        <v>0</v>
      </c>
      <c r="E130" s="333">
        <v>1</v>
      </c>
      <c r="G130" s="394">
        <f t="shared" si="3"/>
        <v>0</v>
      </c>
      <c r="H130" s="320">
        <v>12</v>
      </c>
      <c r="I130" s="320">
        <f t="shared" si="4"/>
        <v>0</v>
      </c>
      <c r="J130" s="333">
        <f>+IFERROR(VLOOKUP(B130,#REF!,3,0),IFERROR(VLOOKUP(B130,#REF!,3,0),0))</f>
        <v>0</v>
      </c>
    </row>
    <row r="131" spans="1:10" ht="18.75" x14ac:dyDescent="0.3">
      <c r="A131" s="391">
        <v>518</v>
      </c>
      <c r="B131" s="433">
        <v>518</v>
      </c>
      <c r="C131" s="320">
        <f>+IFERROR(VLOOKUP(B131,'Stock ISIS LK'!A:D,4,0),IFERROR(VLOOKUP(B131,'Stock ISIS CH'!A:D,4,0),0))</f>
        <v>0</v>
      </c>
      <c r="D131" s="320">
        <f t="shared" si="0"/>
        <v>0</v>
      </c>
      <c r="E131" s="333">
        <v>1</v>
      </c>
      <c r="G131" s="394">
        <f t="shared" si="3"/>
        <v>0</v>
      </c>
      <c r="H131" s="320">
        <v>12</v>
      </c>
      <c r="I131" s="320">
        <f t="shared" si="4"/>
        <v>0</v>
      </c>
      <c r="J131" s="333">
        <f>+IFERROR(VLOOKUP(B131,#REF!,3,0),IFERROR(VLOOKUP(B131,#REF!,3,0),0))</f>
        <v>0</v>
      </c>
    </row>
    <row r="132" spans="1:10" ht="18.75" x14ac:dyDescent="0.3">
      <c r="A132" s="391">
        <v>551</v>
      </c>
      <c r="B132" s="433">
        <v>551</v>
      </c>
      <c r="C132" s="320">
        <f>+IFERROR(VLOOKUP(B132,'Stock ISIS LK'!A:D,4,0),IFERROR(VLOOKUP(B132,'Stock ISIS CH'!A:D,4,0),0))</f>
        <v>0</v>
      </c>
      <c r="D132" s="320">
        <f t="shared" si="0"/>
        <v>0</v>
      </c>
      <c r="E132" s="333">
        <v>1</v>
      </c>
      <c r="G132" s="394">
        <f t="shared" si="3"/>
        <v>0</v>
      </c>
      <c r="H132" s="320">
        <v>12</v>
      </c>
      <c r="I132" s="320">
        <f t="shared" si="4"/>
        <v>0</v>
      </c>
      <c r="J132" s="333">
        <f>+IFERROR(VLOOKUP(B132,#REF!,3,0),IFERROR(VLOOKUP(B132,#REF!,3,0),0))</f>
        <v>0</v>
      </c>
    </row>
    <row r="133" spans="1:10" ht="18.75" x14ac:dyDescent="0.3">
      <c r="A133" s="391">
        <v>530</v>
      </c>
      <c r="B133" s="433">
        <v>530</v>
      </c>
      <c r="C133" s="320">
        <f>+IFERROR(VLOOKUP(B133,'Stock ISIS LK'!A:D,4,0),IFERROR(VLOOKUP(B133,'Stock ISIS CH'!A:D,4,0),0))</f>
        <v>0</v>
      </c>
      <c r="D133" s="320">
        <f t="shared" si="0"/>
        <v>0</v>
      </c>
      <c r="E133" s="333">
        <v>1</v>
      </c>
      <c r="G133" s="394">
        <f t="shared" si="3"/>
        <v>0</v>
      </c>
      <c r="H133" s="320">
        <v>12</v>
      </c>
      <c r="I133" s="320">
        <f t="shared" si="4"/>
        <v>0</v>
      </c>
      <c r="J133" s="333">
        <f>+IFERROR(VLOOKUP(B133,#REF!,3,0),IFERROR(VLOOKUP(B133,#REF!,3,0),0))</f>
        <v>0</v>
      </c>
    </row>
    <row r="134" spans="1:10" ht="18.75" x14ac:dyDescent="0.3">
      <c r="A134" s="391">
        <v>531</v>
      </c>
      <c r="B134" s="433">
        <v>531</v>
      </c>
      <c r="C134" s="320">
        <f>+IFERROR(VLOOKUP(B134,'Stock ISIS LK'!A:D,4,0),IFERROR(VLOOKUP(B134,'Stock ISIS CH'!A:D,4,0),0))</f>
        <v>0</v>
      </c>
      <c r="D134" s="320">
        <f t="shared" si="0"/>
        <v>0</v>
      </c>
      <c r="E134" s="333">
        <v>1</v>
      </c>
      <c r="G134" s="394">
        <f t="shared" ref="G134:G197" si="5">+J134/H134</f>
        <v>0</v>
      </c>
      <c r="H134" s="320">
        <v>12</v>
      </c>
      <c r="I134" s="320">
        <f t="shared" ref="I134:I197" si="6">+G134*H134*E134</f>
        <v>0</v>
      </c>
      <c r="J134" s="333">
        <f>+IFERROR(VLOOKUP(B134,#REF!,3,0),IFERROR(VLOOKUP(B134,#REF!,3,0),0))</f>
        <v>0</v>
      </c>
    </row>
    <row r="135" spans="1:10" ht="18.75" x14ac:dyDescent="0.3">
      <c r="A135" s="391">
        <v>299</v>
      </c>
      <c r="B135" s="433">
        <v>299</v>
      </c>
      <c r="C135" s="320">
        <f>+IFERROR(VLOOKUP(B135,'Stock ISIS LK'!A:D,4,0),IFERROR(VLOOKUP(B135,'Stock ISIS CH'!A:D,4,0),0))</f>
        <v>0</v>
      </c>
      <c r="D135" s="320">
        <f t="shared" si="0"/>
        <v>0</v>
      </c>
      <c r="E135" s="333">
        <v>1</v>
      </c>
      <c r="G135" s="394">
        <f t="shared" si="5"/>
        <v>0</v>
      </c>
      <c r="H135" s="320">
        <v>12</v>
      </c>
      <c r="I135" s="320">
        <f t="shared" si="6"/>
        <v>0</v>
      </c>
      <c r="J135" s="333">
        <f>+IFERROR(VLOOKUP(B135,#REF!,3,0),IFERROR(VLOOKUP(B135,#REF!,3,0),0))</f>
        <v>0</v>
      </c>
    </row>
    <row r="136" spans="1:10" ht="18.75" x14ac:dyDescent="0.3">
      <c r="A136" s="391">
        <v>58</v>
      </c>
      <c r="B136" s="433">
        <v>58</v>
      </c>
      <c r="C136" s="320">
        <f>+IFERROR(VLOOKUP(B136,'Stock ISIS LK'!A:D,4,0),IFERROR(VLOOKUP(B136,'Stock ISIS CH'!A:D,4,0),0))</f>
        <v>0</v>
      </c>
      <c r="D136" s="320">
        <f t="shared" si="0"/>
        <v>0</v>
      </c>
      <c r="E136" s="333">
        <v>1</v>
      </c>
      <c r="G136" s="394">
        <f t="shared" si="5"/>
        <v>0</v>
      </c>
      <c r="H136" s="320">
        <v>12</v>
      </c>
      <c r="I136" s="320">
        <f t="shared" si="6"/>
        <v>0</v>
      </c>
      <c r="J136" s="333">
        <f>+IFERROR(VLOOKUP(B136,#REF!,3,0),IFERROR(VLOOKUP(B136,#REF!,3,0),0))</f>
        <v>0</v>
      </c>
    </row>
    <row r="137" spans="1:10" ht="18.75" x14ac:dyDescent="0.3">
      <c r="A137" s="391">
        <v>517</v>
      </c>
      <c r="B137" s="433">
        <v>517</v>
      </c>
      <c r="C137" s="320">
        <f>+IFERROR(VLOOKUP(B137,'Stock ISIS LK'!A:D,4,0),IFERROR(VLOOKUP(B137,'Stock ISIS CH'!A:D,4,0),0))</f>
        <v>0</v>
      </c>
      <c r="D137" s="320">
        <f t="shared" si="0"/>
        <v>0</v>
      </c>
      <c r="E137" s="333">
        <v>1</v>
      </c>
      <c r="G137" s="394">
        <f t="shared" si="5"/>
        <v>0</v>
      </c>
      <c r="H137" s="320">
        <v>12</v>
      </c>
      <c r="I137" s="320">
        <f t="shared" si="6"/>
        <v>0</v>
      </c>
      <c r="J137" s="333">
        <f>+IFERROR(VLOOKUP(B137,#REF!,3,0),IFERROR(VLOOKUP(B137,#REF!,3,0),0))</f>
        <v>0</v>
      </c>
    </row>
    <row r="138" spans="1:10" ht="18.75" x14ac:dyDescent="0.3">
      <c r="A138" s="391">
        <v>570</v>
      </c>
      <c r="B138" s="433">
        <v>570</v>
      </c>
      <c r="C138" s="320">
        <f>+IFERROR(VLOOKUP(B138,'Stock ISIS LK'!A:D,4,0),IFERROR(VLOOKUP(B138,'Stock ISIS CH'!A:D,4,0),0))</f>
        <v>0</v>
      </c>
      <c r="D138" s="320">
        <f t="shared" si="0"/>
        <v>0</v>
      </c>
      <c r="E138" s="333">
        <v>1</v>
      </c>
      <c r="G138" s="394">
        <f t="shared" si="5"/>
        <v>0</v>
      </c>
      <c r="H138" s="320">
        <v>24</v>
      </c>
      <c r="I138" s="320">
        <f t="shared" si="6"/>
        <v>0</v>
      </c>
      <c r="J138" s="333">
        <f>+IFERROR(VLOOKUP(B138,#REF!,3,0),IFERROR(VLOOKUP(B138,#REF!,3,0),0))</f>
        <v>0</v>
      </c>
    </row>
    <row r="139" spans="1:10" ht="18.75" x14ac:dyDescent="0.3">
      <c r="A139" s="391">
        <v>519</v>
      </c>
      <c r="B139" s="433">
        <v>519</v>
      </c>
      <c r="C139" s="320">
        <f>+IFERROR(VLOOKUP(B139,'Stock ISIS LK'!A:D,4,0),IFERROR(VLOOKUP(B139,'Stock ISIS CH'!A:D,4,0),0))</f>
        <v>0</v>
      </c>
      <c r="D139" s="320">
        <f t="shared" si="0"/>
        <v>0</v>
      </c>
      <c r="E139" s="333">
        <v>1</v>
      </c>
      <c r="G139" s="394">
        <f t="shared" si="5"/>
        <v>0</v>
      </c>
      <c r="H139" s="320">
        <v>12</v>
      </c>
      <c r="I139" s="320">
        <f t="shared" si="6"/>
        <v>0</v>
      </c>
      <c r="J139" s="333">
        <f>+IFERROR(VLOOKUP(B139,#REF!,3,0),IFERROR(VLOOKUP(B139,#REF!,3,0),0))</f>
        <v>0</v>
      </c>
    </row>
    <row r="140" spans="1:10" ht="18.75" x14ac:dyDescent="0.3">
      <c r="A140" s="391">
        <v>332</v>
      </c>
      <c r="B140" s="433">
        <v>332</v>
      </c>
      <c r="C140" s="320">
        <f>+IFERROR(VLOOKUP(B140,'Stock ISIS LK'!A:D,4,0),IFERROR(VLOOKUP(B140,'Stock ISIS CH'!A:D,4,0),0))</f>
        <v>0</v>
      </c>
      <c r="D140" s="320">
        <f t="shared" si="0"/>
        <v>0</v>
      </c>
      <c r="E140" s="333">
        <v>1</v>
      </c>
      <c r="G140" s="394">
        <f t="shared" si="5"/>
        <v>0</v>
      </c>
      <c r="H140" s="320">
        <v>24</v>
      </c>
      <c r="I140" s="320">
        <f t="shared" si="6"/>
        <v>0</v>
      </c>
      <c r="J140" s="333">
        <f>+IFERROR(VLOOKUP(B140,#REF!,3,0),IFERROR(VLOOKUP(B140,#REF!,3,0),0))</f>
        <v>0</v>
      </c>
    </row>
    <row r="141" spans="1:10" ht="18.75" x14ac:dyDescent="0.3">
      <c r="A141" s="391">
        <v>334</v>
      </c>
      <c r="B141" s="433">
        <v>334</v>
      </c>
      <c r="C141" s="320">
        <f>+IFERROR(VLOOKUP(B141,'Stock ISIS LK'!A:D,4,0),IFERROR(VLOOKUP(B141,'Stock ISIS CH'!A:D,4,0),0))</f>
        <v>0</v>
      </c>
      <c r="D141" s="320">
        <f t="shared" si="0"/>
        <v>0</v>
      </c>
      <c r="E141" s="333">
        <v>1</v>
      </c>
      <c r="G141" s="394">
        <f t="shared" si="5"/>
        <v>0</v>
      </c>
      <c r="H141" s="320">
        <v>24</v>
      </c>
      <c r="I141" s="320">
        <f t="shared" si="6"/>
        <v>0</v>
      </c>
      <c r="J141" s="333">
        <f>+IFERROR(VLOOKUP(B141,#REF!,3,0),IFERROR(VLOOKUP(B141,#REF!,3,0),0))</f>
        <v>0</v>
      </c>
    </row>
    <row r="142" spans="1:10" ht="18.75" x14ac:dyDescent="0.3">
      <c r="A142" s="391">
        <v>335</v>
      </c>
      <c r="B142" s="433">
        <v>335</v>
      </c>
      <c r="C142" s="320">
        <f>+IFERROR(VLOOKUP(B142,'Stock ISIS LK'!A:D,4,0),IFERROR(VLOOKUP(B142,'Stock ISIS CH'!A:D,4,0),0))</f>
        <v>0</v>
      </c>
      <c r="D142" s="320">
        <f t="shared" ref="D142:D203" si="7">+C142*E142</f>
        <v>0</v>
      </c>
      <c r="E142" s="333">
        <v>1</v>
      </c>
      <c r="G142" s="394">
        <f t="shared" si="5"/>
        <v>0</v>
      </c>
      <c r="H142" s="320">
        <v>24</v>
      </c>
      <c r="I142" s="320">
        <f t="shared" si="6"/>
        <v>0</v>
      </c>
      <c r="J142" s="333">
        <f>+IFERROR(VLOOKUP(B142,#REF!,3,0),IFERROR(VLOOKUP(B142,#REF!,3,0),0))</f>
        <v>0</v>
      </c>
    </row>
    <row r="143" spans="1:10" ht="18.75" x14ac:dyDescent="0.3">
      <c r="A143" s="391">
        <v>336</v>
      </c>
      <c r="B143" s="433">
        <v>336</v>
      </c>
      <c r="C143" s="320">
        <f>+IFERROR(VLOOKUP(B143,'Stock ISIS LK'!A:D,4,0),IFERROR(VLOOKUP(B143,'Stock ISIS CH'!A:D,4,0),0))</f>
        <v>0</v>
      </c>
      <c r="D143" s="320">
        <f t="shared" si="7"/>
        <v>0</v>
      </c>
      <c r="E143" s="333">
        <v>1</v>
      </c>
      <c r="G143" s="394">
        <f t="shared" si="5"/>
        <v>0</v>
      </c>
      <c r="H143" s="320">
        <v>12</v>
      </c>
      <c r="I143" s="320">
        <f t="shared" si="6"/>
        <v>0</v>
      </c>
      <c r="J143" s="333">
        <f>+IFERROR(VLOOKUP(B143,#REF!,3,0),IFERROR(VLOOKUP(B143,#REF!,3,0),0))</f>
        <v>0</v>
      </c>
    </row>
    <row r="144" spans="1:10" ht="18.75" x14ac:dyDescent="0.3">
      <c r="A144" s="391">
        <v>337</v>
      </c>
      <c r="B144" s="433">
        <v>337</v>
      </c>
      <c r="C144" s="320">
        <f>+IFERROR(VLOOKUP(B144,'Stock ISIS LK'!A:D,4,0),IFERROR(VLOOKUP(B144,'Stock ISIS CH'!A:D,4,0),0))</f>
        <v>0</v>
      </c>
      <c r="D144" s="320">
        <f t="shared" si="7"/>
        <v>0</v>
      </c>
      <c r="E144" s="333">
        <v>1</v>
      </c>
      <c r="G144" s="394">
        <f t="shared" si="5"/>
        <v>0</v>
      </c>
      <c r="H144" s="320">
        <v>24</v>
      </c>
      <c r="I144" s="320">
        <f t="shared" si="6"/>
        <v>0</v>
      </c>
      <c r="J144" s="333">
        <f>+IFERROR(VLOOKUP(B144,#REF!,3,0),IFERROR(VLOOKUP(B144,#REF!,3,0),0))</f>
        <v>0</v>
      </c>
    </row>
    <row r="145" spans="1:10" ht="18.75" x14ac:dyDescent="0.3">
      <c r="A145" s="391">
        <v>338</v>
      </c>
      <c r="B145" s="433">
        <v>338</v>
      </c>
      <c r="C145" s="320">
        <f>+IFERROR(VLOOKUP(B145,'Stock ISIS LK'!A:D,4,0),IFERROR(VLOOKUP(B145,'Stock ISIS CH'!A:D,4,0),0))</f>
        <v>0</v>
      </c>
      <c r="D145" s="320">
        <f t="shared" si="7"/>
        <v>0</v>
      </c>
      <c r="E145" s="333">
        <v>1</v>
      </c>
      <c r="G145" s="394">
        <f t="shared" si="5"/>
        <v>0</v>
      </c>
      <c r="H145" s="320">
        <v>24</v>
      </c>
      <c r="I145" s="320">
        <f t="shared" si="6"/>
        <v>0</v>
      </c>
      <c r="J145" s="333">
        <f>+IFERROR(VLOOKUP(B145,#REF!,3,0),IFERROR(VLOOKUP(B145,#REF!,3,0),0))</f>
        <v>0</v>
      </c>
    </row>
    <row r="146" spans="1:10" ht="18.75" x14ac:dyDescent="0.3">
      <c r="A146" s="391">
        <v>389</v>
      </c>
      <c r="B146" s="433">
        <v>389</v>
      </c>
      <c r="C146" s="320">
        <f>+IFERROR(VLOOKUP(B146,'Stock ISIS LK'!A:D,4,0),IFERROR(VLOOKUP(B146,'Stock ISIS CH'!A:D,4,0),0))</f>
        <v>0</v>
      </c>
      <c r="D146" s="320">
        <f t="shared" si="7"/>
        <v>0</v>
      </c>
      <c r="E146" s="333">
        <v>1</v>
      </c>
      <c r="G146" s="394">
        <f t="shared" si="5"/>
        <v>0</v>
      </c>
      <c r="H146" s="320">
        <v>12</v>
      </c>
      <c r="I146" s="320">
        <f t="shared" si="6"/>
        <v>0</v>
      </c>
      <c r="J146" s="333">
        <f>+IFERROR(VLOOKUP(B146,#REF!,3,0),IFERROR(VLOOKUP(B146,#REF!,3,0),0))</f>
        <v>0</v>
      </c>
    </row>
    <row r="147" spans="1:10" ht="18.75" x14ac:dyDescent="0.3">
      <c r="A147" s="391">
        <v>390</v>
      </c>
      <c r="B147" s="433">
        <v>390</v>
      </c>
      <c r="C147" s="320">
        <f>+IFERROR(VLOOKUP(B147,'Stock ISIS LK'!A:D,4,0),IFERROR(VLOOKUP(B147,'Stock ISIS CH'!A:D,4,0),0))</f>
        <v>0</v>
      </c>
      <c r="D147" s="320">
        <f t="shared" si="7"/>
        <v>0</v>
      </c>
      <c r="E147" s="333">
        <v>1</v>
      </c>
      <c r="G147" s="394">
        <f t="shared" si="5"/>
        <v>0</v>
      </c>
      <c r="H147" s="320">
        <v>24</v>
      </c>
      <c r="I147" s="320">
        <f t="shared" si="6"/>
        <v>0</v>
      </c>
      <c r="J147" s="333">
        <f>+IFERROR(VLOOKUP(B147,#REF!,3,0),IFERROR(VLOOKUP(B147,#REF!,3,0),0))</f>
        <v>0</v>
      </c>
    </row>
    <row r="148" spans="1:10" ht="18.75" x14ac:dyDescent="0.3">
      <c r="A148" s="391">
        <v>315</v>
      </c>
      <c r="B148" s="433">
        <v>315</v>
      </c>
      <c r="C148" s="320">
        <f>+IFERROR(VLOOKUP(B148,'Stock ISIS LK'!A:D,4,0),IFERROR(VLOOKUP(B148,'Stock ISIS CH'!A:D,4,0),0))</f>
        <v>0</v>
      </c>
      <c r="D148" s="320">
        <f t="shared" si="7"/>
        <v>0</v>
      </c>
      <c r="E148" s="333">
        <v>1</v>
      </c>
      <c r="G148" s="394">
        <f t="shared" si="5"/>
        <v>0</v>
      </c>
      <c r="H148" s="320">
        <v>12</v>
      </c>
      <c r="I148" s="320">
        <f t="shared" si="6"/>
        <v>0</v>
      </c>
      <c r="J148" s="333">
        <f>+IFERROR(VLOOKUP(B148,#REF!,3,0),IFERROR(VLOOKUP(B148,#REF!,3,0),0))</f>
        <v>0</v>
      </c>
    </row>
    <row r="149" spans="1:10" ht="18.75" x14ac:dyDescent="0.3">
      <c r="A149" s="391">
        <v>355</v>
      </c>
      <c r="B149" s="433">
        <v>355</v>
      </c>
      <c r="C149" s="320">
        <f>+IFERROR(VLOOKUP(B149,'Stock ISIS LK'!A:D,4,0),IFERROR(VLOOKUP(B149,'Stock ISIS CH'!A:D,4,0),0))</f>
        <v>0</v>
      </c>
      <c r="D149" s="320">
        <f t="shared" si="7"/>
        <v>0</v>
      </c>
      <c r="E149" s="333">
        <v>1</v>
      </c>
      <c r="G149" s="394">
        <f t="shared" si="5"/>
        <v>0</v>
      </c>
      <c r="H149" s="320">
        <v>24</v>
      </c>
      <c r="I149" s="320">
        <f t="shared" si="6"/>
        <v>0</v>
      </c>
      <c r="J149" s="333">
        <f>+IFERROR(VLOOKUP(B149,#REF!,3,0),IFERROR(VLOOKUP(B149,#REF!,3,0),0))</f>
        <v>0</v>
      </c>
    </row>
    <row r="150" spans="1:10" ht="18.75" x14ac:dyDescent="0.3">
      <c r="A150" s="391">
        <v>223</v>
      </c>
      <c r="B150" s="433">
        <v>223</v>
      </c>
      <c r="C150" s="320">
        <f>+IFERROR(VLOOKUP(B150,'Stock ISIS LK'!A:D,4,0),IFERROR(VLOOKUP(B150,'Stock ISIS CH'!A:D,4,0),0))</f>
        <v>0</v>
      </c>
      <c r="D150" s="320">
        <f t="shared" si="7"/>
        <v>0</v>
      </c>
      <c r="E150" s="333">
        <v>1</v>
      </c>
      <c r="G150" s="394">
        <f t="shared" si="5"/>
        <v>0</v>
      </c>
      <c r="H150" s="320">
        <v>12</v>
      </c>
      <c r="I150" s="320">
        <f t="shared" si="6"/>
        <v>0</v>
      </c>
      <c r="J150" s="333">
        <f>+IFERROR(VLOOKUP(B150,#REF!,3,0),IFERROR(VLOOKUP(B150,#REF!,3,0),0))</f>
        <v>0</v>
      </c>
    </row>
    <row r="151" spans="1:10" ht="18.75" x14ac:dyDescent="0.3">
      <c r="A151" s="391">
        <v>222</v>
      </c>
      <c r="B151" s="433">
        <v>222</v>
      </c>
      <c r="C151" s="320">
        <f>+IFERROR(VLOOKUP(B151,'Stock ISIS LK'!A:D,4,0),IFERROR(VLOOKUP(B151,'Stock ISIS CH'!A:D,4,0),0))</f>
        <v>0</v>
      </c>
      <c r="D151" s="320">
        <f t="shared" si="7"/>
        <v>0</v>
      </c>
      <c r="E151" s="333">
        <v>1</v>
      </c>
      <c r="G151" s="394">
        <f t="shared" si="5"/>
        <v>0</v>
      </c>
      <c r="H151" s="320">
        <v>12</v>
      </c>
      <c r="I151" s="320">
        <f t="shared" si="6"/>
        <v>0</v>
      </c>
      <c r="J151" s="333">
        <f>+IFERROR(VLOOKUP(B151,#REF!,3,0),IFERROR(VLOOKUP(B151,#REF!,3,0),0))</f>
        <v>0</v>
      </c>
    </row>
    <row r="152" spans="1:10" ht="18.75" x14ac:dyDescent="0.3">
      <c r="A152" s="391">
        <v>221</v>
      </c>
      <c r="B152" s="433">
        <v>221</v>
      </c>
      <c r="C152" s="320">
        <f>+IFERROR(VLOOKUP(B152,'Stock ISIS LK'!A:D,4,0),IFERROR(VLOOKUP(B152,'Stock ISIS CH'!A:D,4,0),0))</f>
        <v>0</v>
      </c>
      <c r="D152" s="320">
        <f t="shared" si="7"/>
        <v>0</v>
      </c>
      <c r="E152" s="333">
        <v>1</v>
      </c>
      <c r="G152" s="394">
        <f t="shared" si="5"/>
        <v>0</v>
      </c>
      <c r="H152" s="320">
        <v>12</v>
      </c>
      <c r="I152" s="320">
        <f t="shared" si="6"/>
        <v>0</v>
      </c>
      <c r="J152" s="333">
        <f>+IFERROR(VLOOKUP(B152,#REF!,3,0),IFERROR(VLOOKUP(B152,#REF!,3,0),0))</f>
        <v>0</v>
      </c>
    </row>
    <row r="153" spans="1:10" ht="18.75" x14ac:dyDescent="0.3">
      <c r="A153" s="391">
        <v>224</v>
      </c>
      <c r="B153" s="433">
        <v>224</v>
      </c>
      <c r="C153" s="320">
        <f>+IFERROR(VLOOKUP(B153,'Stock ISIS LK'!A:D,4,0),IFERROR(VLOOKUP(B153,'Stock ISIS CH'!A:D,4,0),0))</f>
        <v>0</v>
      </c>
      <c r="D153" s="320">
        <f t="shared" si="7"/>
        <v>0</v>
      </c>
      <c r="E153" s="333">
        <v>1</v>
      </c>
      <c r="G153" s="394">
        <f t="shared" si="5"/>
        <v>0</v>
      </c>
      <c r="H153" s="320">
        <v>12</v>
      </c>
      <c r="I153" s="320">
        <f t="shared" si="6"/>
        <v>0</v>
      </c>
      <c r="J153" s="333">
        <f>+IFERROR(VLOOKUP(B153,#REF!,3,0),IFERROR(VLOOKUP(B153,#REF!,3,0),0))</f>
        <v>0</v>
      </c>
    </row>
    <row r="154" spans="1:10" ht="18.75" x14ac:dyDescent="0.3">
      <c r="A154" s="391">
        <v>220</v>
      </c>
      <c r="B154" s="433">
        <v>220</v>
      </c>
      <c r="C154" s="320">
        <f>+IFERROR(VLOOKUP(B154,'Stock ISIS LK'!A:D,4,0),IFERROR(VLOOKUP(B154,'Stock ISIS CH'!A:D,4,0),0))</f>
        <v>0</v>
      </c>
      <c r="D154" s="320">
        <f t="shared" si="7"/>
        <v>0</v>
      </c>
      <c r="E154" s="333">
        <v>1</v>
      </c>
      <c r="G154" s="394">
        <f t="shared" si="5"/>
        <v>0</v>
      </c>
      <c r="H154" s="320">
        <v>12</v>
      </c>
      <c r="I154" s="320">
        <f t="shared" si="6"/>
        <v>0</v>
      </c>
      <c r="J154" s="333">
        <f>+IFERROR(VLOOKUP(B154,#REF!,3,0),IFERROR(VLOOKUP(B154,#REF!,3,0),0))</f>
        <v>0</v>
      </c>
    </row>
    <row r="155" spans="1:10" ht="18.75" x14ac:dyDescent="0.3">
      <c r="A155" s="391">
        <v>392</v>
      </c>
      <c r="B155" s="433">
        <v>392</v>
      </c>
      <c r="C155" s="320">
        <f>+IFERROR(VLOOKUP(B155,'Stock ISIS LK'!A:D,4,0),IFERROR(VLOOKUP(B155,'Stock ISIS CH'!A:D,4,0),0))</f>
        <v>0</v>
      </c>
      <c r="D155" s="320">
        <f t="shared" si="7"/>
        <v>0</v>
      </c>
      <c r="E155" s="333">
        <v>1</v>
      </c>
      <c r="G155" s="394">
        <f t="shared" si="5"/>
        <v>0</v>
      </c>
      <c r="H155" s="320">
        <v>24</v>
      </c>
      <c r="I155" s="320">
        <f t="shared" si="6"/>
        <v>0</v>
      </c>
      <c r="J155" s="333">
        <f>+IFERROR(VLOOKUP(B155,#REF!,3,0),IFERROR(VLOOKUP(B155,#REF!,3,0),0))</f>
        <v>0</v>
      </c>
    </row>
    <row r="156" spans="1:10" ht="18.75" x14ac:dyDescent="0.3">
      <c r="A156" s="391">
        <v>394</v>
      </c>
      <c r="B156" s="433">
        <v>394</v>
      </c>
      <c r="C156" s="320">
        <f>+IFERROR(VLOOKUP(B156,'Stock ISIS LK'!A:D,4,0),IFERROR(VLOOKUP(B156,'Stock ISIS CH'!A:D,4,0),0))</f>
        <v>0</v>
      </c>
      <c r="D156" s="320">
        <f t="shared" si="7"/>
        <v>0</v>
      </c>
      <c r="E156" s="333">
        <v>1</v>
      </c>
      <c r="G156" s="394">
        <f t="shared" si="5"/>
        <v>0</v>
      </c>
      <c r="H156" s="320">
        <v>24</v>
      </c>
      <c r="I156" s="320">
        <f t="shared" si="6"/>
        <v>0</v>
      </c>
      <c r="J156" s="333">
        <f>+IFERROR(VLOOKUP(B156,#REF!,3,0),IFERROR(VLOOKUP(B156,#REF!,3,0),0))</f>
        <v>0</v>
      </c>
    </row>
    <row r="157" spans="1:10" ht="18.75" x14ac:dyDescent="0.3">
      <c r="A157" s="391">
        <v>391</v>
      </c>
      <c r="B157" s="433">
        <v>391</v>
      </c>
      <c r="C157" s="320">
        <f>+IFERROR(VLOOKUP(B157,'Stock ISIS LK'!A:D,4,0),IFERROR(VLOOKUP(B157,'Stock ISIS CH'!A:D,4,0),0))</f>
        <v>0</v>
      </c>
      <c r="D157" s="320">
        <f t="shared" si="7"/>
        <v>0</v>
      </c>
      <c r="E157" s="333">
        <v>1</v>
      </c>
      <c r="G157" s="394">
        <f t="shared" si="5"/>
        <v>0</v>
      </c>
      <c r="H157" s="320">
        <v>24</v>
      </c>
      <c r="I157" s="320">
        <f t="shared" si="6"/>
        <v>0</v>
      </c>
      <c r="J157" s="333">
        <f>+IFERROR(VLOOKUP(B157,#REF!,3,0),IFERROR(VLOOKUP(B157,#REF!,3,0),0))</f>
        <v>0</v>
      </c>
    </row>
    <row r="158" spans="1:10" ht="18.75" x14ac:dyDescent="0.3">
      <c r="A158" s="391">
        <v>393</v>
      </c>
      <c r="B158" s="433">
        <v>393</v>
      </c>
      <c r="C158" s="320">
        <f>+IFERROR(VLOOKUP(B158,'Stock ISIS LK'!A:D,4,0),IFERROR(VLOOKUP(B158,'Stock ISIS CH'!A:D,4,0),0))</f>
        <v>0</v>
      </c>
      <c r="D158" s="320">
        <f t="shared" si="7"/>
        <v>0</v>
      </c>
      <c r="E158" s="333">
        <v>1</v>
      </c>
      <c r="G158" s="394">
        <f t="shared" si="5"/>
        <v>0</v>
      </c>
      <c r="H158" s="320">
        <v>24</v>
      </c>
      <c r="I158" s="320">
        <f t="shared" si="6"/>
        <v>0</v>
      </c>
      <c r="J158" s="333">
        <f>+IFERROR(VLOOKUP(B158,#REF!,3,0),IFERROR(VLOOKUP(B158,#REF!,3,0),0))</f>
        <v>0</v>
      </c>
    </row>
    <row r="159" spans="1:10" ht="18.75" x14ac:dyDescent="0.3">
      <c r="A159" s="391">
        <v>325</v>
      </c>
      <c r="B159" s="433">
        <v>325</v>
      </c>
      <c r="C159" s="320">
        <f>+IFERROR(VLOOKUP(B159,'Stock ISIS LK'!A:D,4,0),IFERROR(VLOOKUP(B159,'Stock ISIS CH'!A:D,4,0),0))</f>
        <v>0</v>
      </c>
      <c r="D159" s="320">
        <f t="shared" si="7"/>
        <v>0</v>
      </c>
      <c r="E159" s="333">
        <v>1</v>
      </c>
      <c r="G159" s="394">
        <f t="shared" si="5"/>
        <v>0</v>
      </c>
      <c r="H159" s="320">
        <v>24</v>
      </c>
      <c r="I159" s="320">
        <f t="shared" si="6"/>
        <v>0</v>
      </c>
      <c r="J159" s="333">
        <f>+IFERROR(VLOOKUP(B159,#REF!,3,0),IFERROR(VLOOKUP(B159,#REF!,3,0),0))</f>
        <v>0</v>
      </c>
    </row>
    <row r="160" spans="1:10" ht="18.75" x14ac:dyDescent="0.3">
      <c r="A160" s="391">
        <v>862</v>
      </c>
      <c r="B160" s="433">
        <v>862</v>
      </c>
      <c r="C160" s="320">
        <f>+IFERROR(VLOOKUP(B160,'Stock ISIS LK'!A:D,4,0),IFERROR(VLOOKUP(B160,'Stock ISIS CH'!A:D,4,0),0))</f>
        <v>0</v>
      </c>
      <c r="D160" s="320">
        <f t="shared" si="7"/>
        <v>0</v>
      </c>
      <c r="E160" s="333">
        <v>1</v>
      </c>
      <c r="G160" s="394">
        <f t="shared" si="5"/>
        <v>0</v>
      </c>
      <c r="H160" s="320">
        <v>12</v>
      </c>
      <c r="I160" s="320">
        <f t="shared" si="6"/>
        <v>0</v>
      </c>
      <c r="J160" s="333">
        <f>+IFERROR(VLOOKUP(B160,#REF!,3,0),IFERROR(VLOOKUP(B160,#REF!,3,0),0))</f>
        <v>0</v>
      </c>
    </row>
    <row r="161" spans="1:10" ht="18.75" x14ac:dyDescent="0.3">
      <c r="A161" s="391">
        <v>859</v>
      </c>
      <c r="B161" s="433">
        <v>859</v>
      </c>
      <c r="C161" s="320">
        <f>+IFERROR(VLOOKUP(B161,'Stock ISIS LK'!A:D,4,0),IFERROR(VLOOKUP(B161,'Stock ISIS CH'!A:D,4,0),0))</f>
        <v>0</v>
      </c>
      <c r="D161" s="320">
        <f t="shared" si="7"/>
        <v>0</v>
      </c>
      <c r="E161" s="333">
        <v>1</v>
      </c>
      <c r="G161" s="394">
        <f t="shared" si="5"/>
        <v>0</v>
      </c>
      <c r="H161" s="320">
        <v>12</v>
      </c>
      <c r="I161" s="320">
        <f t="shared" si="6"/>
        <v>0</v>
      </c>
      <c r="J161" s="333">
        <f>+IFERROR(VLOOKUP(B161,#REF!,3,0),IFERROR(VLOOKUP(B161,#REF!,3,0),0))</f>
        <v>0</v>
      </c>
    </row>
    <row r="162" spans="1:10" ht="18.75" x14ac:dyDescent="0.3">
      <c r="A162" s="391">
        <v>720</v>
      </c>
      <c r="B162" s="433">
        <v>720</v>
      </c>
      <c r="C162" s="320">
        <f>+IFERROR(VLOOKUP(B162,'Stock ISIS LK'!A:D,4,0),IFERROR(VLOOKUP(B162,'Stock ISIS CH'!A:D,4,0),0))</f>
        <v>0</v>
      </c>
      <c r="D162" s="320">
        <f t="shared" si="7"/>
        <v>0</v>
      </c>
      <c r="E162" s="333">
        <v>1</v>
      </c>
      <c r="G162" s="394">
        <f t="shared" si="5"/>
        <v>0</v>
      </c>
      <c r="H162" s="320">
        <v>12</v>
      </c>
      <c r="I162" s="320">
        <f t="shared" si="6"/>
        <v>0</v>
      </c>
      <c r="J162" s="333">
        <f>+IFERROR(VLOOKUP(B162,#REF!,3,0),IFERROR(VLOOKUP(B162,#REF!,3,0),0))</f>
        <v>0</v>
      </c>
    </row>
    <row r="163" spans="1:10" ht="18.75" x14ac:dyDescent="0.3">
      <c r="A163" s="391">
        <v>722</v>
      </c>
      <c r="B163" s="433">
        <v>722</v>
      </c>
      <c r="C163" s="320">
        <f>+IFERROR(VLOOKUP(B163,'Stock ISIS LK'!A:D,4,0),IFERROR(VLOOKUP(B163,'Stock ISIS CH'!A:D,4,0),0))</f>
        <v>0</v>
      </c>
      <c r="D163" s="320">
        <f t="shared" si="7"/>
        <v>0</v>
      </c>
      <c r="E163" s="333">
        <v>1</v>
      </c>
      <c r="G163" s="394">
        <f t="shared" si="5"/>
        <v>0</v>
      </c>
      <c r="H163" s="320">
        <v>12</v>
      </c>
      <c r="I163" s="320">
        <f t="shared" si="6"/>
        <v>0</v>
      </c>
      <c r="J163" s="333">
        <f>+IFERROR(VLOOKUP(B163,#REF!,3,0),IFERROR(VLOOKUP(B163,#REF!,3,0),0))</f>
        <v>0</v>
      </c>
    </row>
    <row r="164" spans="1:10" ht="18.75" x14ac:dyDescent="0.3">
      <c r="A164" s="391">
        <v>54</v>
      </c>
      <c r="B164" s="433">
        <v>54</v>
      </c>
      <c r="C164" s="320">
        <f>+IFERROR(VLOOKUP(B164,'Stock ISIS LK'!A:D,4,0),IFERROR(VLOOKUP(B164,'Stock ISIS CH'!A:D,4,0),0))</f>
        <v>0</v>
      </c>
      <c r="D164" s="320">
        <f t="shared" si="7"/>
        <v>0</v>
      </c>
      <c r="E164" s="333">
        <v>1</v>
      </c>
      <c r="G164" s="394">
        <f t="shared" si="5"/>
        <v>0</v>
      </c>
      <c r="H164" s="320">
        <v>12</v>
      </c>
      <c r="I164" s="320">
        <f t="shared" si="6"/>
        <v>0</v>
      </c>
      <c r="J164" s="333">
        <f>+IFERROR(VLOOKUP(B164,#REF!,3,0),IFERROR(VLOOKUP(B164,#REF!,3,0),0))</f>
        <v>0</v>
      </c>
    </row>
    <row r="165" spans="1:10" ht="18.75" x14ac:dyDescent="0.3">
      <c r="A165" s="391">
        <v>702</v>
      </c>
      <c r="B165" s="433">
        <v>702</v>
      </c>
      <c r="C165" s="320">
        <f>+IFERROR(VLOOKUP(B165,'Stock ISIS LK'!A:D,4,0),IFERROR(VLOOKUP(B165,'Stock ISIS CH'!A:D,4,0),0))</f>
        <v>0</v>
      </c>
      <c r="D165" s="320">
        <f t="shared" si="7"/>
        <v>0</v>
      </c>
      <c r="E165" s="333">
        <v>1</v>
      </c>
      <c r="G165" s="394">
        <f t="shared" si="5"/>
        <v>0</v>
      </c>
      <c r="H165" s="320">
        <v>12</v>
      </c>
      <c r="I165" s="320">
        <f t="shared" si="6"/>
        <v>0</v>
      </c>
      <c r="J165" s="333">
        <f>+IFERROR(VLOOKUP(B165,#REF!,3,0),IFERROR(VLOOKUP(B165,#REF!,3,0),0))</f>
        <v>0</v>
      </c>
    </row>
    <row r="166" spans="1:10" ht="18.75" x14ac:dyDescent="0.3">
      <c r="A166" s="391">
        <v>707</v>
      </c>
      <c r="B166" s="433">
        <v>707</v>
      </c>
      <c r="C166" s="320">
        <f>+IFERROR(VLOOKUP(B166,'Stock ISIS LK'!A:D,4,0),IFERROR(VLOOKUP(B166,'Stock ISIS CH'!A:D,4,0),0))</f>
        <v>0</v>
      </c>
      <c r="D166" s="320">
        <f t="shared" si="7"/>
        <v>0</v>
      </c>
      <c r="E166" s="333">
        <v>1</v>
      </c>
      <c r="G166" s="394">
        <f t="shared" si="5"/>
        <v>0</v>
      </c>
      <c r="H166" s="320">
        <v>12</v>
      </c>
      <c r="I166" s="320">
        <f t="shared" si="6"/>
        <v>0</v>
      </c>
      <c r="J166" s="333">
        <f>+IFERROR(VLOOKUP(B166,#REF!,3,0),IFERROR(VLOOKUP(B166,#REF!,3,0),0))</f>
        <v>0</v>
      </c>
    </row>
    <row r="167" spans="1:10" ht="18.75" x14ac:dyDescent="0.3">
      <c r="A167" s="391">
        <v>701</v>
      </c>
      <c r="B167" s="433">
        <v>701</v>
      </c>
      <c r="C167" s="320">
        <f>+IFERROR(VLOOKUP(B167,'Stock ISIS LK'!A:D,4,0),IFERROR(VLOOKUP(B167,'Stock ISIS CH'!A:D,4,0),0))</f>
        <v>0</v>
      </c>
      <c r="D167" s="320">
        <f t="shared" si="7"/>
        <v>0</v>
      </c>
      <c r="E167" s="333">
        <v>1</v>
      </c>
      <c r="G167" s="394">
        <f t="shared" si="5"/>
        <v>0</v>
      </c>
      <c r="H167" s="320">
        <v>6</v>
      </c>
      <c r="I167" s="320">
        <f t="shared" si="6"/>
        <v>0</v>
      </c>
      <c r="J167" s="333">
        <f>+IFERROR(VLOOKUP(B167,#REF!,3,0),IFERROR(VLOOKUP(B167,#REF!,3,0),0))</f>
        <v>0</v>
      </c>
    </row>
    <row r="168" spans="1:10" ht="18.75" x14ac:dyDescent="0.3">
      <c r="A168" s="391">
        <v>710</v>
      </c>
      <c r="B168" s="433">
        <v>710</v>
      </c>
      <c r="C168" s="320">
        <f>+IFERROR(VLOOKUP(B168,'Stock ISIS LK'!A:D,4,0),IFERROR(VLOOKUP(B168,'Stock ISIS CH'!A:D,4,0),0))</f>
        <v>0</v>
      </c>
      <c r="D168" s="320">
        <f t="shared" si="7"/>
        <v>0</v>
      </c>
      <c r="E168" s="333">
        <v>1</v>
      </c>
      <c r="G168" s="394">
        <f t="shared" si="5"/>
        <v>0</v>
      </c>
      <c r="H168" s="320">
        <v>12</v>
      </c>
      <c r="I168" s="320">
        <f t="shared" si="6"/>
        <v>0</v>
      </c>
      <c r="J168" s="333">
        <f>+IFERROR(VLOOKUP(B168,#REF!,3,0),IFERROR(VLOOKUP(B168,#REF!,3,0),0))</f>
        <v>0</v>
      </c>
    </row>
    <row r="169" spans="1:10" ht="18.75" x14ac:dyDescent="0.3">
      <c r="A169" s="391">
        <v>723</v>
      </c>
      <c r="B169" s="433">
        <v>723</v>
      </c>
      <c r="C169" s="320">
        <f>+IFERROR(VLOOKUP(B169,'Stock ISIS LK'!A:D,4,0),IFERROR(VLOOKUP(B169,'Stock ISIS CH'!A:D,4,0),0))</f>
        <v>0</v>
      </c>
      <c r="D169" s="320">
        <f t="shared" si="7"/>
        <v>0</v>
      </c>
      <c r="E169" s="333">
        <v>1</v>
      </c>
      <c r="G169" s="394">
        <f t="shared" si="5"/>
        <v>0</v>
      </c>
      <c r="H169" s="320">
        <v>12</v>
      </c>
      <c r="I169" s="320">
        <f t="shared" si="6"/>
        <v>0</v>
      </c>
      <c r="J169" s="333">
        <f>+IFERROR(VLOOKUP(B169,#REF!,3,0),IFERROR(VLOOKUP(B169,#REF!,3,0),0))</f>
        <v>0</v>
      </c>
    </row>
    <row r="170" spans="1:10" ht="18.75" x14ac:dyDescent="0.3">
      <c r="A170" s="391">
        <v>864</v>
      </c>
      <c r="B170" s="433">
        <v>864</v>
      </c>
      <c r="C170" s="320">
        <f>+IFERROR(VLOOKUP(B170,'Stock ISIS LK'!A:D,4,0),IFERROR(VLOOKUP(B170,'Stock ISIS CH'!A:D,4,0),0))</f>
        <v>0</v>
      </c>
      <c r="D170" s="320">
        <f t="shared" si="7"/>
        <v>0</v>
      </c>
      <c r="E170" s="333">
        <v>1</v>
      </c>
      <c r="G170" s="394">
        <f t="shared" si="5"/>
        <v>0</v>
      </c>
      <c r="H170" s="320">
        <v>12</v>
      </c>
      <c r="I170" s="320">
        <f t="shared" si="6"/>
        <v>0</v>
      </c>
      <c r="J170" s="333">
        <f>+IFERROR(VLOOKUP(B170,#REF!,3,0),IFERROR(VLOOKUP(B170,#REF!,3,0),0))</f>
        <v>0</v>
      </c>
    </row>
    <row r="171" spans="1:10" ht="18.75" x14ac:dyDescent="0.3">
      <c r="A171" s="391">
        <v>724</v>
      </c>
      <c r="B171" s="433">
        <v>724</v>
      </c>
      <c r="C171" s="320">
        <f>+IFERROR(VLOOKUP(B171,'Stock ISIS LK'!A:D,4,0),IFERROR(VLOOKUP(B171,'Stock ISIS CH'!A:D,4,0),0))</f>
        <v>0</v>
      </c>
      <c r="D171" s="320">
        <f t="shared" si="7"/>
        <v>0</v>
      </c>
      <c r="E171" s="333">
        <v>1</v>
      </c>
      <c r="G171" s="394">
        <f t="shared" si="5"/>
        <v>0</v>
      </c>
      <c r="H171" s="320">
        <v>12</v>
      </c>
      <c r="I171" s="320">
        <f t="shared" si="6"/>
        <v>0</v>
      </c>
      <c r="J171" s="333">
        <f>+IFERROR(VLOOKUP(B171,#REF!,3,0),IFERROR(VLOOKUP(B171,#REF!,3,0),0))</f>
        <v>0</v>
      </c>
    </row>
    <row r="172" spans="1:10" ht="18.75" x14ac:dyDescent="0.3">
      <c r="A172" s="391">
        <v>802</v>
      </c>
      <c r="B172" s="433">
        <v>802</v>
      </c>
      <c r="C172" s="320">
        <f>+IFERROR(VLOOKUP(B172,'Stock ISIS LK'!A:D,4,0),IFERROR(VLOOKUP(B172,'Stock ISIS CH'!A:D,4,0),0))</f>
        <v>0</v>
      </c>
      <c r="D172" s="320">
        <f t="shared" si="7"/>
        <v>0</v>
      </c>
      <c r="E172" s="333">
        <v>1</v>
      </c>
      <c r="G172" s="394">
        <f t="shared" si="5"/>
        <v>0</v>
      </c>
      <c r="H172" s="320">
        <v>12</v>
      </c>
      <c r="I172" s="320">
        <f t="shared" si="6"/>
        <v>0</v>
      </c>
      <c r="J172" s="333">
        <f>+IFERROR(VLOOKUP(B172,#REF!,3,0),IFERROR(VLOOKUP(B172,#REF!,3,0),0))</f>
        <v>0</v>
      </c>
    </row>
    <row r="173" spans="1:10" ht="18.75" x14ac:dyDescent="0.3">
      <c r="A173" s="391">
        <v>719</v>
      </c>
      <c r="B173" s="433">
        <v>719</v>
      </c>
      <c r="C173" s="320">
        <f>+IFERROR(VLOOKUP(B173,'Stock ISIS LK'!A:D,4,0),IFERROR(VLOOKUP(B173,'Stock ISIS CH'!A:D,4,0),0))</f>
        <v>0</v>
      </c>
      <c r="D173" s="320">
        <f t="shared" si="7"/>
        <v>0</v>
      </c>
      <c r="E173" s="333">
        <v>1</v>
      </c>
      <c r="G173" s="394">
        <f t="shared" si="5"/>
        <v>0</v>
      </c>
      <c r="H173" s="320">
        <v>12</v>
      </c>
      <c r="I173" s="320">
        <f t="shared" si="6"/>
        <v>0</v>
      </c>
      <c r="J173" s="333">
        <f>+IFERROR(VLOOKUP(B173,#REF!,3,0),IFERROR(VLOOKUP(B173,#REF!,3,0),0))</f>
        <v>0</v>
      </c>
    </row>
    <row r="174" spans="1:10" ht="18.75" x14ac:dyDescent="0.3">
      <c r="A174" s="391">
        <v>99</v>
      </c>
      <c r="B174" s="433">
        <v>99</v>
      </c>
      <c r="C174" s="320">
        <f>+IFERROR(VLOOKUP(B174,'Stock ISIS LK'!A:D,4,0),IFERROR(VLOOKUP(B174,'Stock ISIS CH'!A:D,4,0),0))</f>
        <v>0</v>
      </c>
      <c r="D174" s="320">
        <f t="shared" si="7"/>
        <v>0</v>
      </c>
      <c r="E174" s="333">
        <v>1</v>
      </c>
      <c r="G174" s="394">
        <f t="shared" si="5"/>
        <v>0</v>
      </c>
      <c r="H174" s="320">
        <v>12</v>
      </c>
      <c r="I174" s="320">
        <f t="shared" si="6"/>
        <v>0</v>
      </c>
      <c r="J174" s="333">
        <f>+IFERROR(VLOOKUP(B174,#REF!,3,0),IFERROR(VLOOKUP(B174,#REF!,3,0),0))</f>
        <v>0</v>
      </c>
    </row>
    <row r="175" spans="1:10" ht="18.75" x14ac:dyDescent="0.3">
      <c r="A175" s="391">
        <v>732</v>
      </c>
      <c r="B175" s="433">
        <v>732</v>
      </c>
      <c r="C175" s="320">
        <f>+IFERROR(VLOOKUP(B175,'Stock ISIS LK'!A:D,4,0),IFERROR(VLOOKUP(B175,'Stock ISIS CH'!A:D,4,0),0))</f>
        <v>0</v>
      </c>
      <c r="D175" s="320">
        <f t="shared" si="7"/>
        <v>0</v>
      </c>
      <c r="E175" s="333">
        <v>1</v>
      </c>
      <c r="G175" s="394">
        <f t="shared" si="5"/>
        <v>0</v>
      </c>
      <c r="H175" s="320">
        <v>24</v>
      </c>
      <c r="I175" s="320">
        <f t="shared" si="6"/>
        <v>0</v>
      </c>
      <c r="J175" s="333">
        <f>+IFERROR(VLOOKUP(B175,#REF!,3,0),IFERROR(VLOOKUP(B175,#REF!,3,0),0))</f>
        <v>0</v>
      </c>
    </row>
    <row r="176" spans="1:10" ht="18.75" x14ac:dyDescent="0.3">
      <c r="A176" s="391">
        <v>700</v>
      </c>
      <c r="B176" s="433">
        <v>700</v>
      </c>
      <c r="C176" s="320">
        <f>+IFERROR(VLOOKUP(B176,'Stock ISIS LK'!A:D,4,0),IFERROR(VLOOKUP(B176,'Stock ISIS CH'!A:D,4,0),0))</f>
        <v>0</v>
      </c>
      <c r="D176" s="320">
        <f t="shared" si="7"/>
        <v>0</v>
      </c>
      <c r="E176" s="333">
        <v>1</v>
      </c>
      <c r="G176" s="394">
        <f t="shared" si="5"/>
        <v>0</v>
      </c>
      <c r="H176" s="320">
        <v>12</v>
      </c>
      <c r="I176" s="320">
        <f t="shared" si="6"/>
        <v>0</v>
      </c>
      <c r="J176" s="333">
        <f>+IFERROR(VLOOKUP(B176,#REF!,3,0),IFERROR(VLOOKUP(B176,#REF!,3,0),0))</f>
        <v>0</v>
      </c>
    </row>
    <row r="177" spans="1:10" ht="18.75" x14ac:dyDescent="0.3">
      <c r="A177" s="391">
        <v>615</v>
      </c>
      <c r="B177" s="433">
        <v>615</v>
      </c>
      <c r="C177" s="320">
        <f>+IFERROR(VLOOKUP(B177,'Stock ISIS LK'!A:D,4,0),IFERROR(VLOOKUP(B177,'Stock ISIS CH'!A:D,4,0),0))</f>
        <v>0</v>
      </c>
      <c r="D177" s="320">
        <f t="shared" si="7"/>
        <v>0</v>
      </c>
      <c r="E177" s="333">
        <v>1</v>
      </c>
      <c r="G177" s="394">
        <f t="shared" si="5"/>
        <v>0</v>
      </c>
      <c r="H177" s="320">
        <v>12</v>
      </c>
      <c r="I177" s="320">
        <f t="shared" si="6"/>
        <v>0</v>
      </c>
      <c r="J177" s="333">
        <f>+IFERROR(VLOOKUP(B177,#REF!,3,0),IFERROR(VLOOKUP(B177,#REF!,3,0),0))</f>
        <v>0</v>
      </c>
    </row>
    <row r="178" spans="1:10" ht="18.75" x14ac:dyDescent="0.3">
      <c r="A178" s="391">
        <v>817</v>
      </c>
      <c r="B178" s="433">
        <v>817</v>
      </c>
      <c r="C178" s="320">
        <f>+IFERROR(VLOOKUP(B178,'Stock ISIS LK'!A:D,4,0),IFERROR(VLOOKUP(B178,'Stock ISIS CH'!A:D,4,0),0))</f>
        <v>0</v>
      </c>
      <c r="D178" s="320">
        <f t="shared" si="7"/>
        <v>0</v>
      </c>
      <c r="E178" s="333">
        <v>1</v>
      </c>
      <c r="G178" s="394">
        <f t="shared" si="5"/>
        <v>0</v>
      </c>
      <c r="H178" s="320">
        <v>12</v>
      </c>
      <c r="I178" s="320">
        <f t="shared" si="6"/>
        <v>0</v>
      </c>
      <c r="J178" s="333">
        <f>+IFERROR(VLOOKUP(B178,#REF!,3,0),IFERROR(VLOOKUP(B178,#REF!,3,0),0))</f>
        <v>0</v>
      </c>
    </row>
    <row r="179" spans="1:10" ht="18.75" x14ac:dyDescent="0.3">
      <c r="A179" s="391">
        <v>857</v>
      </c>
      <c r="B179" s="433">
        <v>857</v>
      </c>
      <c r="C179" s="320">
        <f>+IFERROR(VLOOKUP(B179,'Stock ISIS LK'!A:D,4,0),IFERROR(VLOOKUP(B179,'Stock ISIS CH'!A:D,4,0),0))</f>
        <v>0</v>
      </c>
      <c r="D179" s="320">
        <f t="shared" si="7"/>
        <v>0</v>
      </c>
      <c r="E179" s="333">
        <v>1</v>
      </c>
      <c r="G179" s="394">
        <f t="shared" si="5"/>
        <v>0</v>
      </c>
      <c r="H179" s="320">
        <v>24</v>
      </c>
      <c r="I179" s="320">
        <f t="shared" si="6"/>
        <v>0</v>
      </c>
      <c r="J179" s="333">
        <f>+IFERROR(VLOOKUP(B179,#REF!,3,0),IFERROR(VLOOKUP(B179,#REF!,3,0),0))</f>
        <v>0</v>
      </c>
    </row>
    <row r="180" spans="1:10" ht="18.75" x14ac:dyDescent="0.3">
      <c r="A180" s="391">
        <v>53</v>
      </c>
      <c r="B180" s="433">
        <v>53</v>
      </c>
      <c r="C180" s="320">
        <f>+IFERROR(VLOOKUP(B180,'Stock ISIS LK'!A:D,4,0),IFERROR(VLOOKUP(B180,'Stock ISIS CH'!A:D,4,0),0))</f>
        <v>0</v>
      </c>
      <c r="D180" s="320">
        <f t="shared" si="7"/>
        <v>0</v>
      </c>
      <c r="E180" s="333">
        <v>1</v>
      </c>
      <c r="G180" s="394">
        <f t="shared" si="5"/>
        <v>0</v>
      </c>
      <c r="H180" s="320">
        <v>12</v>
      </c>
      <c r="I180" s="320">
        <f t="shared" si="6"/>
        <v>0</v>
      </c>
      <c r="J180" s="333">
        <f>+IFERROR(VLOOKUP(B180,#REF!,3,0),IFERROR(VLOOKUP(B180,#REF!,3,0),0))</f>
        <v>0</v>
      </c>
    </row>
    <row r="181" spans="1:10" ht="18.75" x14ac:dyDescent="0.3">
      <c r="A181" s="391">
        <v>856</v>
      </c>
      <c r="B181" s="433">
        <v>856</v>
      </c>
      <c r="C181" s="320">
        <f>+IFERROR(VLOOKUP(B181,'Stock ISIS LK'!A:D,4,0),IFERROR(VLOOKUP(B181,'Stock ISIS CH'!A:D,4,0),0))</f>
        <v>0</v>
      </c>
      <c r="D181" s="320">
        <f t="shared" si="7"/>
        <v>0</v>
      </c>
      <c r="E181" s="333">
        <v>1</v>
      </c>
      <c r="G181" s="394">
        <f t="shared" si="5"/>
        <v>0</v>
      </c>
      <c r="H181" s="320">
        <v>24</v>
      </c>
      <c r="I181" s="320">
        <f t="shared" si="6"/>
        <v>0</v>
      </c>
      <c r="J181" s="333">
        <f>+IFERROR(VLOOKUP(B181,#REF!,3,0),IFERROR(VLOOKUP(B181,#REF!,3,0),0))</f>
        <v>0</v>
      </c>
    </row>
    <row r="182" spans="1:10" ht="18.75" x14ac:dyDescent="0.3">
      <c r="A182" s="391">
        <v>730</v>
      </c>
      <c r="B182" s="433">
        <v>730</v>
      </c>
      <c r="C182" s="320">
        <f>+IFERROR(VLOOKUP(B182,'Stock ISIS LK'!A:D,4,0),IFERROR(VLOOKUP(B182,'Stock ISIS CH'!A:D,4,0),0))</f>
        <v>0</v>
      </c>
      <c r="D182" s="320">
        <f t="shared" si="7"/>
        <v>0</v>
      </c>
      <c r="E182" s="333">
        <v>1</v>
      </c>
      <c r="G182" s="394">
        <f t="shared" si="5"/>
        <v>0</v>
      </c>
      <c r="H182" s="320">
        <v>24</v>
      </c>
      <c r="I182" s="320">
        <f t="shared" si="6"/>
        <v>0</v>
      </c>
      <c r="J182" s="333">
        <f>+IFERROR(VLOOKUP(B182,#REF!,3,0),IFERROR(VLOOKUP(B182,#REF!,3,0),0))</f>
        <v>0</v>
      </c>
    </row>
    <row r="183" spans="1:10" ht="18.75" x14ac:dyDescent="0.3">
      <c r="A183" s="391">
        <v>800</v>
      </c>
      <c r="B183" s="433">
        <v>800</v>
      </c>
      <c r="C183" s="320">
        <f>+IFERROR(VLOOKUP(B183,'Stock ISIS LK'!A:D,4,0),IFERROR(VLOOKUP(B183,'Stock ISIS CH'!A:D,4,0),0))</f>
        <v>0</v>
      </c>
      <c r="D183" s="320">
        <f t="shared" si="7"/>
        <v>0</v>
      </c>
      <c r="E183" s="333">
        <v>1</v>
      </c>
      <c r="G183" s="394">
        <f t="shared" si="5"/>
        <v>0</v>
      </c>
      <c r="H183" s="320">
        <v>12</v>
      </c>
      <c r="I183" s="320">
        <f t="shared" si="6"/>
        <v>0</v>
      </c>
      <c r="J183" s="333">
        <f>+IFERROR(VLOOKUP(B183,#REF!,3,0),IFERROR(VLOOKUP(B183,#REF!,3,0),0))</f>
        <v>0</v>
      </c>
    </row>
    <row r="184" spans="1:10" ht="18.75" x14ac:dyDescent="0.3">
      <c r="A184" s="391">
        <v>617</v>
      </c>
      <c r="B184" s="433">
        <v>617</v>
      </c>
      <c r="C184" s="320">
        <f>+IFERROR(VLOOKUP(B184,'Stock ISIS LK'!A:D,4,0),IFERROR(VLOOKUP(B184,'Stock ISIS CH'!A:D,4,0),0))</f>
        <v>0</v>
      </c>
      <c r="D184" s="320">
        <f t="shared" si="7"/>
        <v>0</v>
      </c>
      <c r="E184" s="333">
        <v>1</v>
      </c>
      <c r="G184" s="394">
        <f t="shared" si="5"/>
        <v>0</v>
      </c>
      <c r="H184" s="320">
        <v>12</v>
      </c>
      <c r="I184" s="320">
        <f t="shared" si="6"/>
        <v>0</v>
      </c>
      <c r="J184" s="333">
        <f>+IFERROR(VLOOKUP(B184,#REF!,3,0),IFERROR(VLOOKUP(B184,#REF!,3,0),0))</f>
        <v>0</v>
      </c>
    </row>
    <row r="185" spans="1:10" ht="18.75" x14ac:dyDescent="0.3">
      <c r="A185" s="391">
        <v>760</v>
      </c>
      <c r="B185" s="433">
        <v>760</v>
      </c>
      <c r="C185" s="320">
        <f>+IFERROR(VLOOKUP(B185,'Stock ISIS LK'!A:D,4,0),IFERROR(VLOOKUP(B185,'Stock ISIS CH'!A:D,4,0),0))</f>
        <v>0</v>
      </c>
      <c r="D185" s="320">
        <f t="shared" si="7"/>
        <v>0</v>
      </c>
      <c r="E185" s="333">
        <v>1</v>
      </c>
      <c r="G185" s="394">
        <f t="shared" si="5"/>
        <v>0</v>
      </c>
      <c r="H185" s="320">
        <v>36</v>
      </c>
      <c r="I185" s="320">
        <f t="shared" si="6"/>
        <v>0</v>
      </c>
      <c r="J185" s="333">
        <f>+IFERROR(VLOOKUP(B185,#REF!,3,0),IFERROR(VLOOKUP(B185,#REF!,3,0),0))</f>
        <v>0</v>
      </c>
    </row>
    <row r="186" spans="1:10" ht="18.75" x14ac:dyDescent="0.3">
      <c r="A186" s="391">
        <v>765</v>
      </c>
      <c r="B186" s="433">
        <v>765</v>
      </c>
      <c r="C186" s="320">
        <f>+IFERROR(VLOOKUP(B186,'Stock ISIS LK'!A:D,4,0),IFERROR(VLOOKUP(B186,'Stock ISIS CH'!A:D,4,0),0))</f>
        <v>0</v>
      </c>
      <c r="D186" s="320">
        <f t="shared" si="7"/>
        <v>0</v>
      </c>
      <c r="E186" s="333">
        <v>1</v>
      </c>
      <c r="G186" s="394" t="e">
        <f t="shared" si="5"/>
        <v>#DIV/0!</v>
      </c>
      <c r="H186" s="320">
        <v>0</v>
      </c>
      <c r="I186" s="320" t="e">
        <f t="shared" si="6"/>
        <v>#DIV/0!</v>
      </c>
      <c r="J186" s="333">
        <f>+IFERROR(VLOOKUP(B186,#REF!,3,0),IFERROR(VLOOKUP(B186,#REF!,3,0),0))</f>
        <v>0</v>
      </c>
    </row>
    <row r="187" spans="1:10" ht="18.75" x14ac:dyDescent="0.3">
      <c r="A187" s="391">
        <v>840</v>
      </c>
      <c r="B187" s="433">
        <v>840</v>
      </c>
      <c r="C187" s="320">
        <f>+IFERROR(VLOOKUP(B187,'Stock ISIS LK'!A:D,4,0),IFERROR(VLOOKUP(B187,'Stock ISIS CH'!A:D,4,0),0))</f>
        <v>0</v>
      </c>
      <c r="D187" s="320">
        <f t="shared" si="7"/>
        <v>0</v>
      </c>
      <c r="E187" s="333">
        <v>1</v>
      </c>
      <c r="G187" s="394">
        <f t="shared" si="5"/>
        <v>0</v>
      </c>
      <c r="H187" s="320">
        <v>12</v>
      </c>
      <c r="I187" s="320">
        <f t="shared" si="6"/>
        <v>0</v>
      </c>
      <c r="J187" s="333">
        <f>+IFERROR(VLOOKUP(B187,#REF!,3,0),IFERROR(VLOOKUP(B187,#REF!,3,0),0))</f>
        <v>0</v>
      </c>
    </row>
    <row r="188" spans="1:10" ht="18.75" x14ac:dyDescent="0.3">
      <c r="A188" s="391">
        <v>709</v>
      </c>
      <c r="B188" s="433">
        <v>709</v>
      </c>
      <c r="C188" s="320">
        <f>+IFERROR(VLOOKUP(B188,'Stock ISIS LK'!A:D,4,0),IFERROR(VLOOKUP(B188,'Stock ISIS CH'!A:D,4,0),0))</f>
        <v>0</v>
      </c>
      <c r="D188" s="320">
        <f t="shared" si="7"/>
        <v>0</v>
      </c>
      <c r="E188" s="333">
        <v>1</v>
      </c>
      <c r="G188" s="394">
        <f t="shared" si="5"/>
        <v>0</v>
      </c>
      <c r="H188" s="320">
        <v>12</v>
      </c>
      <c r="I188" s="320">
        <f t="shared" si="6"/>
        <v>0</v>
      </c>
      <c r="J188" s="333">
        <f>+IFERROR(VLOOKUP(B188,#REF!,3,0),IFERROR(VLOOKUP(B188,#REF!,3,0),0))</f>
        <v>0</v>
      </c>
    </row>
    <row r="189" spans="1:10" ht="18.75" x14ac:dyDescent="0.3">
      <c r="A189" s="391">
        <v>879</v>
      </c>
      <c r="B189" s="433">
        <v>879</v>
      </c>
      <c r="C189" s="320">
        <f>+IFERROR(VLOOKUP(B189,'Stock ISIS LK'!A:D,4,0),IFERROR(VLOOKUP(B189,'Stock ISIS CH'!A:D,4,0),0))</f>
        <v>0</v>
      </c>
      <c r="D189" s="320">
        <f t="shared" si="7"/>
        <v>0</v>
      </c>
      <c r="E189" s="333">
        <v>1</v>
      </c>
      <c r="G189" s="394">
        <f t="shared" si="5"/>
        <v>0</v>
      </c>
      <c r="H189" s="320">
        <v>24</v>
      </c>
      <c r="I189" s="320">
        <f t="shared" si="6"/>
        <v>0</v>
      </c>
      <c r="J189" s="333">
        <f>+IFERROR(VLOOKUP(B189,#REF!,3,0),IFERROR(VLOOKUP(B189,#REF!,3,0),0))</f>
        <v>0</v>
      </c>
    </row>
    <row r="190" spans="1:10" ht="18.75" x14ac:dyDescent="0.3">
      <c r="A190" s="391">
        <v>725</v>
      </c>
      <c r="B190" s="433">
        <v>725</v>
      </c>
      <c r="C190" s="320">
        <f>+IFERROR(VLOOKUP(B190,'Stock ISIS LK'!A:D,4,0),IFERROR(VLOOKUP(B190,'Stock ISIS CH'!A:D,4,0),0))</f>
        <v>0</v>
      </c>
      <c r="D190" s="320">
        <f t="shared" si="7"/>
        <v>0</v>
      </c>
      <c r="E190" s="333">
        <v>1</v>
      </c>
      <c r="G190" s="394">
        <f t="shared" si="5"/>
        <v>0</v>
      </c>
      <c r="H190" s="320">
        <v>24</v>
      </c>
      <c r="I190" s="320">
        <f t="shared" si="6"/>
        <v>0</v>
      </c>
      <c r="J190" s="333">
        <f>+IFERROR(VLOOKUP(B190,#REF!,3,0),IFERROR(VLOOKUP(B190,#REF!,3,0),0))</f>
        <v>0</v>
      </c>
    </row>
    <row r="191" spans="1:10" ht="18.75" x14ac:dyDescent="0.3">
      <c r="A191" s="391">
        <v>713</v>
      </c>
      <c r="B191" s="433">
        <v>713</v>
      </c>
      <c r="C191" s="320">
        <f>+IFERROR(VLOOKUP(B191,'Stock ISIS LK'!A:D,4,0),IFERROR(VLOOKUP(B191,'Stock ISIS CH'!A:D,4,0),0))</f>
        <v>0</v>
      </c>
      <c r="D191" s="320">
        <f t="shared" si="7"/>
        <v>0</v>
      </c>
      <c r="E191" s="333">
        <v>1</v>
      </c>
      <c r="G191" s="394">
        <f t="shared" si="5"/>
        <v>0</v>
      </c>
      <c r="H191" s="320">
        <v>12</v>
      </c>
      <c r="I191" s="320">
        <f t="shared" si="6"/>
        <v>0</v>
      </c>
      <c r="J191" s="333">
        <f>+IFERROR(VLOOKUP(B191,#REF!,3,0),IFERROR(VLOOKUP(B191,#REF!,3,0),0))</f>
        <v>0</v>
      </c>
    </row>
    <row r="192" spans="1:10" ht="18.75" x14ac:dyDescent="0.3">
      <c r="A192" s="391">
        <v>55</v>
      </c>
      <c r="B192" s="433">
        <v>55</v>
      </c>
      <c r="C192" s="320">
        <f>+IFERROR(VLOOKUP(B192,'Stock ISIS LK'!A:D,4,0),IFERROR(VLOOKUP(B192,'Stock ISIS CH'!A:D,4,0),0))</f>
        <v>0</v>
      </c>
      <c r="D192" s="320">
        <f t="shared" si="7"/>
        <v>0</v>
      </c>
      <c r="E192" s="333">
        <v>1</v>
      </c>
      <c r="G192" s="394">
        <f t="shared" si="5"/>
        <v>0</v>
      </c>
      <c r="H192" s="320">
        <v>12</v>
      </c>
      <c r="I192" s="320">
        <f t="shared" si="6"/>
        <v>0</v>
      </c>
      <c r="J192" s="333">
        <f>+IFERROR(VLOOKUP(B192,#REF!,3,0),IFERROR(VLOOKUP(B192,#REF!,3,0),0))</f>
        <v>0</v>
      </c>
    </row>
    <row r="193" spans="1:10" ht="18.75" x14ac:dyDescent="0.3">
      <c r="A193" s="391">
        <v>43</v>
      </c>
      <c r="B193" s="433">
        <v>43</v>
      </c>
      <c r="C193" s="320">
        <f>+IFERROR(VLOOKUP(B193,'Stock ISIS LK'!A:D,4,0),IFERROR(VLOOKUP(B193,'Stock ISIS CH'!A:D,4,0),0))</f>
        <v>0</v>
      </c>
      <c r="D193" s="320">
        <f t="shared" si="7"/>
        <v>0</v>
      </c>
      <c r="E193" s="333">
        <v>1</v>
      </c>
      <c r="G193" s="394">
        <f t="shared" si="5"/>
        <v>0</v>
      </c>
      <c r="H193" s="320">
        <v>12</v>
      </c>
      <c r="I193" s="320">
        <f t="shared" si="6"/>
        <v>0</v>
      </c>
      <c r="J193" s="333">
        <f>+IFERROR(VLOOKUP(B193,#REF!,3,0),IFERROR(VLOOKUP(B193,#REF!,3,0),0))</f>
        <v>0</v>
      </c>
    </row>
    <row r="194" spans="1:10" ht="18.75" x14ac:dyDescent="0.3">
      <c r="A194" s="391">
        <v>809</v>
      </c>
      <c r="B194" s="433">
        <v>809</v>
      </c>
      <c r="C194" s="320">
        <f>+IFERROR(VLOOKUP(B194,'Stock ISIS LK'!A:D,4,0),IFERROR(VLOOKUP(B194,'Stock ISIS CH'!A:D,4,0),0))</f>
        <v>0</v>
      </c>
      <c r="D194" s="320">
        <f t="shared" si="7"/>
        <v>0</v>
      </c>
      <c r="E194" s="333">
        <v>1</v>
      </c>
      <c r="G194" s="394">
        <f t="shared" si="5"/>
        <v>0</v>
      </c>
      <c r="H194" s="320">
        <v>12</v>
      </c>
      <c r="I194" s="320">
        <f t="shared" si="6"/>
        <v>0</v>
      </c>
      <c r="J194" s="333">
        <f>+IFERROR(VLOOKUP(B194,#REF!,3,0),IFERROR(VLOOKUP(B194,#REF!,3,0),0))</f>
        <v>0</v>
      </c>
    </row>
    <row r="195" spans="1:10" ht="18.75" x14ac:dyDescent="0.3">
      <c r="A195" s="391">
        <v>816</v>
      </c>
      <c r="B195" s="433">
        <v>816</v>
      </c>
      <c r="C195" s="320">
        <f>+IFERROR(VLOOKUP(B195,'Stock ISIS LK'!A:D,4,0),IFERROR(VLOOKUP(B195,'Stock ISIS CH'!A:D,4,0),0))</f>
        <v>0</v>
      </c>
      <c r="D195" s="320">
        <f t="shared" si="7"/>
        <v>0</v>
      </c>
      <c r="E195" s="333">
        <v>1</v>
      </c>
      <c r="G195" s="394">
        <f t="shared" si="5"/>
        <v>0</v>
      </c>
      <c r="H195" s="320">
        <v>12</v>
      </c>
      <c r="I195" s="320">
        <f t="shared" si="6"/>
        <v>0</v>
      </c>
      <c r="J195" s="333">
        <f>+IFERROR(VLOOKUP(B195,#REF!,3,0),IFERROR(VLOOKUP(B195,#REF!,3,0),0))</f>
        <v>0</v>
      </c>
    </row>
    <row r="196" spans="1:10" ht="18.75" x14ac:dyDescent="0.3">
      <c r="A196" s="391">
        <v>858</v>
      </c>
      <c r="B196" s="433">
        <v>858</v>
      </c>
      <c r="C196" s="320">
        <f>+IFERROR(VLOOKUP(B196,'Stock ISIS LK'!A:D,4,0),IFERROR(VLOOKUP(B196,'Stock ISIS CH'!A:D,4,0),0))</f>
        <v>0</v>
      </c>
      <c r="D196" s="320">
        <f t="shared" si="7"/>
        <v>0</v>
      </c>
      <c r="E196" s="333">
        <v>1</v>
      </c>
      <c r="G196" s="394">
        <f t="shared" si="5"/>
        <v>0</v>
      </c>
      <c r="H196" s="320">
        <v>24</v>
      </c>
      <c r="I196" s="320">
        <f t="shared" si="6"/>
        <v>0</v>
      </c>
      <c r="J196" s="333">
        <f>+IFERROR(VLOOKUP(B196,#REF!,3,0),IFERROR(VLOOKUP(B196,#REF!,3,0),0))</f>
        <v>0</v>
      </c>
    </row>
    <row r="197" spans="1:10" ht="18.75" x14ac:dyDescent="0.3">
      <c r="A197" s="391">
        <v>863</v>
      </c>
      <c r="B197" s="433">
        <v>863</v>
      </c>
      <c r="C197" s="320">
        <f>+IFERROR(VLOOKUP(B197,'Stock ISIS LK'!A:D,4,0),IFERROR(VLOOKUP(B197,'Stock ISIS CH'!A:D,4,0),0))</f>
        <v>0</v>
      </c>
      <c r="D197" s="320">
        <f t="shared" si="7"/>
        <v>0</v>
      </c>
      <c r="E197" s="333">
        <v>1</v>
      </c>
      <c r="G197" s="394">
        <f t="shared" si="5"/>
        <v>0</v>
      </c>
      <c r="H197" s="320">
        <v>12</v>
      </c>
      <c r="I197" s="320">
        <f t="shared" si="6"/>
        <v>0</v>
      </c>
      <c r="J197" s="333">
        <f>+IFERROR(VLOOKUP(B197,#REF!,3,0),IFERROR(VLOOKUP(B197,#REF!,3,0),0))</f>
        <v>0</v>
      </c>
    </row>
    <row r="198" spans="1:10" ht="18.75" x14ac:dyDescent="0.3">
      <c r="A198" s="391">
        <v>878</v>
      </c>
      <c r="B198" s="433">
        <v>878</v>
      </c>
      <c r="C198" s="320">
        <f>+IFERROR(VLOOKUP(B198,'Stock ISIS LK'!A:D,4,0),IFERROR(VLOOKUP(B198,'Stock ISIS CH'!A:D,4,0),0))</f>
        <v>0</v>
      </c>
      <c r="D198" s="320">
        <f t="shared" si="7"/>
        <v>0</v>
      </c>
      <c r="E198" s="333">
        <v>1</v>
      </c>
      <c r="G198" s="394">
        <f t="shared" ref="G198:G261" si="8">+J198/H198</f>
        <v>0</v>
      </c>
      <c r="H198" s="320">
        <v>24</v>
      </c>
      <c r="I198" s="320">
        <f t="shared" ref="I198:I264" si="9">+G198*H198*E198</f>
        <v>0</v>
      </c>
      <c r="J198" s="333">
        <f>+IFERROR(VLOOKUP(B198,#REF!,3,0),IFERROR(VLOOKUP(B198,#REF!,3,0),0))</f>
        <v>0</v>
      </c>
    </row>
    <row r="199" spans="1:10" ht="18.75" x14ac:dyDescent="0.3">
      <c r="A199" s="391">
        <v>735</v>
      </c>
      <c r="B199" s="433">
        <v>735</v>
      </c>
      <c r="C199" s="320">
        <f>+IFERROR(VLOOKUP(B199,'Stock ISIS LK'!A:D,4,0),IFERROR(VLOOKUP(B199,'Stock ISIS CH'!A:D,4,0),0))</f>
        <v>0</v>
      </c>
      <c r="D199" s="320">
        <f t="shared" si="7"/>
        <v>0</v>
      </c>
      <c r="E199" s="333">
        <v>1</v>
      </c>
      <c r="G199" s="394" t="e">
        <f t="shared" si="8"/>
        <v>#DIV/0!</v>
      </c>
      <c r="H199" s="320">
        <v>0</v>
      </c>
      <c r="I199" s="320" t="e">
        <f t="shared" si="9"/>
        <v>#DIV/0!</v>
      </c>
      <c r="J199" s="333">
        <f>+IFERROR(VLOOKUP(B199,#REF!,3,0),IFERROR(VLOOKUP(B199,#REF!,3,0),0))</f>
        <v>0</v>
      </c>
    </row>
    <row r="200" spans="1:10" ht="18.75" x14ac:dyDescent="0.3">
      <c r="A200" s="391">
        <v>731</v>
      </c>
      <c r="B200" s="433">
        <v>731</v>
      </c>
      <c r="C200" s="320">
        <f>+IFERROR(VLOOKUP(B200,'Stock ISIS LK'!A:D,4,0),IFERROR(VLOOKUP(B200,'Stock ISIS CH'!A:D,4,0),0))</f>
        <v>0</v>
      </c>
      <c r="D200" s="320">
        <f t="shared" si="7"/>
        <v>0</v>
      </c>
      <c r="E200" s="333">
        <v>1</v>
      </c>
      <c r="G200" s="394">
        <f t="shared" si="8"/>
        <v>0</v>
      </c>
      <c r="H200" s="320">
        <v>24</v>
      </c>
      <c r="I200" s="320">
        <f t="shared" si="9"/>
        <v>0</v>
      </c>
      <c r="J200" s="333">
        <f>+IFERROR(VLOOKUP(B200,#REF!,3,0),IFERROR(VLOOKUP(B200,#REF!,3,0),0))</f>
        <v>0</v>
      </c>
    </row>
    <row r="201" spans="1:10" ht="18.75" x14ac:dyDescent="0.3">
      <c r="A201" s="391">
        <v>97</v>
      </c>
      <c r="B201" s="433">
        <v>97</v>
      </c>
      <c r="C201" s="320">
        <f>+IFERROR(VLOOKUP(B201,'Stock ISIS LK'!A:D,4,0),IFERROR(VLOOKUP(B201,'Stock ISIS CH'!A:D,4,0),0))</f>
        <v>0</v>
      </c>
      <c r="D201" s="320">
        <f t="shared" si="7"/>
        <v>0</v>
      </c>
      <c r="E201" s="333">
        <v>1</v>
      </c>
      <c r="G201" s="394">
        <f t="shared" si="8"/>
        <v>0</v>
      </c>
      <c r="H201" s="320">
        <v>6</v>
      </c>
      <c r="I201" s="320">
        <f t="shared" si="9"/>
        <v>0</v>
      </c>
      <c r="J201" s="333">
        <f>+IFERROR(VLOOKUP(B201,#REF!,3,0),IFERROR(VLOOKUP(B201,#REF!,3,0),0))</f>
        <v>0</v>
      </c>
    </row>
    <row r="202" spans="1:10" ht="18.75" x14ac:dyDescent="0.3">
      <c r="A202" s="391">
        <v>99</v>
      </c>
      <c r="B202" s="433">
        <v>99</v>
      </c>
      <c r="C202" s="320">
        <f>+IFERROR(VLOOKUP(B202,'Stock ISIS LK'!A:D,4,0),IFERROR(VLOOKUP(B202,'Stock ISIS CH'!A:D,4,0),0))</f>
        <v>0</v>
      </c>
      <c r="D202" s="320">
        <f t="shared" si="7"/>
        <v>0</v>
      </c>
      <c r="E202" s="333">
        <v>1</v>
      </c>
      <c r="G202" s="394">
        <f t="shared" si="8"/>
        <v>0</v>
      </c>
      <c r="H202" s="320">
        <v>12</v>
      </c>
      <c r="I202" s="320">
        <f t="shared" si="9"/>
        <v>0</v>
      </c>
      <c r="J202" s="333">
        <f>+IFERROR(VLOOKUP(B202,#REF!,3,0),IFERROR(VLOOKUP(B202,#REF!,3,0),0))</f>
        <v>0</v>
      </c>
    </row>
    <row r="203" spans="1:10" ht="18.75" x14ac:dyDescent="0.3">
      <c r="A203" s="391">
        <v>515</v>
      </c>
      <c r="B203" s="433">
        <v>515</v>
      </c>
      <c r="C203" s="320">
        <f>+IFERROR(VLOOKUP(B203,'Stock ISIS LK'!A:D,4,0),IFERROR(VLOOKUP(B203,'Stock ISIS CH'!A:D,4,0),0))</f>
        <v>0</v>
      </c>
      <c r="D203" s="320">
        <f t="shared" si="7"/>
        <v>0</v>
      </c>
      <c r="E203" s="333">
        <v>1</v>
      </c>
      <c r="G203" s="394">
        <f t="shared" si="8"/>
        <v>0</v>
      </c>
      <c r="H203" s="320">
        <v>12</v>
      </c>
      <c r="I203" s="320">
        <f t="shared" si="9"/>
        <v>0</v>
      </c>
      <c r="J203" s="333">
        <f>+IFERROR(VLOOKUP(B203,#REF!,3,0),IFERROR(VLOOKUP(B203,#REF!,3,0),0))</f>
        <v>0</v>
      </c>
    </row>
    <row r="204" spans="1:10" ht="18.75" x14ac:dyDescent="0.3">
      <c r="A204" s="391">
        <v>500</v>
      </c>
      <c r="B204" s="433">
        <v>500</v>
      </c>
      <c r="C204" s="320">
        <f>+IFERROR(VLOOKUP(B204,'Stock ISIS LK'!A:D,4,0),IFERROR(VLOOKUP(B204,'Stock ISIS CH'!A:D,4,0),0))</f>
        <v>0</v>
      </c>
      <c r="D204" s="320">
        <f t="shared" ref="D204:D307" si="10">+C204*E204</f>
        <v>0</v>
      </c>
      <c r="E204" s="333">
        <v>1</v>
      </c>
      <c r="G204" s="394">
        <f t="shared" si="8"/>
        <v>0</v>
      </c>
      <c r="H204" s="320">
        <v>12</v>
      </c>
      <c r="I204" s="320">
        <f t="shared" si="9"/>
        <v>0</v>
      </c>
      <c r="J204" s="333">
        <f>+IFERROR(VLOOKUP(B204,#REF!,3,0),IFERROR(VLOOKUP(B204,#REF!,3,0),0))</f>
        <v>0</v>
      </c>
    </row>
    <row r="205" spans="1:10" ht="18.75" x14ac:dyDescent="0.3">
      <c r="A205" s="391">
        <v>506</v>
      </c>
      <c r="B205" s="433">
        <v>506</v>
      </c>
      <c r="C205" s="320">
        <f>+IFERROR(VLOOKUP(B205,'Stock ISIS LK'!A:D,4,0),IFERROR(VLOOKUP(B205,'Stock ISIS CH'!A:D,4,0),0))</f>
        <v>0</v>
      </c>
      <c r="D205" s="320">
        <f t="shared" si="10"/>
        <v>0</v>
      </c>
      <c r="E205" s="333">
        <v>1</v>
      </c>
      <c r="G205" s="394">
        <f t="shared" si="8"/>
        <v>0</v>
      </c>
      <c r="H205" s="320">
        <v>12</v>
      </c>
      <c r="I205" s="320">
        <f t="shared" si="9"/>
        <v>0</v>
      </c>
      <c r="J205" s="333">
        <f>+IFERROR(VLOOKUP(B205,#REF!,3,0),IFERROR(VLOOKUP(B205,#REF!,3,0),0))</f>
        <v>0</v>
      </c>
    </row>
    <row r="206" spans="1:10" ht="18.75" x14ac:dyDescent="0.3">
      <c r="A206" s="391">
        <v>506</v>
      </c>
      <c r="B206" s="433">
        <v>506</v>
      </c>
      <c r="C206" s="320">
        <f>+IFERROR(VLOOKUP(B206,'Stock ISIS LK'!A:D,4,0),IFERROR(VLOOKUP(B206,'Stock ISIS CH'!A:D,4,0),0))</f>
        <v>0</v>
      </c>
      <c r="D206" s="320">
        <f>+C206*E206</f>
        <v>0</v>
      </c>
      <c r="E206" s="333">
        <v>1</v>
      </c>
      <c r="G206" s="394">
        <f t="shared" si="8"/>
        <v>0</v>
      </c>
      <c r="H206" s="320">
        <v>12</v>
      </c>
      <c r="I206" s="320">
        <f t="shared" si="9"/>
        <v>0</v>
      </c>
      <c r="J206" s="333">
        <f>+IFERROR(VLOOKUP(B206,#REF!,3,0),IFERROR(VLOOKUP(B206,#REF!,3,0),0))</f>
        <v>0</v>
      </c>
    </row>
    <row r="207" spans="1:10" ht="18.75" x14ac:dyDescent="0.3">
      <c r="A207" s="391">
        <v>510</v>
      </c>
      <c r="B207" s="433">
        <v>510</v>
      </c>
      <c r="C207" s="320">
        <f>+IFERROR(VLOOKUP(B207,'Stock ISIS LK'!A:D,4,0),IFERROR(VLOOKUP(B207,'Stock ISIS CH'!A:D,4,0),0))</f>
        <v>0</v>
      </c>
      <c r="D207" s="320">
        <f t="shared" si="10"/>
        <v>0</v>
      </c>
      <c r="E207" s="333">
        <v>1</v>
      </c>
      <c r="G207" s="394">
        <f t="shared" si="8"/>
        <v>0</v>
      </c>
      <c r="H207" s="320">
        <v>12</v>
      </c>
      <c r="I207" s="320">
        <f t="shared" si="9"/>
        <v>0</v>
      </c>
      <c r="J207" s="333">
        <f>+IFERROR(VLOOKUP(B207,#REF!,3,0),IFERROR(VLOOKUP(B207,#REF!,3,0),0))</f>
        <v>0</v>
      </c>
    </row>
    <row r="208" spans="1:10" ht="18.75" x14ac:dyDescent="0.3">
      <c r="A208" s="391">
        <v>706</v>
      </c>
      <c r="B208" s="433">
        <v>706</v>
      </c>
      <c r="C208" s="320">
        <f>+IFERROR(VLOOKUP(B208,'Stock ISIS LK'!A:D,4,0),IFERROR(VLOOKUP(B208,'Stock ISIS CH'!A:D,4,0),0))</f>
        <v>0</v>
      </c>
      <c r="D208" s="320">
        <f t="shared" si="10"/>
        <v>0</v>
      </c>
      <c r="E208" s="333">
        <v>1</v>
      </c>
      <c r="G208" s="394">
        <f t="shared" si="8"/>
        <v>0</v>
      </c>
      <c r="H208" s="320">
        <v>12</v>
      </c>
      <c r="I208" s="320">
        <f t="shared" si="9"/>
        <v>0</v>
      </c>
      <c r="J208" s="333">
        <f>+IFERROR(VLOOKUP(B208,#REF!,3,0),IFERROR(VLOOKUP(B208,#REF!,3,0),0))</f>
        <v>0</v>
      </c>
    </row>
    <row r="209" spans="1:10" ht="18.75" x14ac:dyDescent="0.3">
      <c r="A209" s="391">
        <v>706</v>
      </c>
      <c r="B209" s="433">
        <v>706</v>
      </c>
      <c r="C209" s="320">
        <f>+IFERROR(VLOOKUP(B209,'Stock ISIS LK'!A:D,4,0),IFERROR(VLOOKUP(B209,'Stock ISIS CH'!A:D,4,0),0))</f>
        <v>0</v>
      </c>
      <c r="D209" s="320">
        <f>+C209*E209</f>
        <v>0</v>
      </c>
      <c r="E209" s="333">
        <v>1</v>
      </c>
      <c r="G209" s="394">
        <f t="shared" si="8"/>
        <v>0</v>
      </c>
      <c r="H209" s="320">
        <v>12</v>
      </c>
      <c r="I209" s="320">
        <f>+G209*H209*E209</f>
        <v>0</v>
      </c>
      <c r="J209" s="333">
        <f>+IFERROR(VLOOKUP(B209,#REF!,3,0),IFERROR(VLOOKUP(B209,#REF!,3,0),0))</f>
        <v>0</v>
      </c>
    </row>
    <row r="210" spans="1:10" ht="18.75" x14ac:dyDescent="0.3">
      <c r="A210" s="391">
        <v>555</v>
      </c>
      <c r="B210" s="433">
        <v>555</v>
      </c>
      <c r="C210" s="320">
        <f>+IFERROR(VLOOKUP(B210,'Stock ISIS LK'!A:D,4,0),IFERROR(VLOOKUP(B210,'Stock ISIS CH'!A:D,4,0),0))</f>
        <v>0</v>
      </c>
      <c r="D210" s="320">
        <f t="shared" si="10"/>
        <v>0</v>
      </c>
      <c r="E210" s="333">
        <v>1</v>
      </c>
      <c r="G210" s="394">
        <f t="shared" si="8"/>
        <v>0</v>
      </c>
      <c r="H210" s="320">
        <v>36</v>
      </c>
      <c r="I210" s="320">
        <f t="shared" si="9"/>
        <v>0</v>
      </c>
      <c r="J210" s="333">
        <f>+IFERROR(VLOOKUP(B210,#REF!,3,0),IFERROR(VLOOKUP(B210,#REF!,3,0),0))</f>
        <v>0</v>
      </c>
    </row>
    <row r="211" spans="1:10" ht="18.75" x14ac:dyDescent="0.3">
      <c r="A211" s="391">
        <v>557</v>
      </c>
      <c r="B211" s="433">
        <v>557</v>
      </c>
      <c r="C211" s="320">
        <f>+IFERROR(VLOOKUP(B211,'Stock ISIS LK'!A:D,4,0),IFERROR(VLOOKUP(B211,'Stock ISIS CH'!A:D,4,0),0))</f>
        <v>0</v>
      </c>
      <c r="D211" s="320">
        <f t="shared" si="10"/>
        <v>0</v>
      </c>
      <c r="E211" s="333">
        <v>1</v>
      </c>
      <c r="G211" s="394">
        <f t="shared" si="8"/>
        <v>0</v>
      </c>
      <c r="H211" s="320">
        <v>24</v>
      </c>
      <c r="I211" s="320">
        <f t="shared" si="9"/>
        <v>0</v>
      </c>
      <c r="J211" s="333">
        <f>+IFERROR(VLOOKUP(B211,#REF!,3,0),IFERROR(VLOOKUP(B211,#REF!,3,0),0))</f>
        <v>0</v>
      </c>
    </row>
    <row r="212" spans="1:10" ht="18.75" x14ac:dyDescent="0.3">
      <c r="A212" s="391">
        <v>558</v>
      </c>
      <c r="B212" s="433">
        <v>558</v>
      </c>
      <c r="C212" s="320">
        <f>+IFERROR(VLOOKUP(B212,'Stock ISIS LK'!A:D,4,0),IFERROR(VLOOKUP(B212,'Stock ISIS CH'!A:D,4,0),0))</f>
        <v>0</v>
      </c>
      <c r="D212" s="320">
        <f t="shared" si="10"/>
        <v>0</v>
      </c>
      <c r="E212" s="333">
        <v>1</v>
      </c>
      <c r="G212" s="394">
        <f t="shared" si="8"/>
        <v>0</v>
      </c>
      <c r="H212" s="320">
        <v>24</v>
      </c>
      <c r="I212" s="320">
        <f t="shared" si="9"/>
        <v>0</v>
      </c>
      <c r="J212" s="333">
        <f>+IFERROR(VLOOKUP(B212,#REF!,3,0),IFERROR(VLOOKUP(B212,#REF!,3,0),0))</f>
        <v>0</v>
      </c>
    </row>
    <row r="213" spans="1:10" ht="18.75" x14ac:dyDescent="0.3">
      <c r="A213" s="391">
        <v>654</v>
      </c>
      <c r="B213" s="433">
        <v>654</v>
      </c>
      <c r="C213" s="320">
        <f>+IFERROR(VLOOKUP(B213,'Stock ISIS LK'!A:D,4,0),IFERROR(VLOOKUP(B213,'Stock ISIS CH'!A:D,4,0),0))</f>
        <v>0</v>
      </c>
      <c r="D213" s="320">
        <f t="shared" si="10"/>
        <v>0</v>
      </c>
      <c r="E213" s="333">
        <v>1</v>
      </c>
      <c r="G213" s="394">
        <f t="shared" si="8"/>
        <v>0</v>
      </c>
      <c r="H213" s="320">
        <v>24</v>
      </c>
      <c r="I213" s="320">
        <f t="shared" si="9"/>
        <v>0</v>
      </c>
      <c r="J213" s="333">
        <f>+IFERROR(VLOOKUP(B213,#REF!,3,0),IFERROR(VLOOKUP(B213,#REF!,3,0),0))</f>
        <v>0</v>
      </c>
    </row>
    <row r="214" spans="1:10" ht="18.75" x14ac:dyDescent="0.3">
      <c r="A214" s="302" t="s">
        <v>1208</v>
      </c>
      <c r="B214" s="433">
        <v>31</v>
      </c>
      <c r="C214" s="320">
        <f>+IFERROR(VLOOKUP(B214,'Stock ISIS LK'!A:D,4,0),IFERROR(VLOOKUP(B214,'Stock ISIS CH'!A:D,4,0),0))</f>
        <v>0</v>
      </c>
      <c r="D214" s="320">
        <f t="shared" si="10"/>
        <v>0</v>
      </c>
      <c r="E214" s="333">
        <v>1</v>
      </c>
      <c r="G214" s="394">
        <f t="shared" si="8"/>
        <v>0</v>
      </c>
      <c r="H214" s="320">
        <v>24</v>
      </c>
      <c r="I214" s="320">
        <f t="shared" si="9"/>
        <v>0</v>
      </c>
      <c r="J214" s="333">
        <f>+IFERROR(VLOOKUP(B214,#REF!,3,0),IFERROR(VLOOKUP(B214,#REF!,3,0),0))</f>
        <v>0</v>
      </c>
    </row>
    <row r="215" spans="1:10" ht="18.75" x14ac:dyDescent="0.3">
      <c r="A215" s="302" t="s">
        <v>1210</v>
      </c>
      <c r="B215" s="392">
        <v>34</v>
      </c>
      <c r="C215" s="320">
        <f>+IFERROR(VLOOKUP(B215,'Stock ISIS LK'!A:D,4,0),IFERROR(VLOOKUP(B215,'Stock ISIS CH'!A:D,4,0),0))</f>
        <v>0</v>
      </c>
      <c r="D215" s="320">
        <f t="shared" si="10"/>
        <v>0</v>
      </c>
      <c r="E215" s="333">
        <v>1</v>
      </c>
      <c r="G215" s="394">
        <f t="shared" si="8"/>
        <v>0</v>
      </c>
      <c r="H215" s="320">
        <v>24</v>
      </c>
      <c r="I215" s="320">
        <f t="shared" si="9"/>
        <v>0</v>
      </c>
      <c r="J215" s="333">
        <f>+IFERROR(VLOOKUP(B215,#REF!,3,0),IFERROR(VLOOKUP(B215,#REF!,3,0),0))</f>
        <v>0</v>
      </c>
    </row>
    <row r="216" spans="1:10" ht="18.75" x14ac:dyDescent="0.3">
      <c r="A216" s="302" t="s">
        <v>1491</v>
      </c>
      <c r="B216" s="433">
        <v>715</v>
      </c>
      <c r="C216" s="320">
        <f>+IFERROR(VLOOKUP(B216,'Stock ISIS LK'!A:D,4,0),IFERROR(VLOOKUP(B216,'Stock ISIS CH'!A:D,4,0),0))</f>
        <v>0</v>
      </c>
      <c r="D216" s="320">
        <f>+C216*E216</f>
        <v>0</v>
      </c>
      <c r="E216" s="333">
        <v>1</v>
      </c>
      <c r="G216" s="394">
        <f t="shared" si="8"/>
        <v>0</v>
      </c>
      <c r="H216" s="320">
        <v>24</v>
      </c>
      <c r="I216" s="320">
        <v>120</v>
      </c>
      <c r="J216" s="333">
        <f>+IFERROR(VLOOKUP(B216,#REF!,3,0),IFERROR(VLOOKUP(B216,#REF!,3,0),0))</f>
        <v>0</v>
      </c>
    </row>
    <row r="217" spans="1:10" ht="18.75" x14ac:dyDescent="0.3">
      <c r="A217" s="302" t="s">
        <v>1294</v>
      </c>
      <c r="B217" s="433">
        <v>311</v>
      </c>
      <c r="C217" s="320">
        <f>+IFERROR(VLOOKUP(B217,'Stock ISIS LK'!A:D,4,0),IFERROR(VLOOKUP(B217,'Stock ISIS CH'!A:D,4,0),0))</f>
        <v>0</v>
      </c>
      <c r="D217" s="320">
        <f t="shared" si="10"/>
        <v>0</v>
      </c>
      <c r="E217" s="333">
        <v>1</v>
      </c>
      <c r="G217" s="394">
        <f t="shared" si="8"/>
        <v>0</v>
      </c>
      <c r="H217" s="320">
        <v>12</v>
      </c>
      <c r="I217" s="320">
        <f t="shared" si="9"/>
        <v>0</v>
      </c>
      <c r="J217" s="333">
        <f>+IFERROR(VLOOKUP(B217,#REF!,3,0),IFERROR(VLOOKUP(B217,#REF!,3,0),0))</f>
        <v>0</v>
      </c>
    </row>
    <row r="218" spans="1:10" ht="18.75" x14ac:dyDescent="0.3">
      <c r="A218" s="302" t="s">
        <v>1294</v>
      </c>
      <c r="B218" s="433">
        <v>312</v>
      </c>
      <c r="C218" s="320">
        <f>+IFERROR(VLOOKUP(B218,'Stock ISIS LK'!A:D,4,0),IFERROR(VLOOKUP(B218,'Stock ISIS CH'!A:D,4,0),0))</f>
        <v>0</v>
      </c>
      <c r="D218" s="320">
        <f t="shared" si="10"/>
        <v>0</v>
      </c>
      <c r="E218" s="333">
        <v>1</v>
      </c>
      <c r="G218" s="394">
        <f t="shared" si="8"/>
        <v>0</v>
      </c>
      <c r="H218" s="320">
        <v>12</v>
      </c>
      <c r="I218" s="320">
        <f t="shared" si="9"/>
        <v>0</v>
      </c>
      <c r="J218" s="333">
        <f>+IFERROR(VLOOKUP(B218,#REF!,3,0),IFERROR(VLOOKUP(B218,#REF!,3,0),0))</f>
        <v>0</v>
      </c>
    </row>
    <row r="219" spans="1:10" ht="18.75" x14ac:dyDescent="0.3">
      <c r="A219" s="302" t="s">
        <v>1294</v>
      </c>
      <c r="B219" s="433">
        <v>508</v>
      </c>
      <c r="C219" s="320">
        <f>+IFERROR(VLOOKUP(B219,'Stock ISIS LK'!A:D,4,0),IFERROR(VLOOKUP(B219,'Stock ISIS CH'!A:D,4,0),0))</f>
        <v>0</v>
      </c>
      <c r="D219" s="320">
        <f t="shared" si="10"/>
        <v>0</v>
      </c>
      <c r="E219" s="333">
        <v>1</v>
      </c>
      <c r="G219" s="394">
        <f t="shared" si="8"/>
        <v>0</v>
      </c>
      <c r="H219" s="320">
        <v>12</v>
      </c>
      <c r="I219" s="320">
        <f t="shared" si="9"/>
        <v>0</v>
      </c>
      <c r="J219" s="333">
        <f>+IFERROR(VLOOKUP(B219,#REF!,3,0),IFERROR(VLOOKUP(B219,#REF!,3,0),0))</f>
        <v>0</v>
      </c>
    </row>
    <row r="220" spans="1:10" ht="18.75" x14ac:dyDescent="0.3">
      <c r="A220" s="302" t="s">
        <v>1294</v>
      </c>
      <c r="B220" s="433">
        <v>551</v>
      </c>
      <c r="C220" s="320">
        <f>+IFERROR(VLOOKUP(B220,'Stock ISIS LK'!A:D,4,0),IFERROR(VLOOKUP(B220,'Stock ISIS CH'!A:D,4,0),0))</f>
        <v>0</v>
      </c>
      <c r="D220" s="320">
        <f t="shared" si="10"/>
        <v>0</v>
      </c>
      <c r="E220" s="333">
        <v>1</v>
      </c>
      <c r="G220" s="394">
        <f t="shared" si="8"/>
        <v>0</v>
      </c>
      <c r="H220" s="320">
        <v>12</v>
      </c>
      <c r="I220" s="320">
        <f t="shared" si="9"/>
        <v>0</v>
      </c>
      <c r="J220" s="333">
        <f>+IFERROR(VLOOKUP(B220,#REF!,3,0),IFERROR(VLOOKUP(B220,#REF!,3,0),0))</f>
        <v>0</v>
      </c>
    </row>
    <row r="221" spans="1:10" ht="18.75" x14ac:dyDescent="0.3">
      <c r="A221" s="302" t="s">
        <v>1294</v>
      </c>
      <c r="B221" s="433">
        <v>559</v>
      </c>
      <c r="C221" s="320">
        <f>+IFERROR(VLOOKUP(B221,'Stock ISIS LK'!A:D,4,0),IFERROR(VLOOKUP(B221,'Stock ISIS CH'!A:D,4,0),0))</f>
        <v>0</v>
      </c>
      <c r="D221" s="320">
        <f t="shared" si="10"/>
        <v>0</v>
      </c>
      <c r="E221" s="333">
        <v>1</v>
      </c>
      <c r="G221" s="394">
        <f t="shared" si="8"/>
        <v>0</v>
      </c>
      <c r="H221" s="320">
        <v>12</v>
      </c>
      <c r="I221" s="320">
        <f t="shared" si="9"/>
        <v>0</v>
      </c>
      <c r="J221" s="333">
        <f>+IFERROR(VLOOKUP(B221,#REF!,3,0),IFERROR(VLOOKUP(B221,#REF!,3,0),0))</f>
        <v>0</v>
      </c>
    </row>
    <row r="222" spans="1:10" ht="18.75" x14ac:dyDescent="0.3">
      <c r="A222" s="302" t="s">
        <v>1294</v>
      </c>
      <c r="B222" s="433">
        <v>562</v>
      </c>
      <c r="C222" s="320">
        <f>+IFERROR(VLOOKUP(B222,'Stock ISIS LK'!A:D,4,0),IFERROR(VLOOKUP(B222,'Stock ISIS CH'!A:D,4,0),0))</f>
        <v>0</v>
      </c>
      <c r="D222" s="320">
        <f t="shared" si="10"/>
        <v>0</v>
      </c>
      <c r="E222" s="333">
        <v>1</v>
      </c>
      <c r="G222" s="394">
        <f t="shared" si="8"/>
        <v>0</v>
      </c>
      <c r="H222" s="320">
        <v>12</v>
      </c>
      <c r="I222" s="320">
        <f t="shared" si="9"/>
        <v>0</v>
      </c>
      <c r="J222" s="333">
        <f>+IFERROR(VLOOKUP(B222,#REF!,3,0),IFERROR(VLOOKUP(B222,#REF!,3,0),0))</f>
        <v>0</v>
      </c>
    </row>
    <row r="223" spans="1:10" ht="18.75" x14ac:dyDescent="0.3">
      <c r="A223" s="302" t="s">
        <v>1294</v>
      </c>
      <c r="B223" s="433">
        <v>570</v>
      </c>
      <c r="C223" s="320">
        <f>+IFERROR(VLOOKUP(B223,'Stock ISIS LK'!A:D,4,0),IFERROR(VLOOKUP(B223,'Stock ISIS CH'!A:D,4,0),0))</f>
        <v>0</v>
      </c>
      <c r="D223" s="320">
        <f t="shared" si="10"/>
        <v>0</v>
      </c>
      <c r="E223" s="333">
        <v>1</v>
      </c>
      <c r="G223" s="394">
        <f t="shared" si="8"/>
        <v>0</v>
      </c>
      <c r="H223" s="320">
        <v>24</v>
      </c>
      <c r="I223" s="320">
        <f t="shared" si="9"/>
        <v>0</v>
      </c>
      <c r="J223" s="333">
        <f>+IFERROR(VLOOKUP(B223,#REF!,3,0),IFERROR(VLOOKUP(B223,#REF!,3,0),0))</f>
        <v>0</v>
      </c>
    </row>
    <row r="224" spans="1:10" ht="18.75" x14ac:dyDescent="0.3">
      <c r="A224" s="302" t="s">
        <v>1294</v>
      </c>
      <c r="B224" s="433">
        <v>581</v>
      </c>
      <c r="C224" s="320">
        <f>+IFERROR(VLOOKUP(B224,'Stock ISIS LK'!A:D,4,0),IFERROR(VLOOKUP(B224,'Stock ISIS CH'!A:D,4,0),0))</f>
        <v>0</v>
      </c>
      <c r="D224" s="320">
        <f t="shared" si="10"/>
        <v>0</v>
      </c>
      <c r="E224" s="333">
        <v>1</v>
      </c>
      <c r="G224" s="394">
        <f t="shared" si="8"/>
        <v>0</v>
      </c>
      <c r="H224" s="320">
        <v>12</v>
      </c>
      <c r="I224" s="320">
        <f t="shared" si="9"/>
        <v>0</v>
      </c>
      <c r="J224" s="333">
        <f>+IFERROR(VLOOKUP(B224,#REF!,3,0),IFERROR(VLOOKUP(B224,#REF!,3,0),0))</f>
        <v>0</v>
      </c>
    </row>
    <row r="225" spans="1:10" ht="18.75" x14ac:dyDescent="0.3">
      <c r="A225" s="302" t="s">
        <v>1294</v>
      </c>
      <c r="B225" s="433">
        <v>708</v>
      </c>
      <c r="C225" s="320">
        <f>+IFERROR(VLOOKUP(B225,'Stock ISIS LK'!A:D,4,0),IFERROR(VLOOKUP(B225,'Stock ISIS CH'!A:D,4,0),0))</f>
        <v>0</v>
      </c>
      <c r="D225" s="320">
        <f t="shared" si="10"/>
        <v>0</v>
      </c>
      <c r="E225" s="333">
        <v>1</v>
      </c>
      <c r="G225" s="394">
        <f t="shared" si="8"/>
        <v>0</v>
      </c>
      <c r="H225" s="320">
        <v>12</v>
      </c>
      <c r="I225" s="320">
        <f t="shared" si="9"/>
        <v>0</v>
      </c>
      <c r="J225" s="333">
        <f>+IFERROR(VLOOKUP(B225,#REF!,3,0),IFERROR(VLOOKUP(B225,#REF!,3,0),0))</f>
        <v>0</v>
      </c>
    </row>
    <row r="226" spans="1:10" ht="18.75" x14ac:dyDescent="0.3">
      <c r="A226" s="302" t="s">
        <v>1294</v>
      </c>
      <c r="B226" s="433">
        <v>735</v>
      </c>
      <c r="C226" s="320">
        <f>+IFERROR(VLOOKUP(B226,'Stock ISIS LK'!A:D,4,0),IFERROR(VLOOKUP(B226,'Stock ISIS CH'!A:D,4,0),0))</f>
        <v>0</v>
      </c>
      <c r="D226" s="320">
        <f t="shared" si="10"/>
        <v>0</v>
      </c>
      <c r="E226" s="333">
        <v>1</v>
      </c>
      <c r="G226" s="394">
        <f t="shared" si="8"/>
        <v>0</v>
      </c>
      <c r="H226" s="320">
        <v>12</v>
      </c>
      <c r="I226" s="320">
        <f>+G226*H226*E226</f>
        <v>0</v>
      </c>
      <c r="J226" s="333">
        <f>+IFERROR(VLOOKUP(B226,#REF!,3,0),IFERROR(VLOOKUP(B226,#REF!,3,0),0))</f>
        <v>0</v>
      </c>
    </row>
    <row r="227" spans="1:10" ht="18.75" x14ac:dyDescent="0.3">
      <c r="A227" s="302" t="s">
        <v>1294</v>
      </c>
      <c r="B227" s="433">
        <v>856</v>
      </c>
      <c r="C227" s="320">
        <f>+IFERROR(VLOOKUP(B227,'Stock ISIS LK'!A:D,4,0),IFERROR(VLOOKUP(B227,'Stock ISIS CH'!A:D,4,0),0))</f>
        <v>0</v>
      </c>
      <c r="D227" s="320">
        <f t="shared" si="10"/>
        <v>0</v>
      </c>
      <c r="E227" s="333">
        <v>1</v>
      </c>
      <c r="G227" s="394">
        <f t="shared" si="8"/>
        <v>0</v>
      </c>
      <c r="H227" s="320">
        <v>24</v>
      </c>
      <c r="I227" s="320">
        <f t="shared" si="9"/>
        <v>0</v>
      </c>
      <c r="J227" s="333">
        <f>+IFERROR(VLOOKUP(B227,#REF!,3,0),IFERROR(VLOOKUP(B227,#REF!,3,0),0))</f>
        <v>0</v>
      </c>
    </row>
    <row r="228" spans="1:10" ht="18.75" x14ac:dyDescent="0.3">
      <c r="A228" s="302" t="s">
        <v>1294</v>
      </c>
      <c r="B228" s="433">
        <v>857</v>
      </c>
      <c r="C228" s="320">
        <f>+IFERROR(VLOOKUP(B228,'Stock ISIS LK'!A:D,4,0),IFERROR(VLOOKUP(B228,'Stock ISIS CH'!A:D,4,0),0))</f>
        <v>0</v>
      </c>
      <c r="D228" s="320">
        <f t="shared" si="10"/>
        <v>0</v>
      </c>
      <c r="E228" s="333">
        <v>1</v>
      </c>
      <c r="G228" s="394">
        <f t="shared" si="8"/>
        <v>0</v>
      </c>
      <c r="H228" s="320">
        <v>24</v>
      </c>
      <c r="I228" s="320">
        <f t="shared" si="9"/>
        <v>0</v>
      </c>
      <c r="J228" s="333">
        <f>+IFERROR(VLOOKUP(B228,#REF!,3,0),IFERROR(VLOOKUP(B228,#REF!,3,0),0))</f>
        <v>0</v>
      </c>
    </row>
    <row r="229" spans="1:10" ht="18.75" x14ac:dyDescent="0.3">
      <c r="A229" s="302" t="s">
        <v>1294</v>
      </c>
      <c r="B229" s="433">
        <v>858</v>
      </c>
      <c r="C229" s="320">
        <f>+IFERROR(VLOOKUP(B229,'Stock ISIS LK'!A:D,4,0),IFERROR(VLOOKUP(B229,'Stock ISIS CH'!A:D,4,0),0))</f>
        <v>0</v>
      </c>
      <c r="D229" s="320">
        <f t="shared" si="10"/>
        <v>0</v>
      </c>
      <c r="E229" s="333">
        <v>1</v>
      </c>
      <c r="G229" s="394">
        <f t="shared" si="8"/>
        <v>0</v>
      </c>
      <c r="H229" s="320">
        <v>24</v>
      </c>
      <c r="I229" s="320">
        <f t="shared" si="9"/>
        <v>0</v>
      </c>
      <c r="J229" s="333">
        <f>+IFERROR(VLOOKUP(B229,#REF!,3,0),IFERROR(VLOOKUP(B229,#REF!,3,0),0))</f>
        <v>0</v>
      </c>
    </row>
    <row r="230" spans="1:10" ht="18.75" x14ac:dyDescent="0.3">
      <c r="A230" s="302" t="s">
        <v>1294</v>
      </c>
      <c r="B230" s="433">
        <v>859</v>
      </c>
      <c r="C230" s="320">
        <f>+IFERROR(VLOOKUP(B230,'Stock ISIS LK'!A:D,4,0),IFERROR(VLOOKUP(B230,'Stock ISIS CH'!A:D,4,0),0))</f>
        <v>0</v>
      </c>
      <c r="D230" s="320">
        <f t="shared" si="10"/>
        <v>0</v>
      </c>
      <c r="E230" s="333">
        <v>1</v>
      </c>
      <c r="G230" s="394">
        <f t="shared" si="8"/>
        <v>0</v>
      </c>
      <c r="H230" s="320">
        <v>12</v>
      </c>
      <c r="I230" s="320">
        <f t="shared" si="9"/>
        <v>0</v>
      </c>
      <c r="J230" s="333">
        <f>+IFERROR(VLOOKUP(B230,#REF!,3,0),IFERROR(VLOOKUP(B230,#REF!,3,0),0))</f>
        <v>0</v>
      </c>
    </row>
    <row r="231" spans="1:10" ht="18.75" x14ac:dyDescent="0.3">
      <c r="A231" s="302" t="s">
        <v>1294</v>
      </c>
      <c r="B231" s="433">
        <v>862</v>
      </c>
      <c r="C231" s="320">
        <f>+IFERROR(VLOOKUP(B231,'Stock ISIS LK'!A:D,4,0),IFERROR(VLOOKUP(B231,'Stock ISIS CH'!A:D,4,0),0))</f>
        <v>0</v>
      </c>
      <c r="D231" s="320">
        <f t="shared" si="10"/>
        <v>0</v>
      </c>
      <c r="E231" s="333">
        <v>1</v>
      </c>
      <c r="G231" s="394">
        <f t="shared" si="8"/>
        <v>0</v>
      </c>
      <c r="H231" s="320">
        <v>12</v>
      </c>
      <c r="I231" s="320">
        <f t="shared" si="9"/>
        <v>0</v>
      </c>
      <c r="J231" s="333">
        <f>+IFERROR(VLOOKUP(B231,#REF!,3,0),IFERROR(VLOOKUP(B231,#REF!,3,0),0))</f>
        <v>0</v>
      </c>
    </row>
    <row r="232" spans="1:10" ht="18.75" x14ac:dyDescent="0.3">
      <c r="A232" s="302" t="s">
        <v>1294</v>
      </c>
      <c r="B232" s="433">
        <v>864</v>
      </c>
      <c r="C232" s="320">
        <f>+IFERROR(VLOOKUP(B232,'Stock ISIS LK'!A:D,4,0),IFERROR(VLOOKUP(B232,'Stock ISIS CH'!A:D,4,0),0))</f>
        <v>0</v>
      </c>
      <c r="D232" s="320">
        <f t="shared" si="10"/>
        <v>0</v>
      </c>
      <c r="E232" s="333">
        <v>1</v>
      </c>
      <c r="G232" s="394">
        <f t="shared" si="8"/>
        <v>0</v>
      </c>
      <c r="H232" s="320">
        <v>12</v>
      </c>
      <c r="I232" s="320">
        <f t="shared" si="9"/>
        <v>0</v>
      </c>
      <c r="J232" s="333">
        <f>+IFERROR(VLOOKUP(B232,#REF!,3,0),IFERROR(VLOOKUP(B232,#REF!,3,0),0))</f>
        <v>0</v>
      </c>
    </row>
    <row r="233" spans="1:10" ht="18.75" x14ac:dyDescent="0.3">
      <c r="A233" s="302" t="s">
        <v>1294</v>
      </c>
      <c r="B233" s="433">
        <v>878</v>
      </c>
      <c r="C233" s="320">
        <f>+IFERROR(VLOOKUP(B233,'Stock ISIS LK'!A:D,4,0),IFERROR(VLOOKUP(B233,'Stock ISIS CH'!A:D,4,0),0))</f>
        <v>0</v>
      </c>
      <c r="D233" s="320">
        <f t="shared" si="10"/>
        <v>0</v>
      </c>
      <c r="E233" s="333">
        <v>4</v>
      </c>
      <c r="G233" s="394">
        <f t="shared" si="8"/>
        <v>0</v>
      </c>
      <c r="H233" s="320">
        <v>24</v>
      </c>
      <c r="I233" s="320">
        <f t="shared" si="9"/>
        <v>0</v>
      </c>
      <c r="J233" s="333">
        <f>+IFERROR(VLOOKUP(B233,#REF!,3,0),IFERROR(VLOOKUP(B233,#REF!,3,0),0))</f>
        <v>0</v>
      </c>
    </row>
    <row r="234" spans="1:10" ht="18.75" x14ac:dyDescent="0.3">
      <c r="A234" s="302" t="s">
        <v>1295</v>
      </c>
      <c r="B234" s="433">
        <v>43</v>
      </c>
      <c r="C234" s="320">
        <f>+IFERROR(VLOOKUP(B234,'Stock ISIS LK'!A:D,4,0),IFERROR(VLOOKUP(B234,'Stock ISIS CH'!A:D,4,0),0))</f>
        <v>0</v>
      </c>
      <c r="D234" s="320">
        <f t="shared" si="10"/>
        <v>0</v>
      </c>
      <c r="E234" s="333">
        <v>2</v>
      </c>
      <c r="G234" s="394">
        <f t="shared" si="8"/>
        <v>0</v>
      </c>
      <c r="H234" s="320">
        <v>12</v>
      </c>
      <c r="I234" s="320">
        <f t="shared" si="9"/>
        <v>0</v>
      </c>
      <c r="J234" s="333">
        <f>+IFERROR(VLOOKUP(B234,#REF!,3,0),IFERROR(VLOOKUP(B234,#REF!,3,0),0))</f>
        <v>0</v>
      </c>
    </row>
    <row r="235" spans="1:10" ht="18.75" x14ac:dyDescent="0.3">
      <c r="A235" s="302" t="s">
        <v>1295</v>
      </c>
      <c r="B235" s="433">
        <v>58</v>
      </c>
      <c r="C235" s="320">
        <f>+IFERROR(VLOOKUP(B235,'Stock ISIS LK'!A:D,4,0),IFERROR(VLOOKUP(B235,'Stock ISIS CH'!A:D,4,0),0))</f>
        <v>0</v>
      </c>
      <c r="D235" s="320">
        <f t="shared" si="10"/>
        <v>0</v>
      </c>
      <c r="E235" s="333">
        <v>2</v>
      </c>
      <c r="G235" s="394">
        <f t="shared" si="8"/>
        <v>0</v>
      </c>
      <c r="H235" s="320">
        <v>12</v>
      </c>
      <c r="I235" s="320">
        <f t="shared" si="9"/>
        <v>0</v>
      </c>
      <c r="J235" s="333">
        <f>+IFERROR(VLOOKUP(B235,#REF!,3,0),IFERROR(VLOOKUP(B235,#REF!,3,0),0))</f>
        <v>0</v>
      </c>
    </row>
    <row r="236" spans="1:10" ht="18.75" x14ac:dyDescent="0.3">
      <c r="A236" s="302" t="s">
        <v>1295</v>
      </c>
      <c r="B236" s="433">
        <v>97</v>
      </c>
      <c r="C236" s="320">
        <f>+IFERROR(VLOOKUP(B236,'Stock ISIS LK'!A:D,4,0),IFERROR(VLOOKUP(B236,'Stock ISIS CH'!A:D,4,0),0))</f>
        <v>0</v>
      </c>
      <c r="D236" s="320">
        <f t="shared" si="10"/>
        <v>0</v>
      </c>
      <c r="E236" s="333">
        <v>1</v>
      </c>
      <c r="G236" s="394">
        <f t="shared" si="8"/>
        <v>0</v>
      </c>
      <c r="H236" s="320">
        <v>6</v>
      </c>
      <c r="I236" s="320">
        <f t="shared" si="9"/>
        <v>0</v>
      </c>
      <c r="J236" s="333">
        <f>+IFERROR(VLOOKUP(B236,#REF!,3,0),IFERROR(VLOOKUP(B236,#REF!,3,0),0))</f>
        <v>0</v>
      </c>
    </row>
    <row r="237" spans="1:10" ht="18.75" x14ac:dyDescent="0.3">
      <c r="A237" s="302" t="s">
        <v>1295</v>
      </c>
      <c r="B237" s="433">
        <v>311</v>
      </c>
      <c r="C237" s="320">
        <f>+IFERROR(VLOOKUP(B237,'Stock ISIS LK'!A:D,4,0),IFERROR(VLOOKUP(B237,'Stock ISIS CH'!A:D,4,0),0))</f>
        <v>0</v>
      </c>
      <c r="D237" s="320">
        <f t="shared" si="10"/>
        <v>0</v>
      </c>
      <c r="E237" s="333">
        <v>1</v>
      </c>
      <c r="G237" s="394">
        <f t="shared" si="8"/>
        <v>0</v>
      </c>
      <c r="H237" s="320">
        <v>12</v>
      </c>
      <c r="I237" s="320">
        <f t="shared" si="9"/>
        <v>0</v>
      </c>
      <c r="J237" s="333">
        <f>+IFERROR(VLOOKUP(B237,#REF!,3,0),IFERROR(VLOOKUP(B237,#REF!,3,0),0))</f>
        <v>0</v>
      </c>
    </row>
    <row r="238" spans="1:10" ht="18.75" x14ac:dyDescent="0.3">
      <c r="A238" s="302" t="s">
        <v>1295</v>
      </c>
      <c r="B238" s="433">
        <v>312</v>
      </c>
      <c r="C238" s="320">
        <f>+IFERROR(VLOOKUP(B238,'Stock ISIS LK'!A:D,4,0),IFERROR(VLOOKUP(B238,'Stock ISIS CH'!A:D,4,0),0))</f>
        <v>0</v>
      </c>
      <c r="D238" s="320">
        <f t="shared" si="10"/>
        <v>0</v>
      </c>
      <c r="E238" s="333">
        <v>1</v>
      </c>
      <c r="G238" s="394">
        <f t="shared" si="8"/>
        <v>0</v>
      </c>
      <c r="H238" s="320">
        <v>12</v>
      </c>
      <c r="I238" s="320">
        <f t="shared" si="9"/>
        <v>0</v>
      </c>
      <c r="J238" s="333">
        <f>+IFERROR(VLOOKUP(B238,#REF!,3,0),IFERROR(VLOOKUP(B238,#REF!,3,0),0))</f>
        <v>0</v>
      </c>
    </row>
    <row r="239" spans="1:10" ht="18.75" x14ac:dyDescent="0.3">
      <c r="A239" s="302" t="s">
        <v>1295</v>
      </c>
      <c r="B239" s="433">
        <v>395</v>
      </c>
      <c r="C239" s="320">
        <f>+IFERROR(VLOOKUP(B239,'Stock ISIS LK'!A:D,4,0),IFERROR(VLOOKUP(B239,'Stock ISIS CH'!A:D,4,0),0))</f>
        <v>0</v>
      </c>
      <c r="D239" s="320">
        <f t="shared" si="10"/>
        <v>0</v>
      </c>
      <c r="E239" s="333">
        <v>2</v>
      </c>
      <c r="G239" s="394">
        <f t="shared" si="8"/>
        <v>0</v>
      </c>
      <c r="H239" s="320">
        <v>12</v>
      </c>
      <c r="I239" s="320">
        <f t="shared" si="9"/>
        <v>0</v>
      </c>
      <c r="J239" s="333">
        <f>+IFERROR(VLOOKUP(B239,#REF!,3,0),IFERROR(VLOOKUP(B239,#REF!,3,0),0))</f>
        <v>0</v>
      </c>
    </row>
    <row r="240" spans="1:10" ht="18.75" x14ac:dyDescent="0.3">
      <c r="A240" s="302" t="s">
        <v>1295</v>
      </c>
      <c r="B240" s="433">
        <v>396</v>
      </c>
      <c r="C240" s="320">
        <f>+IFERROR(VLOOKUP(B240,'Stock ISIS LK'!A:D,4,0),IFERROR(VLOOKUP(B240,'Stock ISIS CH'!A:D,4,0),0))</f>
        <v>0</v>
      </c>
      <c r="D240" s="320">
        <f t="shared" si="10"/>
        <v>0</v>
      </c>
      <c r="E240" s="333">
        <v>2</v>
      </c>
      <c r="G240" s="394">
        <f t="shared" si="8"/>
        <v>0</v>
      </c>
      <c r="H240" s="320">
        <v>12</v>
      </c>
      <c r="I240" s="320">
        <f t="shared" si="9"/>
        <v>0</v>
      </c>
      <c r="J240" s="333">
        <f>+IFERROR(VLOOKUP(B240,#REF!,3,0),IFERROR(VLOOKUP(B240,#REF!,3,0),0))</f>
        <v>0</v>
      </c>
    </row>
    <row r="241" spans="1:10" ht="18.75" x14ac:dyDescent="0.3">
      <c r="A241" s="302" t="s">
        <v>1295</v>
      </c>
      <c r="B241" s="433">
        <v>504</v>
      </c>
      <c r="C241" s="320">
        <f>+IFERROR(VLOOKUP(B241,'Stock ISIS LK'!A:D,4,0),IFERROR(VLOOKUP(B241,'Stock ISIS CH'!A:D,4,0),0))</f>
        <v>0</v>
      </c>
      <c r="D241" s="320">
        <f t="shared" si="10"/>
        <v>0</v>
      </c>
      <c r="E241" s="333">
        <v>1</v>
      </c>
      <c r="G241" s="394">
        <f t="shared" si="8"/>
        <v>0</v>
      </c>
      <c r="H241" s="320">
        <v>6</v>
      </c>
      <c r="I241" s="320">
        <f t="shared" si="9"/>
        <v>0</v>
      </c>
      <c r="J241" s="333">
        <f>+IFERROR(VLOOKUP(B241,#REF!,3,0),IFERROR(VLOOKUP(B241,#REF!,3,0),0))</f>
        <v>0</v>
      </c>
    </row>
    <row r="242" spans="1:10" ht="18.75" x14ac:dyDescent="0.3">
      <c r="A242" s="302" t="s">
        <v>1295</v>
      </c>
      <c r="B242" s="433">
        <v>507</v>
      </c>
      <c r="C242" s="320">
        <f>+IFERROR(VLOOKUP(B242,'Stock ISIS LK'!A:D,4,0),IFERROR(VLOOKUP(B242,'Stock ISIS CH'!A:D,4,0),0))</f>
        <v>0</v>
      </c>
      <c r="D242" s="320">
        <f t="shared" si="10"/>
        <v>0</v>
      </c>
      <c r="E242" s="333">
        <v>1</v>
      </c>
      <c r="G242" s="394">
        <f t="shared" si="8"/>
        <v>0</v>
      </c>
      <c r="H242" s="320">
        <v>12</v>
      </c>
      <c r="I242" s="320">
        <f t="shared" si="9"/>
        <v>0</v>
      </c>
      <c r="J242" s="333">
        <f>+IFERROR(VLOOKUP(B242,#REF!,3,0),IFERROR(VLOOKUP(B242,#REF!,3,0),0))</f>
        <v>0</v>
      </c>
    </row>
    <row r="243" spans="1:10" ht="18.75" x14ac:dyDescent="0.3">
      <c r="A243" s="302" t="s">
        <v>1295</v>
      </c>
      <c r="B243" s="433">
        <v>508</v>
      </c>
      <c r="C243" s="320">
        <f>+IFERROR(VLOOKUP(B243,'Stock ISIS LK'!A:D,4,0),IFERROR(VLOOKUP(B243,'Stock ISIS CH'!A:D,4,0),0))</f>
        <v>0</v>
      </c>
      <c r="D243" s="320">
        <f t="shared" si="10"/>
        <v>0</v>
      </c>
      <c r="E243" s="333">
        <v>1</v>
      </c>
      <c r="G243" s="394">
        <f t="shared" si="8"/>
        <v>0</v>
      </c>
      <c r="H243" s="320">
        <v>12</v>
      </c>
      <c r="I243" s="320">
        <f t="shared" si="9"/>
        <v>0</v>
      </c>
      <c r="J243" s="333">
        <f>+IFERROR(VLOOKUP(B243,#REF!,3,0),IFERROR(VLOOKUP(B243,#REF!,3,0),0))</f>
        <v>0</v>
      </c>
    </row>
    <row r="244" spans="1:10" ht="18.75" x14ac:dyDescent="0.3">
      <c r="A244" s="302" t="s">
        <v>1295</v>
      </c>
      <c r="B244" s="433">
        <v>511</v>
      </c>
      <c r="C244" s="320">
        <f>+IFERROR(VLOOKUP(B244,'Stock ISIS LK'!A:D,4,0),IFERROR(VLOOKUP(B244,'Stock ISIS CH'!A:D,4,0),0))</f>
        <v>0</v>
      </c>
      <c r="D244" s="320">
        <f t="shared" si="10"/>
        <v>0</v>
      </c>
      <c r="E244" s="333">
        <v>2</v>
      </c>
      <c r="G244" s="394">
        <f t="shared" si="8"/>
        <v>0</v>
      </c>
      <c r="H244" s="320">
        <v>12</v>
      </c>
      <c r="I244" s="320">
        <f t="shared" si="9"/>
        <v>0</v>
      </c>
      <c r="J244" s="333">
        <f>+IFERROR(VLOOKUP(B244,#REF!,3,0),IFERROR(VLOOKUP(B244,#REF!,3,0),0))</f>
        <v>0</v>
      </c>
    </row>
    <row r="245" spans="1:10" ht="18.75" x14ac:dyDescent="0.3">
      <c r="A245" s="302" t="s">
        <v>1295</v>
      </c>
      <c r="B245" s="433">
        <v>520</v>
      </c>
      <c r="C245" s="320">
        <f>+IFERROR(VLOOKUP(B245,'Stock ISIS LK'!A:D,4,0),IFERROR(VLOOKUP(B245,'Stock ISIS CH'!A:D,4,0),0))</f>
        <v>0</v>
      </c>
      <c r="D245" s="320">
        <f t="shared" si="10"/>
        <v>0</v>
      </c>
      <c r="E245" s="333">
        <v>2</v>
      </c>
      <c r="G245" s="394">
        <f t="shared" si="8"/>
        <v>0</v>
      </c>
      <c r="H245" s="320">
        <v>12</v>
      </c>
      <c r="I245" s="320">
        <f t="shared" si="9"/>
        <v>0</v>
      </c>
      <c r="J245" s="333">
        <f>+IFERROR(VLOOKUP(B245,#REF!,3,0),IFERROR(VLOOKUP(B245,#REF!,3,0),0))</f>
        <v>0</v>
      </c>
    </row>
    <row r="246" spans="1:10" ht="18.75" x14ac:dyDescent="0.3">
      <c r="A246" s="302" t="s">
        <v>1295</v>
      </c>
      <c r="B246" s="433">
        <v>520</v>
      </c>
      <c r="C246" s="320">
        <f>+IFERROR(VLOOKUP(B246,'Stock ISIS LK'!A:D,4,0),IFERROR(VLOOKUP(B246,'Stock ISIS CH'!A:D,4,0),0))</f>
        <v>0</v>
      </c>
      <c r="D246" s="320">
        <f t="shared" si="10"/>
        <v>0</v>
      </c>
      <c r="E246" s="333">
        <v>2</v>
      </c>
      <c r="G246" s="394">
        <f t="shared" si="8"/>
        <v>0</v>
      </c>
      <c r="H246" s="320">
        <v>12</v>
      </c>
      <c r="I246" s="320">
        <f t="shared" si="9"/>
        <v>0</v>
      </c>
      <c r="J246" s="333">
        <f>+IFERROR(VLOOKUP(B246,#REF!,3,0),IFERROR(VLOOKUP(B246,#REF!,3,0),0))</f>
        <v>0</v>
      </c>
    </row>
    <row r="247" spans="1:10" ht="18.75" x14ac:dyDescent="0.3">
      <c r="A247" s="302" t="s">
        <v>1295</v>
      </c>
      <c r="B247" s="433">
        <v>521</v>
      </c>
      <c r="C247" s="320">
        <f>+IFERROR(VLOOKUP(B247,'Stock ISIS LK'!A:D,4,0),IFERROR(VLOOKUP(B247,'Stock ISIS CH'!A:D,4,0),0))</f>
        <v>0</v>
      </c>
      <c r="D247" s="320">
        <f t="shared" si="10"/>
        <v>0</v>
      </c>
      <c r="E247" s="333">
        <v>2</v>
      </c>
      <c r="G247" s="394">
        <f t="shared" si="8"/>
        <v>0</v>
      </c>
      <c r="H247" s="320">
        <v>12</v>
      </c>
      <c r="I247" s="320">
        <f t="shared" si="9"/>
        <v>0</v>
      </c>
      <c r="J247" s="333">
        <f>+IFERROR(VLOOKUP(B247,#REF!,3,0),IFERROR(VLOOKUP(B247,#REF!,3,0),0))</f>
        <v>0</v>
      </c>
    </row>
    <row r="248" spans="1:10" ht="18.75" x14ac:dyDescent="0.3">
      <c r="A248" s="302" t="s">
        <v>1295</v>
      </c>
      <c r="B248" s="433">
        <v>521</v>
      </c>
      <c r="C248" s="320">
        <f>+IFERROR(VLOOKUP(B248,'Stock ISIS LK'!A:D,4,0),IFERROR(VLOOKUP(B248,'Stock ISIS CH'!A:D,4,0),0))</f>
        <v>0</v>
      </c>
      <c r="D248" s="320">
        <f t="shared" si="10"/>
        <v>0</v>
      </c>
      <c r="E248" s="333">
        <v>2</v>
      </c>
      <c r="G248" s="394">
        <f t="shared" si="8"/>
        <v>0</v>
      </c>
      <c r="H248" s="320">
        <v>12</v>
      </c>
      <c r="I248" s="320">
        <f t="shared" si="9"/>
        <v>0</v>
      </c>
      <c r="J248" s="333">
        <f>+IFERROR(VLOOKUP(B248,#REF!,3,0),IFERROR(VLOOKUP(B248,#REF!,3,0),0))</f>
        <v>0</v>
      </c>
    </row>
    <row r="249" spans="1:10" ht="18.75" x14ac:dyDescent="0.3">
      <c r="A249" s="302" t="s">
        <v>1295</v>
      </c>
      <c r="B249" s="433">
        <v>530</v>
      </c>
      <c r="C249" s="320">
        <f>+IFERROR(VLOOKUP(B249,'Stock ISIS LK'!A:D,4,0),IFERROR(VLOOKUP(B249,'Stock ISIS CH'!A:D,4,0),0))</f>
        <v>0</v>
      </c>
      <c r="D249" s="320">
        <f t="shared" si="10"/>
        <v>0</v>
      </c>
      <c r="E249" s="333">
        <v>2</v>
      </c>
      <c r="G249" s="394">
        <f t="shared" si="8"/>
        <v>0</v>
      </c>
      <c r="H249" s="320">
        <v>12</v>
      </c>
      <c r="I249" s="320">
        <f t="shared" si="9"/>
        <v>0</v>
      </c>
      <c r="J249" s="333">
        <f>+IFERROR(VLOOKUP(B249,#REF!,3,0),IFERROR(VLOOKUP(B249,#REF!,3,0),0))</f>
        <v>0</v>
      </c>
    </row>
    <row r="250" spans="1:10" ht="18.75" x14ac:dyDescent="0.3">
      <c r="A250" s="302" t="s">
        <v>1295</v>
      </c>
      <c r="B250" s="433">
        <v>531</v>
      </c>
      <c r="C250" s="320">
        <f>+IFERROR(VLOOKUP(B250,'Stock ISIS LK'!A:D,4,0),IFERROR(VLOOKUP(B250,'Stock ISIS CH'!A:D,4,0),0))</f>
        <v>0</v>
      </c>
      <c r="D250" s="320">
        <f t="shared" si="10"/>
        <v>0</v>
      </c>
      <c r="E250" s="333">
        <v>2</v>
      </c>
      <c r="G250" s="394">
        <f t="shared" si="8"/>
        <v>0</v>
      </c>
      <c r="H250" s="320">
        <v>12</v>
      </c>
      <c r="I250" s="320">
        <f t="shared" si="9"/>
        <v>0</v>
      </c>
      <c r="J250" s="333">
        <f>+IFERROR(VLOOKUP(B250,#REF!,3,0),IFERROR(VLOOKUP(B250,#REF!,3,0),0))</f>
        <v>0</v>
      </c>
    </row>
    <row r="251" spans="1:10" ht="18.75" x14ac:dyDescent="0.3">
      <c r="A251" s="302" t="s">
        <v>1295</v>
      </c>
      <c r="B251" s="433">
        <v>546</v>
      </c>
      <c r="C251" s="320">
        <f>+IFERROR(VLOOKUP(B251,'Stock ISIS LK'!A:D,4,0),IFERROR(VLOOKUP(B251,'Stock ISIS CH'!A:D,4,0),0))</f>
        <v>0</v>
      </c>
      <c r="D251" s="320">
        <f t="shared" si="10"/>
        <v>0</v>
      </c>
      <c r="E251" s="333">
        <v>1</v>
      </c>
      <c r="G251" s="394">
        <f t="shared" si="8"/>
        <v>0</v>
      </c>
      <c r="H251" s="320">
        <v>12</v>
      </c>
      <c r="I251" s="320">
        <f t="shared" si="9"/>
        <v>0</v>
      </c>
      <c r="J251" s="333">
        <f>+IFERROR(VLOOKUP(B251,#REF!,3,0),IFERROR(VLOOKUP(B251,#REF!,3,0),0))</f>
        <v>0</v>
      </c>
    </row>
    <row r="252" spans="1:10" ht="18.75" x14ac:dyDescent="0.3">
      <c r="A252" s="302" t="s">
        <v>1295</v>
      </c>
      <c r="B252" s="433">
        <v>559</v>
      </c>
      <c r="C252" s="320">
        <f>+IFERROR(VLOOKUP(B252,'Stock ISIS LK'!A:D,4,0),IFERROR(VLOOKUP(B252,'Stock ISIS CH'!A:D,4,0),0))</f>
        <v>0</v>
      </c>
      <c r="D252" s="320">
        <f t="shared" si="10"/>
        <v>0</v>
      </c>
      <c r="E252" s="333">
        <v>1</v>
      </c>
      <c r="G252" s="394">
        <f t="shared" si="8"/>
        <v>0</v>
      </c>
      <c r="H252" s="320">
        <v>12</v>
      </c>
      <c r="I252" s="320">
        <f t="shared" si="9"/>
        <v>0</v>
      </c>
      <c r="J252" s="333">
        <f>+IFERROR(VLOOKUP(B252,#REF!,3,0),IFERROR(VLOOKUP(B252,#REF!,3,0),0))</f>
        <v>0</v>
      </c>
    </row>
    <row r="253" spans="1:10" ht="18.75" x14ac:dyDescent="0.3">
      <c r="A253" s="302" t="s">
        <v>1295</v>
      </c>
      <c r="B253" s="433">
        <v>562</v>
      </c>
      <c r="C253" s="320">
        <f>+IFERROR(VLOOKUP(B253,'Stock ISIS LK'!A:D,4,0),IFERROR(VLOOKUP(B253,'Stock ISIS CH'!A:D,4,0),0))</f>
        <v>0</v>
      </c>
      <c r="D253" s="320">
        <f t="shared" si="10"/>
        <v>0</v>
      </c>
      <c r="E253" s="333">
        <v>1</v>
      </c>
      <c r="G253" s="394">
        <f t="shared" si="8"/>
        <v>0</v>
      </c>
      <c r="H253" s="320">
        <v>12</v>
      </c>
      <c r="I253" s="320">
        <f t="shared" si="9"/>
        <v>0</v>
      </c>
      <c r="J253" s="333">
        <f>+IFERROR(VLOOKUP(B253,#REF!,3,0),IFERROR(VLOOKUP(B253,#REF!,3,0),0))</f>
        <v>0</v>
      </c>
    </row>
    <row r="254" spans="1:10" ht="18.75" x14ac:dyDescent="0.3">
      <c r="A254" s="302" t="s">
        <v>1295</v>
      </c>
      <c r="B254" s="433">
        <v>569</v>
      </c>
      <c r="C254" s="320">
        <f>+IFERROR(VLOOKUP(B254,'Stock ISIS LK'!A:D,4,0),IFERROR(VLOOKUP(B254,'Stock ISIS CH'!A:D,4,0),0))</f>
        <v>0</v>
      </c>
      <c r="D254" s="320">
        <f t="shared" si="10"/>
        <v>0</v>
      </c>
      <c r="E254" s="333">
        <v>2</v>
      </c>
      <c r="G254" s="394">
        <f t="shared" si="8"/>
        <v>0</v>
      </c>
      <c r="H254" s="320">
        <v>12</v>
      </c>
      <c r="I254" s="320">
        <f t="shared" si="9"/>
        <v>0</v>
      </c>
      <c r="J254" s="333">
        <f>+IFERROR(VLOOKUP(B254,#REF!,3,0),IFERROR(VLOOKUP(B254,#REF!,3,0),0))</f>
        <v>0</v>
      </c>
    </row>
    <row r="255" spans="1:10" ht="18.75" x14ac:dyDescent="0.3">
      <c r="A255" s="302" t="s">
        <v>1295</v>
      </c>
      <c r="B255" s="433">
        <v>570</v>
      </c>
      <c r="C255" s="320">
        <f>+IFERROR(VLOOKUP(B255,'Stock ISIS LK'!A:D,4,0),IFERROR(VLOOKUP(B255,'Stock ISIS CH'!A:D,4,0),0))</f>
        <v>0</v>
      </c>
      <c r="D255" s="320">
        <f t="shared" si="10"/>
        <v>0</v>
      </c>
      <c r="E255" s="333">
        <v>1</v>
      </c>
      <c r="G255" s="394">
        <f t="shared" si="8"/>
        <v>0</v>
      </c>
      <c r="H255" s="320">
        <v>24</v>
      </c>
      <c r="I255" s="320">
        <f t="shared" si="9"/>
        <v>0</v>
      </c>
      <c r="J255" s="333">
        <f>+IFERROR(VLOOKUP(B255,#REF!,3,0),IFERROR(VLOOKUP(B255,#REF!,3,0),0))</f>
        <v>0</v>
      </c>
    </row>
    <row r="256" spans="1:10" ht="18.75" x14ac:dyDescent="0.3">
      <c r="A256" s="302" t="s">
        <v>1295</v>
      </c>
      <c r="B256" s="433">
        <v>587</v>
      </c>
      <c r="C256" s="320">
        <f>+IFERROR(VLOOKUP(B256,'Stock ISIS LK'!A:D,4,0),IFERROR(VLOOKUP(B256,'Stock ISIS CH'!A:D,4,0),0))</f>
        <v>0</v>
      </c>
      <c r="D256" s="320">
        <f t="shared" si="10"/>
        <v>0</v>
      </c>
      <c r="E256" s="333">
        <v>1</v>
      </c>
      <c r="G256" s="394">
        <f t="shared" si="8"/>
        <v>0</v>
      </c>
      <c r="H256" s="320">
        <v>12</v>
      </c>
      <c r="I256" s="320">
        <f t="shared" si="9"/>
        <v>0</v>
      </c>
      <c r="J256" s="333">
        <f>+IFERROR(VLOOKUP(B256,#REF!,3,0),IFERROR(VLOOKUP(B256,#REF!,3,0),0))</f>
        <v>0</v>
      </c>
    </row>
    <row r="257" spans="1:10" ht="18.75" x14ac:dyDescent="0.3">
      <c r="A257" s="302" t="s">
        <v>1295</v>
      </c>
      <c r="B257" s="433">
        <v>701</v>
      </c>
      <c r="C257" s="320">
        <f>+IFERROR(VLOOKUP(B257,'Stock ISIS LK'!A:D,4,0),IFERROR(VLOOKUP(B257,'Stock ISIS CH'!A:D,4,0),0))</f>
        <v>0</v>
      </c>
      <c r="D257" s="320">
        <f t="shared" si="10"/>
        <v>0</v>
      </c>
      <c r="E257" s="333">
        <v>1</v>
      </c>
      <c r="G257" s="394">
        <f t="shared" si="8"/>
        <v>0</v>
      </c>
      <c r="H257" s="320">
        <v>6</v>
      </c>
      <c r="I257" s="320">
        <f t="shared" si="9"/>
        <v>0</v>
      </c>
      <c r="J257" s="333">
        <f>+IFERROR(VLOOKUP(B257,#REF!,3,0),IFERROR(VLOOKUP(B257,#REF!,3,0),0))</f>
        <v>0</v>
      </c>
    </row>
    <row r="258" spans="1:10" ht="18.75" x14ac:dyDescent="0.3">
      <c r="A258" s="302" t="s">
        <v>1295</v>
      </c>
      <c r="B258" s="433">
        <v>706</v>
      </c>
      <c r="C258" s="320">
        <f>+IFERROR(VLOOKUP(B258,'Stock ISIS LK'!A:D,4,0),IFERROR(VLOOKUP(B258,'Stock ISIS CH'!A:D,4,0),0))</f>
        <v>0</v>
      </c>
      <c r="D258" s="320">
        <f t="shared" si="10"/>
        <v>0</v>
      </c>
      <c r="E258" s="333">
        <v>1</v>
      </c>
      <c r="G258" s="394">
        <f t="shared" si="8"/>
        <v>0</v>
      </c>
      <c r="H258" s="320">
        <v>12</v>
      </c>
      <c r="I258" s="320">
        <f t="shared" si="9"/>
        <v>0</v>
      </c>
      <c r="J258" s="333">
        <f>+IFERROR(VLOOKUP(B258,#REF!,3,0),IFERROR(VLOOKUP(B258,#REF!,3,0),0))</f>
        <v>0</v>
      </c>
    </row>
    <row r="259" spans="1:10" ht="18.75" x14ac:dyDescent="0.3">
      <c r="A259" s="302" t="s">
        <v>1295</v>
      </c>
      <c r="B259" s="433">
        <v>707</v>
      </c>
      <c r="C259" s="320">
        <f>+IFERROR(VLOOKUP(B259,'Stock ISIS LK'!A:D,4,0),IFERROR(VLOOKUP(B259,'Stock ISIS CH'!A:D,4,0),0))</f>
        <v>0</v>
      </c>
      <c r="D259" s="320">
        <f t="shared" si="10"/>
        <v>0</v>
      </c>
      <c r="E259" s="333">
        <v>1</v>
      </c>
      <c r="G259" s="394">
        <f t="shared" si="8"/>
        <v>0</v>
      </c>
      <c r="H259" s="320">
        <v>12</v>
      </c>
      <c r="I259" s="320">
        <f t="shared" si="9"/>
        <v>0</v>
      </c>
      <c r="J259" s="333">
        <f>+IFERROR(VLOOKUP(B259,#REF!,3,0),IFERROR(VLOOKUP(B259,#REF!,3,0),0))</f>
        <v>0</v>
      </c>
    </row>
    <row r="260" spans="1:10" ht="18.75" x14ac:dyDescent="0.3">
      <c r="A260" s="302" t="s">
        <v>1295</v>
      </c>
      <c r="B260" s="433">
        <v>708</v>
      </c>
      <c r="C260" s="320">
        <f>+IFERROR(VLOOKUP(B260,'Stock ISIS LK'!A:D,4,0),IFERROR(VLOOKUP(B260,'Stock ISIS CH'!A:D,4,0),0))</f>
        <v>0</v>
      </c>
      <c r="D260" s="320">
        <f t="shared" si="10"/>
        <v>0</v>
      </c>
      <c r="E260" s="333">
        <v>1</v>
      </c>
      <c r="G260" s="394">
        <f t="shared" si="8"/>
        <v>0</v>
      </c>
      <c r="H260" s="320">
        <v>12</v>
      </c>
      <c r="I260" s="320">
        <f t="shared" si="9"/>
        <v>0</v>
      </c>
      <c r="J260" s="333">
        <f>+IFERROR(VLOOKUP(B260,#REF!,3,0),IFERROR(VLOOKUP(B260,#REF!,3,0),0))</f>
        <v>0</v>
      </c>
    </row>
    <row r="261" spans="1:10" ht="18.75" x14ac:dyDescent="0.3">
      <c r="A261" s="302" t="s">
        <v>1295</v>
      </c>
      <c r="B261" s="433">
        <v>709</v>
      </c>
      <c r="C261" s="320">
        <f>+IFERROR(VLOOKUP(B261,'Stock ISIS LK'!A:D,4,0),IFERROR(VLOOKUP(B261,'Stock ISIS CH'!A:D,4,0),0))</f>
        <v>0</v>
      </c>
      <c r="D261" s="320">
        <f t="shared" si="10"/>
        <v>0</v>
      </c>
      <c r="E261" s="333">
        <v>2</v>
      </c>
      <c r="G261" s="394">
        <f t="shared" si="8"/>
        <v>0</v>
      </c>
      <c r="H261" s="320">
        <v>12</v>
      </c>
      <c r="I261" s="320">
        <f t="shared" si="9"/>
        <v>0</v>
      </c>
      <c r="J261" s="333">
        <f>+IFERROR(VLOOKUP(B261,#REF!,3,0),IFERROR(VLOOKUP(B261,#REF!,3,0),0))</f>
        <v>0</v>
      </c>
    </row>
    <row r="262" spans="1:10" ht="18.75" x14ac:dyDescent="0.3">
      <c r="A262" s="302" t="s">
        <v>1295</v>
      </c>
      <c r="B262" s="433">
        <v>710</v>
      </c>
      <c r="C262" s="320">
        <f>+IFERROR(VLOOKUP(B262,'Stock ISIS LK'!A:D,4,0),IFERROR(VLOOKUP(B262,'Stock ISIS CH'!A:D,4,0),0))</f>
        <v>0</v>
      </c>
      <c r="D262" s="320">
        <f t="shared" si="10"/>
        <v>0</v>
      </c>
      <c r="E262" s="333">
        <v>2</v>
      </c>
      <c r="G262" s="394">
        <f t="shared" ref="G262:G307" si="11">+J262/H262</f>
        <v>0</v>
      </c>
      <c r="H262" s="320">
        <v>12</v>
      </c>
      <c r="I262" s="320">
        <f t="shared" si="9"/>
        <v>0</v>
      </c>
      <c r="J262" s="333">
        <f>+IFERROR(VLOOKUP(B262,#REF!,3,0),IFERROR(VLOOKUP(B262,#REF!,3,0),0))</f>
        <v>0</v>
      </c>
    </row>
    <row r="263" spans="1:10" ht="18.75" x14ac:dyDescent="0.3">
      <c r="A263" s="302" t="s">
        <v>1295</v>
      </c>
      <c r="B263" s="433">
        <v>715</v>
      </c>
      <c r="C263" s="320">
        <f>+IFERROR(VLOOKUP(B263,'Stock ISIS LK'!A:D,4,0),IFERROR(VLOOKUP(B263,'Stock ISIS CH'!A:D,4,0),0))</f>
        <v>0</v>
      </c>
      <c r="D263" s="320">
        <f t="shared" si="10"/>
        <v>0</v>
      </c>
      <c r="E263" s="333">
        <v>2</v>
      </c>
      <c r="G263" s="394">
        <f t="shared" si="11"/>
        <v>0</v>
      </c>
      <c r="H263" s="320">
        <v>24</v>
      </c>
      <c r="I263" s="320">
        <f t="shared" si="9"/>
        <v>0</v>
      </c>
      <c r="J263" s="333">
        <f>+IFERROR(VLOOKUP(B263,#REF!,3,0),IFERROR(VLOOKUP(B263,#REF!,3,0),0))</f>
        <v>0</v>
      </c>
    </row>
    <row r="264" spans="1:10" ht="18.75" x14ac:dyDescent="0.3">
      <c r="A264" s="302" t="s">
        <v>1295</v>
      </c>
      <c r="B264" s="433">
        <v>730</v>
      </c>
      <c r="C264" s="320">
        <f>+IFERROR(VLOOKUP(B264,'Stock ISIS LK'!A:D,4,0),IFERROR(VLOOKUP(B264,'Stock ISIS CH'!A:D,4,0),0))</f>
        <v>0</v>
      </c>
      <c r="D264" s="320">
        <f t="shared" si="10"/>
        <v>0</v>
      </c>
      <c r="E264" s="333">
        <v>2</v>
      </c>
      <c r="G264" s="394">
        <f t="shared" si="11"/>
        <v>0</v>
      </c>
      <c r="H264" s="320">
        <v>24</v>
      </c>
      <c r="I264" s="320">
        <f t="shared" si="9"/>
        <v>0</v>
      </c>
      <c r="J264" s="333">
        <f>+IFERROR(VLOOKUP(B264,#REF!,3,0),IFERROR(VLOOKUP(B264,#REF!,3,0),0))</f>
        <v>0</v>
      </c>
    </row>
    <row r="265" spans="1:10" ht="18.75" x14ac:dyDescent="0.3">
      <c r="A265" s="302" t="s">
        <v>1295</v>
      </c>
      <c r="B265" s="433">
        <v>731</v>
      </c>
      <c r="C265" s="320">
        <f>+IFERROR(VLOOKUP(B265,'Stock ISIS LK'!A:D,4,0),IFERROR(VLOOKUP(B265,'Stock ISIS CH'!A:D,4,0),0))</f>
        <v>0</v>
      </c>
      <c r="D265" s="320">
        <f t="shared" si="10"/>
        <v>0</v>
      </c>
      <c r="E265" s="333">
        <v>2</v>
      </c>
      <c r="G265" s="394">
        <f t="shared" si="11"/>
        <v>0</v>
      </c>
      <c r="H265" s="320">
        <v>24</v>
      </c>
      <c r="I265" s="320">
        <f t="shared" ref="I265:I298" si="12">+G265*H265*E265</f>
        <v>0</v>
      </c>
      <c r="J265" s="333">
        <f>+IFERROR(VLOOKUP(B265,#REF!,3,0),IFERROR(VLOOKUP(B265,#REF!,3,0),0))</f>
        <v>0</v>
      </c>
    </row>
    <row r="266" spans="1:10" ht="18.75" x14ac:dyDescent="0.3">
      <c r="A266" s="302" t="s">
        <v>1295</v>
      </c>
      <c r="B266" s="433">
        <v>856</v>
      </c>
      <c r="C266" s="320">
        <f>+IFERROR(VLOOKUP(B266,'Stock ISIS LK'!A:D,4,0),IFERROR(VLOOKUP(B266,'Stock ISIS CH'!A:D,4,0),0))</f>
        <v>0</v>
      </c>
      <c r="D266" s="320">
        <f t="shared" si="10"/>
        <v>0</v>
      </c>
      <c r="E266" s="333">
        <v>1</v>
      </c>
      <c r="G266" s="394">
        <f t="shared" si="11"/>
        <v>0</v>
      </c>
      <c r="H266" s="320">
        <v>24</v>
      </c>
      <c r="I266" s="320">
        <f t="shared" si="12"/>
        <v>0</v>
      </c>
      <c r="J266" s="333">
        <f>+IFERROR(VLOOKUP(B266,#REF!,3,0),IFERROR(VLOOKUP(B266,#REF!,3,0),0))</f>
        <v>0</v>
      </c>
    </row>
    <row r="267" spans="1:10" ht="18.75" x14ac:dyDescent="0.3">
      <c r="A267" s="302" t="s">
        <v>1295</v>
      </c>
      <c r="B267" s="433">
        <v>857</v>
      </c>
      <c r="C267" s="320">
        <f>+IFERROR(VLOOKUP(B267,'Stock ISIS LK'!A:D,4,0),IFERROR(VLOOKUP(B267,'Stock ISIS CH'!A:D,4,0),0))</f>
        <v>0</v>
      </c>
      <c r="D267" s="320">
        <f t="shared" si="10"/>
        <v>0</v>
      </c>
      <c r="E267" s="333">
        <v>1</v>
      </c>
      <c r="G267" s="394">
        <f t="shared" si="11"/>
        <v>0</v>
      </c>
      <c r="H267" s="320">
        <v>24</v>
      </c>
      <c r="I267" s="320">
        <f t="shared" si="12"/>
        <v>0</v>
      </c>
      <c r="J267" s="333">
        <f>+IFERROR(VLOOKUP(B267,#REF!,3,0),IFERROR(VLOOKUP(B267,#REF!,3,0),0))</f>
        <v>0</v>
      </c>
    </row>
    <row r="268" spans="1:10" ht="18.75" x14ac:dyDescent="0.3">
      <c r="A268" s="302" t="s">
        <v>1295</v>
      </c>
      <c r="B268" s="433">
        <v>858</v>
      </c>
      <c r="C268" s="320">
        <f>+IFERROR(VLOOKUP(B268,'Stock ISIS LK'!A:D,4,0),IFERROR(VLOOKUP(B268,'Stock ISIS CH'!A:D,4,0),0))</f>
        <v>0</v>
      </c>
      <c r="D268" s="320">
        <f t="shared" si="10"/>
        <v>0</v>
      </c>
      <c r="E268" s="333">
        <v>1</v>
      </c>
      <c r="G268" s="394">
        <f t="shared" si="11"/>
        <v>0</v>
      </c>
      <c r="H268" s="320">
        <v>24</v>
      </c>
      <c r="I268" s="320">
        <f t="shared" si="12"/>
        <v>0</v>
      </c>
      <c r="J268" s="333">
        <f>+IFERROR(VLOOKUP(B268,#REF!,3,0),IFERROR(VLOOKUP(B268,#REF!,3,0),0))</f>
        <v>0</v>
      </c>
    </row>
    <row r="269" spans="1:10" ht="18.75" x14ac:dyDescent="0.3">
      <c r="A269" s="302" t="s">
        <v>1295</v>
      </c>
      <c r="B269" s="433">
        <v>859</v>
      </c>
      <c r="C269" s="320">
        <f>+IFERROR(VLOOKUP(B269,'Stock ISIS LK'!A:D,4,0),IFERROR(VLOOKUP(B269,'Stock ISIS CH'!A:D,4,0),0))</f>
        <v>0</v>
      </c>
      <c r="D269" s="320">
        <f t="shared" si="10"/>
        <v>0</v>
      </c>
      <c r="E269" s="333">
        <v>1</v>
      </c>
      <c r="G269" s="394">
        <f t="shared" si="11"/>
        <v>0</v>
      </c>
      <c r="H269" s="320">
        <v>12</v>
      </c>
      <c r="I269" s="320">
        <f t="shared" si="12"/>
        <v>0</v>
      </c>
      <c r="J269" s="333">
        <f>+IFERROR(VLOOKUP(B269,#REF!,3,0),IFERROR(VLOOKUP(B269,#REF!,3,0),0))</f>
        <v>0</v>
      </c>
    </row>
    <row r="270" spans="1:10" ht="18.75" x14ac:dyDescent="0.3">
      <c r="A270" s="302" t="s">
        <v>1295</v>
      </c>
      <c r="B270" s="433">
        <v>862</v>
      </c>
      <c r="C270" s="320">
        <f>+IFERROR(VLOOKUP(B270,'Stock ISIS LK'!A:D,4,0),IFERROR(VLOOKUP(B270,'Stock ISIS CH'!A:D,4,0),0))</f>
        <v>0</v>
      </c>
      <c r="D270" s="320">
        <f t="shared" si="10"/>
        <v>0</v>
      </c>
      <c r="E270" s="333">
        <v>1</v>
      </c>
      <c r="G270" s="394">
        <f t="shared" si="11"/>
        <v>0</v>
      </c>
      <c r="H270" s="320">
        <v>12</v>
      </c>
      <c r="I270" s="320">
        <f t="shared" si="12"/>
        <v>0</v>
      </c>
      <c r="J270" s="333">
        <f>+IFERROR(VLOOKUP(B270,#REF!,3,0),IFERROR(VLOOKUP(B270,#REF!,3,0),0))</f>
        <v>0</v>
      </c>
    </row>
    <row r="271" spans="1:10" ht="18.75" x14ac:dyDescent="0.3">
      <c r="A271" s="302" t="s">
        <v>1295</v>
      </c>
      <c r="B271" s="433">
        <v>864</v>
      </c>
      <c r="C271" s="320">
        <f>+IFERROR(VLOOKUP(B271,'Stock ISIS LK'!A:D,4,0),IFERROR(VLOOKUP(B271,'Stock ISIS CH'!A:D,4,0),0))</f>
        <v>0</v>
      </c>
      <c r="D271" s="320">
        <f t="shared" si="10"/>
        <v>0</v>
      </c>
      <c r="E271" s="333">
        <v>1</v>
      </c>
      <c r="G271" s="394">
        <f t="shared" si="11"/>
        <v>0</v>
      </c>
      <c r="H271" s="320">
        <v>12</v>
      </c>
      <c r="I271" s="320">
        <f t="shared" si="12"/>
        <v>0</v>
      </c>
      <c r="J271" s="333">
        <f>+IFERROR(VLOOKUP(B271,#REF!,3,0),IFERROR(VLOOKUP(B271,#REF!,3,0),0))</f>
        <v>0</v>
      </c>
    </row>
    <row r="272" spans="1:10" ht="18.75" x14ac:dyDescent="0.3">
      <c r="A272" s="302" t="s">
        <v>1296</v>
      </c>
      <c r="B272" s="433">
        <v>59</v>
      </c>
      <c r="C272" s="320">
        <f>+IFERROR(VLOOKUP(B272,'Stock ISIS LK'!A:D,4,0),IFERROR(VLOOKUP(B272,'Stock ISIS CH'!A:D,4,0),0))</f>
        <v>0</v>
      </c>
      <c r="D272" s="320">
        <f t="shared" si="10"/>
        <v>0</v>
      </c>
      <c r="E272" s="333">
        <v>2</v>
      </c>
      <c r="G272" s="394">
        <f t="shared" si="11"/>
        <v>0</v>
      </c>
      <c r="H272" s="320">
        <v>12</v>
      </c>
      <c r="I272" s="320">
        <f t="shared" si="12"/>
        <v>0</v>
      </c>
      <c r="J272" s="333">
        <f>+IFERROR(VLOOKUP(B272,#REF!,3,0),IFERROR(VLOOKUP(B272,#REF!,3,0),0))</f>
        <v>0</v>
      </c>
    </row>
    <row r="273" spans="1:10" ht="18.75" x14ac:dyDescent="0.3">
      <c r="A273" s="302" t="s">
        <v>1296</v>
      </c>
      <c r="B273" s="433">
        <v>507</v>
      </c>
      <c r="C273" s="320">
        <f>+IFERROR(VLOOKUP(B273,'Stock ISIS LK'!A:D,4,0),IFERROR(VLOOKUP(B273,'Stock ISIS CH'!A:D,4,0),0))</f>
        <v>0</v>
      </c>
      <c r="D273" s="320">
        <f t="shared" si="10"/>
        <v>0</v>
      </c>
      <c r="E273" s="333">
        <v>1</v>
      </c>
      <c r="G273" s="394">
        <f t="shared" si="11"/>
        <v>0</v>
      </c>
      <c r="H273" s="320">
        <v>12</v>
      </c>
      <c r="I273" s="320">
        <f t="shared" si="12"/>
        <v>0</v>
      </c>
      <c r="J273" s="333">
        <f>+IFERROR(VLOOKUP(B273,#REF!,3,0),IFERROR(VLOOKUP(B273,#REF!,3,0),0))</f>
        <v>0</v>
      </c>
    </row>
    <row r="274" spans="1:10" ht="18.75" x14ac:dyDescent="0.3">
      <c r="A274" s="302" t="s">
        <v>1296</v>
      </c>
      <c r="B274" s="433">
        <v>519</v>
      </c>
      <c r="C274" s="320">
        <f>+IFERROR(VLOOKUP(B274,'Stock ISIS LK'!A:D,4,0),IFERROR(VLOOKUP(B274,'Stock ISIS CH'!A:D,4,0),0))</f>
        <v>0</v>
      </c>
      <c r="D274" s="320">
        <f t="shared" si="10"/>
        <v>0</v>
      </c>
      <c r="E274" s="333">
        <v>4</v>
      </c>
      <c r="G274" s="394">
        <f t="shared" si="11"/>
        <v>0</v>
      </c>
      <c r="H274" s="320">
        <v>12</v>
      </c>
      <c r="I274" s="320">
        <f t="shared" si="12"/>
        <v>0</v>
      </c>
      <c r="J274" s="333">
        <f>+IFERROR(VLOOKUP(B274,#REF!,3,0),IFERROR(VLOOKUP(B274,#REF!,3,0),0))</f>
        <v>0</v>
      </c>
    </row>
    <row r="275" spans="1:10" ht="18.75" x14ac:dyDescent="0.3">
      <c r="A275" s="302" t="s">
        <v>1296</v>
      </c>
      <c r="B275" s="433">
        <v>542</v>
      </c>
      <c r="C275" s="320">
        <f>+IFERROR(VLOOKUP(B275,'Stock ISIS LK'!A:D,4,0),IFERROR(VLOOKUP(B275,'Stock ISIS CH'!A:D,4,0),0))</f>
        <v>0</v>
      </c>
      <c r="D275" s="320">
        <f t="shared" si="10"/>
        <v>0</v>
      </c>
      <c r="E275" s="333">
        <v>2</v>
      </c>
      <c r="G275" s="394">
        <f t="shared" si="11"/>
        <v>0</v>
      </c>
      <c r="H275" s="320">
        <v>12</v>
      </c>
      <c r="I275" s="320">
        <f t="shared" si="12"/>
        <v>0</v>
      </c>
      <c r="J275" s="333">
        <f>+IFERROR(VLOOKUP(B275,#REF!,3,0),IFERROR(VLOOKUP(B275,#REF!,3,0),0))</f>
        <v>0</v>
      </c>
    </row>
    <row r="276" spans="1:10" ht="18.75" x14ac:dyDescent="0.3">
      <c r="A276" s="302" t="s">
        <v>1296</v>
      </c>
      <c r="B276" s="433">
        <v>543</v>
      </c>
      <c r="C276" s="320">
        <f>+IFERROR(VLOOKUP(B276,'Stock ISIS LK'!A:D,4,0),IFERROR(VLOOKUP(B276,'Stock ISIS CH'!A:D,4,0),0))</f>
        <v>0</v>
      </c>
      <c r="D276" s="320">
        <f t="shared" si="10"/>
        <v>0</v>
      </c>
      <c r="E276" s="333">
        <v>2</v>
      </c>
      <c r="G276" s="394">
        <f t="shared" si="11"/>
        <v>0</v>
      </c>
      <c r="H276" s="320">
        <v>12</v>
      </c>
      <c r="I276" s="320">
        <f t="shared" si="12"/>
        <v>0</v>
      </c>
      <c r="J276" s="333">
        <f>+IFERROR(VLOOKUP(B276,#REF!,3,0),IFERROR(VLOOKUP(B276,#REF!,3,0),0))</f>
        <v>0</v>
      </c>
    </row>
    <row r="277" spans="1:10" ht="18.75" x14ac:dyDescent="0.3">
      <c r="A277" s="302" t="s">
        <v>1296</v>
      </c>
      <c r="B277" s="433">
        <v>547</v>
      </c>
      <c r="C277" s="320">
        <f>+IFERROR(VLOOKUP(B277,'Stock ISIS LK'!A:D,4,0),IFERROR(VLOOKUP(B277,'Stock ISIS CH'!A:D,4,0),0))</f>
        <v>0</v>
      </c>
      <c r="D277" s="320">
        <f t="shared" si="10"/>
        <v>0</v>
      </c>
      <c r="E277" s="333">
        <v>2</v>
      </c>
      <c r="G277" s="394">
        <f t="shared" si="11"/>
        <v>0</v>
      </c>
      <c r="H277" s="320">
        <v>12</v>
      </c>
      <c r="I277" s="320">
        <f t="shared" si="12"/>
        <v>0</v>
      </c>
      <c r="J277" s="333">
        <f>+IFERROR(VLOOKUP(B277,#REF!,3,0),IFERROR(VLOOKUP(B277,#REF!,3,0),0))</f>
        <v>0</v>
      </c>
    </row>
    <row r="278" spans="1:10" ht="18.75" x14ac:dyDescent="0.3">
      <c r="A278" s="302" t="s">
        <v>1296</v>
      </c>
      <c r="B278" s="433">
        <v>563</v>
      </c>
      <c r="C278" s="320">
        <f>+IFERROR(VLOOKUP(B278,'Stock ISIS LK'!A:D,4,0),IFERROR(VLOOKUP(B278,'Stock ISIS CH'!A:D,4,0),0))</f>
        <v>0</v>
      </c>
      <c r="D278" s="320">
        <f t="shared" si="10"/>
        <v>0</v>
      </c>
      <c r="E278" s="333">
        <v>2</v>
      </c>
      <c r="G278" s="394">
        <f t="shared" si="11"/>
        <v>0</v>
      </c>
      <c r="H278" s="320">
        <v>12</v>
      </c>
      <c r="I278" s="320">
        <f t="shared" si="12"/>
        <v>0</v>
      </c>
      <c r="J278" s="333">
        <f>+IFERROR(VLOOKUP(B278,#REF!,3,0),IFERROR(VLOOKUP(B278,#REF!,3,0),0))</f>
        <v>0</v>
      </c>
    </row>
    <row r="279" spans="1:10" ht="18.75" x14ac:dyDescent="0.3">
      <c r="A279" s="302" t="s">
        <v>1296</v>
      </c>
      <c r="B279" s="433">
        <v>701</v>
      </c>
      <c r="C279" s="320">
        <f>+IFERROR(VLOOKUP(B279,'Stock ISIS LK'!A:D,4,0),IFERROR(VLOOKUP(B279,'Stock ISIS CH'!A:D,4,0),0))</f>
        <v>0</v>
      </c>
      <c r="D279" s="320">
        <f t="shared" si="10"/>
        <v>0</v>
      </c>
      <c r="E279" s="333">
        <v>1</v>
      </c>
      <c r="G279" s="394">
        <f t="shared" si="11"/>
        <v>0</v>
      </c>
      <c r="H279" s="320">
        <v>6</v>
      </c>
      <c r="I279" s="320">
        <f t="shared" si="12"/>
        <v>0</v>
      </c>
      <c r="J279" s="333">
        <f>+IFERROR(VLOOKUP(B279,#REF!,3,0),IFERROR(VLOOKUP(B279,#REF!,3,0),0))</f>
        <v>0</v>
      </c>
    </row>
    <row r="280" spans="1:10" ht="18.75" x14ac:dyDescent="0.3">
      <c r="A280" s="302" t="s">
        <v>1296</v>
      </c>
      <c r="B280" s="433">
        <v>706</v>
      </c>
      <c r="C280" s="320">
        <f>+IFERROR(VLOOKUP(B280,'Stock ISIS LK'!A:D,4,0),IFERROR(VLOOKUP(B280,'Stock ISIS CH'!A:D,4,0),0))</f>
        <v>0</v>
      </c>
      <c r="D280" s="320">
        <f t="shared" si="10"/>
        <v>0</v>
      </c>
      <c r="E280" s="333">
        <v>1</v>
      </c>
      <c r="G280" s="394">
        <f t="shared" si="11"/>
        <v>0</v>
      </c>
      <c r="H280" s="320">
        <v>12</v>
      </c>
      <c r="I280" s="320">
        <f t="shared" si="12"/>
        <v>0</v>
      </c>
      <c r="J280" s="333">
        <f>+IFERROR(VLOOKUP(B280,#REF!,3,0),IFERROR(VLOOKUP(B280,#REF!,3,0),0))</f>
        <v>0</v>
      </c>
    </row>
    <row r="281" spans="1:10" ht="18.75" x14ac:dyDescent="0.3">
      <c r="A281" s="302" t="s">
        <v>1296</v>
      </c>
      <c r="B281" s="433">
        <v>707</v>
      </c>
      <c r="C281" s="320">
        <f>+IFERROR(VLOOKUP(B281,'Stock ISIS LK'!A:D,4,0),IFERROR(VLOOKUP(B281,'Stock ISIS CH'!A:D,4,0),0))</f>
        <v>0</v>
      </c>
      <c r="D281" s="320">
        <f t="shared" si="10"/>
        <v>0</v>
      </c>
      <c r="E281" s="333">
        <v>1</v>
      </c>
      <c r="G281" s="394">
        <f t="shared" si="11"/>
        <v>0</v>
      </c>
      <c r="H281" s="320">
        <v>12</v>
      </c>
      <c r="I281" s="320">
        <f t="shared" si="12"/>
        <v>0</v>
      </c>
      <c r="J281" s="333">
        <f>+IFERROR(VLOOKUP(B281,#REF!,3,0),IFERROR(VLOOKUP(B281,#REF!,3,0),0))</f>
        <v>0</v>
      </c>
    </row>
    <row r="282" spans="1:10" ht="18.75" x14ac:dyDescent="0.3">
      <c r="A282" s="302" t="s">
        <v>1296</v>
      </c>
      <c r="B282" s="433">
        <v>719</v>
      </c>
      <c r="C282" s="320">
        <f>+IFERROR(VLOOKUP(B282,'Stock ISIS LK'!A:D,4,0),IFERROR(VLOOKUP(B282,'Stock ISIS CH'!A:D,4,0),0))</f>
        <v>0</v>
      </c>
      <c r="D282" s="320">
        <f t="shared" si="10"/>
        <v>0</v>
      </c>
      <c r="E282" s="333">
        <v>4</v>
      </c>
      <c r="G282" s="394">
        <f t="shared" si="11"/>
        <v>0</v>
      </c>
      <c r="H282" s="320">
        <v>12</v>
      </c>
      <c r="I282" s="320">
        <f t="shared" si="12"/>
        <v>0</v>
      </c>
      <c r="J282" s="333">
        <f>+IFERROR(VLOOKUP(B282,#REF!,3,0),IFERROR(VLOOKUP(B282,#REF!,3,0),0))</f>
        <v>0</v>
      </c>
    </row>
    <row r="283" spans="1:10" ht="18.75" x14ac:dyDescent="0.3">
      <c r="A283" s="302" t="s">
        <v>1296</v>
      </c>
      <c r="B283" s="433">
        <v>720</v>
      </c>
      <c r="C283" s="320">
        <f>+IFERROR(VLOOKUP(B283,'Stock ISIS LK'!A:D,4,0),IFERROR(VLOOKUP(B283,'Stock ISIS CH'!A:D,4,0),0))</f>
        <v>0</v>
      </c>
      <c r="D283" s="320">
        <f t="shared" si="10"/>
        <v>0</v>
      </c>
      <c r="E283" s="333">
        <v>2</v>
      </c>
      <c r="G283" s="394">
        <f t="shared" si="11"/>
        <v>0</v>
      </c>
      <c r="H283" s="320">
        <v>12</v>
      </c>
      <c r="I283" s="320">
        <f t="shared" si="12"/>
        <v>0</v>
      </c>
      <c r="J283" s="333">
        <f>+IFERROR(VLOOKUP(B283,#REF!,3,0),IFERROR(VLOOKUP(B283,#REF!,3,0),0))</f>
        <v>0</v>
      </c>
    </row>
    <row r="284" spans="1:10" ht="18.75" x14ac:dyDescent="0.3">
      <c r="A284" s="302" t="s">
        <v>1296</v>
      </c>
      <c r="B284" s="433">
        <v>722</v>
      </c>
      <c r="C284" s="320">
        <f>+IFERROR(VLOOKUP(B284,'Stock ISIS LK'!A:D,4,0),IFERROR(VLOOKUP(B284,'Stock ISIS CH'!A:D,4,0),0))</f>
        <v>0</v>
      </c>
      <c r="D284" s="320">
        <f t="shared" si="10"/>
        <v>0</v>
      </c>
      <c r="E284" s="333">
        <v>2</v>
      </c>
      <c r="G284" s="394">
        <f t="shared" si="11"/>
        <v>0</v>
      </c>
      <c r="H284" s="320">
        <v>12</v>
      </c>
      <c r="I284" s="320">
        <f t="shared" si="12"/>
        <v>0</v>
      </c>
      <c r="J284" s="333">
        <f>+IFERROR(VLOOKUP(B284,#REF!,3,0),IFERROR(VLOOKUP(B284,#REF!,3,0),0))</f>
        <v>0</v>
      </c>
    </row>
    <row r="285" spans="1:10" ht="18.75" x14ac:dyDescent="0.3">
      <c r="A285" s="302" t="s">
        <v>1296</v>
      </c>
      <c r="B285" s="433">
        <v>809</v>
      </c>
      <c r="C285" s="320">
        <f>+IFERROR(VLOOKUP(B285,'Stock ISIS LK'!A:D,4,0),IFERROR(VLOOKUP(B285,'Stock ISIS CH'!A:D,4,0),0))</f>
        <v>0</v>
      </c>
      <c r="D285" s="320">
        <f t="shared" si="10"/>
        <v>0</v>
      </c>
      <c r="E285" s="333">
        <v>1</v>
      </c>
      <c r="G285" s="394">
        <f t="shared" si="11"/>
        <v>0</v>
      </c>
      <c r="H285" s="320">
        <v>12</v>
      </c>
      <c r="I285" s="320">
        <f t="shared" si="12"/>
        <v>0</v>
      </c>
      <c r="J285" s="333">
        <f>+IFERROR(VLOOKUP(B285,#REF!,3,0),IFERROR(VLOOKUP(B285,#REF!,3,0),0))</f>
        <v>0</v>
      </c>
    </row>
    <row r="286" spans="1:10" ht="18.75" x14ac:dyDescent="0.3">
      <c r="A286" s="302" t="s">
        <v>1296</v>
      </c>
      <c r="B286" s="433">
        <v>848</v>
      </c>
      <c r="C286" s="320">
        <f>+IFERROR(VLOOKUP(B286,'Stock ISIS LK'!A:D,4,0),IFERROR(VLOOKUP(B286,'Stock ISIS CH'!A:D,4,0),0))</f>
        <v>0</v>
      </c>
      <c r="D286" s="320">
        <f t="shared" si="10"/>
        <v>0</v>
      </c>
      <c r="E286" s="333">
        <v>2</v>
      </c>
      <c r="G286" s="394">
        <f t="shared" si="11"/>
        <v>0</v>
      </c>
      <c r="H286" s="320">
        <v>24</v>
      </c>
      <c r="I286" s="320">
        <f t="shared" si="12"/>
        <v>0</v>
      </c>
      <c r="J286" s="333">
        <f>+IFERROR(VLOOKUP(B286,#REF!,3,0),IFERROR(VLOOKUP(B286,#REF!,3,0),0))</f>
        <v>0</v>
      </c>
    </row>
    <row r="287" spans="1:10" ht="18.75" x14ac:dyDescent="0.3">
      <c r="A287" s="302" t="s">
        <v>1297</v>
      </c>
      <c r="B287" s="433">
        <v>97</v>
      </c>
      <c r="C287" s="320">
        <f>+IFERROR(VLOOKUP(B287,'Stock ISIS LK'!A:D,4,0),IFERROR(VLOOKUP(B287,'Stock ISIS CH'!A:D,4,0),0))</f>
        <v>0</v>
      </c>
      <c r="D287" s="320">
        <f t="shared" si="10"/>
        <v>0</v>
      </c>
      <c r="E287" s="333">
        <v>1</v>
      </c>
      <c r="G287" s="394">
        <f t="shared" si="11"/>
        <v>0</v>
      </c>
      <c r="H287" s="320">
        <v>6</v>
      </c>
      <c r="I287" s="320">
        <f t="shared" si="12"/>
        <v>0</v>
      </c>
      <c r="J287" s="333">
        <f>+IFERROR(VLOOKUP(B287,#REF!,3,0),IFERROR(VLOOKUP(B287,#REF!,3,0),0))</f>
        <v>0</v>
      </c>
    </row>
    <row r="288" spans="1:10" ht="18.75" x14ac:dyDescent="0.3">
      <c r="A288" s="302" t="s">
        <v>1297</v>
      </c>
      <c r="B288" s="433">
        <v>504</v>
      </c>
      <c r="C288" s="320">
        <f>+IFERROR(VLOOKUP(B288,'Stock ISIS LK'!A:D,4,0),IFERROR(VLOOKUP(B288,'Stock ISIS CH'!A:D,4,0),0))</f>
        <v>0</v>
      </c>
      <c r="D288" s="320">
        <f t="shared" si="10"/>
        <v>0</v>
      </c>
      <c r="E288" s="333">
        <v>1</v>
      </c>
      <c r="G288" s="394">
        <f t="shared" si="11"/>
        <v>0</v>
      </c>
      <c r="H288" s="320">
        <v>6</v>
      </c>
      <c r="I288" s="320">
        <f t="shared" si="12"/>
        <v>0</v>
      </c>
      <c r="J288" s="333">
        <f>+IFERROR(VLOOKUP(B288,#REF!,3,0),IFERROR(VLOOKUP(B288,#REF!,3,0),0))</f>
        <v>0</v>
      </c>
    </row>
    <row r="289" spans="1:10" ht="18.75" x14ac:dyDescent="0.3">
      <c r="A289" s="302" t="s">
        <v>1297</v>
      </c>
      <c r="B289" s="433">
        <v>564</v>
      </c>
      <c r="C289" s="320">
        <f>+IFERROR(VLOOKUP(B289,'Stock ISIS LK'!A:D,4,0),IFERROR(VLOOKUP(B289,'Stock ISIS CH'!A:D,4,0),0))</f>
        <v>0</v>
      </c>
      <c r="D289" s="320">
        <f t="shared" si="10"/>
        <v>0</v>
      </c>
      <c r="E289" s="333">
        <v>2</v>
      </c>
      <c r="G289" s="394">
        <f t="shared" si="11"/>
        <v>0</v>
      </c>
      <c r="H289" s="320">
        <v>12</v>
      </c>
      <c r="I289" s="320">
        <f t="shared" si="12"/>
        <v>0</v>
      </c>
      <c r="J289" s="333">
        <f>+IFERROR(VLOOKUP(B289,#REF!,3,0),IFERROR(VLOOKUP(B289,#REF!,3,0),0))</f>
        <v>0</v>
      </c>
    </row>
    <row r="290" spans="1:10" ht="18.75" x14ac:dyDescent="0.3">
      <c r="A290" s="302" t="s">
        <v>1297</v>
      </c>
      <c r="B290" s="433">
        <v>863</v>
      </c>
      <c r="C290" s="320">
        <f>+IFERROR(VLOOKUP(B290,'Stock ISIS LK'!A:D,4,0),IFERROR(VLOOKUP(B290,'Stock ISIS CH'!A:D,4,0),0))</f>
        <v>0</v>
      </c>
      <c r="D290" s="320">
        <f t="shared" si="10"/>
        <v>0</v>
      </c>
      <c r="E290" s="333">
        <v>2</v>
      </c>
      <c r="G290" s="394">
        <f t="shared" si="11"/>
        <v>0</v>
      </c>
      <c r="H290" s="320">
        <v>12</v>
      </c>
      <c r="I290" s="320">
        <f t="shared" si="12"/>
        <v>0</v>
      </c>
      <c r="J290" s="333">
        <f>+IFERROR(VLOOKUP(B290,#REF!,3,0),IFERROR(VLOOKUP(B290,#REF!,3,0),0))</f>
        <v>0</v>
      </c>
    </row>
    <row r="291" spans="1:10" ht="18.75" x14ac:dyDescent="0.3">
      <c r="A291" s="302" t="s">
        <v>1298</v>
      </c>
      <c r="B291" s="433">
        <v>53</v>
      </c>
      <c r="C291" s="320">
        <f>+IFERROR(VLOOKUP(B291,'Stock ISIS LK'!A:D,4,0),IFERROR(VLOOKUP(B291,'Stock ISIS CH'!A:D,4,0),0))</f>
        <v>0</v>
      </c>
      <c r="D291" s="320">
        <f t="shared" si="10"/>
        <v>0</v>
      </c>
      <c r="E291" s="333">
        <v>2</v>
      </c>
      <c r="G291" s="394">
        <f t="shared" si="11"/>
        <v>0</v>
      </c>
      <c r="H291" s="320">
        <v>12</v>
      </c>
      <c r="I291" s="320">
        <f t="shared" si="12"/>
        <v>0</v>
      </c>
      <c r="J291" s="333">
        <f>+IFERROR(VLOOKUP(B291,#REF!,3,0),IFERROR(VLOOKUP(B291,#REF!,3,0),0))</f>
        <v>0</v>
      </c>
    </row>
    <row r="292" spans="1:10" ht="18.75" x14ac:dyDescent="0.3">
      <c r="A292" s="302" t="s">
        <v>1298</v>
      </c>
      <c r="B292" s="433">
        <v>54</v>
      </c>
      <c r="C292" s="320">
        <f>+IFERROR(VLOOKUP(B292,'Stock ISIS LK'!A:D,4,0),IFERROR(VLOOKUP(B292,'Stock ISIS CH'!A:D,4,0),0))</f>
        <v>0</v>
      </c>
      <c r="D292" s="320">
        <f t="shared" si="10"/>
        <v>0</v>
      </c>
      <c r="E292" s="333">
        <v>2</v>
      </c>
      <c r="G292" s="394">
        <f t="shared" si="11"/>
        <v>0</v>
      </c>
      <c r="H292" s="320">
        <v>12</v>
      </c>
      <c r="I292" s="320">
        <f t="shared" si="12"/>
        <v>0</v>
      </c>
      <c r="J292" s="333">
        <f>+IFERROR(VLOOKUP(B292,#REF!,3,0),IFERROR(VLOOKUP(B292,#REF!,3,0),0))</f>
        <v>0</v>
      </c>
    </row>
    <row r="293" spans="1:10" ht="18.75" x14ac:dyDescent="0.3">
      <c r="A293" s="302" t="s">
        <v>1298</v>
      </c>
      <c r="B293" s="433">
        <v>55</v>
      </c>
      <c r="C293" s="320">
        <f>+IFERROR(VLOOKUP(B293,'Stock ISIS LK'!A:D,4,0),IFERROR(VLOOKUP(B293,'Stock ISIS CH'!A:D,4,0),0))</f>
        <v>0</v>
      </c>
      <c r="D293" s="320">
        <f t="shared" si="10"/>
        <v>0</v>
      </c>
      <c r="E293" s="333">
        <v>2</v>
      </c>
      <c r="G293" s="394">
        <f t="shared" si="11"/>
        <v>0</v>
      </c>
      <c r="H293" s="320">
        <v>12</v>
      </c>
      <c r="I293" s="320">
        <f t="shared" si="12"/>
        <v>0</v>
      </c>
      <c r="J293" s="333">
        <f>+IFERROR(VLOOKUP(B293,#REF!,3,0),IFERROR(VLOOKUP(B293,#REF!,3,0),0))</f>
        <v>0</v>
      </c>
    </row>
    <row r="294" spans="1:10" ht="18.75" x14ac:dyDescent="0.3">
      <c r="A294" s="302" t="s">
        <v>1298</v>
      </c>
      <c r="B294" s="433">
        <v>518</v>
      </c>
      <c r="C294" s="320">
        <f>+IFERROR(VLOOKUP(B294,'Stock ISIS LK'!A:D,4,0),IFERROR(VLOOKUP(B294,'Stock ISIS CH'!A:D,4,0),0))</f>
        <v>0</v>
      </c>
      <c r="D294" s="320">
        <f t="shared" si="10"/>
        <v>0</v>
      </c>
      <c r="E294" s="333">
        <v>2</v>
      </c>
      <c r="G294" s="394">
        <f t="shared" si="11"/>
        <v>0</v>
      </c>
      <c r="H294" s="320">
        <v>12</v>
      </c>
      <c r="I294" s="320">
        <f t="shared" si="12"/>
        <v>0</v>
      </c>
      <c r="J294" s="333">
        <f>+IFERROR(VLOOKUP(B294,#REF!,3,0),IFERROR(VLOOKUP(B294,#REF!,3,0),0))</f>
        <v>0</v>
      </c>
    </row>
    <row r="295" spans="1:10" ht="18.75" x14ac:dyDescent="0.3">
      <c r="A295" s="302" t="s">
        <v>1298</v>
      </c>
      <c r="B295" s="433">
        <v>594</v>
      </c>
      <c r="C295" s="320">
        <f>+IFERROR(VLOOKUP(B295,'Stock ISIS LK'!A:D,4,0),IFERROR(VLOOKUP(B295,'Stock ISIS CH'!A:D,4,0),0))</f>
        <v>0</v>
      </c>
      <c r="D295" s="320">
        <f t="shared" si="10"/>
        <v>0</v>
      </c>
      <c r="E295" s="333">
        <v>2</v>
      </c>
      <c r="G295" s="394">
        <f t="shared" si="11"/>
        <v>0</v>
      </c>
      <c r="H295" s="320">
        <v>12</v>
      </c>
      <c r="I295" s="320">
        <f t="shared" si="12"/>
        <v>0</v>
      </c>
      <c r="J295" s="333">
        <f>+IFERROR(VLOOKUP(B295,#REF!,3,0),IFERROR(VLOOKUP(B295,#REF!,3,0),0))</f>
        <v>0</v>
      </c>
    </row>
    <row r="296" spans="1:10" ht="18.75" x14ac:dyDescent="0.3">
      <c r="A296" s="302" t="s">
        <v>1298</v>
      </c>
      <c r="B296" s="433">
        <v>595</v>
      </c>
      <c r="C296" s="320">
        <f>+IFERROR(VLOOKUP(B296,'Stock ISIS LK'!A:D,4,0),IFERROR(VLOOKUP(B296,'Stock ISIS CH'!A:D,4,0),0))</f>
        <v>0</v>
      </c>
      <c r="D296" s="320">
        <f t="shared" si="10"/>
        <v>0</v>
      </c>
      <c r="E296" s="333">
        <v>2</v>
      </c>
      <c r="G296" s="394">
        <f t="shared" si="11"/>
        <v>0</v>
      </c>
      <c r="H296" s="320">
        <v>12</v>
      </c>
      <c r="I296" s="320">
        <f t="shared" si="12"/>
        <v>0</v>
      </c>
      <c r="J296" s="333">
        <f>+IFERROR(VLOOKUP(B296,#REF!,3,0),IFERROR(VLOOKUP(B296,#REF!,3,0),0))</f>
        <v>0</v>
      </c>
    </row>
    <row r="297" spans="1:10" ht="18.75" x14ac:dyDescent="0.3">
      <c r="A297" s="302" t="s">
        <v>1298</v>
      </c>
      <c r="B297" s="433">
        <v>596</v>
      </c>
      <c r="C297" s="320">
        <f>+IFERROR(VLOOKUP(B297,'Stock ISIS LK'!A:D,4,0),IFERROR(VLOOKUP(B297,'Stock ISIS CH'!A:D,4,0),0))</f>
        <v>0</v>
      </c>
      <c r="D297" s="320">
        <f t="shared" si="10"/>
        <v>0</v>
      </c>
      <c r="E297" s="333">
        <v>2</v>
      </c>
      <c r="G297" s="394">
        <f t="shared" si="11"/>
        <v>0</v>
      </c>
      <c r="H297" s="320">
        <v>12</v>
      </c>
      <c r="I297" s="320">
        <f t="shared" si="12"/>
        <v>0</v>
      </c>
      <c r="J297" s="333">
        <f>+IFERROR(VLOOKUP(B297,#REF!,3,0),IFERROR(VLOOKUP(B297,#REF!,3,0),0))</f>
        <v>0</v>
      </c>
    </row>
    <row r="298" spans="1:10" ht="18.75" x14ac:dyDescent="0.3">
      <c r="A298" s="302" t="s">
        <v>1298</v>
      </c>
      <c r="B298" s="433">
        <v>718</v>
      </c>
      <c r="C298" s="320">
        <f>+IFERROR(VLOOKUP(B298,'Stock ISIS LK'!A:D,4,0),IFERROR(VLOOKUP(B298,'Stock ISIS CH'!A:D,4,0),0))</f>
        <v>0</v>
      </c>
      <c r="D298" s="320">
        <f t="shared" si="10"/>
        <v>0</v>
      </c>
      <c r="E298" s="333">
        <v>2</v>
      </c>
      <c r="G298" s="394">
        <f t="shared" si="11"/>
        <v>0</v>
      </c>
      <c r="H298" s="320">
        <v>24</v>
      </c>
      <c r="I298" s="320">
        <f t="shared" si="12"/>
        <v>0</v>
      </c>
      <c r="J298" s="333">
        <f>+IFERROR(VLOOKUP(B298,#REF!,3,0),IFERROR(VLOOKUP(B298,#REF!,3,0),0))</f>
        <v>0</v>
      </c>
    </row>
    <row r="299" spans="1:10" ht="18.75" x14ac:dyDescent="0.3">
      <c r="A299" s="302" t="s">
        <v>1428</v>
      </c>
      <c r="B299" s="392">
        <v>504</v>
      </c>
      <c r="C299" s="320">
        <f>+IFERROR(VLOOKUP(B299,'Stock ISIS LK'!A:D,4,0),IFERROR(VLOOKUP(B299,'Stock ISIS CH'!A:D,4,0),0))</f>
        <v>0</v>
      </c>
      <c r="D299" s="320">
        <f t="shared" si="10"/>
        <v>0</v>
      </c>
      <c r="E299" s="333">
        <v>1</v>
      </c>
      <c r="G299" s="394">
        <f t="shared" si="11"/>
        <v>0</v>
      </c>
      <c r="H299" s="320">
        <v>6</v>
      </c>
      <c r="I299" s="320">
        <f t="shared" ref="I299:I307" si="13">+G299*H299*E299</f>
        <v>0</v>
      </c>
      <c r="J299" s="333">
        <f>+IFERROR(VLOOKUP(B299,#REF!,3,0),IFERROR(VLOOKUP(B299,#REF!,3,0),0))</f>
        <v>0</v>
      </c>
    </row>
    <row r="300" spans="1:10" ht="18.75" x14ac:dyDescent="0.3">
      <c r="A300" s="302" t="s">
        <v>1608</v>
      </c>
      <c r="B300" s="433">
        <v>114</v>
      </c>
      <c r="C300" s="320">
        <f>+IFERROR(VLOOKUP(B300,'Stock ISIS LK'!A:D,4,0),IFERROR(VLOOKUP(B300,'Stock ISIS CH'!A:D,4,0),0))</f>
        <v>0</v>
      </c>
      <c r="D300" s="320">
        <f>+C300*E300</f>
        <v>0</v>
      </c>
      <c r="E300" s="333">
        <v>1</v>
      </c>
      <c r="G300" s="394">
        <f>+J300/H300</f>
        <v>0</v>
      </c>
      <c r="H300" s="320">
        <v>6</v>
      </c>
      <c r="I300" s="320">
        <f>+G300*H300*E300</f>
        <v>0</v>
      </c>
      <c r="J300" s="333">
        <f>+IFERROR(VLOOKUP(B300,#REF!,3,0),IFERROR(VLOOKUP(B300,#REF!,3,0),0))</f>
        <v>0</v>
      </c>
    </row>
    <row r="301" spans="1:10" ht="18.75" x14ac:dyDescent="0.3">
      <c r="A301" s="302" t="s">
        <v>1429</v>
      </c>
      <c r="B301" s="392">
        <v>97</v>
      </c>
      <c r="C301" s="320">
        <f>+IFERROR(VLOOKUP(B301,'Stock ISIS LK'!A:D,4,0),IFERROR(VLOOKUP(B301,'Stock ISIS CH'!A:D,4,0),0))</f>
        <v>0</v>
      </c>
      <c r="D301" s="320">
        <f t="shared" si="10"/>
        <v>0</v>
      </c>
      <c r="E301" s="333">
        <v>1</v>
      </c>
      <c r="G301" s="394">
        <f t="shared" si="11"/>
        <v>0</v>
      </c>
      <c r="H301" s="320">
        <v>6</v>
      </c>
      <c r="I301" s="320">
        <f t="shared" si="13"/>
        <v>0</v>
      </c>
      <c r="J301" s="333">
        <f>+IFERROR(VLOOKUP(B301,#REF!,3,0),IFERROR(VLOOKUP(B301,#REF!,3,0),0))</f>
        <v>0</v>
      </c>
    </row>
    <row r="302" spans="1:10" ht="18.75" x14ac:dyDescent="0.3">
      <c r="A302" s="302" t="s">
        <v>1313</v>
      </c>
      <c r="B302" s="433">
        <v>535</v>
      </c>
      <c r="C302" s="320">
        <f>+IFERROR(VLOOKUP(B302,'Stock ISIS LK'!A:D,4,0),IFERROR(VLOOKUP(B302,'Stock ISIS CH'!A:D,4,0),0))</f>
        <v>0</v>
      </c>
      <c r="D302" s="320">
        <f t="shared" si="10"/>
        <v>0</v>
      </c>
      <c r="E302" s="333">
        <v>1</v>
      </c>
      <c r="G302" s="394">
        <f t="shared" si="11"/>
        <v>0</v>
      </c>
      <c r="H302" s="320">
        <v>24</v>
      </c>
      <c r="I302" s="320">
        <f t="shared" si="13"/>
        <v>0</v>
      </c>
      <c r="J302" s="333">
        <f>+IFERROR(VLOOKUP(B302,#REF!,3,0),IFERROR(VLOOKUP(B302,#REF!,3,0),0))</f>
        <v>0</v>
      </c>
    </row>
    <row r="303" spans="1:10" ht="18.75" x14ac:dyDescent="0.3">
      <c r="A303" s="302" t="s">
        <v>1313</v>
      </c>
      <c r="B303" s="433">
        <v>307</v>
      </c>
      <c r="C303" s="320">
        <f>+IFERROR(VLOOKUP(B303,'Stock ISIS LK'!A:D,4,0),IFERROR(VLOOKUP(B303,'Stock ISIS CH'!A:D,4,0),0))</f>
        <v>0</v>
      </c>
      <c r="D303" s="320">
        <f t="shared" si="10"/>
        <v>0</v>
      </c>
      <c r="E303" s="333">
        <v>1</v>
      </c>
      <c r="G303" s="394">
        <f t="shared" si="11"/>
        <v>0</v>
      </c>
      <c r="H303" s="320">
        <v>24</v>
      </c>
      <c r="I303" s="320">
        <f t="shared" si="13"/>
        <v>0</v>
      </c>
      <c r="J303" s="333">
        <f>+IFERROR(VLOOKUP(B303,#REF!,3,0),IFERROR(VLOOKUP(B303,#REF!,3,0),0))</f>
        <v>0</v>
      </c>
    </row>
    <row r="304" spans="1:10" ht="18.75" x14ac:dyDescent="0.3">
      <c r="A304" s="302" t="s">
        <v>1485</v>
      </c>
      <c r="B304" s="433">
        <v>534</v>
      </c>
      <c r="C304" s="320">
        <f>+IFERROR(VLOOKUP(B304,'Stock ISIS LK'!A:D,4,0),IFERROR(VLOOKUP(B304,'Stock ISIS CH'!A:D,4,0),0))</f>
        <v>0</v>
      </c>
      <c r="D304" s="320">
        <f t="shared" si="10"/>
        <v>0</v>
      </c>
      <c r="E304" s="333">
        <v>1</v>
      </c>
      <c r="G304" s="394">
        <f t="shared" si="11"/>
        <v>0</v>
      </c>
      <c r="H304" s="320">
        <v>24</v>
      </c>
      <c r="I304" s="320">
        <f t="shared" si="13"/>
        <v>0</v>
      </c>
      <c r="J304" s="333">
        <f>+IFERROR(VLOOKUP(B304,#REF!,3,0),IFERROR(VLOOKUP(B304,#REF!,3,0),0))</f>
        <v>0</v>
      </c>
    </row>
    <row r="305" spans="1:10" ht="18.75" x14ac:dyDescent="0.3">
      <c r="A305" s="302" t="s">
        <v>1485</v>
      </c>
      <c r="B305" s="433">
        <v>52</v>
      </c>
      <c r="C305" s="320">
        <f>+IFERROR(VLOOKUP(B305,'Stock ISIS LK'!A:D,4,0),IFERROR(VLOOKUP(B305,'Stock ISIS CH'!A:D,4,0),0))</f>
        <v>0</v>
      </c>
      <c r="D305" s="320">
        <f t="shared" si="10"/>
        <v>0</v>
      </c>
      <c r="E305" s="333">
        <v>1</v>
      </c>
      <c r="G305" s="394">
        <f t="shared" si="11"/>
        <v>0</v>
      </c>
      <c r="H305" s="320">
        <v>12</v>
      </c>
      <c r="I305" s="320">
        <f t="shared" si="13"/>
        <v>0</v>
      </c>
      <c r="J305" s="333">
        <f>+IFERROR(VLOOKUP(B305,#REF!,3,0),IFERROR(VLOOKUP(B305,#REF!,3,0),0))</f>
        <v>0</v>
      </c>
    </row>
    <row r="306" spans="1:10" s="31" customFormat="1" ht="18.75" x14ac:dyDescent="0.25">
      <c r="A306" s="302" t="s">
        <v>1239</v>
      </c>
      <c r="B306" s="433">
        <v>555</v>
      </c>
      <c r="C306" s="260">
        <f>+IFERROR(VLOOKUP(B306,'Stock ISIS LK'!A:D,4,0),IFERROR(VLOOKUP(B306,'Stock ISIS CH'!A:D,4,0),0))</f>
        <v>0</v>
      </c>
      <c r="D306" s="260">
        <f t="shared" si="10"/>
        <v>0</v>
      </c>
      <c r="E306" s="352">
        <v>1</v>
      </c>
      <c r="G306" s="444">
        <f t="shared" si="11"/>
        <v>0</v>
      </c>
      <c r="H306" s="260">
        <v>36</v>
      </c>
      <c r="I306" s="260">
        <f t="shared" si="13"/>
        <v>0</v>
      </c>
      <c r="J306" s="352">
        <f>+IFERROR(VLOOKUP(B306,#REF!,3,0),IFERROR(VLOOKUP(B306,#REF!,3,0),0))</f>
        <v>0</v>
      </c>
    </row>
    <row r="307" spans="1:10" s="31" customFormat="1" ht="19.5" thickBot="1" x14ac:dyDescent="0.3">
      <c r="A307" s="298" t="s">
        <v>1239</v>
      </c>
      <c r="B307" s="443">
        <v>764</v>
      </c>
      <c r="C307" s="262">
        <f>+IFERROR(VLOOKUP(B307,'Stock ISIS LK'!A:D,4,0),IFERROR(VLOOKUP(B307,'Stock ISIS CH'!A:D,4,0),0))</f>
        <v>0</v>
      </c>
      <c r="D307" s="262">
        <f t="shared" si="10"/>
        <v>0</v>
      </c>
      <c r="E307" s="356">
        <v>1</v>
      </c>
      <c r="G307" s="445">
        <f t="shared" si="11"/>
        <v>0</v>
      </c>
      <c r="H307" s="262">
        <v>36</v>
      </c>
      <c r="I307" s="262">
        <f t="shared" si="13"/>
        <v>0</v>
      </c>
      <c r="J307" s="356">
        <f>+IFERROR(VLOOKUP(B307,#REF!,3,0),IFERROR(VLOOKUP(B307,#REF!,3,0),0))</f>
        <v>0</v>
      </c>
    </row>
  </sheetData>
  <mergeCells count="2">
    <mergeCell ref="A1:E2"/>
    <mergeCell ref="G1:J2"/>
  </mergeCells>
  <phoneticPr fontId="4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D6"/>
  <sheetViews>
    <sheetView workbookViewId="0"/>
  </sheetViews>
  <sheetFormatPr baseColWidth="10" defaultRowHeight="15" x14ac:dyDescent="0.25"/>
  <cols>
    <col min="1" max="1" width="30.85546875" customWidth="1"/>
    <col min="2" max="2" width="6.7109375" customWidth="1"/>
    <col min="3" max="3" width="6.85546875" customWidth="1"/>
    <col min="4" max="4" width="8.5703125" customWidth="1"/>
  </cols>
  <sheetData>
    <row r="1" spans="1:4" ht="70.900000000000006" customHeight="1" thickBot="1" x14ac:dyDescent="0.3">
      <c r="A1" s="319" t="s">
        <v>1387</v>
      </c>
      <c r="B1" s="319" t="s">
        <v>1388</v>
      </c>
      <c r="C1" s="319" t="s">
        <v>1389</v>
      </c>
      <c r="D1" s="329" t="s">
        <v>1390</v>
      </c>
    </row>
    <row r="2" spans="1:4" ht="18.75" x14ac:dyDescent="0.3">
      <c r="A2" s="330" t="s">
        <v>1305</v>
      </c>
      <c r="B2" s="357">
        <v>3.01</v>
      </c>
      <c r="C2" s="321">
        <v>8000</v>
      </c>
      <c r="D2" s="331">
        <f>+B2*C2</f>
        <v>24080</v>
      </c>
    </row>
    <row r="3" spans="1:4" ht="18.75" x14ac:dyDescent="0.3">
      <c r="A3" s="332" t="s">
        <v>1306</v>
      </c>
      <c r="B3" s="320">
        <v>0</v>
      </c>
      <c r="C3" s="320">
        <v>8000</v>
      </c>
      <c r="D3" s="333">
        <f>+B3*C3</f>
        <v>0</v>
      </c>
    </row>
    <row r="4" spans="1:4" ht="18.75" x14ac:dyDescent="0.3">
      <c r="A4" s="332" t="s">
        <v>1307</v>
      </c>
      <c r="B4" s="320">
        <v>1</v>
      </c>
      <c r="C4" s="320">
        <v>1000</v>
      </c>
      <c r="D4" s="333">
        <f>+B4*C4</f>
        <v>1000</v>
      </c>
    </row>
    <row r="5" spans="1:4" ht="18.75" x14ac:dyDescent="0.3">
      <c r="A5" s="332" t="s">
        <v>1314</v>
      </c>
      <c r="B5" s="320">
        <v>2</v>
      </c>
      <c r="C5" s="320">
        <v>500</v>
      </c>
      <c r="D5" s="333">
        <f>+B5*C5</f>
        <v>1000</v>
      </c>
    </row>
    <row r="6" spans="1:4" ht="19.5" thickBot="1" x14ac:dyDescent="0.35">
      <c r="A6" s="334" t="s">
        <v>1315</v>
      </c>
      <c r="B6" s="322">
        <v>2</v>
      </c>
      <c r="C6" s="322">
        <v>1000</v>
      </c>
      <c r="D6" s="335">
        <f>+B6*C6</f>
        <v>2000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I171"/>
  <sheetViews>
    <sheetView tabSelected="1" workbookViewId="0">
      <selection activeCell="P8" sqref="P8"/>
    </sheetView>
  </sheetViews>
  <sheetFormatPr baseColWidth="10" defaultRowHeight="15" x14ac:dyDescent="0.25"/>
  <cols>
    <col min="1" max="1" width="7.28515625" customWidth="1"/>
    <col min="2" max="2" width="37.140625" style="216" customWidth="1"/>
    <col min="3" max="3" width="10" customWidth="1"/>
    <col min="4" max="4" width="10.28515625" customWidth="1"/>
    <col min="5" max="5" width="10.7109375" customWidth="1"/>
    <col min="6" max="6" width="9.85546875" customWidth="1"/>
    <col min="7" max="7" width="10.28515625" customWidth="1"/>
    <col min="8" max="9" width="9.5703125" customWidth="1"/>
    <col min="11" max="11" width="11.85546875" bestFit="1" customWidth="1"/>
  </cols>
  <sheetData>
    <row r="1" spans="1:9" ht="38.25" thickBot="1" x14ac:dyDescent="0.3">
      <c r="A1" s="512" t="s">
        <v>748</v>
      </c>
      <c r="B1" s="511" t="s">
        <v>1583</v>
      </c>
      <c r="C1" s="316" t="s">
        <v>1639</v>
      </c>
      <c r="D1" s="316" t="s">
        <v>1299</v>
      </c>
      <c r="E1" s="316" t="s">
        <v>1607</v>
      </c>
      <c r="F1" s="316" t="s">
        <v>340</v>
      </c>
      <c r="G1" s="316" t="s">
        <v>1490</v>
      </c>
      <c r="H1" s="316" t="s">
        <v>1301</v>
      </c>
      <c r="I1" s="316" t="s">
        <v>1610</v>
      </c>
    </row>
    <row r="2" spans="1:9" ht="19.899999999999999" customHeight="1" x14ac:dyDescent="0.3">
      <c r="A2" s="297">
        <v>26</v>
      </c>
      <c r="B2" s="240" t="s">
        <v>750</v>
      </c>
      <c r="C2" s="517">
        <v>7236</v>
      </c>
      <c r="D2" s="432" t="s">
        <v>1300</v>
      </c>
      <c r="E2" s="518"/>
      <c r="F2" s="518"/>
      <c r="G2" s="518"/>
      <c r="H2" s="518"/>
      <c r="I2" s="441"/>
    </row>
    <row r="3" spans="1:9" ht="19.899999999999999" customHeight="1" x14ac:dyDescent="0.3">
      <c r="A3" s="302">
        <v>27</v>
      </c>
      <c r="B3" s="223" t="s">
        <v>751</v>
      </c>
      <c r="C3" s="534">
        <v>4512</v>
      </c>
      <c r="D3" s="433" t="s">
        <v>1300</v>
      </c>
      <c r="E3" s="317"/>
      <c r="F3" s="317"/>
      <c r="G3" s="317"/>
      <c r="H3" s="317"/>
      <c r="I3" s="436"/>
    </row>
    <row r="4" spans="1:9" ht="19.899999999999999" customHeight="1" x14ac:dyDescent="0.3">
      <c r="A4" s="302">
        <v>29</v>
      </c>
      <c r="B4" s="223" t="s">
        <v>1225</v>
      </c>
      <c r="C4" s="534">
        <v>0</v>
      </c>
      <c r="D4" s="433" t="s">
        <v>1300</v>
      </c>
      <c r="E4" s="317"/>
      <c r="F4" s="317"/>
      <c r="G4" s="317"/>
      <c r="H4" s="317"/>
      <c r="I4" s="436"/>
    </row>
    <row r="5" spans="1:9" ht="19.899999999999999" customHeight="1" x14ac:dyDescent="0.3">
      <c r="A5" s="302">
        <v>30</v>
      </c>
      <c r="B5" s="223" t="s">
        <v>1226</v>
      </c>
      <c r="C5" s="534">
        <v>0</v>
      </c>
      <c r="D5" s="433" t="s">
        <v>1300</v>
      </c>
      <c r="E5" s="317"/>
      <c r="F5" s="317"/>
      <c r="G5" s="317"/>
      <c r="H5" s="317"/>
      <c r="I5" s="436"/>
    </row>
    <row r="6" spans="1:9" ht="19.899999999999999" customHeight="1" x14ac:dyDescent="0.3">
      <c r="A6" s="302">
        <v>31</v>
      </c>
      <c r="B6" s="223" t="s">
        <v>753</v>
      </c>
      <c r="C6" s="534">
        <v>18192</v>
      </c>
      <c r="D6" s="295"/>
      <c r="E6" s="317"/>
      <c r="F6" s="317"/>
      <c r="G6" s="317"/>
      <c r="H6" s="317"/>
      <c r="I6" s="436"/>
    </row>
    <row r="7" spans="1:9" ht="19.899999999999999" customHeight="1" x14ac:dyDescent="0.3">
      <c r="A7" s="302">
        <v>34</v>
      </c>
      <c r="B7" s="223" t="s">
        <v>754</v>
      </c>
      <c r="C7" s="534">
        <v>1536</v>
      </c>
      <c r="D7" s="295"/>
      <c r="E7" s="317" t="s">
        <v>1309</v>
      </c>
      <c r="F7" s="317"/>
      <c r="G7" s="317"/>
      <c r="H7" s="317"/>
      <c r="I7" s="436"/>
    </row>
    <row r="8" spans="1:9" ht="19.899999999999999" customHeight="1" x14ac:dyDescent="0.3">
      <c r="A8" s="302">
        <v>57</v>
      </c>
      <c r="B8" s="223" t="s">
        <v>747</v>
      </c>
      <c r="C8" s="534">
        <v>744</v>
      </c>
      <c r="D8" s="295"/>
      <c r="E8" s="317"/>
      <c r="F8" s="317"/>
      <c r="G8" s="317">
        <v>10</v>
      </c>
      <c r="H8" s="317">
        <v>1</v>
      </c>
      <c r="I8" s="442">
        <v>600</v>
      </c>
    </row>
    <row r="9" spans="1:9" ht="19.899999999999999" customHeight="1" x14ac:dyDescent="0.3">
      <c r="A9" s="302">
        <v>58</v>
      </c>
      <c r="B9" s="223" t="s">
        <v>579</v>
      </c>
      <c r="C9" s="534">
        <v>312</v>
      </c>
      <c r="D9" s="295"/>
      <c r="E9" s="317"/>
      <c r="F9" s="317"/>
      <c r="G9" s="317">
        <v>10</v>
      </c>
      <c r="H9" s="317">
        <v>2</v>
      </c>
      <c r="I9" s="442">
        <v>240</v>
      </c>
    </row>
    <row r="10" spans="1:9" ht="19.899999999999999" customHeight="1" x14ac:dyDescent="0.3">
      <c r="A10" s="302">
        <v>59</v>
      </c>
      <c r="B10" s="223" t="s">
        <v>556</v>
      </c>
      <c r="C10" s="534">
        <v>144</v>
      </c>
      <c r="D10" s="295"/>
      <c r="E10" s="317"/>
      <c r="F10" s="317"/>
      <c r="G10" s="317">
        <v>12</v>
      </c>
      <c r="H10" s="317">
        <v>2</v>
      </c>
      <c r="I10" s="442">
        <v>288</v>
      </c>
    </row>
    <row r="11" spans="1:9" ht="19.899999999999999" customHeight="1" x14ac:dyDescent="0.3">
      <c r="A11" s="302">
        <v>66</v>
      </c>
      <c r="B11" s="223" t="s">
        <v>1265</v>
      </c>
      <c r="C11" s="534">
        <v>2100</v>
      </c>
      <c r="D11" s="295"/>
      <c r="E11" s="317"/>
      <c r="F11" s="317"/>
      <c r="G11" s="317" t="s">
        <v>1518</v>
      </c>
      <c r="H11" s="317">
        <v>1</v>
      </c>
      <c r="I11" s="442">
        <v>1000</v>
      </c>
    </row>
    <row r="12" spans="1:9" ht="19.899999999999999" customHeight="1" x14ac:dyDescent="0.3">
      <c r="A12" s="302">
        <v>101</v>
      </c>
      <c r="B12" s="223" t="s">
        <v>1584</v>
      </c>
      <c r="C12" s="534">
        <v>300</v>
      </c>
      <c r="D12" s="295"/>
      <c r="E12" s="317"/>
      <c r="F12" s="317"/>
      <c r="G12" s="317"/>
      <c r="H12" s="317"/>
      <c r="I12" s="436"/>
    </row>
    <row r="13" spans="1:9" ht="19.899999999999999" customHeight="1" x14ac:dyDescent="0.3">
      <c r="A13" s="302">
        <v>102</v>
      </c>
      <c r="B13" s="223" t="s">
        <v>1585</v>
      </c>
      <c r="C13" s="534">
        <v>0</v>
      </c>
      <c r="D13" s="295"/>
      <c r="E13" s="317"/>
      <c r="F13" s="317"/>
      <c r="G13" s="317"/>
      <c r="H13" s="317"/>
      <c r="I13" s="436"/>
    </row>
    <row r="14" spans="1:9" ht="19.899999999999999" customHeight="1" x14ac:dyDescent="0.3">
      <c r="A14" s="533">
        <v>103</v>
      </c>
      <c r="B14" s="223" t="s">
        <v>1586</v>
      </c>
      <c r="C14" s="534">
        <v>1024</v>
      </c>
      <c r="D14" s="295"/>
      <c r="E14" s="317"/>
      <c r="F14" s="317"/>
      <c r="G14" s="317"/>
      <c r="H14" s="317"/>
      <c r="I14" s="436"/>
    </row>
    <row r="15" spans="1:9" ht="19.899999999999999" customHeight="1" x14ac:dyDescent="0.3">
      <c r="A15" s="533">
        <v>104</v>
      </c>
      <c r="B15" s="223" t="s">
        <v>1579</v>
      </c>
      <c r="C15" s="534">
        <v>1140</v>
      </c>
      <c r="D15" s="295"/>
      <c r="E15" s="317"/>
      <c r="F15" s="317"/>
      <c r="G15" s="317"/>
      <c r="H15" s="317"/>
      <c r="I15" s="436"/>
    </row>
    <row r="16" spans="1:9" ht="19.899999999999999" customHeight="1" x14ac:dyDescent="0.3">
      <c r="A16" s="533">
        <v>105</v>
      </c>
      <c r="B16" s="223" t="s">
        <v>1587</v>
      </c>
      <c r="C16" s="534">
        <v>0</v>
      </c>
      <c r="D16" s="295"/>
      <c r="E16" s="317"/>
      <c r="F16" s="317"/>
      <c r="G16" s="317"/>
      <c r="H16" s="317"/>
      <c r="I16" s="436"/>
    </row>
    <row r="17" spans="1:9" ht="19.899999999999999" customHeight="1" x14ac:dyDescent="0.3">
      <c r="A17" s="302">
        <v>106</v>
      </c>
      <c r="B17" s="223" t="s">
        <v>1588</v>
      </c>
      <c r="C17" s="534">
        <v>0</v>
      </c>
      <c r="D17" s="295"/>
      <c r="E17" s="317"/>
      <c r="F17" s="317"/>
      <c r="G17" s="317"/>
      <c r="H17" s="317"/>
      <c r="I17" s="436"/>
    </row>
    <row r="18" spans="1:9" ht="19.899999999999999" customHeight="1" x14ac:dyDescent="0.3">
      <c r="A18" s="533">
        <v>107</v>
      </c>
      <c r="B18" s="223" t="s">
        <v>1589</v>
      </c>
      <c r="C18" s="534">
        <v>0</v>
      </c>
      <c r="D18" s="295"/>
      <c r="E18" s="317"/>
      <c r="F18" s="317"/>
      <c r="G18" s="317"/>
      <c r="H18" s="317"/>
      <c r="I18" s="436"/>
    </row>
    <row r="19" spans="1:9" ht="19.899999999999999" customHeight="1" x14ac:dyDescent="0.3">
      <c r="A19" s="302">
        <v>108</v>
      </c>
      <c r="B19" s="223" t="s">
        <v>1590</v>
      </c>
      <c r="C19" s="534">
        <v>408</v>
      </c>
      <c r="D19" s="295"/>
      <c r="E19" s="317"/>
      <c r="F19" s="317"/>
      <c r="G19" s="317"/>
      <c r="H19" s="317"/>
      <c r="I19" s="436"/>
    </row>
    <row r="20" spans="1:9" ht="19.899999999999999" customHeight="1" x14ac:dyDescent="0.3">
      <c r="A20" s="533">
        <v>109</v>
      </c>
      <c r="B20" s="223" t="s">
        <v>1591</v>
      </c>
      <c r="C20" s="534">
        <v>0</v>
      </c>
      <c r="D20" s="295"/>
      <c r="E20" s="317"/>
      <c r="F20" s="317"/>
      <c r="G20" s="317"/>
      <c r="H20" s="317"/>
      <c r="I20" s="436"/>
    </row>
    <row r="21" spans="1:9" ht="19.899999999999999" customHeight="1" x14ac:dyDescent="0.3">
      <c r="A21" s="302">
        <v>110</v>
      </c>
      <c r="B21" s="223" t="s">
        <v>1592</v>
      </c>
      <c r="C21" s="534">
        <v>1200</v>
      </c>
      <c r="D21" s="295"/>
      <c r="E21" s="317"/>
      <c r="F21" s="317"/>
      <c r="G21" s="317"/>
      <c r="H21" s="317"/>
      <c r="I21" s="436"/>
    </row>
    <row r="22" spans="1:9" ht="19.899999999999999" customHeight="1" x14ac:dyDescent="0.3">
      <c r="A22" s="302">
        <v>111</v>
      </c>
      <c r="B22" s="223" t="s">
        <v>1593</v>
      </c>
      <c r="C22" s="534">
        <v>552</v>
      </c>
      <c r="D22" s="295"/>
      <c r="E22" s="317"/>
      <c r="F22" s="317"/>
      <c r="G22" s="317"/>
      <c r="H22" s="317"/>
      <c r="I22" s="436"/>
    </row>
    <row r="23" spans="1:9" ht="19.899999999999999" customHeight="1" x14ac:dyDescent="0.3">
      <c r="A23" s="533">
        <v>112</v>
      </c>
      <c r="B23" s="223" t="s">
        <v>1594</v>
      </c>
      <c r="C23" s="534">
        <v>360</v>
      </c>
      <c r="D23" s="295"/>
      <c r="E23" s="317"/>
      <c r="F23" s="317"/>
      <c r="G23" s="317"/>
      <c r="H23" s="317"/>
      <c r="I23" s="436"/>
    </row>
    <row r="24" spans="1:9" ht="19.899999999999999" customHeight="1" x14ac:dyDescent="0.3">
      <c r="A24" s="533">
        <v>113</v>
      </c>
      <c r="B24" s="223" t="s">
        <v>1595</v>
      </c>
      <c r="C24" s="534">
        <v>360</v>
      </c>
      <c r="D24" s="295"/>
      <c r="E24" s="317"/>
      <c r="F24" s="317"/>
      <c r="G24" s="317"/>
      <c r="H24" s="317"/>
      <c r="I24" s="436"/>
    </row>
    <row r="25" spans="1:9" ht="19.899999999999999" customHeight="1" x14ac:dyDescent="0.3">
      <c r="A25" s="302">
        <v>114</v>
      </c>
      <c r="B25" s="223" t="s">
        <v>1596</v>
      </c>
      <c r="C25" s="534">
        <v>264</v>
      </c>
      <c r="D25" s="295"/>
      <c r="E25" s="317"/>
      <c r="F25" s="317"/>
      <c r="G25" s="317"/>
      <c r="H25" s="317"/>
      <c r="I25" s="436"/>
    </row>
    <row r="26" spans="1:9" ht="19.899999999999999" customHeight="1" x14ac:dyDescent="0.3">
      <c r="A26" s="302">
        <v>115</v>
      </c>
      <c r="B26" s="223" t="s">
        <v>1597</v>
      </c>
      <c r="C26" s="534">
        <v>312</v>
      </c>
      <c r="D26" s="295"/>
      <c r="E26" s="317"/>
      <c r="F26" s="317"/>
      <c r="G26" s="317"/>
      <c r="H26" s="317"/>
      <c r="I26" s="436"/>
    </row>
    <row r="27" spans="1:9" ht="19.899999999999999" customHeight="1" x14ac:dyDescent="0.3">
      <c r="A27" s="533">
        <v>116</v>
      </c>
      <c r="B27" s="223" t="s">
        <v>1598</v>
      </c>
      <c r="C27" s="534">
        <v>600</v>
      </c>
      <c r="D27" s="295"/>
      <c r="E27" s="317"/>
      <c r="F27" s="317"/>
      <c r="G27" s="317"/>
      <c r="H27" s="317"/>
      <c r="I27" s="436"/>
    </row>
    <row r="28" spans="1:9" ht="19.899999999999999" customHeight="1" x14ac:dyDescent="0.3">
      <c r="A28" s="533">
        <v>117</v>
      </c>
      <c r="B28" s="223" t="s">
        <v>1599</v>
      </c>
      <c r="C28" s="534">
        <v>0</v>
      </c>
      <c r="D28" s="295"/>
      <c r="E28" s="317"/>
      <c r="F28" s="317"/>
      <c r="G28" s="317"/>
      <c r="H28" s="317"/>
      <c r="I28" s="436"/>
    </row>
    <row r="29" spans="1:9" ht="19.899999999999999" customHeight="1" x14ac:dyDescent="0.3">
      <c r="A29" s="533">
        <v>118</v>
      </c>
      <c r="B29" s="223" t="s">
        <v>1600</v>
      </c>
      <c r="C29" s="534">
        <v>0</v>
      </c>
      <c r="D29" s="295"/>
      <c r="E29" s="317"/>
      <c r="F29" s="317"/>
      <c r="G29" s="317"/>
      <c r="H29" s="317"/>
      <c r="I29" s="436"/>
    </row>
    <row r="30" spans="1:9" ht="19.899999999999999" customHeight="1" x14ac:dyDescent="0.3">
      <c r="A30" s="533">
        <v>119</v>
      </c>
      <c r="B30" s="223" t="s">
        <v>1601</v>
      </c>
      <c r="C30" s="534">
        <v>600</v>
      </c>
      <c r="D30" s="295"/>
      <c r="E30" s="317"/>
      <c r="F30" s="317"/>
      <c r="G30" s="317"/>
      <c r="H30" s="317"/>
      <c r="I30" s="436"/>
    </row>
    <row r="31" spans="1:9" ht="19.899999999999999" customHeight="1" x14ac:dyDescent="0.3">
      <c r="A31" s="302">
        <v>120</v>
      </c>
      <c r="B31" s="223" t="s">
        <v>1602</v>
      </c>
      <c r="C31" s="534">
        <v>480</v>
      </c>
      <c r="D31" s="295"/>
      <c r="E31" s="317"/>
      <c r="F31" s="317"/>
      <c r="G31" s="317"/>
      <c r="H31" s="317"/>
      <c r="I31" s="436"/>
    </row>
    <row r="32" spans="1:9" ht="19.899999999999999" customHeight="1" x14ac:dyDescent="0.3">
      <c r="A32" s="533">
        <v>121</v>
      </c>
      <c r="B32" s="223" t="s">
        <v>1603</v>
      </c>
      <c r="C32" s="534">
        <v>456</v>
      </c>
      <c r="D32" s="295"/>
      <c r="E32" s="317"/>
      <c r="F32" s="317"/>
      <c r="G32" s="317"/>
      <c r="H32" s="317"/>
      <c r="I32" s="436"/>
    </row>
    <row r="33" spans="1:9" ht="19.899999999999999" customHeight="1" x14ac:dyDescent="0.3">
      <c r="A33" s="533">
        <v>122</v>
      </c>
      <c r="B33" s="223" t="s">
        <v>1604</v>
      </c>
      <c r="C33" s="534">
        <v>0</v>
      </c>
      <c r="D33" s="295"/>
      <c r="E33" s="317"/>
      <c r="F33" s="317"/>
      <c r="G33" s="317"/>
      <c r="H33" s="317"/>
      <c r="I33" s="436"/>
    </row>
    <row r="34" spans="1:9" ht="19.899999999999999" customHeight="1" x14ac:dyDescent="0.3">
      <c r="A34" s="302">
        <v>123</v>
      </c>
      <c r="B34" s="223" t="s">
        <v>1186</v>
      </c>
      <c r="C34" s="534">
        <v>2136</v>
      </c>
      <c r="D34" s="295"/>
      <c r="E34" s="317"/>
      <c r="F34" s="317"/>
      <c r="G34" s="317"/>
      <c r="H34" s="317"/>
      <c r="I34" s="436"/>
    </row>
    <row r="35" spans="1:9" ht="19.899999999999999" customHeight="1" x14ac:dyDescent="0.3">
      <c r="A35" s="533">
        <v>186</v>
      </c>
      <c r="B35" s="223" t="s">
        <v>1605</v>
      </c>
      <c r="C35" s="534">
        <v>1860</v>
      </c>
      <c r="D35" s="295"/>
      <c r="E35" s="317"/>
      <c r="F35" s="317"/>
      <c r="G35" s="317"/>
      <c r="H35" s="317"/>
      <c r="I35" s="436"/>
    </row>
    <row r="36" spans="1:9" ht="19.899999999999999" customHeight="1" x14ac:dyDescent="0.3">
      <c r="A36" s="533">
        <v>193</v>
      </c>
      <c r="B36" s="223" t="s">
        <v>1606</v>
      </c>
      <c r="C36" s="534">
        <v>276</v>
      </c>
      <c r="D36" s="295"/>
      <c r="E36" s="317"/>
      <c r="F36" s="317"/>
      <c r="G36" s="317"/>
      <c r="H36" s="317"/>
      <c r="I36" s="436"/>
    </row>
    <row r="37" spans="1:9" ht="19.899999999999999" customHeight="1" x14ac:dyDescent="0.3">
      <c r="A37" s="302">
        <v>207</v>
      </c>
      <c r="B37" s="223" t="s">
        <v>1045</v>
      </c>
      <c r="C37" s="534">
        <v>600</v>
      </c>
      <c r="D37" s="295"/>
      <c r="E37" s="317"/>
      <c r="F37" s="317"/>
      <c r="G37" s="317"/>
      <c r="H37" s="317"/>
      <c r="I37" s="436"/>
    </row>
    <row r="38" spans="1:9" ht="19.899999999999999" customHeight="1" x14ac:dyDescent="0.3">
      <c r="A38" s="302">
        <v>208</v>
      </c>
      <c r="B38" s="223" t="s">
        <v>1046</v>
      </c>
      <c r="C38" s="534">
        <v>144</v>
      </c>
      <c r="D38" s="295"/>
      <c r="E38" s="317"/>
      <c r="F38" s="317"/>
      <c r="G38" s="317">
        <v>8</v>
      </c>
      <c r="H38" s="317">
        <v>2</v>
      </c>
      <c r="I38" s="442">
        <v>288</v>
      </c>
    </row>
    <row r="39" spans="1:9" ht="19.899999999999999" customHeight="1" x14ac:dyDescent="0.3">
      <c r="A39" s="302">
        <v>220</v>
      </c>
      <c r="B39" s="223" t="s">
        <v>756</v>
      </c>
      <c r="C39" s="534">
        <v>540</v>
      </c>
      <c r="D39" s="433" t="s">
        <v>1300</v>
      </c>
      <c r="E39" s="317"/>
      <c r="F39" s="317"/>
      <c r="G39" s="317"/>
      <c r="H39" s="317"/>
      <c r="I39" s="436"/>
    </row>
    <row r="40" spans="1:9" ht="19.899999999999999" customHeight="1" x14ac:dyDescent="0.3">
      <c r="A40" s="302">
        <v>221</v>
      </c>
      <c r="B40" s="223" t="s">
        <v>757</v>
      </c>
      <c r="C40" s="534">
        <v>396</v>
      </c>
      <c r="D40" s="433" t="s">
        <v>1300</v>
      </c>
      <c r="E40" s="317"/>
      <c r="F40" s="317"/>
      <c r="G40" s="317"/>
      <c r="H40" s="317"/>
      <c r="I40" s="436"/>
    </row>
    <row r="41" spans="1:9" ht="19.899999999999999" customHeight="1" x14ac:dyDescent="0.3">
      <c r="A41" s="302">
        <v>222</v>
      </c>
      <c r="B41" s="223" t="s">
        <v>758</v>
      </c>
      <c r="C41" s="534">
        <v>600</v>
      </c>
      <c r="D41" s="433" t="s">
        <v>1300</v>
      </c>
      <c r="E41" s="317"/>
      <c r="F41" s="317"/>
      <c r="G41" s="317"/>
      <c r="H41" s="317"/>
      <c r="I41" s="436"/>
    </row>
    <row r="42" spans="1:9" ht="19.899999999999999" customHeight="1" x14ac:dyDescent="0.3">
      <c r="A42" s="302">
        <v>223</v>
      </c>
      <c r="B42" s="223" t="s">
        <v>759</v>
      </c>
      <c r="C42" s="534">
        <v>276</v>
      </c>
      <c r="D42" s="433" t="s">
        <v>1300</v>
      </c>
      <c r="E42" s="317"/>
      <c r="F42" s="317"/>
      <c r="G42" s="317"/>
      <c r="H42" s="317"/>
      <c r="I42" s="436"/>
    </row>
    <row r="43" spans="1:9" ht="19.899999999999999" customHeight="1" x14ac:dyDescent="0.3">
      <c r="A43" s="302">
        <v>224</v>
      </c>
      <c r="B43" s="223" t="s">
        <v>760</v>
      </c>
      <c r="C43" s="534">
        <v>588</v>
      </c>
      <c r="D43" s="433" t="s">
        <v>1300</v>
      </c>
      <c r="E43" s="317"/>
      <c r="F43" s="317"/>
      <c r="G43" s="317"/>
      <c r="H43" s="317"/>
      <c r="I43" s="436"/>
    </row>
    <row r="44" spans="1:9" ht="19.899999999999999" customHeight="1" x14ac:dyDescent="0.3">
      <c r="A44" s="302">
        <v>225</v>
      </c>
      <c r="B44" s="223" t="s">
        <v>761</v>
      </c>
      <c r="C44" s="534">
        <v>2400</v>
      </c>
      <c r="D44" s="433" t="s">
        <v>1300</v>
      </c>
      <c r="E44" s="317"/>
      <c r="F44" s="317"/>
      <c r="G44" s="317"/>
      <c r="H44" s="317"/>
      <c r="I44" s="436"/>
    </row>
    <row r="45" spans="1:9" ht="19.899999999999999" customHeight="1" x14ac:dyDescent="0.3">
      <c r="A45" s="302">
        <v>229</v>
      </c>
      <c r="B45" s="223" t="s">
        <v>762</v>
      </c>
      <c r="C45" s="534">
        <v>1008</v>
      </c>
      <c r="D45" s="295"/>
      <c r="E45" s="317"/>
      <c r="F45" s="317"/>
      <c r="G45" s="317"/>
      <c r="H45" s="317"/>
      <c r="I45" s="436"/>
    </row>
    <row r="46" spans="1:9" ht="19.899999999999999" customHeight="1" x14ac:dyDescent="0.3">
      <c r="A46" s="302">
        <v>246</v>
      </c>
      <c r="B46" s="223" t="s">
        <v>763</v>
      </c>
      <c r="C46" s="534">
        <v>120</v>
      </c>
      <c r="D46" s="295"/>
      <c r="E46" s="317" t="s">
        <v>1309</v>
      </c>
      <c r="F46" s="317" t="s">
        <v>1300</v>
      </c>
      <c r="G46" s="317"/>
      <c r="H46" s="317"/>
      <c r="I46" s="436"/>
    </row>
    <row r="47" spans="1:9" ht="19.899999999999999" customHeight="1" x14ac:dyDescent="0.3">
      <c r="A47" s="302">
        <v>248</v>
      </c>
      <c r="B47" s="223" t="s">
        <v>764</v>
      </c>
      <c r="C47" s="534">
        <v>924</v>
      </c>
      <c r="D47" s="433" t="s">
        <v>1300</v>
      </c>
      <c r="E47" s="317"/>
      <c r="F47" s="317"/>
      <c r="G47" s="317"/>
      <c r="H47" s="317"/>
      <c r="I47" s="436"/>
    </row>
    <row r="48" spans="1:9" ht="19.899999999999999" customHeight="1" x14ac:dyDescent="0.3">
      <c r="A48" s="302">
        <v>280</v>
      </c>
      <c r="B48" s="223" t="s">
        <v>628</v>
      </c>
      <c r="C48" s="534">
        <v>1300</v>
      </c>
      <c r="D48" s="295"/>
      <c r="E48" s="317"/>
      <c r="F48" s="317"/>
      <c r="G48" s="317"/>
      <c r="H48" s="317"/>
      <c r="I48" s="436"/>
    </row>
    <row r="49" spans="1:9" ht="19.899999999999999" customHeight="1" x14ac:dyDescent="0.3">
      <c r="A49" s="302">
        <v>299</v>
      </c>
      <c r="B49" s="223" t="s">
        <v>580</v>
      </c>
      <c r="C49" s="534">
        <v>324</v>
      </c>
      <c r="D49" s="295"/>
      <c r="E49" s="317"/>
      <c r="F49" s="317"/>
      <c r="G49" s="317">
        <v>8</v>
      </c>
      <c r="H49" s="317">
        <v>2</v>
      </c>
      <c r="I49" s="442">
        <v>240</v>
      </c>
    </row>
    <row r="50" spans="1:9" ht="19.899999999999999" customHeight="1" x14ac:dyDescent="0.3">
      <c r="A50" s="302">
        <v>312</v>
      </c>
      <c r="B50" s="223" t="s">
        <v>765</v>
      </c>
      <c r="C50" s="534">
        <v>204</v>
      </c>
      <c r="D50" s="295"/>
      <c r="E50" s="317"/>
      <c r="F50" s="317"/>
      <c r="G50" s="317">
        <v>8</v>
      </c>
      <c r="H50" s="317">
        <v>1</v>
      </c>
      <c r="I50" s="442">
        <v>300</v>
      </c>
    </row>
    <row r="51" spans="1:9" ht="19.899999999999999" customHeight="1" x14ac:dyDescent="0.3">
      <c r="A51" s="302">
        <v>315</v>
      </c>
      <c r="B51" s="223" t="s">
        <v>766</v>
      </c>
      <c r="C51" s="534">
        <v>4500</v>
      </c>
      <c r="D51" s="433" t="s">
        <v>1300</v>
      </c>
      <c r="E51" s="317"/>
      <c r="F51" s="317"/>
      <c r="G51" s="317"/>
      <c r="H51" s="317"/>
      <c r="I51" s="436"/>
    </row>
    <row r="52" spans="1:9" ht="19.899999999999999" customHeight="1" x14ac:dyDescent="0.3">
      <c r="A52" s="302">
        <v>321</v>
      </c>
      <c r="B52" s="223" t="s">
        <v>767</v>
      </c>
      <c r="C52" s="534">
        <v>3120</v>
      </c>
      <c r="D52" s="433" t="s">
        <v>1300</v>
      </c>
      <c r="E52" s="317"/>
      <c r="F52" s="317"/>
      <c r="G52" s="317"/>
      <c r="H52" s="317"/>
      <c r="I52" s="436"/>
    </row>
    <row r="53" spans="1:9" ht="19.899999999999999" customHeight="1" x14ac:dyDescent="0.3">
      <c r="A53" s="302">
        <v>322</v>
      </c>
      <c r="B53" s="223" t="s">
        <v>768</v>
      </c>
      <c r="C53" s="534">
        <v>0</v>
      </c>
      <c r="D53" s="295"/>
      <c r="E53" s="317"/>
      <c r="F53" s="317"/>
      <c r="G53" s="317"/>
      <c r="H53" s="317"/>
      <c r="I53" s="436"/>
    </row>
    <row r="54" spans="1:9" ht="19.899999999999999" customHeight="1" x14ac:dyDescent="0.3">
      <c r="A54" s="302">
        <v>323</v>
      </c>
      <c r="B54" s="223" t="s">
        <v>769</v>
      </c>
      <c r="C54" s="534">
        <v>264</v>
      </c>
      <c r="D54" s="295"/>
      <c r="E54" s="317"/>
      <c r="F54" s="317"/>
      <c r="G54" s="317"/>
      <c r="H54" s="317"/>
      <c r="I54" s="436"/>
    </row>
    <row r="55" spans="1:9" ht="19.899999999999999" customHeight="1" x14ac:dyDescent="0.3">
      <c r="A55" s="302">
        <v>324</v>
      </c>
      <c r="B55" s="223" t="s">
        <v>770</v>
      </c>
      <c r="C55" s="534">
        <v>0</v>
      </c>
      <c r="D55" s="295"/>
      <c r="E55" s="317"/>
      <c r="F55" s="317"/>
      <c r="G55" s="317"/>
      <c r="H55" s="317"/>
      <c r="I55" s="436"/>
    </row>
    <row r="56" spans="1:9" ht="19.899999999999999" customHeight="1" x14ac:dyDescent="0.3">
      <c r="A56" s="302">
        <v>325</v>
      </c>
      <c r="B56" s="223" t="s">
        <v>771</v>
      </c>
      <c r="C56" s="534">
        <v>2256</v>
      </c>
      <c r="D56" s="433" t="s">
        <v>1300</v>
      </c>
      <c r="E56" s="317"/>
      <c r="F56" s="317"/>
      <c r="G56" s="317"/>
      <c r="H56" s="317"/>
      <c r="I56" s="436"/>
    </row>
    <row r="57" spans="1:9" ht="19.899999999999999" customHeight="1" x14ac:dyDescent="0.3">
      <c r="A57" s="302">
        <v>326</v>
      </c>
      <c r="B57" s="223" t="s">
        <v>772</v>
      </c>
      <c r="C57" s="534">
        <v>144</v>
      </c>
      <c r="D57" s="433" t="s">
        <v>1300</v>
      </c>
      <c r="E57" s="317"/>
      <c r="F57" s="317"/>
      <c r="G57" s="317"/>
      <c r="H57" s="317"/>
      <c r="I57" s="436"/>
    </row>
    <row r="58" spans="1:9" ht="19.899999999999999" customHeight="1" x14ac:dyDescent="0.3">
      <c r="A58" s="302">
        <v>332</v>
      </c>
      <c r="B58" s="223" t="s">
        <v>773</v>
      </c>
      <c r="C58" s="534">
        <v>264</v>
      </c>
      <c r="D58" s="433" t="s">
        <v>1300</v>
      </c>
      <c r="E58" s="317"/>
      <c r="F58" s="317"/>
      <c r="G58" s="317"/>
      <c r="H58" s="317"/>
      <c r="I58" s="436"/>
    </row>
    <row r="59" spans="1:9" ht="19.899999999999999" customHeight="1" x14ac:dyDescent="0.3">
      <c r="A59" s="302">
        <v>333</v>
      </c>
      <c r="B59" s="223" t="s">
        <v>774</v>
      </c>
      <c r="C59" s="534">
        <v>288</v>
      </c>
      <c r="D59" s="433" t="s">
        <v>1300</v>
      </c>
      <c r="E59" s="317"/>
      <c r="F59" s="317"/>
      <c r="G59" s="317"/>
      <c r="H59" s="317"/>
      <c r="I59" s="436"/>
    </row>
    <row r="60" spans="1:9" ht="19.899999999999999" customHeight="1" x14ac:dyDescent="0.3">
      <c r="A60" s="302">
        <v>334</v>
      </c>
      <c r="B60" s="223" t="s">
        <v>775</v>
      </c>
      <c r="C60" s="534">
        <v>192</v>
      </c>
      <c r="D60" s="433" t="s">
        <v>1300</v>
      </c>
      <c r="E60" s="317"/>
      <c r="F60" s="317"/>
      <c r="G60" s="317"/>
      <c r="H60" s="317"/>
      <c r="I60" s="436"/>
    </row>
    <row r="61" spans="1:9" ht="19.899999999999999" customHeight="1" x14ac:dyDescent="0.3">
      <c r="A61" s="302">
        <v>335</v>
      </c>
      <c r="B61" s="223" t="s">
        <v>776</v>
      </c>
      <c r="C61" s="534">
        <v>120</v>
      </c>
      <c r="D61" s="433" t="s">
        <v>1300</v>
      </c>
      <c r="E61" s="317"/>
      <c r="F61" s="317"/>
      <c r="G61" s="317"/>
      <c r="H61" s="317"/>
      <c r="I61" s="436"/>
    </row>
    <row r="62" spans="1:9" ht="19.899999999999999" customHeight="1" x14ac:dyDescent="0.3">
      <c r="A62" s="302">
        <v>336</v>
      </c>
      <c r="B62" s="223" t="s">
        <v>777</v>
      </c>
      <c r="C62" s="534">
        <v>216</v>
      </c>
      <c r="D62" s="433" t="s">
        <v>1300</v>
      </c>
      <c r="E62" s="317"/>
      <c r="F62" s="317"/>
      <c r="G62" s="317"/>
      <c r="H62" s="317"/>
      <c r="I62" s="436"/>
    </row>
    <row r="63" spans="1:9" ht="19.899999999999999" customHeight="1" x14ac:dyDescent="0.3">
      <c r="A63" s="302">
        <v>337</v>
      </c>
      <c r="B63" s="223" t="s">
        <v>778</v>
      </c>
      <c r="C63" s="534">
        <v>96</v>
      </c>
      <c r="D63" s="433" t="s">
        <v>1300</v>
      </c>
      <c r="E63" s="317"/>
      <c r="F63" s="317"/>
      <c r="G63" s="317"/>
      <c r="H63" s="317"/>
      <c r="I63" s="436"/>
    </row>
    <row r="64" spans="1:9" ht="19.899999999999999" customHeight="1" x14ac:dyDescent="0.3">
      <c r="A64" s="302">
        <v>338</v>
      </c>
      <c r="B64" s="223" t="s">
        <v>779</v>
      </c>
      <c r="C64" s="534">
        <v>240</v>
      </c>
      <c r="D64" s="433" t="s">
        <v>1300</v>
      </c>
      <c r="E64" s="317"/>
      <c r="F64" s="317"/>
      <c r="G64" s="317"/>
      <c r="H64" s="317"/>
      <c r="I64" s="436"/>
    </row>
    <row r="65" spans="1:9" ht="19.899999999999999" customHeight="1" x14ac:dyDescent="0.3">
      <c r="A65" s="302">
        <v>339</v>
      </c>
      <c r="B65" s="223" t="s">
        <v>1047</v>
      </c>
      <c r="C65" s="534">
        <v>0</v>
      </c>
      <c r="D65" s="295"/>
      <c r="E65" s="317"/>
      <c r="F65" s="317"/>
      <c r="G65" s="317"/>
      <c r="H65" s="317"/>
      <c r="I65" s="436"/>
    </row>
    <row r="66" spans="1:9" ht="19.899999999999999" customHeight="1" x14ac:dyDescent="0.3">
      <c r="A66" s="302">
        <v>355</v>
      </c>
      <c r="B66" s="223" t="s">
        <v>780</v>
      </c>
      <c r="C66" s="534">
        <v>720</v>
      </c>
      <c r="D66" s="433" t="s">
        <v>1300</v>
      </c>
      <c r="E66" s="317"/>
      <c r="F66" s="317"/>
      <c r="G66" s="317"/>
      <c r="H66" s="317"/>
      <c r="I66" s="436"/>
    </row>
    <row r="67" spans="1:9" ht="19.899999999999999" customHeight="1" x14ac:dyDescent="0.3">
      <c r="A67" s="302">
        <v>389</v>
      </c>
      <c r="B67" s="223" t="s">
        <v>1048</v>
      </c>
      <c r="C67" s="534">
        <v>0</v>
      </c>
      <c r="D67" s="295"/>
      <c r="E67" s="317"/>
      <c r="F67" s="317"/>
      <c r="G67" s="317"/>
      <c r="H67" s="317"/>
      <c r="I67" s="436"/>
    </row>
    <row r="68" spans="1:9" ht="19.899999999999999" customHeight="1" x14ac:dyDescent="0.3">
      <c r="A68" s="302">
        <v>390</v>
      </c>
      <c r="B68" s="223" t="s">
        <v>781</v>
      </c>
      <c r="C68" s="534">
        <v>120</v>
      </c>
      <c r="D68" s="433" t="s">
        <v>1300</v>
      </c>
      <c r="E68" s="317"/>
      <c r="F68" s="317"/>
      <c r="G68" s="317"/>
      <c r="H68" s="317"/>
      <c r="I68" s="436"/>
    </row>
    <row r="69" spans="1:9" ht="19.899999999999999" customHeight="1" x14ac:dyDescent="0.3">
      <c r="A69" s="302">
        <v>391</v>
      </c>
      <c r="B69" s="223" t="s">
        <v>782</v>
      </c>
      <c r="C69" s="534">
        <v>192</v>
      </c>
      <c r="D69" s="433" t="s">
        <v>1300</v>
      </c>
      <c r="E69" s="317"/>
      <c r="F69" s="317"/>
      <c r="G69" s="317"/>
      <c r="H69" s="317"/>
      <c r="I69" s="436"/>
    </row>
    <row r="70" spans="1:9" ht="19.899999999999999" customHeight="1" x14ac:dyDescent="0.3">
      <c r="A70" s="302">
        <v>392</v>
      </c>
      <c r="B70" s="223" t="s">
        <v>783</v>
      </c>
      <c r="C70" s="534">
        <v>312</v>
      </c>
      <c r="D70" s="433" t="s">
        <v>1300</v>
      </c>
      <c r="E70" s="317"/>
      <c r="F70" s="317"/>
      <c r="G70" s="317"/>
      <c r="H70" s="317"/>
      <c r="I70" s="436"/>
    </row>
    <row r="71" spans="1:9" ht="19.899999999999999" customHeight="1" x14ac:dyDescent="0.3">
      <c r="A71" s="302">
        <v>393</v>
      </c>
      <c r="B71" s="223" t="s">
        <v>784</v>
      </c>
      <c r="C71" s="534">
        <v>312</v>
      </c>
      <c r="D71" s="433" t="s">
        <v>1300</v>
      </c>
      <c r="E71" s="317"/>
      <c r="F71" s="317"/>
      <c r="G71" s="317"/>
      <c r="H71" s="317"/>
      <c r="I71" s="436"/>
    </row>
    <row r="72" spans="1:9" ht="19.899999999999999" customHeight="1" x14ac:dyDescent="0.3">
      <c r="A72" s="302">
        <v>394</v>
      </c>
      <c r="B72" s="223" t="s">
        <v>785</v>
      </c>
      <c r="C72" s="534">
        <v>360</v>
      </c>
      <c r="D72" s="433" t="s">
        <v>1300</v>
      </c>
      <c r="E72" s="317"/>
      <c r="F72" s="317"/>
      <c r="G72" s="317"/>
      <c r="H72" s="317"/>
      <c r="I72" s="436"/>
    </row>
    <row r="73" spans="1:9" ht="19.899999999999999" customHeight="1" x14ac:dyDescent="0.3">
      <c r="A73" s="302">
        <v>395</v>
      </c>
      <c r="B73" s="223" t="s">
        <v>786</v>
      </c>
      <c r="C73" s="534">
        <v>600</v>
      </c>
      <c r="D73" s="295"/>
      <c r="E73" s="317"/>
      <c r="F73" s="317"/>
      <c r="G73" s="317">
        <v>10</v>
      </c>
      <c r="H73" s="317">
        <v>2</v>
      </c>
      <c r="I73" s="442">
        <v>720</v>
      </c>
    </row>
    <row r="74" spans="1:9" ht="19.899999999999999" customHeight="1" x14ac:dyDescent="0.3">
      <c r="A74" s="302">
        <v>396</v>
      </c>
      <c r="B74" s="223" t="s">
        <v>787</v>
      </c>
      <c r="C74" s="534">
        <v>180</v>
      </c>
      <c r="D74" s="295"/>
      <c r="E74" s="317"/>
      <c r="F74" s="317"/>
      <c r="G74" s="317">
        <v>10</v>
      </c>
      <c r="H74" s="317">
        <v>2</v>
      </c>
      <c r="I74" s="442">
        <v>192</v>
      </c>
    </row>
    <row r="75" spans="1:9" ht="19.899999999999999" customHeight="1" x14ac:dyDescent="0.3">
      <c r="A75" s="302">
        <v>498</v>
      </c>
      <c r="B75" s="223" t="s">
        <v>1049</v>
      </c>
      <c r="C75" s="534">
        <v>144</v>
      </c>
      <c r="D75" s="295"/>
      <c r="E75" s="317"/>
      <c r="F75" s="317"/>
      <c r="G75" s="317">
        <v>8</v>
      </c>
      <c r="H75" s="317">
        <v>2</v>
      </c>
      <c r="I75" s="442">
        <v>96</v>
      </c>
    </row>
    <row r="76" spans="1:9" ht="19.899999999999999" customHeight="1" x14ac:dyDescent="0.3">
      <c r="A76" s="302">
        <v>499</v>
      </c>
      <c r="B76" s="223" t="s">
        <v>656</v>
      </c>
      <c r="C76" s="534">
        <v>144</v>
      </c>
      <c r="D76" s="295"/>
      <c r="E76" s="317"/>
      <c r="F76" s="317"/>
      <c r="G76" s="317">
        <v>8</v>
      </c>
      <c r="H76" s="317">
        <v>2</v>
      </c>
      <c r="I76" s="442">
        <v>200</v>
      </c>
    </row>
    <row r="77" spans="1:9" ht="19.899999999999999" customHeight="1" x14ac:dyDescent="0.3">
      <c r="A77" s="302">
        <v>500</v>
      </c>
      <c r="B77" s="223" t="s">
        <v>568</v>
      </c>
      <c r="C77" s="534">
        <v>1440</v>
      </c>
      <c r="D77" s="295"/>
      <c r="E77" s="317"/>
      <c r="F77" s="317"/>
      <c r="G77" s="317"/>
      <c r="H77" s="317"/>
      <c r="I77" s="436"/>
    </row>
    <row r="78" spans="1:9" ht="19.899999999999999" customHeight="1" x14ac:dyDescent="0.3">
      <c r="A78" s="302">
        <v>501</v>
      </c>
      <c r="B78" s="223" t="s">
        <v>788</v>
      </c>
      <c r="C78" s="534">
        <v>6912</v>
      </c>
      <c r="D78" s="295"/>
      <c r="E78" s="317"/>
      <c r="F78" s="317"/>
      <c r="G78" s="317">
        <v>10</v>
      </c>
      <c r="H78" s="317">
        <v>1</v>
      </c>
      <c r="I78" s="442">
        <v>5000</v>
      </c>
    </row>
    <row r="79" spans="1:9" ht="19.899999999999999" customHeight="1" x14ac:dyDescent="0.3">
      <c r="A79" s="302">
        <v>502</v>
      </c>
      <c r="B79" s="223" t="s">
        <v>789</v>
      </c>
      <c r="C79" s="534">
        <v>5796</v>
      </c>
      <c r="D79" s="295"/>
      <c r="E79" s="317"/>
      <c r="F79" s="317"/>
      <c r="G79" s="317" t="s">
        <v>1518</v>
      </c>
      <c r="H79" s="317">
        <v>1</v>
      </c>
      <c r="I79" s="442">
        <v>5200</v>
      </c>
    </row>
    <row r="80" spans="1:9" ht="19.899999999999999" customHeight="1" x14ac:dyDescent="0.3">
      <c r="A80" s="302">
        <v>504</v>
      </c>
      <c r="B80" s="223" t="s">
        <v>790</v>
      </c>
      <c r="C80" s="534">
        <v>6996</v>
      </c>
      <c r="D80" s="295"/>
      <c r="E80" s="317"/>
      <c r="F80" s="317"/>
      <c r="G80" s="317">
        <v>10</v>
      </c>
      <c r="H80" s="317">
        <v>1</v>
      </c>
      <c r="I80" s="442">
        <v>6500</v>
      </c>
    </row>
    <row r="81" spans="1:9" ht="19.899999999999999" customHeight="1" x14ac:dyDescent="0.3">
      <c r="A81" s="302">
        <v>505</v>
      </c>
      <c r="B81" s="223" t="s">
        <v>791</v>
      </c>
      <c r="C81" s="534">
        <v>30000</v>
      </c>
      <c r="D81" s="295"/>
      <c r="E81" s="317"/>
      <c r="F81" s="317"/>
      <c r="G81" s="317"/>
      <c r="H81" s="317"/>
      <c r="I81" s="436"/>
    </row>
    <row r="82" spans="1:9" ht="19.899999999999999" customHeight="1" x14ac:dyDescent="0.3">
      <c r="A82" s="302">
        <v>506</v>
      </c>
      <c r="B82" s="223" t="s">
        <v>792</v>
      </c>
      <c r="C82" s="534">
        <v>18840</v>
      </c>
      <c r="D82" s="295"/>
      <c r="E82" s="317"/>
      <c r="F82" s="317"/>
      <c r="G82" s="317"/>
      <c r="H82" s="317"/>
      <c r="I82" s="436"/>
    </row>
    <row r="83" spans="1:9" ht="19.899999999999999" customHeight="1" x14ac:dyDescent="0.3">
      <c r="A83" s="302">
        <v>507</v>
      </c>
      <c r="B83" s="223" t="s">
        <v>793</v>
      </c>
      <c r="C83" s="534">
        <v>792</v>
      </c>
      <c r="D83" s="295"/>
      <c r="E83" s="317"/>
      <c r="F83" s="317"/>
      <c r="G83" s="317">
        <v>10</v>
      </c>
      <c r="H83" s="317">
        <v>1</v>
      </c>
      <c r="I83" s="442">
        <v>400</v>
      </c>
    </row>
    <row r="84" spans="1:9" ht="19.899999999999999" customHeight="1" x14ac:dyDescent="0.3">
      <c r="A84" s="302">
        <v>508</v>
      </c>
      <c r="B84" s="223" t="s">
        <v>794</v>
      </c>
      <c r="C84" s="534">
        <v>420</v>
      </c>
      <c r="D84" s="295"/>
      <c r="E84" s="317"/>
      <c r="F84" s="317"/>
      <c r="G84" s="317">
        <v>8</v>
      </c>
      <c r="H84" s="317">
        <v>1</v>
      </c>
      <c r="I84" s="442">
        <v>400</v>
      </c>
    </row>
    <row r="85" spans="1:9" ht="19.899999999999999" customHeight="1" x14ac:dyDescent="0.3">
      <c r="A85" s="302">
        <v>509</v>
      </c>
      <c r="B85" s="223" t="s">
        <v>795</v>
      </c>
      <c r="C85" s="534">
        <v>192</v>
      </c>
      <c r="D85" s="295"/>
      <c r="E85" s="317"/>
      <c r="F85" s="317"/>
      <c r="G85" s="317"/>
      <c r="H85" s="317"/>
      <c r="I85" s="436"/>
    </row>
    <row r="86" spans="1:9" ht="19.899999999999999" customHeight="1" x14ac:dyDescent="0.3">
      <c r="A86" s="302">
        <v>510</v>
      </c>
      <c r="B86" s="223" t="s">
        <v>838</v>
      </c>
      <c r="C86" s="534">
        <v>6456</v>
      </c>
      <c r="D86" s="295"/>
      <c r="E86" s="317"/>
      <c r="F86" s="317"/>
      <c r="G86" s="317"/>
      <c r="H86" s="317"/>
      <c r="I86" s="436"/>
    </row>
    <row r="87" spans="1:9" ht="19.899999999999999" customHeight="1" x14ac:dyDescent="0.3">
      <c r="A87" s="302">
        <v>511</v>
      </c>
      <c r="B87" s="223" t="s">
        <v>796</v>
      </c>
      <c r="C87" s="534">
        <v>484</v>
      </c>
      <c r="D87" s="295"/>
      <c r="E87" s="317"/>
      <c r="F87" s="317"/>
      <c r="G87" s="317">
        <v>10</v>
      </c>
      <c r="H87" s="317">
        <v>2</v>
      </c>
      <c r="I87" s="442">
        <v>1200</v>
      </c>
    </row>
    <row r="88" spans="1:9" ht="19.899999999999999" customHeight="1" x14ac:dyDescent="0.3">
      <c r="A88" s="302">
        <v>512</v>
      </c>
      <c r="B88" s="223" t="s">
        <v>797</v>
      </c>
      <c r="C88" s="534">
        <v>1656</v>
      </c>
      <c r="D88" s="295"/>
      <c r="E88" s="317"/>
      <c r="F88" s="317"/>
      <c r="G88" s="317" t="s">
        <v>1518</v>
      </c>
      <c r="H88" s="317">
        <v>1</v>
      </c>
      <c r="I88" s="442">
        <v>1500</v>
      </c>
    </row>
    <row r="89" spans="1:9" ht="19.899999999999999" customHeight="1" x14ac:dyDescent="0.3">
      <c r="A89" s="302">
        <v>513</v>
      </c>
      <c r="B89" s="223" t="s">
        <v>798</v>
      </c>
      <c r="C89" s="534">
        <v>18204</v>
      </c>
      <c r="D89" s="295"/>
      <c r="E89" s="317"/>
      <c r="F89" s="317"/>
      <c r="G89" s="317"/>
      <c r="H89" s="317"/>
      <c r="I89" s="436"/>
    </row>
    <row r="90" spans="1:9" ht="19.899999999999999" customHeight="1" x14ac:dyDescent="0.3">
      <c r="A90" s="302">
        <v>515</v>
      </c>
      <c r="B90" s="223" t="s">
        <v>799</v>
      </c>
      <c r="C90" s="534">
        <v>441.6</v>
      </c>
      <c r="D90" s="295"/>
      <c r="E90" s="317"/>
      <c r="F90" s="317"/>
      <c r="G90" s="317"/>
      <c r="H90" s="317"/>
      <c r="I90" s="436"/>
    </row>
    <row r="91" spans="1:9" ht="19.899999999999999" customHeight="1" x14ac:dyDescent="0.3">
      <c r="A91" s="302">
        <v>516</v>
      </c>
      <c r="B91" s="223" t="s">
        <v>800</v>
      </c>
      <c r="C91" s="534">
        <v>500</v>
      </c>
      <c r="D91" s="295"/>
      <c r="E91" s="317"/>
      <c r="F91" s="317"/>
      <c r="G91" s="317"/>
      <c r="H91" s="317"/>
      <c r="I91" s="436"/>
    </row>
    <row r="92" spans="1:9" ht="19.899999999999999" customHeight="1" x14ac:dyDescent="0.3">
      <c r="A92" s="302">
        <v>518</v>
      </c>
      <c r="B92" s="223" t="s">
        <v>801</v>
      </c>
      <c r="C92" s="534">
        <v>780</v>
      </c>
      <c r="D92" s="295"/>
      <c r="E92" s="317"/>
      <c r="F92" s="317"/>
      <c r="G92" s="317">
        <v>16</v>
      </c>
      <c r="H92" s="317">
        <v>2</v>
      </c>
      <c r="I92" s="442">
        <v>1100</v>
      </c>
    </row>
    <row r="93" spans="1:9" ht="19.899999999999999" customHeight="1" x14ac:dyDescent="0.3">
      <c r="A93" s="302">
        <v>519</v>
      </c>
      <c r="B93" s="223" t="s">
        <v>1224</v>
      </c>
      <c r="C93" s="534">
        <v>600</v>
      </c>
      <c r="D93" s="295"/>
      <c r="E93" s="317"/>
      <c r="F93" s="317"/>
      <c r="G93" s="317">
        <v>12</v>
      </c>
      <c r="H93" s="317">
        <v>4</v>
      </c>
      <c r="I93" s="442">
        <v>2400</v>
      </c>
    </row>
    <row r="94" spans="1:9" ht="19.899999999999999" customHeight="1" x14ac:dyDescent="0.3">
      <c r="A94" s="302">
        <v>519</v>
      </c>
      <c r="B94" s="223" t="s">
        <v>1050</v>
      </c>
      <c r="C94" s="534">
        <v>600</v>
      </c>
      <c r="D94" s="295"/>
      <c r="E94" s="317"/>
      <c r="F94" s="317"/>
      <c r="G94" s="317">
        <v>12</v>
      </c>
      <c r="H94" s="317">
        <v>4</v>
      </c>
      <c r="I94" s="442">
        <v>2400</v>
      </c>
    </row>
    <row r="95" spans="1:9" ht="19.899999999999999" customHeight="1" x14ac:dyDescent="0.3">
      <c r="A95" s="302">
        <v>520</v>
      </c>
      <c r="B95" s="223" t="s">
        <v>802</v>
      </c>
      <c r="C95" s="534">
        <v>3120</v>
      </c>
      <c r="D95" s="295"/>
      <c r="E95" s="317"/>
      <c r="F95" s="317"/>
      <c r="G95" s="317">
        <v>10</v>
      </c>
      <c r="H95" s="317">
        <v>2</v>
      </c>
      <c r="I95" s="442">
        <v>4400</v>
      </c>
    </row>
    <row r="96" spans="1:9" ht="19.899999999999999" customHeight="1" x14ac:dyDescent="0.3">
      <c r="A96" s="302">
        <v>521</v>
      </c>
      <c r="B96" s="223" t="s">
        <v>803</v>
      </c>
      <c r="C96" s="534">
        <v>2220</v>
      </c>
      <c r="D96" s="295"/>
      <c r="E96" s="317"/>
      <c r="F96" s="317"/>
      <c r="G96" s="317">
        <v>10</v>
      </c>
      <c r="H96" s="317">
        <v>2</v>
      </c>
      <c r="I96" s="442">
        <v>3000</v>
      </c>
    </row>
    <row r="97" spans="1:9" ht="19.899999999999999" customHeight="1" x14ac:dyDescent="0.3">
      <c r="A97" s="302">
        <v>523</v>
      </c>
      <c r="B97" s="223" t="s">
        <v>804</v>
      </c>
      <c r="C97" s="534">
        <v>2400</v>
      </c>
      <c r="D97" s="295"/>
      <c r="E97" s="317"/>
      <c r="F97" s="317"/>
      <c r="G97" s="317">
        <v>8</v>
      </c>
      <c r="H97" s="317">
        <v>2</v>
      </c>
      <c r="I97" s="442">
        <v>3216</v>
      </c>
    </row>
    <row r="98" spans="1:9" ht="19.899999999999999" customHeight="1" x14ac:dyDescent="0.3">
      <c r="A98" s="302" t="s">
        <v>1836</v>
      </c>
      <c r="B98" s="223" t="s">
        <v>1271</v>
      </c>
      <c r="C98" s="534">
        <v>1800</v>
      </c>
      <c r="D98" s="295"/>
      <c r="E98" s="317"/>
      <c r="F98" s="317"/>
      <c r="G98" s="317">
        <v>10</v>
      </c>
      <c r="H98" s="317">
        <v>1</v>
      </c>
      <c r="I98" s="442">
        <v>1500</v>
      </c>
    </row>
    <row r="99" spans="1:9" ht="19.899999999999999" customHeight="1" x14ac:dyDescent="0.3">
      <c r="A99" s="302">
        <v>530</v>
      </c>
      <c r="B99" s="223" t="s">
        <v>1223</v>
      </c>
      <c r="C99" s="534">
        <v>3600</v>
      </c>
      <c r="D99" s="295"/>
      <c r="E99" s="317"/>
      <c r="F99" s="317"/>
      <c r="G99" s="317">
        <v>10</v>
      </c>
      <c r="H99" s="317">
        <v>2</v>
      </c>
      <c r="I99" s="442">
        <v>5600</v>
      </c>
    </row>
    <row r="100" spans="1:9" ht="19.899999999999999" customHeight="1" x14ac:dyDescent="0.3">
      <c r="A100" s="302">
        <v>531</v>
      </c>
      <c r="B100" s="223" t="s">
        <v>1199</v>
      </c>
      <c r="C100" s="534">
        <v>1440</v>
      </c>
      <c r="D100" s="295"/>
      <c r="E100" s="317"/>
      <c r="F100" s="317"/>
      <c r="G100" s="317">
        <v>10</v>
      </c>
      <c r="H100" s="317">
        <v>2</v>
      </c>
      <c r="I100" s="442">
        <v>2400</v>
      </c>
    </row>
    <row r="101" spans="1:9" ht="19.899999999999999" customHeight="1" x14ac:dyDescent="0.3">
      <c r="A101" s="302">
        <v>532</v>
      </c>
      <c r="B101" s="223" t="s">
        <v>807</v>
      </c>
      <c r="C101" s="534">
        <v>312</v>
      </c>
      <c r="D101" s="295"/>
      <c r="E101" s="317"/>
      <c r="F101" s="317"/>
      <c r="G101" s="317">
        <v>10</v>
      </c>
      <c r="H101" s="317">
        <v>1</v>
      </c>
      <c r="I101" s="442">
        <v>624</v>
      </c>
    </row>
    <row r="102" spans="1:9" ht="19.899999999999999" customHeight="1" x14ac:dyDescent="0.3">
      <c r="A102" s="302">
        <v>534</v>
      </c>
      <c r="B102" s="223" t="s">
        <v>808</v>
      </c>
      <c r="C102" s="534">
        <v>144</v>
      </c>
      <c r="D102" s="433" t="s">
        <v>1300</v>
      </c>
      <c r="E102" s="317"/>
      <c r="F102" s="317"/>
      <c r="G102" s="317"/>
      <c r="H102" s="317"/>
      <c r="I102" s="436"/>
    </row>
    <row r="103" spans="1:9" ht="19.899999999999999" customHeight="1" x14ac:dyDescent="0.3">
      <c r="A103" s="302">
        <v>535</v>
      </c>
      <c r="B103" s="223" t="s">
        <v>809</v>
      </c>
      <c r="C103" s="534">
        <v>1584</v>
      </c>
      <c r="D103" s="433" t="s">
        <v>1300</v>
      </c>
      <c r="E103" s="317"/>
      <c r="F103" s="317"/>
      <c r="G103" s="317"/>
      <c r="H103" s="317"/>
      <c r="I103" s="436"/>
    </row>
    <row r="104" spans="1:9" ht="19.899999999999999" customHeight="1" x14ac:dyDescent="0.3">
      <c r="A104" s="302">
        <v>542</v>
      </c>
      <c r="B104" s="223" t="s">
        <v>810</v>
      </c>
      <c r="C104" s="534">
        <v>384</v>
      </c>
      <c r="D104" s="295"/>
      <c r="E104" s="317"/>
      <c r="F104" s="317"/>
      <c r="G104" s="317">
        <v>8</v>
      </c>
      <c r="H104" s="317">
        <v>1</v>
      </c>
      <c r="I104" s="442">
        <v>396</v>
      </c>
    </row>
    <row r="105" spans="1:9" ht="19.899999999999999" customHeight="1" x14ac:dyDescent="0.3">
      <c r="A105" s="302">
        <v>543</v>
      </c>
      <c r="B105" s="223" t="s">
        <v>811</v>
      </c>
      <c r="C105" s="534">
        <v>396</v>
      </c>
      <c r="D105" s="295"/>
      <c r="E105" s="317"/>
      <c r="F105" s="317"/>
      <c r="G105" s="317">
        <v>8</v>
      </c>
      <c r="H105" s="317">
        <v>1</v>
      </c>
      <c r="I105" s="442">
        <v>240</v>
      </c>
    </row>
    <row r="106" spans="1:9" ht="19.899999999999999" customHeight="1" x14ac:dyDescent="0.3">
      <c r="A106" s="302">
        <v>544</v>
      </c>
      <c r="B106" s="223" t="s">
        <v>812</v>
      </c>
      <c r="C106" s="534">
        <v>7464</v>
      </c>
      <c r="D106" s="295"/>
      <c r="E106" s="317"/>
      <c r="F106" s="317"/>
      <c r="G106" s="317" t="s">
        <v>1519</v>
      </c>
      <c r="H106" s="317">
        <v>1</v>
      </c>
      <c r="I106" s="442">
        <v>6000</v>
      </c>
    </row>
    <row r="107" spans="1:9" ht="19.899999999999999" customHeight="1" x14ac:dyDescent="0.3">
      <c r="A107" s="302">
        <v>546</v>
      </c>
      <c r="B107" s="223" t="s">
        <v>813</v>
      </c>
      <c r="C107" s="534">
        <v>7200</v>
      </c>
      <c r="D107" s="295"/>
      <c r="E107" s="317"/>
      <c r="F107" s="317"/>
      <c r="G107" s="317">
        <v>10</v>
      </c>
      <c r="H107" s="317">
        <v>1</v>
      </c>
      <c r="I107" s="442">
        <v>6500</v>
      </c>
    </row>
    <row r="108" spans="1:9" ht="19.899999999999999" customHeight="1" x14ac:dyDescent="0.3">
      <c r="A108" s="302">
        <v>547</v>
      </c>
      <c r="B108" s="223" t="s">
        <v>814</v>
      </c>
      <c r="C108" s="534">
        <v>24</v>
      </c>
      <c r="D108" s="295"/>
      <c r="E108" s="317"/>
      <c r="F108" s="317"/>
      <c r="G108" s="317">
        <v>12</v>
      </c>
      <c r="H108" s="317">
        <v>2</v>
      </c>
      <c r="I108" s="442">
        <v>48</v>
      </c>
    </row>
    <row r="109" spans="1:9" ht="19.899999999999999" customHeight="1" x14ac:dyDescent="0.3">
      <c r="A109" s="302">
        <v>548</v>
      </c>
      <c r="B109" s="223" t="s">
        <v>815</v>
      </c>
      <c r="C109" s="534">
        <v>0</v>
      </c>
      <c r="D109" s="295"/>
      <c r="E109" s="317"/>
      <c r="F109" s="317"/>
      <c r="G109" s="317">
        <v>8</v>
      </c>
      <c r="H109" s="317">
        <v>1</v>
      </c>
      <c r="I109" s="442">
        <v>360</v>
      </c>
    </row>
    <row r="110" spans="1:9" ht="19.899999999999999" customHeight="1" x14ac:dyDescent="0.3">
      <c r="A110" s="302">
        <v>550</v>
      </c>
      <c r="B110" s="223" t="s">
        <v>623</v>
      </c>
      <c r="C110" s="534">
        <v>1368</v>
      </c>
      <c r="D110" s="295"/>
      <c r="E110" s="317" t="s">
        <v>1308</v>
      </c>
      <c r="F110" s="317"/>
      <c r="G110" s="317"/>
      <c r="H110" s="317"/>
      <c r="I110" s="436"/>
    </row>
    <row r="111" spans="1:9" ht="19.899999999999999" customHeight="1" x14ac:dyDescent="0.3">
      <c r="A111" s="302">
        <v>551</v>
      </c>
      <c r="B111" s="223" t="s">
        <v>1051</v>
      </c>
      <c r="C111" s="534">
        <v>468</v>
      </c>
      <c r="D111" s="295"/>
      <c r="E111" s="317"/>
      <c r="F111" s="317"/>
      <c r="G111" s="317">
        <v>8</v>
      </c>
      <c r="H111" s="317">
        <v>1</v>
      </c>
      <c r="I111" s="442">
        <v>1000</v>
      </c>
    </row>
    <row r="112" spans="1:9" ht="19.899999999999999" customHeight="1" x14ac:dyDescent="0.3">
      <c r="A112" s="302">
        <v>554</v>
      </c>
      <c r="B112" s="223" t="s">
        <v>816</v>
      </c>
      <c r="C112" s="534">
        <v>192</v>
      </c>
      <c r="D112" s="295"/>
      <c r="E112" s="317"/>
      <c r="F112" s="317"/>
      <c r="G112" s="317"/>
      <c r="H112" s="317"/>
      <c r="I112" s="436"/>
    </row>
    <row r="113" spans="1:9" ht="19.899999999999999" customHeight="1" x14ac:dyDescent="0.3">
      <c r="A113" s="302">
        <v>555</v>
      </c>
      <c r="B113" s="223" t="s">
        <v>817</v>
      </c>
      <c r="C113" s="534">
        <v>1800</v>
      </c>
      <c r="D113" s="295"/>
      <c r="E113" s="317" t="s">
        <v>1308</v>
      </c>
      <c r="F113" s="317"/>
      <c r="G113" s="317"/>
      <c r="H113" s="317"/>
      <c r="I113" s="436"/>
    </row>
    <row r="114" spans="1:9" ht="19.899999999999999" customHeight="1" x14ac:dyDescent="0.3">
      <c r="A114" s="302">
        <v>556</v>
      </c>
      <c r="B114" s="223" t="s">
        <v>818</v>
      </c>
      <c r="C114" s="534">
        <v>24</v>
      </c>
      <c r="D114" s="295"/>
      <c r="E114" s="317"/>
      <c r="F114" s="317"/>
      <c r="G114" s="317">
        <v>8</v>
      </c>
      <c r="H114" s="317">
        <v>1</v>
      </c>
      <c r="I114" s="442">
        <v>24</v>
      </c>
    </row>
    <row r="115" spans="1:9" ht="19.899999999999999" customHeight="1" x14ac:dyDescent="0.3">
      <c r="A115" s="302">
        <v>557</v>
      </c>
      <c r="B115" s="223" t="s">
        <v>532</v>
      </c>
      <c r="C115" s="534">
        <v>1400</v>
      </c>
      <c r="D115" s="295"/>
      <c r="E115" s="317" t="s">
        <v>1308</v>
      </c>
      <c r="F115" s="317"/>
      <c r="G115" s="317"/>
      <c r="H115" s="317"/>
      <c r="I115" s="436"/>
    </row>
    <row r="116" spans="1:9" ht="19.899999999999999" customHeight="1" x14ac:dyDescent="0.3">
      <c r="A116" s="302">
        <v>558</v>
      </c>
      <c r="B116" s="223" t="s">
        <v>533</v>
      </c>
      <c r="C116" s="534">
        <v>2124</v>
      </c>
      <c r="D116" s="295"/>
      <c r="E116" s="317" t="s">
        <v>1308</v>
      </c>
      <c r="F116" s="317"/>
      <c r="G116" s="317"/>
      <c r="H116" s="317"/>
      <c r="I116" s="436"/>
    </row>
    <row r="117" spans="1:9" ht="19.899999999999999" customHeight="1" x14ac:dyDescent="0.3">
      <c r="A117" s="302">
        <v>559</v>
      </c>
      <c r="B117" s="223" t="s">
        <v>819</v>
      </c>
      <c r="C117" s="534">
        <v>996</v>
      </c>
      <c r="D117" s="295"/>
      <c r="E117" s="317"/>
      <c r="F117" s="317"/>
      <c r="G117" s="317">
        <v>8</v>
      </c>
      <c r="H117" s="317">
        <v>1</v>
      </c>
      <c r="I117" s="442">
        <v>800</v>
      </c>
    </row>
    <row r="118" spans="1:9" ht="19.899999999999999" customHeight="1" x14ac:dyDescent="0.3">
      <c r="A118" s="302">
        <v>560</v>
      </c>
      <c r="B118" s="223" t="s">
        <v>820</v>
      </c>
      <c r="C118" s="534">
        <v>660</v>
      </c>
      <c r="D118" s="295"/>
      <c r="E118" s="317"/>
      <c r="F118" s="317"/>
      <c r="G118" s="317">
        <v>8</v>
      </c>
      <c r="H118" s="317">
        <v>2</v>
      </c>
      <c r="I118" s="442">
        <v>960</v>
      </c>
    </row>
    <row r="119" spans="1:9" ht="19.899999999999999" customHeight="1" x14ac:dyDescent="0.3">
      <c r="A119" s="302">
        <v>562</v>
      </c>
      <c r="B119" s="223" t="s">
        <v>1052</v>
      </c>
      <c r="C119" s="534">
        <v>1200</v>
      </c>
      <c r="D119" s="295"/>
      <c r="E119" s="317"/>
      <c r="F119" s="317"/>
      <c r="G119" s="317">
        <v>8</v>
      </c>
      <c r="H119" s="317">
        <v>1</v>
      </c>
      <c r="I119" s="442">
        <v>1000</v>
      </c>
    </row>
    <row r="120" spans="1:9" ht="19.899999999999999" customHeight="1" x14ac:dyDescent="0.3">
      <c r="A120" s="302">
        <v>563</v>
      </c>
      <c r="B120" s="223" t="s">
        <v>1264</v>
      </c>
      <c r="C120" s="534">
        <v>96</v>
      </c>
      <c r="D120" s="295"/>
      <c r="E120" s="317"/>
      <c r="F120" s="317"/>
      <c r="G120" s="317">
        <v>12</v>
      </c>
      <c r="H120" s="317">
        <v>2</v>
      </c>
      <c r="I120" s="442">
        <v>48</v>
      </c>
    </row>
    <row r="121" spans="1:9" ht="19.899999999999999" customHeight="1" x14ac:dyDescent="0.3">
      <c r="A121" s="302">
        <v>564</v>
      </c>
      <c r="B121" s="223" t="s">
        <v>821</v>
      </c>
      <c r="C121" s="534">
        <v>444</v>
      </c>
      <c r="D121" s="295"/>
      <c r="E121" s="317"/>
      <c r="F121" s="317"/>
      <c r="G121" s="317">
        <v>14</v>
      </c>
      <c r="H121" s="317">
        <v>2</v>
      </c>
      <c r="I121" s="442">
        <v>1200</v>
      </c>
    </row>
    <row r="122" spans="1:9" ht="19.899999999999999" customHeight="1" x14ac:dyDescent="0.3">
      <c r="A122" s="302">
        <v>565</v>
      </c>
      <c r="B122" s="223" t="s">
        <v>822</v>
      </c>
      <c r="C122" s="534">
        <v>432</v>
      </c>
      <c r="D122" s="295"/>
      <c r="E122" s="317"/>
      <c r="F122" s="317"/>
      <c r="G122" s="317">
        <v>8</v>
      </c>
      <c r="H122" s="317">
        <v>2</v>
      </c>
      <c r="I122" s="442">
        <v>600</v>
      </c>
    </row>
    <row r="123" spans="1:9" ht="18.75" x14ac:dyDescent="0.3">
      <c r="A123" s="302">
        <v>569</v>
      </c>
      <c r="B123" s="223" t="s">
        <v>640</v>
      </c>
      <c r="C123" s="534">
        <v>168</v>
      </c>
      <c r="D123" s="295"/>
      <c r="E123" s="317"/>
      <c r="F123" s="317"/>
      <c r="G123" s="317">
        <v>10</v>
      </c>
      <c r="H123" s="317">
        <v>2</v>
      </c>
      <c r="I123" s="442">
        <v>400</v>
      </c>
    </row>
    <row r="124" spans="1:9" ht="18.75" x14ac:dyDescent="0.3">
      <c r="A124" s="302">
        <v>570</v>
      </c>
      <c r="B124" s="223" t="s">
        <v>823</v>
      </c>
      <c r="C124" s="534">
        <v>432</v>
      </c>
      <c r="D124" s="295"/>
      <c r="E124" s="317"/>
      <c r="F124" s="317"/>
      <c r="G124" s="317">
        <v>8</v>
      </c>
      <c r="H124" s="317">
        <v>1</v>
      </c>
      <c r="I124" s="442">
        <v>300</v>
      </c>
    </row>
    <row r="125" spans="1:9" ht="18.75" x14ac:dyDescent="0.3">
      <c r="A125" s="302">
        <v>573</v>
      </c>
      <c r="B125" s="223" t="s">
        <v>538</v>
      </c>
      <c r="C125" s="534">
        <v>360</v>
      </c>
      <c r="D125" s="295"/>
      <c r="E125" s="317" t="s">
        <v>1308</v>
      </c>
      <c r="F125" s="317"/>
      <c r="G125" s="317"/>
      <c r="H125" s="317"/>
      <c r="I125" s="436"/>
    </row>
    <row r="126" spans="1:9" ht="18.75" x14ac:dyDescent="0.3">
      <c r="A126" s="302">
        <v>575</v>
      </c>
      <c r="B126" s="223" t="s">
        <v>824</v>
      </c>
      <c r="C126" s="534">
        <v>1092</v>
      </c>
      <c r="D126" s="295"/>
      <c r="E126" s="317"/>
      <c r="F126" s="317"/>
      <c r="G126" s="317">
        <v>8</v>
      </c>
      <c r="H126" s="317">
        <v>1</v>
      </c>
      <c r="I126" s="442">
        <v>800</v>
      </c>
    </row>
    <row r="127" spans="1:9" ht="18.75" x14ac:dyDescent="0.3">
      <c r="A127" s="302">
        <v>577</v>
      </c>
      <c r="B127" s="223" t="s">
        <v>825</v>
      </c>
      <c r="C127" s="534">
        <v>984</v>
      </c>
      <c r="D127" s="295"/>
      <c r="E127" s="317"/>
      <c r="F127" s="317"/>
      <c r="G127" s="317">
        <v>8</v>
      </c>
      <c r="H127" s="317">
        <v>1</v>
      </c>
      <c r="I127" s="442">
        <v>1300</v>
      </c>
    </row>
    <row r="128" spans="1:9" ht="18.75" x14ac:dyDescent="0.3">
      <c r="A128" s="302">
        <v>579</v>
      </c>
      <c r="B128" s="223" t="s">
        <v>826</v>
      </c>
      <c r="C128" s="534">
        <v>660</v>
      </c>
      <c r="D128" s="295"/>
      <c r="E128" s="317"/>
      <c r="F128" s="317"/>
      <c r="G128" s="317">
        <v>8</v>
      </c>
      <c r="H128" s="317">
        <v>1</v>
      </c>
      <c r="I128" s="442">
        <v>360</v>
      </c>
    </row>
    <row r="129" spans="1:9" ht="18.75" x14ac:dyDescent="0.3">
      <c r="A129" s="302">
        <v>581</v>
      </c>
      <c r="B129" s="223" t="s">
        <v>835</v>
      </c>
      <c r="C129" s="534">
        <v>768</v>
      </c>
      <c r="D129" s="295"/>
      <c r="E129" s="317"/>
      <c r="F129" s="317"/>
      <c r="G129" s="317">
        <v>8</v>
      </c>
      <c r="H129" s="317">
        <v>1</v>
      </c>
      <c r="I129" s="442">
        <v>1200</v>
      </c>
    </row>
    <row r="130" spans="1:9" ht="18.75" x14ac:dyDescent="0.3">
      <c r="A130" s="302">
        <v>586</v>
      </c>
      <c r="B130" s="223" t="s">
        <v>637</v>
      </c>
      <c r="C130" s="534">
        <v>6996</v>
      </c>
      <c r="D130" s="295"/>
      <c r="E130" s="317"/>
      <c r="F130" s="317"/>
      <c r="G130" s="317"/>
      <c r="H130" s="317"/>
      <c r="I130" s="436"/>
    </row>
    <row r="131" spans="1:9" ht="18.75" x14ac:dyDescent="0.3">
      <c r="A131" s="302">
        <v>587</v>
      </c>
      <c r="B131" s="223" t="s">
        <v>1053</v>
      </c>
      <c r="C131" s="534">
        <v>3600</v>
      </c>
      <c r="D131" s="295"/>
      <c r="E131" s="317"/>
      <c r="F131" s="317"/>
      <c r="G131" s="317">
        <v>10</v>
      </c>
      <c r="H131" s="317">
        <v>1</v>
      </c>
      <c r="I131" s="442">
        <v>2800</v>
      </c>
    </row>
    <row r="132" spans="1:9" ht="18.75" x14ac:dyDescent="0.3">
      <c r="A132" s="302"/>
      <c r="B132" s="223"/>
      <c r="C132" s="534"/>
      <c r="D132" s="295"/>
      <c r="E132" s="317"/>
      <c r="F132" s="317"/>
      <c r="G132" s="317"/>
      <c r="H132" s="317"/>
      <c r="I132" s="442"/>
    </row>
    <row r="133" spans="1:9" ht="18.75" x14ac:dyDescent="0.3">
      <c r="A133" s="302">
        <v>592</v>
      </c>
      <c r="B133" s="223" t="s">
        <v>827</v>
      </c>
      <c r="C133" s="534">
        <v>0</v>
      </c>
      <c r="D133" s="433" t="s">
        <v>1300</v>
      </c>
      <c r="E133" s="317" t="s">
        <v>1309</v>
      </c>
      <c r="F133" s="317"/>
      <c r="G133" s="317"/>
      <c r="H133" s="317"/>
      <c r="I133" s="436"/>
    </row>
    <row r="134" spans="1:9" ht="18.75" x14ac:dyDescent="0.3">
      <c r="A134" s="302">
        <v>593</v>
      </c>
      <c r="B134" s="223" t="s">
        <v>828</v>
      </c>
      <c r="C134" s="534">
        <v>0</v>
      </c>
      <c r="D134" s="433" t="s">
        <v>1300</v>
      </c>
      <c r="E134" s="317" t="s">
        <v>1309</v>
      </c>
      <c r="F134" s="317"/>
      <c r="G134" s="317"/>
      <c r="H134" s="317"/>
      <c r="I134" s="436"/>
    </row>
    <row r="135" spans="1:9" ht="18.75" x14ac:dyDescent="0.3">
      <c r="A135" s="302">
        <v>594</v>
      </c>
      <c r="B135" s="223" t="s">
        <v>829</v>
      </c>
      <c r="C135" s="534">
        <v>312</v>
      </c>
      <c r="D135" s="295"/>
      <c r="E135" s="317"/>
      <c r="F135" s="317"/>
      <c r="G135" s="317">
        <v>16</v>
      </c>
      <c r="H135" s="317">
        <v>2</v>
      </c>
      <c r="I135" s="442">
        <v>600</v>
      </c>
    </row>
    <row r="136" spans="1:9" ht="18.75" x14ac:dyDescent="0.3">
      <c r="A136" s="302">
        <v>595</v>
      </c>
      <c r="B136" s="223" t="s">
        <v>830</v>
      </c>
      <c r="C136" s="534">
        <v>288</v>
      </c>
      <c r="D136" s="295"/>
      <c r="E136" s="317"/>
      <c r="F136" s="317"/>
      <c r="G136" s="317">
        <v>16</v>
      </c>
      <c r="H136" s="317">
        <v>2</v>
      </c>
      <c r="I136" s="442">
        <v>560</v>
      </c>
    </row>
    <row r="137" spans="1:9" ht="18.75" x14ac:dyDescent="0.3">
      <c r="A137" s="302">
        <v>596</v>
      </c>
      <c r="B137" s="223" t="s">
        <v>831</v>
      </c>
      <c r="C137" s="534">
        <v>108</v>
      </c>
      <c r="D137" s="295"/>
      <c r="E137" s="317"/>
      <c r="F137" s="317"/>
      <c r="G137" s="317">
        <v>16</v>
      </c>
      <c r="H137" s="317">
        <v>2</v>
      </c>
      <c r="I137" s="442">
        <v>200</v>
      </c>
    </row>
    <row r="138" spans="1:9" ht="18.75" x14ac:dyDescent="0.3">
      <c r="A138" s="302">
        <v>654</v>
      </c>
      <c r="B138" s="223" t="s">
        <v>832</v>
      </c>
      <c r="C138" s="534">
        <v>912</v>
      </c>
      <c r="D138" s="295"/>
      <c r="E138" s="317" t="s">
        <v>1308</v>
      </c>
      <c r="F138" s="317"/>
      <c r="G138" s="317"/>
      <c r="H138" s="317"/>
      <c r="I138" s="436"/>
    </row>
    <row r="139" spans="1:9" ht="18.75" x14ac:dyDescent="0.3">
      <c r="A139" s="302">
        <v>655</v>
      </c>
      <c r="B139" s="223" t="s">
        <v>833</v>
      </c>
      <c r="C139" s="534">
        <v>0</v>
      </c>
      <c r="D139" s="295"/>
      <c r="E139" s="317" t="s">
        <v>1308</v>
      </c>
      <c r="F139" s="317"/>
      <c r="G139" s="317"/>
      <c r="H139" s="317"/>
      <c r="I139" s="436"/>
    </row>
    <row r="140" spans="1:9" ht="18.75" x14ac:dyDescent="0.3">
      <c r="A140" s="302">
        <v>823</v>
      </c>
      <c r="B140" s="223" t="s">
        <v>686</v>
      </c>
      <c r="C140" s="534">
        <v>108</v>
      </c>
      <c r="D140" s="295"/>
      <c r="E140" s="317"/>
      <c r="F140" s="317"/>
      <c r="G140" s="317"/>
      <c r="H140" s="317"/>
      <c r="I140" s="436"/>
    </row>
    <row r="141" spans="1:9" ht="18.75" x14ac:dyDescent="0.3">
      <c r="A141" s="302" t="s">
        <v>1054</v>
      </c>
      <c r="B141" s="223" t="s">
        <v>1055</v>
      </c>
      <c r="C141" s="534">
        <v>312</v>
      </c>
      <c r="D141" s="295"/>
      <c r="E141" s="317"/>
      <c r="F141" s="317" t="s">
        <v>1300</v>
      </c>
      <c r="G141" s="317"/>
      <c r="H141" s="317"/>
      <c r="I141" s="436"/>
    </row>
    <row r="142" spans="1:9" ht="18.75" x14ac:dyDescent="0.3">
      <c r="A142" s="302" t="s">
        <v>1056</v>
      </c>
      <c r="B142" s="223" t="s">
        <v>1057</v>
      </c>
      <c r="C142" s="534">
        <v>480</v>
      </c>
      <c r="D142" s="295"/>
      <c r="E142" s="317"/>
      <c r="F142" s="317"/>
      <c r="G142" s="317"/>
      <c r="H142" s="317"/>
      <c r="I142" s="436"/>
    </row>
    <row r="143" spans="1:9" ht="18.75" x14ac:dyDescent="0.3">
      <c r="A143" s="302" t="s">
        <v>1058</v>
      </c>
      <c r="B143" s="223" t="s">
        <v>1059</v>
      </c>
      <c r="C143" s="534">
        <v>144</v>
      </c>
      <c r="D143" s="295"/>
      <c r="E143" s="317"/>
      <c r="F143" s="317"/>
      <c r="G143" s="317"/>
      <c r="H143" s="317"/>
      <c r="I143" s="436"/>
    </row>
    <row r="144" spans="1:9" ht="18.75" x14ac:dyDescent="0.3">
      <c r="A144" s="302" t="s">
        <v>1060</v>
      </c>
      <c r="B144" s="223" t="s">
        <v>1061</v>
      </c>
      <c r="C144" s="534">
        <v>0</v>
      </c>
      <c r="D144" s="295"/>
      <c r="E144" s="317"/>
      <c r="F144" s="317"/>
      <c r="G144" s="317"/>
      <c r="H144" s="317"/>
      <c r="I144" s="436"/>
    </row>
    <row r="145" spans="1:9" ht="18.75" x14ac:dyDescent="0.3">
      <c r="A145" s="302" t="s">
        <v>1062</v>
      </c>
      <c r="B145" s="223" t="s">
        <v>1063</v>
      </c>
      <c r="C145" s="534">
        <v>120</v>
      </c>
      <c r="D145" s="295"/>
      <c r="E145" s="317"/>
      <c r="F145" s="317"/>
      <c r="G145" s="317"/>
      <c r="H145" s="317"/>
      <c r="I145" s="436"/>
    </row>
    <row r="146" spans="1:9" ht="18.75" x14ac:dyDescent="0.3">
      <c r="A146" s="302" t="s">
        <v>1043</v>
      </c>
      <c r="B146" s="223" t="s">
        <v>1044</v>
      </c>
      <c r="C146" s="534">
        <v>0</v>
      </c>
      <c r="D146" s="295"/>
      <c r="E146" s="317"/>
      <c r="F146" s="317"/>
      <c r="G146" s="317"/>
      <c r="H146" s="317"/>
      <c r="I146" s="436"/>
    </row>
    <row r="147" spans="1:9" ht="18.75" x14ac:dyDescent="0.3">
      <c r="A147" s="302" t="s">
        <v>1064</v>
      </c>
      <c r="B147" s="223" t="s">
        <v>1065</v>
      </c>
      <c r="C147" s="534">
        <v>0</v>
      </c>
      <c r="D147" s="295"/>
      <c r="E147" s="317"/>
      <c r="F147" s="317"/>
      <c r="G147" s="317"/>
      <c r="H147" s="317"/>
      <c r="I147" s="436"/>
    </row>
    <row r="148" spans="1:9" ht="18.75" x14ac:dyDescent="0.3">
      <c r="A148" s="302" t="s">
        <v>1066</v>
      </c>
      <c r="B148" s="223" t="s">
        <v>1067</v>
      </c>
      <c r="C148" s="534">
        <v>0</v>
      </c>
      <c r="D148" s="295"/>
      <c r="E148" s="317"/>
      <c r="F148" s="317"/>
      <c r="G148" s="317"/>
      <c r="H148" s="317"/>
      <c r="I148" s="436"/>
    </row>
    <row r="149" spans="1:9" ht="18.75" x14ac:dyDescent="0.3">
      <c r="A149" s="302" t="s">
        <v>1232</v>
      </c>
      <c r="B149" s="223" t="s">
        <v>1266</v>
      </c>
      <c r="C149" s="534">
        <v>0</v>
      </c>
      <c r="D149" s="295"/>
      <c r="E149" s="317"/>
      <c r="F149" s="317"/>
      <c r="G149" s="317"/>
      <c r="H149" s="317"/>
      <c r="I149" s="436"/>
    </row>
    <row r="150" spans="1:9" ht="18.75" x14ac:dyDescent="0.3">
      <c r="A150" s="302" t="s">
        <v>1232</v>
      </c>
      <c r="B150" s="223" t="s">
        <v>1228</v>
      </c>
      <c r="C150" s="534">
        <v>0</v>
      </c>
      <c r="D150" s="295"/>
      <c r="E150" s="317"/>
      <c r="F150" s="317"/>
      <c r="G150" s="317"/>
      <c r="H150" s="317"/>
      <c r="I150" s="436"/>
    </row>
    <row r="151" spans="1:9" ht="18.75" x14ac:dyDescent="0.3">
      <c r="A151" s="302" t="s">
        <v>1068</v>
      </c>
      <c r="B151" s="223" t="s">
        <v>1069</v>
      </c>
      <c r="C151" s="534">
        <v>360</v>
      </c>
      <c r="D151" s="295"/>
      <c r="E151" s="317"/>
      <c r="F151" s="317"/>
      <c r="G151" s="317"/>
      <c r="H151" s="317"/>
      <c r="I151" s="436"/>
    </row>
    <row r="152" spans="1:9" ht="18.75" x14ac:dyDescent="0.3">
      <c r="A152" s="302" t="s">
        <v>1068</v>
      </c>
      <c r="B152" s="223" t="s">
        <v>1069</v>
      </c>
      <c r="C152" s="534">
        <v>360</v>
      </c>
      <c r="D152" s="295"/>
      <c r="E152" s="317"/>
      <c r="F152" s="317"/>
      <c r="G152" s="317"/>
      <c r="H152" s="317"/>
      <c r="I152" s="436"/>
    </row>
    <row r="153" spans="1:9" ht="18.75" x14ac:dyDescent="0.3">
      <c r="A153" s="533" t="s">
        <v>1233</v>
      </c>
      <c r="B153" s="223" t="s">
        <v>1229</v>
      </c>
      <c r="C153" s="534">
        <v>0</v>
      </c>
      <c r="D153" s="295"/>
      <c r="E153" s="317"/>
      <c r="F153" s="317"/>
      <c r="G153" s="317"/>
      <c r="H153" s="317"/>
      <c r="I153" s="436"/>
    </row>
    <row r="154" spans="1:9" ht="18.75" x14ac:dyDescent="0.3">
      <c r="A154" s="302" t="s">
        <v>1234</v>
      </c>
      <c r="B154" s="223" t="s">
        <v>1267</v>
      </c>
      <c r="C154" s="534">
        <v>0</v>
      </c>
      <c r="D154" s="295"/>
      <c r="E154" s="317"/>
      <c r="F154" s="317"/>
      <c r="G154" s="317"/>
      <c r="H154" s="317"/>
      <c r="I154" s="436"/>
    </row>
    <row r="155" spans="1:9" ht="18.75" x14ac:dyDescent="0.3">
      <c r="A155" s="302" t="s">
        <v>1234</v>
      </c>
      <c r="B155" s="223" t="s">
        <v>1230</v>
      </c>
      <c r="C155" s="534">
        <v>0</v>
      </c>
      <c r="D155" s="295"/>
      <c r="E155" s="317"/>
      <c r="F155" s="317"/>
      <c r="G155" s="317"/>
      <c r="H155" s="317"/>
      <c r="I155" s="436"/>
    </row>
    <row r="156" spans="1:9" ht="18.75" x14ac:dyDescent="0.3">
      <c r="A156" s="302" t="s">
        <v>1235</v>
      </c>
      <c r="B156" s="223" t="s">
        <v>797</v>
      </c>
      <c r="C156" s="534">
        <v>0</v>
      </c>
      <c r="D156" s="295"/>
      <c r="E156" s="317"/>
      <c r="F156" s="317"/>
      <c r="G156" s="317"/>
      <c r="H156" s="317"/>
      <c r="I156" s="436"/>
    </row>
    <row r="157" spans="1:9" ht="18.75" x14ac:dyDescent="0.3">
      <c r="A157" s="302" t="s">
        <v>1236</v>
      </c>
      <c r="B157" s="223" t="s">
        <v>1268</v>
      </c>
      <c r="C157" s="534">
        <v>0</v>
      </c>
      <c r="D157" s="295"/>
      <c r="E157" s="317"/>
      <c r="F157" s="317"/>
      <c r="G157" s="317"/>
      <c r="H157" s="317"/>
      <c r="I157" s="436"/>
    </row>
    <row r="158" spans="1:9" ht="18.75" x14ac:dyDescent="0.3">
      <c r="A158" s="302" t="s">
        <v>1236</v>
      </c>
      <c r="B158" s="223" t="s">
        <v>1231</v>
      </c>
      <c r="C158" s="534">
        <v>0</v>
      </c>
      <c r="D158" s="295"/>
      <c r="E158" s="317"/>
      <c r="F158" s="317"/>
      <c r="G158" s="317"/>
      <c r="H158" s="317"/>
      <c r="I158" s="436"/>
    </row>
    <row r="159" spans="1:9" ht="18.75" x14ac:dyDescent="0.3">
      <c r="A159" s="302" t="s">
        <v>1286</v>
      </c>
      <c r="B159" s="223" t="s">
        <v>1065</v>
      </c>
      <c r="C159" s="534">
        <v>4400</v>
      </c>
      <c r="D159" s="295"/>
      <c r="E159" s="317"/>
      <c r="F159" s="317"/>
      <c r="G159" s="317"/>
      <c r="H159" s="317"/>
      <c r="I159" s="436"/>
    </row>
    <row r="160" spans="1:9" ht="18.75" x14ac:dyDescent="0.3">
      <c r="A160" s="302" t="s">
        <v>1279</v>
      </c>
      <c r="B160" s="223" t="s">
        <v>627</v>
      </c>
      <c r="C160" s="534">
        <v>648</v>
      </c>
      <c r="D160" s="295"/>
      <c r="E160" s="317"/>
      <c r="F160" s="317"/>
      <c r="G160" s="317"/>
      <c r="H160" s="317"/>
      <c r="I160" s="436"/>
    </row>
    <row r="161" spans="1:9" ht="18.75" x14ac:dyDescent="0.3">
      <c r="A161" s="302" t="s">
        <v>1281</v>
      </c>
      <c r="B161" s="223" t="s">
        <v>1273</v>
      </c>
      <c r="C161" s="534">
        <v>0</v>
      </c>
      <c r="D161" s="295"/>
      <c r="E161" s="317"/>
      <c r="F161" s="317"/>
      <c r="G161" s="317"/>
      <c r="H161" s="317"/>
      <c r="I161" s="436"/>
    </row>
    <row r="162" spans="1:9" ht="18.75" x14ac:dyDescent="0.3">
      <c r="A162" s="302" t="s">
        <v>1237</v>
      </c>
      <c r="B162" s="223" t="s">
        <v>1269</v>
      </c>
      <c r="C162" s="534">
        <v>0</v>
      </c>
      <c r="D162" s="295"/>
      <c r="E162" s="317"/>
      <c r="F162" s="317"/>
      <c r="G162" s="317"/>
      <c r="H162" s="317"/>
      <c r="I162" s="436"/>
    </row>
    <row r="163" spans="1:9" ht="18.75" x14ac:dyDescent="0.3">
      <c r="A163" s="302" t="s">
        <v>1237</v>
      </c>
      <c r="B163" s="223" t="s">
        <v>1244</v>
      </c>
      <c r="C163" s="534">
        <v>0</v>
      </c>
      <c r="D163" s="295"/>
      <c r="E163" s="317"/>
      <c r="F163" s="317"/>
      <c r="G163" s="317"/>
      <c r="H163" s="317"/>
      <c r="I163" s="436"/>
    </row>
    <row r="164" spans="1:9" ht="18.75" x14ac:dyDescent="0.3">
      <c r="A164" s="302" t="s">
        <v>1238</v>
      </c>
      <c r="B164" s="223" t="s">
        <v>1270</v>
      </c>
      <c r="C164" s="534">
        <v>0</v>
      </c>
      <c r="D164" s="295"/>
      <c r="E164" s="317"/>
      <c r="F164" s="317"/>
      <c r="G164" s="317"/>
      <c r="H164" s="317"/>
      <c r="I164" s="436"/>
    </row>
    <row r="165" spans="1:9" ht="18.75" x14ac:dyDescent="0.3">
      <c r="A165" s="302" t="s">
        <v>1238</v>
      </c>
      <c r="B165" s="223" t="s">
        <v>1245</v>
      </c>
      <c r="C165" s="534">
        <v>0</v>
      </c>
      <c r="D165" s="295"/>
      <c r="E165" s="317"/>
      <c r="F165" s="317"/>
      <c r="G165" s="317"/>
      <c r="H165" s="317"/>
      <c r="I165" s="436"/>
    </row>
    <row r="166" spans="1:9" ht="18.75" x14ac:dyDescent="0.3">
      <c r="A166" s="302" t="s">
        <v>1070</v>
      </c>
      <c r="B166" s="223" t="s">
        <v>1276</v>
      </c>
      <c r="C166" s="534">
        <v>120</v>
      </c>
      <c r="D166" s="295"/>
      <c r="E166" s="317"/>
      <c r="F166" s="317"/>
      <c r="G166" s="317"/>
      <c r="H166" s="317"/>
      <c r="I166" s="436"/>
    </row>
    <row r="167" spans="1:9" ht="18.75" x14ac:dyDescent="0.3">
      <c r="A167" s="302" t="s">
        <v>1280</v>
      </c>
      <c r="B167" s="223" t="s">
        <v>1272</v>
      </c>
      <c r="C167" s="534">
        <v>240</v>
      </c>
      <c r="D167" s="295"/>
      <c r="E167" s="317"/>
      <c r="F167" s="317"/>
      <c r="G167" s="317"/>
      <c r="H167" s="317"/>
      <c r="I167" s="436"/>
    </row>
    <row r="168" spans="1:9" ht="18.75" x14ac:dyDescent="0.3">
      <c r="A168" s="302" t="s">
        <v>1282</v>
      </c>
      <c r="B168" s="223" t="s">
        <v>1274</v>
      </c>
      <c r="C168" s="534">
        <v>360</v>
      </c>
      <c r="D168" s="295"/>
      <c r="E168" s="317"/>
      <c r="F168" s="317"/>
      <c r="G168" s="317"/>
      <c r="H168" s="317"/>
      <c r="I168" s="436"/>
    </row>
    <row r="169" spans="1:9" ht="18.75" x14ac:dyDescent="0.3">
      <c r="A169" s="302" t="s">
        <v>1283</v>
      </c>
      <c r="B169" s="223" t="s">
        <v>1275</v>
      </c>
      <c r="C169" s="534">
        <v>600</v>
      </c>
      <c r="D169" s="295"/>
      <c r="E169" s="317"/>
      <c r="F169" s="317"/>
      <c r="G169" s="317"/>
      <c r="H169" s="317"/>
      <c r="I169" s="436"/>
    </row>
    <row r="170" spans="1:9" ht="18.75" x14ac:dyDescent="0.3">
      <c r="A170" s="302" t="s">
        <v>1285</v>
      </c>
      <c r="B170" s="223" t="s">
        <v>1278</v>
      </c>
      <c r="C170" s="534">
        <v>420</v>
      </c>
      <c r="D170" s="295"/>
      <c r="E170" s="317"/>
      <c r="F170" s="317"/>
      <c r="G170" s="317"/>
      <c r="H170" s="317"/>
      <c r="I170" s="436"/>
    </row>
    <row r="171" spans="1:9" ht="19.5" thickBot="1" x14ac:dyDescent="0.35">
      <c r="A171" s="298" t="s">
        <v>1284</v>
      </c>
      <c r="B171" s="242" t="s">
        <v>1277</v>
      </c>
      <c r="C171" s="535">
        <v>600</v>
      </c>
      <c r="D171" s="437"/>
      <c r="E171" s="516"/>
      <c r="F171" s="516"/>
      <c r="G171" s="516"/>
      <c r="H171" s="516"/>
      <c r="I171" s="438"/>
    </row>
  </sheetData>
  <autoFilter ref="A1:I171"/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J250"/>
  <sheetViews>
    <sheetView workbookViewId="0">
      <selection activeCell="C17" sqref="C17"/>
    </sheetView>
  </sheetViews>
  <sheetFormatPr baseColWidth="10" defaultRowHeight="15" x14ac:dyDescent="0.25"/>
  <cols>
    <col min="1" max="1" width="8.7109375" customWidth="1"/>
    <col min="2" max="2" width="38" bestFit="1" customWidth="1"/>
    <col min="3" max="3" width="9.140625" customWidth="1"/>
    <col min="4" max="4" width="10.28515625" customWidth="1"/>
    <col min="5" max="5" width="10.7109375" style="292" customWidth="1"/>
    <col min="6" max="6" width="9.7109375" customWidth="1"/>
    <col min="7" max="7" width="11.85546875" customWidth="1"/>
    <col min="10" max="10" width="9.28515625" customWidth="1"/>
  </cols>
  <sheetData>
    <row r="1" spans="1:10" ht="38.25" thickBot="1" x14ac:dyDescent="0.3">
      <c r="A1" s="510" t="s">
        <v>1440</v>
      </c>
      <c r="B1" s="510" t="s">
        <v>749</v>
      </c>
      <c r="C1" s="510" t="s">
        <v>1638</v>
      </c>
      <c r="D1" s="510" t="s">
        <v>1299</v>
      </c>
      <c r="E1" s="510" t="s">
        <v>1607</v>
      </c>
      <c r="F1" s="510" t="s">
        <v>340</v>
      </c>
      <c r="G1" s="510" t="s">
        <v>1480</v>
      </c>
      <c r="H1" s="316" t="s">
        <v>1490</v>
      </c>
      <c r="I1" s="316" t="s">
        <v>1301</v>
      </c>
      <c r="J1" s="316" t="s">
        <v>1610</v>
      </c>
    </row>
    <row r="2" spans="1:10" ht="18" customHeight="1" x14ac:dyDescent="0.3">
      <c r="A2" s="297">
        <v>43</v>
      </c>
      <c r="B2" s="240" t="s">
        <v>1081</v>
      </c>
      <c r="C2" s="517">
        <v>240</v>
      </c>
      <c r="D2" s="435"/>
      <c r="E2" s="514"/>
      <c r="F2" s="514"/>
      <c r="G2" s="518"/>
      <c r="H2" s="518">
        <v>10</v>
      </c>
      <c r="I2" s="518">
        <v>2</v>
      </c>
      <c r="J2" s="522">
        <v>480</v>
      </c>
    </row>
    <row r="3" spans="1:10" ht="18" customHeight="1" x14ac:dyDescent="0.3">
      <c r="A3" s="302">
        <v>52</v>
      </c>
      <c r="B3" s="223" t="s">
        <v>1082</v>
      </c>
      <c r="C3" s="534">
        <v>24</v>
      </c>
      <c r="D3" s="433" t="s">
        <v>1300</v>
      </c>
      <c r="E3" s="434"/>
      <c r="F3" s="434"/>
      <c r="G3" s="317"/>
      <c r="H3" s="317"/>
      <c r="I3" s="317"/>
      <c r="J3" s="442"/>
    </row>
    <row r="4" spans="1:10" ht="18" customHeight="1" x14ac:dyDescent="0.3">
      <c r="A4" s="302">
        <v>53</v>
      </c>
      <c r="B4" s="223" t="s">
        <v>1083</v>
      </c>
      <c r="C4" s="534">
        <v>48</v>
      </c>
      <c r="D4" s="295"/>
      <c r="E4" s="434"/>
      <c r="F4" s="434"/>
      <c r="G4" s="317"/>
      <c r="H4" s="317">
        <v>16</v>
      </c>
      <c r="I4" s="317">
        <v>2</v>
      </c>
      <c r="J4" s="442">
        <v>200</v>
      </c>
    </row>
    <row r="5" spans="1:10" ht="18" customHeight="1" x14ac:dyDescent="0.3">
      <c r="A5" s="302">
        <v>54</v>
      </c>
      <c r="B5" s="223" t="s">
        <v>1084</v>
      </c>
      <c r="C5" s="534">
        <v>24</v>
      </c>
      <c r="D5" s="295"/>
      <c r="E5" s="434"/>
      <c r="F5" s="434"/>
      <c r="G5" s="317"/>
      <c r="H5" s="317">
        <v>16</v>
      </c>
      <c r="I5" s="317">
        <v>2</v>
      </c>
      <c r="J5" s="442">
        <v>120</v>
      </c>
    </row>
    <row r="6" spans="1:10" ht="18" customHeight="1" x14ac:dyDescent="0.3">
      <c r="A6" s="302">
        <v>55</v>
      </c>
      <c r="B6" s="223" t="s">
        <v>1085</v>
      </c>
      <c r="C6" s="534">
        <v>96</v>
      </c>
      <c r="D6" s="295"/>
      <c r="E6" s="434"/>
      <c r="F6" s="434"/>
      <c r="G6" s="317"/>
      <c r="H6" s="317">
        <v>16</v>
      </c>
      <c r="I6" s="317">
        <v>2</v>
      </c>
      <c r="J6" s="442">
        <v>288</v>
      </c>
    </row>
    <row r="7" spans="1:10" ht="18" customHeight="1" x14ac:dyDescent="0.3">
      <c r="A7" s="302">
        <v>61</v>
      </c>
      <c r="B7" s="223" t="s">
        <v>1086</v>
      </c>
      <c r="C7" s="534">
        <v>0</v>
      </c>
      <c r="D7" s="295"/>
      <c r="E7" s="434"/>
      <c r="F7" s="434"/>
      <c r="G7" s="317"/>
      <c r="H7" s="317"/>
      <c r="I7" s="317"/>
      <c r="J7" s="442"/>
    </row>
    <row r="8" spans="1:10" ht="18" customHeight="1" x14ac:dyDescent="0.3">
      <c r="A8" s="302">
        <v>97</v>
      </c>
      <c r="B8" s="223" t="s">
        <v>1087</v>
      </c>
      <c r="C8" s="534">
        <v>840</v>
      </c>
      <c r="D8" s="295"/>
      <c r="E8" s="434"/>
      <c r="F8" s="434"/>
      <c r="G8" s="317"/>
      <c r="H8" s="317">
        <v>10</v>
      </c>
      <c r="I8" s="317">
        <v>1</v>
      </c>
      <c r="J8" s="442">
        <v>450</v>
      </c>
    </row>
    <row r="9" spans="1:10" ht="18" customHeight="1" x14ac:dyDescent="0.3">
      <c r="A9" s="302">
        <v>99</v>
      </c>
      <c r="B9" s="223" t="s">
        <v>1088</v>
      </c>
      <c r="C9" s="534">
        <v>2976</v>
      </c>
      <c r="D9" s="295"/>
      <c r="E9" s="434"/>
      <c r="F9" s="434"/>
      <c r="G9" s="317"/>
      <c r="H9" s="317"/>
      <c r="I9" s="317"/>
      <c r="J9" s="442"/>
    </row>
    <row r="10" spans="1:10" ht="18" customHeight="1" x14ac:dyDescent="0.3">
      <c r="A10" s="302">
        <v>307</v>
      </c>
      <c r="B10" s="223" t="s">
        <v>1089</v>
      </c>
      <c r="C10" s="534">
        <v>360</v>
      </c>
      <c r="D10" s="433" t="s">
        <v>1300</v>
      </c>
      <c r="E10" s="434"/>
      <c r="F10" s="434"/>
      <c r="G10" s="317"/>
      <c r="H10" s="317"/>
      <c r="I10" s="317"/>
      <c r="J10" s="442"/>
    </row>
    <row r="11" spans="1:10" ht="18" customHeight="1" x14ac:dyDescent="0.3">
      <c r="A11" s="302">
        <v>453</v>
      </c>
      <c r="B11" s="223" t="s">
        <v>1090</v>
      </c>
      <c r="C11" s="534">
        <v>0</v>
      </c>
      <c r="D11" s="433" t="s">
        <v>1300</v>
      </c>
      <c r="E11" s="434" t="s">
        <v>1309</v>
      </c>
      <c r="F11" s="434"/>
      <c r="G11" s="317"/>
      <c r="H11" s="317"/>
      <c r="I11" s="317"/>
      <c r="J11" s="442"/>
    </row>
    <row r="12" spans="1:10" ht="18" customHeight="1" x14ac:dyDescent="0.3">
      <c r="A12" s="302">
        <v>454</v>
      </c>
      <c r="B12" s="223" t="s">
        <v>1091</v>
      </c>
      <c r="C12" s="534">
        <v>0</v>
      </c>
      <c r="D12" s="433" t="s">
        <v>1300</v>
      </c>
      <c r="E12" s="434" t="s">
        <v>1309</v>
      </c>
      <c r="F12" s="434"/>
      <c r="G12" s="317"/>
      <c r="H12" s="317">
        <v>8</v>
      </c>
      <c r="I12" s="317">
        <v>2</v>
      </c>
      <c r="J12" s="442">
        <v>0</v>
      </c>
    </row>
    <row r="13" spans="1:10" ht="18" customHeight="1" x14ac:dyDescent="0.3">
      <c r="A13" s="302">
        <v>455</v>
      </c>
      <c r="B13" s="223" t="s">
        <v>1092</v>
      </c>
      <c r="C13" s="534">
        <v>0</v>
      </c>
      <c r="D13" s="433" t="s">
        <v>1300</v>
      </c>
      <c r="E13" s="434" t="s">
        <v>1309</v>
      </c>
      <c r="F13" s="434"/>
      <c r="G13" s="317"/>
      <c r="H13" s="317"/>
      <c r="I13" s="317"/>
      <c r="J13" s="442"/>
    </row>
    <row r="14" spans="1:10" ht="18" customHeight="1" x14ac:dyDescent="0.3">
      <c r="A14" s="302">
        <v>456</v>
      </c>
      <c r="B14" s="223" t="s">
        <v>1093</v>
      </c>
      <c r="C14" s="534">
        <v>0</v>
      </c>
      <c r="D14" s="433" t="s">
        <v>1300</v>
      </c>
      <c r="E14" s="434" t="s">
        <v>1309</v>
      </c>
      <c r="F14" s="434"/>
      <c r="G14" s="317"/>
      <c r="H14" s="317"/>
      <c r="I14" s="317"/>
      <c r="J14" s="442"/>
    </row>
    <row r="15" spans="1:10" ht="18" customHeight="1" x14ac:dyDescent="0.3">
      <c r="A15" s="302">
        <v>609</v>
      </c>
      <c r="B15" s="223" t="s">
        <v>1094</v>
      </c>
      <c r="C15" s="534">
        <v>480</v>
      </c>
      <c r="D15" s="433" t="s">
        <v>1300</v>
      </c>
      <c r="E15" s="434"/>
      <c r="F15" s="434"/>
      <c r="G15" s="317"/>
      <c r="H15" s="317"/>
      <c r="I15" s="317"/>
      <c r="J15" s="442"/>
    </row>
    <row r="16" spans="1:10" ht="18" customHeight="1" x14ac:dyDescent="0.3">
      <c r="A16" s="302">
        <v>613</v>
      </c>
      <c r="B16" s="223" t="s">
        <v>1095</v>
      </c>
      <c r="C16" s="534">
        <v>0</v>
      </c>
      <c r="D16" s="295"/>
      <c r="E16" s="434"/>
      <c r="F16" s="434"/>
      <c r="G16" s="317"/>
      <c r="H16" s="317"/>
      <c r="I16" s="317"/>
      <c r="J16" s="442"/>
    </row>
    <row r="17" spans="1:10" ht="18" customHeight="1" x14ac:dyDescent="0.3">
      <c r="A17" s="302">
        <v>615</v>
      </c>
      <c r="B17" s="223" t="s">
        <v>799</v>
      </c>
      <c r="C17" s="534">
        <v>60</v>
      </c>
      <c r="D17" s="295"/>
      <c r="E17" s="434"/>
      <c r="F17" s="434"/>
      <c r="G17" s="317"/>
      <c r="H17" s="317"/>
      <c r="I17" s="317"/>
      <c r="J17" s="442"/>
    </row>
    <row r="18" spans="1:10" ht="18" customHeight="1" x14ac:dyDescent="0.3">
      <c r="A18" s="302">
        <v>617</v>
      </c>
      <c r="B18" s="223" t="s">
        <v>1096</v>
      </c>
      <c r="C18" s="534">
        <v>0</v>
      </c>
      <c r="D18" s="295"/>
      <c r="E18" s="434"/>
      <c r="F18" s="434"/>
      <c r="G18" s="317"/>
      <c r="H18" s="317"/>
      <c r="I18" s="317"/>
      <c r="J18" s="442"/>
    </row>
    <row r="19" spans="1:10" ht="18" customHeight="1" x14ac:dyDescent="0.3">
      <c r="A19" s="302">
        <v>618</v>
      </c>
      <c r="B19" s="223" t="s">
        <v>1097</v>
      </c>
      <c r="C19" s="534">
        <v>0</v>
      </c>
      <c r="D19" s="433" t="s">
        <v>1300</v>
      </c>
      <c r="E19" s="434" t="s">
        <v>1309</v>
      </c>
      <c r="F19" s="434"/>
      <c r="G19" s="317"/>
      <c r="H19" s="317"/>
      <c r="I19" s="317"/>
      <c r="J19" s="442"/>
    </row>
    <row r="20" spans="1:10" ht="18" customHeight="1" x14ac:dyDescent="0.3">
      <c r="A20" s="302">
        <v>619</v>
      </c>
      <c r="B20" s="223" t="s">
        <v>1098</v>
      </c>
      <c r="C20" s="534">
        <v>0</v>
      </c>
      <c r="D20" s="433" t="s">
        <v>1300</v>
      </c>
      <c r="E20" s="434" t="s">
        <v>1309</v>
      </c>
      <c r="F20" s="434"/>
      <c r="G20" s="317"/>
      <c r="H20" s="317"/>
      <c r="I20" s="317"/>
      <c r="J20" s="442"/>
    </row>
    <row r="21" spans="1:10" ht="18" customHeight="1" x14ac:dyDescent="0.3">
      <c r="A21" s="302">
        <v>630</v>
      </c>
      <c r="B21" s="223" t="s">
        <v>1099</v>
      </c>
      <c r="C21" s="534">
        <v>72</v>
      </c>
      <c r="D21" s="433" t="s">
        <v>1300</v>
      </c>
      <c r="E21" s="434"/>
      <c r="F21" s="434"/>
      <c r="G21" s="317"/>
      <c r="H21" s="317"/>
      <c r="I21" s="317"/>
      <c r="J21" s="442"/>
    </row>
    <row r="22" spans="1:10" ht="18" customHeight="1" x14ac:dyDescent="0.3">
      <c r="A22" s="302">
        <v>631</v>
      </c>
      <c r="B22" s="223" t="s">
        <v>1100</v>
      </c>
      <c r="C22" s="534">
        <v>48</v>
      </c>
      <c r="D22" s="433" t="s">
        <v>1300</v>
      </c>
      <c r="E22" s="434"/>
      <c r="F22" s="434"/>
      <c r="G22" s="317"/>
      <c r="H22" s="317"/>
      <c r="I22" s="317"/>
      <c r="J22" s="442"/>
    </row>
    <row r="23" spans="1:10" ht="18" customHeight="1" x14ac:dyDescent="0.3">
      <c r="A23" s="302">
        <v>632</v>
      </c>
      <c r="B23" s="223" t="s">
        <v>1101</v>
      </c>
      <c r="C23" s="534">
        <v>24</v>
      </c>
      <c r="D23" s="433" t="s">
        <v>1300</v>
      </c>
      <c r="E23" s="434"/>
      <c r="F23" s="434"/>
      <c r="G23" s="317"/>
      <c r="H23" s="317"/>
      <c r="I23" s="317"/>
      <c r="J23" s="442"/>
    </row>
    <row r="24" spans="1:10" ht="18" customHeight="1" x14ac:dyDescent="0.3">
      <c r="A24" s="302">
        <v>633</v>
      </c>
      <c r="B24" s="223" t="s">
        <v>1102</v>
      </c>
      <c r="C24" s="534">
        <v>36</v>
      </c>
      <c r="D24" s="433" t="s">
        <v>1300</v>
      </c>
      <c r="E24" s="434"/>
      <c r="F24" s="434"/>
      <c r="G24" s="317"/>
      <c r="H24" s="317"/>
      <c r="I24" s="317"/>
      <c r="J24" s="442"/>
    </row>
    <row r="25" spans="1:10" ht="18" customHeight="1" x14ac:dyDescent="0.3">
      <c r="A25" s="302">
        <v>634</v>
      </c>
      <c r="B25" s="223" t="s">
        <v>1103</v>
      </c>
      <c r="C25" s="534">
        <v>12</v>
      </c>
      <c r="D25" s="433" t="s">
        <v>1300</v>
      </c>
      <c r="E25" s="434"/>
      <c r="F25" s="434"/>
      <c r="G25" s="317"/>
      <c r="H25" s="317"/>
      <c r="I25" s="317"/>
      <c r="J25" s="442"/>
    </row>
    <row r="26" spans="1:10" ht="18" customHeight="1" x14ac:dyDescent="0.3">
      <c r="A26" s="302">
        <v>635</v>
      </c>
      <c r="B26" s="223" t="s">
        <v>1104</v>
      </c>
      <c r="C26" s="534">
        <v>48</v>
      </c>
      <c r="D26" s="433" t="s">
        <v>1300</v>
      </c>
      <c r="E26" s="434"/>
      <c r="F26" s="434"/>
      <c r="G26" s="317"/>
      <c r="H26" s="317"/>
      <c r="I26" s="317"/>
      <c r="J26" s="442"/>
    </row>
    <row r="27" spans="1:10" ht="18" customHeight="1" x14ac:dyDescent="0.3">
      <c r="A27" s="302">
        <v>636</v>
      </c>
      <c r="B27" s="223" t="s">
        <v>1105</v>
      </c>
      <c r="C27" s="534">
        <v>48</v>
      </c>
      <c r="D27" s="433" t="s">
        <v>1300</v>
      </c>
      <c r="E27" s="434"/>
      <c r="F27" s="434"/>
      <c r="G27" s="317"/>
      <c r="H27" s="317"/>
      <c r="I27" s="317"/>
      <c r="J27" s="442"/>
    </row>
    <row r="28" spans="1:10" ht="18" customHeight="1" x14ac:dyDescent="0.3">
      <c r="A28" s="302">
        <v>637</v>
      </c>
      <c r="B28" s="223" t="s">
        <v>1106</v>
      </c>
      <c r="C28" s="534">
        <v>12</v>
      </c>
      <c r="D28" s="433" t="s">
        <v>1300</v>
      </c>
      <c r="E28" s="434"/>
      <c r="F28" s="434"/>
      <c r="G28" s="317"/>
      <c r="H28" s="317"/>
      <c r="I28" s="317"/>
      <c r="J28" s="442"/>
    </row>
    <row r="29" spans="1:10" ht="18" customHeight="1" x14ac:dyDescent="0.3">
      <c r="A29" s="302">
        <v>700</v>
      </c>
      <c r="B29" s="223" t="s">
        <v>1107</v>
      </c>
      <c r="C29" s="534">
        <v>96</v>
      </c>
      <c r="D29" s="295"/>
      <c r="E29" s="434"/>
      <c r="F29" s="434"/>
      <c r="G29" s="317"/>
      <c r="H29" s="317"/>
      <c r="I29" s="317"/>
      <c r="J29" s="442"/>
    </row>
    <row r="30" spans="1:10" ht="18" customHeight="1" x14ac:dyDescent="0.3">
      <c r="A30" s="302">
        <v>701</v>
      </c>
      <c r="B30" s="223" t="s">
        <v>788</v>
      </c>
      <c r="C30" s="534">
        <v>618</v>
      </c>
      <c r="D30" s="295"/>
      <c r="E30" s="434"/>
      <c r="F30" s="434"/>
      <c r="G30" s="317"/>
      <c r="H30" s="317">
        <v>10</v>
      </c>
      <c r="I30" s="317">
        <v>1</v>
      </c>
      <c r="J30" s="442">
        <v>800</v>
      </c>
    </row>
    <row r="31" spans="1:10" ht="18" customHeight="1" x14ac:dyDescent="0.3">
      <c r="A31" s="302">
        <v>702</v>
      </c>
      <c r="B31" s="223" t="s">
        <v>1108</v>
      </c>
      <c r="C31" s="534">
        <v>504</v>
      </c>
      <c r="D31" s="295"/>
      <c r="E31" s="434"/>
      <c r="F31" s="434"/>
      <c r="G31" s="317"/>
      <c r="H31" s="317"/>
      <c r="I31" s="317"/>
      <c r="J31" s="442"/>
    </row>
    <row r="32" spans="1:10" ht="18" customHeight="1" x14ac:dyDescent="0.3">
      <c r="A32" s="302">
        <v>706</v>
      </c>
      <c r="B32" s="223" t="s">
        <v>1109</v>
      </c>
      <c r="C32" s="534">
        <v>3144</v>
      </c>
      <c r="D32" s="295"/>
      <c r="E32" s="434"/>
      <c r="F32" s="434"/>
      <c r="G32" s="317"/>
      <c r="H32" s="317">
        <v>10</v>
      </c>
      <c r="I32" s="317">
        <v>1</v>
      </c>
      <c r="J32" s="442">
        <v>2400</v>
      </c>
    </row>
    <row r="33" spans="1:10" ht="18" customHeight="1" x14ac:dyDescent="0.3">
      <c r="A33" s="302">
        <v>707</v>
      </c>
      <c r="B33" s="223" t="s">
        <v>793</v>
      </c>
      <c r="C33" s="534">
        <v>48</v>
      </c>
      <c r="D33" s="295"/>
      <c r="E33" s="434"/>
      <c r="F33" s="434"/>
      <c r="G33" s="317"/>
      <c r="H33" s="317">
        <v>10</v>
      </c>
      <c r="I33" s="317">
        <v>1</v>
      </c>
      <c r="J33" s="442">
        <v>60</v>
      </c>
    </row>
    <row r="34" spans="1:10" ht="18" customHeight="1" x14ac:dyDescent="0.3">
      <c r="A34" s="302">
        <v>708</v>
      </c>
      <c r="B34" s="223" t="s">
        <v>1287</v>
      </c>
      <c r="C34" s="534">
        <v>72</v>
      </c>
      <c r="D34" s="295"/>
      <c r="E34" s="434"/>
      <c r="F34" s="434"/>
      <c r="G34" s="317"/>
      <c r="H34" s="317">
        <v>8</v>
      </c>
      <c r="I34" s="317">
        <v>1</v>
      </c>
      <c r="J34" s="442">
        <v>72</v>
      </c>
    </row>
    <row r="35" spans="1:10" ht="18" customHeight="1" x14ac:dyDescent="0.3">
      <c r="A35" s="302">
        <v>709</v>
      </c>
      <c r="B35" s="223" t="s">
        <v>786</v>
      </c>
      <c r="C35" s="534">
        <v>24</v>
      </c>
      <c r="D35" s="295"/>
      <c r="E35" s="434"/>
      <c r="F35" s="434"/>
      <c r="G35" s="317"/>
      <c r="H35" s="317">
        <v>10</v>
      </c>
      <c r="I35" s="317">
        <v>2</v>
      </c>
      <c r="J35" s="442">
        <v>120</v>
      </c>
    </row>
    <row r="36" spans="1:10" ht="18" customHeight="1" x14ac:dyDescent="0.3">
      <c r="A36" s="302">
        <v>710</v>
      </c>
      <c r="B36" s="223" t="s">
        <v>1110</v>
      </c>
      <c r="C36" s="534">
        <v>0</v>
      </c>
      <c r="D36" s="295"/>
      <c r="E36" s="434"/>
      <c r="F36" s="434"/>
      <c r="G36" s="317"/>
      <c r="H36" s="317">
        <v>10</v>
      </c>
      <c r="I36" s="317">
        <v>2</v>
      </c>
      <c r="J36" s="442">
        <v>0</v>
      </c>
    </row>
    <row r="37" spans="1:10" ht="18" customHeight="1" x14ac:dyDescent="0.3">
      <c r="A37" s="302">
        <v>713</v>
      </c>
      <c r="B37" s="223" t="s">
        <v>1112</v>
      </c>
      <c r="C37" s="534">
        <v>2280</v>
      </c>
      <c r="D37" s="295"/>
      <c r="E37" s="434"/>
      <c r="F37" s="434"/>
      <c r="G37" s="317"/>
      <c r="H37" s="317"/>
      <c r="I37" s="317"/>
      <c r="J37" s="442"/>
    </row>
    <row r="38" spans="1:10" ht="18" customHeight="1" x14ac:dyDescent="0.3">
      <c r="A38" s="302">
        <v>715</v>
      </c>
      <c r="B38" s="223" t="s">
        <v>1113</v>
      </c>
      <c r="C38" s="534">
        <v>192</v>
      </c>
      <c r="D38" s="295"/>
      <c r="E38" s="434"/>
      <c r="F38" s="434"/>
      <c r="G38" s="317"/>
      <c r="H38" s="317">
        <v>10</v>
      </c>
      <c r="I38" s="317">
        <v>2</v>
      </c>
      <c r="J38" s="442">
        <v>240</v>
      </c>
    </row>
    <row r="39" spans="1:10" ht="18" customHeight="1" x14ac:dyDescent="0.3">
      <c r="A39" s="302">
        <v>717</v>
      </c>
      <c r="B39" s="223" t="s">
        <v>1114</v>
      </c>
      <c r="C39" s="534">
        <v>0</v>
      </c>
      <c r="D39" s="295"/>
      <c r="E39" s="434"/>
      <c r="F39" s="434"/>
      <c r="G39" s="317"/>
      <c r="H39" s="317"/>
      <c r="I39" s="317"/>
      <c r="J39" s="442"/>
    </row>
    <row r="40" spans="1:10" ht="18" customHeight="1" x14ac:dyDescent="0.3">
      <c r="A40" s="302">
        <v>718</v>
      </c>
      <c r="B40" s="223" t="s">
        <v>1115</v>
      </c>
      <c r="C40" s="534">
        <v>48</v>
      </c>
      <c r="D40" s="295"/>
      <c r="E40" s="434"/>
      <c r="F40" s="434"/>
      <c r="G40" s="317"/>
      <c r="H40" s="317">
        <v>16</v>
      </c>
      <c r="I40" s="317">
        <v>2</v>
      </c>
      <c r="J40" s="442">
        <v>144</v>
      </c>
    </row>
    <row r="41" spans="1:10" ht="18" customHeight="1" x14ac:dyDescent="0.3">
      <c r="A41" s="302">
        <v>719</v>
      </c>
      <c r="B41" s="223" t="s">
        <v>1116</v>
      </c>
      <c r="C41" s="534">
        <v>72</v>
      </c>
      <c r="D41" s="295"/>
      <c r="E41" s="434"/>
      <c r="F41" s="434"/>
      <c r="G41" s="317"/>
      <c r="H41" s="317">
        <v>12</v>
      </c>
      <c r="I41" s="317">
        <v>4</v>
      </c>
      <c r="J41" s="442">
        <v>576</v>
      </c>
    </row>
    <row r="42" spans="1:10" ht="18" customHeight="1" x14ac:dyDescent="0.3">
      <c r="A42" s="302">
        <v>720</v>
      </c>
      <c r="B42" s="223" t="s">
        <v>1117</v>
      </c>
      <c r="C42" s="534">
        <v>24</v>
      </c>
      <c r="D42" s="295"/>
      <c r="E42" s="434"/>
      <c r="F42" s="434"/>
      <c r="G42" s="317"/>
      <c r="H42" s="317">
        <v>8</v>
      </c>
      <c r="I42" s="317">
        <v>2</v>
      </c>
      <c r="J42" s="442">
        <v>200</v>
      </c>
    </row>
    <row r="43" spans="1:10" ht="18" customHeight="1" x14ac:dyDescent="0.3">
      <c r="A43" s="302">
        <v>722</v>
      </c>
      <c r="B43" s="223" t="s">
        <v>811</v>
      </c>
      <c r="C43" s="534">
        <v>24</v>
      </c>
      <c r="D43" s="295"/>
      <c r="E43" s="434"/>
      <c r="F43" s="434"/>
      <c r="G43" s="317"/>
      <c r="H43" s="317">
        <v>12</v>
      </c>
      <c r="I43" s="317">
        <v>2</v>
      </c>
      <c r="J43" s="442">
        <v>120</v>
      </c>
    </row>
    <row r="44" spans="1:10" ht="18" customHeight="1" x14ac:dyDescent="0.3">
      <c r="A44" s="302">
        <v>723</v>
      </c>
      <c r="B44" s="223" t="s">
        <v>804</v>
      </c>
      <c r="C44" s="534">
        <v>372</v>
      </c>
      <c r="D44" s="295"/>
      <c r="E44" s="434"/>
      <c r="F44" s="434"/>
      <c r="G44" s="317"/>
      <c r="H44" s="317">
        <v>8</v>
      </c>
      <c r="I44" s="317">
        <v>2</v>
      </c>
      <c r="J44" s="442">
        <v>720</v>
      </c>
    </row>
    <row r="45" spans="1:10" ht="18" customHeight="1" x14ac:dyDescent="0.3">
      <c r="A45" s="302">
        <v>724</v>
      </c>
      <c r="B45" s="223" t="s">
        <v>1118</v>
      </c>
      <c r="C45" s="534">
        <v>0</v>
      </c>
      <c r="D45" s="295"/>
      <c r="E45" s="434"/>
      <c r="F45" s="434"/>
      <c r="G45" s="317"/>
      <c r="H45" s="317"/>
      <c r="I45" s="317"/>
      <c r="J45" s="442"/>
    </row>
    <row r="46" spans="1:10" ht="18" customHeight="1" x14ac:dyDescent="0.3">
      <c r="A46" s="302">
        <v>725</v>
      </c>
      <c r="B46" s="223" t="s">
        <v>805</v>
      </c>
      <c r="C46" s="534">
        <v>480</v>
      </c>
      <c r="D46" s="295"/>
      <c r="E46" s="434"/>
      <c r="F46" s="434"/>
      <c r="G46" s="317"/>
      <c r="H46" s="317">
        <v>10</v>
      </c>
      <c r="I46" s="317">
        <v>1</v>
      </c>
      <c r="J46" s="442">
        <v>500</v>
      </c>
    </row>
    <row r="47" spans="1:10" ht="18" customHeight="1" x14ac:dyDescent="0.3">
      <c r="A47" s="302">
        <v>726</v>
      </c>
      <c r="B47" s="223" t="s">
        <v>1243</v>
      </c>
      <c r="C47" s="534">
        <v>0</v>
      </c>
      <c r="D47" s="295"/>
      <c r="E47" s="434"/>
      <c r="F47" s="434"/>
      <c r="G47" s="317"/>
      <c r="H47" s="317"/>
      <c r="I47" s="317"/>
      <c r="J47" s="442"/>
    </row>
    <row r="48" spans="1:10" ht="18" customHeight="1" x14ac:dyDescent="0.3">
      <c r="A48" s="302">
        <v>730</v>
      </c>
      <c r="B48" s="223" t="s">
        <v>806</v>
      </c>
      <c r="C48" s="534">
        <v>600</v>
      </c>
      <c r="D48" s="295"/>
      <c r="E48" s="434"/>
      <c r="F48" s="434"/>
      <c r="G48" s="317"/>
      <c r="H48" s="317">
        <v>10</v>
      </c>
      <c r="I48" s="317">
        <v>2</v>
      </c>
      <c r="J48" s="442">
        <v>2160</v>
      </c>
    </row>
    <row r="49" spans="1:10" ht="18" customHeight="1" x14ac:dyDescent="0.3">
      <c r="A49" s="302">
        <v>731</v>
      </c>
      <c r="B49" s="223" t="s">
        <v>1119</v>
      </c>
      <c r="C49" s="534">
        <v>264</v>
      </c>
      <c r="D49" s="295"/>
      <c r="E49" s="434"/>
      <c r="F49" s="434"/>
      <c r="G49" s="317"/>
      <c r="H49" s="317">
        <v>10</v>
      </c>
      <c r="I49" s="317">
        <v>2</v>
      </c>
      <c r="J49" s="442">
        <v>1008</v>
      </c>
    </row>
    <row r="50" spans="1:10" ht="18" customHeight="1" x14ac:dyDescent="0.3">
      <c r="A50" s="302">
        <v>732</v>
      </c>
      <c r="B50" s="223" t="s">
        <v>1120</v>
      </c>
      <c r="C50" s="534">
        <v>96</v>
      </c>
      <c r="D50" s="295"/>
      <c r="E50" s="434"/>
      <c r="F50" s="317"/>
      <c r="G50" s="317"/>
      <c r="H50" s="317"/>
      <c r="I50" s="317"/>
      <c r="J50" s="442"/>
    </row>
    <row r="51" spans="1:10" ht="18" customHeight="1" x14ac:dyDescent="0.3">
      <c r="A51" s="302">
        <v>735</v>
      </c>
      <c r="B51" s="536" t="s">
        <v>1619</v>
      </c>
      <c r="C51" s="534">
        <v>96</v>
      </c>
      <c r="D51" s="295"/>
      <c r="E51" s="434"/>
      <c r="F51" s="434"/>
      <c r="G51" s="317"/>
      <c r="H51" s="317">
        <v>8</v>
      </c>
      <c r="I51" s="317">
        <v>1</v>
      </c>
      <c r="J51" s="442">
        <v>0</v>
      </c>
    </row>
    <row r="52" spans="1:10" ht="18" customHeight="1" x14ac:dyDescent="0.3">
      <c r="A52" s="302">
        <v>747</v>
      </c>
      <c r="B52" s="223" t="s">
        <v>1121</v>
      </c>
      <c r="C52" s="534">
        <v>24</v>
      </c>
      <c r="D52" s="295"/>
      <c r="E52" s="434"/>
      <c r="F52" s="434"/>
      <c r="G52" s="317"/>
      <c r="H52" s="317"/>
      <c r="I52" s="317"/>
      <c r="J52" s="442"/>
    </row>
    <row r="53" spans="1:10" ht="18" customHeight="1" x14ac:dyDescent="0.3">
      <c r="A53" s="302">
        <v>748</v>
      </c>
      <c r="B53" s="223" t="s">
        <v>1122</v>
      </c>
      <c r="C53" s="534">
        <v>0</v>
      </c>
      <c r="D53" s="295"/>
      <c r="E53" s="434"/>
      <c r="F53" s="434"/>
      <c r="G53" s="317"/>
      <c r="H53" s="317"/>
      <c r="I53" s="317"/>
      <c r="J53" s="442"/>
    </row>
    <row r="54" spans="1:10" ht="18" customHeight="1" x14ac:dyDescent="0.3">
      <c r="A54" s="302">
        <v>755</v>
      </c>
      <c r="B54" s="223" t="s">
        <v>1123</v>
      </c>
      <c r="C54" s="534">
        <v>0</v>
      </c>
      <c r="D54" s="295"/>
      <c r="E54" s="434"/>
      <c r="F54" s="434"/>
      <c r="G54" s="317"/>
      <c r="H54" s="317"/>
      <c r="I54" s="317"/>
      <c r="J54" s="442"/>
    </row>
    <row r="55" spans="1:10" ht="18" customHeight="1" x14ac:dyDescent="0.3">
      <c r="A55" s="302">
        <v>760</v>
      </c>
      <c r="B55" s="223" t="s">
        <v>1124</v>
      </c>
      <c r="C55" s="534">
        <v>288</v>
      </c>
      <c r="D55" s="295"/>
      <c r="E55" s="434"/>
      <c r="F55" s="434"/>
      <c r="G55" s="317"/>
      <c r="H55" s="317"/>
      <c r="I55" s="317"/>
      <c r="J55" s="442"/>
    </row>
    <row r="56" spans="1:10" ht="18" customHeight="1" x14ac:dyDescent="0.3">
      <c r="A56" s="302">
        <v>761</v>
      </c>
      <c r="B56" s="223" t="s">
        <v>816</v>
      </c>
      <c r="C56" s="534">
        <v>24</v>
      </c>
      <c r="D56" s="295"/>
      <c r="E56" s="434"/>
      <c r="F56" s="434"/>
      <c r="G56" s="317"/>
      <c r="H56" s="317"/>
      <c r="I56" s="317"/>
      <c r="J56" s="442"/>
    </row>
    <row r="57" spans="1:10" ht="18" customHeight="1" x14ac:dyDescent="0.3">
      <c r="A57" s="302">
        <v>762</v>
      </c>
      <c r="B57" s="223" t="s">
        <v>532</v>
      </c>
      <c r="C57" s="534">
        <v>24</v>
      </c>
      <c r="D57" s="295"/>
      <c r="E57" s="434"/>
      <c r="F57" s="434"/>
      <c r="G57" s="317"/>
      <c r="H57" s="317"/>
      <c r="I57" s="317"/>
      <c r="J57" s="442"/>
    </row>
    <row r="58" spans="1:10" ht="18" customHeight="1" x14ac:dyDescent="0.3">
      <c r="A58" s="302">
        <v>763</v>
      </c>
      <c r="B58" s="223" t="s">
        <v>533</v>
      </c>
      <c r="C58" s="534">
        <v>480</v>
      </c>
      <c r="D58" s="295"/>
      <c r="E58" s="434"/>
      <c r="F58" s="434"/>
      <c r="G58" s="317"/>
      <c r="H58" s="317"/>
      <c r="I58" s="317"/>
      <c r="J58" s="442"/>
    </row>
    <row r="59" spans="1:10" ht="18" customHeight="1" x14ac:dyDescent="0.3">
      <c r="A59" s="302">
        <v>764</v>
      </c>
      <c r="B59" s="223" t="s">
        <v>1125</v>
      </c>
      <c r="C59" s="534">
        <v>504</v>
      </c>
      <c r="D59" s="295"/>
      <c r="E59" s="434" t="s">
        <v>1308</v>
      </c>
      <c r="F59" s="434"/>
      <c r="G59" s="317"/>
      <c r="H59" s="317"/>
      <c r="I59" s="317"/>
      <c r="J59" s="442"/>
    </row>
    <row r="60" spans="1:10" ht="18" customHeight="1" x14ac:dyDescent="0.3">
      <c r="A60" s="302">
        <v>769</v>
      </c>
      <c r="B60" s="223" t="s">
        <v>1126</v>
      </c>
      <c r="C60" s="534">
        <v>240</v>
      </c>
      <c r="D60" s="295"/>
      <c r="E60" s="434" t="s">
        <v>1308</v>
      </c>
      <c r="F60" s="434"/>
      <c r="G60" s="317"/>
      <c r="H60" s="317"/>
      <c r="I60" s="317"/>
      <c r="J60" s="442"/>
    </row>
    <row r="61" spans="1:10" ht="18" customHeight="1" x14ac:dyDescent="0.3">
      <c r="A61" s="302">
        <v>789</v>
      </c>
      <c r="B61" s="223" t="s">
        <v>1127</v>
      </c>
      <c r="C61" s="534">
        <v>1056</v>
      </c>
      <c r="D61" s="433" t="s">
        <v>1300</v>
      </c>
      <c r="E61" s="434" t="s">
        <v>1309</v>
      </c>
      <c r="F61" s="434"/>
      <c r="G61" s="317"/>
      <c r="H61" s="317"/>
      <c r="I61" s="317"/>
      <c r="J61" s="442"/>
    </row>
    <row r="62" spans="1:10" ht="18" customHeight="1" x14ac:dyDescent="0.3">
      <c r="A62" s="302">
        <v>800</v>
      </c>
      <c r="B62" s="223" t="s">
        <v>1128</v>
      </c>
      <c r="C62" s="534">
        <v>72</v>
      </c>
      <c r="D62" s="295"/>
      <c r="E62" s="434"/>
      <c r="F62" s="434"/>
      <c r="G62" s="317"/>
      <c r="H62" s="317">
        <v>8</v>
      </c>
      <c r="I62" s="317">
        <v>2</v>
      </c>
      <c r="J62" s="442">
        <v>220</v>
      </c>
    </row>
    <row r="63" spans="1:10" ht="18" customHeight="1" x14ac:dyDescent="0.3">
      <c r="A63" s="302">
        <v>802</v>
      </c>
      <c r="B63" s="223" t="s">
        <v>1166</v>
      </c>
      <c r="C63" s="534">
        <v>540</v>
      </c>
      <c r="D63" s="295"/>
      <c r="E63" s="434"/>
      <c r="F63" s="434"/>
      <c r="G63" s="317" t="s">
        <v>1300</v>
      </c>
      <c r="H63" s="317" t="s">
        <v>1519</v>
      </c>
      <c r="I63" s="317">
        <v>1</v>
      </c>
      <c r="J63" s="442">
        <v>1800</v>
      </c>
    </row>
    <row r="64" spans="1:10" ht="18" customHeight="1" x14ac:dyDescent="0.3">
      <c r="A64" s="302">
        <v>809</v>
      </c>
      <c r="B64" s="223" t="s">
        <v>1129</v>
      </c>
      <c r="C64" s="534">
        <v>1296</v>
      </c>
      <c r="D64" s="295"/>
      <c r="E64" s="434"/>
      <c r="F64" s="434"/>
      <c r="G64" s="317"/>
      <c r="H64" s="317">
        <v>12</v>
      </c>
      <c r="I64" s="317">
        <v>1</v>
      </c>
      <c r="J64" s="442">
        <v>800</v>
      </c>
    </row>
    <row r="65" spans="1:10" ht="18" customHeight="1" x14ac:dyDescent="0.3">
      <c r="A65" s="302">
        <v>816</v>
      </c>
      <c r="B65" s="223" t="s">
        <v>1130</v>
      </c>
      <c r="C65" s="534">
        <v>204</v>
      </c>
      <c r="D65" s="295"/>
      <c r="E65" s="434"/>
      <c r="F65" s="434"/>
      <c r="G65" s="317"/>
      <c r="H65" s="317"/>
      <c r="I65" s="317"/>
      <c r="J65" s="442"/>
    </row>
    <row r="66" spans="1:10" ht="18" customHeight="1" x14ac:dyDescent="0.3">
      <c r="A66" s="302">
        <v>817</v>
      </c>
      <c r="B66" s="223" t="s">
        <v>1131</v>
      </c>
      <c r="C66" s="534">
        <v>312</v>
      </c>
      <c r="D66" s="295"/>
      <c r="E66" s="434"/>
      <c r="F66" s="434"/>
      <c r="G66" s="317"/>
      <c r="H66" s="317"/>
      <c r="I66" s="317"/>
      <c r="J66" s="442"/>
    </row>
    <row r="67" spans="1:10" ht="18" customHeight="1" x14ac:dyDescent="0.3">
      <c r="A67" s="302">
        <v>818</v>
      </c>
      <c r="B67" s="223" t="s">
        <v>1132</v>
      </c>
      <c r="C67" s="534">
        <v>0</v>
      </c>
      <c r="D67" s="295"/>
      <c r="E67" s="434"/>
      <c r="F67" s="434"/>
      <c r="G67" s="317"/>
      <c r="H67" s="317"/>
      <c r="I67" s="317"/>
      <c r="J67" s="442"/>
    </row>
    <row r="68" spans="1:10" ht="18" customHeight="1" x14ac:dyDescent="0.3">
      <c r="A68" s="302">
        <v>824</v>
      </c>
      <c r="B68" s="223" t="s">
        <v>1133</v>
      </c>
      <c r="C68" s="534">
        <v>1920</v>
      </c>
      <c r="D68" s="433" t="s">
        <v>1300</v>
      </c>
      <c r="E68" s="434" t="s">
        <v>1309</v>
      </c>
      <c r="F68" s="434"/>
      <c r="G68" s="317"/>
      <c r="H68" s="317"/>
      <c r="I68" s="317"/>
      <c r="J68" s="442"/>
    </row>
    <row r="69" spans="1:10" ht="18" customHeight="1" x14ac:dyDescent="0.3">
      <c r="A69" s="302">
        <v>825</v>
      </c>
      <c r="B69" s="223" t="s">
        <v>1134</v>
      </c>
      <c r="C69" s="534">
        <v>2328</v>
      </c>
      <c r="D69" s="433" t="s">
        <v>1300</v>
      </c>
      <c r="E69" s="434" t="s">
        <v>1309</v>
      </c>
      <c r="F69" s="434"/>
      <c r="G69" s="317"/>
      <c r="H69" s="317"/>
      <c r="I69" s="317"/>
      <c r="J69" s="442"/>
    </row>
    <row r="70" spans="1:10" ht="18" customHeight="1" x14ac:dyDescent="0.3">
      <c r="A70" s="302">
        <v>828</v>
      </c>
      <c r="B70" s="223" t="s">
        <v>1225</v>
      </c>
      <c r="C70" s="534">
        <v>0</v>
      </c>
      <c r="D70" s="433" t="s">
        <v>1300</v>
      </c>
      <c r="E70" s="434"/>
      <c r="F70" s="434"/>
      <c r="G70" s="317"/>
      <c r="H70" s="317"/>
      <c r="I70" s="317"/>
      <c r="J70" s="442"/>
    </row>
    <row r="71" spans="1:10" ht="18" customHeight="1" x14ac:dyDescent="0.3">
      <c r="A71" s="302">
        <v>830</v>
      </c>
      <c r="B71" s="223" t="s">
        <v>1226</v>
      </c>
      <c r="C71" s="534">
        <v>0</v>
      </c>
      <c r="D71" s="433" t="s">
        <v>1300</v>
      </c>
      <c r="E71" s="434"/>
      <c r="F71" s="434"/>
      <c r="G71" s="317"/>
      <c r="H71" s="317"/>
      <c r="I71" s="317"/>
      <c r="J71" s="442"/>
    </row>
    <row r="72" spans="1:10" ht="18" customHeight="1" x14ac:dyDescent="0.3">
      <c r="A72" s="302">
        <v>836</v>
      </c>
      <c r="B72" s="223" t="s">
        <v>1135</v>
      </c>
      <c r="C72" s="534">
        <v>2400</v>
      </c>
      <c r="D72" s="295"/>
      <c r="E72" s="434"/>
      <c r="F72" s="434"/>
      <c r="G72" s="317"/>
      <c r="H72" s="317"/>
      <c r="I72" s="317"/>
      <c r="J72" s="442"/>
    </row>
    <row r="73" spans="1:10" ht="18" customHeight="1" x14ac:dyDescent="0.3">
      <c r="A73" s="302">
        <v>839</v>
      </c>
      <c r="B73" s="223" t="s">
        <v>1136</v>
      </c>
      <c r="C73" s="534">
        <v>180</v>
      </c>
      <c r="D73" s="295"/>
      <c r="E73" s="434"/>
      <c r="F73" s="434" t="s">
        <v>1300</v>
      </c>
      <c r="G73" s="317"/>
      <c r="H73" s="317"/>
      <c r="I73" s="317"/>
      <c r="J73" s="442"/>
    </row>
    <row r="74" spans="1:10" ht="18" customHeight="1" x14ac:dyDescent="0.3">
      <c r="A74" s="302">
        <v>840</v>
      </c>
      <c r="B74" s="223" t="s">
        <v>767</v>
      </c>
      <c r="C74" s="534">
        <v>2400</v>
      </c>
      <c r="D74" s="433" t="s">
        <v>1300</v>
      </c>
      <c r="E74" s="434" t="s">
        <v>1309</v>
      </c>
      <c r="F74" s="434"/>
      <c r="G74" s="317"/>
      <c r="H74" s="317"/>
      <c r="I74" s="317"/>
      <c r="J74" s="442"/>
    </row>
    <row r="75" spans="1:10" ht="18" customHeight="1" x14ac:dyDescent="0.3">
      <c r="A75" s="302">
        <v>842</v>
      </c>
      <c r="B75" s="223" t="s">
        <v>1137</v>
      </c>
      <c r="C75" s="534">
        <v>120</v>
      </c>
      <c r="D75" s="433" t="s">
        <v>1300</v>
      </c>
      <c r="E75" s="434" t="s">
        <v>1309</v>
      </c>
      <c r="F75" s="434"/>
      <c r="G75" s="317"/>
      <c r="H75" s="317"/>
      <c r="I75" s="317"/>
      <c r="J75" s="442"/>
    </row>
    <row r="76" spans="1:10" ht="18" customHeight="1" x14ac:dyDescent="0.3">
      <c r="A76" s="302">
        <v>843</v>
      </c>
      <c r="B76" s="223" t="s">
        <v>1138</v>
      </c>
      <c r="C76" s="534">
        <v>48</v>
      </c>
      <c r="D76" s="433" t="s">
        <v>1300</v>
      </c>
      <c r="E76" s="434" t="s">
        <v>1309</v>
      </c>
      <c r="F76" s="434"/>
      <c r="G76" s="317"/>
      <c r="H76" s="317"/>
      <c r="I76" s="317"/>
      <c r="J76" s="442"/>
    </row>
    <row r="77" spans="1:10" ht="18" customHeight="1" x14ac:dyDescent="0.3">
      <c r="A77" s="302">
        <v>844</v>
      </c>
      <c r="B77" s="223" t="s">
        <v>1139</v>
      </c>
      <c r="C77" s="534">
        <v>48</v>
      </c>
      <c r="D77" s="433" t="s">
        <v>1300</v>
      </c>
      <c r="E77" s="434" t="s">
        <v>1309</v>
      </c>
      <c r="F77" s="434"/>
      <c r="G77" s="317"/>
      <c r="H77" s="317"/>
      <c r="I77" s="317"/>
      <c r="J77" s="442"/>
    </row>
    <row r="78" spans="1:10" ht="18" customHeight="1" x14ac:dyDescent="0.3">
      <c r="A78" s="302">
        <v>845</v>
      </c>
      <c r="B78" s="223" t="s">
        <v>1140</v>
      </c>
      <c r="C78" s="534">
        <v>168</v>
      </c>
      <c r="D78" s="433" t="s">
        <v>1300</v>
      </c>
      <c r="E78" s="434" t="s">
        <v>1309</v>
      </c>
      <c r="F78" s="434"/>
      <c r="G78" s="317"/>
      <c r="H78" s="317"/>
      <c r="I78" s="317"/>
      <c r="J78" s="442"/>
    </row>
    <row r="79" spans="1:10" ht="18" customHeight="1" x14ac:dyDescent="0.3">
      <c r="A79" s="302">
        <v>846</v>
      </c>
      <c r="B79" s="223" t="s">
        <v>1141</v>
      </c>
      <c r="C79" s="534">
        <v>192</v>
      </c>
      <c r="D79" s="433" t="s">
        <v>1300</v>
      </c>
      <c r="E79" s="434" t="s">
        <v>1309</v>
      </c>
      <c r="F79" s="434"/>
      <c r="G79" s="317"/>
      <c r="H79" s="317"/>
      <c r="I79" s="317"/>
      <c r="J79" s="442"/>
    </row>
    <row r="80" spans="1:10" ht="18" customHeight="1" x14ac:dyDescent="0.3">
      <c r="A80" s="302">
        <v>847</v>
      </c>
      <c r="B80" s="223" t="s">
        <v>1142</v>
      </c>
      <c r="C80" s="534">
        <v>1440</v>
      </c>
      <c r="D80" s="433" t="s">
        <v>1300</v>
      </c>
      <c r="E80" s="434" t="s">
        <v>1309</v>
      </c>
      <c r="F80" s="434"/>
      <c r="G80" s="317"/>
      <c r="H80" s="317"/>
      <c r="I80" s="317"/>
      <c r="J80" s="442"/>
    </row>
    <row r="81" spans="1:10" ht="18" customHeight="1" x14ac:dyDescent="0.3">
      <c r="A81" s="302">
        <v>848</v>
      </c>
      <c r="B81" s="223" t="s">
        <v>771</v>
      </c>
      <c r="C81" s="534">
        <v>24</v>
      </c>
      <c r="D81" s="433" t="s">
        <v>1300</v>
      </c>
      <c r="E81" s="434" t="s">
        <v>1309</v>
      </c>
      <c r="F81" s="434"/>
      <c r="G81" s="317"/>
      <c r="H81" s="317">
        <v>12</v>
      </c>
      <c r="I81" s="317">
        <v>2</v>
      </c>
      <c r="J81" s="442">
        <v>192</v>
      </c>
    </row>
    <row r="82" spans="1:10" ht="18" customHeight="1" x14ac:dyDescent="0.3">
      <c r="A82" s="302">
        <v>852</v>
      </c>
      <c r="B82" s="223" t="s">
        <v>1143</v>
      </c>
      <c r="C82" s="534">
        <v>60</v>
      </c>
      <c r="D82" s="295"/>
      <c r="E82" s="434"/>
      <c r="F82" s="434"/>
      <c r="G82" s="317"/>
      <c r="H82" s="317"/>
      <c r="I82" s="317"/>
      <c r="J82" s="442"/>
    </row>
    <row r="83" spans="1:10" ht="18" customHeight="1" x14ac:dyDescent="0.3">
      <c r="A83" s="302">
        <v>856</v>
      </c>
      <c r="B83" s="223" t="s">
        <v>1144</v>
      </c>
      <c r="C83" s="534">
        <v>96</v>
      </c>
      <c r="D83" s="295"/>
      <c r="E83" s="434" t="s">
        <v>1309</v>
      </c>
      <c r="F83" s="434"/>
      <c r="G83" s="317"/>
      <c r="H83" s="317">
        <v>8</v>
      </c>
      <c r="I83" s="317">
        <v>1</v>
      </c>
      <c r="J83" s="442">
        <v>96</v>
      </c>
    </row>
    <row r="84" spans="1:10" ht="18" customHeight="1" x14ac:dyDescent="0.3">
      <c r="A84" s="302">
        <v>857</v>
      </c>
      <c r="B84" s="223" t="s">
        <v>1145</v>
      </c>
      <c r="C84" s="534">
        <v>24</v>
      </c>
      <c r="D84" s="295"/>
      <c r="E84" s="434"/>
      <c r="F84" s="434"/>
      <c r="G84" s="317"/>
      <c r="H84" s="317">
        <v>8</v>
      </c>
      <c r="I84" s="317">
        <v>1</v>
      </c>
      <c r="J84" s="442">
        <v>48</v>
      </c>
    </row>
    <row r="85" spans="1:10" ht="18" customHeight="1" x14ac:dyDescent="0.3">
      <c r="A85" s="302">
        <v>858</v>
      </c>
      <c r="B85" s="223" t="s">
        <v>823</v>
      </c>
      <c r="C85" s="534">
        <v>96</v>
      </c>
      <c r="D85" s="295"/>
      <c r="E85" s="434"/>
      <c r="F85" s="434"/>
      <c r="G85" s="317"/>
      <c r="H85" s="317">
        <v>8</v>
      </c>
      <c r="I85" s="317">
        <v>1</v>
      </c>
      <c r="J85" s="442">
        <v>120</v>
      </c>
    </row>
    <row r="86" spans="1:10" ht="18" customHeight="1" x14ac:dyDescent="0.3">
      <c r="A86" s="302">
        <v>859</v>
      </c>
      <c r="B86" s="223" t="s">
        <v>819</v>
      </c>
      <c r="C86" s="534">
        <v>72</v>
      </c>
      <c r="D86" s="295"/>
      <c r="E86" s="434"/>
      <c r="F86" s="434"/>
      <c r="G86" s="317"/>
      <c r="H86" s="317">
        <v>8</v>
      </c>
      <c r="I86" s="317">
        <v>1</v>
      </c>
      <c r="J86" s="442">
        <v>240</v>
      </c>
    </row>
    <row r="87" spans="1:10" ht="18" customHeight="1" x14ac:dyDescent="0.3">
      <c r="A87" s="302">
        <v>860</v>
      </c>
      <c r="B87" s="223" t="s">
        <v>1146</v>
      </c>
      <c r="C87" s="534">
        <v>0</v>
      </c>
      <c r="D87" s="295"/>
      <c r="E87" s="434"/>
      <c r="F87" s="434"/>
      <c r="G87" s="317"/>
      <c r="H87" s="317"/>
      <c r="I87" s="317"/>
      <c r="J87" s="442"/>
    </row>
    <row r="88" spans="1:10" ht="18" customHeight="1" x14ac:dyDescent="0.3">
      <c r="A88" s="302">
        <v>862</v>
      </c>
      <c r="B88" s="223" t="s">
        <v>1147</v>
      </c>
      <c r="C88" s="534">
        <v>180</v>
      </c>
      <c r="D88" s="295"/>
      <c r="E88" s="434"/>
      <c r="F88" s="434"/>
      <c r="G88" s="317"/>
      <c r="H88" s="317">
        <v>8</v>
      </c>
      <c r="I88" s="317">
        <v>1</v>
      </c>
      <c r="J88" s="442">
        <v>180</v>
      </c>
    </row>
    <row r="89" spans="1:10" ht="18" customHeight="1" x14ac:dyDescent="0.3">
      <c r="A89" s="302">
        <v>863</v>
      </c>
      <c r="B89" s="223" t="s">
        <v>1148</v>
      </c>
      <c r="C89" s="534">
        <v>48</v>
      </c>
      <c r="D89" s="295"/>
      <c r="E89" s="434"/>
      <c r="F89" s="434"/>
      <c r="G89" s="317"/>
      <c r="H89" s="317">
        <v>14</v>
      </c>
      <c r="I89" s="317">
        <v>2</v>
      </c>
      <c r="J89" s="442">
        <v>192</v>
      </c>
    </row>
    <row r="90" spans="1:10" ht="18" customHeight="1" x14ac:dyDescent="0.3">
      <c r="A90" s="302">
        <v>864</v>
      </c>
      <c r="B90" s="223" t="s">
        <v>815</v>
      </c>
      <c r="C90" s="534">
        <v>48</v>
      </c>
      <c r="D90" s="295"/>
      <c r="E90" s="434"/>
      <c r="F90" s="434"/>
      <c r="G90" s="317"/>
      <c r="H90" s="317">
        <v>8</v>
      </c>
      <c r="I90" s="317">
        <v>1</v>
      </c>
      <c r="J90" s="442">
        <v>120</v>
      </c>
    </row>
    <row r="91" spans="1:10" ht="18" customHeight="1" x14ac:dyDescent="0.3">
      <c r="A91" s="302">
        <v>867</v>
      </c>
      <c r="B91" s="223" t="s">
        <v>1168</v>
      </c>
      <c r="C91" s="534">
        <v>312</v>
      </c>
      <c r="D91" s="295"/>
      <c r="E91" s="434" t="s">
        <v>1309</v>
      </c>
      <c r="F91" s="434"/>
      <c r="G91" s="317"/>
      <c r="H91" s="317"/>
      <c r="I91" s="317"/>
      <c r="J91" s="442"/>
    </row>
    <row r="92" spans="1:10" ht="18" customHeight="1" x14ac:dyDescent="0.3">
      <c r="A92" s="302">
        <v>872</v>
      </c>
      <c r="B92" s="223" t="s">
        <v>827</v>
      </c>
      <c r="C92" s="534">
        <v>0</v>
      </c>
      <c r="D92" s="433" t="s">
        <v>1300</v>
      </c>
      <c r="E92" s="434" t="s">
        <v>1309</v>
      </c>
      <c r="F92" s="434"/>
      <c r="G92" s="317"/>
      <c r="H92" s="317"/>
      <c r="I92" s="317"/>
      <c r="J92" s="442"/>
    </row>
    <row r="93" spans="1:10" ht="18" customHeight="1" x14ac:dyDescent="0.3">
      <c r="A93" s="302">
        <v>873</v>
      </c>
      <c r="B93" s="223" t="s">
        <v>828</v>
      </c>
      <c r="C93" s="534">
        <v>0</v>
      </c>
      <c r="D93" s="433" t="s">
        <v>1300</v>
      </c>
      <c r="E93" s="434" t="s">
        <v>1309</v>
      </c>
      <c r="F93" s="434"/>
      <c r="G93" s="317"/>
      <c r="H93" s="317"/>
      <c r="I93" s="317"/>
      <c r="J93" s="442"/>
    </row>
    <row r="94" spans="1:10" ht="18" customHeight="1" x14ac:dyDescent="0.3">
      <c r="A94" s="302">
        <v>878</v>
      </c>
      <c r="B94" s="223" t="s">
        <v>1149</v>
      </c>
      <c r="C94" s="534">
        <v>240</v>
      </c>
      <c r="D94" s="295"/>
      <c r="E94" s="434"/>
      <c r="F94" s="434"/>
      <c r="G94" s="317"/>
      <c r="H94" s="317">
        <v>8</v>
      </c>
      <c r="I94" s="317">
        <v>4</v>
      </c>
      <c r="J94" s="442">
        <v>800</v>
      </c>
    </row>
    <row r="95" spans="1:10" ht="18" customHeight="1" x14ac:dyDescent="0.3">
      <c r="A95" s="302">
        <v>879</v>
      </c>
      <c r="B95" s="223" t="s">
        <v>1150</v>
      </c>
      <c r="C95" s="534">
        <v>24</v>
      </c>
      <c r="D95" s="295"/>
      <c r="E95" s="434" t="s">
        <v>1309</v>
      </c>
      <c r="F95" s="434"/>
      <c r="G95" s="317"/>
      <c r="H95" s="317"/>
      <c r="I95" s="317"/>
      <c r="J95" s="442"/>
    </row>
    <row r="96" spans="1:10" ht="18" customHeight="1" x14ac:dyDescent="0.3">
      <c r="A96" s="302">
        <v>900</v>
      </c>
      <c r="B96" s="223" t="s">
        <v>1170</v>
      </c>
      <c r="C96" s="534">
        <v>24</v>
      </c>
      <c r="D96" s="295"/>
      <c r="E96" s="434" t="s">
        <v>1309</v>
      </c>
      <c r="F96" s="434"/>
      <c r="G96" s="317"/>
      <c r="H96" s="317"/>
      <c r="I96" s="317"/>
      <c r="J96" s="442"/>
    </row>
    <row r="97" spans="1:10" ht="18" customHeight="1" x14ac:dyDescent="0.3">
      <c r="A97" s="302">
        <v>901</v>
      </c>
      <c r="B97" s="223" t="s">
        <v>1171</v>
      </c>
      <c r="C97" s="534">
        <v>1440</v>
      </c>
      <c r="D97" s="433" t="s">
        <v>1300</v>
      </c>
      <c r="E97" s="434" t="s">
        <v>1309</v>
      </c>
      <c r="F97" s="434"/>
      <c r="G97" s="317"/>
      <c r="H97" s="317"/>
      <c r="I97" s="317"/>
      <c r="J97" s="442"/>
    </row>
    <row r="98" spans="1:10" ht="18" customHeight="1" x14ac:dyDescent="0.3">
      <c r="A98" s="302">
        <v>902</v>
      </c>
      <c r="B98" s="223" t="s">
        <v>1172</v>
      </c>
      <c r="C98" s="534">
        <v>228</v>
      </c>
      <c r="D98" s="433" t="s">
        <v>1300</v>
      </c>
      <c r="E98" s="434" t="s">
        <v>1309</v>
      </c>
      <c r="F98" s="434"/>
      <c r="G98" s="317"/>
      <c r="H98" s="317"/>
      <c r="I98" s="317"/>
      <c r="J98" s="442"/>
    </row>
    <row r="99" spans="1:10" ht="18" customHeight="1" x14ac:dyDescent="0.3">
      <c r="A99" s="302">
        <v>908</v>
      </c>
      <c r="B99" s="223" t="s">
        <v>1151</v>
      </c>
      <c r="C99" s="534">
        <v>60</v>
      </c>
      <c r="D99" s="295"/>
      <c r="E99" s="434"/>
      <c r="F99" s="434"/>
      <c r="G99" s="317" t="s">
        <v>1300</v>
      </c>
      <c r="H99" s="317"/>
      <c r="I99" s="317"/>
      <c r="J99" s="442"/>
    </row>
    <row r="100" spans="1:10" ht="18" customHeight="1" x14ac:dyDescent="0.3">
      <c r="A100" s="302">
        <v>909</v>
      </c>
      <c r="B100" s="223" t="s">
        <v>1173</v>
      </c>
      <c r="C100" s="534">
        <v>276</v>
      </c>
      <c r="D100" s="295"/>
      <c r="E100" s="434"/>
      <c r="F100" s="434"/>
      <c r="G100" s="317"/>
      <c r="H100" s="317"/>
      <c r="I100" s="317"/>
      <c r="J100" s="442"/>
    </row>
    <row r="101" spans="1:10" ht="18" customHeight="1" x14ac:dyDescent="0.3">
      <c r="A101" s="302">
        <v>910</v>
      </c>
      <c r="B101" s="223" t="s">
        <v>1174</v>
      </c>
      <c r="C101" s="534">
        <v>864</v>
      </c>
      <c r="D101" s="433" t="s">
        <v>1300</v>
      </c>
      <c r="E101" s="434" t="s">
        <v>1309</v>
      </c>
      <c r="F101" s="434"/>
      <c r="G101" s="317"/>
      <c r="H101" s="317"/>
      <c r="I101" s="317"/>
      <c r="J101" s="442"/>
    </row>
    <row r="102" spans="1:10" ht="18" customHeight="1" x14ac:dyDescent="0.3">
      <c r="A102" s="302">
        <v>911</v>
      </c>
      <c r="B102" s="223" t="s">
        <v>1175</v>
      </c>
      <c r="C102" s="534">
        <v>336</v>
      </c>
      <c r="D102" s="433" t="s">
        <v>1300</v>
      </c>
      <c r="E102" s="434" t="s">
        <v>1309</v>
      </c>
      <c r="F102" s="434"/>
      <c r="G102" s="317"/>
      <c r="H102" s="317"/>
      <c r="I102" s="317"/>
      <c r="J102" s="442"/>
    </row>
    <row r="103" spans="1:10" ht="18" customHeight="1" x14ac:dyDescent="0.3">
      <c r="A103" s="302">
        <v>912</v>
      </c>
      <c r="B103" s="223" t="s">
        <v>1152</v>
      </c>
      <c r="C103" s="534">
        <v>0</v>
      </c>
      <c r="D103" s="433" t="s">
        <v>1300</v>
      </c>
      <c r="E103" s="434" t="s">
        <v>1309</v>
      </c>
      <c r="F103" s="434"/>
      <c r="G103" s="317"/>
      <c r="H103" s="317"/>
      <c r="I103" s="317"/>
      <c r="J103" s="442"/>
    </row>
    <row r="104" spans="1:10" ht="18" customHeight="1" x14ac:dyDescent="0.3">
      <c r="A104" s="302">
        <v>920</v>
      </c>
      <c r="B104" s="223" t="s">
        <v>1176</v>
      </c>
      <c r="C104" s="534">
        <v>144</v>
      </c>
      <c r="D104" s="433" t="s">
        <v>1300</v>
      </c>
      <c r="E104" s="434" t="s">
        <v>1309</v>
      </c>
      <c r="F104" s="434"/>
      <c r="G104" s="317"/>
      <c r="H104" s="317"/>
      <c r="I104" s="317"/>
      <c r="J104" s="442"/>
    </row>
    <row r="105" spans="1:10" ht="18" customHeight="1" x14ac:dyDescent="0.3">
      <c r="A105" s="302">
        <v>922</v>
      </c>
      <c r="B105" s="223" t="s">
        <v>1177</v>
      </c>
      <c r="C105" s="534">
        <v>696</v>
      </c>
      <c r="D105" s="433" t="s">
        <v>1300</v>
      </c>
      <c r="E105" s="434" t="s">
        <v>1309</v>
      </c>
      <c r="F105" s="434"/>
      <c r="G105" s="317"/>
      <c r="H105" s="317"/>
      <c r="I105" s="317"/>
      <c r="J105" s="442"/>
    </row>
    <row r="106" spans="1:10" ht="18" customHeight="1" x14ac:dyDescent="0.3">
      <c r="A106" s="302" t="s">
        <v>930</v>
      </c>
      <c r="B106" s="223" t="s">
        <v>1153</v>
      </c>
      <c r="C106" s="534">
        <v>0</v>
      </c>
      <c r="D106" s="295"/>
      <c r="E106" s="434"/>
      <c r="F106" s="434"/>
      <c r="G106" s="317"/>
      <c r="H106" s="317"/>
      <c r="I106" s="317"/>
      <c r="J106" s="442"/>
    </row>
    <row r="107" spans="1:10" ht="18" customHeight="1" x14ac:dyDescent="0.3">
      <c r="A107" s="302" t="s">
        <v>927</v>
      </c>
      <c r="B107" s="223" t="s">
        <v>1154</v>
      </c>
      <c r="C107" s="534">
        <v>0</v>
      </c>
      <c r="D107" s="295"/>
      <c r="E107" s="434"/>
      <c r="F107" s="434"/>
      <c r="G107" s="317"/>
      <c r="H107" s="317"/>
      <c r="I107" s="317"/>
      <c r="J107" s="442"/>
    </row>
    <row r="108" spans="1:10" ht="18" customHeight="1" x14ac:dyDescent="0.3">
      <c r="A108" s="302" t="s">
        <v>914</v>
      </c>
      <c r="B108" s="223" t="s">
        <v>1155</v>
      </c>
      <c r="C108" s="534">
        <v>0</v>
      </c>
      <c r="D108" s="295"/>
      <c r="E108" s="434"/>
      <c r="F108" s="434"/>
      <c r="G108" s="317"/>
      <c r="H108" s="317"/>
      <c r="I108" s="317"/>
      <c r="J108" s="442"/>
    </row>
    <row r="109" spans="1:10" ht="18" customHeight="1" x14ac:dyDescent="0.3">
      <c r="A109" s="302" t="s">
        <v>921</v>
      </c>
      <c r="B109" s="223" t="s">
        <v>1156</v>
      </c>
      <c r="C109" s="534">
        <v>0</v>
      </c>
      <c r="D109" s="295"/>
      <c r="E109" s="434"/>
      <c r="F109" s="434"/>
      <c r="G109" s="317"/>
      <c r="H109" s="317"/>
      <c r="I109" s="317"/>
      <c r="J109" s="442"/>
    </row>
    <row r="110" spans="1:10" ht="18" customHeight="1" x14ac:dyDescent="0.3">
      <c r="A110" s="302" t="s">
        <v>923</v>
      </c>
      <c r="B110" s="223" t="s">
        <v>1157</v>
      </c>
      <c r="C110" s="534">
        <v>0</v>
      </c>
      <c r="D110" s="295"/>
      <c r="E110" s="434"/>
      <c r="F110" s="434"/>
      <c r="G110" s="317"/>
      <c r="H110" s="317"/>
      <c r="I110" s="317"/>
      <c r="J110" s="442"/>
    </row>
    <row r="111" spans="1:10" ht="18" customHeight="1" x14ac:dyDescent="0.3">
      <c r="A111" s="302" t="s">
        <v>915</v>
      </c>
      <c r="B111" s="223" t="s">
        <v>1158</v>
      </c>
      <c r="C111" s="534">
        <v>0</v>
      </c>
      <c r="D111" s="295"/>
      <c r="E111" s="434"/>
      <c r="F111" s="434"/>
      <c r="G111" s="317"/>
      <c r="H111" s="317"/>
      <c r="I111" s="317"/>
      <c r="J111" s="442"/>
    </row>
    <row r="112" spans="1:10" ht="18" customHeight="1" x14ac:dyDescent="0.3">
      <c r="A112" s="302" t="s">
        <v>932</v>
      </c>
      <c r="B112" s="223" t="s">
        <v>813</v>
      </c>
      <c r="C112" s="534">
        <v>0</v>
      </c>
      <c r="D112" s="295"/>
      <c r="E112" s="434"/>
      <c r="F112" s="434"/>
      <c r="G112" s="317"/>
      <c r="H112" s="317"/>
      <c r="I112" s="317"/>
      <c r="J112" s="442"/>
    </row>
    <row r="113" spans="1:10" ht="18" customHeight="1" x14ac:dyDescent="0.3">
      <c r="A113" s="302" t="s">
        <v>924</v>
      </c>
      <c r="B113" s="223" t="s">
        <v>798</v>
      </c>
      <c r="C113" s="534">
        <v>0</v>
      </c>
      <c r="D113" s="295"/>
      <c r="E113" s="434"/>
      <c r="F113" s="434"/>
      <c r="G113" s="317"/>
      <c r="H113" s="317"/>
      <c r="I113" s="317"/>
      <c r="J113" s="442"/>
    </row>
    <row r="114" spans="1:10" ht="18" customHeight="1" x14ac:dyDescent="0.3">
      <c r="A114" s="302" t="s">
        <v>917</v>
      </c>
      <c r="B114" s="223" t="s">
        <v>1159</v>
      </c>
      <c r="C114" s="534">
        <v>0</v>
      </c>
      <c r="D114" s="295"/>
      <c r="E114" s="434"/>
      <c r="F114" s="434"/>
      <c r="G114" s="317"/>
      <c r="H114" s="317"/>
      <c r="I114" s="317"/>
      <c r="J114" s="442"/>
    </row>
    <row r="115" spans="1:10" ht="18" customHeight="1" x14ac:dyDescent="0.3">
      <c r="A115" s="302" t="s">
        <v>929</v>
      </c>
      <c r="B115" s="223" t="s">
        <v>1160</v>
      </c>
      <c r="C115" s="534">
        <v>0</v>
      </c>
      <c r="D115" s="295"/>
      <c r="E115" s="434"/>
      <c r="F115" s="317"/>
      <c r="G115" s="317"/>
      <c r="H115" s="317"/>
      <c r="I115" s="317"/>
      <c r="J115" s="442"/>
    </row>
    <row r="116" spans="1:10" ht="18" customHeight="1" x14ac:dyDescent="0.3">
      <c r="A116" s="302" t="s">
        <v>933</v>
      </c>
      <c r="B116" s="223" t="s">
        <v>1161</v>
      </c>
      <c r="C116" s="534">
        <v>0</v>
      </c>
      <c r="D116" s="295"/>
      <c r="E116" s="434"/>
      <c r="F116" s="317"/>
      <c r="G116" s="317"/>
      <c r="H116" s="317"/>
      <c r="I116" s="317"/>
      <c r="J116" s="442"/>
    </row>
    <row r="117" spans="1:10" ht="18" customHeight="1" x14ac:dyDescent="0.3">
      <c r="A117" s="302" t="s">
        <v>934</v>
      </c>
      <c r="B117" s="223" t="s">
        <v>1162</v>
      </c>
      <c r="C117" s="534">
        <v>0</v>
      </c>
      <c r="D117" s="295"/>
      <c r="E117" s="434"/>
      <c r="F117" s="317"/>
      <c r="G117" s="317"/>
      <c r="H117" s="317"/>
      <c r="I117" s="317"/>
      <c r="J117" s="442"/>
    </row>
    <row r="118" spans="1:10" ht="18" customHeight="1" x14ac:dyDescent="0.3">
      <c r="A118" s="302" t="s">
        <v>935</v>
      </c>
      <c r="B118" s="223" t="s">
        <v>1163</v>
      </c>
      <c r="C118" s="534">
        <v>0</v>
      </c>
      <c r="D118" s="295"/>
      <c r="E118" s="434"/>
      <c r="F118" s="317"/>
      <c r="G118" s="317"/>
      <c r="H118" s="317"/>
      <c r="I118" s="317"/>
      <c r="J118" s="442"/>
    </row>
    <row r="119" spans="1:10" ht="18" customHeight="1" x14ac:dyDescent="0.3">
      <c r="A119" s="302" t="s">
        <v>1074</v>
      </c>
      <c r="B119" s="223" t="s">
        <v>1164</v>
      </c>
      <c r="C119" s="534">
        <v>240</v>
      </c>
      <c r="D119" s="295"/>
      <c r="E119" s="434"/>
      <c r="F119" s="317"/>
      <c r="G119" s="317"/>
      <c r="H119" s="317"/>
      <c r="I119" s="317"/>
      <c r="J119" s="442"/>
    </row>
    <row r="120" spans="1:10" ht="18" customHeight="1" x14ac:dyDescent="0.3">
      <c r="A120" s="302" t="s">
        <v>1072</v>
      </c>
      <c r="B120" s="223" t="s">
        <v>1108</v>
      </c>
      <c r="C120" s="534">
        <v>1200</v>
      </c>
      <c r="D120" s="295"/>
      <c r="E120" s="434"/>
      <c r="F120" s="317"/>
      <c r="G120" s="317"/>
      <c r="H120" s="317"/>
      <c r="I120" s="317"/>
      <c r="J120" s="442"/>
    </row>
    <row r="121" spans="1:10" ht="18" customHeight="1" x14ac:dyDescent="0.3">
      <c r="A121" s="302" t="s">
        <v>1073</v>
      </c>
      <c r="B121" s="223" t="s">
        <v>1111</v>
      </c>
      <c r="C121" s="534">
        <v>240</v>
      </c>
      <c r="D121" s="295"/>
      <c r="E121" s="434"/>
      <c r="F121" s="317"/>
      <c r="G121" s="317"/>
      <c r="H121" s="317"/>
      <c r="I121" s="317"/>
      <c r="J121" s="442"/>
    </row>
    <row r="122" spans="1:10" ht="18" customHeight="1" x14ac:dyDescent="0.3">
      <c r="A122" s="302" t="s">
        <v>1075</v>
      </c>
      <c r="B122" s="223" t="s">
        <v>1065</v>
      </c>
      <c r="C122" s="534">
        <v>240</v>
      </c>
      <c r="D122" s="295"/>
      <c r="E122" s="434"/>
      <c r="F122" s="317"/>
      <c r="G122" s="317"/>
      <c r="H122" s="317"/>
      <c r="I122" s="317"/>
      <c r="J122" s="442"/>
    </row>
    <row r="123" spans="1:10" ht="18" customHeight="1" x14ac:dyDescent="0.3">
      <c r="A123" s="302" t="s">
        <v>1076</v>
      </c>
      <c r="B123" s="223" t="s">
        <v>1165</v>
      </c>
      <c r="C123" s="534">
        <v>276</v>
      </c>
      <c r="D123" s="295"/>
      <c r="E123" s="434"/>
      <c r="F123" s="317"/>
      <c r="G123" s="317"/>
      <c r="H123" s="317"/>
      <c r="I123" s="317"/>
      <c r="J123" s="442"/>
    </row>
    <row r="124" spans="1:10" ht="18" customHeight="1" x14ac:dyDescent="0.3">
      <c r="A124" s="302" t="s">
        <v>1077</v>
      </c>
      <c r="B124" s="223" t="s">
        <v>1065</v>
      </c>
      <c r="C124" s="534">
        <v>792</v>
      </c>
      <c r="D124" s="295"/>
      <c r="E124" s="434"/>
      <c r="F124" s="317"/>
      <c r="G124" s="317"/>
      <c r="H124" s="317"/>
      <c r="I124" s="317"/>
      <c r="J124" s="442"/>
    </row>
    <row r="125" spans="1:10" ht="18" customHeight="1" x14ac:dyDescent="0.3">
      <c r="A125" s="302" t="s">
        <v>1070</v>
      </c>
      <c r="B125" s="223" t="s">
        <v>1129</v>
      </c>
      <c r="C125" s="534">
        <v>1680</v>
      </c>
      <c r="D125" s="295"/>
      <c r="E125" s="434"/>
      <c r="F125" s="317"/>
      <c r="G125" s="317"/>
      <c r="H125" s="317"/>
      <c r="I125" s="317"/>
      <c r="J125" s="442"/>
    </row>
    <row r="126" spans="1:10" ht="18" customHeight="1" x14ac:dyDescent="0.3">
      <c r="A126" s="302" t="s">
        <v>1078</v>
      </c>
      <c r="B126" s="223" t="s">
        <v>1167</v>
      </c>
      <c r="C126" s="534">
        <v>120</v>
      </c>
      <c r="D126" s="295"/>
      <c r="E126" s="434"/>
      <c r="F126" s="317" t="s">
        <v>1300</v>
      </c>
      <c r="G126" s="317" t="s">
        <v>1300</v>
      </c>
      <c r="H126" s="317"/>
      <c r="I126" s="317"/>
      <c r="J126" s="442"/>
    </row>
    <row r="127" spans="1:10" ht="18" customHeight="1" x14ac:dyDescent="0.3">
      <c r="A127" s="302" t="s">
        <v>1079</v>
      </c>
      <c r="B127" s="223" t="s">
        <v>1071</v>
      </c>
      <c r="C127" s="534">
        <v>0</v>
      </c>
      <c r="D127" s="295"/>
      <c r="E127" s="434"/>
      <c r="F127" s="317"/>
      <c r="G127" s="317" t="s">
        <v>1300</v>
      </c>
      <c r="H127" s="317"/>
      <c r="I127" s="317"/>
      <c r="J127" s="442"/>
    </row>
    <row r="128" spans="1:10" ht="18" customHeight="1" thickBot="1" x14ac:dyDescent="0.35">
      <c r="A128" s="298" t="s">
        <v>1080</v>
      </c>
      <c r="B128" s="242" t="s">
        <v>1169</v>
      </c>
      <c r="C128" s="535">
        <v>204</v>
      </c>
      <c r="D128" s="437"/>
      <c r="E128" s="515"/>
      <c r="F128" s="516"/>
      <c r="G128" s="516"/>
      <c r="H128" s="516"/>
      <c r="I128" s="516"/>
      <c r="J128" s="523"/>
    </row>
    <row r="129" spans="5:5" ht="18" customHeight="1" x14ac:dyDescent="0.3">
      <c r="E129" s="513"/>
    </row>
    <row r="130" spans="5:5" ht="18" customHeight="1" x14ac:dyDescent="0.3">
      <c r="E130" s="513"/>
    </row>
    <row r="131" spans="5:5" ht="18" customHeight="1" x14ac:dyDescent="0.3">
      <c r="E131" s="513"/>
    </row>
    <row r="132" spans="5:5" ht="18" customHeight="1" x14ac:dyDescent="0.3">
      <c r="E132" s="513"/>
    </row>
    <row r="133" spans="5:5" ht="18" customHeight="1" x14ac:dyDescent="0.3">
      <c r="E133" s="513"/>
    </row>
    <row r="134" spans="5:5" ht="18" customHeight="1" x14ac:dyDescent="0.3">
      <c r="E134" s="513"/>
    </row>
    <row r="135" spans="5:5" ht="18" customHeight="1" x14ac:dyDescent="0.3">
      <c r="E135" s="513"/>
    </row>
    <row r="136" spans="5:5" ht="18" customHeight="1" x14ac:dyDescent="0.3">
      <c r="E136" s="513"/>
    </row>
    <row r="137" spans="5:5" ht="18" customHeight="1" x14ac:dyDescent="0.3">
      <c r="E137" s="513"/>
    </row>
    <row r="138" spans="5:5" ht="18" customHeight="1" x14ac:dyDescent="0.3">
      <c r="E138" s="513"/>
    </row>
    <row r="139" spans="5:5" ht="18" customHeight="1" x14ac:dyDescent="0.3">
      <c r="E139" s="513"/>
    </row>
    <row r="140" spans="5:5" ht="18" customHeight="1" x14ac:dyDescent="0.3">
      <c r="E140" s="513"/>
    </row>
    <row r="141" spans="5:5" ht="18" customHeight="1" x14ac:dyDescent="0.3">
      <c r="E141" s="513"/>
    </row>
    <row r="142" spans="5:5" ht="18" customHeight="1" x14ac:dyDescent="0.3">
      <c r="E142" s="513"/>
    </row>
    <row r="143" spans="5:5" ht="18" customHeight="1" x14ac:dyDescent="0.3">
      <c r="E143" s="513"/>
    </row>
    <row r="144" spans="5:5" ht="18" customHeight="1" x14ac:dyDescent="0.3">
      <c r="E144" s="513"/>
    </row>
    <row r="145" spans="5:5" ht="18" customHeight="1" x14ac:dyDescent="0.3">
      <c r="E145" s="513"/>
    </row>
    <row r="146" spans="5:5" ht="18" customHeight="1" x14ac:dyDescent="0.3">
      <c r="E146" s="513"/>
    </row>
    <row r="147" spans="5:5" ht="18" customHeight="1" x14ac:dyDescent="0.3">
      <c r="E147" s="513"/>
    </row>
    <row r="148" spans="5:5" ht="18" customHeight="1" x14ac:dyDescent="0.3">
      <c r="E148" s="513"/>
    </row>
    <row r="149" spans="5:5" ht="18" customHeight="1" x14ac:dyDescent="0.3">
      <c r="E149" s="513"/>
    </row>
    <row r="150" spans="5:5" ht="18" customHeight="1" x14ac:dyDescent="0.3">
      <c r="E150" s="513"/>
    </row>
    <row r="151" spans="5:5" ht="18" customHeight="1" x14ac:dyDescent="0.3">
      <c r="E151" s="513"/>
    </row>
    <row r="152" spans="5:5" ht="18" customHeight="1" x14ac:dyDescent="0.3">
      <c r="E152" s="513"/>
    </row>
    <row r="153" spans="5:5" ht="18" customHeight="1" x14ac:dyDescent="0.3">
      <c r="E153" s="513"/>
    </row>
    <row r="154" spans="5:5" ht="18" customHeight="1" x14ac:dyDescent="0.3">
      <c r="E154" s="513"/>
    </row>
    <row r="155" spans="5:5" ht="18" customHeight="1" x14ac:dyDescent="0.3">
      <c r="E155" s="513"/>
    </row>
    <row r="156" spans="5:5" ht="18" customHeight="1" x14ac:dyDescent="0.3">
      <c r="E156" s="513"/>
    </row>
    <row r="157" spans="5:5" ht="18" customHeight="1" x14ac:dyDescent="0.3">
      <c r="E157" s="513"/>
    </row>
    <row r="158" spans="5:5" ht="18" customHeight="1" x14ac:dyDescent="0.3">
      <c r="E158" s="513"/>
    </row>
    <row r="159" spans="5:5" ht="18" customHeight="1" x14ac:dyDescent="0.3">
      <c r="E159" s="513"/>
    </row>
    <row r="160" spans="5:5" ht="18" customHeight="1" x14ac:dyDescent="0.3">
      <c r="E160" s="513"/>
    </row>
    <row r="161" spans="5:5" ht="18" customHeight="1" x14ac:dyDescent="0.3">
      <c r="E161" s="513"/>
    </row>
    <row r="162" spans="5:5" ht="18" customHeight="1" x14ac:dyDescent="0.3">
      <c r="E162" s="513"/>
    </row>
    <row r="163" spans="5:5" ht="18" customHeight="1" x14ac:dyDescent="0.3">
      <c r="E163" s="513"/>
    </row>
    <row r="164" spans="5:5" ht="18" customHeight="1" x14ac:dyDescent="0.25"/>
    <row r="165" spans="5:5" ht="18" customHeight="1" x14ac:dyDescent="0.25"/>
    <row r="166" spans="5:5" ht="18" customHeight="1" x14ac:dyDescent="0.25"/>
    <row r="167" spans="5:5" ht="18" customHeight="1" x14ac:dyDescent="0.25"/>
    <row r="168" spans="5:5" ht="18" customHeight="1" x14ac:dyDescent="0.25"/>
    <row r="169" spans="5:5" ht="18" customHeight="1" x14ac:dyDescent="0.25"/>
    <row r="170" spans="5:5" ht="18" customHeight="1" x14ac:dyDescent="0.25"/>
    <row r="171" spans="5:5" ht="18" customHeight="1" x14ac:dyDescent="0.25"/>
    <row r="172" spans="5:5" ht="18" customHeight="1" x14ac:dyDescent="0.25"/>
    <row r="173" spans="5:5" ht="18" customHeight="1" x14ac:dyDescent="0.25"/>
    <row r="174" spans="5:5" ht="18" customHeight="1" x14ac:dyDescent="0.25"/>
    <row r="175" spans="5:5" ht="18" customHeight="1" x14ac:dyDescent="0.25"/>
    <row r="176" spans="5:5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</sheetData>
  <autoFilter ref="A1:D128">
    <sortState ref="A2:D128">
      <sortCondition ref="A1:A128"/>
    </sortState>
  </autoFilter>
  <pageMargins left="0.7" right="0.7" top="0.75" bottom="0.75" header="0.3" footer="0.3"/>
  <pageSetup paperSize="9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184"/>
  <sheetViews>
    <sheetView workbookViewId="0">
      <selection sqref="A1:H2"/>
    </sheetView>
  </sheetViews>
  <sheetFormatPr baseColWidth="10" defaultRowHeight="15" x14ac:dyDescent="0.25"/>
  <cols>
    <col min="1" max="1" width="5.5703125" customWidth="1"/>
    <col min="2" max="2" width="6.28515625" customWidth="1"/>
    <col min="3" max="3" width="6.85546875" customWidth="1"/>
    <col min="4" max="4" width="6" style="131" customWidth="1"/>
    <col min="5" max="5" width="7.7109375" customWidth="1"/>
    <col min="6" max="6" width="5.7109375" style="266" customWidth="1"/>
    <col min="7" max="7" width="6.5703125" style="220" customWidth="1"/>
    <col min="8" max="8" width="7.5703125" style="220" customWidth="1"/>
    <col min="9" max="9" width="27.85546875" style="243" customWidth="1"/>
    <col min="10" max="10" width="1.28515625" customWidth="1"/>
  </cols>
  <sheetData>
    <row r="1" spans="1:10" ht="15.75" thickBot="1" x14ac:dyDescent="0.3">
      <c r="A1" s="985" t="s">
        <v>1005</v>
      </c>
      <c r="B1" s="986"/>
      <c r="C1" s="986"/>
      <c r="D1" s="986"/>
      <c r="E1" s="986"/>
      <c r="F1" s="986"/>
      <c r="G1" s="986"/>
      <c r="H1" s="987"/>
      <c r="I1" s="254" t="s">
        <v>1036</v>
      </c>
    </row>
    <row r="2" spans="1:10" ht="15.75" thickBot="1" x14ac:dyDescent="0.3">
      <c r="A2" s="988"/>
      <c r="B2" s="989"/>
      <c r="C2" s="989"/>
      <c r="D2" s="989"/>
      <c r="E2" s="989"/>
      <c r="F2" s="989"/>
      <c r="G2" s="989"/>
      <c r="H2" s="990"/>
      <c r="I2" s="255" t="s">
        <v>1037</v>
      </c>
    </row>
    <row r="3" spans="1:10" s="208" customFormat="1" ht="30" customHeight="1" thickBot="1" x14ac:dyDescent="0.3">
      <c r="A3" s="245" t="s">
        <v>938</v>
      </c>
      <c r="B3" s="246" t="s">
        <v>748</v>
      </c>
      <c r="C3" s="247" t="s">
        <v>748</v>
      </c>
      <c r="D3" s="246" t="s">
        <v>858</v>
      </c>
      <c r="E3" s="246" t="s">
        <v>1013</v>
      </c>
      <c r="F3" s="263" t="s">
        <v>936</v>
      </c>
      <c r="G3" s="246" t="s">
        <v>857</v>
      </c>
      <c r="H3" s="246" t="s">
        <v>937</v>
      </c>
      <c r="I3" s="256" t="s">
        <v>749</v>
      </c>
      <c r="J3" s="244" t="s">
        <v>508</v>
      </c>
    </row>
    <row r="4" spans="1:10" ht="19.5" thickBot="1" x14ac:dyDescent="0.3">
      <c r="A4" s="1006" t="s">
        <v>940</v>
      </c>
      <c r="B4" s="257" t="str">
        <f>+MID(C4,1,3)</f>
        <v>031</v>
      </c>
      <c r="C4" s="231" t="s">
        <v>356</v>
      </c>
      <c r="D4" s="232" t="s">
        <v>942</v>
      </c>
      <c r="E4" s="27">
        <f>+F4*G4+H4</f>
        <v>150000</v>
      </c>
      <c r="F4" s="264">
        <v>5</v>
      </c>
      <c r="G4" s="233">
        <v>30000</v>
      </c>
      <c r="H4" s="233"/>
      <c r="I4" s="249" t="e">
        <f>+TRIM(PROPER(VLOOKUP(D4,#REF!,4,)))</f>
        <v>#REF!</v>
      </c>
      <c r="J4" s="229" t="s">
        <v>449</v>
      </c>
    </row>
    <row r="5" spans="1:10" ht="19.5" thickBot="1" x14ac:dyDescent="0.3">
      <c r="A5" s="1008"/>
      <c r="B5" s="258" t="str">
        <f>+MID(C5,1,3)</f>
        <v>034</v>
      </c>
      <c r="C5" s="234" t="s">
        <v>357</v>
      </c>
      <c r="D5" s="235" t="s">
        <v>943</v>
      </c>
      <c r="E5" s="29">
        <f>+F5*G5+H5</f>
        <v>0</v>
      </c>
      <c r="F5" s="265"/>
      <c r="G5" s="236"/>
      <c r="H5" s="236"/>
      <c r="I5" s="249" t="e">
        <f>+TRIM(PROPER(VLOOKUP(D5,#REF!,4,)))</f>
        <v>#REF!</v>
      </c>
      <c r="J5" s="230" t="s">
        <v>449</v>
      </c>
    </row>
    <row r="6" spans="1:10" ht="6.6" customHeight="1" thickBot="1" x14ac:dyDescent="0.3">
      <c r="A6" s="248"/>
      <c r="B6" s="127"/>
      <c r="C6" s="227"/>
      <c r="D6" s="228"/>
      <c r="I6" s="209"/>
      <c r="J6" s="5"/>
    </row>
    <row r="7" spans="1:10" ht="19.5" thickBot="1" x14ac:dyDescent="0.3">
      <c r="A7" s="1006" t="s">
        <v>6</v>
      </c>
      <c r="B7" s="257" t="str">
        <f t="shared" ref="B7:B19" si="0">+MID(C7,1,3)</f>
        <v>550</v>
      </c>
      <c r="C7" s="238" t="s">
        <v>419</v>
      </c>
      <c r="D7" s="232" t="s">
        <v>944</v>
      </c>
      <c r="E7" s="27">
        <f t="shared" ref="E7:E20" si="1">+F7*G7+H7</f>
        <v>0</v>
      </c>
      <c r="F7" s="264"/>
      <c r="G7" s="233"/>
      <c r="H7" s="233"/>
      <c r="I7" s="249" t="e">
        <f>+TRIM(PROPER(VLOOKUP(D7,#REF!,4,)))</f>
        <v>#REF!</v>
      </c>
      <c r="J7" s="237" t="s">
        <v>495</v>
      </c>
    </row>
    <row r="8" spans="1:10" ht="18.75" x14ac:dyDescent="0.25">
      <c r="A8" s="1007"/>
      <c r="B8" s="259" t="str">
        <f t="shared" si="0"/>
        <v>248</v>
      </c>
      <c r="C8" s="137" t="s">
        <v>713</v>
      </c>
      <c r="D8" s="222" t="s">
        <v>945</v>
      </c>
      <c r="E8" s="23">
        <f t="shared" si="1"/>
        <v>0</v>
      </c>
      <c r="F8" s="267"/>
      <c r="G8" s="221"/>
      <c r="H8" s="221"/>
      <c r="I8" s="249" t="e">
        <f>+TRIM(PROPER(VLOOKUP(D8,#REF!,4,)))</f>
        <v>#REF!</v>
      </c>
      <c r="J8" s="229" t="s">
        <v>867</v>
      </c>
    </row>
    <row r="9" spans="1:10" ht="18.75" x14ac:dyDescent="0.25">
      <c r="A9" s="1007"/>
      <c r="B9" s="259" t="str">
        <f t="shared" si="0"/>
        <v>581</v>
      </c>
      <c r="C9" s="137" t="s">
        <v>836</v>
      </c>
      <c r="D9" s="222" t="s">
        <v>946</v>
      </c>
      <c r="E9" s="23">
        <f t="shared" si="1"/>
        <v>11523</v>
      </c>
      <c r="F9" s="267">
        <v>11</v>
      </c>
      <c r="G9" s="221">
        <v>1000</v>
      </c>
      <c r="H9" s="221">
        <v>523</v>
      </c>
      <c r="I9" s="251" t="e">
        <f>+VLOOKUP(C9,#REF!,3,)</f>
        <v>#REF!</v>
      </c>
      <c r="J9" s="229" t="s">
        <v>495</v>
      </c>
    </row>
    <row r="10" spans="1:10" ht="19.5" thickBot="1" x14ac:dyDescent="0.3">
      <c r="A10" s="1007"/>
      <c r="B10" s="259" t="str">
        <f t="shared" si="0"/>
        <v>587</v>
      </c>
      <c r="C10" s="137" t="s">
        <v>834</v>
      </c>
      <c r="D10" s="222" t="s">
        <v>947</v>
      </c>
      <c r="E10" s="23">
        <f t="shared" si="1"/>
        <v>4000</v>
      </c>
      <c r="F10" s="267">
        <v>4</v>
      </c>
      <c r="G10" s="221">
        <v>1000</v>
      </c>
      <c r="H10" s="221"/>
      <c r="I10" s="251" t="e">
        <f>+VLOOKUP(C10,#REF!,3,)</f>
        <v>#REF!</v>
      </c>
      <c r="J10" s="229" t="s">
        <v>495</v>
      </c>
    </row>
    <row r="11" spans="1:10" ht="19.5" thickBot="1" x14ac:dyDescent="0.3">
      <c r="A11" s="1007"/>
      <c r="B11" s="259" t="str">
        <f t="shared" si="0"/>
        <v>537</v>
      </c>
      <c r="C11" s="137" t="s">
        <v>99</v>
      </c>
      <c r="D11" s="222" t="s">
        <v>948</v>
      </c>
      <c r="E11" s="23">
        <f t="shared" si="1"/>
        <v>0</v>
      </c>
      <c r="F11" s="267"/>
      <c r="G11" s="221"/>
      <c r="H11" s="221"/>
      <c r="I11" s="249" t="e">
        <f>+TRIM(PROPER(VLOOKUP(D11,#REF!,4,)))</f>
        <v>#REF!</v>
      </c>
      <c r="J11" s="229" t="s">
        <v>495</v>
      </c>
    </row>
    <row r="12" spans="1:10" ht="19.5" thickBot="1" x14ac:dyDescent="0.3">
      <c r="A12" s="1007"/>
      <c r="B12" s="259" t="str">
        <f t="shared" si="0"/>
        <v>542</v>
      </c>
      <c r="C12" s="137" t="s">
        <v>101</v>
      </c>
      <c r="D12" s="222" t="s">
        <v>949</v>
      </c>
      <c r="E12" s="23">
        <f t="shared" si="1"/>
        <v>0</v>
      </c>
      <c r="F12" s="267"/>
      <c r="G12" s="221"/>
      <c r="H12" s="221"/>
      <c r="I12" s="249" t="e">
        <f>+TRIM(PROPER(VLOOKUP(D12,#REF!,4,)))</f>
        <v>#REF!</v>
      </c>
      <c r="J12" s="229" t="s">
        <v>495</v>
      </c>
    </row>
    <row r="13" spans="1:10" ht="19.5" thickBot="1" x14ac:dyDescent="0.3">
      <c r="A13" s="1007"/>
      <c r="B13" s="259" t="str">
        <f t="shared" si="0"/>
        <v>543</v>
      </c>
      <c r="C13" s="137" t="s">
        <v>103</v>
      </c>
      <c r="D13" s="222" t="s">
        <v>950</v>
      </c>
      <c r="E13" s="23">
        <f t="shared" si="1"/>
        <v>0</v>
      </c>
      <c r="F13" s="267"/>
      <c r="G13" s="221"/>
      <c r="H13" s="221"/>
      <c r="I13" s="249" t="e">
        <f>+TRIM(PROPER(VLOOKUP(D13,#REF!,4,)))</f>
        <v>#REF!</v>
      </c>
      <c r="J13" s="229" t="s">
        <v>495</v>
      </c>
    </row>
    <row r="14" spans="1:10" ht="19.5" thickBot="1" x14ac:dyDescent="0.3">
      <c r="A14" s="1007"/>
      <c r="B14" s="259">
        <v>580</v>
      </c>
      <c r="C14" s="137"/>
      <c r="D14" s="222" t="s">
        <v>1006</v>
      </c>
      <c r="E14" s="23"/>
      <c r="F14" s="267"/>
      <c r="G14" s="221"/>
      <c r="H14" s="221"/>
      <c r="I14" s="249"/>
      <c r="J14" s="229"/>
    </row>
    <row r="15" spans="1:10" ht="19.5" thickBot="1" x14ac:dyDescent="0.3">
      <c r="A15" s="1007"/>
      <c r="B15" s="259" t="str">
        <f t="shared" si="0"/>
        <v>029</v>
      </c>
      <c r="C15" s="137" t="s">
        <v>27</v>
      </c>
      <c r="D15" s="222" t="s">
        <v>951</v>
      </c>
      <c r="E15" s="23">
        <f t="shared" si="1"/>
        <v>0</v>
      </c>
      <c r="F15" s="267"/>
      <c r="G15" s="221"/>
      <c r="H15" s="221"/>
      <c r="I15" s="249" t="e">
        <f>+TRIM(PROPER(VLOOKUP(D15,#REF!,4,)))</f>
        <v>#REF!</v>
      </c>
      <c r="J15" s="229" t="s">
        <v>501</v>
      </c>
    </row>
    <row r="16" spans="1:10" ht="18.75" x14ac:dyDescent="0.25">
      <c r="A16" s="1007"/>
      <c r="B16" s="259" t="str">
        <f t="shared" si="0"/>
        <v>315</v>
      </c>
      <c r="C16" s="137" t="s">
        <v>35</v>
      </c>
      <c r="D16" s="222" t="s">
        <v>952</v>
      </c>
      <c r="E16" s="23">
        <f t="shared" si="1"/>
        <v>0</v>
      </c>
      <c r="F16" s="267"/>
      <c r="G16" s="221"/>
      <c r="H16" s="221"/>
      <c r="I16" s="249" t="e">
        <f>+TRIM(PROPER(VLOOKUP(D16,#REF!,4,)))</f>
        <v>#REF!</v>
      </c>
      <c r="J16" s="229" t="s">
        <v>501</v>
      </c>
    </row>
    <row r="17" spans="1:10" ht="18.75" x14ac:dyDescent="0.25">
      <c r="A17" s="1007"/>
      <c r="B17" s="259" t="str">
        <f t="shared" si="0"/>
        <v>325</v>
      </c>
      <c r="C17" s="137" t="s">
        <v>41</v>
      </c>
      <c r="D17" s="222" t="s">
        <v>953</v>
      </c>
      <c r="E17" s="23">
        <f t="shared" si="1"/>
        <v>0</v>
      </c>
      <c r="F17" s="267"/>
      <c r="G17" s="221"/>
      <c r="H17" s="221"/>
      <c r="I17" s="251" t="e">
        <f>+VLOOKUP(D17,#REF!,4,)</f>
        <v>#REF!</v>
      </c>
      <c r="J17" s="229" t="s">
        <v>501</v>
      </c>
    </row>
    <row r="18" spans="1:10" ht="19.5" thickBot="1" x14ac:dyDescent="0.3">
      <c r="A18" s="1007"/>
      <c r="B18" s="259" t="str">
        <f t="shared" si="0"/>
        <v>333</v>
      </c>
      <c r="C18" s="137" t="s">
        <v>43</v>
      </c>
      <c r="D18" s="222" t="s">
        <v>954</v>
      </c>
      <c r="E18" s="23">
        <f t="shared" si="1"/>
        <v>0</v>
      </c>
      <c r="F18" s="267"/>
      <c r="G18" s="221"/>
      <c r="H18" s="221"/>
      <c r="I18" s="251" t="e">
        <f>+VLOOKUP(D18,#REF!,4,)</f>
        <v>#REF!</v>
      </c>
      <c r="J18" s="229" t="s">
        <v>501</v>
      </c>
    </row>
    <row r="19" spans="1:10" ht="18.75" x14ac:dyDescent="0.25">
      <c r="A19" s="1007"/>
      <c r="B19" s="259" t="str">
        <f t="shared" si="0"/>
        <v>030</v>
      </c>
      <c r="C19" s="137" t="s">
        <v>29</v>
      </c>
      <c r="D19" s="222" t="s">
        <v>955</v>
      </c>
      <c r="E19" s="23">
        <f t="shared" si="1"/>
        <v>0</v>
      </c>
      <c r="F19" s="267"/>
      <c r="G19" s="221"/>
      <c r="H19" s="221"/>
      <c r="I19" s="249" t="e">
        <f>+TRIM(PROPER(VLOOKUP(D19,#REF!,4,)))</f>
        <v>#REF!</v>
      </c>
      <c r="J19" s="229" t="s">
        <v>501</v>
      </c>
    </row>
    <row r="20" spans="1:10" ht="19.5" thickBot="1" x14ac:dyDescent="0.3">
      <c r="A20" s="1008"/>
      <c r="B20" s="258" t="s">
        <v>869</v>
      </c>
      <c r="C20" s="239" t="s">
        <v>869</v>
      </c>
      <c r="D20" s="235" t="s">
        <v>956</v>
      </c>
      <c r="E20" s="29">
        <f t="shared" si="1"/>
        <v>0</v>
      </c>
      <c r="F20" s="265"/>
      <c r="G20" s="236"/>
      <c r="H20" s="236"/>
      <c r="I20" s="250" t="e">
        <f>+VLOOKUP(D20,#REF!,4,)</f>
        <v>#REF!</v>
      </c>
      <c r="J20" s="230" t="s">
        <v>340</v>
      </c>
    </row>
    <row r="21" spans="1:10" ht="6.6" customHeight="1" thickBot="1" x14ac:dyDescent="0.3">
      <c r="A21" s="248"/>
      <c r="B21" s="127"/>
      <c r="C21" s="5"/>
      <c r="D21" s="228"/>
      <c r="I21" s="209"/>
      <c r="J21" s="5"/>
    </row>
    <row r="22" spans="1:10" ht="18.75" x14ac:dyDescent="0.25">
      <c r="A22" s="1000" t="s">
        <v>5</v>
      </c>
      <c r="B22" s="261" t="str">
        <f t="shared" ref="B22:B27" si="2">+MID(C22,1,3)</f>
        <v>525</v>
      </c>
      <c r="C22" s="238" t="s">
        <v>89</v>
      </c>
      <c r="D22" s="232" t="s">
        <v>957</v>
      </c>
      <c r="E22" s="27">
        <f t="shared" ref="E22:E27" si="3">+F22*G22+H22</f>
        <v>0</v>
      </c>
      <c r="F22" s="264"/>
      <c r="G22" s="233"/>
      <c r="H22" s="233"/>
      <c r="I22" s="249" t="e">
        <f>+VLOOKUP(C22,#REF!,3,)</f>
        <v>#REF!</v>
      </c>
      <c r="J22" s="237" t="s">
        <v>495</v>
      </c>
    </row>
    <row r="23" spans="1:10" ht="18.75" x14ac:dyDescent="0.25">
      <c r="A23" s="1001"/>
      <c r="B23" s="260" t="str">
        <f t="shared" si="2"/>
        <v>526</v>
      </c>
      <c r="C23" s="137" t="s">
        <v>91</v>
      </c>
      <c r="D23" s="222" t="s">
        <v>958</v>
      </c>
      <c r="E23" s="23">
        <f t="shared" si="3"/>
        <v>0</v>
      </c>
      <c r="F23" s="267"/>
      <c r="G23" s="221"/>
      <c r="H23" s="221"/>
      <c r="I23" s="251" t="e">
        <f>+VLOOKUP(C23,#REF!,3,)</f>
        <v>#REF!</v>
      </c>
      <c r="J23" s="229" t="s">
        <v>495</v>
      </c>
    </row>
    <row r="24" spans="1:10" ht="18.75" x14ac:dyDescent="0.25">
      <c r="A24" s="1001"/>
      <c r="B24" s="260" t="str">
        <f t="shared" si="2"/>
        <v>532</v>
      </c>
      <c r="C24" s="137" t="s">
        <v>97</v>
      </c>
      <c r="D24" s="222" t="s">
        <v>959</v>
      </c>
      <c r="E24" s="23">
        <f t="shared" si="3"/>
        <v>0</v>
      </c>
      <c r="F24" s="267"/>
      <c r="G24" s="221"/>
      <c r="H24" s="221"/>
      <c r="I24" s="251" t="e">
        <f>+VLOOKUP(C24,#REF!,3,)</f>
        <v>#REF!</v>
      </c>
      <c r="J24" s="229" t="s">
        <v>495</v>
      </c>
    </row>
    <row r="25" spans="1:10" ht="18.75" x14ac:dyDescent="0.25">
      <c r="A25" s="1001"/>
      <c r="B25" s="260" t="str">
        <f t="shared" si="2"/>
        <v>025</v>
      </c>
      <c r="C25" s="137" t="s">
        <v>21</v>
      </c>
      <c r="D25" s="222" t="s">
        <v>960</v>
      </c>
      <c r="E25" s="23">
        <f t="shared" si="3"/>
        <v>0</v>
      </c>
      <c r="F25" s="267"/>
      <c r="G25" s="221"/>
      <c r="H25" s="221"/>
      <c r="I25" s="251" t="e">
        <f>+TRIM(PROPER(VLOOKUP(D25,#REF!,4,)))</f>
        <v>#REF!</v>
      </c>
      <c r="J25" s="229" t="s">
        <v>501</v>
      </c>
    </row>
    <row r="26" spans="1:10" ht="18.75" x14ac:dyDescent="0.25">
      <c r="A26" s="1001"/>
      <c r="B26" s="260" t="str">
        <f t="shared" si="2"/>
        <v>026</v>
      </c>
      <c r="C26" s="137" t="s">
        <v>23</v>
      </c>
      <c r="D26" s="222" t="s">
        <v>961</v>
      </c>
      <c r="E26" s="23">
        <f t="shared" si="3"/>
        <v>0</v>
      </c>
      <c r="F26" s="267"/>
      <c r="G26" s="221"/>
      <c r="H26" s="221"/>
      <c r="I26" s="251" t="e">
        <f>+TRIM(PROPER(VLOOKUP(D26,#REF!,4,)))</f>
        <v>#REF!</v>
      </c>
      <c r="J26" s="229" t="s">
        <v>501</v>
      </c>
    </row>
    <row r="27" spans="1:10" ht="19.5" thickBot="1" x14ac:dyDescent="0.3">
      <c r="A27" s="1002"/>
      <c r="B27" s="262" t="str">
        <f t="shared" si="2"/>
        <v>027</v>
      </c>
      <c r="C27" s="239" t="s">
        <v>25</v>
      </c>
      <c r="D27" s="235" t="s">
        <v>962</v>
      </c>
      <c r="E27" s="29">
        <f t="shared" si="3"/>
        <v>0</v>
      </c>
      <c r="F27" s="265"/>
      <c r="G27" s="236"/>
      <c r="H27" s="236"/>
      <c r="I27" s="250" t="e">
        <f>+TRIM(PROPER(VLOOKUP(D27,#REF!,4,)))</f>
        <v>#REF!</v>
      </c>
      <c r="J27" s="230" t="s">
        <v>501</v>
      </c>
    </row>
    <row r="28" spans="1:10" ht="6.6" customHeight="1" thickBot="1" x14ac:dyDescent="0.3">
      <c r="A28" s="248"/>
      <c r="B28" s="127"/>
      <c r="C28" s="5"/>
      <c r="D28" s="228"/>
      <c r="I28" s="209"/>
      <c r="J28" s="5"/>
    </row>
    <row r="29" spans="1:10" ht="18.75" x14ac:dyDescent="0.25">
      <c r="A29" s="1006" t="s">
        <v>4</v>
      </c>
      <c r="B29" s="257" t="str">
        <f t="shared" ref="B29:B39" si="4">+MID(C29,1,3)</f>
        <v>513</v>
      </c>
      <c r="C29" s="238" t="s">
        <v>73</v>
      </c>
      <c r="D29" s="240" t="s">
        <v>1007</v>
      </c>
      <c r="E29" s="27">
        <f t="shared" ref="E29:E39" si="5">+F29*G29+H29</f>
        <v>0</v>
      </c>
      <c r="F29" s="264"/>
      <c r="G29" s="233"/>
      <c r="H29" s="233"/>
      <c r="I29" s="249" t="e">
        <f>+VLOOKUP(C29,#REF!,3,)</f>
        <v>#REF!</v>
      </c>
      <c r="J29" s="237" t="s">
        <v>495</v>
      </c>
    </row>
    <row r="30" spans="1:10" ht="18.75" x14ac:dyDescent="0.25">
      <c r="A30" s="1007"/>
      <c r="B30" s="259" t="str">
        <f t="shared" si="4"/>
        <v>523</v>
      </c>
      <c r="C30" s="137" t="s">
        <v>85</v>
      </c>
      <c r="D30" s="222" t="s">
        <v>963</v>
      </c>
      <c r="E30" s="23">
        <f t="shared" si="5"/>
        <v>0</v>
      </c>
      <c r="F30" s="267"/>
      <c r="G30" s="221"/>
      <c r="H30" s="221"/>
      <c r="I30" s="251" t="e">
        <f>+VLOOKUP(C30,#REF!,3,)</f>
        <v>#REF!</v>
      </c>
      <c r="J30" s="229" t="s">
        <v>495</v>
      </c>
    </row>
    <row r="31" spans="1:10" ht="18.75" x14ac:dyDescent="0.25">
      <c r="A31" s="1007"/>
      <c r="B31" s="259" t="str">
        <f t="shared" si="4"/>
        <v>524</v>
      </c>
      <c r="C31" s="137" t="s">
        <v>87</v>
      </c>
      <c r="D31" s="222" t="s">
        <v>964</v>
      </c>
      <c r="E31" s="23">
        <f t="shared" si="5"/>
        <v>0</v>
      </c>
      <c r="F31" s="267"/>
      <c r="G31" s="221"/>
      <c r="H31" s="221"/>
      <c r="I31" s="251" t="e">
        <f>+VLOOKUP(C31,#REF!,3,)</f>
        <v>#REF!</v>
      </c>
      <c r="J31" s="229" t="s">
        <v>495</v>
      </c>
    </row>
    <row r="32" spans="1:10" ht="18.75" x14ac:dyDescent="0.25">
      <c r="A32" s="1007"/>
      <c r="B32" s="259" t="str">
        <f t="shared" si="4"/>
        <v>594</v>
      </c>
      <c r="C32" s="137" t="s">
        <v>137</v>
      </c>
      <c r="D32" s="222" t="s">
        <v>965</v>
      </c>
      <c r="E32" s="23">
        <f t="shared" si="5"/>
        <v>0</v>
      </c>
      <c r="F32" s="267"/>
      <c r="G32" s="221"/>
      <c r="H32" s="221"/>
      <c r="I32" s="251" t="e">
        <f>+VLOOKUP(C32,#REF!,3,)</f>
        <v>#REF!</v>
      </c>
      <c r="J32" s="229" t="s">
        <v>495</v>
      </c>
    </row>
    <row r="33" spans="1:10" ht="18.75" x14ac:dyDescent="0.25">
      <c r="A33" s="1007"/>
      <c r="B33" s="259" t="str">
        <f t="shared" si="4"/>
        <v>595</v>
      </c>
      <c r="C33" s="137" t="s">
        <v>139</v>
      </c>
      <c r="D33" s="222" t="s">
        <v>966</v>
      </c>
      <c r="E33" s="23">
        <f t="shared" si="5"/>
        <v>0</v>
      </c>
      <c r="F33" s="267"/>
      <c r="G33" s="221"/>
      <c r="H33" s="221"/>
      <c r="I33" s="251" t="e">
        <f>+VLOOKUP(C33,#REF!,3,)</f>
        <v>#REF!</v>
      </c>
      <c r="J33" s="229" t="s">
        <v>495</v>
      </c>
    </row>
    <row r="34" spans="1:10" ht="18.75" x14ac:dyDescent="0.25">
      <c r="A34" s="1007"/>
      <c r="B34" s="259" t="str">
        <f t="shared" si="4"/>
        <v>596</v>
      </c>
      <c r="C34" s="137" t="s">
        <v>141</v>
      </c>
      <c r="D34" s="222" t="s">
        <v>967</v>
      </c>
      <c r="E34" s="23">
        <f t="shared" si="5"/>
        <v>0</v>
      </c>
      <c r="F34" s="267"/>
      <c r="G34" s="221"/>
      <c r="H34" s="221"/>
      <c r="I34" s="251" t="e">
        <f>+VLOOKUP(C34,#REF!,3,)</f>
        <v>#REF!</v>
      </c>
      <c r="J34" s="229" t="s">
        <v>495</v>
      </c>
    </row>
    <row r="35" spans="1:10" ht="18.75" x14ac:dyDescent="0.25">
      <c r="A35" s="1007"/>
      <c r="B35" s="259" t="str">
        <f t="shared" si="4"/>
        <v>570</v>
      </c>
      <c r="C35" s="137" t="s">
        <v>125</v>
      </c>
      <c r="D35" s="222" t="s">
        <v>968</v>
      </c>
      <c r="E35" s="23">
        <f t="shared" si="5"/>
        <v>0</v>
      </c>
      <c r="F35" s="267"/>
      <c r="G35" s="221"/>
      <c r="H35" s="221"/>
      <c r="I35" s="251" t="e">
        <f>+TRIM(PROPER(VLOOKUP(D35,#REF!,4,)))</f>
        <v>#REF!</v>
      </c>
      <c r="J35" s="229" t="s">
        <v>495</v>
      </c>
    </row>
    <row r="36" spans="1:10" ht="18.75" x14ac:dyDescent="0.25">
      <c r="A36" s="1007"/>
      <c r="B36" s="259" t="str">
        <f t="shared" si="4"/>
        <v>578</v>
      </c>
      <c r="C36" s="137" t="s">
        <v>131</v>
      </c>
      <c r="D36" s="222" t="s">
        <v>969</v>
      </c>
      <c r="E36" s="23">
        <f t="shared" si="5"/>
        <v>0</v>
      </c>
      <c r="F36" s="267"/>
      <c r="G36" s="221"/>
      <c r="H36" s="221"/>
      <c r="I36" s="251" t="e">
        <f>+TRIM(PROPER(VLOOKUP(D36,#REF!,4,)))</f>
        <v>#REF!</v>
      </c>
      <c r="J36" s="229" t="s">
        <v>495</v>
      </c>
    </row>
    <row r="37" spans="1:10" ht="18.75" x14ac:dyDescent="0.25">
      <c r="A37" s="1007"/>
      <c r="B37" s="259" t="str">
        <f t="shared" si="4"/>
        <v>058</v>
      </c>
      <c r="C37" s="217" t="s">
        <v>361</v>
      </c>
      <c r="D37" s="222" t="s">
        <v>970</v>
      </c>
      <c r="E37" s="23">
        <f t="shared" si="5"/>
        <v>0</v>
      </c>
      <c r="F37" s="267"/>
      <c r="G37" s="221"/>
      <c r="H37" s="221"/>
      <c r="I37" s="251" t="e">
        <f>+TRIM(PROPER(VLOOKUP(D37,#REF!,4,)))</f>
        <v>#REF!</v>
      </c>
      <c r="J37" s="229" t="s">
        <v>495</v>
      </c>
    </row>
    <row r="38" spans="1:10" ht="18.75" x14ac:dyDescent="0.25">
      <c r="A38" s="1007"/>
      <c r="B38" s="259" t="str">
        <f t="shared" si="4"/>
        <v>299</v>
      </c>
      <c r="C38" s="217" t="s">
        <v>389</v>
      </c>
      <c r="D38" s="222" t="s">
        <v>971</v>
      </c>
      <c r="E38" s="23">
        <f t="shared" si="5"/>
        <v>0</v>
      </c>
      <c r="F38" s="267"/>
      <c r="G38" s="221"/>
      <c r="H38" s="221"/>
      <c r="I38" s="251" t="e">
        <f>+TRIM(PROPER(VLOOKUP(D38,#REF!,4,)))</f>
        <v>#REF!</v>
      </c>
      <c r="J38" s="229" t="s">
        <v>495</v>
      </c>
    </row>
    <row r="39" spans="1:10" ht="19.5" thickBot="1" x14ac:dyDescent="0.3">
      <c r="A39" s="1008"/>
      <c r="B39" s="258" t="str">
        <f t="shared" si="4"/>
        <v>Var</v>
      </c>
      <c r="C39" s="239" t="s">
        <v>869</v>
      </c>
      <c r="D39" s="235" t="s">
        <v>972</v>
      </c>
      <c r="E39" s="29">
        <f t="shared" si="5"/>
        <v>0</v>
      </c>
      <c r="F39" s="265"/>
      <c r="G39" s="236"/>
      <c r="H39" s="236"/>
      <c r="I39" s="250" t="e">
        <f>+VLOOKUP(D39,#REF!,4,)</f>
        <v>#REF!</v>
      </c>
      <c r="J39" s="230" t="s">
        <v>860</v>
      </c>
    </row>
    <row r="40" spans="1:10" ht="6.6" customHeight="1" thickBot="1" x14ac:dyDescent="0.3">
      <c r="A40" s="248"/>
      <c r="B40" s="127"/>
      <c r="C40" s="5"/>
      <c r="D40" s="228"/>
      <c r="I40" s="209"/>
      <c r="J40" s="5"/>
    </row>
    <row r="41" spans="1:10" ht="18.75" x14ac:dyDescent="0.25">
      <c r="A41" s="1006" t="s">
        <v>3</v>
      </c>
      <c r="B41" s="257" t="str">
        <f t="shared" ref="B41:B53" si="6">+MID(C41,1,3)</f>
        <v>028</v>
      </c>
      <c r="C41" s="238" t="s">
        <v>153</v>
      </c>
      <c r="D41" s="232" t="s">
        <v>973</v>
      </c>
      <c r="E41" s="27">
        <f t="shared" ref="E41:E53" si="7">+F41*G41+H41</f>
        <v>0</v>
      </c>
      <c r="F41" s="264"/>
      <c r="G41" s="233"/>
      <c r="H41" s="233"/>
      <c r="I41" s="249" t="e">
        <f>+TRIM(PROPER(VLOOKUP(D41,#REF!,4,)))</f>
        <v>#REF!</v>
      </c>
      <c r="J41" s="237" t="s">
        <v>501</v>
      </c>
    </row>
    <row r="42" spans="1:10" ht="18.75" x14ac:dyDescent="0.25">
      <c r="A42" s="1007"/>
      <c r="B42" s="259" t="str">
        <f t="shared" si="6"/>
        <v>225</v>
      </c>
      <c r="C42" s="137" t="s">
        <v>181</v>
      </c>
      <c r="D42" s="222" t="s">
        <v>974</v>
      </c>
      <c r="E42" s="23">
        <f t="shared" si="7"/>
        <v>0</v>
      </c>
      <c r="F42" s="267"/>
      <c r="G42" s="221"/>
      <c r="H42" s="221"/>
      <c r="I42" s="251" t="e">
        <f>+VLOOKUP(D42,#REF!,4,)</f>
        <v>#REF!</v>
      </c>
      <c r="J42" s="229" t="s">
        <v>501</v>
      </c>
    </row>
    <row r="43" spans="1:10" ht="18.75" x14ac:dyDescent="0.25">
      <c r="A43" s="1007"/>
      <c r="B43" s="259" t="str">
        <f t="shared" si="6"/>
        <v>505</v>
      </c>
      <c r="C43" s="137" t="s">
        <v>61</v>
      </c>
      <c r="D43" s="223" t="s">
        <v>1009</v>
      </c>
      <c r="E43" s="23">
        <f t="shared" si="7"/>
        <v>0</v>
      </c>
      <c r="F43" s="267"/>
      <c r="G43" s="221"/>
      <c r="H43" s="221"/>
      <c r="I43" s="251" t="e">
        <f>+VLOOKUP(C43,#REF!,3,)</f>
        <v>#REF!</v>
      </c>
      <c r="J43" s="229" t="s">
        <v>495</v>
      </c>
    </row>
    <row r="44" spans="1:10" ht="18.75" x14ac:dyDescent="0.25">
      <c r="A44" s="1007"/>
      <c r="B44" s="259" t="str">
        <f t="shared" si="6"/>
        <v>520</v>
      </c>
      <c r="C44" s="137" t="s">
        <v>79</v>
      </c>
      <c r="D44" s="222" t="s">
        <v>975</v>
      </c>
      <c r="E44" s="23">
        <f t="shared" si="7"/>
        <v>0</v>
      </c>
      <c r="F44" s="267"/>
      <c r="G44" s="221"/>
      <c r="H44" s="221"/>
      <c r="I44" s="251" t="e">
        <f>+VLOOKUP(C44,#REF!,3,)</f>
        <v>#REF!</v>
      </c>
      <c r="J44" s="229" t="s">
        <v>495</v>
      </c>
    </row>
    <row r="45" spans="1:10" ht="18.75" x14ac:dyDescent="0.25">
      <c r="A45" s="1007"/>
      <c r="B45" s="259" t="str">
        <f t="shared" si="6"/>
        <v>521</v>
      </c>
      <c r="C45" s="137" t="s">
        <v>81</v>
      </c>
      <c r="D45" s="222" t="s">
        <v>976</v>
      </c>
      <c r="E45" s="23">
        <f t="shared" si="7"/>
        <v>0</v>
      </c>
      <c r="F45" s="267"/>
      <c r="G45" s="221"/>
      <c r="H45" s="221"/>
      <c r="I45" s="251" t="e">
        <f>+VLOOKUP(C45,#REF!,3,)</f>
        <v>#REF!</v>
      </c>
      <c r="J45" s="229" t="s">
        <v>495</v>
      </c>
    </row>
    <row r="46" spans="1:10" ht="18.75" x14ac:dyDescent="0.25">
      <c r="A46" s="1007"/>
      <c r="B46" s="259" t="str">
        <f t="shared" si="6"/>
        <v>530</v>
      </c>
      <c r="C46" s="137" t="s">
        <v>93</v>
      </c>
      <c r="D46" s="222" t="s">
        <v>977</v>
      </c>
      <c r="E46" s="23">
        <f t="shared" si="7"/>
        <v>0</v>
      </c>
      <c r="F46" s="267"/>
      <c r="G46" s="221"/>
      <c r="H46" s="221"/>
      <c r="I46" s="251" t="e">
        <f>+VLOOKUP(C46,#REF!,3,)</f>
        <v>#REF!</v>
      </c>
      <c r="J46" s="229" t="s">
        <v>495</v>
      </c>
    </row>
    <row r="47" spans="1:10" ht="18.75" x14ac:dyDescent="0.25">
      <c r="A47" s="1007"/>
      <c r="B47" s="259" t="str">
        <f t="shared" si="6"/>
        <v>531</v>
      </c>
      <c r="C47" s="137" t="s">
        <v>95</v>
      </c>
      <c r="D47" s="222" t="s">
        <v>978</v>
      </c>
      <c r="E47" s="23">
        <f t="shared" si="7"/>
        <v>0</v>
      </c>
      <c r="F47" s="267"/>
      <c r="G47" s="221"/>
      <c r="H47" s="221"/>
      <c r="I47" s="251" t="e">
        <f>+VLOOKUP(C47,#REF!,3,)</f>
        <v>#REF!</v>
      </c>
      <c r="J47" s="229" t="s">
        <v>495</v>
      </c>
    </row>
    <row r="48" spans="1:10" ht="18.75" x14ac:dyDescent="0.25">
      <c r="A48" s="1007"/>
      <c r="B48" s="259" t="str">
        <f t="shared" si="6"/>
        <v>561</v>
      </c>
      <c r="C48" s="137" t="s">
        <v>117</v>
      </c>
      <c r="D48" s="222" t="s">
        <v>979</v>
      </c>
      <c r="E48" s="23">
        <f t="shared" si="7"/>
        <v>0</v>
      </c>
      <c r="F48" s="267"/>
      <c r="G48" s="221"/>
      <c r="H48" s="221"/>
      <c r="I48" s="251" t="e">
        <f>+TRIM(PROPER(VLOOKUP(D48,#REF!,4,)))</f>
        <v>#REF!</v>
      </c>
      <c r="J48" s="229" t="s">
        <v>495</v>
      </c>
    </row>
    <row r="49" spans="1:10" ht="18.75" x14ac:dyDescent="0.25">
      <c r="A49" s="1007"/>
      <c r="B49" s="259" t="str">
        <f t="shared" si="6"/>
        <v>562</v>
      </c>
      <c r="C49" s="137" t="s">
        <v>119</v>
      </c>
      <c r="D49" s="222" t="s">
        <v>980</v>
      </c>
      <c r="E49" s="23">
        <f t="shared" si="7"/>
        <v>0</v>
      </c>
      <c r="F49" s="267"/>
      <c r="G49" s="221"/>
      <c r="H49" s="221"/>
      <c r="I49" s="251" t="e">
        <f>+TRIM(PROPER(VLOOKUP(D49,#REF!,4,)))</f>
        <v>#REF!</v>
      </c>
      <c r="J49" s="229" t="s">
        <v>495</v>
      </c>
    </row>
    <row r="50" spans="1:10" ht="18.75" x14ac:dyDescent="0.25">
      <c r="A50" s="1007"/>
      <c r="B50" s="259" t="str">
        <f t="shared" si="6"/>
        <v>565</v>
      </c>
      <c r="C50" s="137" t="s">
        <v>123</v>
      </c>
      <c r="D50" s="222" t="s">
        <v>981</v>
      </c>
      <c r="E50" s="23">
        <f t="shared" si="7"/>
        <v>0</v>
      </c>
      <c r="F50" s="267"/>
      <c r="G50" s="221"/>
      <c r="H50" s="221"/>
      <c r="I50" s="251" t="e">
        <f>+TRIM(PROPER(VLOOKUP(D50,#REF!,4,)))</f>
        <v>#REF!</v>
      </c>
      <c r="J50" s="229" t="s">
        <v>495</v>
      </c>
    </row>
    <row r="51" spans="1:10" ht="18.75" x14ac:dyDescent="0.25">
      <c r="A51" s="1007"/>
      <c r="B51" s="259" t="str">
        <f t="shared" si="6"/>
        <v>575</v>
      </c>
      <c r="C51" s="137" t="s">
        <v>127</v>
      </c>
      <c r="D51" s="222" t="s">
        <v>982</v>
      </c>
      <c r="E51" s="23">
        <f t="shared" si="7"/>
        <v>0</v>
      </c>
      <c r="F51" s="267"/>
      <c r="G51" s="221"/>
      <c r="H51" s="221"/>
      <c r="I51" s="251" t="e">
        <f>+VLOOKUP(C51,#REF!,3,)</f>
        <v>#REF!</v>
      </c>
      <c r="J51" s="229" t="s">
        <v>495</v>
      </c>
    </row>
    <row r="52" spans="1:10" ht="18.75" x14ac:dyDescent="0.25">
      <c r="A52" s="1007"/>
      <c r="B52" s="259" t="str">
        <f t="shared" si="6"/>
        <v>577</v>
      </c>
      <c r="C52" s="137" t="s">
        <v>129</v>
      </c>
      <c r="D52" s="222" t="s">
        <v>983</v>
      </c>
      <c r="E52" s="23">
        <f t="shared" si="7"/>
        <v>0</v>
      </c>
      <c r="F52" s="267"/>
      <c r="G52" s="221"/>
      <c r="H52" s="221"/>
      <c r="I52" s="251" t="e">
        <f>+VLOOKUP(C52,#REF!,3,)</f>
        <v>#REF!</v>
      </c>
      <c r="J52" s="229" t="s">
        <v>495</v>
      </c>
    </row>
    <row r="53" spans="1:10" ht="19.5" thickBot="1" x14ac:dyDescent="0.3">
      <c r="A53" s="1008"/>
      <c r="B53" s="258" t="str">
        <f t="shared" si="6"/>
        <v>579</v>
      </c>
      <c r="C53" s="239" t="s">
        <v>133</v>
      </c>
      <c r="D53" s="235" t="s">
        <v>984</v>
      </c>
      <c r="E53" s="29">
        <f t="shared" si="7"/>
        <v>0</v>
      </c>
      <c r="F53" s="265"/>
      <c r="G53" s="221"/>
      <c r="H53" s="236"/>
      <c r="I53" s="250" t="e">
        <f>+VLOOKUP(C53,#REF!,3,)</f>
        <v>#REF!</v>
      </c>
      <c r="J53" s="230" t="s">
        <v>495</v>
      </c>
    </row>
    <row r="54" spans="1:10" ht="6.6" customHeight="1" thickBot="1" x14ac:dyDescent="0.3">
      <c r="A54" s="248"/>
      <c r="B54" s="127"/>
      <c r="C54" s="5"/>
      <c r="D54" s="228"/>
      <c r="I54" s="209"/>
      <c r="J54" s="5"/>
    </row>
    <row r="55" spans="1:10" ht="18.75" x14ac:dyDescent="0.25">
      <c r="A55" s="1006" t="s">
        <v>2</v>
      </c>
      <c r="B55" s="257" t="str">
        <f t="shared" ref="B55:B65" si="8">+MID(C55,1,3)</f>
        <v>280</v>
      </c>
      <c r="C55" s="241" t="s">
        <v>388</v>
      </c>
      <c r="D55" s="240" t="s">
        <v>1008</v>
      </c>
      <c r="E55" s="27">
        <f t="shared" ref="E55:E65" si="9">+F55*G55+H55</f>
        <v>0</v>
      </c>
      <c r="F55" s="264"/>
      <c r="G55" s="233"/>
      <c r="H55" s="233"/>
      <c r="I55" s="249" t="e">
        <f>+VLOOKUP(C55,#REF!,3,)</f>
        <v>#REF!</v>
      </c>
      <c r="J55" s="237" t="s">
        <v>495</v>
      </c>
    </row>
    <row r="56" spans="1:10" ht="18.75" x14ac:dyDescent="0.25">
      <c r="A56" s="1007"/>
      <c r="B56" s="259" t="str">
        <f t="shared" si="8"/>
        <v>586</v>
      </c>
      <c r="C56" s="137" t="s">
        <v>135</v>
      </c>
      <c r="D56" s="223" t="s">
        <v>1011</v>
      </c>
      <c r="E56" s="23">
        <f t="shared" si="9"/>
        <v>0</v>
      </c>
      <c r="F56" s="267"/>
      <c r="G56" s="221"/>
      <c r="H56" s="221"/>
      <c r="I56" s="251" t="e">
        <f>+VLOOKUP(C56,#REF!,3,)</f>
        <v>#REF!</v>
      </c>
      <c r="J56" s="229" t="s">
        <v>495</v>
      </c>
    </row>
    <row r="57" spans="1:10" ht="18.75" x14ac:dyDescent="0.25">
      <c r="A57" s="1007"/>
      <c r="B57" s="259" t="str">
        <f t="shared" si="8"/>
        <v>517</v>
      </c>
      <c r="C57" s="137" t="s">
        <v>75</v>
      </c>
      <c r="D57" s="222" t="s">
        <v>985</v>
      </c>
      <c r="E57" s="23">
        <f t="shared" si="9"/>
        <v>0</v>
      </c>
      <c r="F57" s="267"/>
      <c r="G57" s="221"/>
      <c r="H57" s="221"/>
      <c r="I57" s="251" t="e">
        <f>+TRIM(PROPER(VLOOKUP(D57,#REF!,4,)))</f>
        <v>#REF!</v>
      </c>
      <c r="J57" s="229" t="s">
        <v>495</v>
      </c>
    </row>
    <row r="58" spans="1:10" ht="18.75" x14ac:dyDescent="0.25">
      <c r="A58" s="1007"/>
      <c r="B58" s="259" t="str">
        <f t="shared" si="8"/>
        <v>519</v>
      </c>
      <c r="C58" s="137" t="s">
        <v>77</v>
      </c>
      <c r="D58" s="222" t="s">
        <v>986</v>
      </c>
      <c r="E58" s="23">
        <f t="shared" si="9"/>
        <v>0</v>
      </c>
      <c r="F58" s="267"/>
      <c r="G58" s="221"/>
      <c r="H58" s="221"/>
      <c r="I58" s="251" t="e">
        <f>+TRIM(PROPER(VLOOKUP(D58,#REF!,4,)))</f>
        <v>#REF!</v>
      </c>
      <c r="J58" s="229" t="s">
        <v>495</v>
      </c>
    </row>
    <row r="59" spans="1:10" ht="18.75" x14ac:dyDescent="0.25">
      <c r="A59" s="1007"/>
      <c r="B59" s="259" t="str">
        <f t="shared" si="8"/>
        <v>569</v>
      </c>
      <c r="C59" s="217" t="s">
        <v>429</v>
      </c>
      <c r="D59" s="222" t="s">
        <v>987</v>
      </c>
      <c r="E59" s="23">
        <f t="shared" si="9"/>
        <v>0</v>
      </c>
      <c r="F59" s="267"/>
      <c r="G59" s="221"/>
      <c r="H59" s="221"/>
      <c r="I59" s="251" t="e">
        <f>+TRIM(PROPER(VLOOKUP(D59,#REF!,4,)))</f>
        <v>#REF!</v>
      </c>
      <c r="J59" s="229" t="s">
        <v>495</v>
      </c>
    </row>
    <row r="60" spans="1:10" ht="18.75" x14ac:dyDescent="0.25">
      <c r="A60" s="1007"/>
      <c r="B60" s="259" t="str">
        <f t="shared" si="8"/>
        <v>548</v>
      </c>
      <c r="C60" s="137" t="s">
        <v>111</v>
      </c>
      <c r="D60" s="222" t="s">
        <v>988</v>
      </c>
      <c r="E60" s="23">
        <f t="shared" si="9"/>
        <v>0</v>
      </c>
      <c r="F60" s="267"/>
      <c r="G60" s="221"/>
      <c r="H60" s="221"/>
      <c r="I60" s="251" t="e">
        <f>+VLOOKUP(C60,#REF!,3,)</f>
        <v>#REF!</v>
      </c>
      <c r="J60" s="229" t="s">
        <v>495</v>
      </c>
    </row>
    <row r="61" spans="1:10" ht="18.75" x14ac:dyDescent="0.25">
      <c r="A61" s="1007"/>
      <c r="B61" s="259" t="str">
        <f t="shared" si="8"/>
        <v>559</v>
      </c>
      <c r="C61" s="137" t="s">
        <v>113</v>
      </c>
      <c r="D61" s="222" t="s">
        <v>989</v>
      </c>
      <c r="E61" s="23">
        <f t="shared" si="9"/>
        <v>0</v>
      </c>
      <c r="F61" s="267"/>
      <c r="G61" s="221"/>
      <c r="H61" s="221"/>
      <c r="I61" s="251" t="e">
        <f>+TRIM(PROPER(VLOOKUP(D61,#REF!,4,)))</f>
        <v>#REF!</v>
      </c>
      <c r="J61" s="229" t="s">
        <v>495</v>
      </c>
    </row>
    <row r="62" spans="1:10" ht="18.75" x14ac:dyDescent="0.25">
      <c r="A62" s="1007"/>
      <c r="B62" s="259" t="str">
        <f t="shared" si="8"/>
        <v>560</v>
      </c>
      <c r="C62" s="137" t="s">
        <v>115</v>
      </c>
      <c r="D62" s="222" t="s">
        <v>990</v>
      </c>
      <c r="E62" s="23">
        <f t="shared" si="9"/>
        <v>0</v>
      </c>
      <c r="F62" s="267"/>
      <c r="G62" s="221"/>
      <c r="H62" s="221"/>
      <c r="I62" s="251" t="e">
        <f>+TRIM(PROPER(VLOOKUP(D62,#REF!,4,)))</f>
        <v>#REF!</v>
      </c>
      <c r="J62" s="229" t="s">
        <v>495</v>
      </c>
    </row>
    <row r="63" spans="1:10" ht="18.75" x14ac:dyDescent="0.25">
      <c r="A63" s="1007"/>
      <c r="B63" s="259" t="str">
        <f t="shared" si="8"/>
        <v>547</v>
      </c>
      <c r="C63" s="137" t="s">
        <v>109</v>
      </c>
      <c r="D63" s="222" t="s">
        <v>991</v>
      </c>
      <c r="E63" s="23">
        <f t="shared" si="9"/>
        <v>0</v>
      </c>
      <c r="F63" s="267"/>
      <c r="G63" s="221"/>
      <c r="H63" s="221"/>
      <c r="I63" s="251" t="e">
        <f>+TRIM(PROPER(VLOOKUP(D63,#REF!,4,)))</f>
        <v>#REF!</v>
      </c>
      <c r="J63" s="229" t="s">
        <v>495</v>
      </c>
    </row>
    <row r="64" spans="1:10" ht="18.75" x14ac:dyDescent="0.25">
      <c r="A64" s="1007"/>
      <c r="B64" s="259" t="str">
        <f t="shared" si="8"/>
        <v>321</v>
      </c>
      <c r="C64" s="137" t="s">
        <v>39</v>
      </c>
      <c r="D64" s="222" t="s">
        <v>992</v>
      </c>
      <c r="E64" s="23">
        <f t="shared" si="9"/>
        <v>0</v>
      </c>
      <c r="F64" s="267"/>
      <c r="G64" s="221"/>
      <c r="H64" s="221"/>
      <c r="I64" s="251" t="e">
        <f>+TRIM(PROPER(VLOOKUP(D64,#REF!,4,)))</f>
        <v>#REF!</v>
      </c>
      <c r="J64" s="229" t="s">
        <v>495</v>
      </c>
    </row>
    <row r="65" spans="1:10" ht="19.5" thickBot="1" x14ac:dyDescent="0.3">
      <c r="A65" s="1008"/>
      <c r="B65" s="258" t="str">
        <f t="shared" si="8"/>
        <v>395</v>
      </c>
      <c r="C65" s="239" t="s">
        <v>45</v>
      </c>
      <c r="D65" s="235" t="s">
        <v>993</v>
      </c>
      <c r="E65" s="29">
        <f t="shared" si="9"/>
        <v>0</v>
      </c>
      <c r="F65" s="265"/>
      <c r="G65" s="236"/>
      <c r="H65" s="236"/>
      <c r="I65" s="250" t="e">
        <f>+VLOOKUP(C65,#REF!,3,)</f>
        <v>#REF!</v>
      </c>
      <c r="J65" s="230" t="s">
        <v>495</v>
      </c>
    </row>
    <row r="66" spans="1:10" ht="6.6" customHeight="1" thickBot="1" x14ac:dyDescent="0.3">
      <c r="A66" s="248"/>
      <c r="B66" s="127"/>
      <c r="C66" s="5"/>
      <c r="D66" s="228"/>
      <c r="I66" s="209"/>
      <c r="J66" s="5"/>
    </row>
    <row r="67" spans="1:10" ht="18.75" x14ac:dyDescent="0.25">
      <c r="A67" s="1006" t="s">
        <v>0</v>
      </c>
      <c r="B67" s="257" t="str">
        <f t="shared" ref="B67:B77" si="10">+MID(C67,1,3)</f>
        <v>501</v>
      </c>
      <c r="C67" s="238" t="s">
        <v>55</v>
      </c>
      <c r="D67" s="232" t="s">
        <v>994</v>
      </c>
      <c r="E67" s="27">
        <f t="shared" ref="E67:E77" si="11">+F67*G67+H67</f>
        <v>0</v>
      </c>
      <c r="F67" s="264"/>
      <c r="G67" s="233"/>
      <c r="H67" s="233"/>
      <c r="I67" s="249" t="e">
        <f>+VLOOKUP(C67,#REF!,3,)</f>
        <v>#REF!</v>
      </c>
      <c r="J67" s="237" t="s">
        <v>495</v>
      </c>
    </row>
    <row r="68" spans="1:10" ht="18.75" x14ac:dyDescent="0.25">
      <c r="A68" s="1007"/>
      <c r="B68" s="259" t="str">
        <f t="shared" si="10"/>
        <v>512</v>
      </c>
      <c r="C68" s="137" t="s">
        <v>71</v>
      </c>
      <c r="D68" s="222" t="s">
        <v>995</v>
      </c>
      <c r="E68" s="23">
        <f t="shared" si="11"/>
        <v>0</v>
      </c>
      <c r="F68" s="267"/>
      <c r="G68" s="221"/>
      <c r="H68" s="221"/>
      <c r="I68" s="251" t="e">
        <f>+VLOOKUP(C68,#REF!,3,)</f>
        <v>#REF!</v>
      </c>
      <c r="J68" s="229" t="s">
        <v>495</v>
      </c>
    </row>
    <row r="69" spans="1:10" ht="18.75" x14ac:dyDescent="0.25">
      <c r="A69" s="1007"/>
      <c r="B69" s="259" t="str">
        <f t="shared" si="10"/>
        <v>502</v>
      </c>
      <c r="C69" s="137" t="s">
        <v>57</v>
      </c>
      <c r="D69" s="222" t="s">
        <v>996</v>
      </c>
      <c r="E69" s="23">
        <f t="shared" si="11"/>
        <v>0</v>
      </c>
      <c r="F69" s="267"/>
      <c r="G69" s="221"/>
      <c r="H69" s="221"/>
      <c r="I69" s="251" t="e">
        <f>+VLOOKUP(C69,#REF!,3,)</f>
        <v>#REF!</v>
      </c>
      <c r="J69" s="229" t="s">
        <v>495</v>
      </c>
    </row>
    <row r="70" spans="1:10" ht="18.75" x14ac:dyDescent="0.25">
      <c r="A70" s="1007"/>
      <c r="B70" s="259" t="str">
        <f t="shared" si="10"/>
        <v>508</v>
      </c>
      <c r="C70" s="137" t="s">
        <v>67</v>
      </c>
      <c r="D70" s="222" t="s">
        <v>997</v>
      </c>
      <c r="E70" s="23">
        <f t="shared" si="11"/>
        <v>0</v>
      </c>
      <c r="F70" s="267"/>
      <c r="G70" s="221"/>
      <c r="H70" s="221"/>
      <c r="I70" s="251" t="e">
        <f>+TRIM(PROPER(VLOOKUP(D70,#REF!,4,)))</f>
        <v>#REF!</v>
      </c>
      <c r="J70" s="229" t="s">
        <v>495</v>
      </c>
    </row>
    <row r="71" spans="1:10" ht="18.75" x14ac:dyDescent="0.25">
      <c r="A71" s="1007"/>
      <c r="B71" s="259" t="str">
        <f t="shared" si="10"/>
        <v>507</v>
      </c>
      <c r="C71" s="137" t="s">
        <v>65</v>
      </c>
      <c r="D71" s="222" t="s">
        <v>998</v>
      </c>
      <c r="E71" s="23">
        <f t="shared" si="11"/>
        <v>0</v>
      </c>
      <c r="F71" s="267"/>
      <c r="G71" s="221"/>
      <c r="H71" s="221"/>
      <c r="I71" s="251" t="e">
        <f>+TRIM(PROPER(VLOOKUP(D71,#REF!,4,)))</f>
        <v>#REF!</v>
      </c>
      <c r="J71" s="229" t="s">
        <v>495</v>
      </c>
    </row>
    <row r="72" spans="1:10" ht="18.75" x14ac:dyDescent="0.25">
      <c r="A72" s="1007"/>
      <c r="B72" s="259" t="str">
        <f t="shared" si="10"/>
        <v>511</v>
      </c>
      <c r="C72" s="137" t="s">
        <v>69</v>
      </c>
      <c r="D72" s="222" t="s">
        <v>999</v>
      </c>
      <c r="E72" s="23">
        <f t="shared" si="11"/>
        <v>0</v>
      </c>
      <c r="F72" s="267"/>
      <c r="G72" s="221"/>
      <c r="H72" s="221"/>
      <c r="I72" s="251" t="e">
        <f>+TRIM(PROPER(VLOOKUP(D72,#REF!,4,)))</f>
        <v>#REF!</v>
      </c>
      <c r="J72" s="229" t="s">
        <v>495</v>
      </c>
    </row>
    <row r="73" spans="1:10" ht="18.75" x14ac:dyDescent="0.25">
      <c r="A73" s="1007"/>
      <c r="B73" s="259" t="str">
        <f t="shared" si="10"/>
        <v>057</v>
      </c>
      <c r="C73" s="137" t="s">
        <v>31</v>
      </c>
      <c r="D73" s="222" t="s">
        <v>1000</v>
      </c>
      <c r="E73" s="23">
        <f t="shared" si="11"/>
        <v>0</v>
      </c>
      <c r="F73" s="267"/>
      <c r="G73" s="221"/>
      <c r="H73" s="221"/>
      <c r="I73" s="251" t="e">
        <f>+TRIM(PROPER(VLOOKUP(D73,#REF!,4,)))</f>
        <v>#REF!</v>
      </c>
      <c r="J73" s="229" t="s">
        <v>495</v>
      </c>
    </row>
    <row r="74" spans="1:10" ht="18.75" x14ac:dyDescent="0.25">
      <c r="A74" s="1007"/>
      <c r="B74" s="259" t="str">
        <f t="shared" si="10"/>
        <v>229</v>
      </c>
      <c r="C74" s="137" t="s">
        <v>33</v>
      </c>
      <c r="D74" s="222" t="s">
        <v>1001</v>
      </c>
      <c r="E74" s="23">
        <f t="shared" si="11"/>
        <v>0</v>
      </c>
      <c r="F74" s="267"/>
      <c r="G74" s="221"/>
      <c r="H74" s="221"/>
      <c r="I74" s="251" t="e">
        <f>+TRIM(PROPER(VLOOKUP(D74,#REF!,4,)))</f>
        <v>#REF!</v>
      </c>
      <c r="J74" s="229" t="s">
        <v>495</v>
      </c>
    </row>
    <row r="75" spans="1:10" ht="18.75" x14ac:dyDescent="0.25">
      <c r="A75" s="1007"/>
      <c r="B75" s="259" t="str">
        <f t="shared" si="10"/>
        <v>499</v>
      </c>
      <c r="C75" s="137" t="s">
        <v>51</v>
      </c>
      <c r="D75" s="222" t="s">
        <v>1002</v>
      </c>
      <c r="E75" s="23">
        <f t="shared" si="11"/>
        <v>0</v>
      </c>
      <c r="F75" s="267"/>
      <c r="G75" s="221"/>
      <c r="H75" s="221"/>
      <c r="I75" s="251" t="e">
        <f>+TRIM(PROPER(VLOOKUP(D75,#REF!,4,)))</f>
        <v>#REF!</v>
      </c>
      <c r="J75" s="229" t="s">
        <v>495</v>
      </c>
    </row>
    <row r="76" spans="1:10" ht="18.75" x14ac:dyDescent="0.25">
      <c r="A76" s="1007"/>
      <c r="B76" s="259" t="str">
        <f t="shared" si="10"/>
        <v>546</v>
      </c>
      <c r="C76" s="137" t="s">
        <v>107</v>
      </c>
      <c r="D76" s="222" t="s">
        <v>1003</v>
      </c>
      <c r="E76" s="23">
        <f t="shared" si="11"/>
        <v>0</v>
      </c>
      <c r="F76" s="267"/>
      <c r="G76" s="221"/>
      <c r="H76" s="221"/>
      <c r="I76" s="251" t="e">
        <f>+TRIM(PROPER(VLOOKUP(D76,#REF!,4,)))</f>
        <v>#REF!</v>
      </c>
      <c r="J76" s="229" t="s">
        <v>495</v>
      </c>
    </row>
    <row r="77" spans="1:10" ht="19.5" thickBot="1" x14ac:dyDescent="0.3">
      <c r="A77" s="1008"/>
      <c r="B77" s="258" t="str">
        <f t="shared" si="10"/>
        <v>396</v>
      </c>
      <c r="C77" s="239" t="s">
        <v>47</v>
      </c>
      <c r="D77" s="235" t="s">
        <v>1004</v>
      </c>
      <c r="E77" s="29">
        <f t="shared" si="11"/>
        <v>0</v>
      </c>
      <c r="F77" s="265"/>
      <c r="G77" s="236"/>
      <c r="H77" s="236"/>
      <c r="I77" s="250" t="e">
        <f>+VLOOKUP(C77,#REF!,3,)</f>
        <v>#REF!</v>
      </c>
      <c r="J77" s="230" t="s">
        <v>495</v>
      </c>
    </row>
    <row r="78" spans="1:10" ht="6" customHeight="1" thickBot="1" x14ac:dyDescent="0.3">
      <c r="A78" s="248"/>
      <c r="B78" s="127"/>
      <c r="C78" s="5"/>
      <c r="D78" s="228"/>
      <c r="E78" s="218"/>
      <c r="I78" s="209"/>
      <c r="J78" s="5"/>
    </row>
    <row r="79" spans="1:10" ht="18.75" x14ac:dyDescent="0.25">
      <c r="A79" s="1006" t="s">
        <v>941</v>
      </c>
      <c r="B79" s="257" t="str">
        <f>+MID(C79,1,3)</f>
        <v>544</v>
      </c>
      <c r="C79" s="238" t="s">
        <v>105</v>
      </c>
      <c r="D79" s="240" t="s">
        <v>1012</v>
      </c>
      <c r="E79" s="27">
        <f>+F79*G79+H79</f>
        <v>0</v>
      </c>
      <c r="F79" s="264"/>
      <c r="G79" s="233"/>
      <c r="H79" s="233"/>
      <c r="I79" s="249" t="e">
        <f>+VLOOKUP(C79,#REF!,3,)</f>
        <v>#REF!</v>
      </c>
      <c r="J79" s="237" t="s">
        <v>495</v>
      </c>
    </row>
    <row r="80" spans="1:10" ht="19.5" thickBot="1" x14ac:dyDescent="0.3">
      <c r="A80" s="1008"/>
      <c r="B80" s="258" t="str">
        <f>+MID(C80,1,3)</f>
        <v>504</v>
      </c>
      <c r="C80" s="239" t="s">
        <v>59</v>
      </c>
      <c r="D80" s="242" t="s">
        <v>1010</v>
      </c>
      <c r="E80" s="29">
        <f>+F80*G80+H80</f>
        <v>0</v>
      </c>
      <c r="F80" s="265"/>
      <c r="G80" s="236"/>
      <c r="H80" s="236"/>
      <c r="I80" s="250" t="e">
        <f>+VLOOKUP(C80,#REF!,3,)</f>
        <v>#REF!</v>
      </c>
      <c r="J80" s="229" t="s">
        <v>495</v>
      </c>
    </row>
    <row r="81" spans="1:10" ht="16.5" thickBot="1" x14ac:dyDescent="0.3">
      <c r="A81" s="214"/>
      <c r="B81" s="25"/>
      <c r="C81" s="224"/>
      <c r="D81" s="225"/>
      <c r="E81" s="25"/>
      <c r="F81" s="268"/>
      <c r="G81" s="226"/>
      <c r="H81" s="226"/>
      <c r="I81" s="252"/>
      <c r="J81" s="137"/>
    </row>
    <row r="82" spans="1:10" ht="18.75" x14ac:dyDescent="0.25">
      <c r="A82" s="1006" t="s">
        <v>1015</v>
      </c>
      <c r="B82" s="257" t="str">
        <f t="shared" ref="B82:B87" si="12">+MID(C82,1,3)</f>
        <v>111</v>
      </c>
      <c r="C82" s="238" t="s">
        <v>927</v>
      </c>
      <c r="D82" s="240" t="s">
        <v>926</v>
      </c>
      <c r="E82" s="27">
        <f t="shared" ref="E82:E87" si="13">+F82*G82+H82</f>
        <v>0</v>
      </c>
      <c r="F82" s="264"/>
      <c r="G82" s="233"/>
      <c r="H82" s="233"/>
      <c r="I82" s="251" t="e">
        <f>+TRIM(PROPER(VLOOKUP(D82,#REF!,4,)))</f>
        <v>#REF!</v>
      </c>
      <c r="J82" s="137"/>
    </row>
    <row r="83" spans="1:10" ht="18.75" x14ac:dyDescent="0.25">
      <c r="A83" s="1007"/>
      <c r="B83" s="259" t="str">
        <f t="shared" si="12"/>
        <v>112</v>
      </c>
      <c r="C83" s="137" t="s">
        <v>914</v>
      </c>
      <c r="D83" s="223" t="s">
        <v>913</v>
      </c>
      <c r="E83" s="23">
        <f t="shared" si="13"/>
        <v>0</v>
      </c>
      <c r="F83" s="267"/>
      <c r="G83" s="221"/>
      <c r="H83" s="221"/>
      <c r="I83" s="251" t="e">
        <f>+TRIM(PROPER(VLOOKUP(D83,#REF!,4,)))</f>
        <v>#REF!</v>
      </c>
      <c r="J83" s="137"/>
    </row>
    <row r="84" spans="1:10" ht="18.75" x14ac:dyDescent="0.25">
      <c r="A84" s="1007"/>
      <c r="B84" s="259" t="str">
        <f t="shared" si="12"/>
        <v>118</v>
      </c>
      <c r="C84" s="137" t="s">
        <v>915</v>
      </c>
      <c r="D84" s="223" t="s">
        <v>1016</v>
      </c>
      <c r="E84" s="23">
        <f t="shared" si="13"/>
        <v>0</v>
      </c>
      <c r="F84" s="267"/>
      <c r="G84" s="221"/>
      <c r="H84" s="221"/>
      <c r="I84" s="251" t="e">
        <f>+TRIM(PROPER(VLOOKUP(D84,#REF!,4,)))</f>
        <v>#REF!</v>
      </c>
      <c r="J84" s="137"/>
    </row>
    <row r="85" spans="1:10" ht="18.75" x14ac:dyDescent="0.25">
      <c r="A85" s="1007"/>
      <c r="B85" s="259" t="str">
        <f t="shared" si="12"/>
        <v>128</v>
      </c>
      <c r="C85" s="137" t="s">
        <v>917</v>
      </c>
      <c r="D85" s="223" t="s">
        <v>916</v>
      </c>
      <c r="E85" s="23">
        <f t="shared" si="13"/>
        <v>0</v>
      </c>
      <c r="F85" s="267"/>
      <c r="G85" s="221"/>
      <c r="H85" s="221"/>
      <c r="I85" s="251" t="e">
        <f>+TRIM(PROPER(VLOOKUP(D85,#REF!,4,)))</f>
        <v>#REF!</v>
      </c>
      <c r="J85" s="137"/>
    </row>
    <row r="86" spans="1:10" ht="18.75" x14ac:dyDescent="0.25">
      <c r="A86" s="1007"/>
      <c r="B86" s="259" t="str">
        <f t="shared" si="12"/>
        <v>129</v>
      </c>
      <c r="C86" s="137" t="s">
        <v>929</v>
      </c>
      <c r="D86" s="223" t="s">
        <v>928</v>
      </c>
      <c r="E86" s="23">
        <f t="shared" si="13"/>
        <v>0</v>
      </c>
      <c r="F86" s="267"/>
      <c r="G86" s="221"/>
      <c r="H86" s="221"/>
      <c r="I86" s="251" t="e">
        <f>+TRIM(PROPER(VLOOKUP(D86,#REF!,4,)))</f>
        <v>#REF!</v>
      </c>
      <c r="J86" s="137"/>
    </row>
    <row r="87" spans="1:10" ht="18.75" x14ac:dyDescent="0.25">
      <c r="A87" s="1007"/>
      <c r="B87" s="259" t="str">
        <f t="shared" si="12"/>
        <v>184</v>
      </c>
      <c r="C87" s="137" t="s">
        <v>925</v>
      </c>
      <c r="D87" s="223" t="s">
        <v>1017</v>
      </c>
      <c r="E87" s="23">
        <f t="shared" si="13"/>
        <v>0</v>
      </c>
      <c r="F87" s="267"/>
      <c r="G87" s="221"/>
      <c r="H87" s="221"/>
      <c r="I87" s="251" t="e">
        <f>+TRIM(PROPER(VLOOKUP(D87,#REF!,4,)))</f>
        <v>#REF!</v>
      </c>
      <c r="J87" s="137"/>
    </row>
    <row r="88" spans="1:10" ht="16.5" thickBot="1" x14ac:dyDescent="0.3">
      <c r="A88" s="271"/>
      <c r="B88" s="28"/>
      <c r="C88" s="269"/>
      <c r="D88" s="272"/>
      <c r="E88" s="28"/>
      <c r="F88" s="273"/>
      <c r="G88" s="274"/>
      <c r="H88" s="274"/>
      <c r="I88" s="275"/>
      <c r="J88" s="137"/>
    </row>
    <row r="89" spans="1:10" ht="18.75" x14ac:dyDescent="0.25">
      <c r="A89" s="1006" t="s">
        <v>1018</v>
      </c>
      <c r="B89" s="257" t="str">
        <f t="shared" ref="B89:B116" si="14">+MID(C89,1,3)</f>
        <v>110</v>
      </c>
      <c r="C89" s="238" t="s">
        <v>930</v>
      </c>
      <c r="D89" s="240" t="s">
        <v>1019</v>
      </c>
      <c r="E89" s="27">
        <f t="shared" ref="E89:E116" si="15">+F89*G89+H89</f>
        <v>0</v>
      </c>
      <c r="F89" s="264"/>
      <c r="G89" s="233"/>
      <c r="H89" s="233"/>
      <c r="I89" s="249" t="e">
        <f>+TRIM(PROPER(VLOOKUP(D89,#REF!,4,)))</f>
        <v>#REF!</v>
      </c>
      <c r="J89" s="137"/>
    </row>
    <row r="90" spans="1:10" ht="18.75" x14ac:dyDescent="0.25">
      <c r="A90" s="1007"/>
      <c r="B90" s="259" t="str">
        <f t="shared" si="14"/>
        <v>113</v>
      </c>
      <c r="C90" s="137" t="s">
        <v>919</v>
      </c>
      <c r="D90" s="223" t="s">
        <v>918</v>
      </c>
      <c r="E90" s="23">
        <f t="shared" si="15"/>
        <v>0</v>
      </c>
      <c r="F90" s="267"/>
      <c r="G90" s="221"/>
      <c r="H90" s="221"/>
      <c r="I90" s="251" t="e">
        <f>+TRIM(PROPER(VLOOKUP(D90,#REF!,4,)))</f>
        <v>#REF!</v>
      </c>
      <c r="J90" s="137"/>
    </row>
    <row r="91" spans="1:10" ht="18.75" x14ac:dyDescent="0.25">
      <c r="A91" s="1007"/>
      <c r="B91" s="259" t="str">
        <f t="shared" si="14"/>
        <v>114</v>
      </c>
      <c r="C91" s="137" t="s">
        <v>921</v>
      </c>
      <c r="D91" s="223" t="s">
        <v>920</v>
      </c>
      <c r="E91" s="23">
        <f t="shared" si="15"/>
        <v>0</v>
      </c>
      <c r="F91" s="267"/>
      <c r="G91" s="221"/>
      <c r="H91" s="221"/>
      <c r="I91" s="251" t="e">
        <f>+TRIM(PROPER(VLOOKUP(D91,#REF!,4,)))</f>
        <v>#REF!</v>
      </c>
      <c r="J91" s="137"/>
    </row>
    <row r="92" spans="1:10" ht="18.75" x14ac:dyDescent="0.25">
      <c r="A92" s="1007"/>
      <c r="B92" s="259" t="str">
        <f t="shared" si="14"/>
        <v>115</v>
      </c>
      <c r="C92" s="137" t="s">
        <v>923</v>
      </c>
      <c r="D92" s="223" t="s">
        <v>922</v>
      </c>
      <c r="E92" s="23">
        <f t="shared" si="15"/>
        <v>0</v>
      </c>
      <c r="F92" s="223"/>
      <c r="G92" s="223"/>
      <c r="H92" s="221"/>
      <c r="I92" s="251" t="e">
        <f>+TRIM(PROPER(VLOOKUP(D92,#REF!,4,)))</f>
        <v>#REF!</v>
      </c>
      <c r="J92" s="137"/>
    </row>
    <row r="93" spans="1:10" ht="18.75" x14ac:dyDescent="0.25">
      <c r="A93" s="1007"/>
      <c r="B93" s="259" t="str">
        <f t="shared" si="14"/>
        <v>126</v>
      </c>
      <c r="C93" s="137" t="s">
        <v>924</v>
      </c>
      <c r="D93" s="223" t="s">
        <v>1020</v>
      </c>
      <c r="E93" s="23">
        <f t="shared" si="15"/>
        <v>0</v>
      </c>
      <c r="F93" s="223"/>
      <c r="G93" s="223"/>
      <c r="H93" s="221"/>
      <c r="I93" s="251" t="e">
        <f>+TRIM(PROPER(VLOOKUP(D93,#REF!,4,)))</f>
        <v>#REF!</v>
      </c>
      <c r="J93" s="137"/>
    </row>
    <row r="94" spans="1:10" ht="19.5" thickBot="1" x14ac:dyDescent="0.3">
      <c r="A94" s="1008"/>
      <c r="B94" s="258" t="str">
        <f t="shared" si="14"/>
        <v>CK</v>
      </c>
      <c r="C94" s="239" t="s">
        <v>931</v>
      </c>
      <c r="D94" s="242" t="s">
        <v>1021</v>
      </c>
      <c r="E94" s="29">
        <f t="shared" si="15"/>
        <v>0</v>
      </c>
      <c r="F94" s="242"/>
      <c r="G94" s="242"/>
      <c r="H94" s="236"/>
      <c r="I94" s="250" t="e">
        <f>+TRIM(PROPER(VLOOKUP(D94,#REF!,4,)))</f>
        <v>#REF!</v>
      </c>
      <c r="J94" s="137"/>
    </row>
    <row r="95" spans="1:10" ht="16.5" thickBot="1" x14ac:dyDescent="0.3">
      <c r="A95" s="271"/>
      <c r="B95" s="218"/>
      <c r="C95" s="270"/>
      <c r="D95" s="276"/>
      <c r="E95" s="218"/>
      <c r="F95" s="277"/>
      <c r="G95" s="278"/>
      <c r="H95" s="278"/>
      <c r="I95" s="279"/>
      <c r="J95" s="137"/>
    </row>
    <row r="96" spans="1:10" ht="18.75" x14ac:dyDescent="0.25">
      <c r="A96" s="1000" t="s">
        <v>1022</v>
      </c>
      <c r="B96" s="261" t="str">
        <f t="shared" si="14"/>
        <v>862</v>
      </c>
      <c r="C96" s="238">
        <v>862</v>
      </c>
      <c r="D96" s="232" t="s">
        <v>871</v>
      </c>
      <c r="E96" s="27">
        <f t="shared" si="15"/>
        <v>0</v>
      </c>
      <c r="F96" s="264"/>
      <c r="G96" s="233"/>
      <c r="H96" s="233"/>
      <c r="I96" s="249" t="e">
        <f>+TRIM(PROPER(VLOOKUP(D96,#REF!,4,)))</f>
        <v>#REF!</v>
      </c>
      <c r="J96" s="229"/>
    </row>
    <row r="97" spans="1:10" ht="18.75" x14ac:dyDescent="0.25">
      <c r="A97" s="1001"/>
      <c r="B97" s="260" t="str">
        <f t="shared" si="14"/>
        <v>859</v>
      </c>
      <c r="C97" s="137">
        <v>859</v>
      </c>
      <c r="D97" s="222" t="s">
        <v>874</v>
      </c>
      <c r="E97" s="23">
        <f t="shared" si="15"/>
        <v>0</v>
      </c>
      <c r="F97" s="267"/>
      <c r="G97" s="221"/>
      <c r="H97" s="221"/>
      <c r="I97" s="251" t="e">
        <f>+TRIM(PROPER(VLOOKUP(D97,#REF!,4,)))</f>
        <v>#REF!</v>
      </c>
      <c r="J97" s="229"/>
    </row>
    <row r="98" spans="1:10" ht="18.75" x14ac:dyDescent="0.25">
      <c r="A98" s="1001"/>
      <c r="B98" s="260" t="str">
        <f t="shared" si="14"/>
        <v>56</v>
      </c>
      <c r="C98" s="137">
        <v>56</v>
      </c>
      <c r="D98" s="222" t="s">
        <v>872</v>
      </c>
      <c r="E98" s="23">
        <f t="shared" si="15"/>
        <v>0</v>
      </c>
      <c r="F98" s="267"/>
      <c r="G98" s="221"/>
      <c r="H98" s="221"/>
      <c r="I98" s="251" t="e">
        <f>+TRIM(PROPER(VLOOKUP(D98,#REF!,4,)))</f>
        <v>#REF!</v>
      </c>
      <c r="J98" s="229"/>
    </row>
    <row r="99" spans="1:10" ht="18.75" x14ac:dyDescent="0.25">
      <c r="A99" s="1001"/>
      <c r="B99" s="260" t="str">
        <f t="shared" si="14"/>
        <v>722</v>
      </c>
      <c r="C99" s="137">
        <v>722</v>
      </c>
      <c r="D99" s="222" t="s">
        <v>873</v>
      </c>
      <c r="E99" s="23">
        <f t="shared" si="15"/>
        <v>0</v>
      </c>
      <c r="F99" s="267"/>
      <c r="G99" s="221"/>
      <c r="H99" s="221"/>
      <c r="I99" s="251" t="e">
        <f>+TRIM(PROPER(VLOOKUP(D99,#REF!,4,)))</f>
        <v>#REF!</v>
      </c>
      <c r="J99" s="229"/>
    </row>
    <row r="100" spans="1:10" ht="18.75" x14ac:dyDescent="0.25">
      <c r="A100" s="1001"/>
      <c r="B100" s="260" t="str">
        <f t="shared" si="14"/>
        <v>54</v>
      </c>
      <c r="C100" s="137">
        <v>54</v>
      </c>
      <c r="D100" s="222" t="s">
        <v>893</v>
      </c>
      <c r="E100" s="23">
        <f t="shared" si="15"/>
        <v>0</v>
      </c>
      <c r="F100" s="267"/>
      <c r="G100" s="221"/>
      <c r="H100" s="221"/>
      <c r="I100" s="251" t="e">
        <f>+TRIM(PROPER(VLOOKUP(D100,#REF!,4,)))</f>
        <v>#REF!</v>
      </c>
      <c r="J100" s="229"/>
    </row>
    <row r="101" spans="1:10" ht="18.75" x14ac:dyDescent="0.25">
      <c r="A101" s="1001"/>
      <c r="B101" s="260" t="str">
        <f t="shared" si="14"/>
        <v>56</v>
      </c>
      <c r="C101" s="137">
        <v>56</v>
      </c>
      <c r="D101" s="222" t="s">
        <v>875</v>
      </c>
      <c r="E101" s="23">
        <f t="shared" si="15"/>
        <v>0</v>
      </c>
      <c r="F101" s="267"/>
      <c r="G101" s="221"/>
      <c r="H101" s="221"/>
      <c r="I101" s="251" t="e">
        <f>+TRIM(PROPER(VLOOKUP(D101,#REF!,4,)))</f>
        <v>#REF!</v>
      </c>
      <c r="J101" s="229"/>
    </row>
    <row r="102" spans="1:10" ht="18.75" x14ac:dyDescent="0.25">
      <c r="A102" s="1001"/>
      <c r="B102" s="260" t="str">
        <f t="shared" si="14"/>
        <v>719</v>
      </c>
      <c r="C102" s="137">
        <v>719</v>
      </c>
      <c r="D102" s="222" t="s">
        <v>876</v>
      </c>
      <c r="E102" s="23">
        <f t="shared" si="15"/>
        <v>0</v>
      </c>
      <c r="F102" s="267"/>
      <c r="G102" s="221"/>
      <c r="H102" s="221"/>
      <c r="I102" s="251" t="e">
        <f>+TRIM(PROPER(VLOOKUP(D102,#REF!,4,)))</f>
        <v>#REF!</v>
      </c>
      <c r="J102" s="229"/>
    </row>
    <row r="103" spans="1:10" ht="18.75" x14ac:dyDescent="0.25">
      <c r="A103" s="1001"/>
      <c r="B103" s="260" t="str">
        <f t="shared" si="14"/>
        <v>708</v>
      </c>
      <c r="C103" s="137">
        <v>708</v>
      </c>
      <c r="D103" s="222" t="s">
        <v>1023</v>
      </c>
      <c r="E103" s="23">
        <f t="shared" si="15"/>
        <v>0</v>
      </c>
      <c r="F103" s="267"/>
      <c r="G103" s="221"/>
      <c r="H103" s="221"/>
      <c r="I103" s="251" t="e">
        <f>+TRIM(PROPER(VLOOKUP(D103,#REF!,4,)))</f>
        <v>#REF!</v>
      </c>
      <c r="J103" s="229"/>
    </row>
    <row r="104" spans="1:10" ht="18.75" x14ac:dyDescent="0.25">
      <c r="A104" s="1001"/>
      <c r="B104" s="260" t="str">
        <f t="shared" si="14"/>
        <v>803</v>
      </c>
      <c r="C104" s="137">
        <v>803</v>
      </c>
      <c r="D104" s="222" t="s">
        <v>877</v>
      </c>
      <c r="E104" s="23">
        <f t="shared" si="15"/>
        <v>0</v>
      </c>
      <c r="F104" s="267"/>
      <c r="G104" s="221"/>
      <c r="H104" s="221"/>
      <c r="I104" s="251" t="e">
        <f>+TRIM(PROPER(VLOOKUP(D104,#REF!,4,)))</f>
        <v>#REF!</v>
      </c>
      <c r="J104" s="229"/>
    </row>
    <row r="105" spans="1:10" ht="18.75" x14ac:dyDescent="0.25">
      <c r="A105" s="1001"/>
      <c r="B105" s="260" t="str">
        <f t="shared" si="14"/>
        <v>702</v>
      </c>
      <c r="C105" s="137">
        <v>702</v>
      </c>
      <c r="D105" s="222" t="s">
        <v>900</v>
      </c>
      <c r="E105" s="23">
        <f t="shared" si="15"/>
        <v>0</v>
      </c>
      <c r="F105" s="267"/>
      <c r="G105" s="221"/>
      <c r="H105" s="221"/>
      <c r="I105" s="251" t="e">
        <f>+TRIM(PROPER(VLOOKUP(D105,#REF!,4,)))</f>
        <v>#REF!</v>
      </c>
      <c r="J105" s="229"/>
    </row>
    <row r="106" spans="1:10" ht="18.75" x14ac:dyDescent="0.25">
      <c r="A106" s="1001"/>
      <c r="B106" s="260" t="str">
        <f t="shared" si="14"/>
        <v>707</v>
      </c>
      <c r="C106" s="137">
        <v>707</v>
      </c>
      <c r="D106" s="222" t="s">
        <v>895</v>
      </c>
      <c r="E106" s="23">
        <f t="shared" si="15"/>
        <v>0</v>
      </c>
      <c r="F106" s="267"/>
      <c r="G106" s="221"/>
      <c r="H106" s="221"/>
      <c r="I106" s="251" t="e">
        <f>+TRIM(PROPER(VLOOKUP(D106,#REF!,4,)))</f>
        <v>#REF!</v>
      </c>
      <c r="J106" s="229"/>
    </row>
    <row r="107" spans="1:10" ht="18.75" x14ac:dyDescent="0.25">
      <c r="A107" s="1001"/>
      <c r="B107" s="260" t="str">
        <f t="shared" si="14"/>
        <v>97</v>
      </c>
      <c r="C107" s="137">
        <v>97</v>
      </c>
      <c r="D107" s="222" t="s">
        <v>894</v>
      </c>
      <c r="E107" s="23">
        <f t="shared" si="15"/>
        <v>0</v>
      </c>
      <c r="F107" s="267"/>
      <c r="G107" s="221"/>
      <c r="H107" s="221"/>
      <c r="I107" s="251" t="e">
        <f>+TRIM(PROPER(VLOOKUP(D107,#REF!,4,)))</f>
        <v>#REF!</v>
      </c>
      <c r="J107" s="229"/>
    </row>
    <row r="108" spans="1:10" ht="18.75" x14ac:dyDescent="0.25">
      <c r="A108" s="1001"/>
      <c r="B108" s="260" t="str">
        <f t="shared" si="14"/>
        <v>701</v>
      </c>
      <c r="C108" s="137">
        <v>701</v>
      </c>
      <c r="D108" s="222" t="s">
        <v>901</v>
      </c>
      <c r="E108" s="23">
        <f t="shared" si="15"/>
        <v>0</v>
      </c>
      <c r="F108" s="267"/>
      <c r="G108" s="221"/>
      <c r="H108" s="221"/>
      <c r="I108" s="251" t="e">
        <f>+TRIM(PROPER(VLOOKUP(D108,#REF!,4,)))</f>
        <v>#REF!</v>
      </c>
      <c r="J108" s="229"/>
    </row>
    <row r="109" spans="1:10" ht="19.5" thickBot="1" x14ac:dyDescent="0.3">
      <c r="A109" s="1002"/>
      <c r="B109" s="262" t="str">
        <f t="shared" si="14"/>
        <v>710</v>
      </c>
      <c r="C109" s="239">
        <v>710</v>
      </c>
      <c r="D109" s="235" t="s">
        <v>878</v>
      </c>
      <c r="E109" s="29">
        <f t="shared" si="15"/>
        <v>0</v>
      </c>
      <c r="F109" s="265"/>
      <c r="G109" s="236"/>
      <c r="H109" s="236"/>
      <c r="I109" s="250" t="e">
        <f>+TRIM(PROPER(VLOOKUP(D109,#REF!,4,)))</f>
        <v>#REF!</v>
      </c>
      <c r="J109" s="229"/>
    </row>
    <row r="110" spans="1:10" ht="16.5" thickBot="1" x14ac:dyDescent="0.3">
      <c r="A110" s="271"/>
      <c r="B110" s="218"/>
      <c r="C110" s="270"/>
      <c r="D110" s="276"/>
      <c r="E110" s="218"/>
      <c r="F110" s="277"/>
      <c r="G110" s="278"/>
      <c r="H110" s="278"/>
      <c r="I110" s="279"/>
      <c r="J110" s="137"/>
    </row>
    <row r="111" spans="1:10" ht="18.75" x14ac:dyDescent="0.25">
      <c r="A111" s="997" t="s">
        <v>1034</v>
      </c>
      <c r="B111" s="261" t="str">
        <f t="shared" si="14"/>
        <v>723</v>
      </c>
      <c r="C111" s="284">
        <v>723</v>
      </c>
      <c r="D111" s="285" t="s">
        <v>902</v>
      </c>
      <c r="E111" s="286">
        <f t="shared" si="15"/>
        <v>0</v>
      </c>
      <c r="F111" s="284"/>
      <c r="G111" s="284"/>
      <c r="H111" s="284"/>
      <c r="I111" s="249" t="e">
        <f>+TRIM(PROPER(VLOOKUP(D111,#REF!,4,)))</f>
        <v>#REF!</v>
      </c>
      <c r="J111" s="229"/>
    </row>
    <row r="112" spans="1:10" ht="18.75" x14ac:dyDescent="0.25">
      <c r="A112" s="998"/>
      <c r="B112" s="260" t="str">
        <f t="shared" si="14"/>
        <v>864</v>
      </c>
      <c r="C112" s="215">
        <v>864</v>
      </c>
      <c r="D112" s="253" t="s">
        <v>879</v>
      </c>
      <c r="E112" s="219">
        <f t="shared" si="15"/>
        <v>0</v>
      </c>
      <c r="F112" s="215"/>
      <c r="G112" s="215"/>
      <c r="H112" s="215"/>
      <c r="I112" s="251" t="e">
        <f>+TRIM(PROPER(VLOOKUP(D112,#REF!,4,)))</f>
        <v>#REF!</v>
      </c>
      <c r="J112" s="229"/>
    </row>
    <row r="113" spans="1:10" ht="18.75" x14ac:dyDescent="0.25">
      <c r="A113" s="998"/>
      <c r="B113" s="260" t="str">
        <f t="shared" si="14"/>
        <v>724</v>
      </c>
      <c r="C113" s="215">
        <v>724</v>
      </c>
      <c r="D113" s="253" t="s">
        <v>903</v>
      </c>
      <c r="E113" s="219">
        <f t="shared" si="15"/>
        <v>0</v>
      </c>
      <c r="F113" s="215"/>
      <c r="G113" s="215"/>
      <c r="H113" s="215"/>
      <c r="I113" s="251" t="e">
        <f>+TRIM(PROPER(VLOOKUP(D113,#REF!,4,)))</f>
        <v>#REF!</v>
      </c>
      <c r="J113" s="229"/>
    </row>
    <row r="114" spans="1:10" ht="18.75" x14ac:dyDescent="0.25">
      <c r="A114" s="998"/>
      <c r="B114" s="260" t="str">
        <f t="shared" si="14"/>
        <v>802</v>
      </c>
      <c r="C114" s="215" t="s">
        <v>881</v>
      </c>
      <c r="D114" s="253" t="s">
        <v>880</v>
      </c>
      <c r="E114" s="219">
        <f t="shared" si="15"/>
        <v>0</v>
      </c>
      <c r="F114" s="215"/>
      <c r="G114" s="215"/>
      <c r="H114" s="215"/>
      <c r="I114" s="251" t="e">
        <f>+TRIM(PROPER(VLOOKUP(D114,#REF!,4,)))</f>
        <v>#REF!</v>
      </c>
      <c r="J114" s="229"/>
    </row>
    <row r="115" spans="1:10" ht="18.75" x14ac:dyDescent="0.25">
      <c r="A115" s="998"/>
      <c r="B115" s="260" t="str">
        <f t="shared" si="14"/>
        <v>99</v>
      </c>
      <c r="C115" s="215">
        <v>99</v>
      </c>
      <c r="D115" s="253" t="s">
        <v>1035</v>
      </c>
      <c r="E115" s="219">
        <f t="shared" si="15"/>
        <v>0</v>
      </c>
      <c r="F115" s="215"/>
      <c r="G115" s="215"/>
      <c r="H115" s="215"/>
      <c r="I115" s="251" t="e">
        <f>+TRIM(PROPER(VLOOKUP(D115,#REF!,4,)))</f>
        <v>#REF!</v>
      </c>
      <c r="J115" s="229"/>
    </row>
    <row r="116" spans="1:10" ht="19.5" thickBot="1" x14ac:dyDescent="0.3">
      <c r="A116" s="999"/>
      <c r="B116" s="262" t="str">
        <f t="shared" si="14"/>
        <v>732</v>
      </c>
      <c r="C116" s="287">
        <v>732</v>
      </c>
      <c r="D116" s="288" t="s">
        <v>1033</v>
      </c>
      <c r="E116" s="289">
        <f t="shared" si="15"/>
        <v>0</v>
      </c>
      <c r="F116" s="287"/>
      <c r="G116" s="287"/>
      <c r="H116" s="287"/>
      <c r="I116" s="250" t="e">
        <f>+TRIM(PROPER(VLOOKUP(D116,#REF!,4,)))</f>
        <v>#REF!</v>
      </c>
      <c r="J116" s="229"/>
    </row>
    <row r="117" spans="1:10" ht="16.5" thickBot="1" x14ac:dyDescent="0.3">
      <c r="A117" s="282"/>
      <c r="B117" s="281"/>
      <c r="C117" s="224"/>
      <c r="D117" s="225"/>
      <c r="E117" s="25"/>
      <c r="F117" s="268"/>
      <c r="G117" s="226"/>
      <c r="H117" s="226"/>
      <c r="I117" s="283"/>
      <c r="J117" s="137"/>
    </row>
    <row r="118" spans="1:10" ht="19.5" thickBot="1" x14ac:dyDescent="0.3">
      <c r="A118" s="1000" t="s">
        <v>755</v>
      </c>
      <c r="B118" s="280" t="str">
        <f t="shared" ref="B118:B137" si="16">+MID(C118,1,3)</f>
        <v>726</v>
      </c>
      <c r="C118" s="238">
        <v>726</v>
      </c>
      <c r="D118" s="232" t="s">
        <v>904</v>
      </c>
      <c r="E118" s="27">
        <f t="shared" ref="E118:E150" si="17">+F118*G118+H118</f>
        <v>0</v>
      </c>
      <c r="F118" s="264"/>
      <c r="G118" s="233"/>
      <c r="H118" s="233"/>
      <c r="I118" s="249" t="e">
        <f>+TRIM(PROPER(VLOOKUP(D118,#REF!,4,)))</f>
        <v>#REF!</v>
      </c>
      <c r="J118" s="137"/>
    </row>
    <row r="119" spans="1:10" ht="19.5" thickBot="1" x14ac:dyDescent="0.3">
      <c r="A119" s="1001"/>
      <c r="B119" s="258" t="str">
        <f t="shared" si="16"/>
        <v>700</v>
      </c>
      <c r="C119" s="137">
        <v>700</v>
      </c>
      <c r="D119" s="222" t="s">
        <v>870</v>
      </c>
      <c r="E119" s="23">
        <f t="shared" si="17"/>
        <v>0</v>
      </c>
      <c r="F119" s="267"/>
      <c r="G119" s="221"/>
      <c r="H119" s="221"/>
      <c r="I119" s="251" t="e">
        <f>+TRIM(PROPER(VLOOKUP(D119,#REF!,4,)))</f>
        <v>#REF!</v>
      </c>
      <c r="J119" s="137"/>
    </row>
    <row r="120" spans="1:10" ht="19.5" thickBot="1" x14ac:dyDescent="0.3">
      <c r="A120" s="1001"/>
      <c r="B120" s="258" t="str">
        <f t="shared" si="16"/>
        <v>615</v>
      </c>
      <c r="C120" s="137">
        <v>615</v>
      </c>
      <c r="D120" s="222" t="s">
        <v>882</v>
      </c>
      <c r="E120" s="23">
        <f t="shared" si="17"/>
        <v>0</v>
      </c>
      <c r="F120" s="267"/>
      <c r="G120" s="221"/>
      <c r="H120" s="221"/>
      <c r="I120" s="251" t="e">
        <f>+TRIM(PROPER(VLOOKUP(D120,#REF!,4,)))</f>
        <v>#REF!</v>
      </c>
      <c r="J120" s="137"/>
    </row>
    <row r="121" spans="1:10" ht="19.5" thickBot="1" x14ac:dyDescent="0.3">
      <c r="A121" s="1001"/>
      <c r="B121" s="258" t="str">
        <f t="shared" si="16"/>
        <v>817</v>
      </c>
      <c r="C121" s="137">
        <v>817</v>
      </c>
      <c r="D121" s="222" t="s">
        <v>883</v>
      </c>
      <c r="E121" s="23">
        <f t="shared" si="17"/>
        <v>0</v>
      </c>
      <c r="F121" s="267"/>
      <c r="G121" s="221"/>
      <c r="H121" s="221"/>
      <c r="I121" s="251" t="e">
        <f>+TRIM(PROPER(VLOOKUP(D121,#REF!,4,)))</f>
        <v>#REF!</v>
      </c>
      <c r="J121" s="137"/>
    </row>
    <row r="122" spans="1:10" ht="19.5" thickBot="1" x14ac:dyDescent="0.3">
      <c r="A122" s="1001"/>
      <c r="B122" s="258" t="str">
        <f t="shared" si="16"/>
        <v>857</v>
      </c>
      <c r="C122" s="137">
        <v>857</v>
      </c>
      <c r="D122" s="222" t="s">
        <v>884</v>
      </c>
      <c r="E122" s="23">
        <f t="shared" si="17"/>
        <v>0</v>
      </c>
      <c r="F122" s="267"/>
      <c r="G122" s="221"/>
      <c r="H122" s="221"/>
      <c r="I122" s="251" t="e">
        <f>+TRIM(PROPER(VLOOKUP(D122,#REF!,4,)))</f>
        <v>#REF!</v>
      </c>
      <c r="J122" s="137"/>
    </row>
    <row r="123" spans="1:10" ht="19.5" thickBot="1" x14ac:dyDescent="0.3">
      <c r="A123" s="1001"/>
      <c r="B123" s="258" t="str">
        <f t="shared" si="16"/>
        <v>858</v>
      </c>
      <c r="C123" s="137">
        <v>858</v>
      </c>
      <c r="D123" s="222" t="s">
        <v>885</v>
      </c>
      <c r="E123" s="23">
        <f t="shared" si="17"/>
        <v>0</v>
      </c>
      <c r="F123" s="267"/>
      <c r="G123" s="221"/>
      <c r="H123" s="221"/>
      <c r="I123" s="251" t="e">
        <f>+TRIM(PROPER(VLOOKUP(D123,#REF!,4,)))</f>
        <v>#REF!</v>
      </c>
      <c r="J123" s="137"/>
    </row>
    <row r="124" spans="1:10" ht="19.5" thickBot="1" x14ac:dyDescent="0.3">
      <c r="A124" s="1001"/>
      <c r="B124" s="258" t="str">
        <f t="shared" si="16"/>
        <v>53</v>
      </c>
      <c r="C124" s="137">
        <v>53</v>
      </c>
      <c r="D124" s="222" t="s">
        <v>896</v>
      </c>
      <c r="E124" s="23">
        <f t="shared" si="17"/>
        <v>0</v>
      </c>
      <c r="F124" s="267"/>
      <c r="G124" s="221"/>
      <c r="H124" s="221"/>
      <c r="I124" s="251" t="e">
        <f>+TRIM(PROPER(VLOOKUP(D124,#REF!,4,)))</f>
        <v>#REF!</v>
      </c>
      <c r="J124" s="137"/>
    </row>
    <row r="125" spans="1:10" ht="19.5" thickBot="1" x14ac:dyDescent="0.3">
      <c r="A125" s="1001"/>
      <c r="B125" s="258" t="str">
        <f t="shared" si="16"/>
        <v>852</v>
      </c>
      <c r="C125" s="137">
        <v>852</v>
      </c>
      <c r="D125" s="222" t="s">
        <v>897</v>
      </c>
      <c r="E125" s="23">
        <f t="shared" si="17"/>
        <v>0</v>
      </c>
      <c r="F125" s="267"/>
      <c r="G125" s="221"/>
      <c r="H125" s="221"/>
      <c r="I125" s="251" t="e">
        <f>+TRIM(PROPER(VLOOKUP(D125,#REF!,4,)))</f>
        <v>#REF!</v>
      </c>
      <c r="J125" s="137"/>
    </row>
    <row r="126" spans="1:10" ht="19.5" thickBot="1" x14ac:dyDescent="0.3">
      <c r="A126" s="1001"/>
      <c r="B126" s="258" t="str">
        <f t="shared" si="16"/>
        <v>856</v>
      </c>
      <c r="C126" s="137">
        <v>856</v>
      </c>
      <c r="D126" s="222" t="s">
        <v>886</v>
      </c>
      <c r="E126" s="23">
        <f t="shared" si="17"/>
        <v>0</v>
      </c>
      <c r="F126" s="267"/>
      <c r="G126" s="221"/>
      <c r="H126" s="221"/>
      <c r="I126" s="251" t="e">
        <f>+TRIM(PROPER(VLOOKUP(D126,#REF!,4,)))</f>
        <v>#REF!</v>
      </c>
      <c r="J126" s="137"/>
    </row>
    <row r="127" spans="1:10" ht="19.5" thickBot="1" x14ac:dyDescent="0.3">
      <c r="A127" s="1001"/>
      <c r="B127" s="258" t="str">
        <f t="shared" si="16"/>
        <v>730</v>
      </c>
      <c r="C127" s="137">
        <v>730</v>
      </c>
      <c r="D127" s="222" t="s">
        <v>1024</v>
      </c>
      <c r="E127" s="23">
        <f t="shared" si="17"/>
        <v>0</v>
      </c>
      <c r="F127" s="267"/>
      <c r="G127" s="221"/>
      <c r="H127" s="221"/>
      <c r="I127" s="251" t="e">
        <f>+TRIM(PROPER(VLOOKUP(D127,#REF!,4,)))</f>
        <v>#REF!</v>
      </c>
      <c r="J127" s="137"/>
    </row>
    <row r="128" spans="1:10" ht="19.5" thickBot="1" x14ac:dyDescent="0.3">
      <c r="A128" s="1001"/>
      <c r="B128" s="258" t="str">
        <f t="shared" si="16"/>
        <v>800</v>
      </c>
      <c r="C128" s="137">
        <v>800</v>
      </c>
      <c r="D128" s="222" t="s">
        <v>898</v>
      </c>
      <c r="E128" s="23">
        <f t="shared" si="17"/>
        <v>0</v>
      </c>
      <c r="F128" s="267"/>
      <c r="G128" s="221"/>
      <c r="H128" s="221"/>
      <c r="I128" s="251" t="e">
        <f>+TRIM(PROPER(VLOOKUP(D128,#REF!,4,)))</f>
        <v>#REF!</v>
      </c>
      <c r="J128" s="137"/>
    </row>
    <row r="129" spans="1:10" ht="19.5" thickBot="1" x14ac:dyDescent="0.3">
      <c r="A129" s="1001"/>
      <c r="B129" s="258" t="str">
        <f t="shared" si="16"/>
        <v>801</v>
      </c>
      <c r="C129" s="137">
        <v>801</v>
      </c>
      <c r="D129" s="222" t="s">
        <v>899</v>
      </c>
      <c r="E129" s="23">
        <f t="shared" si="17"/>
        <v>0</v>
      </c>
      <c r="F129" s="267"/>
      <c r="G129" s="221"/>
      <c r="H129" s="221"/>
      <c r="I129" s="251" t="e">
        <f>+TRIM(PROPER(VLOOKUP(D129,#REF!,4,)))</f>
        <v>#REF!</v>
      </c>
      <c r="J129" s="137"/>
    </row>
    <row r="130" spans="1:10" ht="19.5" thickBot="1" x14ac:dyDescent="0.3">
      <c r="A130" s="1001"/>
      <c r="B130" s="258" t="str">
        <f t="shared" si="16"/>
        <v>731</v>
      </c>
      <c r="C130" s="137">
        <v>731</v>
      </c>
      <c r="D130" s="222" t="s">
        <v>1025</v>
      </c>
      <c r="E130" s="23">
        <f t="shared" si="17"/>
        <v>0</v>
      </c>
      <c r="F130" s="267"/>
      <c r="G130" s="221"/>
      <c r="H130" s="221"/>
      <c r="I130" s="251" t="e">
        <f>+TRIM(PROPER(VLOOKUP(D130,#REF!,4,)))</f>
        <v>#REF!</v>
      </c>
      <c r="J130" s="137"/>
    </row>
    <row r="131" spans="1:10" ht="19.5" thickBot="1" x14ac:dyDescent="0.3">
      <c r="A131" s="1002"/>
      <c r="B131" s="258" t="str">
        <f t="shared" si="16"/>
        <v>617</v>
      </c>
      <c r="C131" s="239">
        <v>617</v>
      </c>
      <c r="D131" s="235" t="s">
        <v>905</v>
      </c>
      <c r="E131" s="29">
        <f t="shared" si="17"/>
        <v>0</v>
      </c>
      <c r="F131" s="265"/>
      <c r="G131" s="236"/>
      <c r="H131" s="236"/>
      <c r="I131" s="250" t="e">
        <f>+TRIM(PROPER(VLOOKUP(D131,#REF!,4,)))</f>
        <v>#REF!</v>
      </c>
      <c r="J131" s="137"/>
    </row>
    <row r="132" spans="1:10" ht="16.5" thickBot="1" x14ac:dyDescent="0.3">
      <c r="A132" s="271"/>
      <c r="B132" s="28"/>
      <c r="C132" s="269"/>
      <c r="D132" s="272"/>
      <c r="E132" s="29"/>
      <c r="F132" s="273"/>
      <c r="G132" s="274"/>
      <c r="H132" s="274"/>
      <c r="I132" s="275"/>
      <c r="J132" s="137"/>
    </row>
    <row r="133" spans="1:10" ht="19.5" thickBot="1" x14ac:dyDescent="0.3">
      <c r="A133" s="1003" t="s">
        <v>752</v>
      </c>
      <c r="B133" s="258" t="str">
        <f t="shared" si="16"/>
        <v>760</v>
      </c>
      <c r="C133" s="238">
        <v>760</v>
      </c>
      <c r="D133" s="232" t="s">
        <v>911</v>
      </c>
      <c r="E133" s="29">
        <f t="shared" si="17"/>
        <v>0</v>
      </c>
      <c r="F133" s="264"/>
      <c r="G133" s="233"/>
      <c r="H133" s="233"/>
      <c r="I133" s="251" t="e">
        <f>+TRIM(PROPER(VLOOKUP(D133,#REF!,4,)))</f>
        <v>#REF!</v>
      </c>
      <c r="J133" s="229"/>
    </row>
    <row r="134" spans="1:10" ht="19.5" thickBot="1" x14ac:dyDescent="0.3">
      <c r="A134" s="1004"/>
      <c r="B134" s="258" t="str">
        <f t="shared" si="16"/>
        <v>765</v>
      </c>
      <c r="C134" s="137">
        <v>765</v>
      </c>
      <c r="D134" s="222" t="s">
        <v>906</v>
      </c>
      <c r="E134" s="29">
        <f t="shared" si="17"/>
        <v>0</v>
      </c>
      <c r="F134" s="267"/>
      <c r="G134" s="221"/>
      <c r="H134" s="221"/>
      <c r="I134" s="251" t="e">
        <f>+TRIM(PROPER(VLOOKUP(D134,#REF!,4,)))</f>
        <v>#REF!</v>
      </c>
      <c r="J134" s="229"/>
    </row>
    <row r="135" spans="1:10" ht="19.5" thickBot="1" x14ac:dyDescent="0.3">
      <c r="A135" s="1004"/>
      <c r="B135" s="258" t="str">
        <f t="shared" si="16"/>
        <v>840</v>
      </c>
      <c r="C135" s="137">
        <v>840</v>
      </c>
      <c r="D135" s="222" t="s">
        <v>1026</v>
      </c>
      <c r="E135" s="29">
        <f t="shared" si="17"/>
        <v>0</v>
      </c>
      <c r="F135" s="267"/>
      <c r="G135" s="221"/>
      <c r="H135" s="221"/>
      <c r="I135" s="251" t="e">
        <f>+TRIM(PROPER(VLOOKUP(D135,#REF!,4,)))</f>
        <v>#REF!</v>
      </c>
      <c r="J135" s="229"/>
    </row>
    <row r="136" spans="1:10" ht="19.5" thickBot="1" x14ac:dyDescent="0.3">
      <c r="A136" s="1004"/>
      <c r="B136" s="258" t="str">
        <f t="shared" si="16"/>
        <v>709</v>
      </c>
      <c r="C136" s="137">
        <v>709</v>
      </c>
      <c r="D136" s="222" t="s">
        <v>887</v>
      </c>
      <c r="E136" s="29">
        <f t="shared" si="17"/>
        <v>0</v>
      </c>
      <c r="F136" s="267"/>
      <c r="G136" s="221"/>
      <c r="H136" s="221"/>
      <c r="I136" s="251" t="e">
        <f>+TRIM(PROPER(VLOOKUP(D136,#REF!,4,)))</f>
        <v>#REF!</v>
      </c>
      <c r="J136" s="229"/>
    </row>
    <row r="137" spans="1:10" ht="19.5" thickBot="1" x14ac:dyDescent="0.3">
      <c r="A137" s="1004"/>
      <c r="B137" s="258" t="str">
        <f t="shared" si="16"/>
        <v>879</v>
      </c>
      <c r="C137" s="137">
        <v>879</v>
      </c>
      <c r="D137" s="222" t="s">
        <v>907</v>
      </c>
      <c r="E137" s="29">
        <f t="shared" si="17"/>
        <v>0</v>
      </c>
      <c r="F137" s="267"/>
      <c r="G137" s="221"/>
      <c r="H137" s="221"/>
      <c r="I137" s="251" t="e">
        <f>+TRIM(PROPER(VLOOKUP(D137,#REF!,4,)))</f>
        <v>#REF!</v>
      </c>
      <c r="J137" s="229"/>
    </row>
    <row r="138" spans="1:10" ht="19.5" thickBot="1" x14ac:dyDescent="0.3">
      <c r="A138" s="1004"/>
      <c r="B138" s="258" t="s">
        <v>869</v>
      </c>
      <c r="C138" s="137" t="s">
        <v>869</v>
      </c>
      <c r="D138" s="222" t="s">
        <v>909</v>
      </c>
      <c r="E138" s="29">
        <f t="shared" si="17"/>
        <v>0</v>
      </c>
      <c r="F138" s="267"/>
      <c r="G138" s="221"/>
      <c r="H138" s="221"/>
      <c r="I138" s="251" t="e">
        <f>+TRIM(PROPER(VLOOKUP(D138,#REF!,4,)))</f>
        <v>#REF!</v>
      </c>
      <c r="J138" s="229"/>
    </row>
    <row r="139" spans="1:10" ht="19.5" thickBot="1" x14ac:dyDescent="0.3">
      <c r="A139" s="1004"/>
      <c r="B139" s="258" t="str">
        <f>+MID(C139,1,3)</f>
        <v>725</v>
      </c>
      <c r="C139" s="137">
        <v>725</v>
      </c>
      <c r="D139" s="222" t="s">
        <v>888</v>
      </c>
      <c r="E139" s="29">
        <f t="shared" si="17"/>
        <v>0</v>
      </c>
      <c r="F139" s="267"/>
      <c r="G139" s="221"/>
      <c r="H139" s="221"/>
      <c r="I139" s="251" t="e">
        <f>+TRIM(PROPER(VLOOKUP(D139,#REF!,4,)))</f>
        <v>#REF!</v>
      </c>
      <c r="J139" s="229"/>
    </row>
    <row r="140" spans="1:10" ht="19.5" thickBot="1" x14ac:dyDescent="0.3">
      <c r="A140" s="1005"/>
      <c r="B140" s="258" t="str">
        <f>+MID(C140,1,3)</f>
        <v>713</v>
      </c>
      <c r="C140" s="239">
        <v>713</v>
      </c>
      <c r="D140" s="235" t="s">
        <v>1027</v>
      </c>
      <c r="E140" s="29">
        <f t="shared" si="17"/>
        <v>0</v>
      </c>
      <c r="F140" s="265"/>
      <c r="G140" s="236"/>
      <c r="H140" s="236"/>
      <c r="I140" s="251" t="e">
        <f>+TRIM(PROPER(VLOOKUP(D140,#REF!,4,)))</f>
        <v>#REF!</v>
      </c>
      <c r="J140" s="229"/>
    </row>
    <row r="141" spans="1:10" ht="16.5" thickBot="1" x14ac:dyDescent="0.3">
      <c r="A141" s="271"/>
      <c r="B141" s="218"/>
      <c r="C141" s="270"/>
      <c r="D141" s="276"/>
      <c r="E141" s="29">
        <f t="shared" si="17"/>
        <v>0</v>
      </c>
      <c r="F141" s="277"/>
      <c r="G141" s="278"/>
      <c r="H141" s="278"/>
      <c r="I141" s="279"/>
      <c r="J141" s="137"/>
    </row>
    <row r="142" spans="1:10" ht="19.5" thickBot="1" x14ac:dyDescent="0.3">
      <c r="A142" s="1000" t="s">
        <v>1028</v>
      </c>
      <c r="B142" s="261" t="str">
        <f t="shared" ref="B142:B150" si="18">+MID(C142,1,3)</f>
        <v>815</v>
      </c>
      <c r="C142" s="238">
        <v>815</v>
      </c>
      <c r="D142" s="232" t="s">
        <v>912</v>
      </c>
      <c r="E142" s="29">
        <f t="shared" si="17"/>
        <v>0</v>
      </c>
      <c r="F142" s="264"/>
      <c r="G142" s="233"/>
      <c r="H142" s="233"/>
      <c r="I142" s="249" t="e">
        <f>+TRIM(PROPER(VLOOKUP(D142,#REF!,4,)))</f>
        <v>#REF!</v>
      </c>
      <c r="J142" s="229"/>
    </row>
    <row r="143" spans="1:10" ht="19.5" thickBot="1" x14ac:dyDescent="0.3">
      <c r="A143" s="1001"/>
      <c r="B143" s="260" t="str">
        <f t="shared" si="18"/>
        <v>977</v>
      </c>
      <c r="C143" s="137">
        <v>977</v>
      </c>
      <c r="D143" s="222" t="s">
        <v>889</v>
      </c>
      <c r="E143" s="29">
        <f t="shared" si="17"/>
        <v>0</v>
      </c>
      <c r="F143" s="267"/>
      <c r="G143" s="221"/>
      <c r="H143" s="221"/>
      <c r="I143" s="251" t="e">
        <f>+TRIM(PROPER(VLOOKUP(D143,#REF!,4,)))</f>
        <v>#REF!</v>
      </c>
      <c r="J143" s="229"/>
    </row>
    <row r="144" spans="1:10" ht="19.5" thickBot="1" x14ac:dyDescent="0.3">
      <c r="A144" s="1001"/>
      <c r="B144" s="260" t="str">
        <f t="shared" si="18"/>
        <v>909</v>
      </c>
      <c r="C144" s="137" t="s">
        <v>890</v>
      </c>
      <c r="D144" s="222" t="s">
        <v>1032</v>
      </c>
      <c r="E144" s="29">
        <f t="shared" si="17"/>
        <v>0</v>
      </c>
      <c r="F144" s="267"/>
      <c r="G144" s="221"/>
      <c r="H144" s="221"/>
      <c r="I144" s="251" t="e">
        <f>+TRIM(PROPER(VLOOKUP(D144,#REF!,4,)))</f>
        <v>#REF!</v>
      </c>
      <c r="J144" s="229"/>
    </row>
    <row r="145" spans="1:10" ht="19.5" thickBot="1" x14ac:dyDescent="0.3">
      <c r="A145" s="1001"/>
      <c r="B145" s="260" t="str">
        <f t="shared" si="18"/>
        <v>781</v>
      </c>
      <c r="C145" s="137">
        <v>781</v>
      </c>
      <c r="D145" s="222" t="s">
        <v>1031</v>
      </c>
      <c r="E145" s="29">
        <f t="shared" si="17"/>
        <v>0</v>
      </c>
      <c r="F145" s="267"/>
      <c r="G145" s="221"/>
      <c r="H145" s="221"/>
      <c r="I145" s="251" t="e">
        <f>+TRIM(PROPER(VLOOKUP(D145,#REF!,4,)))</f>
        <v>#REF!</v>
      </c>
      <c r="J145" s="229"/>
    </row>
    <row r="146" spans="1:10" ht="19.5" thickBot="1" x14ac:dyDescent="0.3">
      <c r="A146" s="1001"/>
      <c r="B146" s="260" t="str">
        <f t="shared" si="18"/>
        <v>55</v>
      </c>
      <c r="C146" s="137">
        <v>55</v>
      </c>
      <c r="D146" s="222" t="s">
        <v>1030</v>
      </c>
      <c r="E146" s="29">
        <f t="shared" si="17"/>
        <v>0</v>
      </c>
      <c r="F146" s="267"/>
      <c r="G146" s="221"/>
      <c r="H146" s="221"/>
      <c r="I146" s="251" t="e">
        <f>+TRIM(PROPER(VLOOKUP(D146,#REF!,4,)))</f>
        <v>#REF!</v>
      </c>
      <c r="J146" s="229"/>
    </row>
    <row r="147" spans="1:10" ht="19.5" thickBot="1" x14ac:dyDescent="0.3">
      <c r="A147" s="1001"/>
      <c r="B147" s="260" t="str">
        <f t="shared" si="18"/>
        <v>43</v>
      </c>
      <c r="C147" s="137">
        <v>43</v>
      </c>
      <c r="D147" s="222" t="s">
        <v>891</v>
      </c>
      <c r="E147" s="29">
        <f t="shared" si="17"/>
        <v>0</v>
      </c>
      <c r="F147" s="267"/>
      <c r="G147" s="221"/>
      <c r="H147" s="221"/>
      <c r="I147" s="251" t="e">
        <f>+TRIM(PROPER(VLOOKUP(D147,#REF!,4,)))</f>
        <v>#REF!</v>
      </c>
      <c r="J147" s="229"/>
    </row>
    <row r="148" spans="1:10" ht="19.5" thickBot="1" x14ac:dyDescent="0.3">
      <c r="A148" s="1001"/>
      <c r="B148" s="260" t="s">
        <v>869</v>
      </c>
      <c r="C148" s="137" t="s">
        <v>869</v>
      </c>
      <c r="D148" s="222" t="s">
        <v>1029</v>
      </c>
      <c r="E148" s="29">
        <f t="shared" si="17"/>
        <v>0</v>
      </c>
      <c r="F148" s="267"/>
      <c r="G148" s="221"/>
      <c r="H148" s="221"/>
      <c r="I148" s="251" t="e">
        <f>+TRIM(PROPER(VLOOKUP(D148,#REF!,4,)))</f>
        <v>#REF!</v>
      </c>
      <c r="J148" s="229"/>
    </row>
    <row r="149" spans="1:10" ht="19.5" thickBot="1" x14ac:dyDescent="0.3">
      <c r="A149" s="1001"/>
      <c r="B149" s="260" t="str">
        <f t="shared" si="18"/>
        <v>809</v>
      </c>
      <c r="C149" s="137">
        <v>809</v>
      </c>
      <c r="D149" s="222" t="s">
        <v>908</v>
      </c>
      <c r="E149" s="29">
        <f t="shared" si="17"/>
        <v>0</v>
      </c>
      <c r="F149" s="267"/>
      <c r="G149" s="221"/>
      <c r="H149" s="221"/>
      <c r="I149" s="251" t="e">
        <f>+TRIM(PROPER(VLOOKUP(D149,#REF!,4,)))</f>
        <v>#REF!</v>
      </c>
      <c r="J149" s="229"/>
    </row>
    <row r="150" spans="1:10" ht="19.5" thickBot="1" x14ac:dyDescent="0.3">
      <c r="A150" s="1002"/>
      <c r="B150" s="262" t="str">
        <f t="shared" si="18"/>
        <v>816</v>
      </c>
      <c r="C150" s="239">
        <v>816</v>
      </c>
      <c r="D150" s="235" t="s">
        <v>892</v>
      </c>
      <c r="E150" s="29">
        <f t="shared" si="17"/>
        <v>0</v>
      </c>
      <c r="F150" s="265"/>
      <c r="G150" s="236"/>
      <c r="H150" s="236"/>
      <c r="I150" s="250" t="e">
        <f>+TRIM(PROPER(VLOOKUP(D150,#REF!,4,)))</f>
        <v>#REF!</v>
      </c>
      <c r="J150" s="229"/>
    </row>
    <row r="151" spans="1:10" ht="15.75" x14ac:dyDescent="0.25">
      <c r="A151" s="214"/>
      <c r="B151" s="25"/>
      <c r="C151" s="224"/>
      <c r="D151" s="225"/>
      <c r="E151" s="25"/>
      <c r="F151" s="268"/>
      <c r="G151" s="226"/>
      <c r="H151" s="226"/>
      <c r="I151" s="252"/>
      <c r="J151" s="137"/>
    </row>
    <row r="152" spans="1:10" ht="15.75" x14ac:dyDescent="0.25">
      <c r="A152" s="214"/>
      <c r="B152" s="23"/>
      <c r="C152" s="137"/>
      <c r="D152" s="222"/>
      <c r="E152" s="23"/>
      <c r="F152" s="267"/>
      <c r="G152" s="221"/>
      <c r="H152" s="221"/>
      <c r="I152" s="253"/>
      <c r="J152" s="137"/>
    </row>
    <row r="153" spans="1:10" ht="15.75" x14ac:dyDescent="0.25">
      <c r="A153" s="214"/>
      <c r="B153" s="23"/>
      <c r="C153" s="137"/>
      <c r="D153" s="222"/>
      <c r="E153" s="23"/>
      <c r="F153" s="267"/>
      <c r="G153" s="221"/>
      <c r="H153" s="221"/>
      <c r="I153" s="253"/>
      <c r="J153" s="137"/>
    </row>
    <row r="154" spans="1:10" ht="15.75" x14ac:dyDescent="0.25">
      <c r="A154" s="214"/>
      <c r="B154" s="23"/>
      <c r="C154" s="137"/>
      <c r="D154" s="222"/>
      <c r="E154" s="23"/>
      <c r="F154" s="267"/>
      <c r="G154" s="221"/>
      <c r="H154" s="221"/>
      <c r="I154" s="253"/>
      <c r="J154" s="137"/>
    </row>
    <row r="155" spans="1:10" ht="15.75" x14ac:dyDescent="0.25">
      <c r="A155" s="214"/>
      <c r="B155" s="23"/>
      <c r="C155" s="137"/>
      <c r="D155" s="222"/>
      <c r="E155" s="23"/>
      <c r="F155" s="267"/>
      <c r="G155" s="221"/>
      <c r="H155" s="221"/>
      <c r="I155" s="253"/>
      <c r="J155" s="137"/>
    </row>
    <row r="156" spans="1:10" ht="15.75" x14ac:dyDescent="0.25">
      <c r="A156" s="214"/>
      <c r="B156" s="23"/>
      <c r="C156" s="137"/>
      <c r="D156" s="222"/>
      <c r="E156" s="23"/>
      <c r="F156" s="267"/>
      <c r="G156" s="221"/>
      <c r="H156" s="221"/>
      <c r="I156" s="253"/>
      <c r="J156" s="137"/>
    </row>
    <row r="157" spans="1:10" ht="15.75" x14ac:dyDescent="0.25">
      <c r="A157" s="214"/>
      <c r="B157" s="23"/>
      <c r="C157" s="137"/>
      <c r="D157" s="222"/>
      <c r="E157" s="23"/>
      <c r="F157" s="267"/>
      <c r="G157" s="221"/>
      <c r="H157" s="221"/>
      <c r="I157" s="253"/>
      <c r="J157" s="137"/>
    </row>
    <row r="158" spans="1:10" ht="15.75" x14ac:dyDescent="0.25">
      <c r="A158" s="214"/>
      <c r="B158" s="23"/>
      <c r="C158" s="137"/>
      <c r="D158" s="222"/>
      <c r="E158" s="23"/>
      <c r="F158" s="267"/>
      <c r="G158" s="221"/>
      <c r="H158" s="221"/>
      <c r="I158" s="253"/>
      <c r="J158" s="137"/>
    </row>
    <row r="159" spans="1:10" ht="15.75" x14ac:dyDescent="0.25">
      <c r="A159" s="214"/>
      <c r="B159" s="23"/>
      <c r="C159" s="137"/>
      <c r="D159" s="222"/>
      <c r="E159" s="23"/>
      <c r="F159" s="267"/>
      <c r="G159" s="221"/>
      <c r="H159" s="221"/>
      <c r="I159" s="253"/>
      <c r="J159" s="137"/>
    </row>
    <row r="160" spans="1:10" ht="15.75" x14ac:dyDescent="0.25">
      <c r="A160" s="214"/>
      <c r="B160" s="23"/>
      <c r="C160" s="137"/>
      <c r="D160" s="222"/>
      <c r="E160" s="23"/>
      <c r="F160" s="267"/>
      <c r="G160" s="221"/>
      <c r="H160" s="221"/>
      <c r="I160" s="253"/>
      <c r="J160" s="137"/>
    </row>
    <row r="161" spans="1:10" ht="15.75" x14ac:dyDescent="0.25">
      <c r="A161" s="214"/>
      <c r="B161" s="23"/>
      <c r="C161" s="137"/>
      <c r="D161" s="222"/>
      <c r="E161" s="23"/>
      <c r="F161" s="267"/>
      <c r="G161" s="221"/>
      <c r="H161" s="221"/>
      <c r="I161" s="253"/>
      <c r="J161" s="137"/>
    </row>
    <row r="162" spans="1:10" ht="15.75" x14ac:dyDescent="0.25">
      <c r="A162" s="214"/>
      <c r="B162" s="23"/>
      <c r="C162" s="137"/>
      <c r="D162" s="222"/>
      <c r="E162" s="23"/>
      <c r="F162" s="267"/>
      <c r="G162" s="221"/>
      <c r="H162" s="221"/>
      <c r="I162" s="253"/>
      <c r="J162" s="137"/>
    </row>
    <row r="163" spans="1:10" ht="15.75" x14ac:dyDescent="0.25">
      <c r="A163" s="214"/>
      <c r="B163" s="23"/>
      <c r="C163" s="137"/>
      <c r="D163" s="222"/>
      <c r="E163" s="23"/>
      <c r="F163" s="267"/>
      <c r="G163" s="221"/>
      <c r="H163" s="221"/>
      <c r="I163" s="253"/>
      <c r="J163" s="137"/>
    </row>
    <row r="164" spans="1:10" ht="15.75" x14ac:dyDescent="0.25">
      <c r="A164" s="214"/>
      <c r="B164" s="23"/>
      <c r="C164" s="137"/>
      <c r="D164" s="222"/>
      <c r="E164" s="23"/>
      <c r="F164" s="267"/>
      <c r="G164" s="221"/>
      <c r="H164" s="221"/>
      <c r="I164" s="253"/>
      <c r="J164" s="137"/>
    </row>
    <row r="165" spans="1:10" ht="15.75" x14ac:dyDescent="0.25">
      <c r="A165" s="214"/>
      <c r="B165" s="23"/>
      <c r="C165" s="137"/>
      <c r="D165" s="222"/>
      <c r="E165" s="23"/>
      <c r="F165" s="267"/>
      <c r="G165" s="221"/>
      <c r="H165" s="221"/>
      <c r="I165" s="253"/>
      <c r="J165" s="137"/>
    </row>
    <row r="166" spans="1:10" ht="15.75" x14ac:dyDescent="0.25">
      <c r="A166" s="214"/>
      <c r="B166" s="23"/>
      <c r="C166" s="137"/>
      <c r="D166" s="222"/>
      <c r="E166" s="23"/>
      <c r="F166" s="267"/>
      <c r="G166" s="221"/>
      <c r="H166" s="221"/>
      <c r="I166" s="253"/>
      <c r="J166" s="137"/>
    </row>
    <row r="167" spans="1:10" ht="15.75" x14ac:dyDescent="0.25">
      <c r="A167" s="214"/>
      <c r="B167" s="23"/>
      <c r="C167" s="137"/>
      <c r="D167" s="222"/>
      <c r="E167" s="23"/>
      <c r="F167" s="267"/>
      <c r="G167" s="221"/>
      <c r="H167" s="221"/>
      <c r="I167" s="253"/>
      <c r="J167" s="137"/>
    </row>
    <row r="168" spans="1:10" ht="15.75" x14ac:dyDescent="0.25">
      <c r="A168" s="214"/>
      <c r="B168" s="23"/>
      <c r="C168" s="137"/>
      <c r="D168" s="222"/>
      <c r="E168" s="23"/>
      <c r="F168" s="267"/>
      <c r="G168" s="221"/>
      <c r="H168" s="221"/>
      <c r="I168" s="253"/>
      <c r="J168" s="137"/>
    </row>
    <row r="169" spans="1:10" ht="15.75" x14ac:dyDescent="0.25">
      <c r="A169" s="214"/>
      <c r="B169" s="23"/>
      <c r="C169" s="137"/>
      <c r="D169" s="222"/>
      <c r="E169" s="23"/>
      <c r="F169" s="267"/>
      <c r="G169" s="221"/>
      <c r="H169" s="221"/>
      <c r="I169" s="253"/>
      <c r="J169" s="137"/>
    </row>
    <row r="170" spans="1:10" ht="15.75" x14ac:dyDescent="0.25">
      <c r="A170" s="214"/>
      <c r="B170" s="23"/>
      <c r="C170" s="137"/>
      <c r="D170" s="222"/>
      <c r="E170" s="23"/>
      <c r="F170" s="267"/>
      <c r="G170" s="221"/>
      <c r="H170" s="221"/>
      <c r="I170" s="253"/>
      <c r="J170" s="137"/>
    </row>
    <row r="171" spans="1:10" ht="15.75" x14ac:dyDescent="0.25">
      <c r="A171" s="214"/>
      <c r="B171" s="23"/>
      <c r="C171" s="137"/>
      <c r="D171" s="222"/>
      <c r="E171" s="23"/>
      <c r="F171" s="267"/>
      <c r="G171" s="221"/>
      <c r="H171" s="221"/>
      <c r="I171" s="253"/>
      <c r="J171" s="137"/>
    </row>
    <row r="172" spans="1:10" ht="15.75" x14ac:dyDescent="0.25">
      <c r="A172" s="214"/>
      <c r="B172" s="23"/>
      <c r="C172" s="137"/>
      <c r="D172" s="222"/>
      <c r="E172" s="23"/>
      <c r="F172" s="267"/>
      <c r="G172" s="221"/>
      <c r="H172" s="221"/>
      <c r="I172" s="253"/>
      <c r="J172" s="137"/>
    </row>
    <row r="173" spans="1:10" ht="15.75" x14ac:dyDescent="0.25">
      <c r="A173" s="214"/>
      <c r="B173" s="23"/>
      <c r="C173" s="137"/>
      <c r="D173" s="222"/>
      <c r="E173" s="23"/>
      <c r="F173" s="267"/>
      <c r="G173" s="221"/>
      <c r="H173" s="221"/>
      <c r="I173" s="253"/>
      <c r="J173" s="137"/>
    </row>
    <row r="174" spans="1:10" ht="15.75" x14ac:dyDescent="0.25">
      <c r="A174" s="214"/>
      <c r="B174" s="23"/>
      <c r="C174" s="137"/>
      <c r="D174" s="222"/>
      <c r="E174" s="23"/>
      <c r="F174" s="267"/>
      <c r="G174" s="221"/>
      <c r="H174" s="221"/>
      <c r="I174" s="253"/>
      <c r="J174" s="137"/>
    </row>
    <row r="175" spans="1:10" ht="15.75" x14ac:dyDescent="0.25">
      <c r="A175" s="214"/>
      <c r="B175" s="23"/>
      <c r="C175" s="137"/>
      <c r="D175" s="222"/>
      <c r="E175" s="23"/>
      <c r="F175" s="267"/>
      <c r="G175" s="221"/>
      <c r="H175" s="221"/>
      <c r="I175" s="253"/>
      <c r="J175" s="137"/>
    </row>
    <row r="176" spans="1:10" ht="15.75" x14ac:dyDescent="0.25">
      <c r="A176" s="214"/>
      <c r="B176" s="23"/>
      <c r="C176" s="137"/>
      <c r="D176" s="222"/>
      <c r="E176" s="23"/>
      <c r="F176" s="267"/>
      <c r="G176" s="221"/>
      <c r="H176" s="221"/>
      <c r="I176" s="253"/>
      <c r="J176" s="137"/>
    </row>
    <row r="177" spans="1:10" ht="15.75" x14ac:dyDescent="0.25">
      <c r="A177" s="214"/>
      <c r="B177" s="23"/>
      <c r="C177" s="137"/>
      <c r="D177" s="222"/>
      <c r="E177" s="23"/>
      <c r="F177" s="267"/>
      <c r="G177" s="221"/>
      <c r="H177" s="221"/>
      <c r="I177" s="253"/>
      <c r="J177" s="137"/>
    </row>
    <row r="178" spans="1:10" ht="15.75" x14ac:dyDescent="0.25">
      <c r="A178" s="214"/>
      <c r="B178" s="23"/>
      <c r="C178" s="137"/>
      <c r="D178" s="222"/>
      <c r="E178" s="23"/>
      <c r="F178" s="267"/>
      <c r="G178" s="221"/>
      <c r="H178" s="221"/>
      <c r="I178" s="253"/>
      <c r="J178" s="137"/>
    </row>
    <row r="179" spans="1:10" ht="15.75" x14ac:dyDescent="0.25">
      <c r="A179" s="23"/>
      <c r="B179" s="23" t="s">
        <v>869</v>
      </c>
      <c r="C179" s="137" t="s">
        <v>869</v>
      </c>
      <c r="D179" s="222" t="s">
        <v>862</v>
      </c>
      <c r="E179" s="23">
        <f t="shared" ref="E179:E184" si="19">+F179*G179+H179</f>
        <v>0</v>
      </c>
      <c r="F179" s="267"/>
      <c r="G179" s="221"/>
      <c r="H179" s="221"/>
      <c r="I179" s="253" t="e">
        <f>+VLOOKUP(D179,#REF!,4,)</f>
        <v>#REF!</v>
      </c>
      <c r="J179" s="137" t="s">
        <v>859</v>
      </c>
    </row>
    <row r="180" spans="1:10" ht="15.75" x14ac:dyDescent="0.25">
      <c r="A180" s="23"/>
      <c r="B180" s="23" t="s">
        <v>869</v>
      </c>
      <c r="C180" s="137" t="s">
        <v>869</v>
      </c>
      <c r="D180" s="222" t="s">
        <v>861</v>
      </c>
      <c r="E180" s="23">
        <f t="shared" si="19"/>
        <v>0</v>
      </c>
      <c r="F180" s="267"/>
      <c r="G180" s="221"/>
      <c r="H180" s="221"/>
      <c r="I180" s="253" t="e">
        <f>+VLOOKUP(D180,#REF!,4,)</f>
        <v>#REF!</v>
      </c>
      <c r="J180" s="137" t="s">
        <v>859</v>
      </c>
    </row>
    <row r="181" spans="1:10" ht="15.75" x14ac:dyDescent="0.25">
      <c r="A181" s="23"/>
      <c r="B181" s="23" t="str">
        <f>+MID(C181,1,3)</f>
        <v>500</v>
      </c>
      <c r="C181" s="137" t="s">
        <v>53</v>
      </c>
      <c r="D181" s="222" t="s">
        <v>864</v>
      </c>
      <c r="E181" s="23">
        <f t="shared" si="19"/>
        <v>0</v>
      </c>
      <c r="F181" s="267"/>
      <c r="G181" s="221"/>
      <c r="H181" s="221"/>
      <c r="I181" s="253" t="e">
        <f>+VLOOKUP(D181,#REF!,4,)</f>
        <v>#REF!</v>
      </c>
      <c r="J181" s="137" t="s">
        <v>859</v>
      </c>
    </row>
    <row r="182" spans="1:10" ht="15.75" x14ac:dyDescent="0.25">
      <c r="A182" s="23"/>
      <c r="B182" s="23" t="str">
        <f>+MID(C182,1,3)</f>
        <v>706</v>
      </c>
      <c r="C182" s="137" t="s">
        <v>868</v>
      </c>
      <c r="D182" s="222" t="s">
        <v>865</v>
      </c>
      <c r="E182" s="23">
        <f t="shared" si="19"/>
        <v>0</v>
      </c>
      <c r="F182" s="267"/>
      <c r="G182" s="221"/>
      <c r="H182" s="221"/>
      <c r="I182" s="253" t="e">
        <f>+VLOOKUP(D182,#REF!,4,)</f>
        <v>#REF!</v>
      </c>
      <c r="J182" s="137" t="s">
        <v>859</v>
      </c>
    </row>
    <row r="183" spans="1:10" ht="15.75" x14ac:dyDescent="0.25">
      <c r="A183" s="23"/>
      <c r="B183" s="23" t="str">
        <f>+MID(C183,1,3)</f>
        <v>506</v>
      </c>
      <c r="C183" s="137" t="s">
        <v>63</v>
      </c>
      <c r="D183" s="222" t="s">
        <v>863</v>
      </c>
      <c r="E183" s="23">
        <f t="shared" si="19"/>
        <v>0</v>
      </c>
      <c r="F183" s="267"/>
      <c r="G183" s="221"/>
      <c r="H183" s="221"/>
      <c r="I183" s="253" t="e">
        <f>+VLOOKUP(D183,#REF!,4,)</f>
        <v>#REF!</v>
      </c>
      <c r="J183" s="137" t="s">
        <v>859</v>
      </c>
    </row>
    <row r="184" spans="1:10" ht="15.75" x14ac:dyDescent="0.25">
      <c r="A184" s="23"/>
      <c r="B184" s="23" t="str">
        <f>+MID(C184,1,3)</f>
        <v>510</v>
      </c>
      <c r="C184" s="137" t="s">
        <v>837</v>
      </c>
      <c r="D184" s="222" t="s">
        <v>866</v>
      </c>
      <c r="E184" s="23">
        <f t="shared" si="19"/>
        <v>0</v>
      </c>
      <c r="F184" s="267"/>
      <c r="G184" s="221"/>
      <c r="H184" s="221"/>
      <c r="I184" s="253" t="e">
        <f>+VLOOKUP(D184,#REF!,4,)</f>
        <v>#REF!</v>
      </c>
      <c r="J184" s="137" t="s">
        <v>859</v>
      </c>
    </row>
  </sheetData>
  <autoFilter ref="A3:J3">
    <sortState ref="A4:J81">
      <sortCondition ref="D3"/>
    </sortState>
  </autoFilter>
  <mergeCells count="16">
    <mergeCell ref="A41:A53"/>
    <mergeCell ref="A1:H2"/>
    <mergeCell ref="A4:A5"/>
    <mergeCell ref="A7:A20"/>
    <mergeCell ref="A22:A27"/>
    <mergeCell ref="A29:A39"/>
    <mergeCell ref="A111:A116"/>
    <mergeCell ref="A118:A131"/>
    <mergeCell ref="A133:A140"/>
    <mergeCell ref="A142:A150"/>
    <mergeCell ref="A55:A65"/>
    <mergeCell ref="A67:A77"/>
    <mergeCell ref="A79:A80"/>
    <mergeCell ref="A82:A87"/>
    <mergeCell ref="A89:A94"/>
    <mergeCell ref="A96:A109"/>
  </mergeCells>
  <printOptions horizontalCentered="1" verticalCentered="1"/>
  <pageMargins left="0" right="0.11811023622047245" top="0.35433070866141736" bottom="0.35433070866141736" header="0.31496062992125984" footer="0.31496062992125984"/>
  <pageSetup paperSize="9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325"/>
  <sheetViews>
    <sheetView workbookViewId="0">
      <selection sqref="A1:H1"/>
    </sheetView>
  </sheetViews>
  <sheetFormatPr baseColWidth="10" defaultRowHeight="15" x14ac:dyDescent="0.25"/>
  <cols>
    <col min="1" max="1" width="3.7109375" bestFit="1" customWidth="1"/>
    <col min="2" max="2" width="6" style="1" bestFit="1" customWidth="1"/>
    <col min="3" max="3" width="4.28515625" bestFit="1" customWidth="1"/>
    <col min="4" max="4" width="4.7109375" bestFit="1" customWidth="1"/>
    <col min="5" max="5" width="16.28515625" bestFit="1" customWidth="1"/>
    <col min="6" max="6" width="5.7109375" style="41" bestFit="1" customWidth="1"/>
    <col min="7" max="7" width="34.140625" style="1" customWidth="1"/>
    <col min="8" max="8" width="8.28515625" style="1" customWidth="1"/>
  </cols>
  <sheetData>
    <row r="1" spans="1:8" ht="34.5" customHeight="1" thickBot="1" x14ac:dyDescent="0.3">
      <c r="A1" s="873" t="s">
        <v>504</v>
      </c>
      <c r="B1" s="873"/>
      <c r="C1" s="873"/>
      <c r="D1" s="873"/>
      <c r="E1" s="873"/>
      <c r="F1" s="873"/>
      <c r="G1" s="873"/>
      <c r="H1" s="874"/>
    </row>
    <row r="2" spans="1:8" ht="30.75" thickBot="1" x14ac:dyDescent="0.3">
      <c r="A2" s="66" t="s">
        <v>508</v>
      </c>
      <c r="B2" s="62" t="s">
        <v>19</v>
      </c>
      <c r="C2" s="63" t="s">
        <v>451</v>
      </c>
      <c r="D2" s="63" t="s">
        <v>512</v>
      </c>
      <c r="E2" s="64" t="s">
        <v>453</v>
      </c>
      <c r="F2" s="64" t="s">
        <v>503</v>
      </c>
      <c r="G2" s="64" t="s">
        <v>20</v>
      </c>
      <c r="H2" s="65" t="s">
        <v>517</v>
      </c>
    </row>
    <row r="3" spans="1:8" x14ac:dyDescent="0.25">
      <c r="A3" s="902" t="s">
        <v>507</v>
      </c>
      <c r="B3" s="52" t="s">
        <v>356</v>
      </c>
      <c r="C3" s="27" t="s">
        <v>509</v>
      </c>
      <c r="D3" s="27" t="s">
        <v>509</v>
      </c>
      <c r="E3" s="27" t="s">
        <v>449</v>
      </c>
      <c r="F3" s="46" t="s">
        <v>462</v>
      </c>
      <c r="G3" s="35" t="s">
        <v>227</v>
      </c>
      <c r="H3" s="47">
        <v>12813.714285714286</v>
      </c>
    </row>
    <row r="4" spans="1:8" x14ac:dyDescent="0.25">
      <c r="A4" s="903"/>
      <c r="B4" s="50" t="s">
        <v>357</v>
      </c>
      <c r="C4" s="23" t="s">
        <v>509</v>
      </c>
      <c r="D4" s="23" t="s">
        <v>509</v>
      </c>
      <c r="E4" s="23" t="s">
        <v>449</v>
      </c>
      <c r="F4" s="43" t="s">
        <v>462</v>
      </c>
      <c r="G4" s="24" t="s">
        <v>359</v>
      </c>
      <c r="H4" s="45">
        <v>970.28571428571433</v>
      </c>
    </row>
    <row r="5" spans="1:8" x14ac:dyDescent="0.25">
      <c r="A5" s="903"/>
      <c r="B5" s="50" t="s">
        <v>408</v>
      </c>
      <c r="C5" s="23" t="s">
        <v>509</v>
      </c>
      <c r="D5" s="23" t="s">
        <v>509</v>
      </c>
      <c r="E5" s="23" t="s">
        <v>449</v>
      </c>
      <c r="F5" s="43" t="s">
        <v>462</v>
      </c>
      <c r="G5" s="24" t="s">
        <v>409</v>
      </c>
      <c r="H5" s="45">
        <v>305</v>
      </c>
    </row>
    <row r="6" spans="1:8" ht="15.75" thickBot="1" x14ac:dyDescent="0.3">
      <c r="A6" s="904"/>
      <c r="B6" s="59">
        <v>35</v>
      </c>
      <c r="C6" s="28" t="s">
        <v>509</v>
      </c>
      <c r="D6" s="28" t="s">
        <v>511</v>
      </c>
      <c r="E6" s="28" t="s">
        <v>449</v>
      </c>
      <c r="F6" s="60" t="s">
        <v>462</v>
      </c>
      <c r="G6" s="34" t="s">
        <v>227</v>
      </c>
      <c r="H6" s="61">
        <v>1356</v>
      </c>
    </row>
    <row r="7" spans="1:8" ht="15" customHeight="1" x14ac:dyDescent="0.25">
      <c r="A7" s="902" t="s">
        <v>510</v>
      </c>
      <c r="B7" s="54" t="s">
        <v>402</v>
      </c>
      <c r="C7" s="27" t="s">
        <v>509</v>
      </c>
      <c r="D7" s="27" t="s">
        <v>509</v>
      </c>
      <c r="E7" s="27" t="s">
        <v>505</v>
      </c>
      <c r="F7" s="33" t="s">
        <v>460</v>
      </c>
      <c r="G7" s="35" t="s">
        <v>403</v>
      </c>
      <c r="H7" s="38">
        <v>42</v>
      </c>
    </row>
    <row r="8" spans="1:8" ht="15.75" thickBot="1" x14ac:dyDescent="0.3">
      <c r="A8" s="903"/>
      <c r="B8" s="56" t="s">
        <v>297</v>
      </c>
      <c r="C8" s="29" t="s">
        <v>509</v>
      </c>
      <c r="D8" s="29" t="s">
        <v>509</v>
      </c>
      <c r="E8" s="29" t="s">
        <v>505</v>
      </c>
      <c r="F8" s="37" t="s">
        <v>460</v>
      </c>
      <c r="G8" s="37" t="s">
        <v>311</v>
      </c>
      <c r="H8" s="40">
        <v>130.28571428571428</v>
      </c>
    </row>
    <row r="9" spans="1:8" x14ac:dyDescent="0.25">
      <c r="A9" s="903"/>
      <c r="B9" s="52" t="s">
        <v>319</v>
      </c>
      <c r="C9" s="27" t="s">
        <v>509</v>
      </c>
      <c r="D9" s="27" t="s">
        <v>509</v>
      </c>
      <c r="E9" s="27" t="s">
        <v>335</v>
      </c>
      <c r="F9" s="33" t="s">
        <v>460</v>
      </c>
      <c r="G9" s="33" t="s">
        <v>323</v>
      </c>
      <c r="H9" s="38">
        <v>258</v>
      </c>
    </row>
    <row r="10" spans="1:8" x14ac:dyDescent="0.25">
      <c r="A10" s="903"/>
      <c r="B10" s="50" t="s">
        <v>320</v>
      </c>
      <c r="C10" s="23" t="s">
        <v>509</v>
      </c>
      <c r="D10" s="23" t="s">
        <v>509</v>
      </c>
      <c r="E10" s="23" t="s">
        <v>335</v>
      </c>
      <c r="F10" s="32" t="s">
        <v>460</v>
      </c>
      <c r="G10" s="32" t="s">
        <v>324</v>
      </c>
      <c r="H10" s="39">
        <v>244</v>
      </c>
    </row>
    <row r="11" spans="1:8" x14ac:dyDescent="0.25">
      <c r="A11" s="903"/>
      <c r="B11" s="50" t="s">
        <v>321</v>
      </c>
      <c r="C11" s="23" t="s">
        <v>509</v>
      </c>
      <c r="D11" s="23" t="s">
        <v>509</v>
      </c>
      <c r="E11" s="23" t="s">
        <v>335</v>
      </c>
      <c r="F11" s="32" t="s">
        <v>460</v>
      </c>
      <c r="G11" s="32" t="s">
        <v>325</v>
      </c>
      <c r="H11" s="39">
        <v>243.42857142857142</v>
      </c>
    </row>
    <row r="12" spans="1:8" x14ac:dyDescent="0.25">
      <c r="A12" s="903"/>
      <c r="B12" s="50" t="s">
        <v>322</v>
      </c>
      <c r="C12" s="23" t="s">
        <v>509</v>
      </c>
      <c r="D12" s="23" t="s">
        <v>509</v>
      </c>
      <c r="E12" s="23" t="s">
        <v>335</v>
      </c>
      <c r="F12" s="32" t="s">
        <v>460</v>
      </c>
      <c r="G12" s="32" t="s">
        <v>326</v>
      </c>
      <c r="H12" s="39">
        <v>1163.4285714285713</v>
      </c>
    </row>
    <row r="13" spans="1:8" x14ac:dyDescent="0.25">
      <c r="A13" s="903"/>
      <c r="B13" s="53" t="s">
        <v>423</v>
      </c>
      <c r="C13" s="23" t="s">
        <v>509</v>
      </c>
      <c r="D13" s="23" t="s">
        <v>509</v>
      </c>
      <c r="E13" s="23" t="s">
        <v>335</v>
      </c>
      <c r="F13" s="32" t="s">
        <v>460</v>
      </c>
      <c r="G13" s="24" t="s">
        <v>425</v>
      </c>
      <c r="H13" s="39">
        <v>230.85714285714286</v>
      </c>
    </row>
    <row r="14" spans="1:8" x14ac:dyDescent="0.25">
      <c r="A14" s="903"/>
      <c r="B14" s="53" t="s">
        <v>424</v>
      </c>
      <c r="C14" s="23" t="s">
        <v>509</v>
      </c>
      <c r="D14" s="23" t="s">
        <v>509</v>
      </c>
      <c r="E14" s="23" t="s">
        <v>335</v>
      </c>
      <c r="F14" s="32" t="s">
        <v>460</v>
      </c>
      <c r="G14" s="24" t="s">
        <v>426</v>
      </c>
      <c r="H14" s="39">
        <v>208</v>
      </c>
    </row>
    <row r="15" spans="1:8" x14ac:dyDescent="0.25">
      <c r="A15" s="903"/>
      <c r="B15" s="50" t="s">
        <v>327</v>
      </c>
      <c r="C15" s="23" t="s">
        <v>509</v>
      </c>
      <c r="D15" s="23" t="s">
        <v>509</v>
      </c>
      <c r="E15" s="23" t="s">
        <v>335</v>
      </c>
      <c r="F15" s="32" t="s">
        <v>460</v>
      </c>
      <c r="G15" s="32" t="s">
        <v>331</v>
      </c>
      <c r="H15" s="39">
        <v>788.57142857142856</v>
      </c>
    </row>
    <row r="16" spans="1:8" x14ac:dyDescent="0.25">
      <c r="A16" s="903"/>
      <c r="B16" s="50" t="s">
        <v>328</v>
      </c>
      <c r="C16" s="23" t="s">
        <v>509</v>
      </c>
      <c r="D16" s="23" t="s">
        <v>509</v>
      </c>
      <c r="E16" s="23" t="s">
        <v>335</v>
      </c>
      <c r="F16" s="32" t="s">
        <v>460</v>
      </c>
      <c r="G16" s="32" t="s">
        <v>332</v>
      </c>
      <c r="H16" s="39">
        <v>526.28571428571433</v>
      </c>
    </row>
    <row r="17" spans="1:8" x14ac:dyDescent="0.25">
      <c r="A17" s="903"/>
      <c r="B17" s="50" t="s">
        <v>329</v>
      </c>
      <c r="C17" s="23" t="s">
        <v>509</v>
      </c>
      <c r="D17" s="23" t="s">
        <v>509</v>
      </c>
      <c r="E17" s="23" t="s">
        <v>335</v>
      </c>
      <c r="F17" s="32" t="s">
        <v>460</v>
      </c>
      <c r="G17" s="32" t="s">
        <v>333</v>
      </c>
      <c r="H17" s="39">
        <v>126.85714285714286</v>
      </c>
    </row>
    <row r="18" spans="1:8" x14ac:dyDescent="0.25">
      <c r="A18" s="903"/>
      <c r="B18" s="50" t="s">
        <v>330</v>
      </c>
      <c r="C18" s="23" t="s">
        <v>509</v>
      </c>
      <c r="D18" s="23" t="s">
        <v>509</v>
      </c>
      <c r="E18" s="23" t="s">
        <v>335</v>
      </c>
      <c r="F18" s="32" t="s">
        <v>460</v>
      </c>
      <c r="G18" s="32" t="s">
        <v>334</v>
      </c>
      <c r="H18" s="39">
        <v>248</v>
      </c>
    </row>
    <row r="19" spans="1:8" ht="15.75" thickBot="1" x14ac:dyDescent="0.3">
      <c r="A19" s="903"/>
      <c r="B19" s="51" t="s">
        <v>431</v>
      </c>
      <c r="C19" s="29" t="s">
        <v>509</v>
      </c>
      <c r="D19" s="29" t="s">
        <v>509</v>
      </c>
      <c r="E19" s="29" t="s">
        <v>335</v>
      </c>
      <c r="F19" s="37" t="s">
        <v>460</v>
      </c>
      <c r="G19" s="30" t="s">
        <v>433</v>
      </c>
      <c r="H19" s="40">
        <v>277.71428571428572</v>
      </c>
    </row>
    <row r="20" spans="1:8" x14ac:dyDescent="0.25">
      <c r="A20" s="903"/>
      <c r="B20" s="58" t="s">
        <v>99</v>
      </c>
      <c r="C20" s="25" t="s">
        <v>509</v>
      </c>
      <c r="D20" s="25" t="s">
        <v>509</v>
      </c>
      <c r="E20" s="25" t="s">
        <v>495</v>
      </c>
      <c r="F20" s="42" t="s">
        <v>484</v>
      </c>
      <c r="G20" s="42" t="s">
        <v>100</v>
      </c>
      <c r="H20" s="44">
        <v>385.71428571428572</v>
      </c>
    </row>
    <row r="21" spans="1:8" x14ac:dyDescent="0.25">
      <c r="A21" s="903"/>
      <c r="B21" s="50" t="s">
        <v>101</v>
      </c>
      <c r="C21" s="23" t="s">
        <v>509</v>
      </c>
      <c r="D21" s="23" t="s">
        <v>509</v>
      </c>
      <c r="E21" s="23" t="s">
        <v>495</v>
      </c>
      <c r="F21" s="32" t="s">
        <v>484</v>
      </c>
      <c r="G21" s="32" t="s">
        <v>102</v>
      </c>
      <c r="H21" s="39">
        <v>462.85714285714283</v>
      </c>
    </row>
    <row r="22" spans="1:8" x14ac:dyDescent="0.25">
      <c r="A22" s="903"/>
      <c r="B22" s="50" t="s">
        <v>103</v>
      </c>
      <c r="C22" s="23" t="s">
        <v>509</v>
      </c>
      <c r="D22" s="23" t="s">
        <v>509</v>
      </c>
      <c r="E22" s="23" t="s">
        <v>495</v>
      </c>
      <c r="F22" s="32" t="s">
        <v>484</v>
      </c>
      <c r="G22" s="32" t="s">
        <v>104</v>
      </c>
      <c r="H22" s="39">
        <v>368.57142857142856</v>
      </c>
    </row>
    <row r="23" spans="1:8" x14ac:dyDescent="0.25">
      <c r="A23" s="903"/>
      <c r="B23" s="53" t="s">
        <v>435</v>
      </c>
      <c r="C23" s="23" t="s">
        <v>509</v>
      </c>
      <c r="D23" s="23" t="s">
        <v>509</v>
      </c>
      <c r="E23" s="23" t="s">
        <v>495</v>
      </c>
      <c r="F23" s="32" t="s">
        <v>484</v>
      </c>
      <c r="G23" s="24" t="s">
        <v>436</v>
      </c>
      <c r="H23" s="39">
        <v>185.71428571428572</v>
      </c>
    </row>
    <row r="24" spans="1:8" x14ac:dyDescent="0.25">
      <c r="A24" s="903"/>
      <c r="B24" s="50" t="s">
        <v>27</v>
      </c>
      <c r="C24" s="23" t="s">
        <v>509</v>
      </c>
      <c r="D24" s="24" t="s">
        <v>509</v>
      </c>
      <c r="E24" s="24" t="s">
        <v>501</v>
      </c>
      <c r="F24" s="32" t="s">
        <v>464</v>
      </c>
      <c r="G24" s="32" t="s">
        <v>28</v>
      </c>
      <c r="H24" s="45">
        <v>1107.7142857142858</v>
      </c>
    </row>
    <row r="25" spans="1:8" x14ac:dyDescent="0.25">
      <c r="A25" s="903"/>
      <c r="B25" s="50" t="s">
        <v>35</v>
      </c>
      <c r="C25" s="23" t="s">
        <v>509</v>
      </c>
      <c r="D25" s="24" t="s">
        <v>509</v>
      </c>
      <c r="E25" s="24" t="s">
        <v>501</v>
      </c>
      <c r="F25" s="32" t="s">
        <v>464</v>
      </c>
      <c r="G25" s="32" t="s">
        <v>36</v>
      </c>
      <c r="H25" s="39">
        <v>1563.4285714285713</v>
      </c>
    </row>
    <row r="26" spans="1:8" x14ac:dyDescent="0.25">
      <c r="A26" s="903"/>
      <c r="B26" s="50" t="s">
        <v>41</v>
      </c>
      <c r="C26" s="23" t="s">
        <v>509</v>
      </c>
      <c r="D26" s="24" t="s">
        <v>509</v>
      </c>
      <c r="E26" s="24" t="s">
        <v>501</v>
      </c>
      <c r="F26" s="32" t="s">
        <v>464</v>
      </c>
      <c r="G26" s="32" t="s">
        <v>42</v>
      </c>
      <c r="H26" s="39">
        <v>3252</v>
      </c>
    </row>
    <row r="27" spans="1:8" x14ac:dyDescent="0.25">
      <c r="A27" s="903"/>
      <c r="B27" s="50" t="s">
        <v>43</v>
      </c>
      <c r="C27" s="23" t="s">
        <v>509</v>
      </c>
      <c r="D27" s="24" t="s">
        <v>509</v>
      </c>
      <c r="E27" s="24" t="s">
        <v>501</v>
      </c>
      <c r="F27" s="32" t="s">
        <v>464</v>
      </c>
      <c r="G27" s="32" t="s">
        <v>44</v>
      </c>
      <c r="H27" s="45">
        <v>594.85714285714289</v>
      </c>
    </row>
    <row r="28" spans="1:8" x14ac:dyDescent="0.25">
      <c r="A28" s="903"/>
      <c r="B28" s="55" t="s">
        <v>373</v>
      </c>
      <c r="C28" s="23" t="s">
        <v>509</v>
      </c>
      <c r="D28" s="23" t="s">
        <v>509</v>
      </c>
      <c r="E28" s="23" t="s">
        <v>340</v>
      </c>
      <c r="F28" s="32" t="s">
        <v>483</v>
      </c>
      <c r="G28" s="26" t="s">
        <v>378</v>
      </c>
      <c r="H28" s="48">
        <v>147</v>
      </c>
    </row>
    <row r="29" spans="1:8" x14ac:dyDescent="0.25">
      <c r="A29" s="903"/>
      <c r="B29" s="50" t="s">
        <v>374</v>
      </c>
      <c r="C29" s="23" t="s">
        <v>509</v>
      </c>
      <c r="D29" s="23" t="s">
        <v>509</v>
      </c>
      <c r="E29" s="23" t="s">
        <v>340</v>
      </c>
      <c r="F29" s="32" t="s">
        <v>483</v>
      </c>
      <c r="G29" s="26" t="s">
        <v>379</v>
      </c>
      <c r="H29" s="39">
        <v>478.28571428571428</v>
      </c>
    </row>
    <row r="30" spans="1:8" x14ac:dyDescent="0.25">
      <c r="A30" s="903"/>
      <c r="B30" s="55" t="s">
        <v>375</v>
      </c>
      <c r="C30" s="23" t="s">
        <v>509</v>
      </c>
      <c r="D30" s="23" t="s">
        <v>509</v>
      </c>
      <c r="E30" s="23" t="s">
        <v>340</v>
      </c>
      <c r="F30" s="32" t="s">
        <v>483</v>
      </c>
      <c r="G30" s="26" t="s">
        <v>380</v>
      </c>
      <c r="H30" s="45">
        <v>237</v>
      </c>
    </row>
    <row r="31" spans="1:8" x14ac:dyDescent="0.25">
      <c r="A31" s="903"/>
      <c r="B31" s="50" t="s">
        <v>228</v>
      </c>
      <c r="C31" s="23" t="s">
        <v>509</v>
      </c>
      <c r="D31" s="23" t="s">
        <v>509</v>
      </c>
      <c r="E31" s="23" t="s">
        <v>340</v>
      </c>
      <c r="F31" s="32" t="s">
        <v>483</v>
      </c>
      <c r="G31" s="26" t="s">
        <v>229</v>
      </c>
      <c r="H31" s="45">
        <v>103.71428571428571</v>
      </c>
    </row>
    <row r="32" spans="1:8" x14ac:dyDescent="0.25">
      <c r="A32" s="903"/>
      <c r="B32" s="55" t="s">
        <v>383</v>
      </c>
      <c r="C32" s="23" t="s">
        <v>509</v>
      </c>
      <c r="D32" s="23" t="s">
        <v>509</v>
      </c>
      <c r="E32" s="23" t="s">
        <v>340</v>
      </c>
      <c r="F32" s="32" t="s">
        <v>483</v>
      </c>
      <c r="G32" s="26" t="s">
        <v>391</v>
      </c>
      <c r="H32" s="45">
        <v>51</v>
      </c>
    </row>
    <row r="33" spans="1:8" x14ac:dyDescent="0.25">
      <c r="A33" s="903"/>
      <c r="B33" s="50" t="s">
        <v>230</v>
      </c>
      <c r="C33" s="23" t="s">
        <v>509</v>
      </c>
      <c r="D33" s="23" t="s">
        <v>509</v>
      </c>
      <c r="E33" s="23" t="s">
        <v>340</v>
      </c>
      <c r="F33" s="32" t="s">
        <v>483</v>
      </c>
      <c r="G33" s="26" t="s">
        <v>231</v>
      </c>
      <c r="H33" s="45">
        <v>958.28571428571433</v>
      </c>
    </row>
    <row r="34" spans="1:8" x14ac:dyDescent="0.25">
      <c r="A34" s="903"/>
      <c r="B34" s="50" t="s">
        <v>232</v>
      </c>
      <c r="C34" s="23" t="s">
        <v>509</v>
      </c>
      <c r="D34" s="23" t="s">
        <v>509</v>
      </c>
      <c r="E34" s="23" t="s">
        <v>340</v>
      </c>
      <c r="F34" s="32" t="s">
        <v>483</v>
      </c>
      <c r="G34" s="26" t="s">
        <v>233</v>
      </c>
      <c r="H34" s="45">
        <v>1150.2857142857142</v>
      </c>
    </row>
    <row r="35" spans="1:8" x14ac:dyDescent="0.25">
      <c r="A35" s="903"/>
      <c r="B35" s="50" t="s">
        <v>234</v>
      </c>
      <c r="C35" s="23" t="s">
        <v>509</v>
      </c>
      <c r="D35" s="23" t="s">
        <v>509</v>
      </c>
      <c r="E35" s="23" t="s">
        <v>340</v>
      </c>
      <c r="F35" s="32" t="s">
        <v>483</v>
      </c>
      <c r="G35" s="26" t="s">
        <v>235</v>
      </c>
      <c r="H35" s="45">
        <v>82.285714285714292</v>
      </c>
    </row>
    <row r="36" spans="1:8" x14ac:dyDescent="0.25">
      <c r="A36" s="903"/>
      <c r="B36" s="50" t="s">
        <v>236</v>
      </c>
      <c r="C36" s="23" t="s">
        <v>509</v>
      </c>
      <c r="D36" s="23" t="s">
        <v>509</v>
      </c>
      <c r="E36" s="23" t="s">
        <v>340</v>
      </c>
      <c r="F36" s="32" t="s">
        <v>483</v>
      </c>
      <c r="G36" s="26" t="s">
        <v>237</v>
      </c>
      <c r="H36" s="45">
        <v>0</v>
      </c>
    </row>
    <row r="37" spans="1:8" x14ac:dyDescent="0.25">
      <c r="A37" s="903"/>
      <c r="B37" s="50">
        <v>36</v>
      </c>
      <c r="C37" s="23" t="s">
        <v>509</v>
      </c>
      <c r="D37" s="23" t="s">
        <v>511</v>
      </c>
      <c r="E37" s="23" t="s">
        <v>340</v>
      </c>
      <c r="F37" s="32" t="s">
        <v>483</v>
      </c>
      <c r="G37" s="26" t="s">
        <v>40</v>
      </c>
      <c r="H37" s="45">
        <v>384</v>
      </c>
    </row>
    <row r="38" spans="1:8" x14ac:dyDescent="0.25">
      <c r="A38" s="903"/>
      <c r="B38" s="50" t="s">
        <v>29</v>
      </c>
      <c r="C38" s="23" t="s">
        <v>509</v>
      </c>
      <c r="D38" s="24" t="s">
        <v>509</v>
      </c>
      <c r="E38" s="24" t="s">
        <v>501</v>
      </c>
      <c r="F38" s="32" t="s">
        <v>483</v>
      </c>
      <c r="G38" s="32" t="s">
        <v>30</v>
      </c>
      <c r="H38" s="45">
        <v>2828.5714285714284</v>
      </c>
    </row>
    <row r="39" spans="1:8" x14ac:dyDescent="0.25">
      <c r="A39" s="903"/>
      <c r="B39" s="50" t="s">
        <v>155</v>
      </c>
      <c r="C39" s="23" t="s">
        <v>509</v>
      </c>
      <c r="D39" s="24" t="s">
        <v>452</v>
      </c>
      <c r="E39" s="24" t="s">
        <v>501</v>
      </c>
      <c r="F39" s="32" t="s">
        <v>483</v>
      </c>
      <c r="G39" s="24" t="s">
        <v>156</v>
      </c>
      <c r="H39" s="39">
        <v>288</v>
      </c>
    </row>
    <row r="40" spans="1:8" x14ac:dyDescent="0.25">
      <c r="A40" s="903"/>
      <c r="B40" s="50" t="s">
        <v>358</v>
      </c>
      <c r="C40" s="23" t="s">
        <v>509</v>
      </c>
      <c r="D40" s="23" t="s">
        <v>509</v>
      </c>
      <c r="E40" s="23" t="s">
        <v>496</v>
      </c>
      <c r="F40" s="32" t="s">
        <v>459</v>
      </c>
      <c r="G40" s="24" t="s">
        <v>360</v>
      </c>
      <c r="H40" s="39">
        <v>102</v>
      </c>
    </row>
    <row r="41" spans="1:8" x14ac:dyDescent="0.25">
      <c r="A41" s="903"/>
      <c r="B41" s="53" t="s">
        <v>362</v>
      </c>
      <c r="C41" s="23" t="s">
        <v>509</v>
      </c>
      <c r="D41" s="23" t="s">
        <v>509</v>
      </c>
      <c r="E41" s="23" t="s">
        <v>497</v>
      </c>
      <c r="F41" s="32" t="s">
        <v>459</v>
      </c>
      <c r="G41" s="24" t="s">
        <v>368</v>
      </c>
      <c r="H41" s="39">
        <v>209.14285714285714</v>
      </c>
    </row>
    <row r="42" spans="1:8" x14ac:dyDescent="0.25">
      <c r="A42" s="903"/>
      <c r="B42" s="50" t="s">
        <v>390</v>
      </c>
      <c r="C42" s="23" t="s">
        <v>509</v>
      </c>
      <c r="D42" s="23" t="s">
        <v>509</v>
      </c>
      <c r="E42" s="23" t="s">
        <v>496</v>
      </c>
      <c r="F42" s="32" t="s">
        <v>459</v>
      </c>
      <c r="G42" s="24" t="s">
        <v>398</v>
      </c>
      <c r="H42" s="39">
        <v>155.14285714285714</v>
      </c>
    </row>
    <row r="43" spans="1:8" x14ac:dyDescent="0.25">
      <c r="A43" s="903"/>
      <c r="B43" s="50" t="s">
        <v>338</v>
      </c>
      <c r="C43" s="23" t="s">
        <v>509</v>
      </c>
      <c r="D43" s="23" t="s">
        <v>509</v>
      </c>
      <c r="E43" s="23" t="s">
        <v>496</v>
      </c>
      <c r="F43" s="32" t="s">
        <v>459</v>
      </c>
      <c r="G43" s="24" t="s">
        <v>400</v>
      </c>
      <c r="H43" s="39">
        <v>1129.7142857142858</v>
      </c>
    </row>
    <row r="44" spans="1:8" x14ac:dyDescent="0.25">
      <c r="A44" s="903"/>
      <c r="B44" s="50" t="s">
        <v>410</v>
      </c>
      <c r="C44" s="23" t="s">
        <v>509</v>
      </c>
      <c r="D44" s="23" t="s">
        <v>509</v>
      </c>
      <c r="E44" s="23" t="s">
        <v>496</v>
      </c>
      <c r="F44" s="32" t="s">
        <v>459</v>
      </c>
      <c r="G44" s="24" t="s">
        <v>411</v>
      </c>
      <c r="H44" s="39">
        <v>848.57142857142856</v>
      </c>
    </row>
    <row r="45" spans="1:8" x14ac:dyDescent="0.25">
      <c r="A45" s="903"/>
      <c r="B45" s="50" t="s">
        <v>63</v>
      </c>
      <c r="C45" s="23" t="s">
        <v>509</v>
      </c>
      <c r="D45" s="23" t="s">
        <v>509</v>
      </c>
      <c r="E45" s="23" t="s">
        <v>341</v>
      </c>
      <c r="F45" s="32" t="s">
        <v>494</v>
      </c>
      <c r="G45" s="32" t="s">
        <v>64</v>
      </c>
      <c r="H45" s="39">
        <v>22355.285714285714</v>
      </c>
    </row>
    <row r="46" spans="1:8" x14ac:dyDescent="0.25">
      <c r="A46" s="903"/>
      <c r="B46" s="50" t="s">
        <v>63</v>
      </c>
      <c r="C46" s="23" t="s">
        <v>509</v>
      </c>
      <c r="D46" s="23" t="s">
        <v>509</v>
      </c>
      <c r="E46" s="23" t="s">
        <v>341</v>
      </c>
      <c r="F46" s="32" t="s">
        <v>491</v>
      </c>
      <c r="G46" s="32" t="s">
        <v>64</v>
      </c>
      <c r="H46" s="39">
        <v>22355.285714285714</v>
      </c>
    </row>
    <row r="47" spans="1:8" x14ac:dyDescent="0.25">
      <c r="A47" s="903"/>
      <c r="B47" s="50" t="s">
        <v>91</v>
      </c>
      <c r="C47" s="23" t="s">
        <v>509</v>
      </c>
      <c r="D47" s="23" t="s">
        <v>509</v>
      </c>
      <c r="E47" s="23" t="s">
        <v>495</v>
      </c>
      <c r="F47" s="32" t="s">
        <v>466</v>
      </c>
      <c r="G47" s="32" t="s">
        <v>92</v>
      </c>
      <c r="H47" s="39">
        <v>459.42857142857144</v>
      </c>
    </row>
    <row r="48" spans="1:8" x14ac:dyDescent="0.25">
      <c r="A48" s="903"/>
      <c r="B48" s="50" t="s">
        <v>89</v>
      </c>
      <c r="C48" s="23" t="s">
        <v>509</v>
      </c>
      <c r="D48" s="23" t="s">
        <v>509</v>
      </c>
      <c r="E48" s="23" t="s">
        <v>495</v>
      </c>
      <c r="F48" s="32" t="s">
        <v>466</v>
      </c>
      <c r="G48" s="32" t="s">
        <v>90</v>
      </c>
      <c r="H48" s="39">
        <v>456</v>
      </c>
    </row>
    <row r="49" spans="1:8" x14ac:dyDescent="0.25">
      <c r="A49" s="903"/>
      <c r="B49" s="50" t="s">
        <v>97</v>
      </c>
      <c r="C49" s="23" t="s">
        <v>509</v>
      </c>
      <c r="D49" s="23" t="s">
        <v>509</v>
      </c>
      <c r="E49" s="23" t="s">
        <v>495</v>
      </c>
      <c r="F49" s="32" t="s">
        <v>466</v>
      </c>
      <c r="G49" s="32" t="s">
        <v>98</v>
      </c>
      <c r="H49" s="39">
        <v>264</v>
      </c>
    </row>
    <row r="50" spans="1:8" x14ac:dyDescent="0.25">
      <c r="A50" s="903"/>
      <c r="B50" s="50" t="s">
        <v>21</v>
      </c>
      <c r="C50" s="23" t="s">
        <v>509</v>
      </c>
      <c r="D50" s="24" t="s">
        <v>509</v>
      </c>
      <c r="E50" s="24" t="s">
        <v>501</v>
      </c>
      <c r="F50" s="32" t="s">
        <v>476</v>
      </c>
      <c r="G50" s="32" t="s">
        <v>22</v>
      </c>
      <c r="H50" s="39">
        <v>2629.7142857142858</v>
      </c>
    </row>
    <row r="51" spans="1:8" x14ac:dyDescent="0.25">
      <c r="A51" s="903"/>
      <c r="B51" s="50" t="s">
        <v>23</v>
      </c>
      <c r="C51" s="23" t="s">
        <v>509</v>
      </c>
      <c r="D51" s="24" t="s">
        <v>509</v>
      </c>
      <c r="E51" s="24" t="s">
        <v>501</v>
      </c>
      <c r="F51" s="32" t="s">
        <v>476</v>
      </c>
      <c r="G51" s="32" t="s">
        <v>24</v>
      </c>
      <c r="H51" s="39">
        <v>4687.2857142857147</v>
      </c>
    </row>
    <row r="52" spans="1:8" x14ac:dyDescent="0.25">
      <c r="A52" s="903"/>
      <c r="B52" s="50" t="s">
        <v>25</v>
      </c>
      <c r="C52" s="23" t="s">
        <v>509</v>
      </c>
      <c r="D52" s="24" t="s">
        <v>509</v>
      </c>
      <c r="E52" s="24" t="s">
        <v>501</v>
      </c>
      <c r="F52" s="32" t="s">
        <v>476</v>
      </c>
      <c r="G52" s="32" t="s">
        <v>26</v>
      </c>
      <c r="H52" s="39">
        <v>6627.4285714285716</v>
      </c>
    </row>
    <row r="53" spans="1:8" x14ac:dyDescent="0.25">
      <c r="A53" s="903"/>
      <c r="B53" s="50" t="s">
        <v>151</v>
      </c>
      <c r="C53" s="23" t="s">
        <v>509</v>
      </c>
      <c r="D53" s="24" t="s">
        <v>452</v>
      </c>
      <c r="E53" s="24" t="s">
        <v>501</v>
      </c>
      <c r="F53" s="32" t="s">
        <v>476</v>
      </c>
      <c r="G53" s="24" t="s">
        <v>152</v>
      </c>
      <c r="H53" s="39">
        <v>0</v>
      </c>
    </row>
    <row r="54" spans="1:8" x14ac:dyDescent="0.25">
      <c r="A54" s="903"/>
      <c r="B54" s="50" t="s">
        <v>53</v>
      </c>
      <c r="C54" s="23" t="s">
        <v>509</v>
      </c>
      <c r="D54" s="23" t="s">
        <v>509</v>
      </c>
      <c r="E54" s="23" t="s">
        <v>495</v>
      </c>
      <c r="F54" s="32" t="s">
        <v>488</v>
      </c>
      <c r="G54" s="32" t="s">
        <v>54</v>
      </c>
      <c r="H54" s="39">
        <v>450.85714285714283</v>
      </c>
    </row>
    <row r="55" spans="1:8" x14ac:dyDescent="0.25">
      <c r="A55" s="903"/>
      <c r="B55" s="50" t="s">
        <v>414</v>
      </c>
      <c r="C55" s="23" t="s">
        <v>509</v>
      </c>
      <c r="D55" s="23" t="s">
        <v>509</v>
      </c>
      <c r="E55" s="23" t="s">
        <v>498</v>
      </c>
      <c r="F55" s="32" t="s">
        <v>465</v>
      </c>
      <c r="G55" s="24" t="s">
        <v>416</v>
      </c>
      <c r="H55" s="39">
        <v>190.28571428571428</v>
      </c>
    </row>
    <row r="56" spans="1:8" x14ac:dyDescent="0.25">
      <c r="A56" s="903"/>
      <c r="B56" s="50" t="s">
        <v>415</v>
      </c>
      <c r="C56" s="23" t="s">
        <v>509</v>
      </c>
      <c r="D56" s="23" t="s">
        <v>509</v>
      </c>
      <c r="E56" s="23" t="s">
        <v>498</v>
      </c>
      <c r="F56" s="32" t="s">
        <v>465</v>
      </c>
      <c r="G56" s="24" t="s">
        <v>417</v>
      </c>
      <c r="H56" s="39">
        <v>48</v>
      </c>
    </row>
    <row r="57" spans="1:8" x14ac:dyDescent="0.25">
      <c r="A57" s="903"/>
      <c r="B57" s="50" t="s">
        <v>339</v>
      </c>
      <c r="C57" s="23" t="s">
        <v>509</v>
      </c>
      <c r="D57" s="23" t="s">
        <v>509</v>
      </c>
      <c r="E57" s="23" t="s">
        <v>496</v>
      </c>
      <c r="F57" s="32" t="s">
        <v>465</v>
      </c>
      <c r="G57" s="24" t="s">
        <v>418</v>
      </c>
      <c r="H57" s="39">
        <v>768</v>
      </c>
    </row>
    <row r="58" spans="1:8" x14ac:dyDescent="0.25">
      <c r="A58" s="903"/>
      <c r="B58" s="55" t="s">
        <v>420</v>
      </c>
      <c r="C58" s="23" t="s">
        <v>509</v>
      </c>
      <c r="D58" s="23" t="s">
        <v>509</v>
      </c>
      <c r="E58" s="23" t="s">
        <v>497</v>
      </c>
      <c r="F58" s="32" t="s">
        <v>465</v>
      </c>
      <c r="G58" s="24" t="s">
        <v>422</v>
      </c>
      <c r="H58" s="39">
        <v>148</v>
      </c>
    </row>
    <row r="59" spans="1:8" x14ac:dyDescent="0.25">
      <c r="A59" s="903"/>
      <c r="B59" s="50" t="s">
        <v>427</v>
      </c>
      <c r="C59" s="23" t="s">
        <v>509</v>
      </c>
      <c r="D59" s="23" t="s">
        <v>509</v>
      </c>
      <c r="E59" s="23" t="s">
        <v>499</v>
      </c>
      <c r="F59" s="32" t="s">
        <v>465</v>
      </c>
      <c r="G59" s="24" t="s">
        <v>428</v>
      </c>
      <c r="H59" s="39">
        <v>305.14285714285717</v>
      </c>
    </row>
    <row r="60" spans="1:8" x14ac:dyDescent="0.25">
      <c r="A60" s="903"/>
      <c r="B60" s="50" t="s">
        <v>73</v>
      </c>
      <c r="C60" s="23" t="s">
        <v>509</v>
      </c>
      <c r="D60" s="23" t="s">
        <v>509</v>
      </c>
      <c r="E60" s="23" t="s">
        <v>495</v>
      </c>
      <c r="F60" s="32" t="s">
        <v>470</v>
      </c>
      <c r="G60" s="32" t="s">
        <v>74</v>
      </c>
      <c r="H60" s="45">
        <v>17541.714285714286</v>
      </c>
    </row>
    <row r="61" spans="1:8" x14ac:dyDescent="0.25">
      <c r="A61" s="903"/>
      <c r="B61" s="50" t="s">
        <v>83</v>
      </c>
      <c r="C61" s="23" t="s">
        <v>509</v>
      </c>
      <c r="D61" s="23" t="s">
        <v>509</v>
      </c>
      <c r="E61" s="23" t="s">
        <v>495</v>
      </c>
      <c r="F61" s="32" t="s">
        <v>469</v>
      </c>
      <c r="G61" s="32" t="s">
        <v>84</v>
      </c>
      <c r="H61" s="39">
        <v>133.71428571428572</v>
      </c>
    </row>
    <row r="62" spans="1:8" x14ac:dyDescent="0.25">
      <c r="A62" s="903"/>
      <c r="B62" s="50" t="s">
        <v>85</v>
      </c>
      <c r="C62" s="23" t="s">
        <v>509</v>
      </c>
      <c r="D62" s="23" t="s">
        <v>509</v>
      </c>
      <c r="E62" s="23" t="s">
        <v>495</v>
      </c>
      <c r="F62" s="32" t="s">
        <v>469</v>
      </c>
      <c r="G62" s="32" t="s">
        <v>86</v>
      </c>
      <c r="H62" s="39">
        <v>1556.5714285714287</v>
      </c>
    </row>
    <row r="63" spans="1:8" x14ac:dyDescent="0.25">
      <c r="A63" s="903"/>
      <c r="B63" s="50" t="s">
        <v>87</v>
      </c>
      <c r="C63" s="23" t="s">
        <v>509</v>
      </c>
      <c r="D63" s="23" t="s">
        <v>509</v>
      </c>
      <c r="E63" s="23" t="s">
        <v>495</v>
      </c>
      <c r="F63" s="32" t="s">
        <v>469</v>
      </c>
      <c r="G63" s="32" t="s">
        <v>88</v>
      </c>
      <c r="H63" s="39">
        <v>92</v>
      </c>
    </row>
    <row r="64" spans="1:8" x14ac:dyDescent="0.25">
      <c r="A64" s="903"/>
      <c r="B64" s="50" t="s">
        <v>139</v>
      </c>
      <c r="C64" s="23" t="s">
        <v>509</v>
      </c>
      <c r="D64" s="23" t="s">
        <v>509</v>
      </c>
      <c r="E64" s="23" t="s">
        <v>495</v>
      </c>
      <c r="F64" s="32" t="s">
        <v>474</v>
      </c>
      <c r="G64" s="32" t="s">
        <v>140</v>
      </c>
      <c r="H64" s="39">
        <v>336</v>
      </c>
    </row>
    <row r="65" spans="1:8" x14ac:dyDescent="0.25">
      <c r="A65" s="903"/>
      <c r="B65" s="50" t="s">
        <v>141</v>
      </c>
      <c r="C65" s="23" t="s">
        <v>509</v>
      </c>
      <c r="D65" s="23" t="s">
        <v>509</v>
      </c>
      <c r="E65" s="23" t="s">
        <v>495</v>
      </c>
      <c r="F65" s="32" t="s">
        <v>474</v>
      </c>
      <c r="G65" s="32" t="s">
        <v>142</v>
      </c>
      <c r="H65" s="39">
        <v>222.85714285714286</v>
      </c>
    </row>
    <row r="66" spans="1:8" x14ac:dyDescent="0.25">
      <c r="A66" s="903"/>
      <c r="B66" s="50" t="s">
        <v>137</v>
      </c>
      <c r="C66" s="23" t="s">
        <v>509</v>
      </c>
      <c r="D66" s="23" t="s">
        <v>509</v>
      </c>
      <c r="E66" s="23" t="s">
        <v>495</v>
      </c>
      <c r="F66" s="32" t="s">
        <v>474</v>
      </c>
      <c r="G66" s="32" t="s">
        <v>138</v>
      </c>
      <c r="H66" s="39">
        <v>378.85714285714283</v>
      </c>
    </row>
    <row r="67" spans="1:8" x14ac:dyDescent="0.25">
      <c r="A67" s="903"/>
      <c r="B67" s="50" t="s">
        <v>125</v>
      </c>
      <c r="C67" s="23" t="s">
        <v>509</v>
      </c>
      <c r="D67" s="23" t="s">
        <v>509</v>
      </c>
      <c r="E67" s="23" t="s">
        <v>495</v>
      </c>
      <c r="F67" s="32" t="s">
        <v>480</v>
      </c>
      <c r="G67" s="32" t="s">
        <v>126</v>
      </c>
      <c r="H67" s="39">
        <v>399.42857142857144</v>
      </c>
    </row>
    <row r="68" spans="1:8" x14ac:dyDescent="0.25">
      <c r="A68" s="903"/>
      <c r="B68" s="50" t="s">
        <v>131</v>
      </c>
      <c r="C68" s="23" t="s">
        <v>509</v>
      </c>
      <c r="D68" s="23" t="s">
        <v>509</v>
      </c>
      <c r="E68" s="23" t="s">
        <v>495</v>
      </c>
      <c r="F68" s="32" t="s">
        <v>480</v>
      </c>
      <c r="G68" s="32" t="s">
        <v>132</v>
      </c>
      <c r="H68" s="39">
        <v>399.42857142857144</v>
      </c>
    </row>
    <row r="69" spans="1:8" x14ac:dyDescent="0.25">
      <c r="A69" s="903"/>
      <c r="B69" s="53" t="s">
        <v>361</v>
      </c>
      <c r="C69" s="23" t="s">
        <v>509</v>
      </c>
      <c r="D69" s="23" t="s">
        <v>509</v>
      </c>
      <c r="E69" s="23" t="s">
        <v>495</v>
      </c>
      <c r="F69" s="32" t="s">
        <v>480</v>
      </c>
      <c r="G69" s="24" t="s">
        <v>367</v>
      </c>
      <c r="H69" s="39">
        <v>140.57142857142858</v>
      </c>
    </row>
    <row r="70" spans="1:8" x14ac:dyDescent="0.25">
      <c r="A70" s="903"/>
      <c r="B70" s="53" t="s">
        <v>389</v>
      </c>
      <c r="C70" s="23" t="s">
        <v>509</v>
      </c>
      <c r="D70" s="23" t="s">
        <v>509</v>
      </c>
      <c r="E70" s="23" t="s">
        <v>495</v>
      </c>
      <c r="F70" s="32" t="s">
        <v>480</v>
      </c>
      <c r="G70" s="24" t="s">
        <v>397</v>
      </c>
      <c r="H70" s="39">
        <v>240</v>
      </c>
    </row>
    <row r="71" spans="1:8" x14ac:dyDescent="0.25">
      <c r="A71" s="903"/>
      <c r="B71" s="50">
        <v>37</v>
      </c>
      <c r="C71" s="23" t="s">
        <v>509</v>
      </c>
      <c r="D71" s="24" t="s">
        <v>509</v>
      </c>
      <c r="E71" s="24" t="s">
        <v>502</v>
      </c>
      <c r="F71" s="32" t="s">
        <v>480</v>
      </c>
      <c r="G71" s="24" t="s">
        <v>143</v>
      </c>
      <c r="H71" s="45">
        <v>243.42857142857142</v>
      </c>
    </row>
    <row r="72" spans="1:8" x14ac:dyDescent="0.25">
      <c r="A72" s="903"/>
      <c r="B72" s="50">
        <v>38</v>
      </c>
      <c r="C72" s="23" t="s">
        <v>509</v>
      </c>
      <c r="D72" s="24" t="s">
        <v>509</v>
      </c>
      <c r="E72" s="24" t="s">
        <v>502</v>
      </c>
      <c r="F72" s="32" t="s">
        <v>480</v>
      </c>
      <c r="G72" s="24" t="s">
        <v>144</v>
      </c>
      <c r="H72" s="45">
        <v>308.57142857142856</v>
      </c>
    </row>
    <row r="73" spans="1:8" x14ac:dyDescent="0.25">
      <c r="A73" s="903"/>
      <c r="B73" s="50">
        <v>40</v>
      </c>
      <c r="C73" s="23" t="s">
        <v>509</v>
      </c>
      <c r="D73" s="24" t="s">
        <v>509</v>
      </c>
      <c r="E73" s="24" t="s">
        <v>502</v>
      </c>
      <c r="F73" s="32" t="s">
        <v>480</v>
      </c>
      <c r="G73" s="24" t="s">
        <v>145</v>
      </c>
      <c r="H73" s="45">
        <v>100</v>
      </c>
    </row>
    <row r="74" spans="1:8" x14ac:dyDescent="0.25">
      <c r="A74" s="903"/>
      <c r="B74" s="50">
        <v>41</v>
      </c>
      <c r="C74" s="23" t="s">
        <v>509</v>
      </c>
      <c r="D74" s="24" t="s">
        <v>509</v>
      </c>
      <c r="E74" s="24" t="s">
        <v>502</v>
      </c>
      <c r="F74" s="32" t="s">
        <v>480</v>
      </c>
      <c r="G74" s="24" t="s">
        <v>146</v>
      </c>
      <c r="H74" s="45">
        <v>370.28571428571428</v>
      </c>
    </row>
    <row r="75" spans="1:8" x14ac:dyDescent="0.25">
      <c r="A75" s="903"/>
      <c r="B75" s="50">
        <v>42</v>
      </c>
      <c r="C75" s="23" t="s">
        <v>509</v>
      </c>
      <c r="D75" s="24" t="s">
        <v>509</v>
      </c>
      <c r="E75" s="24" t="s">
        <v>502</v>
      </c>
      <c r="F75" s="32" t="s">
        <v>480</v>
      </c>
      <c r="G75" s="24" t="s">
        <v>147</v>
      </c>
      <c r="H75" s="45">
        <v>60</v>
      </c>
    </row>
    <row r="76" spans="1:8" x14ac:dyDescent="0.25">
      <c r="A76" s="903"/>
      <c r="B76" s="50">
        <v>43</v>
      </c>
      <c r="C76" s="23" t="s">
        <v>509</v>
      </c>
      <c r="D76" s="24" t="s">
        <v>509</v>
      </c>
      <c r="E76" s="24" t="s">
        <v>502</v>
      </c>
      <c r="F76" s="32" t="s">
        <v>480</v>
      </c>
      <c r="G76" s="24" t="s">
        <v>148</v>
      </c>
      <c r="H76" s="45">
        <v>418.28571428571428</v>
      </c>
    </row>
    <row r="77" spans="1:8" x14ac:dyDescent="0.25">
      <c r="A77" s="903"/>
      <c r="B77" s="50">
        <v>50</v>
      </c>
      <c r="C77" s="23" t="s">
        <v>509</v>
      </c>
      <c r="D77" s="24" t="s">
        <v>509</v>
      </c>
      <c r="E77" s="24" t="s">
        <v>502</v>
      </c>
      <c r="F77" s="32" t="s">
        <v>480</v>
      </c>
      <c r="G77" s="24" t="s">
        <v>149</v>
      </c>
      <c r="H77" s="39">
        <v>126.85714285714286</v>
      </c>
    </row>
    <row r="78" spans="1:8" x14ac:dyDescent="0.25">
      <c r="A78" s="903"/>
      <c r="B78" s="50">
        <v>51</v>
      </c>
      <c r="C78" s="23" t="s">
        <v>509</v>
      </c>
      <c r="D78" s="24" t="s">
        <v>509</v>
      </c>
      <c r="E78" s="24" t="s">
        <v>502</v>
      </c>
      <c r="F78" s="32" t="s">
        <v>480</v>
      </c>
      <c r="G78" s="24" t="s">
        <v>150</v>
      </c>
      <c r="H78" s="39">
        <v>132</v>
      </c>
    </row>
    <row r="79" spans="1:8" x14ac:dyDescent="0.25">
      <c r="A79" s="903"/>
      <c r="B79" s="50" t="s">
        <v>157</v>
      </c>
      <c r="C79" s="23" t="s">
        <v>509</v>
      </c>
      <c r="D79" s="24" t="s">
        <v>509</v>
      </c>
      <c r="E79" s="24" t="s">
        <v>502</v>
      </c>
      <c r="F79" s="32" t="s">
        <v>480</v>
      </c>
      <c r="G79" s="24" t="s">
        <v>158</v>
      </c>
      <c r="H79" s="45">
        <v>150</v>
      </c>
    </row>
    <row r="80" spans="1:8" x14ac:dyDescent="0.25">
      <c r="A80" s="903"/>
      <c r="B80" s="50" t="s">
        <v>159</v>
      </c>
      <c r="C80" s="23" t="s">
        <v>509</v>
      </c>
      <c r="D80" s="24" t="s">
        <v>509</v>
      </c>
      <c r="E80" s="24" t="s">
        <v>502</v>
      </c>
      <c r="F80" s="32" t="s">
        <v>480</v>
      </c>
      <c r="G80" s="24" t="s">
        <v>160</v>
      </c>
      <c r="H80" s="45">
        <v>354</v>
      </c>
    </row>
    <row r="81" spans="1:8" x14ac:dyDescent="0.25">
      <c r="A81" s="903"/>
      <c r="B81" s="50" t="s">
        <v>161</v>
      </c>
      <c r="C81" s="23" t="s">
        <v>509</v>
      </c>
      <c r="D81" s="24" t="s">
        <v>509</v>
      </c>
      <c r="E81" s="24" t="s">
        <v>502</v>
      </c>
      <c r="F81" s="32" t="s">
        <v>480</v>
      </c>
      <c r="G81" s="24" t="s">
        <v>162</v>
      </c>
      <c r="H81" s="45">
        <v>168</v>
      </c>
    </row>
    <row r="82" spans="1:8" x14ac:dyDescent="0.25">
      <c r="A82" s="903"/>
      <c r="B82" s="50" t="s">
        <v>163</v>
      </c>
      <c r="C82" s="23" t="s">
        <v>509</v>
      </c>
      <c r="D82" s="24" t="s">
        <v>509</v>
      </c>
      <c r="E82" s="24" t="s">
        <v>502</v>
      </c>
      <c r="F82" s="32" t="s">
        <v>480</v>
      </c>
      <c r="G82" s="24" t="s">
        <v>164</v>
      </c>
      <c r="H82" s="45">
        <v>38.5</v>
      </c>
    </row>
    <row r="83" spans="1:8" x14ac:dyDescent="0.25">
      <c r="A83" s="903"/>
      <c r="B83" s="50" t="s">
        <v>165</v>
      </c>
      <c r="C83" s="23" t="s">
        <v>509</v>
      </c>
      <c r="D83" s="24" t="s">
        <v>509</v>
      </c>
      <c r="E83" s="24" t="s">
        <v>502</v>
      </c>
      <c r="F83" s="32" t="s">
        <v>480</v>
      </c>
      <c r="G83" s="24" t="s">
        <v>166</v>
      </c>
      <c r="H83" s="45">
        <v>113.14285714285714</v>
      </c>
    </row>
    <row r="84" spans="1:8" x14ac:dyDescent="0.25">
      <c r="A84" s="903"/>
      <c r="B84" s="50" t="s">
        <v>167</v>
      </c>
      <c r="C84" s="23" t="s">
        <v>509</v>
      </c>
      <c r="D84" s="24" t="s">
        <v>509</v>
      </c>
      <c r="E84" s="24" t="s">
        <v>502</v>
      </c>
      <c r="F84" s="32" t="s">
        <v>480</v>
      </c>
      <c r="G84" s="24" t="s">
        <v>168</v>
      </c>
      <c r="H84" s="45">
        <v>72</v>
      </c>
    </row>
    <row r="85" spans="1:8" x14ac:dyDescent="0.25">
      <c r="A85" s="903"/>
      <c r="B85" s="50" t="s">
        <v>169</v>
      </c>
      <c r="C85" s="23" t="s">
        <v>509</v>
      </c>
      <c r="D85" s="24" t="s">
        <v>509</v>
      </c>
      <c r="E85" s="24" t="s">
        <v>502</v>
      </c>
      <c r="F85" s="32" t="s">
        <v>480</v>
      </c>
      <c r="G85" s="24" t="s">
        <v>170</v>
      </c>
      <c r="H85" s="45">
        <v>464.57142857142856</v>
      </c>
    </row>
    <row r="86" spans="1:8" x14ac:dyDescent="0.25">
      <c r="A86" s="903"/>
      <c r="B86" s="50" t="s">
        <v>171</v>
      </c>
      <c r="C86" s="23" t="s">
        <v>509</v>
      </c>
      <c r="D86" s="24" t="s">
        <v>509</v>
      </c>
      <c r="E86" s="24" t="s">
        <v>502</v>
      </c>
      <c r="F86" s="32" t="s">
        <v>480</v>
      </c>
      <c r="G86" s="24" t="s">
        <v>172</v>
      </c>
      <c r="H86" s="45">
        <v>279.42857142857144</v>
      </c>
    </row>
    <row r="87" spans="1:8" x14ac:dyDescent="0.25">
      <c r="A87" s="903"/>
      <c r="B87" s="50" t="s">
        <v>173</v>
      </c>
      <c r="C87" s="23" t="s">
        <v>509</v>
      </c>
      <c r="D87" s="24" t="s">
        <v>509</v>
      </c>
      <c r="E87" s="24" t="s">
        <v>502</v>
      </c>
      <c r="F87" s="32" t="s">
        <v>480</v>
      </c>
      <c r="G87" s="24" t="s">
        <v>174</v>
      </c>
      <c r="H87" s="45">
        <v>786.85714285714289</v>
      </c>
    </row>
    <row r="88" spans="1:8" x14ac:dyDescent="0.25">
      <c r="A88" s="903"/>
      <c r="B88" s="50" t="s">
        <v>175</v>
      </c>
      <c r="C88" s="23" t="s">
        <v>509</v>
      </c>
      <c r="D88" s="24" t="s">
        <v>509</v>
      </c>
      <c r="E88" s="24" t="s">
        <v>502</v>
      </c>
      <c r="F88" s="32" t="s">
        <v>480</v>
      </c>
      <c r="G88" s="24" t="s">
        <v>176</v>
      </c>
      <c r="H88" s="45">
        <v>257.14285714285717</v>
      </c>
    </row>
    <row r="89" spans="1:8" x14ac:dyDescent="0.25">
      <c r="A89" s="903"/>
      <c r="B89" s="50" t="s">
        <v>177</v>
      </c>
      <c r="C89" s="23" t="s">
        <v>509</v>
      </c>
      <c r="D89" s="24" t="s">
        <v>509</v>
      </c>
      <c r="E89" s="24" t="s">
        <v>502</v>
      </c>
      <c r="F89" s="32" t="s">
        <v>480</v>
      </c>
      <c r="G89" s="24" t="s">
        <v>178</v>
      </c>
      <c r="H89" s="45">
        <v>714.85714285714289</v>
      </c>
    </row>
    <row r="90" spans="1:8" x14ac:dyDescent="0.25">
      <c r="A90" s="903"/>
      <c r="B90" s="50" t="s">
        <v>179</v>
      </c>
      <c r="C90" s="23" t="s">
        <v>509</v>
      </c>
      <c r="D90" s="24" t="s">
        <v>509</v>
      </c>
      <c r="E90" s="24" t="s">
        <v>502</v>
      </c>
      <c r="F90" s="32" t="s">
        <v>480</v>
      </c>
      <c r="G90" s="24" t="s">
        <v>180</v>
      </c>
      <c r="H90" s="45">
        <v>0</v>
      </c>
    </row>
    <row r="91" spans="1:8" x14ac:dyDescent="0.25">
      <c r="A91" s="903"/>
      <c r="B91" s="50" t="s">
        <v>183</v>
      </c>
      <c r="C91" s="23" t="s">
        <v>509</v>
      </c>
      <c r="D91" s="24" t="s">
        <v>509</v>
      </c>
      <c r="E91" s="24" t="s">
        <v>502</v>
      </c>
      <c r="F91" s="32" t="s">
        <v>480</v>
      </c>
      <c r="G91" s="24" t="s">
        <v>184</v>
      </c>
      <c r="H91" s="39">
        <v>77.142857142857139</v>
      </c>
    </row>
    <row r="92" spans="1:8" x14ac:dyDescent="0.25">
      <c r="A92" s="903"/>
      <c r="B92" s="50" t="s">
        <v>185</v>
      </c>
      <c r="C92" s="23" t="s">
        <v>509</v>
      </c>
      <c r="D92" s="24" t="s">
        <v>509</v>
      </c>
      <c r="E92" s="24" t="s">
        <v>502</v>
      </c>
      <c r="F92" s="32" t="s">
        <v>480</v>
      </c>
      <c r="G92" s="24" t="s">
        <v>186</v>
      </c>
      <c r="H92" s="39">
        <v>84</v>
      </c>
    </row>
    <row r="93" spans="1:8" x14ac:dyDescent="0.25">
      <c r="A93" s="903"/>
      <c r="B93" s="50" t="s">
        <v>187</v>
      </c>
      <c r="C93" s="23" t="s">
        <v>509</v>
      </c>
      <c r="D93" s="24" t="s">
        <v>509</v>
      </c>
      <c r="E93" s="24" t="s">
        <v>502</v>
      </c>
      <c r="F93" s="32" t="s">
        <v>480</v>
      </c>
      <c r="G93" s="24" t="s">
        <v>188</v>
      </c>
      <c r="H93" s="39">
        <v>120</v>
      </c>
    </row>
    <row r="94" spans="1:8" x14ac:dyDescent="0.25">
      <c r="A94" s="903"/>
      <c r="B94" s="50" t="s">
        <v>189</v>
      </c>
      <c r="C94" s="23" t="s">
        <v>509</v>
      </c>
      <c r="D94" s="24" t="s">
        <v>509</v>
      </c>
      <c r="E94" s="24" t="s">
        <v>502</v>
      </c>
      <c r="F94" s="32" t="s">
        <v>480</v>
      </c>
      <c r="G94" s="24" t="s">
        <v>190</v>
      </c>
      <c r="H94" s="45">
        <v>186.85714285714286</v>
      </c>
    </row>
    <row r="95" spans="1:8" x14ac:dyDescent="0.25">
      <c r="A95" s="903"/>
      <c r="B95" s="50" t="s">
        <v>191</v>
      </c>
      <c r="C95" s="23" t="s">
        <v>509</v>
      </c>
      <c r="D95" s="24" t="s">
        <v>509</v>
      </c>
      <c r="E95" s="24" t="s">
        <v>502</v>
      </c>
      <c r="F95" s="32" t="s">
        <v>480</v>
      </c>
      <c r="G95" s="24" t="s">
        <v>192</v>
      </c>
      <c r="H95" s="45">
        <v>456</v>
      </c>
    </row>
    <row r="96" spans="1:8" x14ac:dyDescent="0.25">
      <c r="A96" s="903"/>
      <c r="B96" s="50" t="s">
        <v>193</v>
      </c>
      <c r="C96" s="23" t="s">
        <v>509</v>
      </c>
      <c r="D96" s="24" t="s">
        <v>509</v>
      </c>
      <c r="E96" s="24" t="s">
        <v>502</v>
      </c>
      <c r="F96" s="32" t="s">
        <v>480</v>
      </c>
      <c r="G96" s="24" t="s">
        <v>194</v>
      </c>
      <c r="H96" s="45">
        <v>531.42857142857144</v>
      </c>
    </row>
    <row r="97" spans="1:8" x14ac:dyDescent="0.25">
      <c r="A97" s="903"/>
      <c r="B97" s="50" t="s">
        <v>195</v>
      </c>
      <c r="C97" s="23" t="s">
        <v>509</v>
      </c>
      <c r="D97" s="24" t="s">
        <v>509</v>
      </c>
      <c r="E97" s="24" t="s">
        <v>502</v>
      </c>
      <c r="F97" s="32" t="s">
        <v>480</v>
      </c>
      <c r="G97" s="24" t="s">
        <v>196</v>
      </c>
      <c r="H97" s="45">
        <v>156</v>
      </c>
    </row>
    <row r="98" spans="1:8" x14ac:dyDescent="0.25">
      <c r="A98" s="903"/>
      <c r="B98" s="50" t="s">
        <v>197</v>
      </c>
      <c r="C98" s="23" t="s">
        <v>509</v>
      </c>
      <c r="D98" s="24" t="s">
        <v>509</v>
      </c>
      <c r="E98" s="24" t="s">
        <v>502</v>
      </c>
      <c r="F98" s="32" t="s">
        <v>480</v>
      </c>
      <c r="G98" s="24" t="s">
        <v>198</v>
      </c>
      <c r="H98" s="45">
        <v>64</v>
      </c>
    </row>
    <row r="99" spans="1:8" x14ac:dyDescent="0.25">
      <c r="A99" s="903"/>
      <c r="B99" s="50" t="s">
        <v>199</v>
      </c>
      <c r="C99" s="23" t="s">
        <v>509</v>
      </c>
      <c r="D99" s="24" t="s">
        <v>509</v>
      </c>
      <c r="E99" s="24" t="s">
        <v>502</v>
      </c>
      <c r="F99" s="32" t="s">
        <v>480</v>
      </c>
      <c r="G99" s="24" t="s">
        <v>200</v>
      </c>
      <c r="H99" s="45">
        <v>478.28571428571428</v>
      </c>
    </row>
    <row r="100" spans="1:8" x14ac:dyDescent="0.25">
      <c r="A100" s="903"/>
      <c r="B100" s="50" t="s">
        <v>201</v>
      </c>
      <c r="C100" s="23" t="s">
        <v>509</v>
      </c>
      <c r="D100" s="24" t="s">
        <v>509</v>
      </c>
      <c r="E100" s="24" t="s">
        <v>502</v>
      </c>
      <c r="F100" s="32" t="s">
        <v>480</v>
      </c>
      <c r="G100" s="24" t="s">
        <v>202</v>
      </c>
      <c r="H100" s="45">
        <v>40</v>
      </c>
    </row>
    <row r="101" spans="1:8" x14ac:dyDescent="0.25">
      <c r="A101" s="903"/>
      <c r="B101" s="50" t="s">
        <v>203</v>
      </c>
      <c r="C101" s="23" t="s">
        <v>509</v>
      </c>
      <c r="D101" s="24" t="s">
        <v>509</v>
      </c>
      <c r="E101" s="24" t="s">
        <v>502</v>
      </c>
      <c r="F101" s="32" t="s">
        <v>480</v>
      </c>
      <c r="G101" s="24" t="s">
        <v>204</v>
      </c>
      <c r="H101" s="45">
        <v>96</v>
      </c>
    </row>
    <row r="102" spans="1:8" x14ac:dyDescent="0.25">
      <c r="A102" s="903"/>
      <c r="B102" s="55" t="s">
        <v>404</v>
      </c>
      <c r="C102" s="23" t="s">
        <v>509</v>
      </c>
      <c r="D102" s="24" t="s">
        <v>509</v>
      </c>
      <c r="E102" s="24" t="s">
        <v>502</v>
      </c>
      <c r="F102" s="32" t="s">
        <v>480</v>
      </c>
      <c r="G102" s="24" t="s">
        <v>406</v>
      </c>
      <c r="H102" s="45">
        <v>42</v>
      </c>
    </row>
    <row r="103" spans="1:8" x14ac:dyDescent="0.25">
      <c r="A103" s="903"/>
      <c r="B103" s="50" t="s">
        <v>405</v>
      </c>
      <c r="C103" s="23" t="s">
        <v>509</v>
      </c>
      <c r="D103" s="24" t="s">
        <v>509</v>
      </c>
      <c r="E103" s="24" t="s">
        <v>502</v>
      </c>
      <c r="F103" s="32" t="s">
        <v>480</v>
      </c>
      <c r="G103" s="24" t="s">
        <v>407</v>
      </c>
      <c r="H103" s="45">
        <v>110.4</v>
      </c>
    </row>
    <row r="104" spans="1:8" x14ac:dyDescent="0.25">
      <c r="A104" s="903"/>
      <c r="B104" s="50" t="s">
        <v>205</v>
      </c>
      <c r="C104" s="23" t="s">
        <v>509</v>
      </c>
      <c r="D104" s="24" t="s">
        <v>509</v>
      </c>
      <c r="E104" s="24" t="s">
        <v>502</v>
      </c>
      <c r="F104" s="32" t="s">
        <v>480</v>
      </c>
      <c r="G104" s="24" t="s">
        <v>206</v>
      </c>
      <c r="H104" s="45">
        <v>209.14285714285714</v>
      </c>
    </row>
    <row r="105" spans="1:8" x14ac:dyDescent="0.25">
      <c r="A105" s="903"/>
      <c r="B105" s="50" t="s">
        <v>207</v>
      </c>
      <c r="C105" s="23" t="s">
        <v>509</v>
      </c>
      <c r="D105" s="24" t="s">
        <v>509</v>
      </c>
      <c r="E105" s="24" t="s">
        <v>502</v>
      </c>
      <c r="F105" s="32" t="s">
        <v>480</v>
      </c>
      <c r="G105" s="24" t="s">
        <v>208</v>
      </c>
      <c r="H105" s="45">
        <v>233.14285714285714</v>
      </c>
    </row>
    <row r="106" spans="1:8" x14ac:dyDescent="0.25">
      <c r="A106" s="903"/>
      <c r="B106" s="50" t="s">
        <v>209</v>
      </c>
      <c r="C106" s="23" t="s">
        <v>509</v>
      </c>
      <c r="D106" s="24" t="s">
        <v>509</v>
      </c>
      <c r="E106" s="24" t="s">
        <v>502</v>
      </c>
      <c r="F106" s="32" t="s">
        <v>480</v>
      </c>
      <c r="G106" s="24" t="s">
        <v>210</v>
      </c>
      <c r="H106" s="45">
        <v>493.71428571428572</v>
      </c>
    </row>
    <row r="107" spans="1:8" x14ac:dyDescent="0.25">
      <c r="A107" s="903"/>
      <c r="B107" s="50" t="s">
        <v>211</v>
      </c>
      <c r="C107" s="23" t="s">
        <v>509</v>
      </c>
      <c r="D107" s="24" t="s">
        <v>509</v>
      </c>
      <c r="E107" s="24" t="s">
        <v>502</v>
      </c>
      <c r="F107" s="32" t="s">
        <v>480</v>
      </c>
      <c r="G107" s="24" t="s">
        <v>212</v>
      </c>
      <c r="H107" s="45">
        <v>482.28571428571428</v>
      </c>
    </row>
    <row r="108" spans="1:8" x14ac:dyDescent="0.25">
      <c r="A108" s="903"/>
      <c r="B108" s="50" t="s">
        <v>213</v>
      </c>
      <c r="C108" s="23" t="s">
        <v>509</v>
      </c>
      <c r="D108" s="24" t="s">
        <v>509</v>
      </c>
      <c r="E108" s="24" t="s">
        <v>502</v>
      </c>
      <c r="F108" s="32" t="s">
        <v>480</v>
      </c>
      <c r="G108" s="24" t="s">
        <v>212</v>
      </c>
      <c r="H108" s="45">
        <v>0</v>
      </c>
    </row>
    <row r="109" spans="1:8" x14ac:dyDescent="0.25">
      <c r="A109" s="903"/>
      <c r="B109" s="50" t="s">
        <v>214</v>
      </c>
      <c r="C109" s="23" t="s">
        <v>509</v>
      </c>
      <c r="D109" s="24" t="s">
        <v>509</v>
      </c>
      <c r="E109" s="24" t="s">
        <v>502</v>
      </c>
      <c r="F109" s="32" t="s">
        <v>480</v>
      </c>
      <c r="G109" s="24" t="s">
        <v>215</v>
      </c>
      <c r="H109" s="45">
        <v>473.14285714285717</v>
      </c>
    </row>
    <row r="110" spans="1:8" x14ac:dyDescent="0.25">
      <c r="A110" s="903"/>
      <c r="B110" s="50" t="s">
        <v>216</v>
      </c>
      <c r="C110" s="23" t="s">
        <v>509</v>
      </c>
      <c r="D110" s="24" t="s">
        <v>509</v>
      </c>
      <c r="E110" s="24" t="s">
        <v>502</v>
      </c>
      <c r="F110" s="32" t="s">
        <v>480</v>
      </c>
      <c r="G110" s="24" t="s">
        <v>217</v>
      </c>
      <c r="H110" s="45">
        <v>85.714285714285708</v>
      </c>
    </row>
    <row r="111" spans="1:8" x14ac:dyDescent="0.25">
      <c r="A111" s="903"/>
      <c r="B111" s="50" t="s">
        <v>218</v>
      </c>
      <c r="C111" s="23" t="s">
        <v>509</v>
      </c>
      <c r="D111" s="24" t="s">
        <v>509</v>
      </c>
      <c r="E111" s="24" t="s">
        <v>502</v>
      </c>
      <c r="F111" s="32" t="s">
        <v>480</v>
      </c>
      <c r="G111" s="24" t="s">
        <v>219</v>
      </c>
      <c r="H111" s="39">
        <v>145.71428571428572</v>
      </c>
    </row>
    <row r="112" spans="1:8" x14ac:dyDescent="0.25">
      <c r="A112" s="903"/>
      <c r="B112" s="50" t="s">
        <v>220</v>
      </c>
      <c r="C112" s="23" t="s">
        <v>509</v>
      </c>
      <c r="D112" s="24" t="s">
        <v>509</v>
      </c>
      <c r="E112" s="24" t="s">
        <v>502</v>
      </c>
      <c r="F112" s="32" t="s">
        <v>480</v>
      </c>
      <c r="G112" s="24" t="s">
        <v>221</v>
      </c>
      <c r="H112" s="45">
        <v>72</v>
      </c>
    </row>
    <row r="113" spans="1:8" x14ac:dyDescent="0.25">
      <c r="A113" s="903"/>
      <c r="B113" s="50" t="s">
        <v>222</v>
      </c>
      <c r="C113" s="23" t="s">
        <v>509</v>
      </c>
      <c r="D113" s="24" t="s">
        <v>509</v>
      </c>
      <c r="E113" s="24" t="s">
        <v>502</v>
      </c>
      <c r="F113" s="32" t="s">
        <v>480</v>
      </c>
      <c r="G113" s="24" t="s">
        <v>223</v>
      </c>
      <c r="H113" s="45">
        <v>855.42857142857144</v>
      </c>
    </row>
    <row r="114" spans="1:8" x14ac:dyDescent="0.25">
      <c r="A114" s="903"/>
      <c r="B114" s="53" t="s">
        <v>419</v>
      </c>
      <c r="C114" s="23" t="s">
        <v>509</v>
      </c>
      <c r="D114" s="24" t="s">
        <v>509</v>
      </c>
      <c r="E114" s="24" t="s">
        <v>502</v>
      </c>
      <c r="F114" s="32" t="s">
        <v>480</v>
      </c>
      <c r="G114" s="24" t="s">
        <v>421</v>
      </c>
      <c r="H114" s="45">
        <v>317.14285714285717</v>
      </c>
    </row>
    <row r="115" spans="1:8" x14ac:dyDescent="0.25">
      <c r="A115" s="903"/>
      <c r="B115" s="50" t="s">
        <v>224</v>
      </c>
      <c r="C115" s="23" t="s">
        <v>509</v>
      </c>
      <c r="D115" s="24" t="s">
        <v>509</v>
      </c>
      <c r="E115" s="24" t="s">
        <v>502</v>
      </c>
      <c r="F115" s="32" t="s">
        <v>480</v>
      </c>
      <c r="G115" s="24" t="s">
        <v>145</v>
      </c>
      <c r="H115" s="45">
        <v>169.71428571428572</v>
      </c>
    </row>
    <row r="116" spans="1:8" x14ac:dyDescent="0.25">
      <c r="A116" s="903"/>
      <c r="B116" s="50" t="s">
        <v>225</v>
      </c>
      <c r="C116" s="23" t="s">
        <v>509</v>
      </c>
      <c r="D116" s="24" t="s">
        <v>509</v>
      </c>
      <c r="E116" s="24" t="s">
        <v>502</v>
      </c>
      <c r="F116" s="32" t="s">
        <v>480</v>
      </c>
      <c r="G116" s="24" t="s">
        <v>226</v>
      </c>
      <c r="H116" s="45">
        <v>248.57142857142858</v>
      </c>
    </row>
    <row r="117" spans="1:8" x14ac:dyDescent="0.25">
      <c r="A117" s="903"/>
      <c r="B117" s="50" t="s">
        <v>443</v>
      </c>
      <c r="C117" s="23" t="s">
        <v>509</v>
      </c>
      <c r="D117" s="24" t="s">
        <v>509</v>
      </c>
      <c r="E117" s="24" t="s">
        <v>502</v>
      </c>
      <c r="F117" s="32" t="s">
        <v>480</v>
      </c>
      <c r="G117" s="24" t="s">
        <v>448</v>
      </c>
      <c r="H117" s="45">
        <v>0</v>
      </c>
    </row>
    <row r="118" spans="1:8" x14ac:dyDescent="0.25">
      <c r="A118" s="903"/>
      <c r="B118" s="53" t="s">
        <v>388</v>
      </c>
      <c r="C118" s="23" t="s">
        <v>509</v>
      </c>
      <c r="D118" s="23" t="s">
        <v>509</v>
      </c>
      <c r="E118" s="23" t="s">
        <v>495</v>
      </c>
      <c r="F118" s="32" t="s">
        <v>493</v>
      </c>
      <c r="G118" s="24" t="s">
        <v>396</v>
      </c>
      <c r="H118" s="39">
        <v>390.85714285714283</v>
      </c>
    </row>
    <row r="119" spans="1:8" x14ac:dyDescent="0.25">
      <c r="A119" s="903"/>
      <c r="B119" s="53" t="s">
        <v>432</v>
      </c>
      <c r="C119" s="23" t="s">
        <v>509</v>
      </c>
      <c r="D119" s="23" t="s">
        <v>509</v>
      </c>
      <c r="E119" s="23" t="s">
        <v>500</v>
      </c>
      <c r="F119" s="32" t="s">
        <v>493</v>
      </c>
      <c r="G119" s="24" t="s">
        <v>434</v>
      </c>
      <c r="H119" s="39">
        <v>165.14285714285714</v>
      </c>
    </row>
    <row r="120" spans="1:8" x14ac:dyDescent="0.25">
      <c r="A120" s="903"/>
      <c r="B120" s="55" t="s">
        <v>437</v>
      </c>
      <c r="C120" s="23" t="s">
        <v>509</v>
      </c>
      <c r="D120" s="23" t="s">
        <v>509</v>
      </c>
      <c r="E120" s="23" t="s">
        <v>497</v>
      </c>
      <c r="F120" s="32" t="s">
        <v>493</v>
      </c>
      <c r="G120" s="24" t="s">
        <v>438</v>
      </c>
      <c r="H120" s="39">
        <f>76+198</f>
        <v>274</v>
      </c>
    </row>
    <row r="121" spans="1:8" x14ac:dyDescent="0.25">
      <c r="A121" s="903"/>
      <c r="B121" s="50" t="s">
        <v>153</v>
      </c>
      <c r="C121" s="23" t="s">
        <v>509</v>
      </c>
      <c r="D121" s="24" t="s">
        <v>509</v>
      </c>
      <c r="E121" s="24" t="s">
        <v>501</v>
      </c>
      <c r="F121" s="32" t="s">
        <v>493</v>
      </c>
      <c r="G121" s="24" t="s">
        <v>154</v>
      </c>
      <c r="H121" s="45">
        <v>562.28571428571433</v>
      </c>
    </row>
    <row r="122" spans="1:8" x14ac:dyDescent="0.25">
      <c r="A122" s="903"/>
      <c r="B122" s="50" t="s">
        <v>181</v>
      </c>
      <c r="C122" s="23" t="s">
        <v>509</v>
      </c>
      <c r="D122" s="24" t="s">
        <v>509</v>
      </c>
      <c r="E122" s="24" t="s">
        <v>501</v>
      </c>
      <c r="F122" s="32" t="s">
        <v>493</v>
      </c>
      <c r="G122" s="32" t="s">
        <v>182</v>
      </c>
      <c r="H122" s="45">
        <v>1524</v>
      </c>
    </row>
    <row r="123" spans="1:8" x14ac:dyDescent="0.25">
      <c r="A123" s="903"/>
      <c r="B123" s="50" t="s">
        <v>61</v>
      </c>
      <c r="C123" s="23" t="s">
        <v>509</v>
      </c>
      <c r="D123" s="23" t="s">
        <v>509</v>
      </c>
      <c r="E123" s="23" t="s">
        <v>495</v>
      </c>
      <c r="F123" s="32" t="s">
        <v>468</v>
      </c>
      <c r="G123" s="32" t="s">
        <v>62</v>
      </c>
      <c r="H123" s="39">
        <f>30089.1428571429+999</f>
        <v>31088.142857142899</v>
      </c>
    </row>
    <row r="124" spans="1:8" x14ac:dyDescent="0.25">
      <c r="A124" s="903"/>
      <c r="B124" s="50" t="s">
        <v>79</v>
      </c>
      <c r="C124" s="23" t="s">
        <v>509</v>
      </c>
      <c r="D124" s="23" t="s">
        <v>509</v>
      </c>
      <c r="E124" s="23" t="s">
        <v>495</v>
      </c>
      <c r="F124" s="32" t="s">
        <v>467</v>
      </c>
      <c r="G124" s="32" t="s">
        <v>80</v>
      </c>
      <c r="H124" s="39">
        <v>1808.5714285714287</v>
      </c>
    </row>
    <row r="125" spans="1:8" x14ac:dyDescent="0.25">
      <c r="A125" s="903"/>
      <c r="B125" s="50" t="s">
        <v>81</v>
      </c>
      <c r="C125" s="23" t="s">
        <v>509</v>
      </c>
      <c r="D125" s="23" t="s">
        <v>509</v>
      </c>
      <c r="E125" s="23" t="s">
        <v>495</v>
      </c>
      <c r="F125" s="32" t="s">
        <v>467</v>
      </c>
      <c r="G125" s="32" t="s">
        <v>82</v>
      </c>
      <c r="H125" s="39">
        <f>2022.85714285714+162</f>
        <v>2184.8571428571399</v>
      </c>
    </row>
    <row r="126" spans="1:8" x14ac:dyDescent="0.25">
      <c r="A126" s="903"/>
      <c r="B126" s="50" t="s">
        <v>93</v>
      </c>
      <c r="C126" s="23" t="s">
        <v>509</v>
      </c>
      <c r="D126" s="23" t="s">
        <v>509</v>
      </c>
      <c r="E126" s="23" t="s">
        <v>495</v>
      </c>
      <c r="F126" s="32" t="s">
        <v>467</v>
      </c>
      <c r="G126" s="32" t="s">
        <v>94</v>
      </c>
      <c r="H126" s="39">
        <v>2994.8571428571427</v>
      </c>
    </row>
    <row r="127" spans="1:8" x14ac:dyDescent="0.25">
      <c r="A127" s="903"/>
      <c r="B127" s="50" t="s">
        <v>95</v>
      </c>
      <c r="C127" s="23" t="s">
        <v>509</v>
      </c>
      <c r="D127" s="23" t="s">
        <v>509</v>
      </c>
      <c r="E127" s="23" t="s">
        <v>495</v>
      </c>
      <c r="F127" s="32" t="s">
        <v>467</v>
      </c>
      <c r="G127" s="32" t="s">
        <v>96</v>
      </c>
      <c r="H127" s="39">
        <v>912</v>
      </c>
    </row>
    <row r="128" spans="1:8" x14ac:dyDescent="0.25">
      <c r="A128" s="903"/>
      <c r="B128" s="50" t="s">
        <v>119</v>
      </c>
      <c r="C128" s="23" t="s">
        <v>509</v>
      </c>
      <c r="D128" s="23" t="s">
        <v>509</v>
      </c>
      <c r="E128" s="23" t="s">
        <v>495</v>
      </c>
      <c r="F128" s="32" t="s">
        <v>471</v>
      </c>
      <c r="G128" s="32" t="s">
        <v>120</v>
      </c>
      <c r="H128" s="39">
        <v>1486.8571428571429</v>
      </c>
    </row>
    <row r="129" spans="1:8" x14ac:dyDescent="0.25">
      <c r="A129" s="903"/>
      <c r="B129" s="50" t="s">
        <v>117</v>
      </c>
      <c r="C129" s="23" t="s">
        <v>509</v>
      </c>
      <c r="D129" s="23" t="s">
        <v>509</v>
      </c>
      <c r="E129" s="23" t="s">
        <v>495</v>
      </c>
      <c r="F129" s="32" t="s">
        <v>471</v>
      </c>
      <c r="G129" s="32" t="s">
        <v>118</v>
      </c>
      <c r="H129" s="39">
        <v>373.71428571428572</v>
      </c>
    </row>
    <row r="130" spans="1:8" x14ac:dyDescent="0.25">
      <c r="A130" s="903"/>
      <c r="B130" s="50" t="s">
        <v>121</v>
      </c>
      <c r="C130" s="23" t="s">
        <v>509</v>
      </c>
      <c r="D130" s="23" t="s">
        <v>509</v>
      </c>
      <c r="E130" s="23" t="s">
        <v>495</v>
      </c>
      <c r="F130" s="32" t="s">
        <v>471</v>
      </c>
      <c r="G130" s="32" t="s">
        <v>122</v>
      </c>
      <c r="H130" s="39">
        <v>409.71428571428572</v>
      </c>
    </row>
    <row r="131" spans="1:8" x14ac:dyDescent="0.25">
      <c r="A131" s="903"/>
      <c r="B131" s="50" t="s">
        <v>123</v>
      </c>
      <c r="C131" s="23" t="s">
        <v>509</v>
      </c>
      <c r="D131" s="23" t="s">
        <v>509</v>
      </c>
      <c r="E131" s="23" t="s">
        <v>495</v>
      </c>
      <c r="F131" s="32" t="s">
        <v>471</v>
      </c>
      <c r="G131" s="32" t="s">
        <v>124</v>
      </c>
      <c r="H131" s="39">
        <v>524.57142857142856</v>
      </c>
    </row>
    <row r="132" spans="1:8" x14ac:dyDescent="0.25">
      <c r="A132" s="903"/>
      <c r="B132" s="50" t="s">
        <v>127</v>
      </c>
      <c r="C132" s="23" t="s">
        <v>509</v>
      </c>
      <c r="D132" s="23" t="s">
        <v>509</v>
      </c>
      <c r="E132" s="23" t="s">
        <v>495</v>
      </c>
      <c r="F132" s="32" t="s">
        <v>489</v>
      </c>
      <c r="G132" s="32" t="s">
        <v>128</v>
      </c>
      <c r="H132" s="39">
        <v>1217.1428571428571</v>
      </c>
    </row>
    <row r="133" spans="1:8" x14ac:dyDescent="0.25">
      <c r="A133" s="903"/>
      <c r="B133" s="50" t="s">
        <v>129</v>
      </c>
      <c r="C133" s="23" t="s">
        <v>509</v>
      </c>
      <c r="D133" s="23" t="s">
        <v>509</v>
      </c>
      <c r="E133" s="23" t="s">
        <v>495</v>
      </c>
      <c r="F133" s="32" t="s">
        <v>489</v>
      </c>
      <c r="G133" s="32" t="s">
        <v>130</v>
      </c>
      <c r="H133" s="39">
        <v>293.14285714285717</v>
      </c>
    </row>
    <row r="134" spans="1:8" x14ac:dyDescent="0.25">
      <c r="A134" s="903"/>
      <c r="B134" s="50" t="s">
        <v>133</v>
      </c>
      <c r="C134" s="23" t="s">
        <v>509</v>
      </c>
      <c r="D134" s="23" t="s">
        <v>509</v>
      </c>
      <c r="E134" s="23" t="s">
        <v>495</v>
      </c>
      <c r="F134" s="32" t="s">
        <v>489</v>
      </c>
      <c r="G134" s="32" t="s">
        <v>134</v>
      </c>
      <c r="H134" s="39">
        <v>1393.7142857142858</v>
      </c>
    </row>
    <row r="135" spans="1:8" x14ac:dyDescent="0.25">
      <c r="A135" s="903"/>
      <c r="B135" s="50" t="s">
        <v>59</v>
      </c>
      <c r="C135" s="23" t="s">
        <v>509</v>
      </c>
      <c r="D135" s="23" t="s">
        <v>509</v>
      </c>
      <c r="E135" s="23" t="s">
        <v>495</v>
      </c>
      <c r="F135" s="32" t="s">
        <v>482</v>
      </c>
      <c r="G135" s="32" t="s">
        <v>60</v>
      </c>
      <c r="H135" s="39">
        <v>6783.333333333333</v>
      </c>
    </row>
    <row r="136" spans="1:8" x14ac:dyDescent="0.25">
      <c r="A136" s="903"/>
      <c r="B136" s="50" t="s">
        <v>135</v>
      </c>
      <c r="C136" s="23" t="s">
        <v>509</v>
      </c>
      <c r="D136" s="23" t="s">
        <v>509</v>
      </c>
      <c r="E136" s="23" t="s">
        <v>495</v>
      </c>
      <c r="F136" s="32" t="s">
        <v>482</v>
      </c>
      <c r="G136" s="32" t="s">
        <v>136</v>
      </c>
      <c r="H136" s="39">
        <f>3519.42857142857+608</f>
        <v>4127.4285714285706</v>
      </c>
    </row>
    <row r="137" spans="1:8" x14ac:dyDescent="0.25">
      <c r="A137" s="903"/>
      <c r="B137" s="50" t="s">
        <v>75</v>
      </c>
      <c r="C137" s="23" t="s">
        <v>509</v>
      </c>
      <c r="D137" s="23" t="s">
        <v>509</v>
      </c>
      <c r="E137" s="23" t="s">
        <v>495</v>
      </c>
      <c r="F137" s="32" t="s">
        <v>461</v>
      </c>
      <c r="G137" s="32" t="s">
        <v>76</v>
      </c>
      <c r="H137" s="39">
        <v>185.14285714285714</v>
      </c>
    </row>
    <row r="138" spans="1:8" x14ac:dyDescent="0.25">
      <c r="A138" s="903"/>
      <c r="B138" s="50" t="s">
        <v>77</v>
      </c>
      <c r="C138" s="23" t="s">
        <v>509</v>
      </c>
      <c r="D138" s="23" t="s">
        <v>509</v>
      </c>
      <c r="E138" s="23" t="s">
        <v>495</v>
      </c>
      <c r="F138" s="32" t="s">
        <v>461</v>
      </c>
      <c r="G138" s="32" t="s">
        <v>78</v>
      </c>
      <c r="H138" s="39">
        <v>2977.7142857142858</v>
      </c>
    </row>
    <row r="139" spans="1:8" x14ac:dyDescent="0.25">
      <c r="A139" s="903"/>
      <c r="B139" s="53" t="s">
        <v>429</v>
      </c>
      <c r="C139" s="23" t="s">
        <v>509</v>
      </c>
      <c r="D139" s="23" t="s">
        <v>509</v>
      </c>
      <c r="E139" s="23" t="s">
        <v>495</v>
      </c>
      <c r="F139" s="32" t="s">
        <v>461</v>
      </c>
      <c r="G139" s="24" t="s">
        <v>430</v>
      </c>
      <c r="H139" s="39">
        <v>106.28571428571429</v>
      </c>
    </row>
    <row r="140" spans="1:8" x14ac:dyDescent="0.25">
      <c r="A140" s="903"/>
      <c r="B140" s="50" t="s">
        <v>111</v>
      </c>
      <c r="C140" s="23" t="s">
        <v>509</v>
      </c>
      <c r="D140" s="23" t="s">
        <v>509</v>
      </c>
      <c r="E140" s="23" t="s">
        <v>495</v>
      </c>
      <c r="F140" s="32" t="s">
        <v>472</v>
      </c>
      <c r="G140" s="32" t="s">
        <v>112</v>
      </c>
      <c r="H140" s="39">
        <v>305.14285714285717</v>
      </c>
    </row>
    <row r="141" spans="1:8" x14ac:dyDescent="0.25">
      <c r="A141" s="903"/>
      <c r="B141" s="50" t="s">
        <v>113</v>
      </c>
      <c r="C141" s="23" t="s">
        <v>509</v>
      </c>
      <c r="D141" s="23" t="s">
        <v>509</v>
      </c>
      <c r="E141" s="23" t="s">
        <v>495</v>
      </c>
      <c r="F141" s="32" t="s">
        <v>472</v>
      </c>
      <c r="G141" s="32" t="s">
        <v>114</v>
      </c>
      <c r="H141" s="39">
        <v>678.85714285714289</v>
      </c>
    </row>
    <row r="142" spans="1:8" x14ac:dyDescent="0.25">
      <c r="A142" s="903"/>
      <c r="B142" s="50" t="s">
        <v>115</v>
      </c>
      <c r="C142" s="23" t="s">
        <v>509</v>
      </c>
      <c r="D142" s="23" t="s">
        <v>509</v>
      </c>
      <c r="E142" s="23" t="s">
        <v>495</v>
      </c>
      <c r="F142" s="32" t="s">
        <v>472</v>
      </c>
      <c r="G142" s="32" t="s">
        <v>116</v>
      </c>
      <c r="H142" s="39">
        <v>474.85714285714283</v>
      </c>
    </row>
    <row r="143" spans="1:8" x14ac:dyDescent="0.25">
      <c r="A143" s="903"/>
      <c r="B143" s="50" t="s">
        <v>109</v>
      </c>
      <c r="C143" s="23" t="s">
        <v>509</v>
      </c>
      <c r="D143" s="23" t="s">
        <v>509</v>
      </c>
      <c r="E143" s="23" t="s">
        <v>495</v>
      </c>
      <c r="F143" s="32" t="s">
        <v>472</v>
      </c>
      <c r="G143" s="32" t="s">
        <v>110</v>
      </c>
      <c r="H143" s="39">
        <v>46.285714285714285</v>
      </c>
    </row>
    <row r="144" spans="1:8" x14ac:dyDescent="0.25">
      <c r="A144" s="903"/>
      <c r="B144" s="50" t="s">
        <v>47</v>
      </c>
      <c r="C144" s="23" t="s">
        <v>509</v>
      </c>
      <c r="D144" s="23" t="s">
        <v>509</v>
      </c>
      <c r="E144" s="23" t="s">
        <v>495</v>
      </c>
      <c r="F144" s="32" t="s">
        <v>481</v>
      </c>
      <c r="G144" s="32" t="s">
        <v>48</v>
      </c>
      <c r="H144" s="39">
        <v>70.285714285714292</v>
      </c>
    </row>
    <row r="145" spans="1:8" x14ac:dyDescent="0.25">
      <c r="A145" s="903"/>
      <c r="B145" s="50" t="s">
        <v>39</v>
      </c>
      <c r="C145" s="23" t="s">
        <v>509</v>
      </c>
      <c r="D145" s="23" t="s">
        <v>509</v>
      </c>
      <c r="E145" s="23" t="s">
        <v>495</v>
      </c>
      <c r="F145" s="32" t="s">
        <v>481</v>
      </c>
      <c r="G145" s="32" t="s">
        <v>40</v>
      </c>
      <c r="H145" s="39">
        <v>5170.2857142857147</v>
      </c>
    </row>
    <row r="146" spans="1:8" x14ac:dyDescent="0.25">
      <c r="A146" s="903"/>
      <c r="B146" s="50" t="s">
        <v>45</v>
      </c>
      <c r="C146" s="23" t="s">
        <v>509</v>
      </c>
      <c r="D146" s="23" t="s">
        <v>509</v>
      </c>
      <c r="E146" s="23" t="s">
        <v>495</v>
      </c>
      <c r="F146" s="32" t="s">
        <v>481</v>
      </c>
      <c r="G146" s="32" t="s">
        <v>46</v>
      </c>
      <c r="H146" s="39">
        <v>584.57142857142856</v>
      </c>
    </row>
    <row r="147" spans="1:8" x14ac:dyDescent="0.25">
      <c r="A147" s="903"/>
      <c r="B147" s="50" t="s">
        <v>37</v>
      </c>
      <c r="C147" s="23" t="s">
        <v>509</v>
      </c>
      <c r="D147" s="23" t="s">
        <v>509</v>
      </c>
      <c r="E147" s="23" t="s">
        <v>495</v>
      </c>
      <c r="F147" s="32" t="s">
        <v>481</v>
      </c>
      <c r="G147" s="32" t="s">
        <v>38</v>
      </c>
      <c r="H147" s="39">
        <v>594.85714285714289</v>
      </c>
    </row>
    <row r="148" spans="1:8" x14ac:dyDescent="0.25">
      <c r="A148" s="903"/>
      <c r="B148" s="50" t="s">
        <v>55</v>
      </c>
      <c r="C148" s="23" t="s">
        <v>509</v>
      </c>
      <c r="D148" s="23" t="s">
        <v>509</v>
      </c>
      <c r="E148" s="23" t="s">
        <v>495</v>
      </c>
      <c r="F148" s="32" t="s">
        <v>473</v>
      </c>
      <c r="G148" s="32" t="s">
        <v>56</v>
      </c>
      <c r="H148" s="39">
        <v>6708.1428571428569</v>
      </c>
    </row>
    <row r="149" spans="1:8" x14ac:dyDescent="0.25">
      <c r="A149" s="903"/>
      <c r="B149" s="50" t="s">
        <v>71</v>
      </c>
      <c r="C149" s="23" t="s">
        <v>509</v>
      </c>
      <c r="D149" s="23" t="s">
        <v>509</v>
      </c>
      <c r="E149" s="23" t="s">
        <v>495</v>
      </c>
      <c r="F149" s="32" t="s">
        <v>473</v>
      </c>
      <c r="G149" s="32" t="s">
        <v>72</v>
      </c>
      <c r="H149" s="39">
        <v>598.28571428571433</v>
      </c>
    </row>
    <row r="150" spans="1:8" x14ac:dyDescent="0.25">
      <c r="A150" s="903"/>
      <c r="B150" s="50" t="s">
        <v>57</v>
      </c>
      <c r="C150" s="23" t="s">
        <v>509</v>
      </c>
      <c r="D150" s="23" t="s">
        <v>509</v>
      </c>
      <c r="E150" s="23" t="s">
        <v>495</v>
      </c>
      <c r="F150" s="32" t="s">
        <v>473</v>
      </c>
      <c r="G150" s="32" t="s">
        <v>58</v>
      </c>
      <c r="H150" s="39">
        <f>7913.14285714286+612</f>
        <v>8525.1428571428587</v>
      </c>
    </row>
    <row r="151" spans="1:8" x14ac:dyDescent="0.25">
      <c r="A151" s="903"/>
      <c r="B151" s="50" t="s">
        <v>67</v>
      </c>
      <c r="C151" s="23" t="s">
        <v>509</v>
      </c>
      <c r="D151" s="23" t="s">
        <v>509</v>
      </c>
      <c r="E151" s="23" t="s">
        <v>495</v>
      </c>
      <c r="F151" s="32" t="s">
        <v>475</v>
      </c>
      <c r="G151" s="32" t="s">
        <v>68</v>
      </c>
      <c r="H151" s="39">
        <v>925.71428571428567</v>
      </c>
    </row>
    <row r="152" spans="1:8" x14ac:dyDescent="0.25">
      <c r="A152" s="903"/>
      <c r="B152" s="50" t="s">
        <v>65</v>
      </c>
      <c r="C152" s="23" t="s">
        <v>509</v>
      </c>
      <c r="D152" s="23" t="s">
        <v>509</v>
      </c>
      <c r="E152" s="23" t="s">
        <v>495</v>
      </c>
      <c r="F152" s="32" t="s">
        <v>475</v>
      </c>
      <c r="G152" s="32" t="s">
        <v>66</v>
      </c>
      <c r="H152" s="39">
        <v>627.42857142857144</v>
      </c>
    </row>
    <row r="153" spans="1:8" x14ac:dyDescent="0.25">
      <c r="A153" s="903"/>
      <c r="B153" s="50" t="s">
        <v>69</v>
      </c>
      <c r="C153" s="23" t="s">
        <v>509</v>
      </c>
      <c r="D153" s="23" t="s">
        <v>509</v>
      </c>
      <c r="E153" s="23" t="s">
        <v>495</v>
      </c>
      <c r="F153" s="32" t="s">
        <v>475</v>
      </c>
      <c r="G153" s="32" t="s">
        <v>70</v>
      </c>
      <c r="H153" s="39">
        <v>913.71428571428567</v>
      </c>
    </row>
    <row r="154" spans="1:8" x14ac:dyDescent="0.25">
      <c r="A154" s="903"/>
      <c r="B154" s="50" t="s">
        <v>33</v>
      </c>
      <c r="C154" s="23" t="s">
        <v>509</v>
      </c>
      <c r="D154" s="23" t="s">
        <v>509</v>
      </c>
      <c r="E154" s="23" t="s">
        <v>495</v>
      </c>
      <c r="F154" s="32" t="s">
        <v>463</v>
      </c>
      <c r="G154" s="32" t="s">
        <v>34</v>
      </c>
      <c r="H154" s="39">
        <v>618.85714285714289</v>
      </c>
    </row>
    <row r="155" spans="1:8" x14ac:dyDescent="0.25">
      <c r="A155" s="903"/>
      <c r="B155" s="50" t="s">
        <v>31</v>
      </c>
      <c r="C155" s="23" t="s">
        <v>509</v>
      </c>
      <c r="D155" s="23" t="s">
        <v>509</v>
      </c>
      <c r="E155" s="23" t="s">
        <v>495</v>
      </c>
      <c r="F155" s="32" t="s">
        <v>463</v>
      </c>
      <c r="G155" s="32" t="s">
        <v>32</v>
      </c>
      <c r="H155" s="39">
        <v>406.28571428571428</v>
      </c>
    </row>
    <row r="156" spans="1:8" x14ac:dyDescent="0.25">
      <c r="A156" s="903"/>
      <c r="B156" s="50" t="s">
        <v>49</v>
      </c>
      <c r="C156" s="23" t="s">
        <v>509</v>
      </c>
      <c r="D156" s="23" t="s">
        <v>509</v>
      </c>
      <c r="E156" s="23" t="s">
        <v>495</v>
      </c>
      <c r="F156" s="32" t="s">
        <v>463</v>
      </c>
      <c r="G156" s="32" t="s">
        <v>50</v>
      </c>
      <c r="H156" s="39">
        <v>38.4</v>
      </c>
    </row>
    <row r="157" spans="1:8" x14ac:dyDescent="0.25">
      <c r="A157" s="903"/>
      <c r="B157" s="50" t="s">
        <v>51</v>
      </c>
      <c r="C157" s="23" t="s">
        <v>509</v>
      </c>
      <c r="D157" s="23" t="s">
        <v>509</v>
      </c>
      <c r="E157" s="23" t="s">
        <v>495</v>
      </c>
      <c r="F157" s="32" t="s">
        <v>463</v>
      </c>
      <c r="G157" s="32" t="s">
        <v>52</v>
      </c>
      <c r="H157" s="39">
        <v>692.57142857142856</v>
      </c>
    </row>
    <row r="158" spans="1:8" x14ac:dyDescent="0.25">
      <c r="A158" s="903"/>
      <c r="B158" s="50" t="s">
        <v>105</v>
      </c>
      <c r="C158" s="23" t="s">
        <v>509</v>
      </c>
      <c r="D158" s="23" t="s">
        <v>509</v>
      </c>
      <c r="E158" s="23" t="s">
        <v>495</v>
      </c>
      <c r="F158" s="32" t="s">
        <v>479</v>
      </c>
      <c r="G158" s="32" t="s">
        <v>106</v>
      </c>
      <c r="H158" s="39">
        <f>7470.85714285714+400</f>
        <v>7870.8571428571404</v>
      </c>
    </row>
    <row r="159" spans="1:8" x14ac:dyDescent="0.25">
      <c r="A159" s="903"/>
      <c r="B159" s="50" t="s">
        <v>107</v>
      </c>
      <c r="C159" s="23" t="s">
        <v>509</v>
      </c>
      <c r="D159" s="23" t="s">
        <v>509</v>
      </c>
      <c r="E159" s="23" t="s">
        <v>495</v>
      </c>
      <c r="F159" s="32" t="s">
        <v>479</v>
      </c>
      <c r="G159" s="32" t="s">
        <v>108</v>
      </c>
      <c r="H159" s="39">
        <f>5576+296</f>
        <v>5872</v>
      </c>
    </row>
    <row r="160" spans="1:8" x14ac:dyDescent="0.25">
      <c r="A160" s="903"/>
      <c r="B160" s="50">
        <v>17</v>
      </c>
      <c r="C160" s="23" t="s">
        <v>509</v>
      </c>
      <c r="D160" s="23" t="s">
        <v>511</v>
      </c>
      <c r="E160" s="23" t="s">
        <v>495</v>
      </c>
      <c r="F160" s="32" t="s">
        <v>458</v>
      </c>
      <c r="G160" s="24" t="s">
        <v>355</v>
      </c>
      <c r="H160" s="39">
        <v>106.28571428571429</v>
      </c>
    </row>
    <row r="161" spans="1:8" x14ac:dyDescent="0.25">
      <c r="A161" s="903"/>
      <c r="B161" s="50">
        <v>18</v>
      </c>
      <c r="C161" s="23" t="s">
        <v>509</v>
      </c>
      <c r="D161" s="23" t="s">
        <v>511</v>
      </c>
      <c r="E161" s="23" t="s">
        <v>495</v>
      </c>
      <c r="F161" s="32" t="s">
        <v>458</v>
      </c>
      <c r="G161" s="24" t="s">
        <v>90</v>
      </c>
      <c r="H161" s="39">
        <v>48</v>
      </c>
    </row>
    <row r="162" spans="1:8" x14ac:dyDescent="0.25">
      <c r="A162" s="903"/>
      <c r="B162" s="50">
        <v>14</v>
      </c>
      <c r="C162" s="23" t="s">
        <v>509</v>
      </c>
      <c r="D162" s="23" t="s">
        <v>511</v>
      </c>
      <c r="E162" s="23" t="s">
        <v>495</v>
      </c>
      <c r="F162" s="32" t="s">
        <v>457</v>
      </c>
      <c r="G162" s="24" t="s">
        <v>353</v>
      </c>
      <c r="H162" s="39">
        <v>72</v>
      </c>
    </row>
    <row r="163" spans="1:8" x14ac:dyDescent="0.25">
      <c r="A163" s="903"/>
      <c r="B163" s="50">
        <v>15</v>
      </c>
      <c r="C163" s="23" t="s">
        <v>509</v>
      </c>
      <c r="D163" s="23" t="s">
        <v>511</v>
      </c>
      <c r="E163" s="23" t="s">
        <v>495</v>
      </c>
      <c r="F163" s="32" t="s">
        <v>457</v>
      </c>
      <c r="G163" s="24" t="s">
        <v>354</v>
      </c>
      <c r="H163" s="39">
        <v>216</v>
      </c>
    </row>
    <row r="164" spans="1:8" x14ac:dyDescent="0.25">
      <c r="A164" s="903"/>
      <c r="B164" s="50">
        <v>12</v>
      </c>
      <c r="C164" s="23" t="s">
        <v>509</v>
      </c>
      <c r="D164" s="23" t="s">
        <v>511</v>
      </c>
      <c r="E164" s="23" t="s">
        <v>495</v>
      </c>
      <c r="F164" s="32" t="s">
        <v>456</v>
      </c>
      <c r="G164" s="24" t="s">
        <v>351</v>
      </c>
      <c r="H164" s="39">
        <v>30</v>
      </c>
    </row>
    <row r="165" spans="1:8" x14ac:dyDescent="0.25">
      <c r="A165" s="903"/>
      <c r="B165" s="50">
        <v>13</v>
      </c>
      <c r="C165" s="23" t="s">
        <v>509</v>
      </c>
      <c r="D165" s="23" t="s">
        <v>511</v>
      </c>
      <c r="E165" s="23" t="s">
        <v>495</v>
      </c>
      <c r="F165" s="32" t="s">
        <v>456</v>
      </c>
      <c r="G165" s="24" t="s">
        <v>352</v>
      </c>
      <c r="H165" s="39">
        <v>16</v>
      </c>
    </row>
    <row r="166" spans="1:8" x14ac:dyDescent="0.25">
      <c r="A166" s="903"/>
      <c r="B166" s="50">
        <v>11</v>
      </c>
      <c r="C166" s="23" t="s">
        <v>509</v>
      </c>
      <c r="D166" s="23" t="s">
        <v>511</v>
      </c>
      <c r="E166" s="23" t="s">
        <v>495</v>
      </c>
      <c r="F166" s="32" t="s">
        <v>456</v>
      </c>
      <c r="G166" s="24" t="s">
        <v>350</v>
      </c>
      <c r="H166" s="39">
        <v>349.71428571428572</v>
      </c>
    </row>
    <row r="167" spans="1:8" x14ac:dyDescent="0.25">
      <c r="A167" s="903"/>
      <c r="B167" s="50">
        <v>6</v>
      </c>
      <c r="C167" s="23" t="s">
        <v>509</v>
      </c>
      <c r="D167" s="23" t="s">
        <v>511</v>
      </c>
      <c r="E167" s="23" t="s">
        <v>495</v>
      </c>
      <c r="F167" s="32" t="s">
        <v>455</v>
      </c>
      <c r="G167" s="24" t="s">
        <v>347</v>
      </c>
      <c r="H167" s="39">
        <v>30</v>
      </c>
    </row>
    <row r="168" spans="1:8" x14ac:dyDescent="0.25">
      <c r="A168" s="903"/>
      <c r="B168" s="50">
        <v>7</v>
      </c>
      <c r="C168" s="23" t="s">
        <v>509</v>
      </c>
      <c r="D168" s="23" t="s">
        <v>511</v>
      </c>
      <c r="E168" s="23" t="s">
        <v>495</v>
      </c>
      <c r="F168" s="32" t="s">
        <v>455</v>
      </c>
      <c r="G168" s="24" t="s">
        <v>348</v>
      </c>
      <c r="H168" s="39">
        <v>36</v>
      </c>
    </row>
    <row r="169" spans="1:8" x14ac:dyDescent="0.25">
      <c r="A169" s="903"/>
      <c r="B169" s="50">
        <v>8</v>
      </c>
      <c r="C169" s="23" t="s">
        <v>509</v>
      </c>
      <c r="D169" s="23" t="s">
        <v>511</v>
      </c>
      <c r="E169" s="23" t="s">
        <v>495</v>
      </c>
      <c r="F169" s="32" t="s">
        <v>455</v>
      </c>
      <c r="G169" s="24" t="s">
        <v>349</v>
      </c>
      <c r="H169" s="39">
        <v>109.71428571428571</v>
      </c>
    </row>
    <row r="170" spans="1:8" x14ac:dyDescent="0.25">
      <c r="A170" s="903"/>
      <c r="B170" s="50">
        <v>1</v>
      </c>
      <c r="C170" s="23" t="s">
        <v>509</v>
      </c>
      <c r="D170" s="23" t="s">
        <v>511</v>
      </c>
      <c r="E170" s="23" t="s">
        <v>495</v>
      </c>
      <c r="F170" s="32" t="s">
        <v>454</v>
      </c>
      <c r="G170" s="24" t="s">
        <v>342</v>
      </c>
      <c r="H170" s="39">
        <v>828</v>
      </c>
    </row>
    <row r="171" spans="1:8" x14ac:dyDescent="0.25">
      <c r="A171" s="903"/>
      <c r="B171" s="50">
        <v>2</v>
      </c>
      <c r="C171" s="23" t="s">
        <v>509</v>
      </c>
      <c r="D171" s="23" t="s">
        <v>511</v>
      </c>
      <c r="E171" s="23" t="s">
        <v>495</v>
      </c>
      <c r="F171" s="32" t="s">
        <v>454</v>
      </c>
      <c r="G171" s="24" t="s">
        <v>343</v>
      </c>
      <c r="H171" s="39">
        <v>98</v>
      </c>
    </row>
    <row r="172" spans="1:8" x14ac:dyDescent="0.25">
      <c r="A172" s="903"/>
      <c r="B172" s="50">
        <v>3</v>
      </c>
      <c r="C172" s="23" t="s">
        <v>509</v>
      </c>
      <c r="D172" s="23" t="s">
        <v>511</v>
      </c>
      <c r="E172" s="23" t="s">
        <v>495</v>
      </c>
      <c r="F172" s="32" t="s">
        <v>454</v>
      </c>
      <c r="G172" s="24" t="s">
        <v>344</v>
      </c>
      <c r="H172" s="39">
        <v>76</v>
      </c>
    </row>
    <row r="173" spans="1:8" x14ac:dyDescent="0.25">
      <c r="A173" s="903"/>
      <c r="B173" s="50">
        <v>4</v>
      </c>
      <c r="C173" s="23" t="s">
        <v>509</v>
      </c>
      <c r="D173" s="23" t="s">
        <v>511</v>
      </c>
      <c r="E173" s="23" t="s">
        <v>495</v>
      </c>
      <c r="F173" s="32" t="s">
        <v>454</v>
      </c>
      <c r="G173" s="24" t="s">
        <v>345</v>
      </c>
      <c r="H173" s="39">
        <v>182.4</v>
      </c>
    </row>
    <row r="174" spans="1:8" x14ac:dyDescent="0.25">
      <c r="A174" s="903"/>
      <c r="B174" s="50">
        <v>5</v>
      </c>
      <c r="C174" s="23" t="s">
        <v>509</v>
      </c>
      <c r="D174" s="23" t="s">
        <v>511</v>
      </c>
      <c r="E174" s="23" t="s">
        <v>495</v>
      </c>
      <c r="F174" s="32" t="s">
        <v>454</v>
      </c>
      <c r="G174" s="24" t="s">
        <v>346</v>
      </c>
      <c r="H174" s="39">
        <v>70.285714285714292</v>
      </c>
    </row>
    <row r="175" spans="1:8" x14ac:dyDescent="0.25">
      <c r="A175" s="903"/>
      <c r="B175" s="50" t="s">
        <v>363</v>
      </c>
      <c r="C175" s="23" t="s">
        <v>509</v>
      </c>
      <c r="D175" s="23" t="s">
        <v>452</v>
      </c>
      <c r="E175" s="23" t="s">
        <v>478</v>
      </c>
      <c r="F175" s="32" t="s">
        <v>485</v>
      </c>
      <c r="G175" s="24" t="s">
        <v>369</v>
      </c>
      <c r="H175" s="39">
        <v>685.71428571428567</v>
      </c>
    </row>
    <row r="176" spans="1:8" x14ac:dyDescent="0.25">
      <c r="A176" s="903"/>
      <c r="B176" s="50" t="s">
        <v>364</v>
      </c>
      <c r="C176" s="23" t="s">
        <v>509</v>
      </c>
      <c r="D176" s="23" t="s">
        <v>452</v>
      </c>
      <c r="E176" s="23" t="s">
        <v>478</v>
      </c>
      <c r="F176" s="32" t="s">
        <v>486</v>
      </c>
      <c r="G176" s="24" t="s">
        <v>370</v>
      </c>
      <c r="H176" s="39">
        <v>0</v>
      </c>
    </row>
    <row r="177" spans="1:8" x14ac:dyDescent="0.25">
      <c r="A177" s="903"/>
      <c r="B177" s="50" t="s">
        <v>365</v>
      </c>
      <c r="C177" s="23" t="s">
        <v>509</v>
      </c>
      <c r="D177" s="23" t="s">
        <v>452</v>
      </c>
      <c r="E177" s="23" t="s">
        <v>478</v>
      </c>
      <c r="F177" s="32" t="s">
        <v>487</v>
      </c>
      <c r="G177" s="24" t="s">
        <v>371</v>
      </c>
      <c r="H177" s="39">
        <v>258</v>
      </c>
    </row>
    <row r="178" spans="1:8" x14ac:dyDescent="0.25">
      <c r="A178" s="903"/>
      <c r="B178" s="50" t="s">
        <v>366</v>
      </c>
      <c r="C178" s="23" t="s">
        <v>509</v>
      </c>
      <c r="D178" s="23" t="s">
        <v>452</v>
      </c>
      <c r="E178" s="23" t="s">
        <v>341</v>
      </c>
      <c r="F178" s="32" t="s">
        <v>490</v>
      </c>
      <c r="G178" s="24" t="s">
        <v>372</v>
      </c>
      <c r="H178" s="39">
        <v>459.42857142857144</v>
      </c>
    </row>
    <row r="179" spans="1:8" x14ac:dyDescent="0.25">
      <c r="A179" s="903"/>
      <c r="B179" s="50" t="s">
        <v>399</v>
      </c>
      <c r="C179" s="23" t="s">
        <v>509</v>
      </c>
      <c r="D179" s="23" t="s">
        <v>509</v>
      </c>
      <c r="E179" s="23" t="s">
        <v>492</v>
      </c>
      <c r="F179" s="32"/>
      <c r="G179" s="24" t="s">
        <v>401</v>
      </c>
      <c r="H179" s="39">
        <v>492</v>
      </c>
    </row>
    <row r="180" spans="1:8" x14ac:dyDescent="0.25">
      <c r="A180" s="903"/>
      <c r="B180" s="55" t="s">
        <v>376</v>
      </c>
      <c r="C180" s="23" t="s">
        <v>509</v>
      </c>
      <c r="D180" s="23" t="s">
        <v>509</v>
      </c>
      <c r="E180" s="23" t="s">
        <v>450</v>
      </c>
      <c r="F180" s="32"/>
      <c r="G180" s="24" t="s">
        <v>381</v>
      </c>
      <c r="H180" s="39">
        <v>44</v>
      </c>
    </row>
    <row r="181" spans="1:8" x14ac:dyDescent="0.25">
      <c r="A181" s="903"/>
      <c r="B181" s="55" t="s">
        <v>377</v>
      </c>
      <c r="C181" s="23" t="s">
        <v>509</v>
      </c>
      <c r="D181" s="23" t="s">
        <v>509</v>
      </c>
      <c r="E181" s="23" t="s">
        <v>450</v>
      </c>
      <c r="F181" s="32"/>
      <c r="G181" s="24" t="s">
        <v>382</v>
      </c>
      <c r="H181" s="39">
        <v>12</v>
      </c>
    </row>
    <row r="182" spans="1:8" x14ac:dyDescent="0.25">
      <c r="A182" s="903"/>
      <c r="B182" s="50" t="s">
        <v>384</v>
      </c>
      <c r="C182" s="23" t="s">
        <v>509</v>
      </c>
      <c r="D182" s="23" t="s">
        <v>509</v>
      </c>
      <c r="E182" s="23" t="s">
        <v>450</v>
      </c>
      <c r="F182" s="32"/>
      <c r="G182" s="24" t="s">
        <v>392</v>
      </c>
      <c r="H182" s="39">
        <v>48</v>
      </c>
    </row>
    <row r="183" spans="1:8" x14ac:dyDescent="0.25">
      <c r="A183" s="903"/>
      <c r="B183" s="50" t="s">
        <v>385</v>
      </c>
      <c r="C183" s="23" t="s">
        <v>509</v>
      </c>
      <c r="D183" s="23" t="s">
        <v>509</v>
      </c>
      <c r="E183" s="23" t="s">
        <v>450</v>
      </c>
      <c r="F183" s="32"/>
      <c r="G183" s="24" t="s">
        <v>393</v>
      </c>
      <c r="H183" s="39">
        <v>180</v>
      </c>
    </row>
    <row r="184" spans="1:8" x14ac:dyDescent="0.25">
      <c r="A184" s="903"/>
      <c r="B184" s="50" t="s">
        <v>386</v>
      </c>
      <c r="C184" s="23" t="s">
        <v>509</v>
      </c>
      <c r="D184" s="23" t="s">
        <v>509</v>
      </c>
      <c r="E184" s="23" t="s">
        <v>450</v>
      </c>
      <c r="F184" s="32"/>
      <c r="G184" s="24" t="s">
        <v>394</v>
      </c>
      <c r="H184" s="39">
        <v>138.85714285714286</v>
      </c>
    </row>
    <row r="185" spans="1:8" x14ac:dyDescent="0.25">
      <c r="A185" s="903"/>
      <c r="B185" s="53" t="s">
        <v>387</v>
      </c>
      <c r="C185" s="23" t="s">
        <v>509</v>
      </c>
      <c r="D185" s="23" t="s">
        <v>509</v>
      </c>
      <c r="E185" s="23" t="s">
        <v>450</v>
      </c>
      <c r="F185" s="32"/>
      <c r="G185" s="24" t="s">
        <v>395</v>
      </c>
      <c r="H185" s="39">
        <v>0</v>
      </c>
    </row>
    <row r="186" spans="1:8" ht="15.75" thickBot="1" x14ac:dyDescent="0.3">
      <c r="A186" s="903"/>
      <c r="B186" s="59" t="s">
        <v>412</v>
      </c>
      <c r="C186" s="28" t="s">
        <v>509</v>
      </c>
      <c r="D186" s="28" t="s">
        <v>509</v>
      </c>
      <c r="E186" s="28" t="s">
        <v>450</v>
      </c>
      <c r="F186" s="36"/>
      <c r="G186" s="34" t="s">
        <v>413</v>
      </c>
      <c r="H186" s="49">
        <v>483</v>
      </c>
    </row>
    <row r="187" spans="1:8" ht="15.75" thickBot="1" x14ac:dyDescent="0.3">
      <c r="A187" s="132"/>
      <c r="B187" s="133"/>
      <c r="C187" s="133"/>
      <c r="D187" s="133"/>
      <c r="E187" s="133"/>
      <c r="F187" s="133"/>
      <c r="G187" s="133"/>
      <c r="H187" s="134"/>
    </row>
    <row r="188" spans="1:8" x14ac:dyDescent="0.25">
      <c r="A188" s="902" t="s">
        <v>506</v>
      </c>
      <c r="B188" s="52" t="s">
        <v>439</v>
      </c>
      <c r="C188" s="27" t="s">
        <v>509</v>
      </c>
      <c r="D188" s="27" t="s">
        <v>509</v>
      </c>
      <c r="E188" s="27" t="s">
        <v>477</v>
      </c>
      <c r="F188" s="46"/>
      <c r="G188" s="35" t="s">
        <v>444</v>
      </c>
      <c r="H188" s="38">
        <v>90</v>
      </c>
    </row>
    <row r="189" spans="1:8" x14ac:dyDescent="0.25">
      <c r="A189" s="903"/>
      <c r="B189" s="50" t="s">
        <v>440</v>
      </c>
      <c r="C189" s="23" t="s">
        <v>509</v>
      </c>
      <c r="D189" s="23" t="s">
        <v>509</v>
      </c>
      <c r="E189" s="23" t="s">
        <v>477</v>
      </c>
      <c r="F189" s="43"/>
      <c r="G189" s="24" t="s">
        <v>445</v>
      </c>
      <c r="H189" s="39">
        <v>124</v>
      </c>
    </row>
    <row r="190" spans="1:8" x14ac:dyDescent="0.25">
      <c r="A190" s="903"/>
      <c r="B190" s="50" t="s">
        <v>441</v>
      </c>
      <c r="C190" s="23" t="s">
        <v>509</v>
      </c>
      <c r="D190" s="23" t="s">
        <v>509</v>
      </c>
      <c r="E190" s="23" t="s">
        <v>477</v>
      </c>
      <c r="F190" s="43"/>
      <c r="G190" s="24" t="s">
        <v>446</v>
      </c>
      <c r="H190" s="39">
        <v>236.57142857142858</v>
      </c>
    </row>
    <row r="191" spans="1:8" ht="15.75" thickBot="1" x14ac:dyDescent="0.3">
      <c r="A191" s="904"/>
      <c r="B191" s="51" t="s">
        <v>442</v>
      </c>
      <c r="C191" s="29" t="s">
        <v>509</v>
      </c>
      <c r="D191" s="29" t="s">
        <v>509</v>
      </c>
      <c r="E191" s="29" t="s">
        <v>477</v>
      </c>
      <c r="F191" s="57"/>
      <c r="G191" s="30" t="s">
        <v>447</v>
      </c>
      <c r="H191" s="40">
        <v>86.571428571428569</v>
      </c>
    </row>
    <row r="192" spans="1:8" x14ac:dyDescent="0.25">
      <c r="B192"/>
      <c r="G192"/>
    </row>
    <row r="193" spans="2:8" x14ac:dyDescent="0.25">
      <c r="B193"/>
      <c r="G193"/>
      <c r="H193" s="31"/>
    </row>
    <row r="194" spans="2:8" x14ac:dyDescent="0.25">
      <c r="B194"/>
      <c r="G194"/>
      <c r="H194" s="31"/>
    </row>
    <row r="195" spans="2:8" x14ac:dyDescent="0.25">
      <c r="B195"/>
      <c r="G195"/>
      <c r="H195" s="31"/>
    </row>
    <row r="196" spans="2:8" x14ac:dyDescent="0.25">
      <c r="B196"/>
      <c r="G196"/>
      <c r="H196" s="31"/>
    </row>
    <row r="197" spans="2:8" x14ac:dyDescent="0.25">
      <c r="B197"/>
      <c r="G197"/>
      <c r="H197" s="31"/>
    </row>
    <row r="198" spans="2:8" x14ac:dyDescent="0.25">
      <c r="B198"/>
      <c r="G198"/>
    </row>
    <row r="199" spans="2:8" x14ac:dyDescent="0.25">
      <c r="B199"/>
      <c r="G199"/>
    </row>
    <row r="200" spans="2:8" x14ac:dyDescent="0.25">
      <c r="B200"/>
      <c r="G200"/>
    </row>
    <row r="201" spans="2:8" x14ac:dyDescent="0.25">
      <c r="B201"/>
      <c r="G201"/>
    </row>
    <row r="202" spans="2:8" x14ac:dyDescent="0.25">
      <c r="B202"/>
      <c r="G202"/>
    </row>
    <row r="203" spans="2:8" x14ac:dyDescent="0.25">
      <c r="B203"/>
      <c r="G203"/>
    </row>
    <row r="204" spans="2:8" x14ac:dyDescent="0.25">
      <c r="B204"/>
      <c r="G204"/>
    </row>
    <row r="205" spans="2:8" x14ac:dyDescent="0.25">
      <c r="B205"/>
      <c r="G205"/>
    </row>
    <row r="206" spans="2:8" x14ac:dyDescent="0.25">
      <c r="B206"/>
      <c r="G206"/>
    </row>
    <row r="207" spans="2:8" x14ac:dyDescent="0.25">
      <c r="B207"/>
      <c r="G207"/>
    </row>
    <row r="208" spans="2:8" x14ac:dyDescent="0.25">
      <c r="B208"/>
      <c r="G208"/>
    </row>
    <row r="209" spans="2:7" x14ac:dyDescent="0.25">
      <c r="B209"/>
      <c r="G209"/>
    </row>
    <row r="210" spans="2:7" x14ac:dyDescent="0.25">
      <c r="B210"/>
      <c r="G210"/>
    </row>
    <row r="211" spans="2:7" x14ac:dyDescent="0.25">
      <c r="B211"/>
      <c r="G211"/>
    </row>
    <row r="212" spans="2:7" x14ac:dyDescent="0.25">
      <c r="B212"/>
      <c r="G212"/>
    </row>
    <row r="213" spans="2:7" x14ac:dyDescent="0.25">
      <c r="B213"/>
      <c r="G213"/>
    </row>
    <row r="214" spans="2:7" x14ac:dyDescent="0.25">
      <c r="B214"/>
      <c r="G214"/>
    </row>
    <row r="215" spans="2:7" x14ac:dyDescent="0.25">
      <c r="B215"/>
      <c r="G215"/>
    </row>
    <row r="216" spans="2:7" x14ac:dyDescent="0.25">
      <c r="B216"/>
      <c r="G216"/>
    </row>
    <row r="217" spans="2:7" x14ac:dyDescent="0.25">
      <c r="B217"/>
      <c r="G217"/>
    </row>
    <row r="218" spans="2:7" x14ac:dyDescent="0.25">
      <c r="B218"/>
      <c r="G218"/>
    </row>
    <row r="219" spans="2:7" x14ac:dyDescent="0.25">
      <c r="B219"/>
      <c r="G219"/>
    </row>
    <row r="220" spans="2:7" x14ac:dyDescent="0.25">
      <c r="B220"/>
      <c r="G220"/>
    </row>
    <row r="221" spans="2:7" x14ac:dyDescent="0.25">
      <c r="B221"/>
      <c r="G221"/>
    </row>
    <row r="222" spans="2:7" x14ac:dyDescent="0.25">
      <c r="B222"/>
      <c r="G222"/>
    </row>
    <row r="223" spans="2:7" x14ac:dyDescent="0.25">
      <c r="B223"/>
      <c r="G223"/>
    </row>
    <row r="224" spans="2:7" x14ac:dyDescent="0.25">
      <c r="B224"/>
      <c r="G224"/>
    </row>
    <row r="225" spans="2:7" x14ac:dyDescent="0.25">
      <c r="B225"/>
      <c r="G225"/>
    </row>
    <row r="226" spans="2:7" x14ac:dyDescent="0.25">
      <c r="B226"/>
      <c r="G226"/>
    </row>
    <row r="227" spans="2:7" x14ac:dyDescent="0.25">
      <c r="B227"/>
      <c r="G227"/>
    </row>
    <row r="228" spans="2:7" x14ac:dyDescent="0.25">
      <c r="B228"/>
      <c r="G228"/>
    </row>
    <row r="229" spans="2:7" x14ac:dyDescent="0.25">
      <c r="B229"/>
      <c r="G229"/>
    </row>
    <row r="230" spans="2:7" x14ac:dyDescent="0.25">
      <c r="B230"/>
      <c r="G230"/>
    </row>
    <row r="231" spans="2:7" x14ac:dyDescent="0.25">
      <c r="B231"/>
      <c r="G231"/>
    </row>
    <row r="232" spans="2:7" x14ac:dyDescent="0.25">
      <c r="B232"/>
      <c r="G232"/>
    </row>
    <row r="233" spans="2:7" x14ac:dyDescent="0.25">
      <c r="B233"/>
      <c r="G233"/>
    </row>
    <row r="234" spans="2:7" x14ac:dyDescent="0.25">
      <c r="B234"/>
      <c r="G234"/>
    </row>
    <row r="235" spans="2:7" x14ac:dyDescent="0.25">
      <c r="B235"/>
      <c r="G235"/>
    </row>
    <row r="236" spans="2:7" x14ac:dyDescent="0.25">
      <c r="B236"/>
      <c r="G236"/>
    </row>
    <row r="237" spans="2:7" x14ac:dyDescent="0.25">
      <c r="B237"/>
      <c r="G237"/>
    </row>
    <row r="238" spans="2:7" x14ac:dyDescent="0.25">
      <c r="B238"/>
      <c r="G238"/>
    </row>
    <row r="239" spans="2:7" x14ac:dyDescent="0.25">
      <c r="B239"/>
      <c r="G239"/>
    </row>
    <row r="240" spans="2:7" x14ac:dyDescent="0.25">
      <c r="B240"/>
      <c r="G240"/>
    </row>
    <row r="241" spans="2:7" x14ac:dyDescent="0.25">
      <c r="B241"/>
      <c r="G241"/>
    </row>
    <row r="242" spans="2:7" x14ac:dyDescent="0.25">
      <c r="B242"/>
      <c r="G242"/>
    </row>
    <row r="243" spans="2:7" x14ac:dyDescent="0.25">
      <c r="B243"/>
      <c r="G243"/>
    </row>
    <row r="244" spans="2:7" x14ac:dyDescent="0.25">
      <c r="B244"/>
      <c r="G244"/>
    </row>
    <row r="245" spans="2:7" x14ac:dyDescent="0.25">
      <c r="B245"/>
      <c r="G245"/>
    </row>
    <row r="246" spans="2:7" x14ac:dyDescent="0.25">
      <c r="B246"/>
      <c r="G246"/>
    </row>
    <row r="247" spans="2:7" x14ac:dyDescent="0.25">
      <c r="B247"/>
      <c r="G247"/>
    </row>
    <row r="248" spans="2:7" x14ac:dyDescent="0.25">
      <c r="B248"/>
      <c r="G248"/>
    </row>
    <row r="249" spans="2:7" x14ac:dyDescent="0.25">
      <c r="B249"/>
      <c r="G249"/>
    </row>
    <row r="250" spans="2:7" x14ac:dyDescent="0.25">
      <c r="B250"/>
      <c r="G250"/>
    </row>
    <row r="251" spans="2:7" x14ac:dyDescent="0.25">
      <c r="B251"/>
      <c r="G251"/>
    </row>
    <row r="252" spans="2:7" x14ac:dyDescent="0.25">
      <c r="B252"/>
      <c r="G252"/>
    </row>
    <row r="253" spans="2:7" x14ac:dyDescent="0.25">
      <c r="B253"/>
      <c r="G253"/>
    </row>
    <row r="254" spans="2:7" x14ac:dyDescent="0.25">
      <c r="B254"/>
      <c r="G254"/>
    </row>
    <row r="255" spans="2:7" x14ac:dyDescent="0.25">
      <c r="B255"/>
      <c r="G255"/>
    </row>
    <row r="256" spans="2:7" x14ac:dyDescent="0.25">
      <c r="B256"/>
      <c r="G256"/>
    </row>
    <row r="257" spans="2:7" x14ac:dyDescent="0.25">
      <c r="B257"/>
      <c r="G257"/>
    </row>
    <row r="258" spans="2:7" x14ac:dyDescent="0.25">
      <c r="B258"/>
      <c r="G258"/>
    </row>
    <row r="259" spans="2:7" x14ac:dyDescent="0.25">
      <c r="B259"/>
      <c r="G259"/>
    </row>
    <row r="260" spans="2:7" x14ac:dyDescent="0.25">
      <c r="B260"/>
      <c r="G260"/>
    </row>
    <row r="261" spans="2:7" x14ac:dyDescent="0.25">
      <c r="B261"/>
      <c r="G261"/>
    </row>
    <row r="262" spans="2:7" x14ac:dyDescent="0.25">
      <c r="B262"/>
      <c r="G262"/>
    </row>
    <row r="263" spans="2:7" x14ac:dyDescent="0.25">
      <c r="B263"/>
      <c r="G263"/>
    </row>
    <row r="264" spans="2:7" x14ac:dyDescent="0.25">
      <c r="B264"/>
      <c r="G264"/>
    </row>
    <row r="265" spans="2:7" x14ac:dyDescent="0.25">
      <c r="B265"/>
      <c r="G265"/>
    </row>
    <row r="266" spans="2:7" x14ac:dyDescent="0.25">
      <c r="B266"/>
      <c r="G266"/>
    </row>
    <row r="267" spans="2:7" x14ac:dyDescent="0.25">
      <c r="B267"/>
      <c r="G267"/>
    </row>
    <row r="268" spans="2:7" x14ac:dyDescent="0.25">
      <c r="B268"/>
      <c r="G268"/>
    </row>
    <row r="269" spans="2:7" x14ac:dyDescent="0.25">
      <c r="B269"/>
      <c r="G269"/>
    </row>
    <row r="270" spans="2:7" x14ac:dyDescent="0.25">
      <c r="B270"/>
      <c r="G270"/>
    </row>
    <row r="271" spans="2:7" x14ac:dyDescent="0.25">
      <c r="B271"/>
      <c r="G271"/>
    </row>
    <row r="272" spans="2:7" x14ac:dyDescent="0.25">
      <c r="B272"/>
      <c r="G272"/>
    </row>
    <row r="273" spans="2:7" x14ac:dyDescent="0.25">
      <c r="B273"/>
      <c r="G273"/>
    </row>
    <row r="274" spans="2:7" x14ac:dyDescent="0.25">
      <c r="B274"/>
      <c r="G274"/>
    </row>
    <row r="275" spans="2:7" x14ac:dyDescent="0.25">
      <c r="B275"/>
      <c r="G275"/>
    </row>
    <row r="276" spans="2:7" x14ac:dyDescent="0.25">
      <c r="B276"/>
      <c r="G276"/>
    </row>
    <row r="277" spans="2:7" x14ac:dyDescent="0.25">
      <c r="B277"/>
      <c r="G277"/>
    </row>
    <row r="278" spans="2:7" x14ac:dyDescent="0.25">
      <c r="B278"/>
      <c r="G278"/>
    </row>
    <row r="279" spans="2:7" x14ac:dyDescent="0.25">
      <c r="B279"/>
      <c r="G279"/>
    </row>
    <row r="280" spans="2:7" x14ac:dyDescent="0.25">
      <c r="B280"/>
      <c r="G280"/>
    </row>
    <row r="281" spans="2:7" x14ac:dyDescent="0.25">
      <c r="B281"/>
      <c r="G281"/>
    </row>
    <row r="282" spans="2:7" x14ac:dyDescent="0.25">
      <c r="B282"/>
      <c r="G282"/>
    </row>
    <row r="283" spans="2:7" x14ac:dyDescent="0.25">
      <c r="B283"/>
      <c r="G283"/>
    </row>
    <row r="284" spans="2:7" x14ac:dyDescent="0.25">
      <c r="B284"/>
      <c r="G284"/>
    </row>
    <row r="285" spans="2:7" x14ac:dyDescent="0.25">
      <c r="B285"/>
      <c r="G285"/>
    </row>
    <row r="286" spans="2:7" x14ac:dyDescent="0.25">
      <c r="B286"/>
      <c r="G286"/>
    </row>
    <row r="287" spans="2:7" x14ac:dyDescent="0.25">
      <c r="B287"/>
      <c r="G287"/>
    </row>
    <row r="288" spans="2:7" x14ac:dyDescent="0.25">
      <c r="B288"/>
      <c r="G288"/>
    </row>
    <row r="289" spans="2:7" x14ac:dyDescent="0.25">
      <c r="B289"/>
      <c r="G289"/>
    </row>
    <row r="290" spans="2:7" x14ac:dyDescent="0.25">
      <c r="B290"/>
      <c r="G290"/>
    </row>
    <row r="291" spans="2:7" x14ac:dyDescent="0.25">
      <c r="B291"/>
      <c r="G291"/>
    </row>
    <row r="292" spans="2:7" x14ac:dyDescent="0.25">
      <c r="B292"/>
      <c r="G292"/>
    </row>
    <row r="293" spans="2:7" x14ac:dyDescent="0.25">
      <c r="B293"/>
      <c r="G293"/>
    </row>
    <row r="294" spans="2:7" x14ac:dyDescent="0.25">
      <c r="B294"/>
      <c r="G294"/>
    </row>
    <row r="295" spans="2:7" x14ac:dyDescent="0.25">
      <c r="B295"/>
      <c r="G295"/>
    </row>
    <row r="296" spans="2:7" x14ac:dyDescent="0.25">
      <c r="B296"/>
      <c r="G296"/>
    </row>
    <row r="297" spans="2:7" x14ac:dyDescent="0.25">
      <c r="B297"/>
      <c r="G297"/>
    </row>
    <row r="298" spans="2:7" x14ac:dyDescent="0.25">
      <c r="B298"/>
      <c r="G298"/>
    </row>
    <row r="299" spans="2:7" x14ac:dyDescent="0.25">
      <c r="B299"/>
      <c r="G299"/>
    </row>
    <row r="300" spans="2:7" x14ac:dyDescent="0.25">
      <c r="B300"/>
      <c r="G300"/>
    </row>
    <row r="301" spans="2:7" x14ac:dyDescent="0.25">
      <c r="B301"/>
      <c r="G301"/>
    </row>
    <row r="302" spans="2:7" x14ac:dyDescent="0.25">
      <c r="B302"/>
      <c r="G302"/>
    </row>
    <row r="303" spans="2:7" x14ac:dyDescent="0.25">
      <c r="B303"/>
      <c r="G303"/>
    </row>
    <row r="304" spans="2:7" x14ac:dyDescent="0.25">
      <c r="B304"/>
      <c r="G304"/>
    </row>
    <row r="305" spans="2:7" x14ac:dyDescent="0.25">
      <c r="B305"/>
      <c r="G305"/>
    </row>
    <row r="306" spans="2:7" x14ac:dyDescent="0.25">
      <c r="B306"/>
      <c r="G306"/>
    </row>
    <row r="307" spans="2:7" x14ac:dyDescent="0.25">
      <c r="B307"/>
      <c r="G307"/>
    </row>
    <row r="308" spans="2:7" x14ac:dyDescent="0.25">
      <c r="B308"/>
      <c r="G308"/>
    </row>
    <row r="309" spans="2:7" x14ac:dyDescent="0.25">
      <c r="B309"/>
      <c r="G309"/>
    </row>
    <row r="310" spans="2:7" x14ac:dyDescent="0.25">
      <c r="B310"/>
      <c r="G310"/>
    </row>
    <row r="311" spans="2:7" x14ac:dyDescent="0.25">
      <c r="B311"/>
      <c r="G311"/>
    </row>
    <row r="312" spans="2:7" x14ac:dyDescent="0.25">
      <c r="B312"/>
      <c r="G312"/>
    </row>
    <row r="313" spans="2:7" x14ac:dyDescent="0.25">
      <c r="B313"/>
      <c r="G313"/>
    </row>
    <row r="314" spans="2:7" x14ac:dyDescent="0.25">
      <c r="B314"/>
      <c r="G314"/>
    </row>
    <row r="315" spans="2:7" x14ac:dyDescent="0.25">
      <c r="B315"/>
      <c r="G315"/>
    </row>
    <row r="316" spans="2:7" x14ac:dyDescent="0.25">
      <c r="B316"/>
      <c r="G316"/>
    </row>
    <row r="317" spans="2:7" x14ac:dyDescent="0.25">
      <c r="B317"/>
      <c r="G317"/>
    </row>
    <row r="318" spans="2:7" x14ac:dyDescent="0.25">
      <c r="B318"/>
      <c r="G318"/>
    </row>
    <row r="319" spans="2:7" x14ac:dyDescent="0.25">
      <c r="B319"/>
      <c r="G319"/>
    </row>
    <row r="320" spans="2:7" x14ac:dyDescent="0.25">
      <c r="B320"/>
      <c r="G320"/>
    </row>
    <row r="321" spans="2:7" x14ac:dyDescent="0.25">
      <c r="B321"/>
      <c r="G321"/>
    </row>
    <row r="322" spans="2:7" x14ac:dyDescent="0.25">
      <c r="B322"/>
      <c r="G322"/>
    </row>
    <row r="323" spans="2:7" x14ac:dyDescent="0.25">
      <c r="B323"/>
      <c r="G323"/>
    </row>
    <row r="324" spans="2:7" x14ac:dyDescent="0.25">
      <c r="B324"/>
      <c r="G324"/>
    </row>
    <row r="325" spans="2:7" x14ac:dyDescent="0.25">
      <c r="B325"/>
      <c r="G325"/>
    </row>
  </sheetData>
  <autoFilter ref="B2:H2"/>
  <mergeCells count="4">
    <mergeCell ref="A1:H1"/>
    <mergeCell ref="A3:A6"/>
    <mergeCell ref="A7:A186"/>
    <mergeCell ref="A188:A191"/>
  </mergeCells>
  <printOptions horizontalCentered="1"/>
  <pageMargins left="0.31496062992125984" right="0.31496062992125984" top="0.19685039370078741" bottom="0.19685039370078741" header="0.31496062992125984" footer="0.31496062992125984"/>
  <pageSetup paperSize="9" scale="90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1"/>
  <sheetViews>
    <sheetView workbookViewId="0">
      <selection sqref="A1:E1"/>
    </sheetView>
  </sheetViews>
  <sheetFormatPr baseColWidth="10" defaultRowHeight="15" x14ac:dyDescent="0.25"/>
  <cols>
    <col min="1" max="1" width="7.85546875" bestFit="1" customWidth="1"/>
    <col min="2" max="2" width="7.5703125" bestFit="1" customWidth="1"/>
    <col min="3" max="3" width="0.28515625" style="207" customWidth="1"/>
    <col min="4" max="4" width="7.85546875" bestFit="1" customWidth="1"/>
    <col min="5" max="5" width="6.28515625" bestFit="1" customWidth="1"/>
    <col min="6" max="6" width="3.5703125" customWidth="1"/>
    <col min="7" max="7" width="4.28515625" customWidth="1"/>
    <col min="8" max="8" width="3.140625" customWidth="1"/>
    <col min="252" max="252" width="7.85546875" bestFit="1" customWidth="1"/>
    <col min="253" max="253" width="7.5703125" bestFit="1" customWidth="1"/>
    <col min="254" max="254" width="1.28515625" customWidth="1"/>
    <col min="255" max="255" width="7.85546875" bestFit="1" customWidth="1"/>
    <col min="256" max="256" width="6.28515625" bestFit="1" customWidth="1"/>
    <col min="257" max="257" width="3.5703125" customWidth="1"/>
    <col min="258" max="258" width="4.28515625" customWidth="1"/>
    <col min="259" max="259" width="3.140625" customWidth="1"/>
    <col min="260" max="260" width="8.5703125" bestFit="1" customWidth="1"/>
    <col min="261" max="261" width="7.5703125" bestFit="1" customWidth="1"/>
    <col min="262" max="262" width="2.28515625" customWidth="1"/>
    <col min="263" max="263" width="8.28515625" bestFit="1" customWidth="1"/>
    <col min="264" max="264" width="6" bestFit="1" customWidth="1"/>
    <col min="508" max="508" width="7.85546875" bestFit="1" customWidth="1"/>
    <col min="509" max="509" width="7.5703125" bestFit="1" customWidth="1"/>
    <col min="510" max="510" width="1.28515625" customWidth="1"/>
    <col min="511" max="511" width="7.85546875" bestFit="1" customWidth="1"/>
    <col min="512" max="512" width="6.28515625" bestFit="1" customWidth="1"/>
    <col min="513" max="513" width="3.5703125" customWidth="1"/>
    <col min="514" max="514" width="4.28515625" customWidth="1"/>
    <col min="515" max="515" width="3.140625" customWidth="1"/>
    <col min="516" max="516" width="8.5703125" bestFit="1" customWidth="1"/>
    <col min="517" max="517" width="7.5703125" bestFit="1" customWidth="1"/>
    <col min="518" max="518" width="2.28515625" customWidth="1"/>
    <col min="519" max="519" width="8.28515625" bestFit="1" customWidth="1"/>
    <col min="520" max="520" width="6" bestFit="1" customWidth="1"/>
    <col min="764" max="764" width="7.85546875" bestFit="1" customWidth="1"/>
    <col min="765" max="765" width="7.5703125" bestFit="1" customWidth="1"/>
    <col min="766" max="766" width="1.28515625" customWidth="1"/>
    <col min="767" max="767" width="7.85546875" bestFit="1" customWidth="1"/>
    <col min="768" max="768" width="6.28515625" bestFit="1" customWidth="1"/>
    <col min="769" max="769" width="3.5703125" customWidth="1"/>
    <col min="770" max="770" width="4.28515625" customWidth="1"/>
    <col min="771" max="771" width="3.140625" customWidth="1"/>
    <col min="772" max="772" width="8.5703125" bestFit="1" customWidth="1"/>
    <col min="773" max="773" width="7.5703125" bestFit="1" customWidth="1"/>
    <col min="774" max="774" width="2.28515625" customWidth="1"/>
    <col min="775" max="775" width="8.28515625" bestFit="1" customWidth="1"/>
    <col min="776" max="776" width="6" bestFit="1" customWidth="1"/>
    <col min="1020" max="1020" width="7.85546875" bestFit="1" customWidth="1"/>
    <col min="1021" max="1021" width="7.5703125" bestFit="1" customWidth="1"/>
    <col min="1022" max="1022" width="1.28515625" customWidth="1"/>
    <col min="1023" max="1023" width="7.85546875" bestFit="1" customWidth="1"/>
    <col min="1024" max="1024" width="6.28515625" bestFit="1" customWidth="1"/>
    <col min="1025" max="1025" width="3.5703125" customWidth="1"/>
    <col min="1026" max="1026" width="4.28515625" customWidth="1"/>
    <col min="1027" max="1027" width="3.140625" customWidth="1"/>
    <col min="1028" max="1028" width="8.5703125" bestFit="1" customWidth="1"/>
    <col min="1029" max="1029" width="7.5703125" bestFit="1" customWidth="1"/>
    <col min="1030" max="1030" width="2.28515625" customWidth="1"/>
    <col min="1031" max="1031" width="8.28515625" bestFit="1" customWidth="1"/>
    <col min="1032" max="1032" width="6" bestFit="1" customWidth="1"/>
    <col min="1276" max="1276" width="7.85546875" bestFit="1" customWidth="1"/>
    <col min="1277" max="1277" width="7.5703125" bestFit="1" customWidth="1"/>
    <col min="1278" max="1278" width="1.28515625" customWidth="1"/>
    <col min="1279" max="1279" width="7.85546875" bestFit="1" customWidth="1"/>
    <col min="1280" max="1280" width="6.28515625" bestFit="1" customWidth="1"/>
    <col min="1281" max="1281" width="3.5703125" customWidth="1"/>
    <col min="1282" max="1282" width="4.28515625" customWidth="1"/>
    <col min="1283" max="1283" width="3.140625" customWidth="1"/>
    <col min="1284" max="1284" width="8.5703125" bestFit="1" customWidth="1"/>
    <col min="1285" max="1285" width="7.5703125" bestFit="1" customWidth="1"/>
    <col min="1286" max="1286" width="2.28515625" customWidth="1"/>
    <col min="1287" max="1287" width="8.28515625" bestFit="1" customWidth="1"/>
    <col min="1288" max="1288" width="6" bestFit="1" customWidth="1"/>
    <col min="1532" max="1532" width="7.85546875" bestFit="1" customWidth="1"/>
    <col min="1533" max="1533" width="7.5703125" bestFit="1" customWidth="1"/>
    <col min="1534" max="1534" width="1.28515625" customWidth="1"/>
    <col min="1535" max="1535" width="7.85546875" bestFit="1" customWidth="1"/>
    <col min="1536" max="1536" width="6.28515625" bestFit="1" customWidth="1"/>
    <col min="1537" max="1537" width="3.5703125" customWidth="1"/>
    <col min="1538" max="1538" width="4.28515625" customWidth="1"/>
    <col min="1539" max="1539" width="3.140625" customWidth="1"/>
    <col min="1540" max="1540" width="8.5703125" bestFit="1" customWidth="1"/>
    <col min="1541" max="1541" width="7.5703125" bestFit="1" customWidth="1"/>
    <col min="1542" max="1542" width="2.28515625" customWidth="1"/>
    <col min="1543" max="1543" width="8.28515625" bestFit="1" customWidth="1"/>
    <col min="1544" max="1544" width="6" bestFit="1" customWidth="1"/>
    <col min="1788" max="1788" width="7.85546875" bestFit="1" customWidth="1"/>
    <col min="1789" max="1789" width="7.5703125" bestFit="1" customWidth="1"/>
    <col min="1790" max="1790" width="1.28515625" customWidth="1"/>
    <col min="1791" max="1791" width="7.85546875" bestFit="1" customWidth="1"/>
    <col min="1792" max="1792" width="6.28515625" bestFit="1" customWidth="1"/>
    <col min="1793" max="1793" width="3.5703125" customWidth="1"/>
    <col min="1794" max="1794" width="4.28515625" customWidth="1"/>
    <col min="1795" max="1795" width="3.140625" customWidth="1"/>
    <col min="1796" max="1796" width="8.5703125" bestFit="1" customWidth="1"/>
    <col min="1797" max="1797" width="7.5703125" bestFit="1" customWidth="1"/>
    <col min="1798" max="1798" width="2.28515625" customWidth="1"/>
    <col min="1799" max="1799" width="8.28515625" bestFit="1" customWidth="1"/>
    <col min="1800" max="1800" width="6" bestFit="1" customWidth="1"/>
    <col min="2044" max="2044" width="7.85546875" bestFit="1" customWidth="1"/>
    <col min="2045" max="2045" width="7.5703125" bestFit="1" customWidth="1"/>
    <col min="2046" max="2046" width="1.28515625" customWidth="1"/>
    <col min="2047" max="2047" width="7.85546875" bestFit="1" customWidth="1"/>
    <col min="2048" max="2048" width="6.28515625" bestFit="1" customWidth="1"/>
    <col min="2049" max="2049" width="3.5703125" customWidth="1"/>
    <col min="2050" max="2050" width="4.28515625" customWidth="1"/>
    <col min="2051" max="2051" width="3.140625" customWidth="1"/>
    <col min="2052" max="2052" width="8.5703125" bestFit="1" customWidth="1"/>
    <col min="2053" max="2053" width="7.5703125" bestFit="1" customWidth="1"/>
    <col min="2054" max="2054" width="2.28515625" customWidth="1"/>
    <col min="2055" max="2055" width="8.28515625" bestFit="1" customWidth="1"/>
    <col min="2056" max="2056" width="6" bestFit="1" customWidth="1"/>
    <col min="2300" max="2300" width="7.85546875" bestFit="1" customWidth="1"/>
    <col min="2301" max="2301" width="7.5703125" bestFit="1" customWidth="1"/>
    <col min="2302" max="2302" width="1.28515625" customWidth="1"/>
    <col min="2303" max="2303" width="7.85546875" bestFit="1" customWidth="1"/>
    <col min="2304" max="2304" width="6.28515625" bestFit="1" customWidth="1"/>
    <col min="2305" max="2305" width="3.5703125" customWidth="1"/>
    <col min="2306" max="2306" width="4.28515625" customWidth="1"/>
    <col min="2307" max="2307" width="3.140625" customWidth="1"/>
    <col min="2308" max="2308" width="8.5703125" bestFit="1" customWidth="1"/>
    <col min="2309" max="2309" width="7.5703125" bestFit="1" customWidth="1"/>
    <col min="2310" max="2310" width="2.28515625" customWidth="1"/>
    <col min="2311" max="2311" width="8.28515625" bestFit="1" customWidth="1"/>
    <col min="2312" max="2312" width="6" bestFit="1" customWidth="1"/>
    <col min="2556" max="2556" width="7.85546875" bestFit="1" customWidth="1"/>
    <col min="2557" max="2557" width="7.5703125" bestFit="1" customWidth="1"/>
    <col min="2558" max="2558" width="1.28515625" customWidth="1"/>
    <col min="2559" max="2559" width="7.85546875" bestFit="1" customWidth="1"/>
    <col min="2560" max="2560" width="6.28515625" bestFit="1" customWidth="1"/>
    <col min="2561" max="2561" width="3.5703125" customWidth="1"/>
    <col min="2562" max="2562" width="4.28515625" customWidth="1"/>
    <col min="2563" max="2563" width="3.140625" customWidth="1"/>
    <col min="2564" max="2564" width="8.5703125" bestFit="1" customWidth="1"/>
    <col min="2565" max="2565" width="7.5703125" bestFit="1" customWidth="1"/>
    <col min="2566" max="2566" width="2.28515625" customWidth="1"/>
    <col min="2567" max="2567" width="8.28515625" bestFit="1" customWidth="1"/>
    <col min="2568" max="2568" width="6" bestFit="1" customWidth="1"/>
    <col min="2812" max="2812" width="7.85546875" bestFit="1" customWidth="1"/>
    <col min="2813" max="2813" width="7.5703125" bestFit="1" customWidth="1"/>
    <col min="2814" max="2814" width="1.28515625" customWidth="1"/>
    <col min="2815" max="2815" width="7.85546875" bestFit="1" customWidth="1"/>
    <col min="2816" max="2816" width="6.28515625" bestFit="1" customWidth="1"/>
    <col min="2817" max="2817" width="3.5703125" customWidth="1"/>
    <col min="2818" max="2818" width="4.28515625" customWidth="1"/>
    <col min="2819" max="2819" width="3.140625" customWidth="1"/>
    <col min="2820" max="2820" width="8.5703125" bestFit="1" customWidth="1"/>
    <col min="2821" max="2821" width="7.5703125" bestFit="1" customWidth="1"/>
    <col min="2822" max="2822" width="2.28515625" customWidth="1"/>
    <col min="2823" max="2823" width="8.28515625" bestFit="1" customWidth="1"/>
    <col min="2824" max="2824" width="6" bestFit="1" customWidth="1"/>
    <col min="3068" max="3068" width="7.85546875" bestFit="1" customWidth="1"/>
    <col min="3069" max="3069" width="7.5703125" bestFit="1" customWidth="1"/>
    <col min="3070" max="3070" width="1.28515625" customWidth="1"/>
    <col min="3071" max="3071" width="7.85546875" bestFit="1" customWidth="1"/>
    <col min="3072" max="3072" width="6.28515625" bestFit="1" customWidth="1"/>
    <col min="3073" max="3073" width="3.5703125" customWidth="1"/>
    <col min="3074" max="3074" width="4.28515625" customWidth="1"/>
    <col min="3075" max="3075" width="3.140625" customWidth="1"/>
    <col min="3076" max="3076" width="8.5703125" bestFit="1" customWidth="1"/>
    <col min="3077" max="3077" width="7.5703125" bestFit="1" customWidth="1"/>
    <col min="3078" max="3078" width="2.28515625" customWidth="1"/>
    <col min="3079" max="3079" width="8.28515625" bestFit="1" customWidth="1"/>
    <col min="3080" max="3080" width="6" bestFit="1" customWidth="1"/>
    <col min="3324" max="3324" width="7.85546875" bestFit="1" customWidth="1"/>
    <col min="3325" max="3325" width="7.5703125" bestFit="1" customWidth="1"/>
    <col min="3326" max="3326" width="1.28515625" customWidth="1"/>
    <col min="3327" max="3327" width="7.85546875" bestFit="1" customWidth="1"/>
    <col min="3328" max="3328" width="6.28515625" bestFit="1" customWidth="1"/>
    <col min="3329" max="3329" width="3.5703125" customWidth="1"/>
    <col min="3330" max="3330" width="4.28515625" customWidth="1"/>
    <col min="3331" max="3331" width="3.140625" customWidth="1"/>
    <col min="3332" max="3332" width="8.5703125" bestFit="1" customWidth="1"/>
    <col min="3333" max="3333" width="7.5703125" bestFit="1" customWidth="1"/>
    <col min="3334" max="3334" width="2.28515625" customWidth="1"/>
    <col min="3335" max="3335" width="8.28515625" bestFit="1" customWidth="1"/>
    <col min="3336" max="3336" width="6" bestFit="1" customWidth="1"/>
    <col min="3580" max="3580" width="7.85546875" bestFit="1" customWidth="1"/>
    <col min="3581" max="3581" width="7.5703125" bestFit="1" customWidth="1"/>
    <col min="3582" max="3582" width="1.28515625" customWidth="1"/>
    <col min="3583" max="3583" width="7.85546875" bestFit="1" customWidth="1"/>
    <col min="3584" max="3584" width="6.28515625" bestFit="1" customWidth="1"/>
    <col min="3585" max="3585" width="3.5703125" customWidth="1"/>
    <col min="3586" max="3586" width="4.28515625" customWidth="1"/>
    <col min="3587" max="3587" width="3.140625" customWidth="1"/>
    <col min="3588" max="3588" width="8.5703125" bestFit="1" customWidth="1"/>
    <col min="3589" max="3589" width="7.5703125" bestFit="1" customWidth="1"/>
    <col min="3590" max="3590" width="2.28515625" customWidth="1"/>
    <col min="3591" max="3591" width="8.28515625" bestFit="1" customWidth="1"/>
    <col min="3592" max="3592" width="6" bestFit="1" customWidth="1"/>
    <col min="3836" max="3836" width="7.85546875" bestFit="1" customWidth="1"/>
    <col min="3837" max="3837" width="7.5703125" bestFit="1" customWidth="1"/>
    <col min="3838" max="3838" width="1.28515625" customWidth="1"/>
    <col min="3839" max="3839" width="7.85546875" bestFit="1" customWidth="1"/>
    <col min="3840" max="3840" width="6.28515625" bestFit="1" customWidth="1"/>
    <col min="3841" max="3841" width="3.5703125" customWidth="1"/>
    <col min="3842" max="3842" width="4.28515625" customWidth="1"/>
    <col min="3843" max="3843" width="3.140625" customWidth="1"/>
    <col min="3844" max="3844" width="8.5703125" bestFit="1" customWidth="1"/>
    <col min="3845" max="3845" width="7.5703125" bestFit="1" customWidth="1"/>
    <col min="3846" max="3846" width="2.28515625" customWidth="1"/>
    <col min="3847" max="3847" width="8.28515625" bestFit="1" customWidth="1"/>
    <col min="3848" max="3848" width="6" bestFit="1" customWidth="1"/>
    <col min="4092" max="4092" width="7.85546875" bestFit="1" customWidth="1"/>
    <col min="4093" max="4093" width="7.5703125" bestFit="1" customWidth="1"/>
    <col min="4094" max="4094" width="1.28515625" customWidth="1"/>
    <col min="4095" max="4095" width="7.85546875" bestFit="1" customWidth="1"/>
    <col min="4096" max="4096" width="6.28515625" bestFit="1" customWidth="1"/>
    <col min="4097" max="4097" width="3.5703125" customWidth="1"/>
    <col min="4098" max="4098" width="4.28515625" customWidth="1"/>
    <col min="4099" max="4099" width="3.140625" customWidth="1"/>
    <col min="4100" max="4100" width="8.5703125" bestFit="1" customWidth="1"/>
    <col min="4101" max="4101" width="7.5703125" bestFit="1" customWidth="1"/>
    <col min="4102" max="4102" width="2.28515625" customWidth="1"/>
    <col min="4103" max="4103" width="8.28515625" bestFit="1" customWidth="1"/>
    <col min="4104" max="4104" width="6" bestFit="1" customWidth="1"/>
    <col min="4348" max="4348" width="7.85546875" bestFit="1" customWidth="1"/>
    <col min="4349" max="4349" width="7.5703125" bestFit="1" customWidth="1"/>
    <col min="4350" max="4350" width="1.28515625" customWidth="1"/>
    <col min="4351" max="4351" width="7.85546875" bestFit="1" customWidth="1"/>
    <col min="4352" max="4352" width="6.28515625" bestFit="1" customWidth="1"/>
    <col min="4353" max="4353" width="3.5703125" customWidth="1"/>
    <col min="4354" max="4354" width="4.28515625" customWidth="1"/>
    <col min="4355" max="4355" width="3.140625" customWidth="1"/>
    <col min="4356" max="4356" width="8.5703125" bestFit="1" customWidth="1"/>
    <col min="4357" max="4357" width="7.5703125" bestFit="1" customWidth="1"/>
    <col min="4358" max="4358" width="2.28515625" customWidth="1"/>
    <col min="4359" max="4359" width="8.28515625" bestFit="1" customWidth="1"/>
    <col min="4360" max="4360" width="6" bestFit="1" customWidth="1"/>
    <col min="4604" max="4604" width="7.85546875" bestFit="1" customWidth="1"/>
    <col min="4605" max="4605" width="7.5703125" bestFit="1" customWidth="1"/>
    <col min="4606" max="4606" width="1.28515625" customWidth="1"/>
    <col min="4607" max="4607" width="7.85546875" bestFit="1" customWidth="1"/>
    <col min="4608" max="4608" width="6.28515625" bestFit="1" customWidth="1"/>
    <col min="4609" max="4609" width="3.5703125" customWidth="1"/>
    <col min="4610" max="4610" width="4.28515625" customWidth="1"/>
    <col min="4611" max="4611" width="3.140625" customWidth="1"/>
    <col min="4612" max="4612" width="8.5703125" bestFit="1" customWidth="1"/>
    <col min="4613" max="4613" width="7.5703125" bestFit="1" customWidth="1"/>
    <col min="4614" max="4614" width="2.28515625" customWidth="1"/>
    <col min="4615" max="4615" width="8.28515625" bestFit="1" customWidth="1"/>
    <col min="4616" max="4616" width="6" bestFit="1" customWidth="1"/>
    <col min="4860" max="4860" width="7.85546875" bestFit="1" customWidth="1"/>
    <col min="4861" max="4861" width="7.5703125" bestFit="1" customWidth="1"/>
    <col min="4862" max="4862" width="1.28515625" customWidth="1"/>
    <col min="4863" max="4863" width="7.85546875" bestFit="1" customWidth="1"/>
    <col min="4864" max="4864" width="6.28515625" bestFit="1" customWidth="1"/>
    <col min="4865" max="4865" width="3.5703125" customWidth="1"/>
    <col min="4866" max="4866" width="4.28515625" customWidth="1"/>
    <col min="4867" max="4867" width="3.140625" customWidth="1"/>
    <col min="4868" max="4868" width="8.5703125" bestFit="1" customWidth="1"/>
    <col min="4869" max="4869" width="7.5703125" bestFit="1" customWidth="1"/>
    <col min="4870" max="4870" width="2.28515625" customWidth="1"/>
    <col min="4871" max="4871" width="8.28515625" bestFit="1" customWidth="1"/>
    <col min="4872" max="4872" width="6" bestFit="1" customWidth="1"/>
    <col min="5116" max="5116" width="7.85546875" bestFit="1" customWidth="1"/>
    <col min="5117" max="5117" width="7.5703125" bestFit="1" customWidth="1"/>
    <col min="5118" max="5118" width="1.28515625" customWidth="1"/>
    <col min="5119" max="5119" width="7.85546875" bestFit="1" customWidth="1"/>
    <col min="5120" max="5120" width="6.28515625" bestFit="1" customWidth="1"/>
    <col min="5121" max="5121" width="3.5703125" customWidth="1"/>
    <col min="5122" max="5122" width="4.28515625" customWidth="1"/>
    <col min="5123" max="5123" width="3.140625" customWidth="1"/>
    <col min="5124" max="5124" width="8.5703125" bestFit="1" customWidth="1"/>
    <col min="5125" max="5125" width="7.5703125" bestFit="1" customWidth="1"/>
    <col min="5126" max="5126" width="2.28515625" customWidth="1"/>
    <col min="5127" max="5127" width="8.28515625" bestFit="1" customWidth="1"/>
    <col min="5128" max="5128" width="6" bestFit="1" customWidth="1"/>
    <col min="5372" max="5372" width="7.85546875" bestFit="1" customWidth="1"/>
    <col min="5373" max="5373" width="7.5703125" bestFit="1" customWidth="1"/>
    <col min="5374" max="5374" width="1.28515625" customWidth="1"/>
    <col min="5375" max="5375" width="7.85546875" bestFit="1" customWidth="1"/>
    <col min="5376" max="5376" width="6.28515625" bestFit="1" customWidth="1"/>
    <col min="5377" max="5377" width="3.5703125" customWidth="1"/>
    <col min="5378" max="5378" width="4.28515625" customWidth="1"/>
    <col min="5379" max="5379" width="3.140625" customWidth="1"/>
    <col min="5380" max="5380" width="8.5703125" bestFit="1" customWidth="1"/>
    <col min="5381" max="5381" width="7.5703125" bestFit="1" customWidth="1"/>
    <col min="5382" max="5382" width="2.28515625" customWidth="1"/>
    <col min="5383" max="5383" width="8.28515625" bestFit="1" customWidth="1"/>
    <col min="5384" max="5384" width="6" bestFit="1" customWidth="1"/>
    <col min="5628" max="5628" width="7.85546875" bestFit="1" customWidth="1"/>
    <col min="5629" max="5629" width="7.5703125" bestFit="1" customWidth="1"/>
    <col min="5630" max="5630" width="1.28515625" customWidth="1"/>
    <col min="5631" max="5631" width="7.85546875" bestFit="1" customWidth="1"/>
    <col min="5632" max="5632" width="6.28515625" bestFit="1" customWidth="1"/>
    <col min="5633" max="5633" width="3.5703125" customWidth="1"/>
    <col min="5634" max="5634" width="4.28515625" customWidth="1"/>
    <col min="5635" max="5635" width="3.140625" customWidth="1"/>
    <col min="5636" max="5636" width="8.5703125" bestFit="1" customWidth="1"/>
    <col min="5637" max="5637" width="7.5703125" bestFit="1" customWidth="1"/>
    <col min="5638" max="5638" width="2.28515625" customWidth="1"/>
    <col min="5639" max="5639" width="8.28515625" bestFit="1" customWidth="1"/>
    <col min="5640" max="5640" width="6" bestFit="1" customWidth="1"/>
    <col min="5884" max="5884" width="7.85546875" bestFit="1" customWidth="1"/>
    <col min="5885" max="5885" width="7.5703125" bestFit="1" customWidth="1"/>
    <col min="5886" max="5886" width="1.28515625" customWidth="1"/>
    <col min="5887" max="5887" width="7.85546875" bestFit="1" customWidth="1"/>
    <col min="5888" max="5888" width="6.28515625" bestFit="1" customWidth="1"/>
    <col min="5889" max="5889" width="3.5703125" customWidth="1"/>
    <col min="5890" max="5890" width="4.28515625" customWidth="1"/>
    <col min="5891" max="5891" width="3.140625" customWidth="1"/>
    <col min="5892" max="5892" width="8.5703125" bestFit="1" customWidth="1"/>
    <col min="5893" max="5893" width="7.5703125" bestFit="1" customWidth="1"/>
    <col min="5894" max="5894" width="2.28515625" customWidth="1"/>
    <col min="5895" max="5895" width="8.28515625" bestFit="1" customWidth="1"/>
    <col min="5896" max="5896" width="6" bestFit="1" customWidth="1"/>
    <col min="6140" max="6140" width="7.85546875" bestFit="1" customWidth="1"/>
    <col min="6141" max="6141" width="7.5703125" bestFit="1" customWidth="1"/>
    <col min="6142" max="6142" width="1.28515625" customWidth="1"/>
    <col min="6143" max="6143" width="7.85546875" bestFit="1" customWidth="1"/>
    <col min="6144" max="6144" width="6.28515625" bestFit="1" customWidth="1"/>
    <col min="6145" max="6145" width="3.5703125" customWidth="1"/>
    <col min="6146" max="6146" width="4.28515625" customWidth="1"/>
    <col min="6147" max="6147" width="3.140625" customWidth="1"/>
    <col min="6148" max="6148" width="8.5703125" bestFit="1" customWidth="1"/>
    <col min="6149" max="6149" width="7.5703125" bestFit="1" customWidth="1"/>
    <col min="6150" max="6150" width="2.28515625" customWidth="1"/>
    <col min="6151" max="6151" width="8.28515625" bestFit="1" customWidth="1"/>
    <col min="6152" max="6152" width="6" bestFit="1" customWidth="1"/>
    <col min="6396" max="6396" width="7.85546875" bestFit="1" customWidth="1"/>
    <col min="6397" max="6397" width="7.5703125" bestFit="1" customWidth="1"/>
    <col min="6398" max="6398" width="1.28515625" customWidth="1"/>
    <col min="6399" max="6399" width="7.85546875" bestFit="1" customWidth="1"/>
    <col min="6400" max="6400" width="6.28515625" bestFit="1" customWidth="1"/>
    <col min="6401" max="6401" width="3.5703125" customWidth="1"/>
    <col min="6402" max="6402" width="4.28515625" customWidth="1"/>
    <col min="6403" max="6403" width="3.140625" customWidth="1"/>
    <col min="6404" max="6404" width="8.5703125" bestFit="1" customWidth="1"/>
    <col min="6405" max="6405" width="7.5703125" bestFit="1" customWidth="1"/>
    <col min="6406" max="6406" width="2.28515625" customWidth="1"/>
    <col min="6407" max="6407" width="8.28515625" bestFit="1" customWidth="1"/>
    <col min="6408" max="6408" width="6" bestFit="1" customWidth="1"/>
    <col min="6652" max="6652" width="7.85546875" bestFit="1" customWidth="1"/>
    <col min="6653" max="6653" width="7.5703125" bestFit="1" customWidth="1"/>
    <col min="6654" max="6654" width="1.28515625" customWidth="1"/>
    <col min="6655" max="6655" width="7.85546875" bestFit="1" customWidth="1"/>
    <col min="6656" max="6656" width="6.28515625" bestFit="1" customWidth="1"/>
    <col min="6657" max="6657" width="3.5703125" customWidth="1"/>
    <col min="6658" max="6658" width="4.28515625" customWidth="1"/>
    <col min="6659" max="6659" width="3.140625" customWidth="1"/>
    <col min="6660" max="6660" width="8.5703125" bestFit="1" customWidth="1"/>
    <col min="6661" max="6661" width="7.5703125" bestFit="1" customWidth="1"/>
    <col min="6662" max="6662" width="2.28515625" customWidth="1"/>
    <col min="6663" max="6663" width="8.28515625" bestFit="1" customWidth="1"/>
    <col min="6664" max="6664" width="6" bestFit="1" customWidth="1"/>
    <col min="6908" max="6908" width="7.85546875" bestFit="1" customWidth="1"/>
    <col min="6909" max="6909" width="7.5703125" bestFit="1" customWidth="1"/>
    <col min="6910" max="6910" width="1.28515625" customWidth="1"/>
    <col min="6911" max="6911" width="7.85546875" bestFit="1" customWidth="1"/>
    <col min="6912" max="6912" width="6.28515625" bestFit="1" customWidth="1"/>
    <col min="6913" max="6913" width="3.5703125" customWidth="1"/>
    <col min="6914" max="6914" width="4.28515625" customWidth="1"/>
    <col min="6915" max="6915" width="3.140625" customWidth="1"/>
    <col min="6916" max="6916" width="8.5703125" bestFit="1" customWidth="1"/>
    <col min="6917" max="6917" width="7.5703125" bestFit="1" customWidth="1"/>
    <col min="6918" max="6918" width="2.28515625" customWidth="1"/>
    <col min="6919" max="6919" width="8.28515625" bestFit="1" customWidth="1"/>
    <col min="6920" max="6920" width="6" bestFit="1" customWidth="1"/>
    <col min="7164" max="7164" width="7.85546875" bestFit="1" customWidth="1"/>
    <col min="7165" max="7165" width="7.5703125" bestFit="1" customWidth="1"/>
    <col min="7166" max="7166" width="1.28515625" customWidth="1"/>
    <col min="7167" max="7167" width="7.85546875" bestFit="1" customWidth="1"/>
    <col min="7168" max="7168" width="6.28515625" bestFit="1" customWidth="1"/>
    <col min="7169" max="7169" width="3.5703125" customWidth="1"/>
    <col min="7170" max="7170" width="4.28515625" customWidth="1"/>
    <col min="7171" max="7171" width="3.140625" customWidth="1"/>
    <col min="7172" max="7172" width="8.5703125" bestFit="1" customWidth="1"/>
    <col min="7173" max="7173" width="7.5703125" bestFit="1" customWidth="1"/>
    <col min="7174" max="7174" width="2.28515625" customWidth="1"/>
    <col min="7175" max="7175" width="8.28515625" bestFit="1" customWidth="1"/>
    <col min="7176" max="7176" width="6" bestFit="1" customWidth="1"/>
    <col min="7420" max="7420" width="7.85546875" bestFit="1" customWidth="1"/>
    <col min="7421" max="7421" width="7.5703125" bestFit="1" customWidth="1"/>
    <col min="7422" max="7422" width="1.28515625" customWidth="1"/>
    <col min="7423" max="7423" width="7.85546875" bestFit="1" customWidth="1"/>
    <col min="7424" max="7424" width="6.28515625" bestFit="1" customWidth="1"/>
    <col min="7425" max="7425" width="3.5703125" customWidth="1"/>
    <col min="7426" max="7426" width="4.28515625" customWidth="1"/>
    <col min="7427" max="7427" width="3.140625" customWidth="1"/>
    <col min="7428" max="7428" width="8.5703125" bestFit="1" customWidth="1"/>
    <col min="7429" max="7429" width="7.5703125" bestFit="1" customWidth="1"/>
    <col min="7430" max="7430" width="2.28515625" customWidth="1"/>
    <col min="7431" max="7431" width="8.28515625" bestFit="1" customWidth="1"/>
    <col min="7432" max="7432" width="6" bestFit="1" customWidth="1"/>
    <col min="7676" max="7676" width="7.85546875" bestFit="1" customWidth="1"/>
    <col min="7677" max="7677" width="7.5703125" bestFit="1" customWidth="1"/>
    <col min="7678" max="7678" width="1.28515625" customWidth="1"/>
    <col min="7679" max="7679" width="7.85546875" bestFit="1" customWidth="1"/>
    <col min="7680" max="7680" width="6.28515625" bestFit="1" customWidth="1"/>
    <col min="7681" max="7681" width="3.5703125" customWidth="1"/>
    <col min="7682" max="7682" width="4.28515625" customWidth="1"/>
    <col min="7683" max="7683" width="3.140625" customWidth="1"/>
    <col min="7684" max="7684" width="8.5703125" bestFit="1" customWidth="1"/>
    <col min="7685" max="7685" width="7.5703125" bestFit="1" customWidth="1"/>
    <col min="7686" max="7686" width="2.28515625" customWidth="1"/>
    <col min="7687" max="7687" width="8.28515625" bestFit="1" customWidth="1"/>
    <col min="7688" max="7688" width="6" bestFit="1" customWidth="1"/>
    <col min="7932" max="7932" width="7.85546875" bestFit="1" customWidth="1"/>
    <col min="7933" max="7933" width="7.5703125" bestFit="1" customWidth="1"/>
    <col min="7934" max="7934" width="1.28515625" customWidth="1"/>
    <col min="7935" max="7935" width="7.85546875" bestFit="1" customWidth="1"/>
    <col min="7936" max="7936" width="6.28515625" bestFit="1" customWidth="1"/>
    <col min="7937" max="7937" width="3.5703125" customWidth="1"/>
    <col min="7938" max="7938" width="4.28515625" customWidth="1"/>
    <col min="7939" max="7939" width="3.140625" customWidth="1"/>
    <col min="7940" max="7940" width="8.5703125" bestFit="1" customWidth="1"/>
    <col min="7941" max="7941" width="7.5703125" bestFit="1" customWidth="1"/>
    <col min="7942" max="7942" width="2.28515625" customWidth="1"/>
    <col min="7943" max="7943" width="8.28515625" bestFit="1" customWidth="1"/>
    <col min="7944" max="7944" width="6" bestFit="1" customWidth="1"/>
    <col min="8188" max="8188" width="7.85546875" bestFit="1" customWidth="1"/>
    <col min="8189" max="8189" width="7.5703125" bestFit="1" customWidth="1"/>
    <col min="8190" max="8190" width="1.28515625" customWidth="1"/>
    <col min="8191" max="8191" width="7.85546875" bestFit="1" customWidth="1"/>
    <col min="8192" max="8192" width="6.28515625" bestFit="1" customWidth="1"/>
    <col min="8193" max="8193" width="3.5703125" customWidth="1"/>
    <col min="8194" max="8194" width="4.28515625" customWidth="1"/>
    <col min="8195" max="8195" width="3.140625" customWidth="1"/>
    <col min="8196" max="8196" width="8.5703125" bestFit="1" customWidth="1"/>
    <col min="8197" max="8197" width="7.5703125" bestFit="1" customWidth="1"/>
    <col min="8198" max="8198" width="2.28515625" customWidth="1"/>
    <col min="8199" max="8199" width="8.28515625" bestFit="1" customWidth="1"/>
    <col min="8200" max="8200" width="6" bestFit="1" customWidth="1"/>
    <col min="8444" max="8444" width="7.85546875" bestFit="1" customWidth="1"/>
    <col min="8445" max="8445" width="7.5703125" bestFit="1" customWidth="1"/>
    <col min="8446" max="8446" width="1.28515625" customWidth="1"/>
    <col min="8447" max="8447" width="7.85546875" bestFit="1" customWidth="1"/>
    <col min="8448" max="8448" width="6.28515625" bestFit="1" customWidth="1"/>
    <col min="8449" max="8449" width="3.5703125" customWidth="1"/>
    <col min="8450" max="8450" width="4.28515625" customWidth="1"/>
    <col min="8451" max="8451" width="3.140625" customWidth="1"/>
    <col min="8452" max="8452" width="8.5703125" bestFit="1" customWidth="1"/>
    <col min="8453" max="8453" width="7.5703125" bestFit="1" customWidth="1"/>
    <col min="8454" max="8454" width="2.28515625" customWidth="1"/>
    <col min="8455" max="8455" width="8.28515625" bestFit="1" customWidth="1"/>
    <col min="8456" max="8456" width="6" bestFit="1" customWidth="1"/>
    <col min="8700" max="8700" width="7.85546875" bestFit="1" customWidth="1"/>
    <col min="8701" max="8701" width="7.5703125" bestFit="1" customWidth="1"/>
    <col min="8702" max="8702" width="1.28515625" customWidth="1"/>
    <col min="8703" max="8703" width="7.85546875" bestFit="1" customWidth="1"/>
    <col min="8704" max="8704" width="6.28515625" bestFit="1" customWidth="1"/>
    <col min="8705" max="8705" width="3.5703125" customWidth="1"/>
    <col min="8706" max="8706" width="4.28515625" customWidth="1"/>
    <col min="8707" max="8707" width="3.140625" customWidth="1"/>
    <col min="8708" max="8708" width="8.5703125" bestFit="1" customWidth="1"/>
    <col min="8709" max="8709" width="7.5703125" bestFit="1" customWidth="1"/>
    <col min="8710" max="8710" width="2.28515625" customWidth="1"/>
    <col min="8711" max="8711" width="8.28515625" bestFit="1" customWidth="1"/>
    <col min="8712" max="8712" width="6" bestFit="1" customWidth="1"/>
    <col min="8956" max="8956" width="7.85546875" bestFit="1" customWidth="1"/>
    <col min="8957" max="8957" width="7.5703125" bestFit="1" customWidth="1"/>
    <col min="8958" max="8958" width="1.28515625" customWidth="1"/>
    <col min="8959" max="8959" width="7.85546875" bestFit="1" customWidth="1"/>
    <col min="8960" max="8960" width="6.28515625" bestFit="1" customWidth="1"/>
    <col min="8961" max="8961" width="3.5703125" customWidth="1"/>
    <col min="8962" max="8962" width="4.28515625" customWidth="1"/>
    <col min="8963" max="8963" width="3.140625" customWidth="1"/>
    <col min="8964" max="8964" width="8.5703125" bestFit="1" customWidth="1"/>
    <col min="8965" max="8965" width="7.5703125" bestFit="1" customWidth="1"/>
    <col min="8966" max="8966" width="2.28515625" customWidth="1"/>
    <col min="8967" max="8967" width="8.28515625" bestFit="1" customWidth="1"/>
    <col min="8968" max="8968" width="6" bestFit="1" customWidth="1"/>
    <col min="9212" max="9212" width="7.85546875" bestFit="1" customWidth="1"/>
    <col min="9213" max="9213" width="7.5703125" bestFit="1" customWidth="1"/>
    <col min="9214" max="9214" width="1.28515625" customWidth="1"/>
    <col min="9215" max="9215" width="7.85546875" bestFit="1" customWidth="1"/>
    <col min="9216" max="9216" width="6.28515625" bestFit="1" customWidth="1"/>
    <col min="9217" max="9217" width="3.5703125" customWidth="1"/>
    <col min="9218" max="9218" width="4.28515625" customWidth="1"/>
    <col min="9219" max="9219" width="3.140625" customWidth="1"/>
    <col min="9220" max="9220" width="8.5703125" bestFit="1" customWidth="1"/>
    <col min="9221" max="9221" width="7.5703125" bestFit="1" customWidth="1"/>
    <col min="9222" max="9222" width="2.28515625" customWidth="1"/>
    <col min="9223" max="9223" width="8.28515625" bestFit="1" customWidth="1"/>
    <col min="9224" max="9224" width="6" bestFit="1" customWidth="1"/>
    <col min="9468" max="9468" width="7.85546875" bestFit="1" customWidth="1"/>
    <col min="9469" max="9469" width="7.5703125" bestFit="1" customWidth="1"/>
    <col min="9470" max="9470" width="1.28515625" customWidth="1"/>
    <col min="9471" max="9471" width="7.85546875" bestFit="1" customWidth="1"/>
    <col min="9472" max="9472" width="6.28515625" bestFit="1" customWidth="1"/>
    <col min="9473" max="9473" width="3.5703125" customWidth="1"/>
    <col min="9474" max="9474" width="4.28515625" customWidth="1"/>
    <col min="9475" max="9475" width="3.140625" customWidth="1"/>
    <col min="9476" max="9476" width="8.5703125" bestFit="1" customWidth="1"/>
    <col min="9477" max="9477" width="7.5703125" bestFit="1" customWidth="1"/>
    <col min="9478" max="9478" width="2.28515625" customWidth="1"/>
    <col min="9479" max="9479" width="8.28515625" bestFit="1" customWidth="1"/>
    <col min="9480" max="9480" width="6" bestFit="1" customWidth="1"/>
    <col min="9724" max="9724" width="7.85546875" bestFit="1" customWidth="1"/>
    <col min="9725" max="9725" width="7.5703125" bestFit="1" customWidth="1"/>
    <col min="9726" max="9726" width="1.28515625" customWidth="1"/>
    <col min="9727" max="9727" width="7.85546875" bestFit="1" customWidth="1"/>
    <col min="9728" max="9728" width="6.28515625" bestFit="1" customWidth="1"/>
    <col min="9729" max="9729" width="3.5703125" customWidth="1"/>
    <col min="9730" max="9730" width="4.28515625" customWidth="1"/>
    <col min="9731" max="9731" width="3.140625" customWidth="1"/>
    <col min="9732" max="9732" width="8.5703125" bestFit="1" customWidth="1"/>
    <col min="9733" max="9733" width="7.5703125" bestFit="1" customWidth="1"/>
    <col min="9734" max="9734" width="2.28515625" customWidth="1"/>
    <col min="9735" max="9735" width="8.28515625" bestFit="1" customWidth="1"/>
    <col min="9736" max="9736" width="6" bestFit="1" customWidth="1"/>
    <col min="9980" max="9980" width="7.85546875" bestFit="1" customWidth="1"/>
    <col min="9981" max="9981" width="7.5703125" bestFit="1" customWidth="1"/>
    <col min="9982" max="9982" width="1.28515625" customWidth="1"/>
    <col min="9983" max="9983" width="7.85546875" bestFit="1" customWidth="1"/>
    <col min="9984" max="9984" width="6.28515625" bestFit="1" customWidth="1"/>
    <col min="9985" max="9985" width="3.5703125" customWidth="1"/>
    <col min="9986" max="9986" width="4.28515625" customWidth="1"/>
    <col min="9987" max="9987" width="3.140625" customWidth="1"/>
    <col min="9988" max="9988" width="8.5703125" bestFit="1" customWidth="1"/>
    <col min="9989" max="9989" width="7.5703125" bestFit="1" customWidth="1"/>
    <col min="9990" max="9990" width="2.28515625" customWidth="1"/>
    <col min="9991" max="9991" width="8.28515625" bestFit="1" customWidth="1"/>
    <col min="9992" max="9992" width="6" bestFit="1" customWidth="1"/>
    <col min="10236" max="10236" width="7.85546875" bestFit="1" customWidth="1"/>
    <col min="10237" max="10237" width="7.5703125" bestFit="1" customWidth="1"/>
    <col min="10238" max="10238" width="1.28515625" customWidth="1"/>
    <col min="10239" max="10239" width="7.85546875" bestFit="1" customWidth="1"/>
    <col min="10240" max="10240" width="6.28515625" bestFit="1" customWidth="1"/>
    <col min="10241" max="10241" width="3.5703125" customWidth="1"/>
    <col min="10242" max="10242" width="4.28515625" customWidth="1"/>
    <col min="10243" max="10243" width="3.140625" customWidth="1"/>
    <col min="10244" max="10244" width="8.5703125" bestFit="1" customWidth="1"/>
    <col min="10245" max="10245" width="7.5703125" bestFit="1" customWidth="1"/>
    <col min="10246" max="10246" width="2.28515625" customWidth="1"/>
    <col min="10247" max="10247" width="8.28515625" bestFit="1" customWidth="1"/>
    <col min="10248" max="10248" width="6" bestFit="1" customWidth="1"/>
    <col min="10492" max="10492" width="7.85546875" bestFit="1" customWidth="1"/>
    <col min="10493" max="10493" width="7.5703125" bestFit="1" customWidth="1"/>
    <col min="10494" max="10494" width="1.28515625" customWidth="1"/>
    <col min="10495" max="10495" width="7.85546875" bestFit="1" customWidth="1"/>
    <col min="10496" max="10496" width="6.28515625" bestFit="1" customWidth="1"/>
    <col min="10497" max="10497" width="3.5703125" customWidth="1"/>
    <col min="10498" max="10498" width="4.28515625" customWidth="1"/>
    <col min="10499" max="10499" width="3.140625" customWidth="1"/>
    <col min="10500" max="10500" width="8.5703125" bestFit="1" customWidth="1"/>
    <col min="10501" max="10501" width="7.5703125" bestFit="1" customWidth="1"/>
    <col min="10502" max="10502" width="2.28515625" customWidth="1"/>
    <col min="10503" max="10503" width="8.28515625" bestFit="1" customWidth="1"/>
    <col min="10504" max="10504" width="6" bestFit="1" customWidth="1"/>
    <col min="10748" max="10748" width="7.85546875" bestFit="1" customWidth="1"/>
    <col min="10749" max="10749" width="7.5703125" bestFit="1" customWidth="1"/>
    <col min="10750" max="10750" width="1.28515625" customWidth="1"/>
    <col min="10751" max="10751" width="7.85546875" bestFit="1" customWidth="1"/>
    <col min="10752" max="10752" width="6.28515625" bestFit="1" customWidth="1"/>
    <col min="10753" max="10753" width="3.5703125" customWidth="1"/>
    <col min="10754" max="10754" width="4.28515625" customWidth="1"/>
    <col min="10755" max="10755" width="3.140625" customWidth="1"/>
    <col min="10756" max="10756" width="8.5703125" bestFit="1" customWidth="1"/>
    <col min="10757" max="10757" width="7.5703125" bestFit="1" customWidth="1"/>
    <col min="10758" max="10758" width="2.28515625" customWidth="1"/>
    <col min="10759" max="10759" width="8.28515625" bestFit="1" customWidth="1"/>
    <col min="10760" max="10760" width="6" bestFit="1" customWidth="1"/>
    <col min="11004" max="11004" width="7.85546875" bestFit="1" customWidth="1"/>
    <col min="11005" max="11005" width="7.5703125" bestFit="1" customWidth="1"/>
    <col min="11006" max="11006" width="1.28515625" customWidth="1"/>
    <col min="11007" max="11007" width="7.85546875" bestFit="1" customWidth="1"/>
    <col min="11008" max="11008" width="6.28515625" bestFit="1" customWidth="1"/>
    <col min="11009" max="11009" width="3.5703125" customWidth="1"/>
    <col min="11010" max="11010" width="4.28515625" customWidth="1"/>
    <col min="11011" max="11011" width="3.140625" customWidth="1"/>
    <col min="11012" max="11012" width="8.5703125" bestFit="1" customWidth="1"/>
    <col min="11013" max="11013" width="7.5703125" bestFit="1" customWidth="1"/>
    <col min="11014" max="11014" width="2.28515625" customWidth="1"/>
    <col min="11015" max="11015" width="8.28515625" bestFit="1" customWidth="1"/>
    <col min="11016" max="11016" width="6" bestFit="1" customWidth="1"/>
    <col min="11260" max="11260" width="7.85546875" bestFit="1" customWidth="1"/>
    <col min="11261" max="11261" width="7.5703125" bestFit="1" customWidth="1"/>
    <col min="11262" max="11262" width="1.28515625" customWidth="1"/>
    <col min="11263" max="11263" width="7.85546875" bestFit="1" customWidth="1"/>
    <col min="11264" max="11264" width="6.28515625" bestFit="1" customWidth="1"/>
    <col min="11265" max="11265" width="3.5703125" customWidth="1"/>
    <col min="11266" max="11266" width="4.28515625" customWidth="1"/>
    <col min="11267" max="11267" width="3.140625" customWidth="1"/>
    <col min="11268" max="11268" width="8.5703125" bestFit="1" customWidth="1"/>
    <col min="11269" max="11269" width="7.5703125" bestFit="1" customWidth="1"/>
    <col min="11270" max="11270" width="2.28515625" customWidth="1"/>
    <col min="11271" max="11271" width="8.28515625" bestFit="1" customWidth="1"/>
    <col min="11272" max="11272" width="6" bestFit="1" customWidth="1"/>
    <col min="11516" max="11516" width="7.85546875" bestFit="1" customWidth="1"/>
    <col min="11517" max="11517" width="7.5703125" bestFit="1" customWidth="1"/>
    <col min="11518" max="11518" width="1.28515625" customWidth="1"/>
    <col min="11519" max="11519" width="7.85546875" bestFit="1" customWidth="1"/>
    <col min="11520" max="11520" width="6.28515625" bestFit="1" customWidth="1"/>
    <col min="11521" max="11521" width="3.5703125" customWidth="1"/>
    <col min="11522" max="11522" width="4.28515625" customWidth="1"/>
    <col min="11523" max="11523" width="3.140625" customWidth="1"/>
    <col min="11524" max="11524" width="8.5703125" bestFit="1" customWidth="1"/>
    <col min="11525" max="11525" width="7.5703125" bestFit="1" customWidth="1"/>
    <col min="11526" max="11526" width="2.28515625" customWidth="1"/>
    <col min="11527" max="11527" width="8.28515625" bestFit="1" customWidth="1"/>
    <col min="11528" max="11528" width="6" bestFit="1" customWidth="1"/>
    <col min="11772" max="11772" width="7.85546875" bestFit="1" customWidth="1"/>
    <col min="11773" max="11773" width="7.5703125" bestFit="1" customWidth="1"/>
    <col min="11774" max="11774" width="1.28515625" customWidth="1"/>
    <col min="11775" max="11775" width="7.85546875" bestFit="1" customWidth="1"/>
    <col min="11776" max="11776" width="6.28515625" bestFit="1" customWidth="1"/>
    <col min="11777" max="11777" width="3.5703125" customWidth="1"/>
    <col min="11778" max="11778" width="4.28515625" customWidth="1"/>
    <col min="11779" max="11779" width="3.140625" customWidth="1"/>
    <col min="11780" max="11780" width="8.5703125" bestFit="1" customWidth="1"/>
    <col min="11781" max="11781" width="7.5703125" bestFit="1" customWidth="1"/>
    <col min="11782" max="11782" width="2.28515625" customWidth="1"/>
    <col min="11783" max="11783" width="8.28515625" bestFit="1" customWidth="1"/>
    <col min="11784" max="11784" width="6" bestFit="1" customWidth="1"/>
    <col min="12028" max="12028" width="7.85546875" bestFit="1" customWidth="1"/>
    <col min="12029" max="12029" width="7.5703125" bestFit="1" customWidth="1"/>
    <col min="12030" max="12030" width="1.28515625" customWidth="1"/>
    <col min="12031" max="12031" width="7.85546875" bestFit="1" customWidth="1"/>
    <col min="12032" max="12032" width="6.28515625" bestFit="1" customWidth="1"/>
    <col min="12033" max="12033" width="3.5703125" customWidth="1"/>
    <col min="12034" max="12034" width="4.28515625" customWidth="1"/>
    <col min="12035" max="12035" width="3.140625" customWidth="1"/>
    <col min="12036" max="12036" width="8.5703125" bestFit="1" customWidth="1"/>
    <col min="12037" max="12037" width="7.5703125" bestFit="1" customWidth="1"/>
    <col min="12038" max="12038" width="2.28515625" customWidth="1"/>
    <col min="12039" max="12039" width="8.28515625" bestFit="1" customWidth="1"/>
    <col min="12040" max="12040" width="6" bestFit="1" customWidth="1"/>
    <col min="12284" max="12284" width="7.85546875" bestFit="1" customWidth="1"/>
    <col min="12285" max="12285" width="7.5703125" bestFit="1" customWidth="1"/>
    <col min="12286" max="12286" width="1.28515625" customWidth="1"/>
    <col min="12287" max="12287" width="7.85546875" bestFit="1" customWidth="1"/>
    <col min="12288" max="12288" width="6.28515625" bestFit="1" customWidth="1"/>
    <col min="12289" max="12289" width="3.5703125" customWidth="1"/>
    <col min="12290" max="12290" width="4.28515625" customWidth="1"/>
    <col min="12291" max="12291" width="3.140625" customWidth="1"/>
    <col min="12292" max="12292" width="8.5703125" bestFit="1" customWidth="1"/>
    <col min="12293" max="12293" width="7.5703125" bestFit="1" customWidth="1"/>
    <col min="12294" max="12294" width="2.28515625" customWidth="1"/>
    <col min="12295" max="12295" width="8.28515625" bestFit="1" customWidth="1"/>
    <col min="12296" max="12296" width="6" bestFit="1" customWidth="1"/>
    <col min="12540" max="12540" width="7.85546875" bestFit="1" customWidth="1"/>
    <col min="12541" max="12541" width="7.5703125" bestFit="1" customWidth="1"/>
    <col min="12542" max="12542" width="1.28515625" customWidth="1"/>
    <col min="12543" max="12543" width="7.85546875" bestFit="1" customWidth="1"/>
    <col min="12544" max="12544" width="6.28515625" bestFit="1" customWidth="1"/>
    <col min="12545" max="12545" width="3.5703125" customWidth="1"/>
    <col min="12546" max="12546" width="4.28515625" customWidth="1"/>
    <col min="12547" max="12547" width="3.140625" customWidth="1"/>
    <col min="12548" max="12548" width="8.5703125" bestFit="1" customWidth="1"/>
    <col min="12549" max="12549" width="7.5703125" bestFit="1" customWidth="1"/>
    <col min="12550" max="12550" width="2.28515625" customWidth="1"/>
    <col min="12551" max="12551" width="8.28515625" bestFit="1" customWidth="1"/>
    <col min="12552" max="12552" width="6" bestFit="1" customWidth="1"/>
    <col min="12796" max="12796" width="7.85546875" bestFit="1" customWidth="1"/>
    <col min="12797" max="12797" width="7.5703125" bestFit="1" customWidth="1"/>
    <col min="12798" max="12798" width="1.28515625" customWidth="1"/>
    <col min="12799" max="12799" width="7.85546875" bestFit="1" customWidth="1"/>
    <col min="12800" max="12800" width="6.28515625" bestFit="1" customWidth="1"/>
    <col min="12801" max="12801" width="3.5703125" customWidth="1"/>
    <col min="12802" max="12802" width="4.28515625" customWidth="1"/>
    <col min="12803" max="12803" width="3.140625" customWidth="1"/>
    <col min="12804" max="12804" width="8.5703125" bestFit="1" customWidth="1"/>
    <col min="12805" max="12805" width="7.5703125" bestFit="1" customWidth="1"/>
    <col min="12806" max="12806" width="2.28515625" customWidth="1"/>
    <col min="12807" max="12807" width="8.28515625" bestFit="1" customWidth="1"/>
    <col min="12808" max="12808" width="6" bestFit="1" customWidth="1"/>
    <col min="13052" max="13052" width="7.85546875" bestFit="1" customWidth="1"/>
    <col min="13053" max="13053" width="7.5703125" bestFit="1" customWidth="1"/>
    <col min="13054" max="13054" width="1.28515625" customWidth="1"/>
    <col min="13055" max="13055" width="7.85546875" bestFit="1" customWidth="1"/>
    <col min="13056" max="13056" width="6.28515625" bestFit="1" customWidth="1"/>
    <col min="13057" max="13057" width="3.5703125" customWidth="1"/>
    <col min="13058" max="13058" width="4.28515625" customWidth="1"/>
    <col min="13059" max="13059" width="3.140625" customWidth="1"/>
    <col min="13060" max="13060" width="8.5703125" bestFit="1" customWidth="1"/>
    <col min="13061" max="13061" width="7.5703125" bestFit="1" customWidth="1"/>
    <col min="13062" max="13062" width="2.28515625" customWidth="1"/>
    <col min="13063" max="13063" width="8.28515625" bestFit="1" customWidth="1"/>
    <col min="13064" max="13064" width="6" bestFit="1" customWidth="1"/>
    <col min="13308" max="13308" width="7.85546875" bestFit="1" customWidth="1"/>
    <col min="13309" max="13309" width="7.5703125" bestFit="1" customWidth="1"/>
    <col min="13310" max="13310" width="1.28515625" customWidth="1"/>
    <col min="13311" max="13311" width="7.85546875" bestFit="1" customWidth="1"/>
    <col min="13312" max="13312" width="6.28515625" bestFit="1" customWidth="1"/>
    <col min="13313" max="13313" width="3.5703125" customWidth="1"/>
    <col min="13314" max="13314" width="4.28515625" customWidth="1"/>
    <col min="13315" max="13315" width="3.140625" customWidth="1"/>
    <col min="13316" max="13316" width="8.5703125" bestFit="1" customWidth="1"/>
    <col min="13317" max="13317" width="7.5703125" bestFit="1" customWidth="1"/>
    <col min="13318" max="13318" width="2.28515625" customWidth="1"/>
    <col min="13319" max="13319" width="8.28515625" bestFit="1" customWidth="1"/>
    <col min="13320" max="13320" width="6" bestFit="1" customWidth="1"/>
    <col min="13564" max="13564" width="7.85546875" bestFit="1" customWidth="1"/>
    <col min="13565" max="13565" width="7.5703125" bestFit="1" customWidth="1"/>
    <col min="13566" max="13566" width="1.28515625" customWidth="1"/>
    <col min="13567" max="13567" width="7.85546875" bestFit="1" customWidth="1"/>
    <col min="13568" max="13568" width="6.28515625" bestFit="1" customWidth="1"/>
    <col min="13569" max="13569" width="3.5703125" customWidth="1"/>
    <col min="13570" max="13570" width="4.28515625" customWidth="1"/>
    <col min="13571" max="13571" width="3.140625" customWidth="1"/>
    <col min="13572" max="13572" width="8.5703125" bestFit="1" customWidth="1"/>
    <col min="13573" max="13573" width="7.5703125" bestFit="1" customWidth="1"/>
    <col min="13574" max="13574" width="2.28515625" customWidth="1"/>
    <col min="13575" max="13575" width="8.28515625" bestFit="1" customWidth="1"/>
    <col min="13576" max="13576" width="6" bestFit="1" customWidth="1"/>
    <col min="13820" max="13820" width="7.85546875" bestFit="1" customWidth="1"/>
    <col min="13821" max="13821" width="7.5703125" bestFit="1" customWidth="1"/>
    <col min="13822" max="13822" width="1.28515625" customWidth="1"/>
    <col min="13823" max="13823" width="7.85546875" bestFit="1" customWidth="1"/>
    <col min="13824" max="13824" width="6.28515625" bestFit="1" customWidth="1"/>
    <col min="13825" max="13825" width="3.5703125" customWidth="1"/>
    <col min="13826" max="13826" width="4.28515625" customWidth="1"/>
    <col min="13827" max="13827" width="3.140625" customWidth="1"/>
    <col min="13828" max="13828" width="8.5703125" bestFit="1" customWidth="1"/>
    <col min="13829" max="13829" width="7.5703125" bestFit="1" customWidth="1"/>
    <col min="13830" max="13830" width="2.28515625" customWidth="1"/>
    <col min="13831" max="13831" width="8.28515625" bestFit="1" customWidth="1"/>
    <col min="13832" max="13832" width="6" bestFit="1" customWidth="1"/>
    <col min="14076" max="14076" width="7.85546875" bestFit="1" customWidth="1"/>
    <col min="14077" max="14077" width="7.5703125" bestFit="1" customWidth="1"/>
    <col min="14078" max="14078" width="1.28515625" customWidth="1"/>
    <col min="14079" max="14079" width="7.85546875" bestFit="1" customWidth="1"/>
    <col min="14080" max="14080" width="6.28515625" bestFit="1" customWidth="1"/>
    <col min="14081" max="14081" width="3.5703125" customWidth="1"/>
    <col min="14082" max="14082" width="4.28515625" customWidth="1"/>
    <col min="14083" max="14083" width="3.140625" customWidth="1"/>
    <col min="14084" max="14084" width="8.5703125" bestFit="1" customWidth="1"/>
    <col min="14085" max="14085" width="7.5703125" bestFit="1" customWidth="1"/>
    <col min="14086" max="14086" width="2.28515625" customWidth="1"/>
    <col min="14087" max="14087" width="8.28515625" bestFit="1" customWidth="1"/>
    <col min="14088" max="14088" width="6" bestFit="1" customWidth="1"/>
    <col min="14332" max="14332" width="7.85546875" bestFit="1" customWidth="1"/>
    <col min="14333" max="14333" width="7.5703125" bestFit="1" customWidth="1"/>
    <col min="14334" max="14334" width="1.28515625" customWidth="1"/>
    <col min="14335" max="14335" width="7.85546875" bestFit="1" customWidth="1"/>
    <col min="14336" max="14336" width="6.28515625" bestFit="1" customWidth="1"/>
    <col min="14337" max="14337" width="3.5703125" customWidth="1"/>
    <col min="14338" max="14338" width="4.28515625" customWidth="1"/>
    <col min="14339" max="14339" width="3.140625" customWidth="1"/>
    <col min="14340" max="14340" width="8.5703125" bestFit="1" customWidth="1"/>
    <col min="14341" max="14341" width="7.5703125" bestFit="1" customWidth="1"/>
    <col min="14342" max="14342" width="2.28515625" customWidth="1"/>
    <col min="14343" max="14343" width="8.28515625" bestFit="1" customWidth="1"/>
    <col min="14344" max="14344" width="6" bestFit="1" customWidth="1"/>
    <col min="14588" max="14588" width="7.85546875" bestFit="1" customWidth="1"/>
    <col min="14589" max="14589" width="7.5703125" bestFit="1" customWidth="1"/>
    <col min="14590" max="14590" width="1.28515625" customWidth="1"/>
    <col min="14591" max="14591" width="7.85546875" bestFit="1" customWidth="1"/>
    <col min="14592" max="14592" width="6.28515625" bestFit="1" customWidth="1"/>
    <col min="14593" max="14593" width="3.5703125" customWidth="1"/>
    <col min="14594" max="14594" width="4.28515625" customWidth="1"/>
    <col min="14595" max="14595" width="3.140625" customWidth="1"/>
    <col min="14596" max="14596" width="8.5703125" bestFit="1" customWidth="1"/>
    <col min="14597" max="14597" width="7.5703125" bestFit="1" customWidth="1"/>
    <col min="14598" max="14598" width="2.28515625" customWidth="1"/>
    <col min="14599" max="14599" width="8.28515625" bestFit="1" customWidth="1"/>
    <col min="14600" max="14600" width="6" bestFit="1" customWidth="1"/>
    <col min="14844" max="14844" width="7.85546875" bestFit="1" customWidth="1"/>
    <col min="14845" max="14845" width="7.5703125" bestFit="1" customWidth="1"/>
    <col min="14846" max="14846" width="1.28515625" customWidth="1"/>
    <col min="14847" max="14847" width="7.85546875" bestFit="1" customWidth="1"/>
    <col min="14848" max="14848" width="6.28515625" bestFit="1" customWidth="1"/>
    <col min="14849" max="14849" width="3.5703125" customWidth="1"/>
    <col min="14850" max="14850" width="4.28515625" customWidth="1"/>
    <col min="14851" max="14851" width="3.140625" customWidth="1"/>
    <col min="14852" max="14852" width="8.5703125" bestFit="1" customWidth="1"/>
    <col min="14853" max="14853" width="7.5703125" bestFit="1" customWidth="1"/>
    <col min="14854" max="14854" width="2.28515625" customWidth="1"/>
    <col min="14855" max="14855" width="8.28515625" bestFit="1" customWidth="1"/>
    <col min="14856" max="14856" width="6" bestFit="1" customWidth="1"/>
    <col min="15100" max="15100" width="7.85546875" bestFit="1" customWidth="1"/>
    <col min="15101" max="15101" width="7.5703125" bestFit="1" customWidth="1"/>
    <col min="15102" max="15102" width="1.28515625" customWidth="1"/>
    <col min="15103" max="15103" width="7.85546875" bestFit="1" customWidth="1"/>
    <col min="15104" max="15104" width="6.28515625" bestFit="1" customWidth="1"/>
    <col min="15105" max="15105" width="3.5703125" customWidth="1"/>
    <col min="15106" max="15106" width="4.28515625" customWidth="1"/>
    <col min="15107" max="15107" width="3.140625" customWidth="1"/>
    <col min="15108" max="15108" width="8.5703125" bestFit="1" customWidth="1"/>
    <col min="15109" max="15109" width="7.5703125" bestFit="1" customWidth="1"/>
    <col min="15110" max="15110" width="2.28515625" customWidth="1"/>
    <col min="15111" max="15111" width="8.28515625" bestFit="1" customWidth="1"/>
    <col min="15112" max="15112" width="6" bestFit="1" customWidth="1"/>
    <col min="15356" max="15356" width="7.85546875" bestFit="1" customWidth="1"/>
    <col min="15357" max="15357" width="7.5703125" bestFit="1" customWidth="1"/>
    <col min="15358" max="15358" width="1.28515625" customWidth="1"/>
    <col min="15359" max="15359" width="7.85546875" bestFit="1" customWidth="1"/>
    <col min="15360" max="15360" width="6.28515625" bestFit="1" customWidth="1"/>
    <col min="15361" max="15361" width="3.5703125" customWidth="1"/>
    <col min="15362" max="15362" width="4.28515625" customWidth="1"/>
    <col min="15363" max="15363" width="3.140625" customWidth="1"/>
    <col min="15364" max="15364" width="8.5703125" bestFit="1" customWidth="1"/>
    <col min="15365" max="15365" width="7.5703125" bestFit="1" customWidth="1"/>
    <col min="15366" max="15366" width="2.28515625" customWidth="1"/>
    <col min="15367" max="15367" width="8.28515625" bestFit="1" customWidth="1"/>
    <col min="15368" max="15368" width="6" bestFit="1" customWidth="1"/>
    <col min="15612" max="15612" width="7.85546875" bestFit="1" customWidth="1"/>
    <col min="15613" max="15613" width="7.5703125" bestFit="1" customWidth="1"/>
    <col min="15614" max="15614" width="1.28515625" customWidth="1"/>
    <col min="15615" max="15615" width="7.85546875" bestFit="1" customWidth="1"/>
    <col min="15616" max="15616" width="6.28515625" bestFit="1" customWidth="1"/>
    <col min="15617" max="15617" width="3.5703125" customWidth="1"/>
    <col min="15618" max="15618" width="4.28515625" customWidth="1"/>
    <col min="15619" max="15619" width="3.140625" customWidth="1"/>
    <col min="15620" max="15620" width="8.5703125" bestFit="1" customWidth="1"/>
    <col min="15621" max="15621" width="7.5703125" bestFit="1" customWidth="1"/>
    <col min="15622" max="15622" width="2.28515625" customWidth="1"/>
    <col min="15623" max="15623" width="8.28515625" bestFit="1" customWidth="1"/>
    <col min="15624" max="15624" width="6" bestFit="1" customWidth="1"/>
    <col min="15868" max="15868" width="7.85546875" bestFit="1" customWidth="1"/>
    <col min="15869" max="15869" width="7.5703125" bestFit="1" customWidth="1"/>
    <col min="15870" max="15870" width="1.28515625" customWidth="1"/>
    <col min="15871" max="15871" width="7.85546875" bestFit="1" customWidth="1"/>
    <col min="15872" max="15872" width="6.28515625" bestFit="1" customWidth="1"/>
    <col min="15873" max="15873" width="3.5703125" customWidth="1"/>
    <col min="15874" max="15874" width="4.28515625" customWidth="1"/>
    <col min="15875" max="15875" width="3.140625" customWidth="1"/>
    <col min="15876" max="15876" width="8.5703125" bestFit="1" customWidth="1"/>
    <col min="15877" max="15877" width="7.5703125" bestFit="1" customWidth="1"/>
    <col min="15878" max="15878" width="2.28515625" customWidth="1"/>
    <col min="15879" max="15879" width="8.28515625" bestFit="1" customWidth="1"/>
    <col min="15880" max="15880" width="6" bestFit="1" customWidth="1"/>
    <col min="16124" max="16124" width="7.85546875" bestFit="1" customWidth="1"/>
    <col min="16125" max="16125" width="7.5703125" bestFit="1" customWidth="1"/>
    <col min="16126" max="16126" width="1.28515625" customWidth="1"/>
    <col min="16127" max="16127" width="7.85546875" bestFit="1" customWidth="1"/>
    <col min="16128" max="16128" width="6.28515625" bestFit="1" customWidth="1"/>
    <col min="16129" max="16129" width="3.5703125" customWidth="1"/>
    <col min="16130" max="16130" width="4.28515625" customWidth="1"/>
    <col min="16131" max="16131" width="3.140625" customWidth="1"/>
    <col min="16132" max="16132" width="8.5703125" bestFit="1" customWidth="1"/>
    <col min="16133" max="16133" width="7.5703125" bestFit="1" customWidth="1"/>
    <col min="16134" max="16134" width="2.28515625" customWidth="1"/>
    <col min="16135" max="16135" width="8.28515625" bestFit="1" customWidth="1"/>
    <col min="16136" max="16136" width="6" bestFit="1" customWidth="1"/>
  </cols>
  <sheetData>
    <row r="1" spans="1:5" ht="18.75" customHeight="1" x14ac:dyDescent="0.25">
      <c r="A1" s="1009" t="s">
        <v>709</v>
      </c>
      <c r="B1" s="1010"/>
      <c r="C1" s="1010"/>
      <c r="D1" s="1010"/>
      <c r="E1" s="1010"/>
    </row>
    <row r="2" spans="1:5" x14ac:dyDescent="0.25">
      <c r="A2" t="s">
        <v>710</v>
      </c>
      <c r="B2" t="s">
        <v>711</v>
      </c>
      <c r="D2" t="s">
        <v>710</v>
      </c>
      <c r="E2" t="s">
        <v>712</v>
      </c>
    </row>
    <row r="3" spans="1:5" x14ac:dyDescent="0.25">
      <c r="A3">
        <v>600</v>
      </c>
      <c r="B3">
        <v>1725</v>
      </c>
      <c r="D3">
        <v>1</v>
      </c>
      <c r="E3">
        <v>1824</v>
      </c>
    </row>
    <row r="4" spans="1:5" x14ac:dyDescent="0.25">
      <c r="A4" t="s">
        <v>21</v>
      </c>
      <c r="B4">
        <v>1620</v>
      </c>
      <c r="D4">
        <v>2</v>
      </c>
      <c r="E4">
        <v>504</v>
      </c>
    </row>
    <row r="5" spans="1:5" x14ac:dyDescent="0.25">
      <c r="A5" t="s">
        <v>23</v>
      </c>
      <c r="B5">
        <v>4008</v>
      </c>
      <c r="D5">
        <v>3</v>
      </c>
      <c r="E5">
        <v>360</v>
      </c>
    </row>
    <row r="6" spans="1:5" x14ac:dyDescent="0.25">
      <c r="A6" t="s">
        <v>25</v>
      </c>
      <c r="B6">
        <v>4872</v>
      </c>
      <c r="D6">
        <v>4</v>
      </c>
      <c r="E6">
        <v>24</v>
      </c>
    </row>
    <row r="7" spans="1:5" x14ac:dyDescent="0.25">
      <c r="A7" t="s">
        <v>153</v>
      </c>
      <c r="B7">
        <v>528</v>
      </c>
      <c r="D7">
        <v>5</v>
      </c>
      <c r="E7">
        <v>48</v>
      </c>
    </row>
    <row r="8" spans="1:5" x14ac:dyDescent="0.25">
      <c r="A8" t="s">
        <v>27</v>
      </c>
      <c r="B8">
        <v>672</v>
      </c>
      <c r="D8">
        <v>8</v>
      </c>
      <c r="E8">
        <v>48</v>
      </c>
    </row>
    <row r="9" spans="1:5" x14ac:dyDescent="0.25">
      <c r="A9" t="s">
        <v>29</v>
      </c>
      <c r="B9">
        <v>1632</v>
      </c>
      <c r="D9">
        <v>11</v>
      </c>
      <c r="E9">
        <v>144</v>
      </c>
    </row>
    <row r="10" spans="1:5" x14ac:dyDescent="0.25">
      <c r="A10" t="s">
        <v>356</v>
      </c>
      <c r="B10">
        <v>5688</v>
      </c>
      <c r="D10">
        <v>14</v>
      </c>
      <c r="E10">
        <v>984</v>
      </c>
    </row>
    <row r="11" spans="1:5" x14ac:dyDescent="0.25">
      <c r="A11" t="s">
        <v>357</v>
      </c>
      <c r="B11">
        <v>960</v>
      </c>
      <c r="D11">
        <v>17</v>
      </c>
      <c r="E11">
        <v>96</v>
      </c>
    </row>
    <row r="12" spans="1:5" x14ac:dyDescent="0.25">
      <c r="A12" t="s">
        <v>31</v>
      </c>
      <c r="B12">
        <v>804</v>
      </c>
      <c r="D12">
        <v>35</v>
      </c>
      <c r="E12">
        <v>24</v>
      </c>
    </row>
    <row r="13" spans="1:5" x14ac:dyDescent="0.25">
      <c r="A13" t="s">
        <v>361</v>
      </c>
      <c r="B13">
        <v>540</v>
      </c>
      <c r="D13">
        <v>36</v>
      </c>
      <c r="E13">
        <v>108</v>
      </c>
    </row>
    <row r="14" spans="1:5" x14ac:dyDescent="0.25">
      <c r="A14" t="s">
        <v>362</v>
      </c>
      <c r="B14">
        <v>636</v>
      </c>
      <c r="D14">
        <v>37</v>
      </c>
      <c r="E14">
        <v>96</v>
      </c>
    </row>
    <row r="15" spans="1:5" x14ac:dyDescent="0.25">
      <c r="A15" t="s">
        <v>363</v>
      </c>
      <c r="B15">
        <v>312</v>
      </c>
      <c r="D15">
        <v>38</v>
      </c>
      <c r="E15">
        <v>96</v>
      </c>
    </row>
    <row r="16" spans="1:5" x14ac:dyDescent="0.25">
      <c r="A16" t="s">
        <v>161</v>
      </c>
      <c r="B16">
        <v>24</v>
      </c>
      <c r="D16">
        <v>40</v>
      </c>
      <c r="E16">
        <v>36</v>
      </c>
    </row>
    <row r="17" spans="1:5" x14ac:dyDescent="0.25">
      <c r="A17" t="s">
        <v>163</v>
      </c>
      <c r="B17">
        <v>24</v>
      </c>
      <c r="D17">
        <v>43</v>
      </c>
      <c r="E17">
        <v>168</v>
      </c>
    </row>
    <row r="18" spans="1:5" x14ac:dyDescent="0.25">
      <c r="A18" t="s">
        <v>167</v>
      </c>
      <c r="B18">
        <v>24</v>
      </c>
      <c r="D18">
        <v>51</v>
      </c>
      <c r="E18">
        <v>108</v>
      </c>
    </row>
    <row r="19" spans="1:5" x14ac:dyDescent="0.25">
      <c r="A19" t="s">
        <v>173</v>
      </c>
      <c r="B19">
        <v>636</v>
      </c>
      <c r="D19">
        <v>64</v>
      </c>
      <c r="E19">
        <v>6</v>
      </c>
    </row>
    <row r="20" spans="1:5" x14ac:dyDescent="0.25">
      <c r="A20" t="s">
        <v>177</v>
      </c>
      <c r="B20">
        <v>288</v>
      </c>
      <c r="D20">
        <v>600</v>
      </c>
      <c r="E20">
        <v>1465</v>
      </c>
    </row>
    <row r="21" spans="1:5" x14ac:dyDescent="0.25">
      <c r="A21" t="s">
        <v>181</v>
      </c>
      <c r="B21">
        <v>1836</v>
      </c>
      <c r="D21" t="s">
        <v>21</v>
      </c>
      <c r="E21">
        <v>1656</v>
      </c>
    </row>
    <row r="22" spans="1:5" x14ac:dyDescent="0.25">
      <c r="A22" t="s">
        <v>183</v>
      </c>
      <c r="B22">
        <v>36</v>
      </c>
      <c r="D22" t="s">
        <v>23</v>
      </c>
      <c r="E22">
        <v>4104</v>
      </c>
    </row>
    <row r="23" spans="1:5" x14ac:dyDescent="0.25">
      <c r="A23" t="s">
        <v>33</v>
      </c>
      <c r="B23">
        <v>108</v>
      </c>
      <c r="D23" t="s">
        <v>25</v>
      </c>
      <c r="E23">
        <v>4680</v>
      </c>
    </row>
    <row r="24" spans="1:5" x14ac:dyDescent="0.25">
      <c r="A24" t="s">
        <v>377</v>
      </c>
      <c r="B24">
        <v>42</v>
      </c>
      <c r="D24" t="s">
        <v>153</v>
      </c>
      <c r="E24">
        <v>48</v>
      </c>
    </row>
    <row r="25" spans="1:5" x14ac:dyDescent="0.25">
      <c r="A25" t="s">
        <v>228</v>
      </c>
      <c r="B25">
        <v>56</v>
      </c>
      <c r="D25" t="s">
        <v>27</v>
      </c>
      <c r="E25">
        <v>288</v>
      </c>
    </row>
    <row r="26" spans="1:5" x14ac:dyDescent="0.25">
      <c r="A26" t="s">
        <v>383</v>
      </c>
      <c r="B26">
        <v>12</v>
      </c>
      <c r="D26" t="s">
        <v>29</v>
      </c>
      <c r="E26">
        <v>1512</v>
      </c>
    </row>
    <row r="27" spans="1:5" x14ac:dyDescent="0.25">
      <c r="A27" t="s">
        <v>713</v>
      </c>
      <c r="B27">
        <v>2892</v>
      </c>
      <c r="D27" t="s">
        <v>714</v>
      </c>
      <c r="E27">
        <v>480</v>
      </c>
    </row>
    <row r="28" spans="1:5" x14ac:dyDescent="0.25">
      <c r="A28" t="s">
        <v>384</v>
      </c>
      <c r="B28">
        <v>72</v>
      </c>
      <c r="D28" t="s">
        <v>356</v>
      </c>
      <c r="E28">
        <v>7128</v>
      </c>
    </row>
    <row r="29" spans="1:5" x14ac:dyDescent="0.25">
      <c r="A29" t="s">
        <v>385</v>
      </c>
      <c r="B29">
        <v>36</v>
      </c>
      <c r="D29" t="s">
        <v>357</v>
      </c>
      <c r="E29">
        <v>960</v>
      </c>
    </row>
    <row r="30" spans="1:5" x14ac:dyDescent="0.25">
      <c r="A30" t="s">
        <v>386</v>
      </c>
      <c r="B30">
        <v>324</v>
      </c>
      <c r="D30" t="s">
        <v>358</v>
      </c>
      <c r="E30">
        <v>24</v>
      </c>
    </row>
    <row r="31" spans="1:5" x14ac:dyDescent="0.25">
      <c r="A31" t="s">
        <v>388</v>
      </c>
      <c r="B31">
        <v>960</v>
      </c>
      <c r="D31" t="s">
        <v>31</v>
      </c>
      <c r="E31">
        <v>1272</v>
      </c>
    </row>
    <row r="32" spans="1:5" x14ac:dyDescent="0.25">
      <c r="A32" t="s">
        <v>389</v>
      </c>
      <c r="B32">
        <v>60</v>
      </c>
      <c r="D32" t="s">
        <v>361</v>
      </c>
      <c r="E32">
        <v>384</v>
      </c>
    </row>
    <row r="33" spans="1:5" x14ac:dyDescent="0.25">
      <c r="A33" t="s">
        <v>390</v>
      </c>
      <c r="B33">
        <v>120</v>
      </c>
      <c r="D33" t="s">
        <v>362</v>
      </c>
      <c r="E33">
        <v>420</v>
      </c>
    </row>
    <row r="34" spans="1:5" x14ac:dyDescent="0.25">
      <c r="A34" t="s">
        <v>35</v>
      </c>
      <c r="B34">
        <v>1716</v>
      </c>
      <c r="D34" t="s">
        <v>363</v>
      </c>
      <c r="E34">
        <v>936</v>
      </c>
    </row>
    <row r="35" spans="1:5" x14ac:dyDescent="0.25">
      <c r="A35" t="s">
        <v>39</v>
      </c>
      <c r="B35">
        <v>6156</v>
      </c>
      <c r="D35" t="s">
        <v>365</v>
      </c>
      <c r="E35">
        <v>336</v>
      </c>
    </row>
    <row r="36" spans="1:5" x14ac:dyDescent="0.25">
      <c r="A36" t="s">
        <v>297</v>
      </c>
      <c r="B36">
        <v>72</v>
      </c>
      <c r="D36" t="s">
        <v>366</v>
      </c>
      <c r="E36">
        <v>936</v>
      </c>
    </row>
    <row r="37" spans="1:5" x14ac:dyDescent="0.25">
      <c r="A37" t="s">
        <v>230</v>
      </c>
      <c r="B37">
        <v>1020</v>
      </c>
      <c r="D37" t="s">
        <v>157</v>
      </c>
      <c r="E37">
        <v>108</v>
      </c>
    </row>
    <row r="38" spans="1:5" x14ac:dyDescent="0.25">
      <c r="A38" t="s">
        <v>402</v>
      </c>
      <c r="B38">
        <v>432</v>
      </c>
      <c r="D38" t="s">
        <v>159</v>
      </c>
      <c r="E38">
        <v>396</v>
      </c>
    </row>
    <row r="39" spans="1:5" x14ac:dyDescent="0.25">
      <c r="A39" t="s">
        <v>41</v>
      </c>
      <c r="B39">
        <v>3192</v>
      </c>
      <c r="D39" t="s">
        <v>161</v>
      </c>
      <c r="E39">
        <v>96</v>
      </c>
    </row>
    <row r="40" spans="1:5" x14ac:dyDescent="0.25">
      <c r="A40" t="s">
        <v>187</v>
      </c>
      <c r="B40">
        <v>96</v>
      </c>
      <c r="D40" t="s">
        <v>163</v>
      </c>
      <c r="E40">
        <v>48</v>
      </c>
    </row>
    <row r="41" spans="1:5" x14ac:dyDescent="0.25">
      <c r="A41" t="s">
        <v>715</v>
      </c>
      <c r="B41">
        <v>1464</v>
      </c>
      <c r="D41" t="s">
        <v>165</v>
      </c>
      <c r="E41">
        <v>120</v>
      </c>
    </row>
    <row r="42" spans="1:5" x14ac:dyDescent="0.25">
      <c r="A42" t="s">
        <v>193</v>
      </c>
      <c r="B42">
        <v>216</v>
      </c>
      <c r="D42" t="s">
        <v>167</v>
      </c>
      <c r="E42">
        <v>96</v>
      </c>
    </row>
    <row r="43" spans="1:5" x14ac:dyDescent="0.25">
      <c r="A43" t="s">
        <v>43</v>
      </c>
      <c r="B43">
        <v>336</v>
      </c>
      <c r="D43" t="s">
        <v>169</v>
      </c>
      <c r="E43">
        <v>252</v>
      </c>
    </row>
    <row r="44" spans="1:5" x14ac:dyDescent="0.25">
      <c r="A44" t="s">
        <v>195</v>
      </c>
      <c r="B44">
        <v>144</v>
      </c>
      <c r="D44" t="s">
        <v>173</v>
      </c>
      <c r="E44">
        <v>480</v>
      </c>
    </row>
    <row r="45" spans="1:5" x14ac:dyDescent="0.25">
      <c r="A45" t="s">
        <v>197</v>
      </c>
      <c r="B45">
        <v>408</v>
      </c>
      <c r="D45" t="s">
        <v>175</v>
      </c>
      <c r="E45">
        <v>36</v>
      </c>
    </row>
    <row r="46" spans="1:5" x14ac:dyDescent="0.25">
      <c r="A46" t="s">
        <v>199</v>
      </c>
      <c r="B46">
        <v>276</v>
      </c>
      <c r="D46" t="s">
        <v>177</v>
      </c>
      <c r="E46">
        <v>468</v>
      </c>
    </row>
    <row r="47" spans="1:5" x14ac:dyDescent="0.25">
      <c r="A47" t="s">
        <v>203</v>
      </c>
      <c r="B47">
        <v>264</v>
      </c>
      <c r="D47" t="s">
        <v>181</v>
      </c>
      <c r="E47">
        <v>1908</v>
      </c>
    </row>
    <row r="48" spans="1:5" x14ac:dyDescent="0.25">
      <c r="A48" t="s">
        <v>405</v>
      </c>
      <c r="B48">
        <v>864</v>
      </c>
      <c r="D48" t="s">
        <v>33</v>
      </c>
      <c r="E48">
        <v>948</v>
      </c>
    </row>
    <row r="49" spans="1:5" x14ac:dyDescent="0.25">
      <c r="A49" t="s">
        <v>716</v>
      </c>
      <c r="B49">
        <v>1200</v>
      </c>
      <c r="D49" t="s">
        <v>228</v>
      </c>
      <c r="E49">
        <v>126</v>
      </c>
    </row>
    <row r="50" spans="1:5" x14ac:dyDescent="0.25">
      <c r="A50" t="s">
        <v>717</v>
      </c>
      <c r="B50">
        <v>-1080</v>
      </c>
      <c r="D50" t="s">
        <v>713</v>
      </c>
      <c r="E50">
        <v>1284</v>
      </c>
    </row>
    <row r="51" spans="1:5" x14ac:dyDescent="0.25">
      <c r="A51" t="s">
        <v>718</v>
      </c>
      <c r="B51">
        <v>912</v>
      </c>
      <c r="D51" t="s">
        <v>384</v>
      </c>
      <c r="E51">
        <v>432</v>
      </c>
    </row>
    <row r="52" spans="1:5" x14ac:dyDescent="0.25">
      <c r="A52" t="s">
        <v>719</v>
      </c>
      <c r="B52">
        <v>36</v>
      </c>
      <c r="D52" t="s">
        <v>385</v>
      </c>
      <c r="E52">
        <v>324</v>
      </c>
    </row>
    <row r="53" spans="1:5" x14ac:dyDescent="0.25">
      <c r="A53" t="s">
        <v>720</v>
      </c>
      <c r="B53">
        <v>156</v>
      </c>
      <c r="D53" t="s">
        <v>386</v>
      </c>
      <c r="E53">
        <v>36</v>
      </c>
    </row>
    <row r="54" spans="1:5" x14ac:dyDescent="0.25">
      <c r="A54" t="s">
        <v>721</v>
      </c>
      <c r="B54">
        <v>-24</v>
      </c>
      <c r="D54" t="s">
        <v>388</v>
      </c>
      <c r="E54">
        <v>972</v>
      </c>
    </row>
    <row r="55" spans="1:5" x14ac:dyDescent="0.25">
      <c r="A55" t="s">
        <v>721</v>
      </c>
      <c r="B55">
        <v>120</v>
      </c>
      <c r="D55" t="s">
        <v>389</v>
      </c>
      <c r="E55">
        <v>288</v>
      </c>
    </row>
    <row r="56" spans="1:5" x14ac:dyDescent="0.25">
      <c r="A56" t="s">
        <v>722</v>
      </c>
      <c r="B56">
        <v>205</v>
      </c>
      <c r="D56" t="s">
        <v>723</v>
      </c>
      <c r="E56">
        <v>241</v>
      </c>
    </row>
    <row r="57" spans="1:5" x14ac:dyDescent="0.25">
      <c r="A57" t="s">
        <v>205</v>
      </c>
      <c r="B57">
        <v>216</v>
      </c>
      <c r="D57" t="s">
        <v>390</v>
      </c>
      <c r="E57">
        <v>264</v>
      </c>
    </row>
    <row r="58" spans="1:5" x14ac:dyDescent="0.25">
      <c r="A58" t="s">
        <v>207</v>
      </c>
      <c r="B58">
        <v>216</v>
      </c>
      <c r="D58" t="s">
        <v>35</v>
      </c>
      <c r="E58">
        <v>1992</v>
      </c>
    </row>
    <row r="59" spans="1:5" x14ac:dyDescent="0.25">
      <c r="A59" t="s">
        <v>209</v>
      </c>
      <c r="B59">
        <v>312</v>
      </c>
      <c r="D59" t="s">
        <v>39</v>
      </c>
      <c r="E59">
        <v>4596</v>
      </c>
    </row>
    <row r="60" spans="1:5" x14ac:dyDescent="0.25">
      <c r="A60" t="s">
        <v>211</v>
      </c>
      <c r="B60">
        <v>528</v>
      </c>
      <c r="D60" t="s">
        <v>297</v>
      </c>
      <c r="E60">
        <v>216</v>
      </c>
    </row>
    <row r="61" spans="1:5" x14ac:dyDescent="0.25">
      <c r="A61" t="s">
        <v>214</v>
      </c>
      <c r="B61">
        <v>336</v>
      </c>
      <c r="D61" t="s">
        <v>230</v>
      </c>
      <c r="E61">
        <v>744</v>
      </c>
    </row>
    <row r="62" spans="1:5" x14ac:dyDescent="0.25">
      <c r="A62" t="s">
        <v>45</v>
      </c>
      <c r="B62">
        <v>432</v>
      </c>
      <c r="D62" t="s">
        <v>41</v>
      </c>
      <c r="E62">
        <v>5664</v>
      </c>
    </row>
    <row r="63" spans="1:5" x14ac:dyDescent="0.25">
      <c r="A63" t="s">
        <v>47</v>
      </c>
      <c r="B63">
        <v>24</v>
      </c>
      <c r="D63" t="s">
        <v>187</v>
      </c>
      <c r="E63">
        <v>312</v>
      </c>
    </row>
    <row r="64" spans="1:5" x14ac:dyDescent="0.25">
      <c r="A64" t="s">
        <v>724</v>
      </c>
      <c r="B64">
        <v>1104</v>
      </c>
      <c r="D64" t="s">
        <v>715</v>
      </c>
      <c r="E64">
        <v>48</v>
      </c>
    </row>
    <row r="65" spans="1:5" x14ac:dyDescent="0.25">
      <c r="A65" t="s">
        <v>725</v>
      </c>
      <c r="B65">
        <v>432</v>
      </c>
      <c r="D65" t="s">
        <v>715</v>
      </c>
      <c r="E65">
        <v>-24</v>
      </c>
    </row>
    <row r="66" spans="1:5" x14ac:dyDescent="0.25">
      <c r="A66" t="s">
        <v>726</v>
      </c>
      <c r="B66">
        <v>876</v>
      </c>
      <c r="D66" t="s">
        <v>193</v>
      </c>
      <c r="E66">
        <v>288</v>
      </c>
    </row>
    <row r="67" spans="1:5" x14ac:dyDescent="0.25">
      <c r="A67" t="s">
        <v>727</v>
      </c>
      <c r="B67">
        <v>566</v>
      </c>
      <c r="D67" t="s">
        <v>43</v>
      </c>
      <c r="E67">
        <v>360</v>
      </c>
    </row>
    <row r="68" spans="1:5" x14ac:dyDescent="0.25">
      <c r="A68" t="s">
        <v>728</v>
      </c>
      <c r="B68">
        <v>90</v>
      </c>
      <c r="D68" t="s">
        <v>195</v>
      </c>
      <c r="E68">
        <v>264</v>
      </c>
    </row>
    <row r="69" spans="1:5" x14ac:dyDescent="0.25">
      <c r="A69" t="s">
        <v>729</v>
      </c>
      <c r="B69">
        <v>66</v>
      </c>
      <c r="D69" t="s">
        <v>197</v>
      </c>
      <c r="E69">
        <v>120</v>
      </c>
    </row>
    <row r="70" spans="1:5" x14ac:dyDescent="0.25">
      <c r="A70" t="s">
        <v>49</v>
      </c>
      <c r="B70">
        <v>24</v>
      </c>
      <c r="D70" t="s">
        <v>199</v>
      </c>
      <c r="E70">
        <v>276</v>
      </c>
    </row>
    <row r="71" spans="1:5" x14ac:dyDescent="0.25">
      <c r="A71" t="s">
        <v>730</v>
      </c>
      <c r="B71">
        <v>2568</v>
      </c>
      <c r="D71" t="s">
        <v>201</v>
      </c>
      <c r="E71">
        <v>48</v>
      </c>
    </row>
    <row r="72" spans="1:5" x14ac:dyDescent="0.25">
      <c r="A72" t="s">
        <v>51</v>
      </c>
      <c r="B72">
        <v>552</v>
      </c>
      <c r="D72" t="s">
        <v>203</v>
      </c>
      <c r="E72">
        <v>192</v>
      </c>
    </row>
    <row r="73" spans="1:5" x14ac:dyDescent="0.25">
      <c r="A73" t="s">
        <v>53</v>
      </c>
      <c r="B73">
        <v>2568</v>
      </c>
      <c r="D73" t="s">
        <v>405</v>
      </c>
      <c r="E73">
        <v>1056</v>
      </c>
    </row>
    <row r="74" spans="1:5" x14ac:dyDescent="0.25">
      <c r="A74" t="s">
        <v>55</v>
      </c>
      <c r="B74">
        <v>6792</v>
      </c>
      <c r="D74" t="s">
        <v>716</v>
      </c>
      <c r="E74">
        <v>1872</v>
      </c>
    </row>
    <row r="75" spans="1:5" x14ac:dyDescent="0.25">
      <c r="A75" t="s">
        <v>57</v>
      </c>
      <c r="B75">
        <v>8196</v>
      </c>
      <c r="D75" t="s">
        <v>718</v>
      </c>
      <c r="E75">
        <v>1056</v>
      </c>
    </row>
    <row r="76" spans="1:5" x14ac:dyDescent="0.25">
      <c r="A76" t="s">
        <v>731</v>
      </c>
      <c r="B76">
        <v>1080</v>
      </c>
      <c r="D76" t="s">
        <v>719</v>
      </c>
      <c r="E76">
        <v>564</v>
      </c>
    </row>
    <row r="77" spans="1:5" x14ac:dyDescent="0.25">
      <c r="A77" t="s">
        <v>59</v>
      </c>
      <c r="B77">
        <v>6588</v>
      </c>
      <c r="D77" t="s">
        <v>720</v>
      </c>
      <c r="E77">
        <v>672</v>
      </c>
    </row>
    <row r="78" spans="1:5" x14ac:dyDescent="0.25">
      <c r="A78" t="s">
        <v>61</v>
      </c>
      <c r="B78">
        <v>28968</v>
      </c>
      <c r="D78" t="s">
        <v>721</v>
      </c>
      <c r="E78">
        <v>432</v>
      </c>
    </row>
    <row r="79" spans="1:5" x14ac:dyDescent="0.25">
      <c r="A79" t="s">
        <v>63</v>
      </c>
      <c r="B79">
        <v>29256</v>
      </c>
      <c r="D79" t="s">
        <v>722</v>
      </c>
      <c r="E79">
        <v>-3</v>
      </c>
    </row>
    <row r="80" spans="1:5" x14ac:dyDescent="0.25">
      <c r="A80" t="s">
        <v>65</v>
      </c>
      <c r="B80">
        <v>558</v>
      </c>
      <c r="D80" t="s">
        <v>205</v>
      </c>
      <c r="E80">
        <v>456</v>
      </c>
    </row>
    <row r="81" spans="1:5" x14ac:dyDescent="0.25">
      <c r="A81" t="s">
        <v>67</v>
      </c>
      <c r="B81">
        <v>360</v>
      </c>
      <c r="D81" t="s">
        <v>207</v>
      </c>
      <c r="E81">
        <v>408</v>
      </c>
    </row>
    <row r="82" spans="1:5" x14ac:dyDescent="0.25">
      <c r="A82" t="s">
        <v>69</v>
      </c>
      <c r="B82">
        <v>384</v>
      </c>
      <c r="D82" t="s">
        <v>209</v>
      </c>
      <c r="E82">
        <v>600</v>
      </c>
    </row>
    <row r="83" spans="1:5" x14ac:dyDescent="0.25">
      <c r="A83" t="s">
        <v>71</v>
      </c>
      <c r="B83">
        <v>372</v>
      </c>
      <c r="D83" t="s">
        <v>211</v>
      </c>
      <c r="E83">
        <v>816</v>
      </c>
    </row>
    <row r="84" spans="1:5" x14ac:dyDescent="0.25">
      <c r="A84" t="s">
        <v>732</v>
      </c>
      <c r="B84">
        <v>924</v>
      </c>
      <c r="D84" t="s">
        <v>214</v>
      </c>
      <c r="E84">
        <v>1248</v>
      </c>
    </row>
    <row r="85" spans="1:5" x14ac:dyDescent="0.25">
      <c r="A85" t="s">
        <v>73</v>
      </c>
      <c r="B85">
        <v>18288</v>
      </c>
      <c r="D85" t="s">
        <v>45</v>
      </c>
      <c r="E85">
        <v>492</v>
      </c>
    </row>
    <row r="86" spans="1:5" x14ac:dyDescent="0.25">
      <c r="A86" t="s">
        <v>218</v>
      </c>
      <c r="B86">
        <v>216</v>
      </c>
      <c r="D86" t="s">
        <v>47</v>
      </c>
      <c r="E86">
        <v>72</v>
      </c>
    </row>
    <row r="87" spans="1:5" x14ac:dyDescent="0.25">
      <c r="A87" t="s">
        <v>408</v>
      </c>
      <c r="B87">
        <v>120</v>
      </c>
      <c r="D87" t="s">
        <v>724</v>
      </c>
      <c r="E87">
        <v>600</v>
      </c>
    </row>
    <row r="88" spans="1:5" x14ac:dyDescent="0.25">
      <c r="A88" t="s">
        <v>75</v>
      </c>
      <c r="B88">
        <v>84</v>
      </c>
      <c r="D88" t="s">
        <v>725</v>
      </c>
      <c r="E88">
        <v>1008</v>
      </c>
    </row>
    <row r="89" spans="1:5" x14ac:dyDescent="0.25">
      <c r="A89" t="s">
        <v>410</v>
      </c>
      <c r="B89">
        <v>564</v>
      </c>
      <c r="D89" t="s">
        <v>726</v>
      </c>
      <c r="E89">
        <v>1008</v>
      </c>
    </row>
    <row r="90" spans="1:5" x14ac:dyDescent="0.25">
      <c r="A90" t="s">
        <v>77</v>
      </c>
      <c r="B90">
        <v>132</v>
      </c>
      <c r="D90" t="s">
        <v>727</v>
      </c>
      <c r="E90">
        <v>1320</v>
      </c>
    </row>
    <row r="91" spans="1:5" x14ac:dyDescent="0.25">
      <c r="A91" t="s">
        <v>79</v>
      </c>
      <c r="B91">
        <v>2136</v>
      </c>
      <c r="D91" t="s">
        <v>728</v>
      </c>
      <c r="E91">
        <v>150</v>
      </c>
    </row>
    <row r="92" spans="1:5" x14ac:dyDescent="0.25">
      <c r="A92" t="s">
        <v>81</v>
      </c>
      <c r="B92">
        <v>1548</v>
      </c>
      <c r="D92" t="s">
        <v>729</v>
      </c>
      <c r="E92">
        <v>112</v>
      </c>
    </row>
    <row r="93" spans="1:5" x14ac:dyDescent="0.25">
      <c r="A93" t="s">
        <v>85</v>
      </c>
      <c r="B93">
        <v>1416</v>
      </c>
      <c r="D93" t="s">
        <v>730</v>
      </c>
      <c r="E93">
        <v>2100</v>
      </c>
    </row>
    <row r="94" spans="1:5" x14ac:dyDescent="0.25">
      <c r="A94" t="s">
        <v>87</v>
      </c>
      <c r="B94">
        <v>108</v>
      </c>
      <c r="D94" t="s">
        <v>51</v>
      </c>
      <c r="E94">
        <v>936</v>
      </c>
    </row>
    <row r="95" spans="1:5" x14ac:dyDescent="0.25">
      <c r="A95" t="s">
        <v>733</v>
      </c>
      <c r="B95">
        <v>864</v>
      </c>
      <c r="D95" t="s">
        <v>53</v>
      </c>
      <c r="E95">
        <v>1140</v>
      </c>
    </row>
    <row r="96" spans="1:5" x14ac:dyDescent="0.25">
      <c r="A96" t="s">
        <v>91</v>
      </c>
      <c r="B96">
        <v>252</v>
      </c>
      <c r="D96" t="s">
        <v>55</v>
      </c>
      <c r="E96">
        <v>8040</v>
      </c>
    </row>
    <row r="97" spans="1:5" x14ac:dyDescent="0.25">
      <c r="A97" t="s">
        <v>734</v>
      </c>
      <c r="B97">
        <v>1368</v>
      </c>
      <c r="D97" t="s">
        <v>57</v>
      </c>
      <c r="E97">
        <v>6948</v>
      </c>
    </row>
    <row r="98" spans="1:5" x14ac:dyDescent="0.25">
      <c r="A98" t="s">
        <v>734</v>
      </c>
      <c r="B98">
        <v>0</v>
      </c>
      <c r="D98" t="s">
        <v>731</v>
      </c>
      <c r="E98">
        <v>672</v>
      </c>
    </row>
    <row r="99" spans="1:5" x14ac:dyDescent="0.25">
      <c r="A99" t="s">
        <v>93</v>
      </c>
      <c r="B99">
        <v>1344</v>
      </c>
      <c r="D99" t="s">
        <v>59</v>
      </c>
      <c r="E99">
        <v>7044</v>
      </c>
    </row>
    <row r="100" spans="1:5" x14ac:dyDescent="0.25">
      <c r="A100" t="s">
        <v>95</v>
      </c>
      <c r="B100">
        <v>756</v>
      </c>
      <c r="D100" t="s">
        <v>61</v>
      </c>
      <c r="E100">
        <v>32748</v>
      </c>
    </row>
    <row r="101" spans="1:5" x14ac:dyDescent="0.25">
      <c r="A101" t="s">
        <v>97</v>
      </c>
      <c r="B101">
        <v>288</v>
      </c>
      <c r="D101" t="s">
        <v>61</v>
      </c>
      <c r="E101">
        <v>1704</v>
      </c>
    </row>
    <row r="102" spans="1:5" x14ac:dyDescent="0.25">
      <c r="A102" t="s">
        <v>220</v>
      </c>
      <c r="B102">
        <v>-39</v>
      </c>
      <c r="D102" t="s">
        <v>63</v>
      </c>
      <c r="E102">
        <v>28164</v>
      </c>
    </row>
    <row r="103" spans="1:5" x14ac:dyDescent="0.25">
      <c r="A103" t="s">
        <v>222</v>
      </c>
      <c r="B103">
        <v>768</v>
      </c>
      <c r="D103" t="s">
        <v>65</v>
      </c>
      <c r="E103">
        <v>582</v>
      </c>
    </row>
    <row r="104" spans="1:5" x14ac:dyDescent="0.25">
      <c r="A104" t="s">
        <v>99</v>
      </c>
      <c r="B104">
        <v>528</v>
      </c>
      <c r="D104" t="s">
        <v>67</v>
      </c>
      <c r="E104">
        <v>552</v>
      </c>
    </row>
    <row r="105" spans="1:5" x14ac:dyDescent="0.25">
      <c r="A105" t="s">
        <v>101</v>
      </c>
      <c r="B105">
        <v>348</v>
      </c>
      <c r="D105" t="s">
        <v>69</v>
      </c>
      <c r="E105">
        <v>732</v>
      </c>
    </row>
    <row r="106" spans="1:5" x14ac:dyDescent="0.25">
      <c r="A106" t="s">
        <v>103</v>
      </c>
      <c r="B106">
        <v>228</v>
      </c>
      <c r="D106" t="s">
        <v>71</v>
      </c>
      <c r="E106">
        <v>672</v>
      </c>
    </row>
    <row r="107" spans="1:5" x14ac:dyDescent="0.25">
      <c r="A107" t="s">
        <v>105</v>
      </c>
      <c r="B107">
        <v>7692</v>
      </c>
      <c r="D107" t="s">
        <v>732</v>
      </c>
      <c r="E107">
        <v>3408</v>
      </c>
    </row>
    <row r="108" spans="1:5" x14ac:dyDescent="0.25">
      <c r="A108" t="s">
        <v>735</v>
      </c>
      <c r="B108">
        <v>60</v>
      </c>
      <c r="D108" t="s">
        <v>73</v>
      </c>
      <c r="E108">
        <v>19464</v>
      </c>
    </row>
    <row r="109" spans="1:5" x14ac:dyDescent="0.25">
      <c r="A109" t="s">
        <v>735</v>
      </c>
      <c r="B109">
        <v>1320</v>
      </c>
      <c r="D109" t="s">
        <v>218</v>
      </c>
      <c r="E109">
        <v>216</v>
      </c>
    </row>
    <row r="110" spans="1:5" x14ac:dyDescent="0.25">
      <c r="A110" t="s">
        <v>107</v>
      </c>
      <c r="B110">
        <v>4032</v>
      </c>
      <c r="D110" t="s">
        <v>408</v>
      </c>
      <c r="E110">
        <v>840</v>
      </c>
    </row>
    <row r="111" spans="1:5" x14ac:dyDescent="0.25">
      <c r="A111" t="s">
        <v>109</v>
      </c>
      <c r="B111">
        <v>108</v>
      </c>
      <c r="D111" t="s">
        <v>75</v>
      </c>
      <c r="E111">
        <v>156</v>
      </c>
    </row>
    <row r="112" spans="1:5" x14ac:dyDescent="0.25">
      <c r="A112" t="s">
        <v>111</v>
      </c>
      <c r="B112">
        <v>408</v>
      </c>
      <c r="D112" t="s">
        <v>410</v>
      </c>
      <c r="E112">
        <v>564</v>
      </c>
    </row>
    <row r="113" spans="1:5" x14ac:dyDescent="0.25">
      <c r="A113" t="s">
        <v>419</v>
      </c>
      <c r="B113">
        <v>192</v>
      </c>
      <c r="D113" t="s">
        <v>77</v>
      </c>
      <c r="E113">
        <v>-132</v>
      </c>
    </row>
    <row r="114" spans="1:5" x14ac:dyDescent="0.25">
      <c r="A114" t="s">
        <v>420</v>
      </c>
      <c r="B114">
        <v>684</v>
      </c>
      <c r="D114" t="s">
        <v>79</v>
      </c>
      <c r="E114">
        <v>1320</v>
      </c>
    </row>
    <row r="115" spans="1:5" x14ac:dyDescent="0.25">
      <c r="A115" t="s">
        <v>319</v>
      </c>
      <c r="B115">
        <v>96</v>
      </c>
      <c r="D115" t="s">
        <v>81</v>
      </c>
      <c r="E115">
        <v>1692</v>
      </c>
    </row>
    <row r="116" spans="1:5" x14ac:dyDescent="0.25">
      <c r="A116" t="s">
        <v>320</v>
      </c>
      <c r="B116">
        <v>24</v>
      </c>
      <c r="D116" t="s">
        <v>85</v>
      </c>
      <c r="E116">
        <v>1908</v>
      </c>
    </row>
    <row r="117" spans="1:5" x14ac:dyDescent="0.25">
      <c r="A117" t="s">
        <v>321</v>
      </c>
      <c r="B117">
        <v>288</v>
      </c>
      <c r="D117" t="s">
        <v>87</v>
      </c>
      <c r="E117">
        <v>168</v>
      </c>
    </row>
    <row r="118" spans="1:5" x14ac:dyDescent="0.25">
      <c r="A118" t="s">
        <v>322</v>
      </c>
      <c r="B118">
        <v>864</v>
      </c>
      <c r="D118" t="s">
        <v>733</v>
      </c>
      <c r="E118">
        <v>1836</v>
      </c>
    </row>
    <row r="119" spans="1:5" x14ac:dyDescent="0.25">
      <c r="A119" t="s">
        <v>423</v>
      </c>
      <c r="B119">
        <v>408</v>
      </c>
      <c r="D119" t="s">
        <v>91</v>
      </c>
      <c r="E119">
        <v>732</v>
      </c>
    </row>
    <row r="120" spans="1:5" x14ac:dyDescent="0.25">
      <c r="A120" t="s">
        <v>424</v>
      </c>
      <c r="B120">
        <v>792</v>
      </c>
      <c r="D120" t="s">
        <v>734</v>
      </c>
      <c r="E120">
        <v>12</v>
      </c>
    </row>
    <row r="121" spans="1:5" x14ac:dyDescent="0.25">
      <c r="A121" t="s">
        <v>113</v>
      </c>
      <c r="B121">
        <v>552</v>
      </c>
      <c r="D121" t="s">
        <v>734</v>
      </c>
      <c r="E121">
        <v>564</v>
      </c>
    </row>
    <row r="122" spans="1:5" x14ac:dyDescent="0.25">
      <c r="A122" t="s">
        <v>115</v>
      </c>
      <c r="B122">
        <v>300</v>
      </c>
      <c r="D122" t="s">
        <v>93</v>
      </c>
      <c r="E122">
        <v>3096</v>
      </c>
    </row>
    <row r="123" spans="1:5" x14ac:dyDescent="0.25">
      <c r="A123" t="s">
        <v>117</v>
      </c>
      <c r="B123">
        <v>252</v>
      </c>
      <c r="D123" t="s">
        <v>95</v>
      </c>
      <c r="E123">
        <v>1572</v>
      </c>
    </row>
    <row r="124" spans="1:5" x14ac:dyDescent="0.25">
      <c r="A124" t="s">
        <v>119</v>
      </c>
      <c r="B124">
        <v>0</v>
      </c>
      <c r="D124" t="s">
        <v>97</v>
      </c>
      <c r="E124">
        <v>552</v>
      </c>
    </row>
    <row r="125" spans="1:5" x14ac:dyDescent="0.25">
      <c r="A125" t="s">
        <v>121</v>
      </c>
      <c r="B125">
        <v>360</v>
      </c>
      <c r="D125" t="s">
        <v>339</v>
      </c>
      <c r="E125">
        <v>-240</v>
      </c>
    </row>
    <row r="126" spans="1:5" x14ac:dyDescent="0.25">
      <c r="A126" t="s">
        <v>123</v>
      </c>
      <c r="B126">
        <v>1236</v>
      </c>
      <c r="D126" t="s">
        <v>220</v>
      </c>
      <c r="E126">
        <v>96</v>
      </c>
    </row>
    <row r="127" spans="1:5" x14ac:dyDescent="0.25">
      <c r="A127" t="s">
        <v>429</v>
      </c>
      <c r="B127">
        <v>144</v>
      </c>
      <c r="D127" t="s">
        <v>222</v>
      </c>
      <c r="E127">
        <v>1080</v>
      </c>
    </row>
    <row r="128" spans="1:5" x14ac:dyDescent="0.25">
      <c r="A128" t="s">
        <v>125</v>
      </c>
      <c r="B128">
        <v>360</v>
      </c>
      <c r="D128" t="s">
        <v>99</v>
      </c>
      <c r="E128">
        <v>624</v>
      </c>
    </row>
    <row r="129" spans="1:5" x14ac:dyDescent="0.25">
      <c r="A129" t="s">
        <v>431</v>
      </c>
      <c r="B129">
        <v>168</v>
      </c>
      <c r="D129" t="s">
        <v>101</v>
      </c>
      <c r="E129">
        <v>852</v>
      </c>
    </row>
    <row r="130" spans="1:5" x14ac:dyDescent="0.25">
      <c r="A130" t="s">
        <v>432</v>
      </c>
      <c r="B130">
        <v>936</v>
      </c>
      <c r="D130" t="s">
        <v>103</v>
      </c>
      <c r="E130">
        <v>252</v>
      </c>
    </row>
    <row r="131" spans="1:5" x14ac:dyDescent="0.25">
      <c r="A131" t="s">
        <v>127</v>
      </c>
      <c r="B131">
        <v>1764</v>
      </c>
      <c r="D131" t="s">
        <v>105</v>
      </c>
      <c r="E131">
        <v>2868</v>
      </c>
    </row>
    <row r="132" spans="1:5" x14ac:dyDescent="0.25">
      <c r="A132" t="s">
        <v>129</v>
      </c>
      <c r="B132">
        <v>1080</v>
      </c>
      <c r="D132" t="s">
        <v>735</v>
      </c>
      <c r="E132">
        <v>1248</v>
      </c>
    </row>
    <row r="133" spans="1:5" x14ac:dyDescent="0.25">
      <c r="A133" t="s">
        <v>131</v>
      </c>
      <c r="B133">
        <v>420</v>
      </c>
      <c r="D133" t="s">
        <v>107</v>
      </c>
      <c r="E133">
        <v>7224</v>
      </c>
    </row>
    <row r="134" spans="1:5" x14ac:dyDescent="0.25">
      <c r="A134" t="s">
        <v>133</v>
      </c>
      <c r="B134">
        <v>1200</v>
      </c>
      <c r="D134" t="s">
        <v>109</v>
      </c>
      <c r="E134">
        <v>12</v>
      </c>
    </row>
    <row r="135" spans="1:5" x14ac:dyDescent="0.25">
      <c r="A135" t="s">
        <v>435</v>
      </c>
      <c r="B135">
        <v>0</v>
      </c>
      <c r="D135" t="s">
        <v>111</v>
      </c>
      <c r="E135">
        <v>504</v>
      </c>
    </row>
    <row r="136" spans="1:5" x14ac:dyDescent="0.25">
      <c r="A136" t="s">
        <v>736</v>
      </c>
      <c r="B136">
        <v>72</v>
      </c>
      <c r="D136" t="s">
        <v>419</v>
      </c>
      <c r="E136">
        <v>528</v>
      </c>
    </row>
    <row r="137" spans="1:5" x14ac:dyDescent="0.25">
      <c r="A137" t="s">
        <v>135</v>
      </c>
      <c r="B137">
        <v>5988</v>
      </c>
      <c r="D137" t="s">
        <v>420</v>
      </c>
      <c r="E137">
        <v>912</v>
      </c>
    </row>
    <row r="138" spans="1:5" x14ac:dyDescent="0.25">
      <c r="A138" t="s">
        <v>224</v>
      </c>
      <c r="B138">
        <v>84</v>
      </c>
      <c r="D138" t="s">
        <v>319</v>
      </c>
      <c r="E138">
        <v>648</v>
      </c>
    </row>
    <row r="139" spans="1:5" x14ac:dyDescent="0.25">
      <c r="A139" t="s">
        <v>225</v>
      </c>
      <c r="B139">
        <v>216</v>
      </c>
      <c r="D139" t="s">
        <v>320</v>
      </c>
      <c r="E139">
        <v>672</v>
      </c>
    </row>
    <row r="140" spans="1:5" x14ac:dyDescent="0.25">
      <c r="A140" t="s">
        <v>137</v>
      </c>
      <c r="B140">
        <v>504</v>
      </c>
      <c r="D140" t="s">
        <v>321</v>
      </c>
      <c r="E140">
        <v>276</v>
      </c>
    </row>
    <row r="141" spans="1:5" x14ac:dyDescent="0.25">
      <c r="A141" t="s">
        <v>139</v>
      </c>
      <c r="B141">
        <v>120</v>
      </c>
      <c r="D141" t="s">
        <v>322</v>
      </c>
      <c r="E141">
        <v>1248</v>
      </c>
    </row>
    <row r="142" spans="1:5" x14ac:dyDescent="0.25">
      <c r="A142" t="s">
        <v>141</v>
      </c>
      <c r="B142">
        <v>240</v>
      </c>
      <c r="D142" t="s">
        <v>423</v>
      </c>
      <c r="E142">
        <v>312</v>
      </c>
    </row>
    <row r="143" spans="1:5" x14ac:dyDescent="0.25">
      <c r="A143" t="s">
        <v>327</v>
      </c>
      <c r="B143">
        <v>456</v>
      </c>
      <c r="D143" t="s">
        <v>424</v>
      </c>
      <c r="E143">
        <v>600</v>
      </c>
    </row>
    <row r="144" spans="1:5" x14ac:dyDescent="0.25">
      <c r="A144" t="s">
        <v>328</v>
      </c>
      <c r="B144">
        <v>216</v>
      </c>
      <c r="D144" t="s">
        <v>113</v>
      </c>
      <c r="E144">
        <v>840</v>
      </c>
    </row>
    <row r="145" spans="1:5" x14ac:dyDescent="0.25">
      <c r="A145" t="s">
        <v>329</v>
      </c>
      <c r="B145">
        <v>144</v>
      </c>
      <c r="D145" t="s">
        <v>115</v>
      </c>
      <c r="E145">
        <v>732</v>
      </c>
    </row>
    <row r="146" spans="1:5" x14ac:dyDescent="0.25">
      <c r="A146" t="s">
        <v>330</v>
      </c>
      <c r="B146">
        <v>96</v>
      </c>
      <c r="D146" t="s">
        <v>117</v>
      </c>
      <c r="E146">
        <v>324</v>
      </c>
    </row>
    <row r="147" spans="1:5" x14ac:dyDescent="0.25">
      <c r="A147" t="s">
        <v>737</v>
      </c>
      <c r="B147">
        <v>264</v>
      </c>
      <c r="D147" t="s">
        <v>121</v>
      </c>
      <c r="E147">
        <v>432</v>
      </c>
    </row>
    <row r="148" spans="1:5" x14ac:dyDescent="0.25">
      <c r="A148" t="s">
        <v>738</v>
      </c>
      <c r="B148">
        <v>48</v>
      </c>
      <c r="D148" t="s">
        <v>427</v>
      </c>
      <c r="E148">
        <v>36</v>
      </c>
    </row>
    <row r="149" spans="1:5" x14ac:dyDescent="0.25">
      <c r="A149" t="s">
        <v>738</v>
      </c>
      <c r="B149">
        <v>1320</v>
      </c>
      <c r="D149" t="s">
        <v>123</v>
      </c>
      <c r="E149">
        <v>984</v>
      </c>
    </row>
    <row r="150" spans="1:5" x14ac:dyDescent="0.25">
      <c r="A150" t="s">
        <v>739</v>
      </c>
      <c r="B150">
        <v>408</v>
      </c>
      <c r="D150" t="s">
        <v>429</v>
      </c>
      <c r="E150">
        <v>108</v>
      </c>
    </row>
    <row r="151" spans="1:5" x14ac:dyDescent="0.25">
      <c r="A151" t="s">
        <v>740</v>
      </c>
      <c r="B151">
        <v>0</v>
      </c>
      <c r="D151" t="s">
        <v>125</v>
      </c>
      <c r="E151">
        <v>504</v>
      </c>
    </row>
    <row r="152" spans="1:5" x14ac:dyDescent="0.25">
      <c r="A152" t="s">
        <v>740</v>
      </c>
      <c r="B152">
        <v>228</v>
      </c>
      <c r="D152" t="s">
        <v>431</v>
      </c>
      <c r="E152">
        <v>456</v>
      </c>
    </row>
    <row r="153" spans="1:5" x14ac:dyDescent="0.25">
      <c r="A153" t="s">
        <v>741</v>
      </c>
      <c r="B153">
        <v>1500</v>
      </c>
      <c r="D153" t="s">
        <v>432</v>
      </c>
      <c r="E153">
        <v>732</v>
      </c>
    </row>
    <row r="154" spans="1:5" x14ac:dyDescent="0.25">
      <c r="A154" t="s">
        <v>742</v>
      </c>
      <c r="B154">
        <v>216</v>
      </c>
      <c r="D154" t="s">
        <v>127</v>
      </c>
      <c r="E154">
        <v>1896</v>
      </c>
    </row>
    <row r="155" spans="1:5" x14ac:dyDescent="0.25">
      <c r="A155" t="s">
        <v>743</v>
      </c>
      <c r="B155">
        <v>156</v>
      </c>
      <c r="D155" t="s">
        <v>129</v>
      </c>
      <c r="E155">
        <v>1464</v>
      </c>
    </row>
    <row r="156" spans="1:5" x14ac:dyDescent="0.25">
      <c r="A156" t="s">
        <v>744</v>
      </c>
      <c r="B156">
        <v>420</v>
      </c>
      <c r="D156" t="s">
        <v>131</v>
      </c>
      <c r="E156">
        <v>348</v>
      </c>
    </row>
    <row r="157" spans="1:5" x14ac:dyDescent="0.25">
      <c r="A157" t="s">
        <v>442</v>
      </c>
      <c r="B157">
        <v>48</v>
      </c>
      <c r="D157" t="s">
        <v>133</v>
      </c>
      <c r="E157">
        <v>1260</v>
      </c>
    </row>
    <row r="158" spans="1:5" x14ac:dyDescent="0.25">
      <c r="D158" t="s">
        <v>435</v>
      </c>
      <c r="E158">
        <v>0</v>
      </c>
    </row>
    <row r="159" spans="1:5" x14ac:dyDescent="0.25">
      <c r="D159" t="s">
        <v>736</v>
      </c>
      <c r="E159">
        <v>984</v>
      </c>
    </row>
    <row r="160" spans="1:5" x14ac:dyDescent="0.25">
      <c r="D160" t="s">
        <v>135</v>
      </c>
      <c r="E160">
        <v>6300</v>
      </c>
    </row>
    <row r="161" spans="4:5" x14ac:dyDescent="0.25">
      <c r="D161" t="s">
        <v>224</v>
      </c>
      <c r="E161">
        <v>360</v>
      </c>
    </row>
    <row r="162" spans="4:5" x14ac:dyDescent="0.25">
      <c r="D162" t="s">
        <v>225</v>
      </c>
      <c r="E162">
        <v>348</v>
      </c>
    </row>
    <row r="163" spans="4:5" x14ac:dyDescent="0.25">
      <c r="D163" t="s">
        <v>137</v>
      </c>
      <c r="E163">
        <v>1392</v>
      </c>
    </row>
    <row r="164" spans="4:5" x14ac:dyDescent="0.25">
      <c r="D164" t="s">
        <v>139</v>
      </c>
      <c r="E164">
        <v>792</v>
      </c>
    </row>
    <row r="165" spans="4:5" x14ac:dyDescent="0.25">
      <c r="D165" t="s">
        <v>141</v>
      </c>
      <c r="E165">
        <v>528</v>
      </c>
    </row>
    <row r="166" spans="4:5" x14ac:dyDescent="0.25">
      <c r="D166" t="s">
        <v>327</v>
      </c>
      <c r="E166">
        <v>1128</v>
      </c>
    </row>
    <row r="167" spans="4:5" x14ac:dyDescent="0.25">
      <c r="D167" t="s">
        <v>328</v>
      </c>
      <c r="E167">
        <v>1028</v>
      </c>
    </row>
    <row r="168" spans="4:5" x14ac:dyDescent="0.25">
      <c r="D168" t="s">
        <v>329</v>
      </c>
      <c r="E168">
        <v>216</v>
      </c>
    </row>
    <row r="169" spans="4:5" x14ac:dyDescent="0.25">
      <c r="D169" t="s">
        <v>330</v>
      </c>
      <c r="E169">
        <v>264</v>
      </c>
    </row>
    <row r="170" spans="4:5" x14ac:dyDescent="0.25">
      <c r="D170" t="s">
        <v>737</v>
      </c>
      <c r="E170">
        <v>384</v>
      </c>
    </row>
    <row r="171" spans="4:5" x14ac:dyDescent="0.25">
      <c r="D171" t="s">
        <v>738</v>
      </c>
      <c r="E171">
        <v>1200</v>
      </c>
    </row>
    <row r="172" spans="4:5" x14ac:dyDescent="0.25">
      <c r="D172" t="s">
        <v>739</v>
      </c>
      <c r="E172">
        <v>408</v>
      </c>
    </row>
    <row r="173" spans="4:5" x14ac:dyDescent="0.25">
      <c r="D173" t="s">
        <v>745</v>
      </c>
      <c r="E173">
        <v>108</v>
      </c>
    </row>
    <row r="174" spans="4:5" x14ac:dyDescent="0.25">
      <c r="D174" t="s">
        <v>740</v>
      </c>
      <c r="E174">
        <v>300</v>
      </c>
    </row>
    <row r="175" spans="4:5" x14ac:dyDescent="0.25">
      <c r="D175" t="s">
        <v>741</v>
      </c>
      <c r="E175">
        <v>640</v>
      </c>
    </row>
    <row r="176" spans="4:5" x14ac:dyDescent="0.25">
      <c r="D176" t="s">
        <v>741</v>
      </c>
      <c r="E176">
        <v>480</v>
      </c>
    </row>
    <row r="177" spans="4:5" x14ac:dyDescent="0.25">
      <c r="D177" t="s">
        <v>741</v>
      </c>
      <c r="E177">
        <v>236</v>
      </c>
    </row>
    <row r="178" spans="4:5" x14ac:dyDescent="0.25">
      <c r="D178" t="s">
        <v>742</v>
      </c>
      <c r="E178">
        <v>492</v>
      </c>
    </row>
    <row r="179" spans="4:5" x14ac:dyDescent="0.25">
      <c r="D179" t="s">
        <v>743</v>
      </c>
      <c r="E179">
        <v>384</v>
      </c>
    </row>
    <row r="180" spans="4:5" x14ac:dyDescent="0.25">
      <c r="D180" t="s">
        <v>744</v>
      </c>
      <c r="E180">
        <v>276</v>
      </c>
    </row>
    <row r="181" spans="4:5" x14ac:dyDescent="0.25">
      <c r="D181" t="s">
        <v>442</v>
      </c>
      <c r="E181">
        <v>138</v>
      </c>
    </row>
  </sheetData>
  <mergeCells count="1">
    <mergeCell ref="A1:E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A48"/>
  <sheetViews>
    <sheetView workbookViewId="0">
      <selection sqref="A1:S2"/>
    </sheetView>
  </sheetViews>
  <sheetFormatPr baseColWidth="10" defaultRowHeight="15" x14ac:dyDescent="0.25"/>
  <cols>
    <col min="1" max="1" width="10.28515625" bestFit="1" customWidth="1"/>
    <col min="2" max="2" width="5.140625" style="1" customWidth="1"/>
    <col min="3" max="3" width="6.140625" style="1" customWidth="1"/>
    <col min="4" max="4" width="5.5703125" style="1" customWidth="1"/>
    <col min="5" max="5" width="5.140625" style="1" customWidth="1"/>
    <col min="6" max="6" width="6.28515625" style="1" bestFit="1" customWidth="1"/>
    <col min="7" max="7" width="3.28515625" style="1" customWidth="1"/>
    <col min="8" max="8" width="5.7109375" style="1" customWidth="1"/>
    <col min="9" max="9" width="1.28515625" style="1" customWidth="1"/>
    <col min="10" max="11" width="5.7109375" style="1" customWidth="1"/>
    <col min="12" max="12" width="6.7109375" style="1" bestFit="1" customWidth="1"/>
    <col min="13" max="13" width="3.5703125" style="1" customWidth="1"/>
    <col min="14" max="14" width="5.85546875" style="1" bestFit="1" customWidth="1"/>
    <col min="15" max="15" width="5.28515625" style="1" customWidth="1"/>
    <col min="16" max="16" width="5.85546875" style="1" bestFit="1" customWidth="1"/>
    <col min="17" max="17" width="5.5703125" style="1" bestFit="1" customWidth="1"/>
    <col min="18" max="18" width="5.85546875" style="1" bestFit="1" customWidth="1"/>
    <col min="19" max="19" width="5.5703125" style="1" bestFit="1" customWidth="1"/>
    <col min="20" max="21" width="6.7109375" style="1" bestFit="1" customWidth="1"/>
    <col min="22" max="22" width="5.85546875" style="1" bestFit="1" customWidth="1"/>
    <col min="23" max="23" width="4.28515625" style="1" customWidth="1"/>
    <col min="24" max="24" width="6.7109375" style="1" bestFit="1" customWidth="1"/>
    <col min="25" max="25" width="4.28515625" style="1" customWidth="1"/>
    <col min="26" max="26" width="5.85546875" style="1" bestFit="1" customWidth="1"/>
    <col min="27" max="27" width="5.28515625" style="1" customWidth="1"/>
    <col min="28" max="28" width="6.7109375" style="1" bestFit="1" customWidth="1"/>
    <col min="29" max="29" width="5.5703125" style="1" customWidth="1"/>
    <col min="30" max="30" width="5.85546875" style="1" bestFit="1" customWidth="1"/>
    <col min="31" max="31" width="5" style="1" customWidth="1"/>
    <col min="32" max="32" width="5.85546875" style="1" bestFit="1" customWidth="1"/>
    <col min="33" max="33" width="4.28515625" style="1" customWidth="1"/>
    <col min="34" max="35" width="5.7109375" style="1" customWidth="1"/>
    <col min="36" max="36" width="7.28515625" style="1" bestFit="1" customWidth="1"/>
    <col min="37" max="37" width="3.28515625" style="1" customWidth="1"/>
    <col min="38" max="38" width="5.85546875" style="1" bestFit="1" customWidth="1"/>
    <col min="39" max="39" width="4.5703125" style="1" customWidth="1"/>
    <col min="40" max="40" width="5.85546875" style="1" bestFit="1" customWidth="1"/>
    <col min="41" max="41" width="5.28515625" style="1" customWidth="1"/>
    <col min="42" max="42" width="5.85546875" style="1" bestFit="1" customWidth="1"/>
    <col min="43" max="43" width="4.28515625" style="1" customWidth="1"/>
    <col min="44" max="44" width="7.28515625" style="1" customWidth="1"/>
    <col min="45" max="45" width="4.28515625" style="1" customWidth="1"/>
    <col min="46" max="46" width="5.85546875" style="1" bestFit="1" customWidth="1"/>
    <col min="47" max="47" width="4.5703125" style="1" customWidth="1"/>
    <col min="48" max="48" width="5.85546875" style="1" bestFit="1" customWidth="1"/>
    <col min="49" max="49" width="4.7109375" style="1" customWidth="1"/>
    <col min="50" max="50" width="5.85546875" style="1" bestFit="1" customWidth="1"/>
    <col min="51" max="51" width="4" style="1" customWidth="1"/>
    <col min="52" max="53" width="5.5703125" style="1" customWidth="1"/>
  </cols>
  <sheetData>
    <row r="1" spans="1:53" ht="15" customHeight="1" x14ac:dyDescent="0.25">
      <c r="A1" s="1169" t="s">
        <v>308</v>
      </c>
      <c r="B1" s="1170"/>
      <c r="C1" s="1170"/>
      <c r="D1" s="1170"/>
      <c r="E1" s="1170"/>
      <c r="F1" s="1170"/>
      <c r="G1" s="1170"/>
      <c r="H1" s="1170"/>
      <c r="I1" s="1170"/>
      <c r="J1" s="1170"/>
      <c r="K1" s="1170"/>
      <c r="L1" s="1170"/>
      <c r="M1" s="1170"/>
      <c r="N1" s="1170"/>
      <c r="O1" s="1170"/>
      <c r="P1" s="1170"/>
      <c r="Q1" s="1170"/>
      <c r="R1" s="1170"/>
      <c r="S1" s="1171"/>
      <c r="T1" s="1169" t="s">
        <v>308</v>
      </c>
      <c r="U1" s="1170"/>
      <c r="V1" s="1170"/>
      <c r="W1" s="1170"/>
      <c r="X1" s="1170"/>
      <c r="Y1" s="1170"/>
      <c r="Z1" s="1170"/>
      <c r="AA1" s="1170"/>
      <c r="AB1" s="1170"/>
      <c r="AC1" s="1170"/>
      <c r="AD1" s="1170"/>
      <c r="AE1" s="1170"/>
      <c r="AF1" s="1170"/>
      <c r="AG1" s="1170"/>
      <c r="AH1" s="1170"/>
      <c r="AI1" s="1171"/>
      <c r="AJ1" s="1169" t="s">
        <v>308</v>
      </c>
      <c r="AK1" s="1170"/>
      <c r="AL1" s="1170"/>
      <c r="AM1" s="1170"/>
      <c r="AN1" s="1170"/>
      <c r="AO1" s="1170"/>
      <c r="AP1" s="1170"/>
      <c r="AQ1" s="1170"/>
      <c r="AR1" s="1170"/>
      <c r="AS1" s="1170"/>
      <c r="AT1" s="1170"/>
      <c r="AU1" s="1170"/>
      <c r="AV1" s="1170"/>
      <c r="AW1" s="1170"/>
      <c r="AX1" s="1170"/>
      <c r="AY1" s="1170"/>
      <c r="AZ1" s="1170"/>
      <c r="BA1" s="1171"/>
    </row>
    <row r="2" spans="1:53" ht="16.149999999999999" customHeight="1" thickBot="1" x14ac:dyDescent="0.3">
      <c r="A2" s="1172"/>
      <c r="B2" s="1173"/>
      <c r="C2" s="1173"/>
      <c r="D2" s="1173"/>
      <c r="E2" s="1173"/>
      <c r="F2" s="1173"/>
      <c r="G2" s="1173"/>
      <c r="H2" s="1173"/>
      <c r="I2" s="1173"/>
      <c r="J2" s="1173"/>
      <c r="K2" s="1173"/>
      <c r="L2" s="1173"/>
      <c r="M2" s="1173"/>
      <c r="N2" s="1173"/>
      <c r="O2" s="1173"/>
      <c r="P2" s="1173"/>
      <c r="Q2" s="1173"/>
      <c r="R2" s="1173"/>
      <c r="S2" s="1174"/>
      <c r="T2" s="1175"/>
      <c r="U2" s="1176"/>
      <c r="V2" s="1176"/>
      <c r="W2" s="1176"/>
      <c r="X2" s="1176"/>
      <c r="Y2" s="1176"/>
      <c r="Z2" s="1176"/>
      <c r="AA2" s="1176"/>
      <c r="AB2" s="1173"/>
      <c r="AC2" s="1173"/>
      <c r="AD2" s="1173"/>
      <c r="AE2" s="1173"/>
      <c r="AF2" s="1173"/>
      <c r="AG2" s="1173"/>
      <c r="AH2" s="1173"/>
      <c r="AI2" s="1174"/>
      <c r="AJ2" s="1172"/>
      <c r="AK2" s="1173"/>
      <c r="AL2" s="1173"/>
      <c r="AM2" s="1173"/>
      <c r="AN2" s="1173"/>
      <c r="AO2" s="1173"/>
      <c r="AP2" s="1173"/>
      <c r="AQ2" s="1173"/>
      <c r="AR2" s="1173"/>
      <c r="AS2" s="1173"/>
      <c r="AT2" s="1173"/>
      <c r="AU2" s="1173"/>
      <c r="AV2" s="1173"/>
      <c r="AW2" s="1173"/>
      <c r="AX2" s="1173"/>
      <c r="AY2" s="1173"/>
      <c r="AZ2" s="1173"/>
      <c r="BA2" s="1174"/>
    </row>
    <row r="3" spans="1:53" ht="21.75" thickBot="1" x14ac:dyDescent="0.3">
      <c r="A3" s="1034" t="s">
        <v>18</v>
      </c>
      <c r="B3" s="1051"/>
      <c r="C3" s="1051"/>
      <c r="D3" s="1051"/>
      <c r="E3" s="1035"/>
      <c r="F3" s="1179">
        <f ca="1">+TODAY()</f>
        <v>46099</v>
      </c>
      <c r="G3" s="1051"/>
      <c r="H3" s="1051"/>
      <c r="I3" s="1051"/>
      <c r="J3" s="1035"/>
      <c r="K3" s="1177"/>
      <c r="L3" s="1178"/>
      <c r="M3" s="1178"/>
      <c r="N3" s="1178"/>
      <c r="O3" s="984"/>
      <c r="P3" s="1049" t="s">
        <v>316</v>
      </c>
      <c r="Q3" s="1050"/>
      <c r="R3" s="1050"/>
      <c r="S3" s="1130"/>
      <c r="T3" s="1180" t="s">
        <v>18</v>
      </c>
      <c r="U3" s="1181"/>
      <c r="V3" s="1181"/>
      <c r="W3" s="1182"/>
      <c r="X3" s="1183">
        <f ca="1">+TODAY()</f>
        <v>46099</v>
      </c>
      <c r="Y3" s="1181"/>
      <c r="Z3" s="1181"/>
      <c r="AA3" s="1182"/>
      <c r="AB3" s="1177"/>
      <c r="AC3" s="1178"/>
      <c r="AD3" s="1178"/>
      <c r="AE3" s="984"/>
      <c r="AF3" s="1049" t="s">
        <v>317</v>
      </c>
      <c r="AG3" s="1050"/>
      <c r="AH3" s="1050"/>
      <c r="AI3" s="1130"/>
      <c r="AJ3" s="1034" t="s">
        <v>18</v>
      </c>
      <c r="AK3" s="1051"/>
      <c r="AL3" s="1051"/>
      <c r="AM3" s="1035"/>
      <c r="AN3" s="1179">
        <f ca="1">+TODAY()</f>
        <v>46099</v>
      </c>
      <c r="AO3" s="1051"/>
      <c r="AP3" s="1051"/>
      <c r="AQ3" s="1035"/>
      <c r="AR3" s="1177"/>
      <c r="AS3" s="1178"/>
      <c r="AT3" s="1178"/>
      <c r="AU3" s="1178"/>
      <c r="AV3" s="1178"/>
      <c r="AW3" s="984"/>
      <c r="AX3" s="1049" t="s">
        <v>318</v>
      </c>
      <c r="AY3" s="1050"/>
      <c r="AZ3" s="1050"/>
      <c r="BA3" s="1130"/>
    </row>
    <row r="4" spans="1:53" ht="6" customHeight="1" thickBot="1" x14ac:dyDescent="0.3">
      <c r="A4" s="12"/>
      <c r="B4" s="13"/>
      <c r="C4" s="13"/>
      <c r="D4" s="13"/>
      <c r="E4" s="13"/>
      <c r="F4" s="14"/>
      <c r="G4" s="15"/>
      <c r="H4" s="15"/>
      <c r="I4" s="15"/>
      <c r="J4" s="16"/>
      <c r="K4" s="17"/>
      <c r="L4" s="17"/>
      <c r="M4" s="17"/>
      <c r="N4" s="17"/>
      <c r="O4" s="17"/>
      <c r="P4" s="18"/>
      <c r="Q4" s="18"/>
      <c r="R4" s="18"/>
      <c r="S4" s="19"/>
      <c r="T4" s="20"/>
      <c r="U4" s="15"/>
      <c r="V4" s="15"/>
      <c r="W4" s="15"/>
      <c r="X4" s="14"/>
      <c r="Y4" s="15"/>
      <c r="Z4" s="15"/>
      <c r="AA4" s="21"/>
      <c r="AB4" s="212"/>
      <c r="AC4" s="17"/>
      <c r="AD4" s="17"/>
      <c r="AE4" s="17"/>
      <c r="AF4" s="18"/>
      <c r="AG4" s="18"/>
      <c r="AH4" s="18"/>
      <c r="AI4" s="19"/>
      <c r="AJ4" s="20"/>
      <c r="AK4" s="15"/>
      <c r="AL4" s="15"/>
      <c r="AM4" s="15"/>
      <c r="AN4" s="14"/>
      <c r="AO4" s="15"/>
      <c r="AP4" s="15"/>
      <c r="AQ4" s="21"/>
      <c r="AR4" s="17"/>
      <c r="AS4" s="17"/>
      <c r="AT4" s="17"/>
      <c r="AU4" s="17"/>
      <c r="AV4" s="17"/>
      <c r="AW4" s="17"/>
      <c r="AX4" s="18"/>
      <c r="AY4" s="18"/>
      <c r="AZ4" s="18"/>
      <c r="BA4" s="19"/>
    </row>
    <row r="5" spans="1:53" s="22" customFormat="1" ht="23.65" customHeight="1" thickBot="1" x14ac:dyDescent="0.4">
      <c r="A5" s="1081">
        <v>2</v>
      </c>
      <c r="B5" s="1084" t="s">
        <v>0</v>
      </c>
      <c r="C5" s="1085"/>
      <c r="D5" s="1085"/>
      <c r="E5" s="1085"/>
      <c r="F5" s="975"/>
      <c r="G5" s="975"/>
      <c r="H5" s="975"/>
      <c r="I5" s="975"/>
      <c r="J5" s="967"/>
      <c r="K5" s="968"/>
      <c r="L5" s="974" t="s">
        <v>2</v>
      </c>
      <c r="M5" s="975"/>
      <c r="N5" s="975"/>
      <c r="O5" s="975"/>
      <c r="P5" s="975"/>
      <c r="Q5" s="975"/>
      <c r="R5" s="975"/>
      <c r="S5" s="976"/>
      <c r="T5" s="974" t="s">
        <v>3</v>
      </c>
      <c r="U5" s="975"/>
      <c r="V5" s="975"/>
      <c r="W5" s="975"/>
      <c r="X5" s="975"/>
      <c r="Y5" s="975"/>
      <c r="Z5" s="975"/>
      <c r="AA5" s="976"/>
      <c r="AB5" s="974" t="s">
        <v>4</v>
      </c>
      <c r="AC5" s="975"/>
      <c r="AD5" s="975"/>
      <c r="AE5" s="975"/>
      <c r="AF5" s="975"/>
      <c r="AG5" s="975"/>
      <c r="AH5" s="975"/>
      <c r="AI5" s="976"/>
      <c r="AJ5" s="974" t="s">
        <v>5</v>
      </c>
      <c r="AK5" s="975"/>
      <c r="AL5" s="975"/>
      <c r="AM5" s="975"/>
      <c r="AN5" s="975"/>
      <c r="AO5" s="975"/>
      <c r="AP5" s="975"/>
      <c r="AQ5" s="976"/>
      <c r="AR5" s="1086" t="s">
        <v>6</v>
      </c>
      <c r="AS5" s="1087"/>
      <c r="AT5" s="1088"/>
      <c r="AU5" s="1088"/>
      <c r="AV5" s="1088"/>
      <c r="AW5" s="1088"/>
      <c r="AX5" s="1088"/>
      <c r="AY5" s="1089"/>
      <c r="AZ5" s="1089"/>
      <c r="BA5" s="1090"/>
    </row>
    <row r="6" spans="1:53" ht="23.65" customHeight="1" thickBot="1" x14ac:dyDescent="0.3">
      <c r="A6" s="1082"/>
      <c r="B6" s="1076" t="s">
        <v>301</v>
      </c>
      <c r="C6" s="1076"/>
      <c r="D6" s="1080" t="s">
        <v>300</v>
      </c>
      <c r="E6" s="1091"/>
      <c r="F6" s="1092" t="s">
        <v>302</v>
      </c>
      <c r="G6" s="1014"/>
      <c r="H6" s="1023"/>
      <c r="I6" s="1024"/>
      <c r="J6" s="1100" t="s">
        <v>298</v>
      </c>
      <c r="K6" s="1014"/>
      <c r="L6" s="1091" t="s">
        <v>241</v>
      </c>
      <c r="M6" s="1091"/>
      <c r="N6" s="1092" t="s">
        <v>242</v>
      </c>
      <c r="O6" s="1014"/>
      <c r="P6" s="1023"/>
      <c r="Q6" s="1024"/>
      <c r="R6" s="1024"/>
      <c r="S6" s="1025"/>
      <c r="T6" s="1013" t="s">
        <v>240</v>
      </c>
      <c r="U6" s="1014"/>
      <c r="V6" s="1023"/>
      <c r="W6" s="1024"/>
      <c r="X6" s="1024"/>
      <c r="Y6" s="1024"/>
      <c r="Z6" s="1024"/>
      <c r="AA6" s="1025"/>
      <c r="AB6" s="1013" t="s">
        <v>239</v>
      </c>
      <c r="AC6" s="1014"/>
      <c r="AD6" s="1023"/>
      <c r="AE6" s="1024"/>
      <c r="AF6" s="1024"/>
      <c r="AG6" s="1024"/>
      <c r="AH6" s="1024"/>
      <c r="AI6" s="1025"/>
      <c r="AJ6" s="1013" t="s">
        <v>238</v>
      </c>
      <c r="AK6" s="1014"/>
      <c r="AL6" s="1023"/>
      <c r="AM6" s="1024"/>
      <c r="AN6" s="1024"/>
      <c r="AO6" s="1024"/>
      <c r="AP6" s="1024"/>
      <c r="AQ6" s="1025"/>
      <c r="AR6" s="1013" t="s">
        <v>238</v>
      </c>
      <c r="AS6" s="1014"/>
      <c r="AT6" s="1023"/>
      <c r="AU6" s="1024"/>
      <c r="AV6" s="1024"/>
      <c r="AW6" s="1024"/>
      <c r="AX6" s="1024"/>
      <c r="AY6" s="1025"/>
      <c r="AZ6" s="1032" t="s">
        <v>337</v>
      </c>
      <c r="BA6" s="1033"/>
    </row>
    <row r="7" spans="1:53" s="10" customFormat="1" ht="19.5" thickBot="1" x14ac:dyDescent="0.35">
      <c r="A7" s="1082"/>
      <c r="B7" s="1034" t="s">
        <v>55</v>
      </c>
      <c r="C7" s="1035"/>
      <c r="D7" s="1034" t="s">
        <v>57</v>
      </c>
      <c r="E7" s="1035"/>
      <c r="F7" s="1034" t="s">
        <v>71</v>
      </c>
      <c r="G7" s="1035"/>
      <c r="H7" s="1026"/>
      <c r="I7" s="1027"/>
      <c r="J7" s="1034" t="s">
        <v>16</v>
      </c>
      <c r="K7" s="1035"/>
      <c r="L7" s="1051">
        <v>504</v>
      </c>
      <c r="M7" s="1035"/>
      <c r="N7" s="1034">
        <v>586</v>
      </c>
      <c r="O7" s="1035"/>
      <c r="P7" s="1026"/>
      <c r="Q7" s="1027"/>
      <c r="R7" s="1027"/>
      <c r="S7" s="1028"/>
      <c r="T7" s="1034">
        <v>505</v>
      </c>
      <c r="U7" s="1035"/>
      <c r="V7" s="1026"/>
      <c r="W7" s="1027"/>
      <c r="X7" s="1027"/>
      <c r="Y7" s="1027"/>
      <c r="Z7" s="1027"/>
      <c r="AA7" s="1028"/>
      <c r="AB7" s="1034">
        <v>513</v>
      </c>
      <c r="AC7" s="1035"/>
      <c r="AD7" s="1026"/>
      <c r="AE7" s="1027"/>
      <c r="AF7" s="1027"/>
      <c r="AG7" s="1027"/>
      <c r="AH7" s="1027"/>
      <c r="AI7" s="1028"/>
      <c r="AJ7" s="1096">
        <v>506</v>
      </c>
      <c r="AK7" s="1097"/>
      <c r="AL7" s="1026"/>
      <c r="AM7" s="1027"/>
      <c r="AN7" s="1027"/>
      <c r="AO7" s="1027"/>
      <c r="AP7" s="1027"/>
      <c r="AQ7" s="1028"/>
      <c r="AR7" s="1051">
        <v>506</v>
      </c>
      <c r="AS7" s="1051"/>
      <c r="AT7" s="1026"/>
      <c r="AU7" s="1027"/>
      <c r="AV7" s="1027"/>
      <c r="AW7" s="1027"/>
      <c r="AX7" s="1027"/>
      <c r="AY7" s="1028"/>
      <c r="AZ7" s="1034">
        <v>225</v>
      </c>
      <c r="BA7" s="1035"/>
    </row>
    <row r="8" spans="1:53" ht="15.75" x14ac:dyDescent="0.25">
      <c r="A8" s="1082"/>
      <c r="B8" s="1036" t="s">
        <v>1</v>
      </c>
      <c r="C8" s="1053"/>
      <c r="D8" s="1052" t="s">
        <v>1</v>
      </c>
      <c r="E8" s="1053"/>
      <c r="F8" s="1052" t="s">
        <v>1</v>
      </c>
      <c r="G8" s="1037"/>
      <c r="H8" s="1026"/>
      <c r="I8" s="1027"/>
      <c r="J8" s="1036" t="s">
        <v>1</v>
      </c>
      <c r="K8" s="1037"/>
      <c r="L8" s="1054" t="s">
        <v>1</v>
      </c>
      <c r="M8" s="1053"/>
      <c r="N8" s="1052" t="s">
        <v>1</v>
      </c>
      <c r="O8" s="1037"/>
      <c r="P8" s="1026"/>
      <c r="Q8" s="1027"/>
      <c r="R8" s="1027"/>
      <c r="S8" s="1028"/>
      <c r="T8" s="1036" t="s">
        <v>1</v>
      </c>
      <c r="U8" s="1037"/>
      <c r="V8" s="1026"/>
      <c r="W8" s="1027"/>
      <c r="X8" s="1027"/>
      <c r="Y8" s="1027"/>
      <c r="Z8" s="1027"/>
      <c r="AA8" s="1028"/>
      <c r="AB8" s="1036" t="s">
        <v>1</v>
      </c>
      <c r="AC8" s="1037"/>
      <c r="AD8" s="1026"/>
      <c r="AE8" s="1027"/>
      <c r="AF8" s="1027"/>
      <c r="AG8" s="1027"/>
      <c r="AH8" s="1027"/>
      <c r="AI8" s="1028"/>
      <c r="AJ8" s="1055" t="s">
        <v>1</v>
      </c>
      <c r="AK8" s="1056"/>
      <c r="AL8" s="1027"/>
      <c r="AM8" s="1027"/>
      <c r="AN8" s="1027"/>
      <c r="AO8" s="1027"/>
      <c r="AP8" s="1027"/>
      <c r="AQ8" s="1028"/>
      <c r="AR8" s="1036" t="s">
        <v>1</v>
      </c>
      <c r="AS8" s="1054"/>
      <c r="AT8" s="1026"/>
      <c r="AU8" s="1027"/>
      <c r="AV8" s="1027"/>
      <c r="AW8" s="1027"/>
      <c r="AX8" s="1027"/>
      <c r="AY8" s="1028"/>
      <c r="AZ8" s="1036" t="s">
        <v>1</v>
      </c>
      <c r="BA8" s="1037"/>
    </row>
    <row r="9" spans="1:53" ht="15.75" x14ac:dyDescent="0.25">
      <c r="A9" s="1082"/>
      <c r="B9" s="1019">
        <f>+B11*2</f>
        <v>13416.285714285714</v>
      </c>
      <c r="C9" s="1098"/>
      <c r="D9" s="1099">
        <f>+D11*2</f>
        <v>15826.285714285714</v>
      </c>
      <c r="E9" s="1098"/>
      <c r="F9" s="1099">
        <f>+F11*2</f>
        <v>1196.5714285714287</v>
      </c>
      <c r="G9" s="1020"/>
      <c r="H9" s="1026"/>
      <c r="I9" s="1027"/>
      <c r="J9" s="1038">
        <v>300</v>
      </c>
      <c r="K9" s="1018"/>
      <c r="L9" s="1011">
        <v>13600</v>
      </c>
      <c r="M9" s="1012"/>
      <c r="N9" s="1017">
        <v>6800</v>
      </c>
      <c r="O9" s="1018"/>
      <c r="P9" s="1026"/>
      <c r="Q9" s="1027"/>
      <c r="R9" s="1027"/>
      <c r="S9" s="1028"/>
      <c r="T9" s="1038">
        <v>61600</v>
      </c>
      <c r="U9" s="1018"/>
      <c r="V9" s="1026"/>
      <c r="W9" s="1027"/>
      <c r="X9" s="1027"/>
      <c r="Y9" s="1027"/>
      <c r="Z9" s="1027"/>
      <c r="AA9" s="1028"/>
      <c r="AB9" s="1038">
        <v>36900</v>
      </c>
      <c r="AC9" s="1018"/>
      <c r="AD9" s="1026"/>
      <c r="AE9" s="1027"/>
      <c r="AF9" s="1027"/>
      <c r="AG9" s="1027"/>
      <c r="AH9" s="1027"/>
      <c r="AI9" s="1028"/>
      <c r="AJ9" s="1039">
        <v>24200</v>
      </c>
      <c r="AK9" s="1040"/>
      <c r="AL9" s="1027"/>
      <c r="AM9" s="1027"/>
      <c r="AN9" s="1027"/>
      <c r="AO9" s="1027"/>
      <c r="AP9" s="1027"/>
      <c r="AQ9" s="1028"/>
      <c r="AR9" s="1038">
        <v>24200</v>
      </c>
      <c r="AS9" s="1011"/>
      <c r="AT9" s="1026"/>
      <c r="AU9" s="1027"/>
      <c r="AV9" s="1027"/>
      <c r="AW9" s="1027"/>
      <c r="AX9" s="1027"/>
      <c r="AY9" s="1028"/>
      <c r="AZ9" s="1038">
        <f>+AZ11*2</f>
        <v>2160</v>
      </c>
      <c r="BA9" s="1018"/>
    </row>
    <row r="10" spans="1:53" ht="15.75" x14ac:dyDescent="0.25">
      <c r="A10" s="1082"/>
      <c r="B10" s="1038" t="s">
        <v>305</v>
      </c>
      <c r="C10" s="1012"/>
      <c r="D10" s="1017" t="s">
        <v>305</v>
      </c>
      <c r="E10" s="1012"/>
      <c r="F10" s="1017" t="s">
        <v>305</v>
      </c>
      <c r="G10" s="1018"/>
      <c r="H10" s="1026"/>
      <c r="I10" s="1027"/>
      <c r="J10" s="1038" t="s">
        <v>305</v>
      </c>
      <c r="K10" s="1018"/>
      <c r="L10" s="1011" t="s">
        <v>305</v>
      </c>
      <c r="M10" s="1012"/>
      <c r="N10" s="1017" t="s">
        <v>305</v>
      </c>
      <c r="O10" s="1018"/>
      <c r="P10" s="1026"/>
      <c r="Q10" s="1027"/>
      <c r="R10" s="1027"/>
      <c r="S10" s="1028"/>
      <c r="T10" s="1038" t="s">
        <v>305</v>
      </c>
      <c r="U10" s="1018"/>
      <c r="V10" s="1026"/>
      <c r="W10" s="1027"/>
      <c r="X10" s="1027"/>
      <c r="Y10" s="1027"/>
      <c r="Z10" s="1027"/>
      <c r="AA10" s="1028"/>
      <c r="AB10" s="1038" t="s">
        <v>305</v>
      </c>
      <c r="AC10" s="1018"/>
      <c r="AD10" s="1026"/>
      <c r="AE10" s="1027"/>
      <c r="AF10" s="1027"/>
      <c r="AG10" s="1027"/>
      <c r="AH10" s="1027"/>
      <c r="AI10" s="1028"/>
      <c r="AJ10" s="1039" t="s">
        <v>305</v>
      </c>
      <c r="AK10" s="1040"/>
      <c r="AL10" s="1027"/>
      <c r="AM10" s="1027"/>
      <c r="AN10" s="1027"/>
      <c r="AO10" s="1027"/>
      <c r="AP10" s="1027"/>
      <c r="AQ10" s="1028"/>
      <c r="AR10" s="1038" t="s">
        <v>305</v>
      </c>
      <c r="AS10" s="1011"/>
      <c r="AT10" s="1026"/>
      <c r="AU10" s="1027"/>
      <c r="AV10" s="1027"/>
      <c r="AW10" s="1027"/>
      <c r="AX10" s="1027"/>
      <c r="AY10" s="1028"/>
      <c r="AZ10" s="1038" t="s">
        <v>305</v>
      </c>
      <c r="BA10" s="1018"/>
    </row>
    <row r="11" spans="1:53" ht="15.75" x14ac:dyDescent="0.25">
      <c r="A11" s="1082"/>
      <c r="B11" s="1019">
        <v>6708.1428571428569</v>
      </c>
      <c r="C11" s="1065"/>
      <c r="D11" s="1019">
        <v>7913.1428571428569</v>
      </c>
      <c r="E11" s="1065"/>
      <c r="F11" s="1019">
        <v>598.28571428571433</v>
      </c>
      <c r="G11" s="1065"/>
      <c r="H11" s="1026"/>
      <c r="I11" s="1027"/>
      <c r="J11" s="1038">
        <v>136</v>
      </c>
      <c r="K11" s="1018"/>
      <c r="L11" s="1011">
        <f>L9/2</f>
        <v>6800</v>
      </c>
      <c r="M11" s="1012"/>
      <c r="N11" s="1017">
        <f>N9/2</f>
        <v>3400</v>
      </c>
      <c r="O11" s="1018"/>
      <c r="P11" s="1026"/>
      <c r="Q11" s="1027"/>
      <c r="R11" s="1027"/>
      <c r="S11" s="1028"/>
      <c r="T11" s="1019">
        <f>T9/2</f>
        <v>30800</v>
      </c>
      <c r="U11" s="1020"/>
      <c r="V11" s="1026"/>
      <c r="W11" s="1027"/>
      <c r="X11" s="1027"/>
      <c r="Y11" s="1027"/>
      <c r="Z11" s="1027"/>
      <c r="AA11" s="1028"/>
      <c r="AB11" s="1019">
        <f>AB9/2</f>
        <v>18450</v>
      </c>
      <c r="AC11" s="1020"/>
      <c r="AD11" s="1026"/>
      <c r="AE11" s="1027"/>
      <c r="AF11" s="1027"/>
      <c r="AG11" s="1027"/>
      <c r="AH11" s="1027"/>
      <c r="AI11" s="1028"/>
      <c r="AJ11" s="1039">
        <f>AJ9/2</f>
        <v>12100</v>
      </c>
      <c r="AK11" s="1040"/>
      <c r="AL11" s="1027"/>
      <c r="AM11" s="1027"/>
      <c r="AN11" s="1027"/>
      <c r="AO11" s="1027"/>
      <c r="AP11" s="1027"/>
      <c r="AQ11" s="1028"/>
      <c r="AR11" s="1038">
        <f>AR9/2</f>
        <v>12100</v>
      </c>
      <c r="AS11" s="1011"/>
      <c r="AT11" s="1026"/>
      <c r="AU11" s="1027"/>
      <c r="AV11" s="1027"/>
      <c r="AW11" s="1027"/>
      <c r="AX11" s="1027"/>
      <c r="AY11" s="1028"/>
      <c r="AZ11" s="1039">
        <v>1080</v>
      </c>
      <c r="BA11" s="1040"/>
    </row>
    <row r="12" spans="1:53" ht="15.75" x14ac:dyDescent="0.25">
      <c r="A12" s="1082"/>
      <c r="B12" s="1105" t="s">
        <v>17</v>
      </c>
      <c r="C12" s="1107"/>
      <c r="D12" s="1108" t="s">
        <v>17</v>
      </c>
      <c r="E12" s="1107"/>
      <c r="F12" s="1109" t="s">
        <v>17</v>
      </c>
      <c r="G12" s="1042"/>
      <c r="H12" s="1026"/>
      <c r="I12" s="1027"/>
      <c r="J12" s="1105" t="s">
        <v>17</v>
      </c>
      <c r="K12" s="1106"/>
      <c r="L12" s="1110" t="s">
        <v>17</v>
      </c>
      <c r="M12" s="1107"/>
      <c r="N12" s="1108" t="s">
        <v>17</v>
      </c>
      <c r="O12" s="1106"/>
      <c r="P12" s="1026"/>
      <c r="Q12" s="1027"/>
      <c r="R12" s="1027"/>
      <c r="S12" s="1028"/>
      <c r="T12" s="1105" t="s">
        <v>17</v>
      </c>
      <c r="U12" s="1106"/>
      <c r="V12" s="1026"/>
      <c r="W12" s="1027"/>
      <c r="X12" s="1027"/>
      <c r="Y12" s="1027"/>
      <c r="Z12" s="1027"/>
      <c r="AA12" s="1028"/>
      <c r="AB12" s="1105" t="s">
        <v>17</v>
      </c>
      <c r="AC12" s="1106"/>
      <c r="AD12" s="1026"/>
      <c r="AE12" s="1027"/>
      <c r="AF12" s="1027"/>
      <c r="AG12" s="1027"/>
      <c r="AH12" s="1027"/>
      <c r="AI12" s="1028"/>
      <c r="AJ12" s="1041" t="s">
        <v>17</v>
      </c>
      <c r="AK12" s="1042"/>
      <c r="AL12" s="1027"/>
      <c r="AM12" s="1027"/>
      <c r="AN12" s="1027"/>
      <c r="AO12" s="1027"/>
      <c r="AP12" s="1027"/>
      <c r="AQ12" s="1028"/>
      <c r="AR12" s="1111" t="s">
        <v>17</v>
      </c>
      <c r="AS12" s="1112"/>
      <c r="AT12" s="1026"/>
      <c r="AU12" s="1027"/>
      <c r="AV12" s="1027"/>
      <c r="AW12" s="1027"/>
      <c r="AX12" s="1027"/>
      <c r="AY12" s="1028"/>
      <c r="AZ12" s="1041" t="s">
        <v>17</v>
      </c>
      <c r="BA12" s="1042"/>
    </row>
    <row r="13" spans="1:53" ht="16.5" thickBot="1" x14ac:dyDescent="0.3">
      <c r="A13" s="1083"/>
      <c r="B13" s="1103">
        <v>13000</v>
      </c>
      <c r="C13" s="1113"/>
      <c r="D13" s="1114">
        <v>11375</v>
      </c>
      <c r="E13" s="1113"/>
      <c r="F13" s="1115">
        <v>4000</v>
      </c>
      <c r="G13" s="1116"/>
      <c r="H13" s="1026"/>
      <c r="I13" s="1027"/>
      <c r="J13" s="1103">
        <v>2000</v>
      </c>
      <c r="K13" s="1104"/>
      <c r="L13" s="1117">
        <v>4750</v>
      </c>
      <c r="M13" s="1113"/>
      <c r="N13" s="1114">
        <v>5000</v>
      </c>
      <c r="O13" s="1104"/>
      <c r="P13" s="1026"/>
      <c r="Q13" s="1027"/>
      <c r="R13" s="1027"/>
      <c r="S13" s="1028"/>
      <c r="T13" s="1103">
        <v>37750</v>
      </c>
      <c r="U13" s="1104"/>
      <c r="V13" s="1026"/>
      <c r="W13" s="1027"/>
      <c r="X13" s="1027"/>
      <c r="Y13" s="1027"/>
      <c r="Z13" s="1027"/>
      <c r="AA13" s="1028"/>
      <c r="AB13" s="1103">
        <v>31000</v>
      </c>
      <c r="AC13" s="1104"/>
      <c r="AD13" s="1026"/>
      <c r="AE13" s="1027"/>
      <c r="AF13" s="1027"/>
      <c r="AG13" s="1027"/>
      <c r="AH13" s="1027"/>
      <c r="AI13" s="1028"/>
      <c r="AJ13" s="1043">
        <f>2200*12</f>
        <v>26400</v>
      </c>
      <c r="AK13" s="1044"/>
      <c r="AL13" s="1027"/>
      <c r="AM13" s="1027"/>
      <c r="AN13" s="1027"/>
      <c r="AO13" s="1027"/>
      <c r="AP13" s="1027"/>
      <c r="AQ13" s="1028"/>
      <c r="AR13" s="1118"/>
      <c r="AS13" s="1119"/>
      <c r="AT13" s="1026"/>
      <c r="AU13" s="1027"/>
      <c r="AV13" s="1027"/>
      <c r="AW13" s="1027"/>
      <c r="AX13" s="1027"/>
      <c r="AY13" s="1028"/>
      <c r="AZ13" s="1043">
        <v>5000</v>
      </c>
      <c r="BA13" s="1044"/>
    </row>
    <row r="14" spans="1:53" ht="16.5" thickBot="1" x14ac:dyDescent="0.3">
      <c r="A14" s="7" t="s">
        <v>306</v>
      </c>
      <c r="B14" s="1045"/>
      <c r="C14" s="1121"/>
      <c r="D14" s="1121"/>
      <c r="E14" s="1121"/>
      <c r="F14" s="1121"/>
      <c r="G14" s="1046"/>
      <c r="H14" s="1026"/>
      <c r="I14" s="1027"/>
      <c r="J14" s="1101"/>
      <c r="K14" s="1102"/>
      <c r="L14" s="1122"/>
      <c r="M14" s="1121"/>
      <c r="N14" s="1121"/>
      <c r="O14" s="1046"/>
      <c r="P14" s="1026"/>
      <c r="Q14" s="1027"/>
      <c r="R14" s="1027"/>
      <c r="S14" s="1028"/>
      <c r="T14" s="1045">
        <v>7300</v>
      </c>
      <c r="U14" s="1046"/>
      <c r="V14" s="1026"/>
      <c r="W14" s="1027"/>
      <c r="X14" s="1027"/>
      <c r="Y14" s="1027"/>
      <c r="Z14" s="1027"/>
      <c r="AA14" s="1028"/>
      <c r="AB14" s="1045"/>
      <c r="AC14" s="1046"/>
      <c r="AD14" s="1026"/>
      <c r="AE14" s="1027"/>
      <c r="AF14" s="1027"/>
      <c r="AG14" s="1027"/>
      <c r="AH14" s="1027"/>
      <c r="AI14" s="1028"/>
      <c r="AJ14" s="1045"/>
      <c r="AK14" s="1046"/>
      <c r="AL14" s="1027"/>
      <c r="AM14" s="1027"/>
      <c r="AN14" s="1027"/>
      <c r="AO14" s="1027"/>
      <c r="AP14" s="1027"/>
      <c r="AQ14" s="1027"/>
      <c r="AR14" s="1057"/>
      <c r="AS14" s="1058"/>
      <c r="AT14" s="1026"/>
      <c r="AU14" s="1027"/>
      <c r="AV14" s="1027"/>
      <c r="AW14" s="1027"/>
      <c r="AX14" s="1027"/>
      <c r="AY14" s="1028"/>
      <c r="AZ14" s="1045"/>
      <c r="BA14" s="1046"/>
    </row>
    <row r="15" spans="1:53" ht="16.5" thickBot="1" x14ac:dyDescent="0.3">
      <c r="A15" s="7" t="s">
        <v>303</v>
      </c>
      <c r="B15" s="1060">
        <f>+B9-B13-B14</f>
        <v>416.28571428571377</v>
      </c>
      <c r="C15" s="1061"/>
      <c r="D15" s="1062">
        <f>+D9-D13-D14</f>
        <v>4451.2857142857138</v>
      </c>
      <c r="E15" s="1123"/>
      <c r="F15" s="1077">
        <f>+F9-F13-F14</f>
        <v>-2803.4285714285716</v>
      </c>
      <c r="G15" s="1016"/>
      <c r="H15" s="1029"/>
      <c r="I15" s="1030"/>
      <c r="J15" s="1021">
        <f>+J9-J13-J14</f>
        <v>-1700</v>
      </c>
      <c r="K15" s="1022"/>
      <c r="L15" s="1123">
        <f>+L9-L13-L14</f>
        <v>8850</v>
      </c>
      <c r="M15" s="1061"/>
      <c r="N15" s="1061">
        <f>+N9-N13-N14</f>
        <v>1800</v>
      </c>
      <c r="O15" s="1124"/>
      <c r="P15" s="1029"/>
      <c r="Q15" s="1030"/>
      <c r="R15" s="1030"/>
      <c r="S15" s="1031"/>
      <c r="T15" s="1047">
        <f>+T9-T13-T14</f>
        <v>16550</v>
      </c>
      <c r="U15" s="1048"/>
      <c r="V15" s="1093"/>
      <c r="W15" s="1094"/>
      <c r="X15" s="1094"/>
      <c r="Y15" s="1094"/>
      <c r="Z15" s="1094"/>
      <c r="AA15" s="1095"/>
      <c r="AB15" s="1047">
        <f>+AB9-AB13-AB14</f>
        <v>5900</v>
      </c>
      <c r="AC15" s="1048"/>
      <c r="AD15" s="1029"/>
      <c r="AE15" s="1030"/>
      <c r="AF15" s="1030"/>
      <c r="AG15" s="1030"/>
      <c r="AH15" s="1030"/>
      <c r="AI15" s="1031"/>
      <c r="AJ15" s="1015">
        <f>+AJ9-AJ13-AJ14</f>
        <v>-2200</v>
      </c>
      <c r="AK15" s="1016"/>
      <c r="AL15" s="1030"/>
      <c r="AM15" s="1030"/>
      <c r="AN15" s="1030"/>
      <c r="AO15" s="1030"/>
      <c r="AP15" s="1030"/>
      <c r="AQ15" s="1030"/>
      <c r="AR15" s="1068"/>
      <c r="AS15" s="1069"/>
      <c r="AT15" s="1029"/>
      <c r="AU15" s="1030"/>
      <c r="AV15" s="1030"/>
      <c r="AW15" s="1030"/>
      <c r="AX15" s="1030"/>
      <c r="AY15" s="1031"/>
      <c r="AZ15" s="1021">
        <f>+AZ9-AZ13-AZ14</f>
        <v>-2840</v>
      </c>
      <c r="BA15" s="1022"/>
    </row>
    <row r="16" spans="1:53" ht="16.5" customHeight="1" thickBot="1" x14ac:dyDescent="0.3">
      <c r="A16" s="2"/>
      <c r="B16" s="1059"/>
      <c r="C16" s="1059"/>
      <c r="D16" s="1059"/>
      <c r="E16" s="1059"/>
      <c r="F16" s="1059"/>
      <c r="G16" s="1059"/>
      <c r="H16" s="4"/>
      <c r="I16" s="4"/>
      <c r="J16" s="4"/>
      <c r="K16" s="4"/>
      <c r="L16" s="1059"/>
      <c r="M16" s="1059"/>
      <c r="N16" s="1059"/>
      <c r="O16" s="1059"/>
      <c r="P16" s="4"/>
      <c r="Q16" s="4"/>
      <c r="R16" s="4"/>
      <c r="S16" s="4"/>
      <c r="T16" s="1059"/>
      <c r="U16" s="1059"/>
      <c r="V16" s="3"/>
      <c r="W16" s="3"/>
      <c r="X16" s="3"/>
      <c r="Y16" s="3"/>
      <c r="Z16" s="3"/>
      <c r="AA16" s="210"/>
      <c r="AB16" s="1120"/>
      <c r="AC16" s="1059"/>
      <c r="AD16" s="3"/>
      <c r="AE16" s="3"/>
      <c r="AF16" s="3"/>
      <c r="AG16" s="3"/>
      <c r="AH16" s="3"/>
      <c r="AI16" s="3"/>
      <c r="AJ16" s="1059"/>
      <c r="AK16" s="1059"/>
      <c r="AL16" s="3"/>
      <c r="AM16" s="3"/>
      <c r="AN16" s="3"/>
      <c r="AO16" s="3"/>
      <c r="AP16" s="3"/>
      <c r="AQ16" s="3"/>
      <c r="AR16" s="1059"/>
      <c r="AS16" s="1059"/>
      <c r="AT16" s="5"/>
      <c r="AU16" s="5"/>
      <c r="AV16" s="5"/>
      <c r="AW16" s="5"/>
      <c r="AX16" s="5"/>
      <c r="AY16" s="5"/>
      <c r="AZ16" s="5"/>
      <c r="BA16" s="5"/>
    </row>
    <row r="17" spans="1:53" ht="22.5" customHeight="1" thickBot="1" x14ac:dyDescent="0.3">
      <c r="A17" s="1081">
        <v>3</v>
      </c>
      <c r="B17" s="1091" t="s">
        <v>243</v>
      </c>
      <c r="C17" s="1079"/>
      <c r="D17" s="1067" t="s">
        <v>244</v>
      </c>
      <c r="E17" s="1067"/>
      <c r="F17" s="1067" t="s">
        <v>245</v>
      </c>
      <c r="G17" s="1080"/>
      <c r="H17" s="1070"/>
      <c r="I17" s="1137"/>
      <c r="J17" s="1100" t="s">
        <v>335</v>
      </c>
      <c r="K17" s="1014"/>
      <c r="L17" s="1125" t="s">
        <v>246</v>
      </c>
      <c r="M17" s="1067"/>
      <c r="N17" s="1066" t="s">
        <v>307</v>
      </c>
      <c r="O17" s="1067"/>
      <c r="P17" s="1066" t="s">
        <v>247</v>
      </c>
      <c r="Q17" s="1080"/>
      <c r="R17" s="1070"/>
      <c r="S17" s="1071"/>
      <c r="T17" s="1032" t="s">
        <v>248</v>
      </c>
      <c r="U17" s="1080"/>
      <c r="V17" s="1066" t="s">
        <v>249</v>
      </c>
      <c r="W17" s="1067"/>
      <c r="X17" s="1066" t="s">
        <v>250</v>
      </c>
      <c r="Y17" s="1067"/>
      <c r="Z17" s="1066" t="s">
        <v>251</v>
      </c>
      <c r="AA17" s="1033"/>
      <c r="AB17" s="1032" t="s">
        <v>252</v>
      </c>
      <c r="AC17" s="1067"/>
      <c r="AD17" s="1066" t="s">
        <v>253</v>
      </c>
      <c r="AE17" s="1067"/>
      <c r="AF17" s="1066" t="s">
        <v>254</v>
      </c>
      <c r="AG17" s="1080"/>
      <c r="AH17" s="1070"/>
      <c r="AI17" s="1071"/>
      <c r="AJ17" s="1032" t="s">
        <v>255</v>
      </c>
      <c r="AK17" s="1067"/>
      <c r="AL17" s="1066" t="s">
        <v>256</v>
      </c>
      <c r="AM17" s="1067"/>
      <c r="AN17" s="1066" t="s">
        <v>299</v>
      </c>
      <c r="AO17" s="1080"/>
      <c r="AP17" s="1066" t="s">
        <v>257</v>
      </c>
      <c r="AQ17" s="1033"/>
      <c r="AR17" s="1126" t="s">
        <v>258</v>
      </c>
      <c r="AS17" s="1033"/>
      <c r="AT17" s="1079" t="s">
        <v>259</v>
      </c>
      <c r="AU17" s="1067"/>
      <c r="AV17" s="1067" t="s">
        <v>260</v>
      </c>
      <c r="AW17" s="1067"/>
      <c r="AX17" s="1066" t="s">
        <v>261</v>
      </c>
      <c r="AY17" s="1080"/>
      <c r="AZ17" s="1070"/>
      <c r="BA17" s="1071"/>
    </row>
    <row r="18" spans="1:53" s="10" customFormat="1" ht="19.5" thickBot="1" x14ac:dyDescent="0.35">
      <c r="A18" s="1082"/>
      <c r="B18" s="1034">
        <v>507</v>
      </c>
      <c r="C18" s="1035"/>
      <c r="D18" s="1034">
        <v>508</v>
      </c>
      <c r="E18" s="1035"/>
      <c r="F18" s="1034">
        <v>511</v>
      </c>
      <c r="G18" s="1051"/>
      <c r="H18" s="1072"/>
      <c r="I18" s="1074"/>
      <c r="J18" s="1034" t="s">
        <v>336</v>
      </c>
      <c r="K18" s="1035"/>
      <c r="L18" s="1050" t="s">
        <v>309</v>
      </c>
      <c r="M18" s="1130"/>
      <c r="N18" s="1034">
        <v>517</v>
      </c>
      <c r="O18" s="1035"/>
      <c r="P18" s="1034">
        <v>519</v>
      </c>
      <c r="Q18" s="1051"/>
      <c r="R18" s="1072"/>
      <c r="S18" s="1073"/>
      <c r="T18" s="1034">
        <v>520</v>
      </c>
      <c r="U18" s="1035"/>
      <c r="V18" s="1051">
        <v>521</v>
      </c>
      <c r="W18" s="1035"/>
      <c r="X18" s="1034">
        <v>530</v>
      </c>
      <c r="Y18" s="1035"/>
      <c r="Z18" s="1034">
        <v>531</v>
      </c>
      <c r="AA18" s="1035"/>
      <c r="AB18" s="1034">
        <v>522</v>
      </c>
      <c r="AC18" s="1035"/>
      <c r="AD18" s="1034">
        <v>523</v>
      </c>
      <c r="AE18" s="1035"/>
      <c r="AF18" s="1034">
        <v>524</v>
      </c>
      <c r="AG18" s="1051"/>
      <c r="AH18" s="1072"/>
      <c r="AI18" s="1073"/>
      <c r="AJ18" s="1034">
        <v>525</v>
      </c>
      <c r="AK18" s="1035"/>
      <c r="AL18" s="1034">
        <v>526</v>
      </c>
      <c r="AM18" s="1035"/>
      <c r="AN18" s="1034">
        <v>529</v>
      </c>
      <c r="AO18" s="1035"/>
      <c r="AP18" s="1034">
        <v>532</v>
      </c>
      <c r="AQ18" s="1035"/>
      <c r="AR18" s="1051">
        <v>537</v>
      </c>
      <c r="AS18" s="1035"/>
      <c r="AT18" s="1034">
        <v>542</v>
      </c>
      <c r="AU18" s="1035"/>
      <c r="AV18" s="1034">
        <v>543</v>
      </c>
      <c r="AW18" s="1035"/>
      <c r="AX18" s="1049" t="s">
        <v>310</v>
      </c>
      <c r="AY18" s="1050"/>
      <c r="AZ18" s="1072"/>
      <c r="BA18" s="1073"/>
    </row>
    <row r="19" spans="1:53" ht="15.75" x14ac:dyDescent="0.25">
      <c r="A19" s="1082"/>
      <c r="B19" s="1054" t="s">
        <v>1</v>
      </c>
      <c r="C19" s="1053"/>
      <c r="D19" s="1127" t="s">
        <v>1</v>
      </c>
      <c r="E19" s="1128"/>
      <c r="F19" s="1127" t="s">
        <v>1</v>
      </c>
      <c r="G19" s="1129"/>
      <c r="H19" s="1072"/>
      <c r="I19" s="1074"/>
      <c r="J19" s="1036" t="s">
        <v>1</v>
      </c>
      <c r="K19" s="1037"/>
      <c r="L19" s="1129" t="s">
        <v>1</v>
      </c>
      <c r="M19" s="1128"/>
      <c r="N19" s="1127" t="s">
        <v>1</v>
      </c>
      <c r="O19" s="1128"/>
      <c r="P19" s="1127" t="s">
        <v>1</v>
      </c>
      <c r="Q19" s="1129"/>
      <c r="R19" s="1072"/>
      <c r="S19" s="1073"/>
      <c r="T19" s="1036" t="s">
        <v>1</v>
      </c>
      <c r="U19" s="1053"/>
      <c r="V19" s="1054" t="s">
        <v>1</v>
      </c>
      <c r="W19" s="1053"/>
      <c r="X19" s="1127" t="s">
        <v>1</v>
      </c>
      <c r="Y19" s="1128"/>
      <c r="Z19" s="1127" t="s">
        <v>1</v>
      </c>
      <c r="AA19" s="1133"/>
      <c r="AB19" s="1070" t="s">
        <v>304</v>
      </c>
      <c r="AC19" s="1071"/>
      <c r="AD19" s="1129" t="s">
        <v>1</v>
      </c>
      <c r="AE19" s="1128"/>
      <c r="AF19" s="1127" t="s">
        <v>1</v>
      </c>
      <c r="AG19" s="1129"/>
      <c r="AH19" s="1072"/>
      <c r="AI19" s="1073"/>
      <c r="AJ19" s="1036" t="s">
        <v>1</v>
      </c>
      <c r="AK19" s="1054"/>
      <c r="AL19" s="1052" t="s">
        <v>1</v>
      </c>
      <c r="AM19" s="1037"/>
      <c r="AN19" s="1070" t="s">
        <v>304</v>
      </c>
      <c r="AO19" s="1071"/>
      <c r="AP19" s="1054" t="s">
        <v>1</v>
      </c>
      <c r="AQ19" s="1037"/>
      <c r="AR19" s="1054" t="s">
        <v>1</v>
      </c>
      <c r="AS19" s="1053"/>
      <c r="AT19" s="1052" t="s">
        <v>1</v>
      </c>
      <c r="AU19" s="1053"/>
      <c r="AV19" s="1052" t="s">
        <v>1</v>
      </c>
      <c r="AW19" s="1053"/>
      <c r="AX19" s="1052" t="s">
        <v>1</v>
      </c>
      <c r="AY19" s="1054"/>
      <c r="AZ19" s="1072"/>
      <c r="BA19" s="1073"/>
    </row>
    <row r="20" spans="1:53" ht="15.75" x14ac:dyDescent="0.25">
      <c r="A20" s="1082"/>
      <c r="B20" s="1011">
        <v>900</v>
      </c>
      <c r="C20" s="1012"/>
      <c r="D20" s="1017">
        <v>1500</v>
      </c>
      <c r="E20" s="1012"/>
      <c r="F20" s="1017">
        <v>2100</v>
      </c>
      <c r="G20" s="1011"/>
      <c r="H20" s="1072"/>
      <c r="I20" s="1074"/>
      <c r="J20" s="1038">
        <v>16000</v>
      </c>
      <c r="K20" s="1018"/>
      <c r="L20" s="1011">
        <v>400</v>
      </c>
      <c r="M20" s="1012"/>
      <c r="N20" s="1017">
        <v>400</v>
      </c>
      <c r="O20" s="1012"/>
      <c r="P20" s="1017">
        <v>5500</v>
      </c>
      <c r="Q20" s="1011"/>
      <c r="R20" s="1072"/>
      <c r="S20" s="1073"/>
      <c r="T20" s="1038">
        <v>4300</v>
      </c>
      <c r="U20" s="1012"/>
      <c r="V20" s="1011">
        <v>4200</v>
      </c>
      <c r="W20" s="1012"/>
      <c r="X20" s="1017">
        <v>6100</v>
      </c>
      <c r="Y20" s="1012"/>
      <c r="Z20" s="1017">
        <v>1900</v>
      </c>
      <c r="AA20" s="1018"/>
      <c r="AB20" s="1072"/>
      <c r="AC20" s="1073"/>
      <c r="AD20" s="1011">
        <v>3100</v>
      </c>
      <c r="AE20" s="1012"/>
      <c r="AF20" s="1017">
        <v>200</v>
      </c>
      <c r="AG20" s="1011"/>
      <c r="AH20" s="1072"/>
      <c r="AI20" s="1073"/>
      <c r="AJ20" s="1038">
        <v>900</v>
      </c>
      <c r="AK20" s="1011"/>
      <c r="AL20" s="1017">
        <v>900</v>
      </c>
      <c r="AM20" s="1018"/>
      <c r="AN20" s="1072"/>
      <c r="AO20" s="1073"/>
      <c r="AP20" s="1011">
        <v>500</v>
      </c>
      <c r="AQ20" s="1018"/>
      <c r="AR20" s="1011">
        <v>800</v>
      </c>
      <c r="AS20" s="1012"/>
      <c r="AT20" s="1017">
        <v>1200</v>
      </c>
      <c r="AU20" s="1012"/>
      <c r="AV20" s="1017">
        <v>800</v>
      </c>
      <c r="AW20" s="1012"/>
      <c r="AX20" s="1017">
        <v>300</v>
      </c>
      <c r="AY20" s="1011"/>
      <c r="AZ20" s="1072"/>
      <c r="BA20" s="1073"/>
    </row>
    <row r="21" spans="1:53" ht="15.75" x14ac:dyDescent="0.25">
      <c r="A21" s="1082"/>
      <c r="B21" s="1038" t="s">
        <v>305</v>
      </c>
      <c r="C21" s="1012"/>
      <c r="D21" s="1017" t="s">
        <v>305</v>
      </c>
      <c r="E21" s="1012"/>
      <c r="F21" s="1017" t="s">
        <v>305</v>
      </c>
      <c r="G21" s="1011"/>
      <c r="H21" s="1072"/>
      <c r="I21" s="1074"/>
      <c r="J21" s="1038" t="s">
        <v>305</v>
      </c>
      <c r="K21" s="1018"/>
      <c r="L21" s="1011" t="s">
        <v>305</v>
      </c>
      <c r="M21" s="1012"/>
      <c r="N21" s="1017" t="s">
        <v>305</v>
      </c>
      <c r="O21" s="1012"/>
      <c r="P21" s="1017" t="s">
        <v>305</v>
      </c>
      <c r="Q21" s="1011"/>
      <c r="R21" s="1072"/>
      <c r="S21" s="1073"/>
      <c r="T21" s="1038" t="s">
        <v>305</v>
      </c>
      <c r="U21" s="1012"/>
      <c r="V21" s="1011" t="s">
        <v>305</v>
      </c>
      <c r="W21" s="1012"/>
      <c r="X21" s="1017" t="s">
        <v>305</v>
      </c>
      <c r="Y21" s="1012"/>
      <c r="Z21" s="1017" t="s">
        <v>305</v>
      </c>
      <c r="AA21" s="1018"/>
      <c r="AB21" s="1072"/>
      <c r="AC21" s="1073"/>
      <c r="AD21" s="1011" t="s">
        <v>305</v>
      </c>
      <c r="AE21" s="1012"/>
      <c r="AF21" s="1017" t="s">
        <v>305</v>
      </c>
      <c r="AG21" s="1011"/>
      <c r="AH21" s="1072"/>
      <c r="AI21" s="1073"/>
      <c r="AJ21" s="1038" t="s">
        <v>305</v>
      </c>
      <c r="AK21" s="1011"/>
      <c r="AL21" s="1017" t="s">
        <v>305</v>
      </c>
      <c r="AM21" s="1018"/>
      <c r="AN21" s="1072"/>
      <c r="AO21" s="1073"/>
      <c r="AP21" s="1011" t="s">
        <v>305</v>
      </c>
      <c r="AQ21" s="1018"/>
      <c r="AR21" s="1011" t="s">
        <v>305</v>
      </c>
      <c r="AS21" s="1012"/>
      <c r="AT21" s="1017" t="s">
        <v>305</v>
      </c>
      <c r="AU21" s="1012"/>
      <c r="AV21" s="1017" t="s">
        <v>305</v>
      </c>
      <c r="AW21" s="1012"/>
      <c r="AX21" s="1017" t="s">
        <v>305</v>
      </c>
      <c r="AY21" s="1011"/>
      <c r="AZ21" s="1072"/>
      <c r="BA21" s="1073"/>
    </row>
    <row r="22" spans="1:53" ht="15.75" x14ac:dyDescent="0.25">
      <c r="A22" s="1082"/>
      <c r="B22" s="1038">
        <f>B20/2</f>
        <v>450</v>
      </c>
      <c r="C22" s="1011"/>
      <c r="D22" s="1078">
        <f>D20/2</f>
        <v>750</v>
      </c>
      <c r="E22" s="1078"/>
      <c r="F22" s="1011">
        <f>F20/2</f>
        <v>1050</v>
      </c>
      <c r="G22" s="1011"/>
      <c r="H22" s="1072"/>
      <c r="I22" s="1074"/>
      <c r="J22" s="1038">
        <v>8000</v>
      </c>
      <c r="K22" s="1018"/>
      <c r="L22" s="1011">
        <f>L20/2</f>
        <v>200</v>
      </c>
      <c r="M22" s="1011"/>
      <c r="N22" s="1078">
        <f>N20/2</f>
        <v>200</v>
      </c>
      <c r="O22" s="1078"/>
      <c r="P22" s="1011">
        <f>P20/2</f>
        <v>2750</v>
      </c>
      <c r="Q22" s="1011"/>
      <c r="R22" s="1072"/>
      <c r="S22" s="1073"/>
      <c r="T22" s="1038">
        <f>T20/2</f>
        <v>2150</v>
      </c>
      <c r="U22" s="1012"/>
      <c r="V22" s="1012">
        <f>V20/2</f>
        <v>2100</v>
      </c>
      <c r="W22" s="1078"/>
      <c r="X22" s="1078">
        <f>X20/2</f>
        <v>3050</v>
      </c>
      <c r="Y22" s="1078"/>
      <c r="Z22" s="1011">
        <f>Z20/2</f>
        <v>950</v>
      </c>
      <c r="AA22" s="1018"/>
      <c r="AB22" s="1072"/>
      <c r="AC22" s="1073"/>
      <c r="AD22" s="1012">
        <f>AD20/2</f>
        <v>1550</v>
      </c>
      <c r="AE22" s="1078"/>
      <c r="AF22" s="1078">
        <f>AF20/2</f>
        <v>100</v>
      </c>
      <c r="AG22" s="1017"/>
      <c r="AH22" s="1072"/>
      <c r="AI22" s="1073"/>
      <c r="AJ22" s="1039">
        <f>AJ20/2</f>
        <v>450</v>
      </c>
      <c r="AK22" s="1017"/>
      <c r="AL22" s="1078">
        <f>AL20/2</f>
        <v>450</v>
      </c>
      <c r="AM22" s="1040"/>
      <c r="AN22" s="1072"/>
      <c r="AO22" s="1073"/>
      <c r="AP22" s="1012">
        <f>AP20/2</f>
        <v>250</v>
      </c>
      <c r="AQ22" s="1040"/>
      <c r="AR22" s="1012">
        <f>AR20/2</f>
        <v>400</v>
      </c>
      <c r="AS22" s="1078"/>
      <c r="AT22" s="1078">
        <f>AT20/2</f>
        <v>600</v>
      </c>
      <c r="AU22" s="1078"/>
      <c r="AV22" s="1078">
        <f>AV20/2</f>
        <v>400</v>
      </c>
      <c r="AW22" s="1078"/>
      <c r="AX22" s="1078">
        <f>AX20/2</f>
        <v>150</v>
      </c>
      <c r="AY22" s="1017"/>
      <c r="AZ22" s="1072"/>
      <c r="BA22" s="1073"/>
    </row>
    <row r="23" spans="1:53" ht="15.75" x14ac:dyDescent="0.25">
      <c r="A23" s="1082"/>
      <c r="B23" s="1110" t="s">
        <v>17</v>
      </c>
      <c r="C23" s="1107"/>
      <c r="D23" s="1109" t="s">
        <v>17</v>
      </c>
      <c r="E23" s="1109"/>
      <c r="F23" s="1109" t="s">
        <v>17</v>
      </c>
      <c r="G23" s="1108"/>
      <c r="H23" s="1072"/>
      <c r="I23" s="1074"/>
      <c r="J23" s="1105" t="s">
        <v>17</v>
      </c>
      <c r="K23" s="1106"/>
      <c r="L23" s="1107" t="s">
        <v>17</v>
      </c>
      <c r="M23" s="1109"/>
      <c r="N23" s="1109" t="s">
        <v>17</v>
      </c>
      <c r="O23" s="1109"/>
      <c r="P23" s="1109" t="s">
        <v>17</v>
      </c>
      <c r="Q23" s="1108"/>
      <c r="R23" s="1072"/>
      <c r="S23" s="1073"/>
      <c r="T23" s="1041" t="s">
        <v>17</v>
      </c>
      <c r="U23" s="1109"/>
      <c r="V23" s="1107" t="s">
        <v>17</v>
      </c>
      <c r="W23" s="1109"/>
      <c r="X23" s="1109" t="s">
        <v>17</v>
      </c>
      <c r="Y23" s="1109"/>
      <c r="Z23" s="1109" t="s">
        <v>17</v>
      </c>
      <c r="AA23" s="1042"/>
      <c r="AB23" s="1072"/>
      <c r="AC23" s="1073"/>
      <c r="AD23" s="1107" t="s">
        <v>17</v>
      </c>
      <c r="AE23" s="1109"/>
      <c r="AF23" s="1109" t="s">
        <v>17</v>
      </c>
      <c r="AG23" s="1108"/>
      <c r="AH23" s="1072"/>
      <c r="AI23" s="1073"/>
      <c r="AJ23" s="1041" t="s">
        <v>17</v>
      </c>
      <c r="AK23" s="1108"/>
      <c r="AL23" s="1109" t="s">
        <v>17</v>
      </c>
      <c r="AM23" s="1042"/>
      <c r="AN23" s="1072"/>
      <c r="AO23" s="1073"/>
      <c r="AP23" s="1107" t="s">
        <v>17</v>
      </c>
      <c r="AQ23" s="1042"/>
      <c r="AR23" s="1107" t="s">
        <v>17</v>
      </c>
      <c r="AS23" s="1109"/>
      <c r="AT23" s="1109" t="s">
        <v>17</v>
      </c>
      <c r="AU23" s="1109"/>
      <c r="AV23" s="1109" t="s">
        <v>17</v>
      </c>
      <c r="AW23" s="1109"/>
      <c r="AX23" s="1109" t="s">
        <v>17</v>
      </c>
      <c r="AY23" s="1108"/>
      <c r="AZ23" s="1072"/>
      <c r="BA23" s="1073"/>
    </row>
    <row r="24" spans="1:53" ht="16.5" thickBot="1" x14ac:dyDescent="0.3">
      <c r="A24" s="1082"/>
      <c r="B24" s="1138">
        <v>2200</v>
      </c>
      <c r="C24" s="1136"/>
      <c r="D24" s="1131">
        <v>3000</v>
      </c>
      <c r="E24" s="1131"/>
      <c r="F24" s="1131">
        <v>3750</v>
      </c>
      <c r="G24" s="1132"/>
      <c r="H24" s="1072"/>
      <c r="I24" s="1074"/>
      <c r="J24" s="1103">
        <v>0</v>
      </c>
      <c r="K24" s="1104"/>
      <c r="L24" s="1136">
        <v>1300</v>
      </c>
      <c r="M24" s="1131"/>
      <c r="N24" s="1131">
        <v>1500</v>
      </c>
      <c r="O24" s="1131"/>
      <c r="P24" s="1131">
        <v>7000</v>
      </c>
      <c r="Q24" s="1132"/>
      <c r="R24" s="1072"/>
      <c r="S24" s="1073"/>
      <c r="T24" s="1043">
        <v>4300</v>
      </c>
      <c r="U24" s="1131"/>
      <c r="V24" s="1113">
        <v>3625</v>
      </c>
      <c r="W24" s="1115"/>
      <c r="X24" s="1131">
        <v>5000</v>
      </c>
      <c r="Y24" s="1131"/>
      <c r="Z24" s="1131">
        <v>620</v>
      </c>
      <c r="AA24" s="1044"/>
      <c r="AB24" s="1072"/>
      <c r="AC24" s="1073"/>
      <c r="AD24" s="1136">
        <v>4900</v>
      </c>
      <c r="AE24" s="1131"/>
      <c r="AF24" s="1131">
        <v>5000</v>
      </c>
      <c r="AG24" s="1132"/>
      <c r="AH24" s="1072"/>
      <c r="AI24" s="1073"/>
      <c r="AJ24" s="1139">
        <v>1250</v>
      </c>
      <c r="AK24" s="1114"/>
      <c r="AL24" s="1115">
        <v>0</v>
      </c>
      <c r="AM24" s="1116"/>
      <c r="AN24" s="1072"/>
      <c r="AO24" s="1073"/>
      <c r="AP24" s="1136">
        <v>0</v>
      </c>
      <c r="AQ24" s="1044"/>
      <c r="AR24" s="1136">
        <v>0</v>
      </c>
      <c r="AS24" s="1131"/>
      <c r="AT24" s="1131">
        <v>1500</v>
      </c>
      <c r="AU24" s="1131"/>
      <c r="AV24" s="1131">
        <v>1525</v>
      </c>
      <c r="AW24" s="1131"/>
      <c r="AX24" s="1131">
        <v>430</v>
      </c>
      <c r="AY24" s="1132"/>
      <c r="AZ24" s="1072"/>
      <c r="BA24" s="1073"/>
    </row>
    <row r="25" spans="1:53" ht="16.5" thickBot="1" x14ac:dyDescent="0.3">
      <c r="A25" s="6" t="s">
        <v>306</v>
      </c>
      <c r="B25" s="1045"/>
      <c r="C25" s="1121"/>
      <c r="D25" s="1121"/>
      <c r="E25" s="1121"/>
      <c r="F25" s="1121"/>
      <c r="G25" s="1046"/>
      <c r="H25" s="1072"/>
      <c r="I25" s="1074"/>
      <c r="J25" s="1101"/>
      <c r="K25" s="1102"/>
      <c r="L25" s="1045"/>
      <c r="M25" s="1121"/>
      <c r="N25" s="1121"/>
      <c r="O25" s="1121"/>
      <c r="P25" s="1121"/>
      <c r="Q25" s="1134"/>
      <c r="R25" s="1072"/>
      <c r="S25" s="1073"/>
      <c r="T25" s="1045"/>
      <c r="U25" s="1121"/>
      <c r="V25" s="1122"/>
      <c r="W25" s="1121"/>
      <c r="X25" s="1121"/>
      <c r="Y25" s="1121"/>
      <c r="Z25" s="1121"/>
      <c r="AA25" s="1046"/>
      <c r="AB25" s="1072"/>
      <c r="AC25" s="1074"/>
      <c r="AD25" s="1045"/>
      <c r="AE25" s="1121"/>
      <c r="AF25" s="1121"/>
      <c r="AG25" s="1134"/>
      <c r="AH25" s="1072"/>
      <c r="AI25" s="1073"/>
      <c r="AJ25" s="1045"/>
      <c r="AK25" s="1121"/>
      <c r="AL25" s="1121"/>
      <c r="AM25" s="1046"/>
      <c r="AN25" s="1072"/>
      <c r="AO25" s="1074"/>
      <c r="AP25" s="1045"/>
      <c r="AQ25" s="1046"/>
      <c r="AR25" s="1122"/>
      <c r="AS25" s="1121"/>
      <c r="AT25" s="1121">
        <v>1000</v>
      </c>
      <c r="AU25" s="1121"/>
      <c r="AV25" s="1135"/>
      <c r="AW25" s="1135"/>
      <c r="AX25" s="1121">
        <v>1000</v>
      </c>
      <c r="AY25" s="1134"/>
      <c r="AZ25" s="1072"/>
      <c r="BA25" s="1073"/>
    </row>
    <row r="26" spans="1:53" ht="16.5" thickBot="1" x14ac:dyDescent="0.3">
      <c r="A26" s="6" t="s">
        <v>303</v>
      </c>
      <c r="B26" s="1021">
        <f>+B20-B24-B25</f>
        <v>-1300</v>
      </c>
      <c r="C26" s="1063"/>
      <c r="D26" s="1063">
        <f>+D20-D24-D25</f>
        <v>-1500</v>
      </c>
      <c r="E26" s="1063"/>
      <c r="F26" s="1063">
        <f>+F20-F24-F25</f>
        <v>-1650</v>
      </c>
      <c r="G26" s="1022"/>
      <c r="H26" s="1075"/>
      <c r="I26" s="1076"/>
      <c r="J26" s="1060">
        <f>+J20-J24-J25</f>
        <v>16000</v>
      </c>
      <c r="K26" s="1124"/>
      <c r="L26" s="1021">
        <f>+L20-L24-L25</f>
        <v>-900</v>
      </c>
      <c r="M26" s="1063"/>
      <c r="N26" s="1063">
        <f>+N20-N24-N25</f>
        <v>-1100</v>
      </c>
      <c r="O26" s="1063"/>
      <c r="P26" s="1063">
        <f>+P20-P24-P25</f>
        <v>-1500</v>
      </c>
      <c r="Q26" s="1077"/>
      <c r="R26" s="1075"/>
      <c r="S26" s="1140"/>
      <c r="T26" s="1021">
        <f>+T20-T24-T25</f>
        <v>0</v>
      </c>
      <c r="U26" s="1063"/>
      <c r="V26" s="1123">
        <f>+V20-V24-V25</f>
        <v>575</v>
      </c>
      <c r="W26" s="1061"/>
      <c r="X26" s="1061">
        <f>+X20-X24-X25</f>
        <v>1100</v>
      </c>
      <c r="Y26" s="1061"/>
      <c r="Z26" s="1061">
        <f>+Z20-Z24-Z25</f>
        <v>1280</v>
      </c>
      <c r="AA26" s="1124"/>
      <c r="AB26" s="1075"/>
      <c r="AC26" s="1076"/>
      <c r="AD26" s="1021">
        <f>+AD20-AD24-AD25</f>
        <v>-1800</v>
      </c>
      <c r="AE26" s="1063"/>
      <c r="AF26" s="1063">
        <f>+AF20-AF24-AF25</f>
        <v>-4800</v>
      </c>
      <c r="AG26" s="1077"/>
      <c r="AH26" s="1075"/>
      <c r="AI26" s="1140"/>
      <c r="AJ26" s="1021">
        <f>+AJ20-AJ24-AJ25</f>
        <v>-350</v>
      </c>
      <c r="AK26" s="1063"/>
      <c r="AL26" s="1061">
        <f>+AL20-AL24-AL25</f>
        <v>900</v>
      </c>
      <c r="AM26" s="1124"/>
      <c r="AN26" s="1075"/>
      <c r="AO26" s="1076"/>
      <c r="AP26" s="1060">
        <f>+AP20-AP24-AP25</f>
        <v>500</v>
      </c>
      <c r="AQ26" s="1124"/>
      <c r="AR26" s="1123">
        <f>+AR20-AR24-AR25</f>
        <v>800</v>
      </c>
      <c r="AS26" s="1061"/>
      <c r="AT26" s="1063">
        <f>+AT20-AT24-AT25</f>
        <v>-1300</v>
      </c>
      <c r="AU26" s="1063"/>
      <c r="AV26" s="1063">
        <f>+AV20-AV24-AV25</f>
        <v>-725</v>
      </c>
      <c r="AW26" s="1063"/>
      <c r="AX26" s="1063">
        <f>+AX20-AX24-AX25</f>
        <v>-1130</v>
      </c>
      <c r="AY26" s="1077"/>
      <c r="AZ26" s="1075"/>
      <c r="BA26" s="1140"/>
    </row>
    <row r="27" spans="1:53" ht="15.75" thickBot="1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211"/>
      <c r="AB27" s="213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</row>
    <row r="28" spans="1:53" ht="23.65" customHeight="1" thickBot="1" x14ac:dyDescent="0.3">
      <c r="A28" s="1081">
        <v>4</v>
      </c>
      <c r="B28" s="1141" t="s">
        <v>262</v>
      </c>
      <c r="C28" s="1126"/>
      <c r="D28" s="1067" t="s">
        <v>263</v>
      </c>
      <c r="E28" s="1080"/>
      <c r="F28" s="1070"/>
      <c r="G28" s="1137"/>
      <c r="H28" s="1137"/>
      <c r="I28" s="1137"/>
      <c r="J28" s="1137"/>
      <c r="K28" s="1071"/>
      <c r="L28" s="1125" t="s">
        <v>264</v>
      </c>
      <c r="M28" s="1067"/>
      <c r="N28" s="1067" t="s">
        <v>265</v>
      </c>
      <c r="O28" s="1067"/>
      <c r="P28" s="1067" t="s">
        <v>266</v>
      </c>
      <c r="Q28" s="1067"/>
      <c r="R28" s="1067" t="s">
        <v>267</v>
      </c>
      <c r="S28" s="1033"/>
      <c r="T28" s="1125" t="s">
        <v>268</v>
      </c>
      <c r="U28" s="1080"/>
      <c r="V28" s="1067" t="s">
        <v>269</v>
      </c>
      <c r="W28" s="1067"/>
      <c r="X28" s="1066" t="s">
        <v>270</v>
      </c>
      <c r="Y28" s="1067"/>
      <c r="Z28" s="1067" t="s">
        <v>271</v>
      </c>
      <c r="AA28" s="1033"/>
      <c r="AB28" s="1032" t="s">
        <v>272</v>
      </c>
      <c r="AC28" s="1067"/>
      <c r="AD28" s="1066" t="s">
        <v>273</v>
      </c>
      <c r="AE28" s="1067"/>
      <c r="AF28" s="1066" t="s">
        <v>274</v>
      </c>
      <c r="AG28" s="1080"/>
      <c r="AH28" s="1070"/>
      <c r="AI28" s="1071"/>
      <c r="AJ28" s="1125" t="s">
        <v>275</v>
      </c>
      <c r="AK28" s="1067"/>
      <c r="AL28" s="1067" t="s">
        <v>276</v>
      </c>
      <c r="AM28" s="1067"/>
      <c r="AN28" s="1067" t="s">
        <v>277</v>
      </c>
      <c r="AO28" s="1033"/>
      <c r="AP28" s="1070"/>
      <c r="AQ28" s="1071"/>
      <c r="AR28" s="1125" t="s">
        <v>278</v>
      </c>
      <c r="AS28" s="1067"/>
      <c r="AT28" s="1067" t="s">
        <v>279</v>
      </c>
      <c r="AU28" s="1067"/>
      <c r="AV28" s="1066" t="s">
        <v>280</v>
      </c>
      <c r="AW28" s="1067"/>
      <c r="AX28" s="1066" t="s">
        <v>281</v>
      </c>
      <c r="AY28" s="1067"/>
      <c r="AZ28" s="1066" t="s">
        <v>282</v>
      </c>
      <c r="BA28" s="1033"/>
    </row>
    <row r="29" spans="1:53" s="10" customFormat="1" ht="19.5" thickBot="1" x14ac:dyDescent="0.35">
      <c r="A29" s="1082"/>
      <c r="B29" s="1051">
        <v>544</v>
      </c>
      <c r="C29" s="1051"/>
      <c r="D29" s="1034">
        <v>546</v>
      </c>
      <c r="E29" s="1051"/>
      <c r="F29" s="1072"/>
      <c r="G29" s="1074"/>
      <c r="H29" s="1074"/>
      <c r="I29" s="1074"/>
      <c r="J29" s="1074"/>
      <c r="K29" s="1073"/>
      <c r="L29" s="1051">
        <v>547</v>
      </c>
      <c r="M29" s="1035"/>
      <c r="N29" s="1034">
        <v>548</v>
      </c>
      <c r="O29" s="1035"/>
      <c r="P29" s="1034">
        <v>559</v>
      </c>
      <c r="Q29" s="1035"/>
      <c r="R29" s="1034">
        <v>560</v>
      </c>
      <c r="S29" s="1035"/>
      <c r="T29" s="1034">
        <v>561</v>
      </c>
      <c r="U29" s="1035"/>
      <c r="V29" s="1051">
        <v>562</v>
      </c>
      <c r="W29" s="1035"/>
      <c r="X29" s="1034">
        <v>563</v>
      </c>
      <c r="Y29" s="1035"/>
      <c r="Z29" s="1034">
        <v>565</v>
      </c>
      <c r="AA29" s="1035"/>
      <c r="AB29" s="1034">
        <v>594</v>
      </c>
      <c r="AC29" s="1035"/>
      <c r="AD29" s="1034">
        <v>595</v>
      </c>
      <c r="AE29" s="1035"/>
      <c r="AF29" s="1034">
        <v>596</v>
      </c>
      <c r="AG29" s="1051"/>
      <c r="AH29" s="1072"/>
      <c r="AI29" s="1073"/>
      <c r="AJ29" s="1142" t="s">
        <v>7</v>
      </c>
      <c r="AK29" s="1143"/>
      <c r="AL29" s="1142" t="s">
        <v>8</v>
      </c>
      <c r="AM29" s="1143"/>
      <c r="AN29" s="1142" t="s">
        <v>9</v>
      </c>
      <c r="AO29" s="1143"/>
      <c r="AP29" s="1072"/>
      <c r="AQ29" s="1073"/>
      <c r="AR29" s="1144" t="s">
        <v>10</v>
      </c>
      <c r="AS29" s="1143"/>
      <c r="AT29" s="1142" t="s">
        <v>11</v>
      </c>
      <c r="AU29" s="1143"/>
      <c r="AV29" s="1034">
        <v>315</v>
      </c>
      <c r="AW29" s="1035"/>
      <c r="AX29" s="1034">
        <v>325</v>
      </c>
      <c r="AY29" s="1035"/>
      <c r="AZ29" s="1034">
        <v>333</v>
      </c>
      <c r="BA29" s="1035"/>
    </row>
    <row r="30" spans="1:53" ht="15.75" x14ac:dyDescent="0.25">
      <c r="A30" s="1082"/>
      <c r="B30" s="1036" t="s">
        <v>1</v>
      </c>
      <c r="C30" s="1053"/>
      <c r="D30" s="1052" t="s">
        <v>1</v>
      </c>
      <c r="E30" s="1054"/>
      <c r="F30" s="1072"/>
      <c r="G30" s="1074"/>
      <c r="H30" s="1074"/>
      <c r="I30" s="1074"/>
      <c r="J30" s="1074"/>
      <c r="K30" s="1073"/>
      <c r="L30" s="1054" t="s">
        <v>1</v>
      </c>
      <c r="M30" s="1053"/>
      <c r="N30" s="1052" t="s">
        <v>1</v>
      </c>
      <c r="O30" s="1053"/>
      <c r="P30" s="1052" t="s">
        <v>1</v>
      </c>
      <c r="Q30" s="1053"/>
      <c r="R30" s="1052" t="s">
        <v>1</v>
      </c>
      <c r="S30" s="1037"/>
      <c r="T30" s="1036" t="s">
        <v>1</v>
      </c>
      <c r="U30" s="1053"/>
      <c r="V30" s="1129" t="s">
        <v>1</v>
      </c>
      <c r="W30" s="1128"/>
      <c r="X30" s="1127" t="s">
        <v>1</v>
      </c>
      <c r="Y30" s="1128"/>
      <c r="Z30" s="1127" t="s">
        <v>1</v>
      </c>
      <c r="AA30" s="1133"/>
      <c r="AB30" s="1036" t="s">
        <v>1</v>
      </c>
      <c r="AC30" s="1053"/>
      <c r="AD30" s="1052" t="s">
        <v>1</v>
      </c>
      <c r="AE30" s="1053"/>
      <c r="AF30" s="1052" t="s">
        <v>1</v>
      </c>
      <c r="AG30" s="1054"/>
      <c r="AH30" s="1072"/>
      <c r="AI30" s="1073"/>
      <c r="AJ30" s="1036" t="s">
        <v>1</v>
      </c>
      <c r="AK30" s="1053"/>
      <c r="AL30" s="1052" t="s">
        <v>1</v>
      </c>
      <c r="AM30" s="1053"/>
      <c r="AN30" s="1052" t="s">
        <v>1</v>
      </c>
      <c r="AO30" s="1037"/>
      <c r="AP30" s="1072"/>
      <c r="AQ30" s="1073"/>
      <c r="AR30" s="1054" t="s">
        <v>1</v>
      </c>
      <c r="AS30" s="1053"/>
      <c r="AT30" s="1052" t="s">
        <v>1</v>
      </c>
      <c r="AU30" s="1053"/>
      <c r="AV30" s="1052" t="s">
        <v>1</v>
      </c>
      <c r="AW30" s="1053"/>
      <c r="AX30" s="1052" t="s">
        <v>1</v>
      </c>
      <c r="AY30" s="1053"/>
      <c r="AZ30" s="1052" t="s">
        <v>13</v>
      </c>
      <c r="BA30" s="1037"/>
    </row>
    <row r="31" spans="1:53" ht="15.75" x14ac:dyDescent="0.25">
      <c r="A31" s="1082"/>
      <c r="B31" s="1038">
        <v>12300</v>
      </c>
      <c r="C31" s="1012"/>
      <c r="D31" s="1017">
        <v>10400</v>
      </c>
      <c r="E31" s="1011"/>
      <c r="F31" s="1072"/>
      <c r="G31" s="1074"/>
      <c r="H31" s="1074"/>
      <c r="I31" s="1074"/>
      <c r="J31" s="1074"/>
      <c r="K31" s="1073"/>
      <c r="L31" s="1011">
        <v>100</v>
      </c>
      <c r="M31" s="1012"/>
      <c r="N31" s="1017">
        <v>600</v>
      </c>
      <c r="O31" s="1012"/>
      <c r="P31" s="1017">
        <v>1100</v>
      </c>
      <c r="Q31" s="1012"/>
      <c r="R31" s="1017">
        <v>1000</v>
      </c>
      <c r="S31" s="1018"/>
      <c r="T31" s="1038">
        <v>700</v>
      </c>
      <c r="U31" s="1012"/>
      <c r="V31" s="1011">
        <v>2900</v>
      </c>
      <c r="W31" s="1012"/>
      <c r="X31" s="1017">
        <v>800</v>
      </c>
      <c r="Y31" s="1012"/>
      <c r="Z31" s="1017">
        <v>1200</v>
      </c>
      <c r="AA31" s="1018"/>
      <c r="AB31" s="1038">
        <v>600</v>
      </c>
      <c r="AC31" s="1012"/>
      <c r="AD31" s="1017">
        <v>1000</v>
      </c>
      <c r="AE31" s="1012"/>
      <c r="AF31" s="1017">
        <v>500</v>
      </c>
      <c r="AG31" s="1011"/>
      <c r="AH31" s="1072"/>
      <c r="AI31" s="1073"/>
      <c r="AJ31" s="1038">
        <v>5900</v>
      </c>
      <c r="AK31" s="1012"/>
      <c r="AL31" s="1017">
        <v>8200</v>
      </c>
      <c r="AM31" s="1012"/>
      <c r="AN31" s="1017">
        <v>12700</v>
      </c>
      <c r="AO31" s="1018"/>
      <c r="AP31" s="1072"/>
      <c r="AQ31" s="1073"/>
      <c r="AR31" s="1011">
        <v>2100</v>
      </c>
      <c r="AS31" s="1012"/>
      <c r="AT31" s="1017">
        <v>5200</v>
      </c>
      <c r="AU31" s="1012"/>
      <c r="AV31" s="1017">
        <v>3000</v>
      </c>
      <c r="AW31" s="1012"/>
      <c r="AX31" s="1017">
        <v>6200</v>
      </c>
      <c r="AY31" s="1012"/>
      <c r="AZ31" s="1017">
        <v>1200</v>
      </c>
      <c r="BA31" s="1018"/>
    </row>
    <row r="32" spans="1:53" ht="15.75" x14ac:dyDescent="0.25">
      <c r="A32" s="1082"/>
      <c r="B32" s="1038" t="s">
        <v>305</v>
      </c>
      <c r="C32" s="1012"/>
      <c r="D32" s="1017" t="s">
        <v>305</v>
      </c>
      <c r="E32" s="1011"/>
      <c r="F32" s="1072"/>
      <c r="G32" s="1074"/>
      <c r="H32" s="1074"/>
      <c r="I32" s="1074"/>
      <c r="J32" s="1074"/>
      <c r="K32" s="1073"/>
      <c r="L32" s="1011" t="s">
        <v>305</v>
      </c>
      <c r="M32" s="1012"/>
      <c r="N32" s="1017" t="s">
        <v>305</v>
      </c>
      <c r="O32" s="1012"/>
      <c r="P32" s="1017" t="s">
        <v>305</v>
      </c>
      <c r="Q32" s="1012"/>
      <c r="R32" s="1017" t="s">
        <v>305</v>
      </c>
      <c r="S32" s="1018"/>
      <c r="T32" s="1038" t="s">
        <v>305</v>
      </c>
      <c r="U32" s="1012"/>
      <c r="V32" s="1011" t="s">
        <v>305</v>
      </c>
      <c r="W32" s="1012"/>
      <c r="X32" s="1017" t="s">
        <v>305</v>
      </c>
      <c r="Y32" s="1012"/>
      <c r="Z32" s="1017" t="s">
        <v>305</v>
      </c>
      <c r="AA32" s="1018"/>
      <c r="AB32" s="1038" t="s">
        <v>305</v>
      </c>
      <c r="AC32" s="1012"/>
      <c r="AD32" s="1017" t="s">
        <v>305</v>
      </c>
      <c r="AE32" s="1012"/>
      <c r="AF32" s="1017" t="s">
        <v>305</v>
      </c>
      <c r="AG32" s="1011"/>
      <c r="AH32" s="1072"/>
      <c r="AI32" s="1073"/>
      <c r="AJ32" s="1038" t="s">
        <v>305</v>
      </c>
      <c r="AK32" s="1012"/>
      <c r="AL32" s="1017" t="s">
        <v>305</v>
      </c>
      <c r="AM32" s="1012"/>
      <c r="AN32" s="1017" t="s">
        <v>305</v>
      </c>
      <c r="AO32" s="1018"/>
      <c r="AP32" s="1072"/>
      <c r="AQ32" s="1073"/>
      <c r="AR32" s="1011" t="s">
        <v>305</v>
      </c>
      <c r="AS32" s="1012"/>
      <c r="AT32" s="1017" t="s">
        <v>305</v>
      </c>
      <c r="AU32" s="1012"/>
      <c r="AV32" s="1017" t="s">
        <v>305</v>
      </c>
      <c r="AW32" s="1012"/>
      <c r="AX32" s="1017" t="s">
        <v>305</v>
      </c>
      <c r="AY32" s="1012"/>
      <c r="AZ32" s="1017" t="s">
        <v>305</v>
      </c>
      <c r="BA32" s="1018"/>
    </row>
    <row r="33" spans="1:53" ht="15.75" x14ac:dyDescent="0.25">
      <c r="A33" s="1082"/>
      <c r="B33" s="1038">
        <f>B31/2</f>
        <v>6150</v>
      </c>
      <c r="C33" s="1012"/>
      <c r="D33" s="1017">
        <f>D31/2</f>
        <v>5200</v>
      </c>
      <c r="E33" s="1011"/>
      <c r="F33" s="1072"/>
      <c r="G33" s="1074"/>
      <c r="H33" s="1074"/>
      <c r="I33" s="1074"/>
      <c r="J33" s="1074"/>
      <c r="K33" s="1073"/>
      <c r="L33" s="1011">
        <f>L31/2</f>
        <v>50</v>
      </c>
      <c r="M33" s="1011"/>
      <c r="N33" s="1078">
        <f>N31/2</f>
        <v>300</v>
      </c>
      <c r="O33" s="1078"/>
      <c r="P33" s="1078">
        <f>P31/2</f>
        <v>550</v>
      </c>
      <c r="Q33" s="1078"/>
      <c r="R33" s="1078">
        <f>R31/2</f>
        <v>500</v>
      </c>
      <c r="S33" s="1040"/>
      <c r="T33" s="1039">
        <f>T31/2</f>
        <v>350</v>
      </c>
      <c r="U33" s="1078"/>
      <c r="V33" s="1012">
        <f>V31/2</f>
        <v>1450</v>
      </c>
      <c r="W33" s="1078"/>
      <c r="X33" s="1078">
        <f>X31/2</f>
        <v>400</v>
      </c>
      <c r="Y33" s="1078"/>
      <c r="Z33" s="1078">
        <f>Z31/2</f>
        <v>600</v>
      </c>
      <c r="AA33" s="1040"/>
      <c r="AB33" s="1039">
        <f>AB31/2</f>
        <v>300</v>
      </c>
      <c r="AC33" s="1078"/>
      <c r="AD33" s="1078">
        <f>AD31/2</f>
        <v>500</v>
      </c>
      <c r="AE33" s="1078"/>
      <c r="AF33" s="1078">
        <f>AF31/2</f>
        <v>250</v>
      </c>
      <c r="AG33" s="1017"/>
      <c r="AH33" s="1072"/>
      <c r="AI33" s="1073"/>
      <c r="AJ33" s="1039">
        <f>AJ31/2</f>
        <v>2950</v>
      </c>
      <c r="AK33" s="1078"/>
      <c r="AL33" s="1078">
        <f>AL31/2</f>
        <v>4100</v>
      </c>
      <c r="AM33" s="1078"/>
      <c r="AN33" s="1011">
        <f>AN31/2</f>
        <v>6350</v>
      </c>
      <c r="AO33" s="1018"/>
      <c r="AP33" s="1072"/>
      <c r="AQ33" s="1073"/>
      <c r="AR33" s="1065">
        <f>AR31/2</f>
        <v>1050</v>
      </c>
      <c r="AS33" s="1065"/>
      <c r="AT33" s="1145">
        <f>AT31/2</f>
        <v>2600</v>
      </c>
      <c r="AU33" s="1145"/>
      <c r="AV33" s="1145">
        <f>AV31/2</f>
        <v>1500</v>
      </c>
      <c r="AW33" s="1145"/>
      <c r="AX33" s="1145">
        <f>AX31/2</f>
        <v>3100</v>
      </c>
      <c r="AY33" s="1145"/>
      <c r="AZ33" s="1065">
        <f>AZ31/2</f>
        <v>600</v>
      </c>
      <c r="BA33" s="1020"/>
    </row>
    <row r="34" spans="1:53" ht="15.75" x14ac:dyDescent="0.25">
      <c r="A34" s="1082"/>
      <c r="B34" s="1105" t="s">
        <v>17</v>
      </c>
      <c r="C34" s="1107"/>
      <c r="D34" s="1109" t="s">
        <v>17</v>
      </c>
      <c r="E34" s="1108"/>
      <c r="F34" s="1072"/>
      <c r="G34" s="1074"/>
      <c r="H34" s="1074"/>
      <c r="I34" s="1074"/>
      <c r="J34" s="1074"/>
      <c r="K34" s="1073"/>
      <c r="L34" s="1107" t="s">
        <v>17</v>
      </c>
      <c r="M34" s="1109"/>
      <c r="N34" s="1109" t="s">
        <v>17</v>
      </c>
      <c r="O34" s="1109"/>
      <c r="P34" s="1109" t="s">
        <v>17</v>
      </c>
      <c r="Q34" s="1109"/>
      <c r="R34" s="1109" t="s">
        <v>17</v>
      </c>
      <c r="S34" s="1042"/>
      <c r="T34" s="1041" t="s">
        <v>17</v>
      </c>
      <c r="U34" s="1109"/>
      <c r="V34" s="1107" t="s">
        <v>17</v>
      </c>
      <c r="W34" s="1109"/>
      <c r="X34" s="1109" t="s">
        <v>17</v>
      </c>
      <c r="Y34" s="1109"/>
      <c r="Z34" s="1109" t="s">
        <v>17</v>
      </c>
      <c r="AA34" s="1042"/>
      <c r="AB34" s="1041" t="s">
        <v>17</v>
      </c>
      <c r="AC34" s="1109"/>
      <c r="AD34" s="1109" t="s">
        <v>17</v>
      </c>
      <c r="AE34" s="1109"/>
      <c r="AF34" s="1109" t="s">
        <v>17</v>
      </c>
      <c r="AG34" s="1108"/>
      <c r="AH34" s="1072"/>
      <c r="AI34" s="1073"/>
      <c r="AJ34" s="1041" t="s">
        <v>17</v>
      </c>
      <c r="AK34" s="1109"/>
      <c r="AL34" s="1109" t="s">
        <v>17</v>
      </c>
      <c r="AM34" s="1109"/>
      <c r="AN34" s="1109" t="s">
        <v>17</v>
      </c>
      <c r="AO34" s="1042"/>
      <c r="AP34" s="1072"/>
      <c r="AQ34" s="1073"/>
      <c r="AR34" s="1107" t="s">
        <v>17</v>
      </c>
      <c r="AS34" s="1109"/>
      <c r="AT34" s="1109" t="s">
        <v>17</v>
      </c>
      <c r="AU34" s="1109"/>
      <c r="AV34" s="1109" t="s">
        <v>17</v>
      </c>
      <c r="AW34" s="1109"/>
      <c r="AX34" s="1109" t="s">
        <v>17</v>
      </c>
      <c r="AY34" s="1109"/>
      <c r="AZ34" s="1109" t="s">
        <v>17</v>
      </c>
      <c r="BA34" s="1042"/>
    </row>
    <row r="35" spans="1:53" ht="16.5" thickBot="1" x14ac:dyDescent="0.3">
      <c r="A35" s="1083"/>
      <c r="B35" s="1103">
        <v>11250</v>
      </c>
      <c r="C35" s="1113"/>
      <c r="D35" s="1115">
        <v>7600</v>
      </c>
      <c r="E35" s="1114"/>
      <c r="F35" s="1072"/>
      <c r="G35" s="1074"/>
      <c r="H35" s="1074"/>
      <c r="I35" s="1074"/>
      <c r="J35" s="1074"/>
      <c r="K35" s="1073"/>
      <c r="L35" s="1136">
        <v>5000</v>
      </c>
      <c r="M35" s="1131"/>
      <c r="N35" s="1131">
        <v>1500</v>
      </c>
      <c r="O35" s="1131"/>
      <c r="P35" s="1131">
        <v>1750</v>
      </c>
      <c r="Q35" s="1131"/>
      <c r="R35" s="1131">
        <v>250</v>
      </c>
      <c r="S35" s="1044"/>
      <c r="T35" s="1139">
        <v>250</v>
      </c>
      <c r="U35" s="1115"/>
      <c r="V35" s="1136">
        <v>3320</v>
      </c>
      <c r="W35" s="1131"/>
      <c r="X35" s="1131">
        <v>3000</v>
      </c>
      <c r="Y35" s="1131"/>
      <c r="Z35" s="1131">
        <v>1700</v>
      </c>
      <c r="AA35" s="1044"/>
      <c r="AB35" s="1043">
        <v>0</v>
      </c>
      <c r="AC35" s="1131"/>
      <c r="AD35" s="1131">
        <v>1000</v>
      </c>
      <c r="AE35" s="1131"/>
      <c r="AF35" s="1131">
        <v>480</v>
      </c>
      <c r="AG35" s="1132"/>
      <c r="AH35" s="1072"/>
      <c r="AI35" s="1073"/>
      <c r="AJ35" s="1043">
        <v>8000</v>
      </c>
      <c r="AK35" s="1131"/>
      <c r="AL35" s="1131">
        <v>28000</v>
      </c>
      <c r="AM35" s="1131"/>
      <c r="AN35" s="1131">
        <v>40000</v>
      </c>
      <c r="AO35" s="1044"/>
      <c r="AP35" s="1072"/>
      <c r="AQ35" s="1073"/>
      <c r="AR35" s="1136">
        <v>6750</v>
      </c>
      <c r="AS35" s="1131"/>
      <c r="AT35" s="1131">
        <v>11750</v>
      </c>
      <c r="AU35" s="1131"/>
      <c r="AV35" s="1131">
        <v>5000</v>
      </c>
      <c r="AW35" s="1131"/>
      <c r="AX35" s="1131">
        <v>15000</v>
      </c>
      <c r="AY35" s="1131"/>
      <c r="AZ35" s="1131">
        <v>3000</v>
      </c>
      <c r="BA35" s="1044"/>
    </row>
    <row r="36" spans="1:53" ht="16.5" thickBot="1" x14ac:dyDescent="0.3">
      <c r="A36" s="6" t="s">
        <v>306</v>
      </c>
      <c r="B36" s="1045"/>
      <c r="C36" s="1121"/>
      <c r="D36" s="1121"/>
      <c r="E36" s="1134"/>
      <c r="F36" s="1072"/>
      <c r="G36" s="1074"/>
      <c r="H36" s="1074"/>
      <c r="I36" s="1074"/>
      <c r="J36" s="1074"/>
      <c r="K36" s="1073"/>
      <c r="L36" s="1045"/>
      <c r="M36" s="1121"/>
      <c r="N36" s="1121"/>
      <c r="O36" s="1121"/>
      <c r="P36" s="1121">
        <v>1000</v>
      </c>
      <c r="Q36" s="1121"/>
      <c r="R36" s="1121">
        <v>1000</v>
      </c>
      <c r="S36" s="1046"/>
      <c r="T36" s="1045">
        <v>1000</v>
      </c>
      <c r="U36" s="1121"/>
      <c r="V36" s="1122">
        <v>2000</v>
      </c>
      <c r="W36" s="1121"/>
      <c r="X36" s="1121"/>
      <c r="Y36" s="1121"/>
      <c r="Z36" s="1121"/>
      <c r="AA36" s="1046"/>
      <c r="AB36" s="1045"/>
      <c r="AC36" s="1121"/>
      <c r="AD36" s="1121"/>
      <c r="AE36" s="1121"/>
      <c r="AF36" s="1121"/>
      <c r="AG36" s="1134"/>
      <c r="AH36" s="1072"/>
      <c r="AI36" s="1073"/>
      <c r="AJ36" s="1045"/>
      <c r="AK36" s="1121"/>
      <c r="AL36" s="1121"/>
      <c r="AM36" s="1121"/>
      <c r="AN36" s="1121"/>
      <c r="AO36" s="1046"/>
      <c r="AP36" s="1072"/>
      <c r="AQ36" s="1073"/>
      <c r="AR36" s="1045"/>
      <c r="AS36" s="1121"/>
      <c r="AT36" s="1121"/>
      <c r="AU36" s="1121"/>
      <c r="AV36" s="1121"/>
      <c r="AW36" s="1121"/>
      <c r="AX36" s="1121"/>
      <c r="AY36" s="1121"/>
      <c r="AZ36" s="1121"/>
      <c r="BA36" s="1046"/>
    </row>
    <row r="37" spans="1:53" ht="16.5" thickBot="1" x14ac:dyDescent="0.3">
      <c r="A37" s="6" t="s">
        <v>303</v>
      </c>
      <c r="B37" s="1060">
        <f>+B31-B35-B36</f>
        <v>1050</v>
      </c>
      <c r="C37" s="1061"/>
      <c r="D37" s="1061">
        <f>+D31-D35-D36</f>
        <v>2800</v>
      </c>
      <c r="E37" s="1062"/>
      <c r="F37" s="1075"/>
      <c r="G37" s="1076"/>
      <c r="H37" s="1076"/>
      <c r="I37" s="1076"/>
      <c r="J37" s="1076"/>
      <c r="K37" s="1140"/>
      <c r="L37" s="1021">
        <f>+L31-L35-L36</f>
        <v>-4900</v>
      </c>
      <c r="M37" s="1063"/>
      <c r="N37" s="1063">
        <f>+N31-N35-N36</f>
        <v>-900</v>
      </c>
      <c r="O37" s="1063"/>
      <c r="P37" s="1063">
        <f>+P31-P35-P36</f>
        <v>-1650</v>
      </c>
      <c r="Q37" s="1063"/>
      <c r="R37" s="1063">
        <f>+R31-R35-R36</f>
        <v>-250</v>
      </c>
      <c r="S37" s="1022"/>
      <c r="T37" s="1064">
        <f>+T31-T35-T36</f>
        <v>-550</v>
      </c>
      <c r="U37" s="1064"/>
      <c r="V37" s="1064">
        <f>+V31-V35-V36</f>
        <v>-2420</v>
      </c>
      <c r="W37" s="1064"/>
      <c r="X37" s="1063">
        <f>+X31-X35-X36</f>
        <v>-2200</v>
      </c>
      <c r="Y37" s="1063"/>
      <c r="Z37" s="1063">
        <f>+Z31-Z35-Z36</f>
        <v>-500</v>
      </c>
      <c r="AA37" s="1022"/>
      <c r="AB37" s="1060">
        <f>+AB31-AB35-AB36</f>
        <v>600</v>
      </c>
      <c r="AC37" s="1061"/>
      <c r="AD37" s="1063">
        <f>+AD31-AD35-AD36</f>
        <v>0</v>
      </c>
      <c r="AE37" s="1063"/>
      <c r="AF37" s="1061">
        <f>+AF31-AF35-AF36</f>
        <v>20</v>
      </c>
      <c r="AG37" s="1062"/>
      <c r="AH37" s="1075"/>
      <c r="AI37" s="1140"/>
      <c r="AJ37" s="1021">
        <f>+AJ31-AJ35-AJ36</f>
        <v>-2100</v>
      </c>
      <c r="AK37" s="1063"/>
      <c r="AL37" s="1063">
        <f>+AL31-AL35-AL36</f>
        <v>-19800</v>
      </c>
      <c r="AM37" s="1063"/>
      <c r="AN37" s="1063">
        <f>+AN31-AN35-AN36</f>
        <v>-27300</v>
      </c>
      <c r="AO37" s="1022"/>
      <c r="AP37" s="1075"/>
      <c r="AQ37" s="1140"/>
      <c r="AR37" s="1021">
        <f>+AR31-AR35-AR36</f>
        <v>-4650</v>
      </c>
      <c r="AS37" s="1063"/>
      <c r="AT37" s="1063">
        <f>+AT31-AT35-AT36</f>
        <v>-6550</v>
      </c>
      <c r="AU37" s="1063"/>
      <c r="AV37" s="1063">
        <f>+AV31-AV35-AV36</f>
        <v>-2000</v>
      </c>
      <c r="AW37" s="1063"/>
      <c r="AX37" s="1063">
        <f>+AX31-AX35-AX36</f>
        <v>-8800</v>
      </c>
      <c r="AY37" s="1063"/>
      <c r="AZ37" s="1063">
        <f>+AZ31-AZ35-AZ36</f>
        <v>-1800</v>
      </c>
      <c r="BA37" s="1022"/>
    </row>
    <row r="38" spans="1:53" ht="16.5" customHeight="1" thickBot="1" x14ac:dyDescent="0.3">
      <c r="A38" s="2"/>
      <c r="B38" s="1146"/>
      <c r="C38" s="1146"/>
      <c r="D38" s="1059"/>
      <c r="E38" s="1059"/>
      <c r="F38" s="3"/>
      <c r="G38" s="3"/>
      <c r="H38" s="3"/>
      <c r="I38" s="3"/>
      <c r="J38" s="3"/>
      <c r="K38" s="3"/>
      <c r="L38" s="1059"/>
      <c r="M38" s="1059"/>
      <c r="N38" s="1059"/>
      <c r="O38" s="1059"/>
      <c r="P38" s="1059"/>
      <c r="Q38" s="1059"/>
      <c r="R38" s="1059"/>
      <c r="S38" s="1059"/>
      <c r="T38" s="1059"/>
      <c r="U38" s="1059"/>
      <c r="V38" s="1146"/>
      <c r="W38" s="1146"/>
      <c r="X38" s="1059"/>
      <c r="Y38" s="1059"/>
      <c r="Z38" s="1059"/>
      <c r="AA38" s="1154"/>
      <c r="AB38" s="1120"/>
      <c r="AC38" s="1059"/>
      <c r="AD38" s="1059"/>
      <c r="AE38" s="1059"/>
      <c r="AF38" s="1059"/>
      <c r="AG38" s="1059"/>
      <c r="AH38" s="4"/>
      <c r="AI38" s="4"/>
      <c r="AJ38" s="1059"/>
      <c r="AK38" s="1059"/>
      <c r="AL38" s="1059"/>
      <c r="AM38" s="1059"/>
      <c r="AN38" s="1059"/>
      <c r="AO38" s="1059"/>
      <c r="AP38" s="4"/>
      <c r="AQ38" s="4"/>
      <c r="AR38" s="1059"/>
      <c r="AS38" s="1059"/>
      <c r="AT38" s="1059"/>
      <c r="AU38" s="1059"/>
      <c r="AV38" s="1059"/>
      <c r="AW38" s="1059"/>
      <c r="AX38" s="1059"/>
      <c r="AY38" s="1059"/>
      <c r="AZ38" s="1059"/>
      <c r="BA38" s="1059"/>
    </row>
    <row r="39" spans="1:53" ht="23.65" customHeight="1" thickBot="1" x14ac:dyDescent="0.3">
      <c r="A39" s="1081">
        <v>5</v>
      </c>
      <c r="B39" s="1013" t="s">
        <v>283</v>
      </c>
      <c r="C39" s="1126"/>
      <c r="D39" s="1066" t="s">
        <v>284</v>
      </c>
      <c r="E39" s="1067"/>
      <c r="F39" s="1067" t="s">
        <v>285</v>
      </c>
      <c r="G39" s="1067"/>
      <c r="H39" s="1067"/>
      <c r="I39" s="1067"/>
      <c r="J39" s="1066" t="s">
        <v>286</v>
      </c>
      <c r="K39" s="1080"/>
      <c r="L39" s="1032" t="s">
        <v>287</v>
      </c>
      <c r="M39" s="1067"/>
      <c r="N39" s="1066" t="s">
        <v>288</v>
      </c>
      <c r="O39" s="1067"/>
      <c r="P39" s="1066" t="s">
        <v>289</v>
      </c>
      <c r="Q39" s="1067"/>
      <c r="R39" s="1066" t="s">
        <v>290</v>
      </c>
      <c r="S39" s="1080"/>
      <c r="T39" s="1032" t="s">
        <v>291</v>
      </c>
      <c r="U39" s="1080"/>
      <c r="V39" s="1149" t="s">
        <v>293</v>
      </c>
      <c r="W39" s="1150"/>
      <c r="X39" s="1066" t="s">
        <v>292</v>
      </c>
      <c r="Y39" s="1033"/>
      <c r="Z39" s="1070"/>
      <c r="AA39" s="1071"/>
      <c r="AB39" s="1032" t="s">
        <v>294</v>
      </c>
      <c r="AC39" s="1067"/>
      <c r="AD39" s="1066" t="s">
        <v>295</v>
      </c>
      <c r="AE39" s="1080"/>
      <c r="AF39" s="1066" t="s">
        <v>315</v>
      </c>
      <c r="AG39" s="1080"/>
      <c r="AH39" s="1066" t="s">
        <v>314</v>
      </c>
      <c r="AI39" s="1033"/>
      <c r="AJ39" s="1032" t="s">
        <v>296</v>
      </c>
      <c r="AK39" s="1033"/>
      <c r="AL39" s="1070"/>
      <c r="AM39" s="1137"/>
      <c r="AN39" s="1137"/>
      <c r="AO39" s="1137"/>
      <c r="AP39" s="1137"/>
      <c r="AQ39" s="1071"/>
      <c r="AR39" s="1125"/>
      <c r="AS39" s="1033"/>
      <c r="AT39" s="1125"/>
      <c r="AU39" s="1033"/>
      <c r="AV39" s="1079"/>
      <c r="AW39" s="1067"/>
      <c r="AX39" s="1067"/>
      <c r="AY39" s="1067"/>
      <c r="AZ39" s="1067"/>
      <c r="BA39" s="1033"/>
    </row>
    <row r="40" spans="1:53" s="10" customFormat="1" ht="19.5" thickBot="1" x14ac:dyDescent="0.35">
      <c r="A40" s="1082"/>
      <c r="B40" s="1152" t="s">
        <v>12</v>
      </c>
      <c r="C40" s="1153"/>
      <c r="D40" s="1096">
        <v>229</v>
      </c>
      <c r="E40" s="1097"/>
      <c r="F40" s="1096">
        <v>477</v>
      </c>
      <c r="G40" s="1097"/>
      <c r="H40" s="1096">
        <v>498</v>
      </c>
      <c r="I40" s="1097"/>
      <c r="J40" s="1096">
        <v>499</v>
      </c>
      <c r="K40" s="1097"/>
      <c r="L40" s="1096">
        <v>320</v>
      </c>
      <c r="M40" s="1097"/>
      <c r="N40" s="1096">
        <v>321</v>
      </c>
      <c r="O40" s="1097"/>
      <c r="P40" s="1096">
        <v>395</v>
      </c>
      <c r="Q40" s="1097"/>
      <c r="R40" s="1096">
        <v>396</v>
      </c>
      <c r="S40" s="1097"/>
      <c r="T40" s="1034">
        <v>575</v>
      </c>
      <c r="U40" s="1035"/>
      <c r="V40" s="1051">
        <v>577</v>
      </c>
      <c r="W40" s="1035"/>
      <c r="X40" s="1034">
        <v>579</v>
      </c>
      <c r="Y40" s="1051"/>
      <c r="Z40" s="1072"/>
      <c r="AA40" s="1073"/>
      <c r="AB40" s="1034">
        <v>570</v>
      </c>
      <c r="AC40" s="1035"/>
      <c r="AD40" s="1034">
        <v>578</v>
      </c>
      <c r="AE40" s="1051"/>
      <c r="AF40" s="1147" t="s">
        <v>312</v>
      </c>
      <c r="AG40" s="1148"/>
      <c r="AH40" s="1167" t="s">
        <v>313</v>
      </c>
      <c r="AI40" s="1168"/>
      <c r="AJ40" s="1034">
        <v>500</v>
      </c>
      <c r="AK40" s="1035"/>
      <c r="AL40" s="1072"/>
      <c r="AM40" s="1074"/>
      <c r="AN40" s="1074"/>
      <c r="AO40" s="1074"/>
      <c r="AP40" s="1074"/>
      <c r="AQ40" s="1073"/>
      <c r="AR40" s="1051" t="s">
        <v>15</v>
      </c>
      <c r="AS40" s="1035"/>
      <c r="AT40" s="1034" t="s">
        <v>14</v>
      </c>
      <c r="AU40" s="1051"/>
      <c r="AV40" s="1155"/>
      <c r="AW40" s="1156"/>
      <c r="AX40" s="1156"/>
      <c r="AY40" s="1156"/>
      <c r="AZ40" s="1156"/>
      <c r="BA40" s="1157"/>
    </row>
    <row r="41" spans="1:53" ht="15.75" x14ac:dyDescent="0.25">
      <c r="A41" s="1082"/>
      <c r="B41" s="1055" t="s">
        <v>1</v>
      </c>
      <c r="C41" s="1151"/>
      <c r="D41" s="1151" t="s">
        <v>1</v>
      </c>
      <c r="E41" s="1151"/>
      <c r="F41" s="1151" t="s">
        <v>1</v>
      </c>
      <c r="G41" s="1151"/>
      <c r="H41" s="1151" t="s">
        <v>1</v>
      </c>
      <c r="I41" s="1151"/>
      <c r="J41" s="1151" t="s">
        <v>1</v>
      </c>
      <c r="K41" s="1056"/>
      <c r="L41" s="1055" t="s">
        <v>1</v>
      </c>
      <c r="M41" s="1151"/>
      <c r="N41" s="1151" t="s">
        <v>1</v>
      </c>
      <c r="O41" s="1151"/>
      <c r="P41" s="1151" t="s">
        <v>1</v>
      </c>
      <c r="Q41" s="1151"/>
      <c r="R41" s="1151" t="s">
        <v>1</v>
      </c>
      <c r="S41" s="1056"/>
      <c r="T41" s="1036" t="s">
        <v>1</v>
      </c>
      <c r="U41" s="1053"/>
      <c r="V41" s="1054" t="s">
        <v>1</v>
      </c>
      <c r="W41" s="1053"/>
      <c r="X41" s="1052" t="s">
        <v>1</v>
      </c>
      <c r="Y41" s="1054"/>
      <c r="Z41" s="1072"/>
      <c r="AA41" s="1073"/>
      <c r="AB41" s="1036" t="s">
        <v>1</v>
      </c>
      <c r="AC41" s="1053"/>
      <c r="AD41" s="1052" t="s">
        <v>1</v>
      </c>
      <c r="AE41" s="1054"/>
      <c r="AF41" s="1151" t="s">
        <v>1</v>
      </c>
      <c r="AG41" s="1151"/>
      <c r="AH41" s="1053" t="s">
        <v>1</v>
      </c>
      <c r="AI41" s="1056"/>
      <c r="AJ41" s="1164" t="s">
        <v>1</v>
      </c>
      <c r="AK41" s="1133"/>
      <c r="AL41" s="1072"/>
      <c r="AM41" s="1074"/>
      <c r="AN41" s="1074"/>
      <c r="AO41" s="1074"/>
      <c r="AP41" s="1074"/>
      <c r="AQ41" s="1073"/>
      <c r="AR41" s="1036" t="s">
        <v>1</v>
      </c>
      <c r="AS41" s="1053"/>
      <c r="AT41" s="1052" t="s">
        <v>1</v>
      </c>
      <c r="AU41" s="1037"/>
      <c r="AV41" s="1158"/>
      <c r="AW41" s="1159"/>
      <c r="AX41" s="1159"/>
      <c r="AY41" s="1159"/>
      <c r="AZ41" s="1159"/>
      <c r="BA41" s="1160"/>
    </row>
    <row r="42" spans="1:53" ht="15.75" x14ac:dyDescent="0.25">
      <c r="A42" s="1082"/>
      <c r="B42" s="1039">
        <v>1100</v>
      </c>
      <c r="C42" s="1078"/>
      <c r="D42" s="1078">
        <v>1000</v>
      </c>
      <c r="E42" s="1078"/>
      <c r="F42" s="1078">
        <v>100</v>
      </c>
      <c r="G42" s="1078"/>
      <c r="H42" s="1078"/>
      <c r="I42" s="1078"/>
      <c r="J42" s="1078">
        <v>2300</v>
      </c>
      <c r="K42" s="1040"/>
      <c r="L42" s="1039">
        <v>1400</v>
      </c>
      <c r="M42" s="1078"/>
      <c r="N42" s="1078">
        <v>10800</v>
      </c>
      <c r="O42" s="1078"/>
      <c r="P42" s="1078">
        <v>1100</v>
      </c>
      <c r="Q42" s="1078"/>
      <c r="R42" s="1078">
        <v>100</v>
      </c>
      <c r="S42" s="1040"/>
      <c r="T42" s="1038">
        <v>1600</v>
      </c>
      <c r="U42" s="1012"/>
      <c r="V42" s="1011">
        <v>1000</v>
      </c>
      <c r="W42" s="1012"/>
      <c r="X42" s="1017">
        <v>2300</v>
      </c>
      <c r="Y42" s="1011"/>
      <c r="Z42" s="1072"/>
      <c r="AA42" s="1073"/>
      <c r="AB42" s="1038">
        <v>800</v>
      </c>
      <c r="AC42" s="1012"/>
      <c r="AD42" s="1017">
        <v>800</v>
      </c>
      <c r="AE42" s="1011"/>
      <c r="AF42" s="1078">
        <v>300</v>
      </c>
      <c r="AG42" s="1078"/>
      <c r="AH42" s="1012">
        <v>500</v>
      </c>
      <c r="AI42" s="1040"/>
      <c r="AJ42" s="1038">
        <v>1100</v>
      </c>
      <c r="AK42" s="1018"/>
      <c r="AL42" s="1072"/>
      <c r="AM42" s="1074"/>
      <c r="AN42" s="1074"/>
      <c r="AO42" s="1074"/>
      <c r="AP42" s="1074"/>
      <c r="AQ42" s="1073"/>
      <c r="AR42" s="1038">
        <v>25400</v>
      </c>
      <c r="AS42" s="1012"/>
      <c r="AT42" s="1017">
        <v>9300</v>
      </c>
      <c r="AU42" s="1018"/>
      <c r="AV42" s="1158"/>
      <c r="AW42" s="1159"/>
      <c r="AX42" s="1159"/>
      <c r="AY42" s="1159"/>
      <c r="AZ42" s="1159"/>
      <c r="BA42" s="1160"/>
    </row>
    <row r="43" spans="1:53" ht="15.75" x14ac:dyDescent="0.25">
      <c r="A43" s="1082"/>
      <c r="B43" s="1038" t="s">
        <v>305</v>
      </c>
      <c r="C43" s="1012"/>
      <c r="D43" s="1017" t="s">
        <v>305</v>
      </c>
      <c r="E43" s="1012"/>
      <c r="F43" s="1017" t="s">
        <v>305</v>
      </c>
      <c r="G43" s="1012"/>
      <c r="H43" s="1017" t="s">
        <v>305</v>
      </c>
      <c r="I43" s="1012"/>
      <c r="J43" s="1017" t="s">
        <v>305</v>
      </c>
      <c r="K43" s="1018"/>
      <c r="L43" s="1038" t="s">
        <v>305</v>
      </c>
      <c r="M43" s="1012"/>
      <c r="N43" s="1017" t="s">
        <v>305</v>
      </c>
      <c r="O43" s="1012"/>
      <c r="P43" s="1017" t="s">
        <v>305</v>
      </c>
      <c r="Q43" s="1012"/>
      <c r="R43" s="1017" t="s">
        <v>305</v>
      </c>
      <c r="S43" s="1018"/>
      <c r="T43" s="1038" t="s">
        <v>305</v>
      </c>
      <c r="U43" s="1012"/>
      <c r="V43" s="1011" t="s">
        <v>305</v>
      </c>
      <c r="W43" s="1012"/>
      <c r="X43" s="1017" t="s">
        <v>305</v>
      </c>
      <c r="Y43" s="1011"/>
      <c r="Z43" s="1072"/>
      <c r="AA43" s="1073"/>
      <c r="AB43" s="1038" t="s">
        <v>305</v>
      </c>
      <c r="AC43" s="1012"/>
      <c r="AD43" s="1017" t="s">
        <v>305</v>
      </c>
      <c r="AE43" s="1011"/>
      <c r="AF43" s="1078" t="s">
        <v>305</v>
      </c>
      <c r="AG43" s="1078"/>
      <c r="AH43" s="1012" t="s">
        <v>305</v>
      </c>
      <c r="AI43" s="1040"/>
      <c r="AJ43" s="1038" t="s">
        <v>305</v>
      </c>
      <c r="AK43" s="1018"/>
      <c r="AL43" s="1072"/>
      <c r="AM43" s="1074"/>
      <c r="AN43" s="1074"/>
      <c r="AO43" s="1074"/>
      <c r="AP43" s="1074"/>
      <c r="AQ43" s="1073"/>
      <c r="AR43" s="1038" t="s">
        <v>305</v>
      </c>
      <c r="AS43" s="1012"/>
      <c r="AT43" s="1017" t="s">
        <v>305</v>
      </c>
      <c r="AU43" s="1018"/>
      <c r="AV43" s="1158"/>
      <c r="AW43" s="1159"/>
      <c r="AX43" s="1159"/>
      <c r="AY43" s="1159"/>
      <c r="AZ43" s="1159"/>
      <c r="BA43" s="1160"/>
    </row>
    <row r="44" spans="1:53" ht="15.75" x14ac:dyDescent="0.25">
      <c r="A44" s="1082"/>
      <c r="B44" s="1038">
        <f>B42/2</f>
        <v>550</v>
      </c>
      <c r="C44" s="1011"/>
      <c r="D44" s="1078">
        <f>D42/2</f>
        <v>500</v>
      </c>
      <c r="E44" s="1078"/>
      <c r="F44" s="1078">
        <f>F42/2</f>
        <v>50</v>
      </c>
      <c r="G44" s="1078"/>
      <c r="H44" s="1078">
        <f>H42/2</f>
        <v>0</v>
      </c>
      <c r="I44" s="1078"/>
      <c r="J44" s="1078">
        <f>J42/2</f>
        <v>1150</v>
      </c>
      <c r="K44" s="1040"/>
      <c r="L44" s="1039">
        <f>L42/2</f>
        <v>700</v>
      </c>
      <c r="M44" s="1078"/>
      <c r="N44" s="1078">
        <f>N42/2</f>
        <v>5400</v>
      </c>
      <c r="O44" s="1078"/>
      <c r="P44" s="1078">
        <f>P42/2</f>
        <v>550</v>
      </c>
      <c r="Q44" s="1078"/>
      <c r="R44" s="1078">
        <f>R42/2</f>
        <v>50</v>
      </c>
      <c r="S44" s="1040"/>
      <c r="T44" s="1039">
        <f>T42/2</f>
        <v>800</v>
      </c>
      <c r="U44" s="1078"/>
      <c r="V44" s="1012">
        <f>V42/2</f>
        <v>500</v>
      </c>
      <c r="W44" s="1078"/>
      <c r="X44" s="1011">
        <f>X42/2</f>
        <v>1150</v>
      </c>
      <c r="Y44" s="1011"/>
      <c r="Z44" s="1072"/>
      <c r="AA44" s="1073"/>
      <c r="AB44" s="1038">
        <f>AB42/2</f>
        <v>400</v>
      </c>
      <c r="AC44" s="1011"/>
      <c r="AD44" s="1078">
        <f>AD42/2</f>
        <v>400</v>
      </c>
      <c r="AE44" s="1017"/>
      <c r="AF44" s="1078">
        <v>152</v>
      </c>
      <c r="AG44" s="1078"/>
      <c r="AH44" s="1012">
        <v>220</v>
      </c>
      <c r="AI44" s="1040"/>
      <c r="AJ44" s="1038">
        <f>AJ42/2</f>
        <v>550</v>
      </c>
      <c r="AK44" s="1018"/>
      <c r="AL44" s="1072"/>
      <c r="AM44" s="1074"/>
      <c r="AN44" s="1074"/>
      <c r="AO44" s="1074"/>
      <c r="AP44" s="1074"/>
      <c r="AQ44" s="1073"/>
      <c r="AR44" s="1019">
        <f>AR42/2</f>
        <v>12700</v>
      </c>
      <c r="AS44" s="1098"/>
      <c r="AT44" s="1017">
        <f>AT42/2</f>
        <v>4650</v>
      </c>
      <c r="AU44" s="1018"/>
      <c r="AV44" s="1158"/>
      <c r="AW44" s="1159"/>
      <c r="AX44" s="1159"/>
      <c r="AY44" s="1159"/>
      <c r="AZ44" s="1159"/>
      <c r="BA44" s="1160"/>
    </row>
    <row r="45" spans="1:53" ht="15.75" x14ac:dyDescent="0.25">
      <c r="A45" s="1082"/>
      <c r="B45" s="1041" t="s">
        <v>17</v>
      </c>
      <c r="C45" s="1109"/>
      <c r="D45" s="1109" t="s">
        <v>17</v>
      </c>
      <c r="E45" s="1109"/>
      <c r="F45" s="1109" t="s">
        <v>17</v>
      </c>
      <c r="G45" s="1109"/>
      <c r="H45" s="1109" t="s">
        <v>17</v>
      </c>
      <c r="I45" s="1109"/>
      <c r="J45" s="1109" t="s">
        <v>17</v>
      </c>
      <c r="K45" s="1042"/>
      <c r="L45" s="1041" t="s">
        <v>17</v>
      </c>
      <c r="M45" s="1109"/>
      <c r="N45" s="1109" t="s">
        <v>17</v>
      </c>
      <c r="O45" s="1109"/>
      <c r="P45" s="1109" t="s">
        <v>17</v>
      </c>
      <c r="Q45" s="1109"/>
      <c r="R45" s="1109" t="s">
        <v>17</v>
      </c>
      <c r="S45" s="1042"/>
      <c r="T45" s="1041" t="s">
        <v>17</v>
      </c>
      <c r="U45" s="1109"/>
      <c r="V45" s="1107" t="s">
        <v>17</v>
      </c>
      <c r="W45" s="1109"/>
      <c r="X45" s="1109" t="s">
        <v>17</v>
      </c>
      <c r="Y45" s="1108"/>
      <c r="Z45" s="1072"/>
      <c r="AA45" s="1073"/>
      <c r="AB45" s="1105" t="s">
        <v>17</v>
      </c>
      <c r="AC45" s="1107"/>
      <c r="AD45" s="1108" t="s">
        <v>17</v>
      </c>
      <c r="AE45" s="1110"/>
      <c r="AF45" s="1109" t="s">
        <v>17</v>
      </c>
      <c r="AG45" s="1109"/>
      <c r="AH45" s="1107" t="s">
        <v>17</v>
      </c>
      <c r="AI45" s="1042"/>
      <c r="AJ45" s="1105" t="s">
        <v>17</v>
      </c>
      <c r="AK45" s="1106"/>
      <c r="AL45" s="1072"/>
      <c r="AM45" s="1074"/>
      <c r="AN45" s="1074"/>
      <c r="AO45" s="1074"/>
      <c r="AP45" s="1074"/>
      <c r="AQ45" s="1073"/>
      <c r="AR45" s="1038" t="s">
        <v>17</v>
      </c>
      <c r="AS45" s="1012"/>
      <c r="AT45" s="1017" t="s">
        <v>17</v>
      </c>
      <c r="AU45" s="1018"/>
      <c r="AV45" s="1158"/>
      <c r="AW45" s="1159"/>
      <c r="AX45" s="1159"/>
      <c r="AY45" s="1159"/>
      <c r="AZ45" s="1159"/>
      <c r="BA45" s="1160"/>
    </row>
    <row r="46" spans="1:53" ht="16.5" thickBot="1" x14ac:dyDescent="0.3">
      <c r="A46" s="1083"/>
      <c r="B46" s="1139">
        <v>3000</v>
      </c>
      <c r="C46" s="1115"/>
      <c r="D46" s="1115">
        <v>1250</v>
      </c>
      <c r="E46" s="1115"/>
      <c r="F46" s="1115">
        <v>200</v>
      </c>
      <c r="G46" s="1115"/>
      <c r="H46" s="1115">
        <v>1000</v>
      </c>
      <c r="I46" s="1115"/>
      <c r="J46" s="1115">
        <v>6100</v>
      </c>
      <c r="K46" s="1116"/>
      <c r="L46" s="1043">
        <v>3500</v>
      </c>
      <c r="M46" s="1131"/>
      <c r="N46" s="1131">
        <v>23500</v>
      </c>
      <c r="O46" s="1131"/>
      <c r="P46" s="1131">
        <v>2510</v>
      </c>
      <c r="Q46" s="1131"/>
      <c r="R46" s="1131">
        <v>0</v>
      </c>
      <c r="S46" s="1044"/>
      <c r="T46" s="1139">
        <v>4000</v>
      </c>
      <c r="U46" s="1115"/>
      <c r="V46" s="1136">
        <v>6900</v>
      </c>
      <c r="W46" s="1131"/>
      <c r="X46" s="1131">
        <v>0</v>
      </c>
      <c r="Y46" s="1132"/>
      <c r="Z46" s="1072"/>
      <c r="AA46" s="1073"/>
      <c r="AB46" s="1103">
        <v>500</v>
      </c>
      <c r="AC46" s="1113"/>
      <c r="AD46" s="1114">
        <v>0</v>
      </c>
      <c r="AE46" s="1117"/>
      <c r="AF46" s="1115">
        <v>1000</v>
      </c>
      <c r="AG46" s="1114"/>
      <c r="AH46" s="1115">
        <v>2400</v>
      </c>
      <c r="AI46" s="1116"/>
      <c r="AJ46" s="1165">
        <v>12000</v>
      </c>
      <c r="AK46" s="1166"/>
      <c r="AL46" s="1072"/>
      <c r="AM46" s="1074"/>
      <c r="AN46" s="1074"/>
      <c r="AO46" s="1074"/>
      <c r="AP46" s="1074"/>
      <c r="AQ46" s="1073"/>
      <c r="AR46" s="1103">
        <v>32500</v>
      </c>
      <c r="AS46" s="1113"/>
      <c r="AT46" s="1114">
        <v>55000</v>
      </c>
      <c r="AU46" s="1104"/>
      <c r="AV46" s="1158"/>
      <c r="AW46" s="1159"/>
      <c r="AX46" s="1159"/>
      <c r="AY46" s="1159"/>
      <c r="AZ46" s="1159"/>
      <c r="BA46" s="1160"/>
    </row>
    <row r="47" spans="1:53" ht="16.5" thickBot="1" x14ac:dyDescent="0.3">
      <c r="A47" s="7" t="s">
        <v>306</v>
      </c>
      <c r="B47" s="1045"/>
      <c r="C47" s="1121"/>
      <c r="D47" s="1121">
        <v>1000</v>
      </c>
      <c r="E47" s="1121"/>
      <c r="F47" s="1121">
        <v>1000</v>
      </c>
      <c r="G47" s="1121"/>
      <c r="H47" s="1121"/>
      <c r="I47" s="1121"/>
      <c r="J47" s="1121"/>
      <c r="K47" s="1046"/>
      <c r="L47" s="1045"/>
      <c r="M47" s="1121"/>
      <c r="N47" s="1121"/>
      <c r="O47" s="1121"/>
      <c r="P47" s="1121"/>
      <c r="Q47" s="1121"/>
      <c r="R47" s="1121">
        <v>1000</v>
      </c>
      <c r="S47" s="1046"/>
      <c r="T47" s="1045"/>
      <c r="U47" s="1121"/>
      <c r="V47" s="1122"/>
      <c r="W47" s="1121"/>
      <c r="X47" s="1121"/>
      <c r="Y47" s="1134"/>
      <c r="Z47" s="1072"/>
      <c r="AA47" s="1073"/>
      <c r="AB47" s="1045"/>
      <c r="AC47" s="1121"/>
      <c r="AD47" s="1121">
        <v>2000</v>
      </c>
      <c r="AE47" s="1134"/>
      <c r="AF47" s="1121"/>
      <c r="AG47" s="1134"/>
      <c r="AH47" s="1121"/>
      <c r="AI47" s="1046"/>
      <c r="AJ47" s="1045"/>
      <c r="AK47" s="1046"/>
      <c r="AL47" s="1072"/>
      <c r="AM47" s="1074"/>
      <c r="AN47" s="1074"/>
      <c r="AO47" s="1074"/>
      <c r="AP47" s="1074"/>
      <c r="AQ47" s="1073"/>
      <c r="AR47" s="1045"/>
      <c r="AS47" s="1121"/>
      <c r="AT47" s="1121"/>
      <c r="AU47" s="1046"/>
      <c r="AV47" s="1158"/>
      <c r="AW47" s="1159"/>
      <c r="AX47" s="1159"/>
      <c r="AY47" s="1159"/>
      <c r="AZ47" s="1159"/>
      <c r="BA47" s="1160"/>
    </row>
    <row r="48" spans="1:53" s="8" customFormat="1" ht="16.5" customHeight="1" thickBot="1" x14ac:dyDescent="0.3">
      <c r="A48" s="9" t="s">
        <v>303</v>
      </c>
      <c r="B48" s="1021">
        <f>+B42-B46-B47</f>
        <v>-1900</v>
      </c>
      <c r="C48" s="1063"/>
      <c r="D48" s="1063">
        <f>+D42-D46-D47</f>
        <v>-1250</v>
      </c>
      <c r="E48" s="1063"/>
      <c r="F48" s="1063">
        <f>+F42-F46-F47</f>
        <v>-1100</v>
      </c>
      <c r="G48" s="1063"/>
      <c r="H48" s="1063"/>
      <c r="I48" s="1063"/>
      <c r="J48" s="1063">
        <f>+J42-J46-J47</f>
        <v>-3800</v>
      </c>
      <c r="K48" s="1022"/>
      <c r="L48" s="1021">
        <f>+L42-L46-L47</f>
        <v>-2100</v>
      </c>
      <c r="M48" s="1063"/>
      <c r="N48" s="1063">
        <f>+N42-N46-N47</f>
        <v>-12700</v>
      </c>
      <c r="O48" s="1063"/>
      <c r="P48" s="1063">
        <f>+P42-P46-P47</f>
        <v>-1410</v>
      </c>
      <c r="Q48" s="1063"/>
      <c r="R48" s="1063">
        <f>+R42-R46-R47</f>
        <v>-900</v>
      </c>
      <c r="S48" s="1022"/>
      <c r="T48" s="1021">
        <f>+T42-T46-T47</f>
        <v>-2400</v>
      </c>
      <c r="U48" s="1063"/>
      <c r="V48" s="1063">
        <f>+V42-V46-V47</f>
        <v>-5900</v>
      </c>
      <c r="W48" s="1063"/>
      <c r="X48" s="1061">
        <f>+X42-X46-X47</f>
        <v>2300</v>
      </c>
      <c r="Y48" s="1062"/>
      <c r="Z48" s="1075"/>
      <c r="AA48" s="1140"/>
      <c r="AB48" s="1060">
        <f>+AB42-AB46-AB47</f>
        <v>300</v>
      </c>
      <c r="AC48" s="1061"/>
      <c r="AD48" s="1063">
        <f>+AD42-AD46-AD47</f>
        <v>-1200</v>
      </c>
      <c r="AE48" s="1077"/>
      <c r="AF48" s="1063">
        <f>+AF42-AF46-AF47</f>
        <v>-700</v>
      </c>
      <c r="AG48" s="1077"/>
      <c r="AH48" s="1063">
        <f>+AH42-AH46-AH47</f>
        <v>-1900</v>
      </c>
      <c r="AI48" s="1022"/>
      <c r="AJ48" s="1021">
        <f>+AJ42-AJ46-AJ47</f>
        <v>-10900</v>
      </c>
      <c r="AK48" s="1022"/>
      <c r="AL48" s="1075"/>
      <c r="AM48" s="1076"/>
      <c r="AN48" s="1076"/>
      <c r="AO48" s="1076"/>
      <c r="AP48" s="1076"/>
      <c r="AQ48" s="1140"/>
      <c r="AR48" s="1021">
        <f>+AR42-AR46-AR47</f>
        <v>-7100</v>
      </c>
      <c r="AS48" s="1063"/>
      <c r="AT48" s="1063">
        <f>+AT42-AT46-AT47</f>
        <v>-45700</v>
      </c>
      <c r="AU48" s="1022"/>
      <c r="AV48" s="1161"/>
      <c r="AW48" s="1162"/>
      <c r="AX48" s="1162"/>
      <c r="AY48" s="1162"/>
      <c r="AZ48" s="1162"/>
      <c r="BA48" s="1163"/>
    </row>
  </sheetData>
  <mergeCells count="788">
    <mergeCell ref="AZ17:BA26"/>
    <mergeCell ref="T3:W3"/>
    <mergeCell ref="X3:AA3"/>
    <mergeCell ref="AJ3:AM3"/>
    <mergeCell ref="AN3:AQ3"/>
    <mergeCell ref="AB5:AI5"/>
    <mergeCell ref="AD6:AI15"/>
    <mergeCell ref="AH17:AI26"/>
    <mergeCell ref="AD26:AE26"/>
    <mergeCell ref="AF26:AG26"/>
    <mergeCell ref="AJ26:AK26"/>
    <mergeCell ref="AL26:AM26"/>
    <mergeCell ref="AP26:AQ26"/>
    <mergeCell ref="AR26:AS26"/>
    <mergeCell ref="AT26:AU26"/>
    <mergeCell ref="AD22:AE22"/>
    <mergeCell ref="V21:W21"/>
    <mergeCell ref="X21:Y21"/>
    <mergeCell ref="Z21:AA21"/>
    <mergeCell ref="AR25:AS25"/>
    <mergeCell ref="AT25:AU25"/>
    <mergeCell ref="AF24:AG24"/>
    <mergeCell ref="T23:U23"/>
    <mergeCell ref="V23:W23"/>
    <mergeCell ref="A1:S2"/>
    <mergeCell ref="T1:AI2"/>
    <mergeCell ref="AJ1:BA2"/>
    <mergeCell ref="P3:S3"/>
    <mergeCell ref="AF3:AI3"/>
    <mergeCell ref="AX3:BA3"/>
    <mergeCell ref="K3:O3"/>
    <mergeCell ref="AB3:AE3"/>
    <mergeCell ref="AR3:AW3"/>
    <mergeCell ref="A3:E3"/>
    <mergeCell ref="F3:J3"/>
    <mergeCell ref="AH45:AI45"/>
    <mergeCell ref="AH46:AI46"/>
    <mergeCell ref="AH47:AI47"/>
    <mergeCell ref="AH48:AI48"/>
    <mergeCell ref="L47:M47"/>
    <mergeCell ref="AJ48:AK48"/>
    <mergeCell ref="AJ45:AK45"/>
    <mergeCell ref="N45:O45"/>
    <mergeCell ref="P45:Q45"/>
    <mergeCell ref="R45:S45"/>
    <mergeCell ref="AR48:AS48"/>
    <mergeCell ref="B47:C47"/>
    <mergeCell ref="D47:E47"/>
    <mergeCell ref="F47:G47"/>
    <mergeCell ref="H47:I47"/>
    <mergeCell ref="J47:K47"/>
    <mergeCell ref="AT48:AU48"/>
    <mergeCell ref="T48:U48"/>
    <mergeCell ref="V48:W48"/>
    <mergeCell ref="X48:Y48"/>
    <mergeCell ref="AB48:AC48"/>
    <mergeCell ref="AD48:AE48"/>
    <mergeCell ref="AF48:AG48"/>
    <mergeCell ref="AT47:AU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AL39:AQ48"/>
    <mergeCell ref="AR46:AS46"/>
    <mergeCell ref="AT46:AU46"/>
    <mergeCell ref="X46:Y46"/>
    <mergeCell ref="AB46:AC46"/>
    <mergeCell ref="N47:O47"/>
    <mergeCell ref="P47:Q47"/>
    <mergeCell ref="R47:S47"/>
    <mergeCell ref="T47:U47"/>
    <mergeCell ref="V47:W47"/>
    <mergeCell ref="X47:Y47"/>
    <mergeCell ref="AB47:AC47"/>
    <mergeCell ref="AD47:AE47"/>
    <mergeCell ref="AF47:AG47"/>
    <mergeCell ref="AJ47:AK47"/>
    <mergeCell ref="AR47:AS47"/>
    <mergeCell ref="P46:Q46"/>
    <mergeCell ref="R46:S46"/>
    <mergeCell ref="T46:U46"/>
    <mergeCell ref="V46:W46"/>
    <mergeCell ref="Z39:AA48"/>
    <mergeCell ref="AH39:AI39"/>
    <mergeCell ref="AH40:AI40"/>
    <mergeCell ref="AH41:AI41"/>
    <mergeCell ref="AH42:AI42"/>
    <mergeCell ref="AR45:AS45"/>
    <mergeCell ref="AT45:AU45"/>
    <mergeCell ref="B46:C46"/>
    <mergeCell ref="D46:E46"/>
    <mergeCell ref="F46:G46"/>
    <mergeCell ref="H46:I46"/>
    <mergeCell ref="J46:K46"/>
    <mergeCell ref="L46:M46"/>
    <mergeCell ref="N46:O46"/>
    <mergeCell ref="T45:U45"/>
    <mergeCell ref="V45:W45"/>
    <mergeCell ref="X45:Y45"/>
    <mergeCell ref="AB45:AC45"/>
    <mergeCell ref="AD45:AE45"/>
    <mergeCell ref="AF45:AG45"/>
    <mergeCell ref="AD46:AE46"/>
    <mergeCell ref="AF46:AG46"/>
    <mergeCell ref="AJ46:AK46"/>
    <mergeCell ref="B45:C45"/>
    <mergeCell ref="D45:E45"/>
    <mergeCell ref="F45:G45"/>
    <mergeCell ref="H45:I45"/>
    <mergeCell ref="J45:K45"/>
    <mergeCell ref="L45:M45"/>
    <mergeCell ref="AT42:AU42"/>
    <mergeCell ref="AD42:AE42"/>
    <mergeCell ref="AR40:AS40"/>
    <mergeCell ref="AF44:AG44"/>
    <mergeCell ref="AJ44:AK44"/>
    <mergeCell ref="AR44:AS44"/>
    <mergeCell ref="L44:M44"/>
    <mergeCell ref="N44:O44"/>
    <mergeCell ref="P44:Q44"/>
    <mergeCell ref="R44:S44"/>
    <mergeCell ref="T44:U44"/>
    <mergeCell ref="V44:W44"/>
    <mergeCell ref="X44:Y44"/>
    <mergeCell ref="AB44:AC44"/>
    <mergeCell ref="AD43:AE43"/>
    <mergeCell ref="AF43:AG43"/>
    <mergeCell ref="AJ43:AK43"/>
    <mergeCell ref="AR43:AS43"/>
    <mergeCell ref="V43:W43"/>
    <mergeCell ref="R40:S40"/>
    <mergeCell ref="T40:U40"/>
    <mergeCell ref="V40:W40"/>
    <mergeCell ref="X40:Y40"/>
    <mergeCell ref="P42:Q42"/>
    <mergeCell ref="AR39:AS39"/>
    <mergeCell ref="X43:Y43"/>
    <mergeCell ref="B44:C44"/>
    <mergeCell ref="D44:E44"/>
    <mergeCell ref="F44:G44"/>
    <mergeCell ref="H44:I44"/>
    <mergeCell ref="J44:K44"/>
    <mergeCell ref="P43:Q43"/>
    <mergeCell ref="R43:S43"/>
    <mergeCell ref="T43:U43"/>
    <mergeCell ref="B43:C43"/>
    <mergeCell ref="D43:E43"/>
    <mergeCell ref="F43:G43"/>
    <mergeCell ref="H43:I43"/>
    <mergeCell ref="J43:K43"/>
    <mergeCell ref="L43:M43"/>
    <mergeCell ref="N43:O43"/>
    <mergeCell ref="AH43:AI43"/>
    <mergeCell ref="AH44:AI44"/>
    <mergeCell ref="R42:S42"/>
    <mergeCell ref="AB43:AC43"/>
    <mergeCell ref="X42:Y42"/>
    <mergeCell ref="AB42:AC42"/>
    <mergeCell ref="B41:C41"/>
    <mergeCell ref="AV38:AW38"/>
    <mergeCell ref="V38:W38"/>
    <mergeCell ref="X38:Y38"/>
    <mergeCell ref="Z38:AA38"/>
    <mergeCell ref="AB38:AC38"/>
    <mergeCell ref="AD38:AE38"/>
    <mergeCell ref="AF38:AG38"/>
    <mergeCell ref="AV40:BA48"/>
    <mergeCell ref="AT43:AU43"/>
    <mergeCell ref="AT44:AU44"/>
    <mergeCell ref="AD44:AE44"/>
    <mergeCell ref="AT39:AU39"/>
    <mergeCell ref="V42:W42"/>
    <mergeCell ref="AV39:BA39"/>
    <mergeCell ref="AB39:AC39"/>
    <mergeCell ref="AT40:AU40"/>
    <mergeCell ref="AD41:AE41"/>
    <mergeCell ref="AF41:AG41"/>
    <mergeCell ref="AJ41:AK41"/>
    <mergeCell ref="AR41:AS41"/>
    <mergeCell ref="AT41:AU41"/>
    <mergeCell ref="AJ42:AK42"/>
    <mergeCell ref="AR42:AS42"/>
    <mergeCell ref="AF42:AG42"/>
    <mergeCell ref="AL38:AM38"/>
    <mergeCell ref="AN38:AO38"/>
    <mergeCell ref="AR38:AS38"/>
    <mergeCell ref="AT38:AU38"/>
    <mergeCell ref="T42:U42"/>
    <mergeCell ref="B40:C40"/>
    <mergeCell ref="D40:E40"/>
    <mergeCell ref="F40:G40"/>
    <mergeCell ref="H40:I40"/>
    <mergeCell ref="J40:K40"/>
    <mergeCell ref="L40:M40"/>
    <mergeCell ref="N40:O40"/>
    <mergeCell ref="P40:Q40"/>
    <mergeCell ref="P39:Q39"/>
    <mergeCell ref="R39:S39"/>
    <mergeCell ref="T39:U39"/>
    <mergeCell ref="J42:K42"/>
    <mergeCell ref="L42:M42"/>
    <mergeCell ref="N42:O42"/>
    <mergeCell ref="AD39:AE39"/>
    <mergeCell ref="AF39:AG39"/>
    <mergeCell ref="AJ38:AK38"/>
    <mergeCell ref="P41:Q41"/>
    <mergeCell ref="R41:S41"/>
    <mergeCell ref="A39:A46"/>
    <mergeCell ref="B39:C39"/>
    <mergeCell ref="D39:E39"/>
    <mergeCell ref="F39:G39"/>
    <mergeCell ref="H39:I39"/>
    <mergeCell ref="J39:K39"/>
    <mergeCell ref="L39:M39"/>
    <mergeCell ref="N39:O39"/>
    <mergeCell ref="B42:C42"/>
    <mergeCell ref="D42:E42"/>
    <mergeCell ref="F42:G42"/>
    <mergeCell ref="H42:I42"/>
    <mergeCell ref="D41:E41"/>
    <mergeCell ref="F41:G41"/>
    <mergeCell ref="H41:I41"/>
    <mergeCell ref="J41:K41"/>
    <mergeCell ref="L41:M41"/>
    <mergeCell ref="N41:O41"/>
    <mergeCell ref="AD40:AE40"/>
    <mergeCell ref="AF40:AG40"/>
    <mergeCell ref="AJ40:AK40"/>
    <mergeCell ref="AJ39:AK39"/>
    <mergeCell ref="V39:W39"/>
    <mergeCell ref="X39:Y39"/>
    <mergeCell ref="AB40:AC40"/>
    <mergeCell ref="T41:U41"/>
    <mergeCell ref="V41:W41"/>
    <mergeCell ref="X41:Y41"/>
    <mergeCell ref="AB41:AC41"/>
    <mergeCell ref="AZ36:BA36"/>
    <mergeCell ref="B38:C38"/>
    <mergeCell ref="D38:E38"/>
    <mergeCell ref="L38:M38"/>
    <mergeCell ref="N38:O38"/>
    <mergeCell ref="P38:Q38"/>
    <mergeCell ref="R38:S38"/>
    <mergeCell ref="T38:U38"/>
    <mergeCell ref="AF36:AG36"/>
    <mergeCell ref="AJ36:AK36"/>
    <mergeCell ref="AL36:AM36"/>
    <mergeCell ref="AN36:AO36"/>
    <mergeCell ref="AR36:AS36"/>
    <mergeCell ref="AT36:AU36"/>
    <mergeCell ref="T36:U36"/>
    <mergeCell ref="V36:W36"/>
    <mergeCell ref="X36:Y36"/>
    <mergeCell ref="Z36:AA36"/>
    <mergeCell ref="AB36:AC36"/>
    <mergeCell ref="AD36:AE36"/>
    <mergeCell ref="B36:C36"/>
    <mergeCell ref="D36:E36"/>
    <mergeCell ref="AX38:AY38"/>
    <mergeCell ref="AZ38:BA38"/>
    <mergeCell ref="L36:M36"/>
    <mergeCell ref="N36:O36"/>
    <mergeCell ref="P36:Q36"/>
    <mergeCell ref="R36:S36"/>
    <mergeCell ref="AN35:AO35"/>
    <mergeCell ref="AR35:AS35"/>
    <mergeCell ref="AT35:AU35"/>
    <mergeCell ref="AV35:AW35"/>
    <mergeCell ref="AX35:AY35"/>
    <mergeCell ref="AV36:AW36"/>
    <mergeCell ref="AX36:AY36"/>
    <mergeCell ref="AH28:AI37"/>
    <mergeCell ref="AX33:AY33"/>
    <mergeCell ref="AV32:AW32"/>
    <mergeCell ref="AX32:AY32"/>
    <mergeCell ref="R32:S32"/>
    <mergeCell ref="AD31:AE31"/>
    <mergeCell ref="AF31:AG31"/>
    <mergeCell ref="AJ31:AK31"/>
    <mergeCell ref="R31:S31"/>
    <mergeCell ref="T31:U31"/>
    <mergeCell ref="V31:W31"/>
    <mergeCell ref="X31:Y31"/>
    <mergeCell ref="Z31:AA31"/>
    <mergeCell ref="AZ35:BA35"/>
    <mergeCell ref="Z35:AA35"/>
    <mergeCell ref="AB35:AC35"/>
    <mergeCell ref="AD35:AE35"/>
    <mergeCell ref="AF35:AG35"/>
    <mergeCell ref="AJ35:AK35"/>
    <mergeCell ref="AL35:AM35"/>
    <mergeCell ref="AZ34:BA34"/>
    <mergeCell ref="B35:C35"/>
    <mergeCell ref="D35:E35"/>
    <mergeCell ref="L35:M35"/>
    <mergeCell ref="N35:O35"/>
    <mergeCell ref="P35:Q35"/>
    <mergeCell ref="R35:S35"/>
    <mergeCell ref="T35:U35"/>
    <mergeCell ref="V35:W35"/>
    <mergeCell ref="X35:Y35"/>
    <mergeCell ref="AL34:AM34"/>
    <mergeCell ref="AN34:AO34"/>
    <mergeCell ref="AR34:AS34"/>
    <mergeCell ref="AT34:AU34"/>
    <mergeCell ref="AV34:AW34"/>
    <mergeCell ref="AX34:AY34"/>
    <mergeCell ref="X34:Y34"/>
    <mergeCell ref="AZ33:BA33"/>
    <mergeCell ref="B34:C34"/>
    <mergeCell ref="D34:E34"/>
    <mergeCell ref="L34:M34"/>
    <mergeCell ref="N34:O34"/>
    <mergeCell ref="P34:Q34"/>
    <mergeCell ref="R34:S34"/>
    <mergeCell ref="T34:U34"/>
    <mergeCell ref="V34:W34"/>
    <mergeCell ref="AJ33:AK33"/>
    <mergeCell ref="AL33:AM33"/>
    <mergeCell ref="AN33:AO33"/>
    <mergeCell ref="AR33:AS33"/>
    <mergeCell ref="AT33:AU33"/>
    <mergeCell ref="AV33:AW33"/>
    <mergeCell ref="V33:W33"/>
    <mergeCell ref="X33:Y33"/>
    <mergeCell ref="Z33:AA33"/>
    <mergeCell ref="Z34:AA34"/>
    <mergeCell ref="AB34:AC34"/>
    <mergeCell ref="AD34:AE34"/>
    <mergeCell ref="AF34:AG34"/>
    <mergeCell ref="AJ34:AK34"/>
    <mergeCell ref="F28:K37"/>
    <mergeCell ref="AZ32:BA32"/>
    <mergeCell ref="B33:C33"/>
    <mergeCell ref="D33:E33"/>
    <mergeCell ref="L33:M33"/>
    <mergeCell ref="N33:O33"/>
    <mergeCell ref="P33:Q33"/>
    <mergeCell ref="R33:S33"/>
    <mergeCell ref="T33:U33"/>
    <mergeCell ref="AF32:AG32"/>
    <mergeCell ref="AJ32:AK32"/>
    <mergeCell ref="AL32:AM32"/>
    <mergeCell ref="AN32:AO32"/>
    <mergeCell ref="AR32:AS32"/>
    <mergeCell ref="AT32:AU32"/>
    <mergeCell ref="T32:U32"/>
    <mergeCell ref="V32:W32"/>
    <mergeCell ref="X32:Y32"/>
    <mergeCell ref="Z32:AA32"/>
    <mergeCell ref="AB32:AC32"/>
    <mergeCell ref="B32:C32"/>
    <mergeCell ref="D32:E32"/>
    <mergeCell ref="L32:M32"/>
    <mergeCell ref="N32:O32"/>
    <mergeCell ref="P32:Q32"/>
    <mergeCell ref="AT30:AU30"/>
    <mergeCell ref="AV30:AW30"/>
    <mergeCell ref="AX30:AY30"/>
    <mergeCell ref="AZ30:BA30"/>
    <mergeCell ref="B31:C31"/>
    <mergeCell ref="D31:E31"/>
    <mergeCell ref="L31:M31"/>
    <mergeCell ref="N31:O31"/>
    <mergeCell ref="P31:Q31"/>
    <mergeCell ref="T30:U30"/>
    <mergeCell ref="V30:W30"/>
    <mergeCell ref="X30:Y30"/>
    <mergeCell ref="Z30:AA30"/>
    <mergeCell ref="AB30:AC30"/>
    <mergeCell ref="AD30:AE30"/>
    <mergeCell ref="AT31:AU31"/>
    <mergeCell ref="AV31:AW31"/>
    <mergeCell ref="AX31:AY31"/>
    <mergeCell ref="AZ31:BA31"/>
    <mergeCell ref="AL31:AM31"/>
    <mergeCell ref="AN31:AO31"/>
    <mergeCell ref="AR31:AS31"/>
    <mergeCell ref="R30:S30"/>
    <mergeCell ref="AP28:AQ37"/>
    <mergeCell ref="AR30:AS30"/>
    <mergeCell ref="AD32:AE32"/>
    <mergeCell ref="AB33:AC33"/>
    <mergeCell ref="AD33:AE33"/>
    <mergeCell ref="AF33:AG33"/>
    <mergeCell ref="AF29:AG29"/>
    <mergeCell ref="AJ29:AK29"/>
    <mergeCell ref="AL29:AM29"/>
    <mergeCell ref="AN29:AO29"/>
    <mergeCell ref="AR29:AS29"/>
    <mergeCell ref="AF30:AG30"/>
    <mergeCell ref="AJ30:AK30"/>
    <mergeCell ref="AL30:AM30"/>
    <mergeCell ref="AN30:AO30"/>
    <mergeCell ref="AB31:AC31"/>
    <mergeCell ref="AD29:AE29"/>
    <mergeCell ref="AZ28:BA28"/>
    <mergeCell ref="B29:C29"/>
    <mergeCell ref="D29:E29"/>
    <mergeCell ref="L29:M29"/>
    <mergeCell ref="N29:O29"/>
    <mergeCell ref="P29:Q29"/>
    <mergeCell ref="R29:S29"/>
    <mergeCell ref="AJ28:AK28"/>
    <mergeCell ref="AL28:AM28"/>
    <mergeCell ref="AN28:AO28"/>
    <mergeCell ref="AR28:AS28"/>
    <mergeCell ref="AT28:AU28"/>
    <mergeCell ref="V28:W28"/>
    <mergeCell ref="X28:Y28"/>
    <mergeCell ref="Z28:AA28"/>
    <mergeCell ref="AB28:AC28"/>
    <mergeCell ref="AD28:AE28"/>
    <mergeCell ref="AF28:AG28"/>
    <mergeCell ref="AT29:AU29"/>
    <mergeCell ref="AV29:AW29"/>
    <mergeCell ref="AX29:AY29"/>
    <mergeCell ref="AZ29:BA29"/>
    <mergeCell ref="T29:U29"/>
    <mergeCell ref="AX28:AY28"/>
    <mergeCell ref="A28:A35"/>
    <mergeCell ref="B28:C28"/>
    <mergeCell ref="D28:E28"/>
    <mergeCell ref="L28:M28"/>
    <mergeCell ref="N28:O28"/>
    <mergeCell ref="P28:Q28"/>
    <mergeCell ref="R28:S28"/>
    <mergeCell ref="T28:U28"/>
    <mergeCell ref="AB29:AC29"/>
    <mergeCell ref="B30:C30"/>
    <mergeCell ref="D30:E30"/>
    <mergeCell ref="L30:M30"/>
    <mergeCell ref="N30:O30"/>
    <mergeCell ref="P30:Q30"/>
    <mergeCell ref="X29:Y29"/>
    <mergeCell ref="Z29:AA29"/>
    <mergeCell ref="V29:W29"/>
    <mergeCell ref="B25:C25"/>
    <mergeCell ref="D25:E25"/>
    <mergeCell ref="F25:G25"/>
    <mergeCell ref="L25:M25"/>
    <mergeCell ref="N25:O25"/>
    <mergeCell ref="P25:Q25"/>
    <mergeCell ref="AJ25:AK25"/>
    <mergeCell ref="AL25:AM25"/>
    <mergeCell ref="AP25:AQ25"/>
    <mergeCell ref="T25:U25"/>
    <mergeCell ref="J25:K25"/>
    <mergeCell ref="R17:S26"/>
    <mergeCell ref="T22:U22"/>
    <mergeCell ref="B26:C26"/>
    <mergeCell ref="AD25:AE25"/>
    <mergeCell ref="AF25:AG25"/>
    <mergeCell ref="D26:E26"/>
    <mergeCell ref="F26:G26"/>
    <mergeCell ref="L26:M26"/>
    <mergeCell ref="N26:O26"/>
    <mergeCell ref="P26:Q26"/>
    <mergeCell ref="T26:U26"/>
    <mergeCell ref="V26:W26"/>
    <mergeCell ref="X26:Y26"/>
    <mergeCell ref="J22:K22"/>
    <mergeCell ref="J23:K23"/>
    <mergeCell ref="J24:K24"/>
    <mergeCell ref="J26:K26"/>
    <mergeCell ref="V22:W22"/>
    <mergeCell ref="X22:Y22"/>
    <mergeCell ref="AF22:AG22"/>
    <mergeCell ref="AJ22:AK22"/>
    <mergeCell ref="AL22:AM22"/>
    <mergeCell ref="V25:W25"/>
    <mergeCell ref="X25:Y25"/>
    <mergeCell ref="Z25:AA25"/>
    <mergeCell ref="Z26:AA26"/>
    <mergeCell ref="B24:C24"/>
    <mergeCell ref="D24:E24"/>
    <mergeCell ref="F24:G24"/>
    <mergeCell ref="L24:M24"/>
    <mergeCell ref="N24:O24"/>
    <mergeCell ref="P24:Q24"/>
    <mergeCell ref="AJ23:AK23"/>
    <mergeCell ref="B23:C23"/>
    <mergeCell ref="D23:E23"/>
    <mergeCell ref="F23:G23"/>
    <mergeCell ref="L23:M23"/>
    <mergeCell ref="N23:O23"/>
    <mergeCell ref="P23:Q23"/>
    <mergeCell ref="AJ24:AK24"/>
    <mergeCell ref="T24:U24"/>
    <mergeCell ref="V24:W24"/>
    <mergeCell ref="X24:Y24"/>
    <mergeCell ref="Z24:AA24"/>
    <mergeCell ref="AD24:AE24"/>
    <mergeCell ref="B20:C20"/>
    <mergeCell ref="D20:E20"/>
    <mergeCell ref="F20:G20"/>
    <mergeCell ref="L20:M20"/>
    <mergeCell ref="N20:O20"/>
    <mergeCell ref="P20:Q20"/>
    <mergeCell ref="B22:C22"/>
    <mergeCell ref="D22:E22"/>
    <mergeCell ref="F22:G22"/>
    <mergeCell ref="L22:M22"/>
    <mergeCell ref="N22:O22"/>
    <mergeCell ref="P22:Q22"/>
    <mergeCell ref="B21:C21"/>
    <mergeCell ref="D21:E21"/>
    <mergeCell ref="F21:G21"/>
    <mergeCell ref="L21:M21"/>
    <mergeCell ref="N21:O21"/>
    <mergeCell ref="P21:Q21"/>
    <mergeCell ref="H17:I26"/>
    <mergeCell ref="J17:K17"/>
    <mergeCell ref="J18:K18"/>
    <mergeCell ref="J19:K19"/>
    <mergeCell ref="J20:K20"/>
    <mergeCell ref="J21:K21"/>
    <mergeCell ref="AX25:AY25"/>
    <mergeCell ref="AT21:AU21"/>
    <mergeCell ref="AV21:AW21"/>
    <mergeCell ref="AX21:AY21"/>
    <mergeCell ref="AT22:AU22"/>
    <mergeCell ref="AT24:AU24"/>
    <mergeCell ref="AV25:AW25"/>
    <mergeCell ref="AL20:AM20"/>
    <mergeCell ref="AP20:AQ20"/>
    <mergeCell ref="AR20:AS20"/>
    <mergeCell ref="AR21:AS21"/>
    <mergeCell ref="AV22:AW22"/>
    <mergeCell ref="AR23:AS23"/>
    <mergeCell ref="AT23:AU23"/>
    <mergeCell ref="AV23:AW23"/>
    <mergeCell ref="AL23:AM23"/>
    <mergeCell ref="AP23:AQ23"/>
    <mergeCell ref="AL24:AM24"/>
    <mergeCell ref="AP24:AQ24"/>
    <mergeCell ref="AT20:AU20"/>
    <mergeCell ref="AV20:AW20"/>
    <mergeCell ref="AX20:AY20"/>
    <mergeCell ref="AR22:AS22"/>
    <mergeCell ref="AR24:AS24"/>
    <mergeCell ref="AX23:AY23"/>
    <mergeCell ref="AX24:AY24"/>
    <mergeCell ref="AV24:AW24"/>
    <mergeCell ref="X19:Y19"/>
    <mergeCell ref="AD19:AE19"/>
    <mergeCell ref="AF19:AG19"/>
    <mergeCell ref="Z19:AA19"/>
    <mergeCell ref="AP19:AQ19"/>
    <mergeCell ref="AR19:AS19"/>
    <mergeCell ref="Z20:AA20"/>
    <mergeCell ref="Z22:AA22"/>
    <mergeCell ref="X23:Y23"/>
    <mergeCell ref="Z23:AA23"/>
    <mergeCell ref="AD20:AE20"/>
    <mergeCell ref="AF20:AG20"/>
    <mergeCell ref="AJ20:AK20"/>
    <mergeCell ref="AP21:AQ21"/>
    <mergeCell ref="AP22:AQ22"/>
    <mergeCell ref="AD23:AE23"/>
    <mergeCell ref="AF23:AG23"/>
    <mergeCell ref="AD21:AE21"/>
    <mergeCell ref="AF21:AG21"/>
    <mergeCell ref="AJ21:AK21"/>
    <mergeCell ref="AL21:AM21"/>
    <mergeCell ref="D18:E18"/>
    <mergeCell ref="F18:G18"/>
    <mergeCell ref="L18:M18"/>
    <mergeCell ref="AD17:AE17"/>
    <mergeCell ref="AF17:AG17"/>
    <mergeCell ref="AJ17:AK17"/>
    <mergeCell ref="AL17:AM17"/>
    <mergeCell ref="AN17:AO17"/>
    <mergeCell ref="AP17:AQ17"/>
    <mergeCell ref="T17:U17"/>
    <mergeCell ref="V17:W17"/>
    <mergeCell ref="X17:Y17"/>
    <mergeCell ref="Z17:AA17"/>
    <mergeCell ref="AB17:AC17"/>
    <mergeCell ref="N18:O18"/>
    <mergeCell ref="P18:Q18"/>
    <mergeCell ref="AN18:AO18"/>
    <mergeCell ref="AP18:AQ18"/>
    <mergeCell ref="Z18:AA18"/>
    <mergeCell ref="AB18:AC18"/>
    <mergeCell ref="AD18:AE18"/>
    <mergeCell ref="AF18:AG18"/>
    <mergeCell ref="AJ18:AK18"/>
    <mergeCell ref="AL18:AM18"/>
    <mergeCell ref="A17:A24"/>
    <mergeCell ref="B17:C17"/>
    <mergeCell ref="D17:E17"/>
    <mergeCell ref="F17:G17"/>
    <mergeCell ref="L17:M17"/>
    <mergeCell ref="N17:O17"/>
    <mergeCell ref="P17:Q17"/>
    <mergeCell ref="AR17:AS17"/>
    <mergeCell ref="T18:U18"/>
    <mergeCell ref="V18:W18"/>
    <mergeCell ref="X18:Y18"/>
    <mergeCell ref="T20:U20"/>
    <mergeCell ref="V20:W20"/>
    <mergeCell ref="X20:Y20"/>
    <mergeCell ref="T21:U21"/>
    <mergeCell ref="B19:C19"/>
    <mergeCell ref="D19:E19"/>
    <mergeCell ref="F19:G19"/>
    <mergeCell ref="L19:M19"/>
    <mergeCell ref="N19:O19"/>
    <mergeCell ref="P19:Q19"/>
    <mergeCell ref="T19:U19"/>
    <mergeCell ref="V19:W19"/>
    <mergeCell ref="B18:C18"/>
    <mergeCell ref="D16:E16"/>
    <mergeCell ref="F16:G16"/>
    <mergeCell ref="L16:M16"/>
    <mergeCell ref="N16:O16"/>
    <mergeCell ref="T16:U16"/>
    <mergeCell ref="AB16:AC16"/>
    <mergeCell ref="B14:C14"/>
    <mergeCell ref="D14:E14"/>
    <mergeCell ref="F14:G14"/>
    <mergeCell ref="L14:M14"/>
    <mergeCell ref="N14:O14"/>
    <mergeCell ref="T14:U14"/>
    <mergeCell ref="B15:C15"/>
    <mergeCell ref="D15:E15"/>
    <mergeCell ref="F15:G15"/>
    <mergeCell ref="L15:M15"/>
    <mergeCell ref="N15:O15"/>
    <mergeCell ref="T15:U15"/>
    <mergeCell ref="B16:C16"/>
    <mergeCell ref="B11:C11"/>
    <mergeCell ref="D11:E11"/>
    <mergeCell ref="AJ11:AK11"/>
    <mergeCell ref="AR11:AS11"/>
    <mergeCell ref="AL6:AQ15"/>
    <mergeCell ref="B12:C12"/>
    <mergeCell ref="D12:E12"/>
    <mergeCell ref="F12:G12"/>
    <mergeCell ref="L12:M12"/>
    <mergeCell ref="N12:O12"/>
    <mergeCell ref="T12:U12"/>
    <mergeCell ref="AB12:AC12"/>
    <mergeCell ref="AJ12:AK12"/>
    <mergeCell ref="AR12:AS12"/>
    <mergeCell ref="B13:C13"/>
    <mergeCell ref="D13:E13"/>
    <mergeCell ref="F13:G13"/>
    <mergeCell ref="L13:M13"/>
    <mergeCell ref="N13:O13"/>
    <mergeCell ref="T13:U13"/>
    <mergeCell ref="AB13:AC13"/>
    <mergeCell ref="AJ13:AK13"/>
    <mergeCell ref="AR13:AS13"/>
    <mergeCell ref="AB14:AC14"/>
    <mergeCell ref="J7:K7"/>
    <mergeCell ref="J6:K6"/>
    <mergeCell ref="J11:K11"/>
    <mergeCell ref="J10:K10"/>
    <mergeCell ref="J9:K9"/>
    <mergeCell ref="J15:K15"/>
    <mergeCell ref="J14:K14"/>
    <mergeCell ref="J13:K13"/>
    <mergeCell ref="J12:K12"/>
    <mergeCell ref="B8:C8"/>
    <mergeCell ref="D8:E8"/>
    <mergeCell ref="F8:G8"/>
    <mergeCell ref="L8:M8"/>
    <mergeCell ref="N8:O8"/>
    <mergeCell ref="T8:U8"/>
    <mergeCell ref="AB10:AC10"/>
    <mergeCell ref="AJ10:AK10"/>
    <mergeCell ref="AR10:AS10"/>
    <mergeCell ref="AB8:AC8"/>
    <mergeCell ref="B9:C9"/>
    <mergeCell ref="D9:E9"/>
    <mergeCell ref="F9:G9"/>
    <mergeCell ref="N9:O9"/>
    <mergeCell ref="T9:U9"/>
    <mergeCell ref="AB9:AC9"/>
    <mergeCell ref="B10:C10"/>
    <mergeCell ref="D10:E10"/>
    <mergeCell ref="F10:G10"/>
    <mergeCell ref="L10:M10"/>
    <mergeCell ref="N10:O10"/>
    <mergeCell ref="T10:U10"/>
    <mergeCell ref="H6:I15"/>
    <mergeCell ref="J8:K8"/>
    <mergeCell ref="A5:A13"/>
    <mergeCell ref="B5:K5"/>
    <mergeCell ref="L5:S5"/>
    <mergeCell ref="T5:AA5"/>
    <mergeCell ref="AJ5:AQ5"/>
    <mergeCell ref="AR5:BA5"/>
    <mergeCell ref="B7:C7"/>
    <mergeCell ref="D7:E7"/>
    <mergeCell ref="F7:G7"/>
    <mergeCell ref="L7:M7"/>
    <mergeCell ref="N7:O7"/>
    <mergeCell ref="T7:U7"/>
    <mergeCell ref="T6:U6"/>
    <mergeCell ref="AB6:AC6"/>
    <mergeCell ref="AJ6:AK6"/>
    <mergeCell ref="B6:C6"/>
    <mergeCell ref="D6:E6"/>
    <mergeCell ref="F6:G6"/>
    <mergeCell ref="L6:M6"/>
    <mergeCell ref="V6:AA15"/>
    <mergeCell ref="P6:S15"/>
    <mergeCell ref="N6:O6"/>
    <mergeCell ref="AB7:AC7"/>
    <mergeCell ref="AJ7:AK7"/>
    <mergeCell ref="F11:G11"/>
    <mergeCell ref="AV37:AW37"/>
    <mergeCell ref="AX37:AY37"/>
    <mergeCell ref="AZ37:BA37"/>
    <mergeCell ref="Z37:AA37"/>
    <mergeCell ref="AB37:AC37"/>
    <mergeCell ref="AD37:AE37"/>
    <mergeCell ref="AF37:AG37"/>
    <mergeCell ref="AJ37:AK37"/>
    <mergeCell ref="AL37:AM37"/>
    <mergeCell ref="AN37:AO37"/>
    <mergeCell ref="AR37:AS37"/>
    <mergeCell ref="AT37:AU37"/>
    <mergeCell ref="AV28:AW28"/>
    <mergeCell ref="AR15:AS15"/>
    <mergeCell ref="AB19:AC26"/>
    <mergeCell ref="AN19:AO26"/>
    <mergeCell ref="AV26:AW26"/>
    <mergeCell ref="AX26:AY26"/>
    <mergeCell ref="AX22:AY22"/>
    <mergeCell ref="AT17:AU17"/>
    <mergeCell ref="AV17:AW17"/>
    <mergeCell ref="AX17:AY17"/>
    <mergeCell ref="AJ19:AK19"/>
    <mergeCell ref="B37:C37"/>
    <mergeCell ref="D37:E37"/>
    <mergeCell ref="L37:M37"/>
    <mergeCell ref="N37:O37"/>
    <mergeCell ref="P37:Q37"/>
    <mergeCell ref="R37:S37"/>
    <mergeCell ref="T37:U37"/>
    <mergeCell ref="V37:W37"/>
    <mergeCell ref="X37:Y37"/>
    <mergeCell ref="AT18:AU18"/>
    <mergeCell ref="AV18:AW18"/>
    <mergeCell ref="AX18:AY18"/>
    <mergeCell ref="AR18:AS18"/>
    <mergeCell ref="AT19:AU19"/>
    <mergeCell ref="AV19:AW19"/>
    <mergeCell ref="AX19:AY19"/>
    <mergeCell ref="AR7:AS7"/>
    <mergeCell ref="AJ8:AK8"/>
    <mergeCell ref="AR8:AS8"/>
    <mergeCell ref="AL19:AM19"/>
    <mergeCell ref="AJ9:AK9"/>
    <mergeCell ref="AR9:AS9"/>
    <mergeCell ref="AJ14:AK14"/>
    <mergeCell ref="AR14:AS14"/>
    <mergeCell ref="AJ16:AK16"/>
    <mergeCell ref="AR16:AS16"/>
    <mergeCell ref="L9:M9"/>
    <mergeCell ref="AR6:AS6"/>
    <mergeCell ref="AJ15:AK15"/>
    <mergeCell ref="L11:M11"/>
    <mergeCell ref="N11:O11"/>
    <mergeCell ref="T11:U11"/>
    <mergeCell ref="AZ15:BA15"/>
    <mergeCell ref="AT6:AY15"/>
    <mergeCell ref="AZ6:BA6"/>
    <mergeCell ref="AZ7:BA7"/>
    <mergeCell ref="AZ8:BA8"/>
    <mergeCell ref="AZ9:BA9"/>
    <mergeCell ref="AZ10:BA10"/>
    <mergeCell ref="AZ11:BA11"/>
    <mergeCell ref="AZ12:BA12"/>
    <mergeCell ref="AZ13:BA13"/>
    <mergeCell ref="AZ14:BA14"/>
    <mergeCell ref="AB11:AC11"/>
    <mergeCell ref="AB15:AC15"/>
  </mergeCells>
  <printOptions horizontalCentered="1"/>
  <pageMargins left="0.23622047244094491" right="0.23622047244094491" top="0.74803149606299213" bottom="0.74803149606299213" header="0.31496062992125984" footer="0.31496062992125984"/>
  <pageSetup paperSize="5" scale="59" orientation="landscape" r:id="rId1"/>
  <headerFooter>
    <oddFooter xml:space="preserve">&amp;CMAX TOMADOS DE ESTAD. MADRE 2017 (MARZO, ABRIL, MAYO)
</oddFooter>
  </headerFooter>
  <colBreaks count="2" manualBreakCount="2">
    <brk id="20" max="1048575" man="1"/>
    <brk id="2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11</vt:i4>
      </vt:variant>
    </vt:vector>
  </HeadingPairs>
  <TitlesOfParts>
    <vt:vector size="36" baseType="lpstr">
      <vt:lpstr>Planimetría &amp; Nota de Ped.</vt:lpstr>
      <vt:lpstr>Planimetría &amp; Nota de Pedido</vt:lpstr>
      <vt:lpstr>O.C. Roster</vt:lpstr>
      <vt:lpstr>O.C. Cia Integral Etiquetas</vt:lpstr>
      <vt:lpstr>O.C. Sumatik</vt:lpstr>
      <vt:lpstr>O.C. Packaging y Servicio</vt:lpstr>
      <vt:lpstr>O.C. Precinter</vt:lpstr>
      <vt:lpstr>O.C. Envases Vihal</vt:lpstr>
      <vt:lpstr>O.C. Papelera 9 de Julio</vt:lpstr>
      <vt:lpstr>O.C. AJ Adhesivos</vt:lpstr>
      <vt:lpstr>O.C. Grafica Pol</vt:lpstr>
      <vt:lpstr>Pedido VACIO</vt:lpstr>
      <vt:lpstr>Copiar Pedido </vt:lpstr>
      <vt:lpstr>Conteo 24-02</vt:lpstr>
      <vt:lpstr>Carton x Categ.</vt:lpstr>
      <vt:lpstr>Stock CD</vt:lpstr>
      <vt:lpstr>Stock ISIS LK</vt:lpstr>
      <vt:lpstr>Stock ISIS CH</vt:lpstr>
      <vt:lpstr>TN ETIQUETAS</vt:lpstr>
      <vt:lpstr>Est Madre LK 10-25</vt:lpstr>
      <vt:lpstr>Est Madre CH 10-25</vt:lpstr>
      <vt:lpstr>Relevamiento a cargar</vt:lpstr>
      <vt:lpstr>Listado Cartones Viejos 2010</vt:lpstr>
      <vt:lpstr>Estadistica Mayo 18</vt:lpstr>
      <vt:lpstr>Relev &amp; Ped. Discont</vt:lpstr>
      <vt:lpstr>'Copiar Pedido '!Área_de_impresión</vt:lpstr>
      <vt:lpstr>'Listado Cartones Viejos 2010'!Área_de_impresión</vt:lpstr>
      <vt:lpstr>'Planimetría &amp; Nota de Ped.'!Área_de_impresión</vt:lpstr>
      <vt:lpstr>'Planimetría &amp; Nota de Pedido'!Área_de_impresión</vt:lpstr>
      <vt:lpstr>'Relev &amp; Ped. Discont'!Área_de_impresión</vt:lpstr>
      <vt:lpstr>'Conteo 24-02'!Títulos_a_imprimir</vt:lpstr>
      <vt:lpstr>'Listado Cartones Viejos 2010'!Títulos_a_imprimir</vt:lpstr>
      <vt:lpstr>'Pedido VACIO'!Títulos_a_imprimir</vt:lpstr>
      <vt:lpstr>'Planimetría &amp; Nota de Ped.'!Títulos_a_imprimir</vt:lpstr>
      <vt:lpstr>'Planimetría &amp; Nota de Pedido'!Títulos_a_imprimir</vt:lpstr>
      <vt:lpstr>'Relevamiento a cargar'!Títulos_a_imprimir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</dc:creator>
  <cp:lastModifiedBy>Pagos</cp:lastModifiedBy>
  <cp:lastPrinted>2026-03-04T13:17:44Z</cp:lastPrinted>
  <dcterms:created xsi:type="dcterms:W3CDTF">2017-02-07T14:29:21Z</dcterms:created>
  <dcterms:modified xsi:type="dcterms:W3CDTF">2026-03-18T19:20:07Z</dcterms:modified>
</cp:coreProperties>
</file>