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AA  LOGISTICA\A4 Relevamiento INSUMOS Stock y OP\A1 Conteo INSUMOS y OC (Compra)\A3 Cartones\AA Conteo Vigente\"/>
    </mc:Choice>
  </mc:AlternateContent>
  <xr:revisionPtr revIDLastSave="0" documentId="13_ncr:1_{5A685079-5E87-4B5C-9EC8-65E861562BBF}" xr6:coauthVersionLast="47" xr6:coauthVersionMax="47" xr10:uidLastSave="{00000000-0000-0000-0000-000000000000}"/>
  <bookViews>
    <workbookView xWindow="-108" yWindow="-108" windowWidth="23256" windowHeight="12576" firstSheet="11" activeTab="11" xr2:uid="{00000000-000D-0000-FFFF-FFFF00000000}"/>
  </bookViews>
  <sheets>
    <sheet name="Planimetría &amp; Nota de Ped." sheetId="13" state="hidden" r:id="rId1"/>
    <sheet name="Planimetría &amp; Nota de Pedido" sheetId="19" state="hidden" r:id="rId2"/>
    <sheet name="O.C. Roster" sheetId="101" r:id="rId3"/>
    <sheet name="O.C. Cia Integral Etiquetas" sheetId="107" r:id="rId4"/>
    <sheet name="O.C. Sumatik" sheetId="99" r:id="rId5"/>
    <sheet name="O.C. Packaging y Servicios" sheetId="98" r:id="rId6"/>
    <sheet name="O.C. Precinter" sheetId="97" r:id="rId7"/>
    <sheet name="O.C. Envases Vihal" sheetId="96" r:id="rId8"/>
    <sheet name="O.C. Papelera 9 de Julio" sheetId="95" r:id="rId9"/>
    <sheet name="O.C. AJ Adhesivos" sheetId="94" r:id="rId10"/>
    <sheet name="O.C. Grafica Pol" sheetId="93" r:id="rId11"/>
    <sheet name="Pedido VACIO" sheetId="105" r:id="rId12"/>
    <sheet name="Copiar Pedido " sheetId="106" r:id="rId13"/>
    <sheet name="Conteo VACIO" sheetId="104" r:id="rId14"/>
    <sheet name="Carton x Categ." sheetId="83" r:id="rId15"/>
    <sheet name="Stock CD" sheetId="82" r:id="rId16"/>
    <sheet name="Stock ISIS LK" sheetId="80" r:id="rId17"/>
    <sheet name="Stock ISIS CH" sheetId="81" r:id="rId18"/>
    <sheet name="TN ETIQUETAS" sheetId="74" r:id="rId19"/>
    <sheet name="Est Madre LK 10-25" sheetId="24" r:id="rId20"/>
    <sheet name="Est Madre CH 10-25" sheetId="28" r:id="rId21"/>
    <sheet name="Relevamiento a cargar" sheetId="29" state="hidden" r:id="rId22"/>
    <sheet name="Listado Cartones Viejos 2010" sheetId="18" state="hidden" r:id="rId23"/>
    <sheet name="Estadistica Mayo 18" sheetId="22" state="hidden" r:id="rId24"/>
    <sheet name="Relev &amp; Ped. Discont" sheetId="6" state="hidden" r:id="rId25"/>
  </sheets>
  <externalReferences>
    <externalReference r:id="rId26"/>
  </externalReferences>
  <definedNames>
    <definedName name="_xlnm._FilterDatabase" localSheetId="13" hidden="1">'Conteo VACIO'!$A$7:$K$226</definedName>
    <definedName name="_xlnm._FilterDatabase" localSheetId="20" hidden="1">'Est Madre CH 10-25'!$A$1:$D$128</definedName>
    <definedName name="_xlnm._FilterDatabase" localSheetId="19" hidden="1">'Est Madre LK 10-25'!$A$1:$J$1</definedName>
    <definedName name="_xlnm._FilterDatabase" localSheetId="22" hidden="1">'Listado Cartones Viejos 2010'!$B$2:$H$2</definedName>
    <definedName name="_xlnm._FilterDatabase" localSheetId="11" hidden="1">'Pedido VACIO'!$C$8:$AK$382</definedName>
    <definedName name="_xlnm._FilterDatabase" localSheetId="0" hidden="1">'Planimetría &amp; Nota de Ped.'!$B$3:$L$194</definedName>
    <definedName name="_xlnm._FilterDatabase" localSheetId="1" hidden="1">'Planimetría &amp; Nota de Pedido'!$A$2:$N$194</definedName>
    <definedName name="_xlnm._FilterDatabase" localSheetId="21" hidden="1">'Relevamiento a cargar'!$A$3:$J$3</definedName>
    <definedName name="_xlnm.Print_Area" localSheetId="12">'Copiar Pedido '!$A$1:$AM$96</definedName>
    <definedName name="_xlnm.Print_Area" localSheetId="22">'Listado Cartones Viejos 2010'!$B$2:$H$120</definedName>
    <definedName name="_xlnm.Print_Area" localSheetId="0">'Planimetría &amp; Nota de Ped.'!$B$3:$M$190</definedName>
    <definedName name="_xlnm.Print_Area" localSheetId="1">'Planimetría &amp; Nota de Pedido'!$A$1:$N$194</definedName>
    <definedName name="_xlnm.Print_Area" localSheetId="24">'Relev &amp; Ped. Discont'!$A$1:$BA$48</definedName>
    <definedName name="_xlnm.Print_Titles" localSheetId="13">'Conteo VACIO'!$7:$7</definedName>
    <definedName name="_xlnm.Print_Titles" localSheetId="22">'Listado Cartones Viejos 2010'!$2:$2</definedName>
    <definedName name="_xlnm.Print_Titles" localSheetId="11">'Pedido VACIO'!$9:$9</definedName>
    <definedName name="_xlnm.Print_Titles" localSheetId="0">'Planimetría &amp; Nota de Ped.'!$3:$3</definedName>
    <definedName name="_xlnm.Print_Titles" localSheetId="1">'Planimetría &amp; Nota de Pedido'!$1:$2</definedName>
    <definedName name="_xlnm.Print_Titles" localSheetId="21">'Relevamiento a cargar'!$1:$3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97" l="1"/>
  <c r="D42" i="97"/>
  <c r="D40" i="97"/>
  <c r="D38" i="97"/>
  <c r="D36" i="97"/>
  <c r="D21" i="97"/>
  <c r="D19" i="97"/>
  <c r="D17" i="97"/>
  <c r="D15" i="97"/>
  <c r="D13" i="97"/>
  <c r="J14" i="104"/>
  <c r="T60" i="105"/>
  <c r="W60" i="105"/>
  <c r="Z60" i="105"/>
  <c r="AA60" i="105"/>
  <c r="AE60" i="105"/>
  <c r="P60" i="105" s="1"/>
  <c r="E60" i="105"/>
  <c r="Q60" i="105" l="1"/>
  <c r="L60" i="105" s="1"/>
  <c r="O60" i="105"/>
  <c r="X60" i="105"/>
  <c r="U60" i="105"/>
  <c r="M60" i="105" l="1"/>
  <c r="A72" i="107" l="1" a="1"/>
  <c r="A72" i="107" s="1"/>
  <c r="A70" i="107" a="1"/>
  <c r="A70" i="107" s="1"/>
  <c r="A68" i="107" a="1"/>
  <c r="A68" i="107" s="1"/>
  <c r="A66" i="107" a="1"/>
  <c r="A66" i="107" s="1"/>
  <c r="A64" i="107" a="1"/>
  <c r="A64" i="107" s="1"/>
  <c r="A62" i="107" a="1"/>
  <c r="A62" i="107" s="1"/>
  <c r="A60" i="107" a="1"/>
  <c r="A60" i="107" s="1"/>
  <c r="A58" i="107" a="1"/>
  <c r="A58" i="107" s="1"/>
  <c r="A56" i="107" a="1"/>
  <c r="A56" i="107" s="1"/>
  <c r="A54" i="107" a="1"/>
  <c r="A54" i="107" s="1"/>
  <c r="A52" i="107" a="1"/>
  <c r="A52" i="107" s="1"/>
  <c r="A50" i="107" a="1"/>
  <c r="A50" i="107" s="1"/>
  <c r="A48" i="107" a="1"/>
  <c r="A48" i="107" s="1"/>
  <c r="A46" i="107" a="1"/>
  <c r="A46" i="107" s="1"/>
  <c r="A44" i="107" a="1"/>
  <c r="A44" i="107" s="1"/>
  <c r="A42" i="107" a="1"/>
  <c r="A42" i="107" s="1"/>
  <c r="A40" i="107" a="1"/>
  <c r="A40" i="107" s="1"/>
  <c r="A38" i="107" a="1"/>
  <c r="A38" i="107" s="1"/>
  <c r="A36" i="107" a="1"/>
  <c r="A36" i="107" s="1"/>
  <c r="A34" i="107" a="1"/>
  <c r="A34" i="107" s="1"/>
  <c r="A32" i="107" a="1"/>
  <c r="A32" i="107" s="1"/>
  <c r="A30" i="107" a="1"/>
  <c r="A30" i="107" s="1"/>
  <c r="A28" i="107" a="1"/>
  <c r="A28" i="107" s="1"/>
  <c r="A26" i="107" a="1"/>
  <c r="A26" i="107" s="1"/>
  <c r="A24" i="107" a="1"/>
  <c r="A24" i="107" s="1"/>
  <c r="A22" i="107" a="1"/>
  <c r="A22" i="107" s="1"/>
  <c r="A20" i="107" a="1"/>
  <c r="A20" i="107" s="1"/>
  <c r="A18" i="107" a="1"/>
  <c r="A18" i="107" s="1"/>
  <c r="A16" i="107" a="1"/>
  <c r="A16" i="107" s="1"/>
  <c r="D72" i="107" a="1"/>
  <c r="D72" i="107" s="1"/>
  <c r="C72" i="107" a="1"/>
  <c r="C72" i="107" s="1"/>
  <c r="D70" i="107" a="1"/>
  <c r="D70" i="107" s="1"/>
  <c r="C70" i="107" a="1"/>
  <c r="C70" i="107" s="1"/>
  <c r="D68" i="107" a="1"/>
  <c r="D68" i="107" s="1"/>
  <c r="C68" i="107" a="1"/>
  <c r="C68" i="107" s="1"/>
  <c r="D66" i="107" a="1"/>
  <c r="D66" i="107" s="1"/>
  <c r="C66" i="107" a="1"/>
  <c r="C66" i="107" s="1"/>
  <c r="D64" i="107" a="1"/>
  <c r="D64" i="107" s="1"/>
  <c r="C64" i="107" a="1"/>
  <c r="C64" i="107" s="1"/>
  <c r="D62" i="107" a="1"/>
  <c r="D62" i="107" s="1"/>
  <c r="C62" i="107" a="1"/>
  <c r="C62" i="107" s="1"/>
  <c r="D60" i="107" a="1"/>
  <c r="D60" i="107" s="1"/>
  <c r="C60" i="107" a="1"/>
  <c r="C60" i="107" s="1"/>
  <c r="D58" i="107" a="1"/>
  <c r="D58" i="107" s="1"/>
  <c r="C58" i="107" a="1"/>
  <c r="C58" i="107" s="1"/>
  <c r="D56" i="107" a="1"/>
  <c r="D56" i="107" s="1"/>
  <c r="C56" i="107" a="1"/>
  <c r="C56" i="107" s="1"/>
  <c r="D54" i="107" a="1"/>
  <c r="D54" i="107" s="1"/>
  <c r="C54" i="107" a="1"/>
  <c r="C54" i="107" s="1"/>
  <c r="D52" i="107" a="1"/>
  <c r="D52" i="107" s="1"/>
  <c r="C52" i="107" a="1"/>
  <c r="C52" i="107" s="1"/>
  <c r="D50" i="107" a="1"/>
  <c r="D50" i="107" s="1"/>
  <c r="C50" i="107" a="1"/>
  <c r="C50" i="107" s="1"/>
  <c r="D48" i="107" a="1"/>
  <c r="D48" i="107" s="1"/>
  <c r="C48" i="107" a="1"/>
  <c r="C48" i="107" s="1"/>
  <c r="D46" i="107" a="1"/>
  <c r="D46" i="107" s="1"/>
  <c r="C46" i="107" a="1"/>
  <c r="C46" i="107" s="1"/>
  <c r="D44" i="107" a="1"/>
  <c r="D44" i="107" s="1"/>
  <c r="C44" i="107" a="1"/>
  <c r="C44" i="107" s="1"/>
  <c r="D42" i="107" a="1"/>
  <c r="D42" i="107" s="1"/>
  <c r="C42" i="107" a="1"/>
  <c r="C42" i="107" s="1"/>
  <c r="D40" i="107" a="1"/>
  <c r="D40" i="107" s="1"/>
  <c r="C40" i="107" a="1"/>
  <c r="C40" i="107" s="1"/>
  <c r="D38" i="107" a="1"/>
  <c r="D38" i="107" s="1"/>
  <c r="C38" i="107" a="1"/>
  <c r="C38" i="107" s="1"/>
  <c r="D36" i="107" a="1"/>
  <c r="D36" i="107" s="1"/>
  <c r="C36" i="107" a="1"/>
  <c r="C36" i="107" s="1"/>
  <c r="D34" i="107" a="1"/>
  <c r="D34" i="107" s="1"/>
  <c r="C34" i="107" a="1"/>
  <c r="C34" i="107" s="1"/>
  <c r="D32" i="107" a="1"/>
  <c r="D32" i="107" s="1"/>
  <c r="C32" i="107" a="1"/>
  <c r="C32" i="107" s="1"/>
  <c r="D30" i="107" a="1"/>
  <c r="D30" i="107" s="1"/>
  <c r="C30" i="107" a="1"/>
  <c r="C30" i="107" s="1"/>
  <c r="D28" i="107" a="1"/>
  <c r="D28" i="107" s="1"/>
  <c r="C28" i="107" a="1"/>
  <c r="C28" i="107" s="1"/>
  <c r="D26" i="107" a="1"/>
  <c r="D26" i="107" s="1"/>
  <c r="C26" i="107" a="1"/>
  <c r="C26" i="107" s="1"/>
  <c r="D24" i="107" a="1"/>
  <c r="D24" i="107" s="1"/>
  <c r="C24" i="107" a="1"/>
  <c r="C24" i="107" s="1"/>
  <c r="D22" i="107" a="1"/>
  <c r="D22" i="107" s="1"/>
  <c r="C22" i="107" a="1"/>
  <c r="C22" i="107" s="1"/>
  <c r="D20" i="107" a="1"/>
  <c r="D20" i="107" s="1"/>
  <c r="C20" i="107" a="1"/>
  <c r="C20" i="107" s="1"/>
  <c r="D18" i="107" a="1"/>
  <c r="D18" i="107" s="1"/>
  <c r="C18" i="107" a="1"/>
  <c r="C18" i="107" s="1"/>
  <c r="D16" i="107" a="1"/>
  <c r="D16" i="107" s="1"/>
  <c r="C16" i="107" a="1"/>
  <c r="C16" i="107" s="1"/>
  <c r="D14" i="107" a="1"/>
  <c r="D14" i="107" s="1"/>
  <c r="E14" i="107" s="1"/>
  <c r="F14" i="107" s="1"/>
  <c r="C14" i="107" a="1"/>
  <c r="C14" i="107" s="1"/>
  <c r="A14" i="107" a="1"/>
  <c r="A14" i="107" s="1"/>
  <c r="B18" i="107"/>
  <c r="B20" i="107" s="1"/>
  <c r="B16" i="107"/>
  <c r="I6" i="107"/>
  <c r="J233" i="104"/>
  <c r="J232" i="104"/>
  <c r="J231" i="104"/>
  <c r="J230" i="104"/>
  <c r="J229" i="104"/>
  <c r="J227" i="104"/>
  <c r="J226" i="104"/>
  <c r="J225" i="104"/>
  <c r="J224" i="104"/>
  <c r="J223" i="104"/>
  <c r="J222" i="104"/>
  <c r="J221" i="104"/>
  <c r="J220" i="104"/>
  <c r="J219" i="104"/>
  <c r="J218" i="104"/>
  <c r="J217" i="104"/>
  <c r="J216" i="104"/>
  <c r="J215" i="104"/>
  <c r="J214" i="104"/>
  <c r="J213" i="104"/>
  <c r="J212" i="104"/>
  <c r="J211" i="104"/>
  <c r="J210" i="104"/>
  <c r="J209" i="104"/>
  <c r="J208" i="104"/>
  <c r="J206" i="104"/>
  <c r="J205" i="104"/>
  <c r="J204" i="104"/>
  <c r="J203" i="104"/>
  <c r="J202" i="104"/>
  <c r="J201" i="104"/>
  <c r="J194" i="104"/>
  <c r="J187" i="104"/>
  <c r="J186" i="104"/>
  <c r="J185" i="104"/>
  <c r="J181" i="104"/>
  <c r="J180" i="104"/>
  <c r="J179" i="104"/>
  <c r="J178" i="104"/>
  <c r="J177" i="104"/>
  <c r="J176" i="104"/>
  <c r="J175" i="104"/>
  <c r="J174" i="104"/>
  <c r="J173" i="104"/>
  <c r="J172" i="104"/>
  <c r="J171" i="104"/>
  <c r="J170" i="104"/>
  <c r="J169" i="104"/>
  <c r="J168" i="104"/>
  <c r="J167" i="104"/>
  <c r="J166" i="104"/>
  <c r="J165" i="104"/>
  <c r="J164" i="104"/>
  <c r="J163" i="104"/>
  <c r="J162" i="104"/>
  <c r="J161" i="104"/>
  <c r="J160" i="104"/>
  <c r="J159" i="104"/>
  <c r="J158" i="104"/>
  <c r="J157" i="104"/>
  <c r="J156" i="104"/>
  <c r="J155" i="104"/>
  <c r="J154" i="104"/>
  <c r="J153" i="104"/>
  <c r="J152" i="104"/>
  <c r="J151" i="104"/>
  <c r="J150" i="104"/>
  <c r="J149" i="104"/>
  <c r="J148" i="104"/>
  <c r="J147" i="104"/>
  <c r="J146" i="104"/>
  <c r="J145" i="104"/>
  <c r="J144" i="104"/>
  <c r="J143" i="104"/>
  <c r="J142" i="104"/>
  <c r="J141" i="104"/>
  <c r="J140" i="104"/>
  <c r="J139" i="104"/>
  <c r="J138" i="104"/>
  <c r="J137" i="104"/>
  <c r="J136" i="104"/>
  <c r="J135" i="104"/>
  <c r="J134" i="104"/>
  <c r="J133" i="104"/>
  <c r="J132" i="104"/>
  <c r="J131" i="104"/>
  <c r="J130" i="104"/>
  <c r="J129" i="104"/>
  <c r="J128" i="104"/>
  <c r="J127" i="104"/>
  <c r="J126" i="104"/>
  <c r="J125" i="104"/>
  <c r="J124" i="104"/>
  <c r="J123" i="104"/>
  <c r="J122" i="104"/>
  <c r="J121" i="104"/>
  <c r="J120" i="104"/>
  <c r="J119" i="104"/>
  <c r="J118" i="104"/>
  <c r="J117" i="104"/>
  <c r="J116" i="104"/>
  <c r="J115" i="104"/>
  <c r="J114" i="104"/>
  <c r="J113" i="104"/>
  <c r="J112" i="104"/>
  <c r="J111" i="104"/>
  <c r="J110" i="104"/>
  <c r="J109" i="104"/>
  <c r="J108" i="104"/>
  <c r="J107" i="104"/>
  <c r="J106" i="104"/>
  <c r="J105" i="104"/>
  <c r="J104" i="104"/>
  <c r="J103" i="104"/>
  <c r="J102" i="104"/>
  <c r="J101" i="104"/>
  <c r="J100" i="104"/>
  <c r="J99" i="104"/>
  <c r="J98" i="104"/>
  <c r="J97" i="104"/>
  <c r="J96" i="104"/>
  <c r="J95" i="104"/>
  <c r="J94" i="104"/>
  <c r="J93" i="104"/>
  <c r="J92" i="104"/>
  <c r="J91" i="104"/>
  <c r="J90" i="104"/>
  <c r="J89" i="104"/>
  <c r="J88" i="104"/>
  <c r="J87" i="104"/>
  <c r="J86" i="104"/>
  <c r="J85" i="104"/>
  <c r="J84" i="104"/>
  <c r="J83" i="104"/>
  <c r="J82" i="104"/>
  <c r="J81" i="104"/>
  <c r="J80" i="104"/>
  <c r="J79" i="104"/>
  <c r="J78" i="104"/>
  <c r="J77" i="104"/>
  <c r="J76" i="104"/>
  <c r="J75" i="104"/>
  <c r="J74" i="104"/>
  <c r="J73" i="104"/>
  <c r="J72" i="104"/>
  <c r="J71" i="104"/>
  <c r="J70" i="104"/>
  <c r="J69" i="104"/>
  <c r="J68" i="104"/>
  <c r="J67" i="104"/>
  <c r="J66" i="104"/>
  <c r="J65" i="104"/>
  <c r="J64" i="104"/>
  <c r="J63" i="104"/>
  <c r="J62" i="104"/>
  <c r="J61" i="104"/>
  <c r="J60" i="104"/>
  <c r="J59" i="104"/>
  <c r="J58" i="104"/>
  <c r="J57" i="104"/>
  <c r="J56" i="104"/>
  <c r="J55" i="104"/>
  <c r="J54" i="104"/>
  <c r="J53" i="104"/>
  <c r="J52" i="104"/>
  <c r="J51" i="104"/>
  <c r="J50" i="104"/>
  <c r="J49" i="104"/>
  <c r="J48" i="104"/>
  <c r="J47" i="104"/>
  <c r="J46" i="104"/>
  <c r="J45" i="104"/>
  <c r="J44" i="104"/>
  <c r="J43" i="104"/>
  <c r="J42" i="104"/>
  <c r="J41" i="104"/>
  <c r="J40" i="104"/>
  <c r="J39" i="104"/>
  <c r="J38" i="104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8" i="104"/>
  <c r="J17" i="104"/>
  <c r="J16" i="104"/>
  <c r="J15" i="104"/>
  <c r="J13" i="104"/>
  <c r="J12" i="104"/>
  <c r="J11" i="104"/>
  <c r="J10" i="104"/>
  <c r="J8" i="104"/>
  <c r="W334" i="105"/>
  <c r="C313" i="82"/>
  <c r="D313" i="82" s="1"/>
  <c r="D312" i="82"/>
  <c r="C312" i="82"/>
  <c r="C311" i="82"/>
  <c r="D311" i="82" s="1"/>
  <c r="C310" i="82"/>
  <c r="D310" i="82" s="1"/>
  <c r="D309" i="82"/>
  <c r="C309" i="82"/>
  <c r="C308" i="82"/>
  <c r="D308" i="82" s="1"/>
  <c r="I313" i="82"/>
  <c r="I312" i="82"/>
  <c r="I311" i="82"/>
  <c r="I309" i="82"/>
  <c r="G313" i="82"/>
  <c r="G312" i="82"/>
  <c r="G311" i="82"/>
  <c r="G310" i="82"/>
  <c r="I310" i="82" s="1"/>
  <c r="G309" i="82"/>
  <c r="G308" i="82"/>
  <c r="I308" i="82" s="1"/>
  <c r="J313" i="82"/>
  <c r="J312" i="82"/>
  <c r="J311" i="82"/>
  <c r="J310" i="82"/>
  <c r="J309" i="82"/>
  <c r="J308" i="82"/>
  <c r="AA334" i="105"/>
  <c r="Z334" i="105"/>
  <c r="Q334" i="105" s="1"/>
  <c r="AE334" i="105"/>
  <c r="P334" i="105" s="1"/>
  <c r="T334" i="105"/>
  <c r="AA329" i="105"/>
  <c r="AA328" i="105"/>
  <c r="AA327" i="105"/>
  <c r="AA326" i="105"/>
  <c r="AA325" i="105"/>
  <c r="AA324" i="105"/>
  <c r="Z324" i="105"/>
  <c r="Z329" i="105"/>
  <c r="Z328" i="105"/>
  <c r="Z327" i="105"/>
  <c r="Z326" i="105"/>
  <c r="Z325" i="105"/>
  <c r="E15" i="107" l="1"/>
  <c r="F15" i="107" s="1"/>
  <c r="B22" i="107"/>
  <c r="U334" i="105"/>
  <c r="L334" i="105"/>
  <c r="O334" i="105"/>
  <c r="X334" i="105"/>
  <c r="Q324" i="105"/>
  <c r="Z178" i="105"/>
  <c r="AA178" i="105"/>
  <c r="W178" i="105"/>
  <c r="X178" i="105" s="1"/>
  <c r="L178" i="105"/>
  <c r="M334" i="105" l="1"/>
  <c r="B24" i="107"/>
  <c r="E16" i="107"/>
  <c r="F16" i="107" s="1"/>
  <c r="AI219" i="105"/>
  <c r="AI177" i="105"/>
  <c r="AI179" i="105"/>
  <c r="AI180" i="105"/>
  <c r="AI181" i="105"/>
  <c r="AI182" i="105"/>
  <c r="AI183" i="105"/>
  <c r="AI184" i="105"/>
  <c r="AI185" i="105"/>
  <c r="AI186" i="105"/>
  <c r="AI187" i="105"/>
  <c r="AI188" i="105"/>
  <c r="AI189" i="105"/>
  <c r="AI190" i="105"/>
  <c r="AI191" i="105"/>
  <c r="AI192" i="105"/>
  <c r="AI193" i="105"/>
  <c r="AI194" i="105"/>
  <c r="AI195" i="105"/>
  <c r="AI201" i="105"/>
  <c r="AI202" i="105"/>
  <c r="AI196" i="105"/>
  <c r="AI197" i="105"/>
  <c r="AI198" i="105"/>
  <c r="AI199" i="105"/>
  <c r="AI204" i="105"/>
  <c r="AI205" i="105"/>
  <c r="AI207" i="105"/>
  <c r="AI209" i="105"/>
  <c r="AI210" i="105"/>
  <c r="P177" i="105"/>
  <c r="P219" i="105"/>
  <c r="P179" i="105"/>
  <c r="P180" i="105"/>
  <c r="P181" i="105"/>
  <c r="P182" i="105"/>
  <c r="P183" i="105"/>
  <c r="P184" i="105"/>
  <c r="P185" i="105"/>
  <c r="P186" i="105"/>
  <c r="P187" i="105"/>
  <c r="P188" i="105"/>
  <c r="P189" i="105"/>
  <c r="P190" i="105"/>
  <c r="P191" i="105"/>
  <c r="P192" i="105"/>
  <c r="P193" i="105"/>
  <c r="P194" i="105"/>
  <c r="P195" i="105"/>
  <c r="P201" i="105"/>
  <c r="P202" i="105"/>
  <c r="P196" i="105"/>
  <c r="P197" i="105"/>
  <c r="P198" i="105"/>
  <c r="P199" i="105"/>
  <c r="P204" i="105"/>
  <c r="P205" i="105"/>
  <c r="P207" i="105"/>
  <c r="P209" i="105"/>
  <c r="P210" i="105"/>
  <c r="W179" i="105"/>
  <c r="W180" i="105"/>
  <c r="Z177" i="105"/>
  <c r="Z219" i="105"/>
  <c r="Z179" i="105"/>
  <c r="Z180" i="105"/>
  <c r="Z181" i="105"/>
  <c r="Z182" i="105"/>
  <c r="Z183" i="105"/>
  <c r="Z184" i="105"/>
  <c r="Z185" i="105"/>
  <c r="Z186" i="105"/>
  <c r="Z187" i="105"/>
  <c r="Z188" i="105"/>
  <c r="Z189" i="105"/>
  <c r="Z190" i="105"/>
  <c r="Z191" i="105"/>
  <c r="Z192" i="105"/>
  <c r="Z193" i="105"/>
  <c r="Z194" i="105"/>
  <c r="Z195" i="105"/>
  <c r="Z201" i="105"/>
  <c r="Z202" i="105"/>
  <c r="Z196" i="105"/>
  <c r="Z197" i="105"/>
  <c r="Z198" i="105"/>
  <c r="Z199" i="105"/>
  <c r="Z204" i="105"/>
  <c r="Z205" i="105"/>
  <c r="Z207" i="105"/>
  <c r="Z209" i="105"/>
  <c r="Z210" i="105"/>
  <c r="AA177" i="105"/>
  <c r="AA219" i="105"/>
  <c r="AA179" i="105"/>
  <c r="AA180" i="105"/>
  <c r="AA181" i="105"/>
  <c r="AA182" i="105"/>
  <c r="AA183" i="105"/>
  <c r="AA184" i="105"/>
  <c r="AA185" i="105"/>
  <c r="AA186" i="105"/>
  <c r="AA187" i="105"/>
  <c r="AA188" i="105"/>
  <c r="AA189" i="105"/>
  <c r="AA190" i="105"/>
  <c r="AA191" i="105"/>
  <c r="AA192" i="105"/>
  <c r="AA193" i="105"/>
  <c r="AA194" i="105"/>
  <c r="AA195" i="105"/>
  <c r="AA201" i="105"/>
  <c r="AA202" i="105"/>
  <c r="AA196" i="105"/>
  <c r="AA197" i="105"/>
  <c r="AA198" i="105"/>
  <c r="AA199" i="105"/>
  <c r="AA204" i="105"/>
  <c r="AA205" i="105"/>
  <c r="AA207" i="105"/>
  <c r="AA209" i="105"/>
  <c r="AA210" i="105"/>
  <c r="E177" i="105"/>
  <c r="E219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201" i="105"/>
  <c r="E202" i="105"/>
  <c r="E196" i="105"/>
  <c r="E197" i="105"/>
  <c r="E198" i="105"/>
  <c r="E199" i="105"/>
  <c r="E204" i="105"/>
  <c r="E205" i="105"/>
  <c r="E207" i="105"/>
  <c r="E209" i="105"/>
  <c r="E210" i="105"/>
  <c r="E17" i="107" l="1"/>
  <c r="F17" i="107" s="1"/>
  <c r="B26" i="107"/>
  <c r="Q209" i="105"/>
  <c r="L209" i="105" s="1"/>
  <c r="Q199" i="105"/>
  <c r="Q202" i="105"/>
  <c r="L202" i="105" s="1"/>
  <c r="Q193" i="105"/>
  <c r="Q189" i="105"/>
  <c r="Q185" i="105"/>
  <c r="O185" i="105" s="1"/>
  <c r="Q181" i="105"/>
  <c r="Q205" i="105"/>
  <c r="Q197" i="105"/>
  <c r="Q195" i="105"/>
  <c r="O195" i="105" s="1"/>
  <c r="Q191" i="105"/>
  <c r="Q187" i="105"/>
  <c r="Q183" i="105"/>
  <c r="Q179" i="105"/>
  <c r="Q207" i="105"/>
  <c r="Q198" i="105"/>
  <c r="Q201" i="105"/>
  <c r="L201" i="105" s="1"/>
  <c r="Q192" i="105"/>
  <c r="O192" i="105" s="1"/>
  <c r="Q188" i="105"/>
  <c r="O188" i="105" s="1"/>
  <c r="Q184" i="105"/>
  <c r="Q180" i="105"/>
  <c r="O180" i="105" s="1"/>
  <c r="Q210" i="105"/>
  <c r="Q204" i="105"/>
  <c r="Q196" i="105"/>
  <c r="Q194" i="105"/>
  <c r="L194" i="105" s="1"/>
  <c r="Q190" i="105"/>
  <c r="Q186" i="105"/>
  <c r="Q182" i="105"/>
  <c r="Q219" i="105"/>
  <c r="Q177" i="105"/>
  <c r="L177" i="105" s="1"/>
  <c r="X179" i="105"/>
  <c r="X180" i="105"/>
  <c r="P86" i="105"/>
  <c r="P97" i="105"/>
  <c r="P302" i="105"/>
  <c r="P303" i="105"/>
  <c r="P318" i="105"/>
  <c r="P349" i="105"/>
  <c r="P350" i="105"/>
  <c r="P351" i="105"/>
  <c r="P352" i="105"/>
  <c r="P361" i="105"/>
  <c r="P362" i="105"/>
  <c r="P363" i="105"/>
  <c r="P364" i="105"/>
  <c r="P365" i="105"/>
  <c r="P366" i="105"/>
  <c r="B28" i="107" l="1"/>
  <c r="E18" i="107"/>
  <c r="F18" i="107" s="1"/>
  <c r="O199" i="105"/>
  <c r="L199" i="105"/>
  <c r="O198" i="105"/>
  <c r="L185" i="105"/>
  <c r="O196" i="105"/>
  <c r="L181" i="105"/>
  <c r="O181" i="105"/>
  <c r="L193" i="105"/>
  <c r="O187" i="105"/>
  <c r="O202" i="105"/>
  <c r="O209" i="105"/>
  <c r="L182" i="105"/>
  <c r="O184" i="105"/>
  <c r="L219" i="105"/>
  <c r="O189" i="105"/>
  <c r="L189" i="105"/>
  <c r="L180" i="105"/>
  <c r="O201" i="105"/>
  <c r="L196" i="105"/>
  <c r="O193" i="105"/>
  <c r="L187" i="105"/>
  <c r="L205" i="105"/>
  <c r="L198" i="105"/>
  <c r="O205" i="105"/>
  <c r="O182" i="105"/>
  <c r="L184" i="105"/>
  <c r="O194" i="105"/>
  <c r="L197" i="105"/>
  <c r="L207" i="105"/>
  <c r="O197" i="105"/>
  <c r="O177" i="105"/>
  <c r="L179" i="105"/>
  <c r="O191" i="105"/>
  <c r="O210" i="105"/>
  <c r="L183" i="105"/>
  <c r="L191" i="105"/>
  <c r="O183" i="105"/>
  <c r="L192" i="105"/>
  <c r="L204" i="105"/>
  <c r="O186" i="105"/>
  <c r="L186" i="105"/>
  <c r="L210" i="105"/>
  <c r="O207" i="105"/>
  <c r="O179" i="105"/>
  <c r="L188" i="105"/>
  <c r="O219" i="105"/>
  <c r="L190" i="105"/>
  <c r="L195" i="105"/>
  <c r="O190" i="105"/>
  <c r="O204" i="105"/>
  <c r="E19" i="107" l="1"/>
  <c r="F19" i="107" s="1"/>
  <c r="B30" i="107"/>
  <c r="AI143" i="105"/>
  <c r="AI146" i="105"/>
  <c r="AI218" i="105"/>
  <c r="AI167" i="105"/>
  <c r="AI164" i="105"/>
  <c r="AI162" i="105"/>
  <c r="AI160" i="105"/>
  <c r="AI159" i="105"/>
  <c r="AI158" i="105"/>
  <c r="AI156" i="105"/>
  <c r="AI176" i="105"/>
  <c r="AI155" i="105"/>
  <c r="AI175" i="105"/>
  <c r="AI174" i="105"/>
  <c r="AI173" i="105"/>
  <c r="AI152" i="105"/>
  <c r="AI144" i="105"/>
  <c r="AI140" i="105"/>
  <c r="AI172" i="105"/>
  <c r="AI141" i="105"/>
  <c r="AI139" i="105"/>
  <c r="AI134" i="105"/>
  <c r="AI135" i="105"/>
  <c r="AI136" i="105"/>
  <c r="AI137" i="105"/>
  <c r="AI133" i="105"/>
  <c r="B32" i="107" l="1"/>
  <c r="E20" i="107"/>
  <c r="F20" i="107" s="1"/>
  <c r="E319" i="105"/>
  <c r="E318" i="105"/>
  <c r="E317" i="105"/>
  <c r="E312" i="105"/>
  <c r="E311" i="105"/>
  <c r="E310" i="105"/>
  <c r="E309" i="105"/>
  <c r="E308" i="105"/>
  <c r="E303" i="105"/>
  <c r="E302" i="105"/>
  <c r="E297" i="105"/>
  <c r="E296" i="105"/>
  <c r="E295" i="105"/>
  <c r="E294" i="105"/>
  <c r="E293" i="105"/>
  <c r="E288" i="105"/>
  <c r="E287" i="105"/>
  <c r="E286" i="105"/>
  <c r="E281" i="105"/>
  <c r="E280" i="105"/>
  <c r="E275" i="105"/>
  <c r="E274" i="105"/>
  <c r="E273" i="105"/>
  <c r="E272" i="105"/>
  <c r="E271" i="105"/>
  <c r="E270" i="105"/>
  <c r="E269" i="105"/>
  <c r="E268" i="105"/>
  <c r="E267" i="105"/>
  <c r="E262" i="105"/>
  <c r="E261" i="105"/>
  <c r="E260" i="105"/>
  <c r="E259" i="105"/>
  <c r="E258" i="105"/>
  <c r="E257" i="105"/>
  <c r="E256" i="105"/>
  <c r="E255" i="105"/>
  <c r="E254" i="105"/>
  <c r="E21" i="107" l="1"/>
  <c r="F21" i="107" s="1"/>
  <c r="B34" i="107"/>
  <c r="Z369" i="105"/>
  <c r="Z367" i="105"/>
  <c r="Z254" i="105"/>
  <c r="Z268" i="105"/>
  <c r="Z269" i="105"/>
  <c r="Z270" i="105"/>
  <c r="Z259" i="105"/>
  <c r="Z273" i="105"/>
  <c r="Z261" i="105"/>
  <c r="Z275" i="105"/>
  <c r="AE369" i="105"/>
  <c r="P369" i="105" s="1"/>
  <c r="AA369" i="105"/>
  <c r="T369" i="105"/>
  <c r="AE368" i="105"/>
  <c r="P368" i="105" s="1"/>
  <c r="AA368" i="105"/>
  <c r="W368" i="105"/>
  <c r="T368" i="105"/>
  <c r="AE367" i="105"/>
  <c r="P367" i="105" s="1"/>
  <c r="AA367" i="105"/>
  <c r="W367" i="105"/>
  <c r="T367" i="105"/>
  <c r="T366" i="105"/>
  <c r="Q366" i="105"/>
  <c r="T365" i="105"/>
  <c r="Q365" i="105"/>
  <c r="X365" i="105"/>
  <c r="T364" i="105"/>
  <c r="Q364" i="105"/>
  <c r="T363" i="105"/>
  <c r="Q363" i="105"/>
  <c r="T362" i="105"/>
  <c r="Q362" i="105"/>
  <c r="T361" i="105"/>
  <c r="Q361" i="105"/>
  <c r="Q352" i="105"/>
  <c r="W351" i="105"/>
  <c r="T351" i="105"/>
  <c r="Q351" i="105"/>
  <c r="W350" i="105"/>
  <c r="T350" i="105"/>
  <c r="Q350" i="105"/>
  <c r="W349" i="105"/>
  <c r="T349" i="105"/>
  <c r="Q349" i="105"/>
  <c r="AE329" i="105"/>
  <c r="P329" i="105" s="1"/>
  <c r="Q329" i="105"/>
  <c r="T329" i="105"/>
  <c r="AE328" i="105"/>
  <c r="P328" i="105" s="1"/>
  <c r="T328" i="105"/>
  <c r="AE327" i="105"/>
  <c r="P327" i="105" s="1"/>
  <c r="Q327" i="105"/>
  <c r="T327" i="105"/>
  <c r="AE326" i="105"/>
  <c r="P326" i="105" s="1"/>
  <c r="Q326" i="105"/>
  <c r="T326" i="105"/>
  <c r="AE325" i="105"/>
  <c r="P325" i="105" s="1"/>
  <c r="Q325" i="105"/>
  <c r="T325" i="105"/>
  <c r="AE324" i="105"/>
  <c r="P324" i="105" s="1"/>
  <c r="T324" i="105"/>
  <c r="AE319" i="105"/>
  <c r="AA319" i="105"/>
  <c r="T319" i="105"/>
  <c r="AA318" i="105"/>
  <c r="T318" i="105"/>
  <c r="AE317" i="105"/>
  <c r="P317" i="105" s="1"/>
  <c r="AA317" i="105"/>
  <c r="T317" i="105"/>
  <c r="AG312" i="105"/>
  <c r="AF312" i="105" s="1"/>
  <c r="AE312" i="105"/>
  <c r="P312" i="105" s="1"/>
  <c r="AA312" i="105"/>
  <c r="W312" i="105"/>
  <c r="T312" i="105"/>
  <c r="AG311" i="105"/>
  <c r="AF311" i="105" s="1"/>
  <c r="AE311" i="105"/>
  <c r="P311" i="105" s="1"/>
  <c r="AA311" i="105"/>
  <c r="W311" i="105"/>
  <c r="T311" i="105"/>
  <c r="AG310" i="105"/>
  <c r="AF310" i="105"/>
  <c r="AE310" i="105"/>
  <c r="P310" i="105" s="1"/>
  <c r="AA310" i="105"/>
  <c r="W310" i="105"/>
  <c r="T310" i="105"/>
  <c r="AG309" i="105"/>
  <c r="AF309" i="105"/>
  <c r="AE309" i="105"/>
  <c r="P309" i="105" s="1"/>
  <c r="AA309" i="105"/>
  <c r="W309" i="105"/>
  <c r="T309" i="105"/>
  <c r="AG308" i="105"/>
  <c r="AF308" i="105"/>
  <c r="AE308" i="105"/>
  <c r="P308" i="105" s="1"/>
  <c r="AA308" i="105"/>
  <c r="W308" i="105"/>
  <c r="AA303" i="105"/>
  <c r="W303" i="105"/>
  <c r="AA302" i="105"/>
  <c r="W302" i="105"/>
  <c r="AE297" i="105"/>
  <c r="P297" i="105" s="1"/>
  <c r="AA297" i="105"/>
  <c r="W297" i="105"/>
  <c r="AE296" i="105"/>
  <c r="P296" i="105" s="1"/>
  <c r="AA296" i="105"/>
  <c r="W296" i="105"/>
  <c r="AE295" i="105"/>
  <c r="P295" i="105" s="1"/>
  <c r="AA295" i="105"/>
  <c r="W295" i="105"/>
  <c r="AE294" i="105"/>
  <c r="P294" i="105" s="1"/>
  <c r="AA294" i="105"/>
  <c r="W294" i="105"/>
  <c r="AE293" i="105"/>
  <c r="P293" i="105" s="1"/>
  <c r="AA293" i="105"/>
  <c r="W293" i="105"/>
  <c r="AE288" i="105"/>
  <c r="P288" i="105" s="1"/>
  <c r="AA288" i="105"/>
  <c r="Z288" i="105"/>
  <c r="W288" i="105"/>
  <c r="AE287" i="105"/>
  <c r="P287" i="105" s="1"/>
  <c r="AA287" i="105"/>
  <c r="Z287" i="105"/>
  <c r="W287" i="105"/>
  <c r="AE286" i="105"/>
  <c r="AA286" i="105"/>
  <c r="Z286" i="105"/>
  <c r="AE281" i="105"/>
  <c r="P281" i="105" s="1"/>
  <c r="AA281" i="105"/>
  <c r="Z281" i="105"/>
  <c r="W281" i="105"/>
  <c r="AE280" i="105"/>
  <c r="P280" i="105" s="1"/>
  <c r="AA280" i="105"/>
  <c r="Z280" i="105"/>
  <c r="AB275" i="105"/>
  <c r="AE275" i="105" s="1"/>
  <c r="P275" i="105" s="1"/>
  <c r="AA275" i="105"/>
  <c r="AB274" i="105"/>
  <c r="AE274" i="105" s="1"/>
  <c r="P274" i="105" s="1"/>
  <c r="AA274" i="105"/>
  <c r="AB273" i="105"/>
  <c r="AE273" i="105" s="1"/>
  <c r="P273" i="105" s="1"/>
  <c r="AA273" i="105"/>
  <c r="AB272" i="105"/>
  <c r="AA272" i="105"/>
  <c r="AB271" i="105"/>
  <c r="AE271" i="105" s="1"/>
  <c r="P271" i="105" s="1"/>
  <c r="AA271" i="105"/>
  <c r="AB270" i="105"/>
  <c r="AE270" i="105" s="1"/>
  <c r="P270" i="105" s="1"/>
  <c r="AA270" i="105"/>
  <c r="AE269" i="105"/>
  <c r="P269" i="105" s="1"/>
  <c r="AA269" i="105"/>
  <c r="AB268" i="105"/>
  <c r="AE268" i="105" s="1"/>
  <c r="P268" i="105" s="1"/>
  <c r="AA268" i="105"/>
  <c r="AB267" i="105"/>
  <c r="AE267" i="105" s="1"/>
  <c r="P267" i="105" s="1"/>
  <c r="AA267" i="105"/>
  <c r="AB262" i="105"/>
  <c r="AA262" i="105"/>
  <c r="AB261" i="105"/>
  <c r="AE261" i="105" s="1"/>
  <c r="P261" i="105" s="1"/>
  <c r="AA261" i="105"/>
  <c r="AB260" i="105"/>
  <c r="AE260" i="105" s="1"/>
  <c r="P260" i="105" s="1"/>
  <c r="AA260" i="105"/>
  <c r="AB259" i="105"/>
  <c r="AE259" i="105" s="1"/>
  <c r="P259" i="105" s="1"/>
  <c r="AA259" i="105"/>
  <c r="AE258" i="105"/>
  <c r="P258" i="105" s="1"/>
  <c r="AA258" i="105"/>
  <c r="AE257" i="105"/>
  <c r="P257" i="105" s="1"/>
  <c r="AA257" i="105"/>
  <c r="AE256" i="105"/>
  <c r="P256" i="105" s="1"/>
  <c r="AA256" i="105"/>
  <c r="AB255" i="105"/>
  <c r="AA255" i="105"/>
  <c r="AB254" i="105"/>
  <c r="AA254" i="105"/>
  <c r="E214" i="105"/>
  <c r="AE214" i="105"/>
  <c r="P214" i="105" s="1"/>
  <c r="AA214" i="105"/>
  <c r="Z213" i="105"/>
  <c r="AE213" i="105"/>
  <c r="P213" i="105" s="1"/>
  <c r="AA213" i="105"/>
  <c r="W213" i="105"/>
  <c r="E218" i="105"/>
  <c r="Z218" i="105" s="1"/>
  <c r="AE218" i="105"/>
  <c r="P218" i="105" s="1"/>
  <c r="AA218" i="105"/>
  <c r="E171" i="105"/>
  <c r="Z171" i="105" s="1"/>
  <c r="AE171" i="105"/>
  <c r="P171" i="105" s="1"/>
  <c r="AA171" i="105"/>
  <c r="E167" i="105"/>
  <c r="Z167" i="105" s="1"/>
  <c r="AE167" i="105"/>
  <c r="P167" i="105" s="1"/>
  <c r="AA167" i="105"/>
  <c r="E164" i="105"/>
  <c r="Z164" i="105" s="1"/>
  <c r="AE164" i="105"/>
  <c r="P164" i="105" s="1"/>
  <c r="AA164" i="105"/>
  <c r="E163" i="105"/>
  <c r="Z163" i="105" s="1"/>
  <c r="AE163" i="105"/>
  <c r="P163" i="105" s="1"/>
  <c r="AA163" i="105"/>
  <c r="E162" i="105"/>
  <c r="Z162" i="105" s="1"/>
  <c r="AE162" i="105"/>
  <c r="P162" i="105" s="1"/>
  <c r="AA162" i="105"/>
  <c r="E161" i="105"/>
  <c r="AE161" i="105"/>
  <c r="P161" i="105" s="1"/>
  <c r="AA161" i="105"/>
  <c r="E160" i="105"/>
  <c r="Z160" i="105" s="1"/>
  <c r="AE160" i="105"/>
  <c r="P160" i="105" s="1"/>
  <c r="AA160" i="105"/>
  <c r="E159" i="105"/>
  <c r="Z159" i="105" s="1"/>
  <c r="AE159" i="105"/>
  <c r="P159" i="105" s="1"/>
  <c r="AA159" i="105"/>
  <c r="E158" i="105"/>
  <c r="Z158" i="105" s="1"/>
  <c r="AE158" i="105"/>
  <c r="P158" i="105" s="1"/>
  <c r="AA158" i="105"/>
  <c r="E157" i="105"/>
  <c r="Z157" i="105" s="1"/>
  <c r="AE157" i="105"/>
  <c r="P157" i="105" s="1"/>
  <c r="AA157" i="105"/>
  <c r="E156" i="105"/>
  <c r="Z156" i="105" s="1"/>
  <c r="AE156" i="105"/>
  <c r="P156" i="105" s="1"/>
  <c r="AA156" i="105"/>
  <c r="E176" i="105"/>
  <c r="Z176" i="105" s="1"/>
  <c r="AE176" i="105"/>
  <c r="P176" i="105" s="1"/>
  <c r="AA176" i="105"/>
  <c r="E155" i="105"/>
  <c r="Z155" i="105" s="1"/>
  <c r="AE155" i="105"/>
  <c r="P155" i="105" s="1"/>
  <c r="AA155" i="105"/>
  <c r="E175" i="105"/>
  <c r="Z175" i="105" s="1"/>
  <c r="AE175" i="105"/>
  <c r="P175" i="105" s="1"/>
  <c r="AA175" i="105"/>
  <c r="E174" i="105"/>
  <c r="Z174" i="105" s="1"/>
  <c r="AE174" i="105"/>
  <c r="P174" i="105" s="1"/>
  <c r="AA174" i="105"/>
  <c r="E173" i="105"/>
  <c r="Z173" i="105" s="1"/>
  <c r="AE173" i="105"/>
  <c r="P173" i="105" s="1"/>
  <c r="AA173" i="105"/>
  <c r="E153" i="105"/>
  <c r="Z153" i="105" s="1"/>
  <c r="AE153" i="105"/>
  <c r="P153" i="105" s="1"/>
  <c r="AA153" i="105"/>
  <c r="E152" i="105"/>
  <c r="Z152" i="105" s="1"/>
  <c r="AE152" i="105"/>
  <c r="P152" i="105" s="1"/>
  <c r="AA152" i="105"/>
  <c r="E151" i="105"/>
  <c r="Z151" i="105" s="1"/>
  <c r="AE151" i="105"/>
  <c r="P151" i="105" s="1"/>
  <c r="AA151" i="105"/>
  <c r="E150" i="105"/>
  <c r="Z150" i="105" s="1"/>
  <c r="AE150" i="105"/>
  <c r="P150" i="105" s="1"/>
  <c r="AA150" i="105"/>
  <c r="E148" i="105"/>
  <c r="Z148" i="105" s="1"/>
  <c r="AE148" i="105"/>
  <c r="P148" i="105" s="1"/>
  <c r="AA148" i="105"/>
  <c r="E147" i="105"/>
  <c r="Z147" i="105" s="1"/>
  <c r="AE147" i="105"/>
  <c r="P147" i="105" s="1"/>
  <c r="AA147" i="105"/>
  <c r="E146" i="105"/>
  <c r="Z146" i="105" s="1"/>
  <c r="AE146" i="105"/>
  <c r="P146" i="105" s="1"/>
  <c r="AA146" i="105"/>
  <c r="E144" i="105"/>
  <c r="Z144" i="105" s="1"/>
  <c r="AE144" i="105"/>
  <c r="P144" i="105" s="1"/>
  <c r="AA144" i="105"/>
  <c r="E143" i="105"/>
  <c r="Z143" i="105" s="1"/>
  <c r="AE143" i="105"/>
  <c r="P143" i="105" s="1"/>
  <c r="AA143" i="105"/>
  <c r="E141" i="105"/>
  <c r="Z141" i="105" s="1"/>
  <c r="AE141" i="105"/>
  <c r="P141" i="105" s="1"/>
  <c r="AA141" i="105"/>
  <c r="E172" i="105"/>
  <c r="Z172" i="105" s="1"/>
  <c r="AE172" i="105"/>
  <c r="P172" i="105" s="1"/>
  <c r="AA172" i="105"/>
  <c r="E140" i="105"/>
  <c r="Z140" i="105" s="1"/>
  <c r="AE140" i="105"/>
  <c r="P140" i="105" s="1"/>
  <c r="AA140" i="105"/>
  <c r="E139" i="105"/>
  <c r="Z139" i="105" s="1"/>
  <c r="AE139" i="105"/>
  <c r="P139" i="105" s="1"/>
  <c r="AA139" i="105"/>
  <c r="E137" i="105"/>
  <c r="Z137" i="105" s="1"/>
  <c r="AE137" i="105"/>
  <c r="P137" i="105" s="1"/>
  <c r="AA137" i="105"/>
  <c r="E136" i="105"/>
  <c r="Z136" i="105" s="1"/>
  <c r="AE136" i="105"/>
  <c r="P136" i="105" s="1"/>
  <c r="AA136" i="105"/>
  <c r="E135" i="105"/>
  <c r="Z135" i="105" s="1"/>
  <c r="AE135" i="105"/>
  <c r="P135" i="105" s="1"/>
  <c r="AA135" i="105"/>
  <c r="E134" i="105"/>
  <c r="Z134" i="105" s="1"/>
  <c r="AE134" i="105"/>
  <c r="P134" i="105" s="1"/>
  <c r="AA134" i="105"/>
  <c r="E133" i="105"/>
  <c r="Z133" i="105" s="1"/>
  <c r="AE133" i="105"/>
  <c r="P133" i="105" s="1"/>
  <c r="AA133" i="105"/>
  <c r="E130" i="105"/>
  <c r="Z130" i="105" s="1"/>
  <c r="AE130" i="105"/>
  <c r="P130" i="105" s="1"/>
  <c r="AA130" i="105"/>
  <c r="E129" i="105"/>
  <c r="AE129" i="105"/>
  <c r="P129" i="105" s="1"/>
  <c r="AA129" i="105"/>
  <c r="E248" i="105"/>
  <c r="Z248" i="105" s="1"/>
  <c r="AE248" i="105"/>
  <c r="P248" i="105" s="1"/>
  <c r="AA248" i="105"/>
  <c r="W248" i="105"/>
  <c r="E247" i="105"/>
  <c r="Z247" i="105" s="1"/>
  <c r="AE247" i="105"/>
  <c r="P247" i="105" s="1"/>
  <c r="AA247" i="105"/>
  <c r="W247" i="105"/>
  <c r="E246" i="105"/>
  <c r="Z246" i="105" s="1"/>
  <c r="AE246" i="105"/>
  <c r="P246" i="105" s="1"/>
  <c r="AA246" i="105"/>
  <c r="W246" i="105"/>
  <c r="E245" i="105"/>
  <c r="Z245" i="105" s="1"/>
  <c r="AE245" i="105"/>
  <c r="P245" i="105" s="1"/>
  <c r="AA245" i="105"/>
  <c r="W245" i="105"/>
  <c r="E244" i="105"/>
  <c r="Z244" i="105" s="1"/>
  <c r="AE244" i="105"/>
  <c r="P244" i="105" s="1"/>
  <c r="AA244" i="105"/>
  <c r="W244" i="105"/>
  <c r="E243" i="105"/>
  <c r="Z243" i="105" s="1"/>
  <c r="AE243" i="105"/>
  <c r="P243" i="105" s="1"/>
  <c r="AA243" i="105"/>
  <c r="W243" i="105"/>
  <c r="E242" i="105"/>
  <c r="Z242" i="105" s="1"/>
  <c r="AE242" i="105"/>
  <c r="P242" i="105" s="1"/>
  <c r="AA242" i="105"/>
  <c r="W242" i="105"/>
  <c r="E241" i="105"/>
  <c r="Z241" i="105" s="1"/>
  <c r="AE241" i="105"/>
  <c r="P241" i="105" s="1"/>
  <c r="AA241" i="105"/>
  <c r="W241" i="105"/>
  <c r="E240" i="105"/>
  <c r="Z240" i="105" s="1"/>
  <c r="AE240" i="105"/>
  <c r="P240" i="105" s="1"/>
  <c r="AA240" i="105"/>
  <c r="W240" i="105"/>
  <c r="E239" i="105"/>
  <c r="Z239" i="105" s="1"/>
  <c r="AE239" i="105"/>
  <c r="P239" i="105" s="1"/>
  <c r="AA239" i="105"/>
  <c r="W239" i="105"/>
  <c r="E238" i="105"/>
  <c r="Z238" i="105" s="1"/>
  <c r="AE238" i="105"/>
  <c r="P238" i="105" s="1"/>
  <c r="AA238" i="105"/>
  <c r="W238" i="105"/>
  <c r="E237" i="105"/>
  <c r="Z237" i="105" s="1"/>
  <c r="AE237" i="105"/>
  <c r="P237" i="105" s="1"/>
  <c r="AA237" i="105"/>
  <c r="W237" i="105"/>
  <c r="E233" i="105"/>
  <c r="AE233" i="105"/>
  <c r="P233" i="105" s="1"/>
  <c r="AA233" i="105"/>
  <c r="Z233" i="105"/>
  <c r="W233" i="105"/>
  <c r="E232" i="105"/>
  <c r="AE232" i="105"/>
  <c r="P232" i="105" s="1"/>
  <c r="AA232" i="105"/>
  <c r="Z232" i="105"/>
  <c r="W232" i="105"/>
  <c r="E231" i="105"/>
  <c r="Z231" i="105" s="1"/>
  <c r="AE231" i="105"/>
  <c r="P231" i="105" s="1"/>
  <c r="AA231" i="105"/>
  <c r="W231" i="105"/>
  <c r="E230" i="105"/>
  <c r="Z230" i="105" s="1"/>
  <c r="AE230" i="105"/>
  <c r="P230" i="105" s="1"/>
  <c r="AA230" i="105"/>
  <c r="W230" i="105"/>
  <c r="E229" i="105"/>
  <c r="Z229" i="105" s="1"/>
  <c r="AE229" i="105"/>
  <c r="P229" i="105" s="1"/>
  <c r="AA229" i="105"/>
  <c r="W229" i="105"/>
  <c r="E228" i="105"/>
  <c r="Z228" i="105" s="1"/>
  <c r="AE228" i="105"/>
  <c r="P228" i="105" s="1"/>
  <c r="AA228" i="105"/>
  <c r="W228" i="105"/>
  <c r="E227" i="105"/>
  <c r="Z227" i="105" s="1"/>
  <c r="AE227" i="105"/>
  <c r="P227" i="105" s="1"/>
  <c r="AA227" i="105"/>
  <c r="W227" i="105"/>
  <c r="E226" i="105"/>
  <c r="Z226" i="105" s="1"/>
  <c r="AE226" i="105"/>
  <c r="P226" i="105" s="1"/>
  <c r="AA226" i="105"/>
  <c r="W226" i="105"/>
  <c r="E225" i="105"/>
  <c r="AE225" i="105"/>
  <c r="P225" i="105" s="1"/>
  <c r="AA225" i="105"/>
  <c r="E224" i="105"/>
  <c r="Z224" i="105" s="1"/>
  <c r="AE224" i="105"/>
  <c r="P224" i="105" s="1"/>
  <c r="AA224" i="105"/>
  <c r="W224" i="105"/>
  <c r="E124" i="105"/>
  <c r="Z124" i="105" s="1"/>
  <c r="AE124" i="105"/>
  <c r="P124" i="105" s="1"/>
  <c r="AA124" i="105"/>
  <c r="E120" i="105"/>
  <c r="Z120" i="105" s="1"/>
  <c r="AE120" i="105"/>
  <c r="P120" i="105" s="1"/>
  <c r="AA120" i="105"/>
  <c r="E107" i="105"/>
  <c r="Z107" i="105" s="1"/>
  <c r="AE107" i="105"/>
  <c r="P107" i="105" s="1"/>
  <c r="AA107" i="105"/>
  <c r="E106" i="105"/>
  <c r="Z106" i="105" s="1"/>
  <c r="AE106" i="105"/>
  <c r="P106" i="105" s="1"/>
  <c r="AA106" i="105"/>
  <c r="E105" i="105"/>
  <c r="Z105" i="105" s="1"/>
  <c r="AE105" i="105"/>
  <c r="P105" i="105" s="1"/>
  <c r="AA105" i="105"/>
  <c r="E104" i="105"/>
  <c r="Z104" i="105" s="1"/>
  <c r="AE104" i="105"/>
  <c r="P104" i="105" s="1"/>
  <c r="AA104" i="105"/>
  <c r="E103" i="105"/>
  <c r="Z103" i="105" s="1"/>
  <c r="AE103" i="105"/>
  <c r="P103" i="105" s="1"/>
  <c r="AA103" i="105"/>
  <c r="E102" i="105"/>
  <c r="Z102" i="105" s="1"/>
  <c r="AE102" i="105"/>
  <c r="P102" i="105" s="1"/>
  <c r="AA102" i="105"/>
  <c r="E100" i="105"/>
  <c r="Z100" i="105" s="1"/>
  <c r="AE100" i="105"/>
  <c r="P100" i="105" s="1"/>
  <c r="AA100" i="105"/>
  <c r="E99" i="105"/>
  <c r="Z99" i="105" s="1"/>
  <c r="AE99" i="105"/>
  <c r="P99" i="105" s="1"/>
  <c r="AA99" i="105"/>
  <c r="E370" i="105"/>
  <c r="Z370" i="105" s="1"/>
  <c r="AE370" i="105"/>
  <c r="P370" i="105" s="1"/>
  <c r="AA370" i="105"/>
  <c r="W370" i="105"/>
  <c r="T370" i="105"/>
  <c r="E97" i="105"/>
  <c r="Z97" i="105" s="1"/>
  <c r="AA97" i="105"/>
  <c r="W97" i="105"/>
  <c r="E96" i="105"/>
  <c r="Z96" i="105" s="1"/>
  <c r="AE96" i="105"/>
  <c r="P96" i="105" s="1"/>
  <c r="AA96" i="105"/>
  <c r="E87" i="105"/>
  <c r="Z87" i="105" s="1"/>
  <c r="AE87" i="105"/>
  <c r="P87" i="105" s="1"/>
  <c r="AA87" i="105"/>
  <c r="E90" i="105"/>
  <c r="Z90" i="105" s="1"/>
  <c r="AE90" i="105"/>
  <c r="P90" i="105" s="1"/>
  <c r="AA90" i="105"/>
  <c r="E86" i="105"/>
  <c r="Z86" i="105" s="1"/>
  <c r="AA86" i="105"/>
  <c r="E92" i="105"/>
  <c r="Z92" i="105" s="1"/>
  <c r="AE92" i="105"/>
  <c r="P92" i="105" s="1"/>
  <c r="AA92" i="105"/>
  <c r="E91" i="105"/>
  <c r="Z91" i="105" s="1"/>
  <c r="AE91" i="105"/>
  <c r="P91" i="105" s="1"/>
  <c r="AA91" i="105"/>
  <c r="E85" i="105"/>
  <c r="Z85" i="105" s="1"/>
  <c r="AE85" i="105"/>
  <c r="P85" i="105" s="1"/>
  <c r="AA85" i="105"/>
  <c r="E84" i="105"/>
  <c r="Z84" i="105" s="1"/>
  <c r="AE84" i="105"/>
  <c r="P84" i="105" s="1"/>
  <c r="AA84" i="105"/>
  <c r="E83" i="105"/>
  <c r="Z83" i="105" s="1"/>
  <c r="AE83" i="105"/>
  <c r="P83" i="105" s="1"/>
  <c r="AA83" i="105"/>
  <c r="E82" i="105"/>
  <c r="Z82" i="105" s="1"/>
  <c r="AE82" i="105"/>
  <c r="P82" i="105" s="1"/>
  <c r="AA82" i="105"/>
  <c r="E81" i="105"/>
  <c r="Z81" i="105" s="1"/>
  <c r="AE81" i="105"/>
  <c r="P81" i="105" s="1"/>
  <c r="AA81" i="105"/>
  <c r="E80" i="105"/>
  <c r="Z80" i="105" s="1"/>
  <c r="AE80" i="105"/>
  <c r="P80" i="105" s="1"/>
  <c r="AA80" i="105"/>
  <c r="E79" i="105"/>
  <c r="Z79" i="105" s="1"/>
  <c r="AE79" i="105"/>
  <c r="P79" i="105" s="1"/>
  <c r="AA79" i="105"/>
  <c r="E78" i="105"/>
  <c r="Z78" i="105" s="1"/>
  <c r="AE78" i="105"/>
  <c r="P78" i="105" s="1"/>
  <c r="AA78" i="105"/>
  <c r="E113" i="105"/>
  <c r="Z113" i="105" s="1"/>
  <c r="AE113" i="105"/>
  <c r="P113" i="105" s="1"/>
  <c r="AA113" i="105"/>
  <c r="E77" i="105"/>
  <c r="Z77" i="105" s="1"/>
  <c r="AE77" i="105"/>
  <c r="P77" i="105" s="1"/>
  <c r="AA77" i="105"/>
  <c r="E112" i="105"/>
  <c r="Z112" i="105" s="1"/>
  <c r="AE112" i="105"/>
  <c r="P112" i="105" s="1"/>
  <c r="AA112" i="105"/>
  <c r="E76" i="105"/>
  <c r="Z76" i="105" s="1"/>
  <c r="AE76" i="105"/>
  <c r="P76" i="105" s="1"/>
  <c r="AA76" i="105"/>
  <c r="E111" i="105"/>
  <c r="Z111" i="105" s="1"/>
  <c r="AE111" i="105"/>
  <c r="P111" i="105" s="1"/>
  <c r="AA111" i="105"/>
  <c r="E75" i="105"/>
  <c r="Z75" i="105" s="1"/>
  <c r="AE75" i="105"/>
  <c r="P75" i="105" s="1"/>
  <c r="AA75" i="105"/>
  <c r="E74" i="105"/>
  <c r="Z74" i="105" s="1"/>
  <c r="AE74" i="105"/>
  <c r="P74" i="105" s="1"/>
  <c r="AA74" i="105"/>
  <c r="E110" i="105"/>
  <c r="Z110" i="105" s="1"/>
  <c r="AE110" i="105"/>
  <c r="P110" i="105" s="1"/>
  <c r="AA110" i="105"/>
  <c r="E109" i="105"/>
  <c r="Z109" i="105" s="1"/>
  <c r="AE109" i="105"/>
  <c r="P109" i="105" s="1"/>
  <c r="AA109" i="105"/>
  <c r="E73" i="105"/>
  <c r="Z73" i="105" s="1"/>
  <c r="AE73" i="105"/>
  <c r="P73" i="105" s="1"/>
  <c r="AA73" i="105"/>
  <c r="E72" i="105"/>
  <c r="Z72" i="105" s="1"/>
  <c r="AE72" i="105"/>
  <c r="P72" i="105" s="1"/>
  <c r="AA72" i="105"/>
  <c r="E71" i="105"/>
  <c r="Z71" i="105" s="1"/>
  <c r="AE71" i="105"/>
  <c r="P71" i="105" s="1"/>
  <c r="AA71" i="105"/>
  <c r="E70" i="105"/>
  <c r="Z70" i="105" s="1"/>
  <c r="AE70" i="105"/>
  <c r="P70" i="105" s="1"/>
  <c r="AA70" i="105"/>
  <c r="E69" i="105"/>
  <c r="Z69" i="105" s="1"/>
  <c r="AE69" i="105"/>
  <c r="P69" i="105" s="1"/>
  <c r="AA69" i="105"/>
  <c r="E68" i="105"/>
  <c r="AE68" i="105"/>
  <c r="P68" i="105" s="1"/>
  <c r="AA68" i="105"/>
  <c r="Z68" i="105"/>
  <c r="E67" i="105"/>
  <c r="AE67" i="105"/>
  <c r="P67" i="105" s="1"/>
  <c r="AA67" i="105"/>
  <c r="E66" i="105"/>
  <c r="AE66" i="105"/>
  <c r="P66" i="105" s="1"/>
  <c r="AA66" i="105"/>
  <c r="Z66" i="105"/>
  <c r="E115" i="105"/>
  <c r="Z115" i="105" s="1"/>
  <c r="AE115" i="105"/>
  <c r="P115" i="105" s="1"/>
  <c r="AA115" i="105"/>
  <c r="E65" i="105"/>
  <c r="Z65" i="105" s="1"/>
  <c r="AE65" i="105"/>
  <c r="P65" i="105" s="1"/>
  <c r="AA65" i="105"/>
  <c r="E64" i="105"/>
  <c r="Z64" i="105" s="1"/>
  <c r="AE64" i="105"/>
  <c r="P64" i="105" s="1"/>
  <c r="AA64" i="105"/>
  <c r="E58" i="105"/>
  <c r="Z58" i="105" s="1"/>
  <c r="AE58" i="105"/>
  <c r="P58" i="105" s="1"/>
  <c r="AA58" i="105"/>
  <c r="E57" i="105"/>
  <c r="Z57" i="105" s="1"/>
  <c r="AE57" i="105"/>
  <c r="P57" i="105" s="1"/>
  <c r="AA57" i="105"/>
  <c r="W57" i="105"/>
  <c r="E56" i="105"/>
  <c r="Z56" i="105" s="1"/>
  <c r="AE56" i="105"/>
  <c r="P56" i="105" s="1"/>
  <c r="AA56" i="105"/>
  <c r="E55" i="105"/>
  <c r="Z55" i="105" s="1"/>
  <c r="AE55" i="105"/>
  <c r="P55" i="105" s="1"/>
  <c r="AA55" i="105"/>
  <c r="W55" i="105"/>
  <c r="E54" i="105"/>
  <c r="Z54" i="105" s="1"/>
  <c r="AE54" i="105"/>
  <c r="P54" i="105" s="1"/>
  <c r="AA54" i="105"/>
  <c r="E53" i="105"/>
  <c r="Z53" i="105" s="1"/>
  <c r="AE53" i="105"/>
  <c r="P53" i="105" s="1"/>
  <c r="AA53" i="105"/>
  <c r="W53" i="105"/>
  <c r="E52" i="105"/>
  <c r="Z52" i="105" s="1"/>
  <c r="AE52" i="105"/>
  <c r="P52" i="105" s="1"/>
  <c r="AA52" i="105"/>
  <c r="W52" i="105"/>
  <c r="E51" i="105"/>
  <c r="Z51" i="105" s="1"/>
  <c r="AE51" i="105"/>
  <c r="P51" i="105" s="1"/>
  <c r="AA51" i="105"/>
  <c r="E50" i="105"/>
  <c r="Z50" i="105" s="1"/>
  <c r="AE50" i="105"/>
  <c r="P50" i="105" s="1"/>
  <c r="AA50" i="105"/>
  <c r="E49" i="105"/>
  <c r="Z49" i="105" s="1"/>
  <c r="AE49" i="105"/>
  <c r="P49" i="105" s="1"/>
  <c r="AA49" i="105"/>
  <c r="E48" i="105"/>
  <c r="Z48" i="105" s="1"/>
  <c r="AE48" i="105"/>
  <c r="P48" i="105" s="1"/>
  <c r="AA48" i="105"/>
  <c r="E47" i="105"/>
  <c r="Z47" i="105" s="1"/>
  <c r="AE47" i="105"/>
  <c r="P47" i="105" s="1"/>
  <c r="AA47" i="105"/>
  <c r="E46" i="105"/>
  <c r="Z46" i="105" s="1"/>
  <c r="AE46" i="105"/>
  <c r="P46" i="105" s="1"/>
  <c r="AA46" i="105"/>
  <c r="E45" i="105"/>
  <c r="Z45" i="105" s="1"/>
  <c r="AE45" i="105"/>
  <c r="P45" i="105" s="1"/>
  <c r="AA45" i="105"/>
  <c r="E44" i="105"/>
  <c r="Z44" i="105" s="1"/>
  <c r="AE44" i="105"/>
  <c r="P44" i="105" s="1"/>
  <c r="AA44" i="105"/>
  <c r="E43" i="105"/>
  <c r="Z43" i="105" s="1"/>
  <c r="AE43" i="105"/>
  <c r="P43" i="105" s="1"/>
  <c r="AA43" i="105"/>
  <c r="E42" i="105"/>
  <c r="Z42" i="105" s="1"/>
  <c r="AE42" i="105"/>
  <c r="P42" i="105" s="1"/>
  <c r="AA42" i="105"/>
  <c r="E41" i="105"/>
  <c r="Z41" i="105" s="1"/>
  <c r="AE41" i="105"/>
  <c r="P41" i="105" s="1"/>
  <c r="AA41" i="105"/>
  <c r="E40" i="105"/>
  <c r="Z40" i="105" s="1"/>
  <c r="AE40" i="105"/>
  <c r="P40" i="105" s="1"/>
  <c r="AA40" i="105"/>
  <c r="E39" i="105"/>
  <c r="Z39" i="105" s="1"/>
  <c r="AE39" i="105"/>
  <c r="P39" i="105" s="1"/>
  <c r="AA39" i="105"/>
  <c r="E38" i="105"/>
  <c r="Z38" i="105" s="1"/>
  <c r="AE38" i="105"/>
  <c r="P38" i="105" s="1"/>
  <c r="AA38" i="105"/>
  <c r="E37" i="105"/>
  <c r="Z37" i="105" s="1"/>
  <c r="AE37" i="105"/>
  <c r="P37" i="105" s="1"/>
  <c r="AA37" i="105"/>
  <c r="E36" i="105"/>
  <c r="Z36" i="105" s="1"/>
  <c r="AE36" i="105"/>
  <c r="P36" i="105" s="1"/>
  <c r="AA36" i="105"/>
  <c r="E35" i="105"/>
  <c r="Z35" i="105" s="1"/>
  <c r="AE35" i="105"/>
  <c r="P35" i="105" s="1"/>
  <c r="AA35" i="105"/>
  <c r="E34" i="105"/>
  <c r="Z34" i="105" s="1"/>
  <c r="AE34" i="105"/>
  <c r="P34" i="105" s="1"/>
  <c r="AA34" i="105"/>
  <c r="E33" i="105"/>
  <c r="Z33" i="105" s="1"/>
  <c r="AE33" i="105"/>
  <c r="P33" i="105" s="1"/>
  <c r="AA33" i="105"/>
  <c r="E30" i="105"/>
  <c r="AE30" i="105"/>
  <c r="P30" i="105" s="1"/>
  <c r="AA30" i="105"/>
  <c r="E27" i="105"/>
  <c r="Z27" i="105" s="1"/>
  <c r="AE27" i="105"/>
  <c r="P27" i="105" s="1"/>
  <c r="AA27" i="105"/>
  <c r="E26" i="105"/>
  <c r="Z26" i="105" s="1"/>
  <c r="AE26" i="105"/>
  <c r="P26" i="105" s="1"/>
  <c r="AA26" i="105"/>
  <c r="E25" i="105"/>
  <c r="Z25" i="105" s="1"/>
  <c r="AE25" i="105"/>
  <c r="P25" i="105" s="1"/>
  <c r="AA25" i="105"/>
  <c r="E24" i="105"/>
  <c r="Z24" i="105" s="1"/>
  <c r="AE24" i="105"/>
  <c r="P24" i="105" s="1"/>
  <c r="AA24" i="105"/>
  <c r="E23" i="105"/>
  <c r="Z23" i="105" s="1"/>
  <c r="AE23" i="105"/>
  <c r="P23" i="105" s="1"/>
  <c r="AA23" i="105"/>
  <c r="E22" i="105"/>
  <c r="Z22" i="105" s="1"/>
  <c r="AE22" i="105"/>
  <c r="P22" i="105" s="1"/>
  <c r="AA22" i="105"/>
  <c r="E21" i="105"/>
  <c r="Z21" i="105" s="1"/>
  <c r="AE21" i="105"/>
  <c r="P21" i="105" s="1"/>
  <c r="AA21" i="105"/>
  <c r="E59" i="105"/>
  <c r="Z59" i="105" s="1"/>
  <c r="AE59" i="105"/>
  <c r="P59" i="105" s="1"/>
  <c r="AA59" i="105"/>
  <c r="E18" i="105"/>
  <c r="Z18" i="105" s="1"/>
  <c r="AE18" i="105"/>
  <c r="P18" i="105" s="1"/>
  <c r="AA18" i="105"/>
  <c r="E17" i="105"/>
  <c r="Z17" i="105" s="1"/>
  <c r="AE17" i="105"/>
  <c r="P17" i="105" s="1"/>
  <c r="AA17" i="105"/>
  <c r="E16" i="105"/>
  <c r="Z16" i="105" s="1"/>
  <c r="AE16" i="105"/>
  <c r="P16" i="105" s="1"/>
  <c r="AA16" i="105"/>
  <c r="E12" i="105"/>
  <c r="Z12" i="105" s="1"/>
  <c r="AE12" i="105"/>
  <c r="P12" i="105" s="1"/>
  <c r="AA12" i="105"/>
  <c r="E11" i="105"/>
  <c r="Z11" i="105" s="1"/>
  <c r="AE11" i="105"/>
  <c r="P11" i="105" s="1"/>
  <c r="AA11" i="105"/>
  <c r="E13" i="105"/>
  <c r="Z13" i="105" s="1"/>
  <c r="AE13" i="105"/>
  <c r="P13" i="105" s="1"/>
  <c r="AA13" i="105"/>
  <c r="E10" i="105"/>
  <c r="Z10" i="105" s="1"/>
  <c r="AE10" i="105"/>
  <c r="P10" i="105" s="1"/>
  <c r="AA10" i="105"/>
  <c r="G302" i="93"/>
  <c r="F4" i="101"/>
  <c r="F23" i="101"/>
  <c r="F27" i="99"/>
  <c r="F4" i="99"/>
  <c r="F27" i="97"/>
  <c r="F4" i="97"/>
  <c r="G204" i="93"/>
  <c r="G4" i="93"/>
  <c r="B36" i="107" l="1"/>
  <c r="E22" i="107"/>
  <c r="F22" i="107" s="1"/>
  <c r="Q147" i="105"/>
  <c r="O147" i="105" s="1"/>
  <c r="Q141" i="105"/>
  <c r="O141" i="105" s="1"/>
  <c r="O327" i="105"/>
  <c r="O325" i="105"/>
  <c r="O324" i="105"/>
  <c r="O329" i="105"/>
  <c r="O326" i="105"/>
  <c r="Q97" i="105"/>
  <c r="O97" i="105" s="1"/>
  <c r="AE272" i="105"/>
  <c r="P272" i="105" s="1"/>
  <c r="O366" i="105"/>
  <c r="O362" i="105"/>
  <c r="X368" i="105"/>
  <c r="Q40" i="105"/>
  <c r="Q84" i="105"/>
  <c r="Q92" i="105"/>
  <c r="X229" i="105"/>
  <c r="X232" i="105"/>
  <c r="X244" i="105"/>
  <c r="Q96" i="105"/>
  <c r="L96" i="105" s="1"/>
  <c r="Q107" i="105"/>
  <c r="O107" i="105" s="1"/>
  <c r="X248" i="105"/>
  <c r="Q152" i="105"/>
  <c r="U350" i="105"/>
  <c r="U351" i="105"/>
  <c r="Z267" i="105"/>
  <c r="Q267" i="105" s="1"/>
  <c r="O267" i="105" s="1"/>
  <c r="O365" i="105"/>
  <c r="X53" i="105"/>
  <c r="X240" i="105"/>
  <c r="Q137" i="105"/>
  <c r="L137" i="105" s="1"/>
  <c r="Q172" i="105"/>
  <c r="Q176" i="105"/>
  <c r="Q218" i="105"/>
  <c r="L218" i="105" s="1"/>
  <c r="AE254" i="105"/>
  <c r="X349" i="105"/>
  <c r="X351" i="105"/>
  <c r="L362" i="105"/>
  <c r="L366" i="105"/>
  <c r="Q244" i="105"/>
  <c r="L244" i="105" s="1"/>
  <c r="Q139" i="105"/>
  <c r="O139" i="105" s="1"/>
  <c r="Q159" i="105"/>
  <c r="L159" i="105" s="1"/>
  <c r="Z272" i="105"/>
  <c r="Q272" i="105" s="1"/>
  <c r="L351" i="105"/>
  <c r="X281" i="105"/>
  <c r="X57" i="105"/>
  <c r="X231" i="105"/>
  <c r="X241" i="105"/>
  <c r="X242" i="105"/>
  <c r="X243" i="105"/>
  <c r="X293" i="105"/>
  <c r="X297" i="105"/>
  <c r="O361" i="105"/>
  <c r="U364" i="105"/>
  <c r="Q41" i="105"/>
  <c r="L41" i="105" s="1"/>
  <c r="Q18" i="105"/>
  <c r="L18" i="105" s="1"/>
  <c r="X239" i="105"/>
  <c r="X245" i="105"/>
  <c r="Z255" i="105"/>
  <c r="Q255" i="105" s="1"/>
  <c r="O351" i="105"/>
  <c r="U366" i="105"/>
  <c r="O363" i="105"/>
  <c r="Q27" i="105"/>
  <c r="O27" i="105" s="1"/>
  <c r="Q45" i="105"/>
  <c r="Q53" i="105"/>
  <c r="O53" i="105" s="1"/>
  <c r="Q76" i="105"/>
  <c r="L76" i="105" s="1"/>
  <c r="Q100" i="105"/>
  <c r="O100" i="105" s="1"/>
  <c r="Q228" i="105"/>
  <c r="Q240" i="105"/>
  <c r="O240" i="105" s="1"/>
  <c r="Q245" i="105"/>
  <c r="L245" i="105" s="1"/>
  <c r="Q136" i="105"/>
  <c r="L136" i="105" s="1"/>
  <c r="Q151" i="105"/>
  <c r="L151" i="105" s="1"/>
  <c r="Q156" i="105"/>
  <c r="O156" i="105" s="1"/>
  <c r="Z257" i="105"/>
  <c r="Q257" i="105" s="1"/>
  <c r="O257" i="105" s="1"/>
  <c r="Z274" i="105"/>
  <c r="Q274" i="105" s="1"/>
  <c r="O274" i="105" s="1"/>
  <c r="Q288" i="105"/>
  <c r="L288" i="105" s="1"/>
  <c r="Q369" i="105"/>
  <c r="O369" i="105" s="1"/>
  <c r="Q16" i="105"/>
  <c r="Q59" i="105"/>
  <c r="O59" i="105" s="1"/>
  <c r="Q51" i="105"/>
  <c r="Q58" i="105"/>
  <c r="Q109" i="105"/>
  <c r="L109" i="105" s="1"/>
  <c r="Q75" i="105"/>
  <c r="Q102" i="105"/>
  <c r="Q229" i="105"/>
  <c r="Q246" i="105"/>
  <c r="L246" i="105" s="1"/>
  <c r="Q143" i="105"/>
  <c r="L143" i="105" s="1"/>
  <c r="Q173" i="105"/>
  <c r="L173" i="105" s="1"/>
  <c r="Q157" i="105"/>
  <c r="Q163" i="105"/>
  <c r="Z262" i="105"/>
  <c r="Q262" i="105" s="1"/>
  <c r="Z258" i="105"/>
  <c r="Q258" i="105" s="1"/>
  <c r="O258" i="105" s="1"/>
  <c r="Z271" i="105"/>
  <c r="Q271" i="105" s="1"/>
  <c r="L271" i="105" s="1"/>
  <c r="Z67" i="105"/>
  <c r="Q67" i="105" s="1"/>
  <c r="L67" i="105" s="1"/>
  <c r="Z319" i="105"/>
  <c r="Q319" i="105" s="1"/>
  <c r="O319" i="105" s="1"/>
  <c r="Z161" i="105"/>
  <c r="Q161" i="105" s="1"/>
  <c r="O161" i="105" s="1"/>
  <c r="Z317" i="105"/>
  <c r="Q317" i="105" s="1"/>
  <c r="O317" i="105" s="1"/>
  <c r="Z30" i="105"/>
  <c r="Q30" i="105" s="1"/>
  <c r="O30" i="105" s="1"/>
  <c r="Q23" i="105"/>
  <c r="L23" i="105" s="1"/>
  <c r="Q33" i="105"/>
  <c r="Q74" i="105"/>
  <c r="L74" i="105" s="1"/>
  <c r="Q12" i="105"/>
  <c r="Q24" i="105"/>
  <c r="L24" i="105" s="1"/>
  <c r="Q39" i="105"/>
  <c r="O39" i="105" s="1"/>
  <c r="Q43" i="105"/>
  <c r="Q48" i="105"/>
  <c r="O48" i="105" s="1"/>
  <c r="Q80" i="105"/>
  <c r="Z318" i="105"/>
  <c r="Q318" i="105" s="1"/>
  <c r="O318" i="105" s="1"/>
  <c r="Z225" i="105"/>
  <c r="Q225" i="105" s="1"/>
  <c r="L225" i="105" s="1"/>
  <c r="Q106" i="105"/>
  <c r="L106" i="105" s="1"/>
  <c r="Z129" i="105"/>
  <c r="Q129" i="105" s="1"/>
  <c r="L129" i="105" s="1"/>
  <c r="Z312" i="105"/>
  <c r="Q312" i="105" s="1"/>
  <c r="U312" i="105" s="1"/>
  <c r="Q232" i="105"/>
  <c r="O232" i="105" s="1"/>
  <c r="Q286" i="105"/>
  <c r="O286" i="105" s="1"/>
  <c r="Q259" i="105"/>
  <c r="Z260" i="105"/>
  <c r="Q260" i="105" s="1"/>
  <c r="O260" i="105" s="1"/>
  <c r="Q367" i="105"/>
  <c r="U367" i="105" s="1"/>
  <c r="Z256" i="105"/>
  <c r="Q256" i="105" s="1"/>
  <c r="O256" i="105" s="1"/>
  <c r="Z294" i="105"/>
  <c r="Q294" i="105" s="1"/>
  <c r="L294" i="105" s="1"/>
  <c r="Q57" i="105"/>
  <c r="O57" i="105" s="1"/>
  <c r="Q72" i="105"/>
  <c r="L72" i="105" s="1"/>
  <c r="Q150" i="105"/>
  <c r="O150" i="105" s="1"/>
  <c r="Q248" i="105"/>
  <c r="L248" i="105" s="1"/>
  <c r="Q46" i="105"/>
  <c r="L46" i="105" s="1"/>
  <c r="X228" i="105"/>
  <c r="X233" i="105"/>
  <c r="Q68" i="105"/>
  <c r="L68" i="105" s="1"/>
  <c r="Q79" i="105"/>
  <c r="Q83" i="105"/>
  <c r="L83" i="105" s="1"/>
  <c r="Q124" i="105"/>
  <c r="Q35" i="105"/>
  <c r="Q37" i="105"/>
  <c r="Q47" i="105"/>
  <c r="Q49" i="105"/>
  <c r="X52" i="105"/>
  <c r="Q115" i="105"/>
  <c r="O115" i="105" s="1"/>
  <c r="Q112" i="105"/>
  <c r="Q86" i="105"/>
  <c r="Q238" i="105"/>
  <c r="Q134" i="105"/>
  <c r="L134" i="105" s="1"/>
  <c r="L361" i="105"/>
  <c r="L365" i="105"/>
  <c r="Q13" i="105"/>
  <c r="L13" i="105" s="1"/>
  <c r="Q11" i="105"/>
  <c r="L11" i="105" s="1"/>
  <c r="Q21" i="105"/>
  <c r="Q25" i="105"/>
  <c r="Q36" i="105"/>
  <c r="L36" i="105" s="1"/>
  <c r="Q44" i="105"/>
  <c r="Q50" i="105"/>
  <c r="O50" i="105" s="1"/>
  <c r="Q52" i="105"/>
  <c r="L52" i="105" s="1"/>
  <c r="Q66" i="105"/>
  <c r="L66" i="105" s="1"/>
  <c r="Q73" i="105"/>
  <c r="Q111" i="105"/>
  <c r="Q85" i="105"/>
  <c r="L85" i="105" s="1"/>
  <c r="Q90" i="105"/>
  <c r="L90" i="105" s="1"/>
  <c r="Q87" i="105"/>
  <c r="L87" i="105" s="1"/>
  <c r="Q105" i="105"/>
  <c r="O105" i="105" s="1"/>
  <c r="Q224" i="105"/>
  <c r="L224" i="105" s="1"/>
  <c r="Q233" i="105"/>
  <c r="L233" i="105" s="1"/>
  <c r="X238" i="105"/>
  <c r="Q239" i="105"/>
  <c r="L239" i="105" s="1"/>
  <c r="Q130" i="105"/>
  <c r="L130" i="105" s="1"/>
  <c r="Q148" i="105"/>
  <c r="L148" i="105" s="1"/>
  <c r="Q153" i="105"/>
  <c r="L153" i="105" s="1"/>
  <c r="W275" i="105"/>
  <c r="X275" i="105" s="1"/>
  <c r="X287" i="105"/>
  <c r="X295" i="105"/>
  <c r="U361" i="105"/>
  <c r="U365" i="105"/>
  <c r="M365" i="105" s="1"/>
  <c r="Q167" i="105"/>
  <c r="L167" i="105" s="1"/>
  <c r="Q269" i="105"/>
  <c r="Q273" i="105"/>
  <c r="L273" i="105" s="1"/>
  <c r="Q275" i="105"/>
  <c r="L275" i="105" s="1"/>
  <c r="Q287" i="105"/>
  <c r="L287" i="105" s="1"/>
  <c r="X302" i="105"/>
  <c r="X312" i="105"/>
  <c r="O352" i="105"/>
  <c r="U362" i="105"/>
  <c r="Q174" i="105"/>
  <c r="Q171" i="105"/>
  <c r="Q77" i="105"/>
  <c r="Q162" i="105"/>
  <c r="Q261" i="105"/>
  <c r="Q144" i="105"/>
  <c r="O144" i="105" s="1"/>
  <c r="Q10" i="105"/>
  <c r="O10" i="105" s="1"/>
  <c r="Q370" i="105"/>
  <c r="U370" i="105" s="1"/>
  <c r="Q103" i="105"/>
  <c r="Q237" i="105"/>
  <c r="Q135" i="105"/>
  <c r="L135" i="105" s="1"/>
  <c r="Q175" i="105"/>
  <c r="O175" i="105" s="1"/>
  <c r="Q158" i="105"/>
  <c r="Q54" i="105"/>
  <c r="L54" i="105" s="1"/>
  <c r="Q70" i="105"/>
  <c r="L70" i="105" s="1"/>
  <c r="Q81" i="105"/>
  <c r="Q226" i="105"/>
  <c r="L226" i="105" s="1"/>
  <c r="Q241" i="105"/>
  <c r="O241" i="105" s="1"/>
  <c r="Q140" i="105"/>
  <c r="L140" i="105" s="1"/>
  <c r="Q146" i="105"/>
  <c r="Q280" i="105"/>
  <c r="O280" i="105" s="1"/>
  <c r="Q230" i="105"/>
  <c r="L230" i="105" s="1"/>
  <c r="Q242" i="105"/>
  <c r="Q55" i="105"/>
  <c r="O55" i="105" s="1"/>
  <c r="Q64" i="105"/>
  <c r="L64" i="105" s="1"/>
  <c r="Q69" i="105"/>
  <c r="O69" i="105" s="1"/>
  <c r="Q113" i="105"/>
  <c r="L113" i="105" s="1"/>
  <c r="Q254" i="105"/>
  <c r="Q268" i="105"/>
  <c r="L268" i="105" s="1"/>
  <c r="Q281" i="105"/>
  <c r="O281" i="105" s="1"/>
  <c r="Q22" i="105"/>
  <c r="O22" i="105" s="1"/>
  <c r="Q34" i="105"/>
  <c r="O34" i="105" s="1"/>
  <c r="Q42" i="105"/>
  <c r="O42" i="105" s="1"/>
  <c r="Q17" i="105"/>
  <c r="L17" i="105" s="1"/>
  <c r="Q26" i="105"/>
  <c r="O26" i="105" s="1"/>
  <c r="Q38" i="105"/>
  <c r="O38" i="105" s="1"/>
  <c r="X55" i="105"/>
  <c r="X227" i="105"/>
  <c r="X97" i="105"/>
  <c r="X370" i="105"/>
  <c r="Q56" i="105"/>
  <c r="O56" i="105" s="1"/>
  <c r="Q71" i="105"/>
  <c r="O71" i="105" s="1"/>
  <c r="Q110" i="105"/>
  <c r="O110" i="105" s="1"/>
  <c r="Q231" i="105"/>
  <c r="O231" i="105" s="1"/>
  <c r="Q65" i="105"/>
  <c r="O65" i="105" s="1"/>
  <c r="Q91" i="105"/>
  <c r="O91" i="105" s="1"/>
  <c r="Q120" i="105"/>
  <c r="O120" i="105" s="1"/>
  <c r="X224" i="105"/>
  <c r="Q133" i="105"/>
  <c r="O133" i="105" s="1"/>
  <c r="AE262" i="105"/>
  <c r="P262" i="105" s="1"/>
  <c r="W262" i="105"/>
  <c r="U325" i="105"/>
  <c r="L325" i="105"/>
  <c r="U327" i="105"/>
  <c r="L327" i="105"/>
  <c r="Q78" i="105"/>
  <c r="O78" i="105" s="1"/>
  <c r="Q99" i="105"/>
  <c r="O99" i="105" s="1"/>
  <c r="X226" i="105"/>
  <c r="X237" i="105"/>
  <c r="Q82" i="105"/>
  <c r="O82" i="105" s="1"/>
  <c r="Q104" i="105"/>
  <c r="O104" i="105" s="1"/>
  <c r="Q227" i="105"/>
  <c r="O227" i="105" s="1"/>
  <c r="X230" i="105"/>
  <c r="X247" i="105"/>
  <c r="Q247" i="105"/>
  <c r="O247" i="105" s="1"/>
  <c r="Q243" i="105"/>
  <c r="O243" i="105" s="1"/>
  <c r="X246" i="105"/>
  <c r="AE255" i="105"/>
  <c r="P255" i="105" s="1"/>
  <c r="Q155" i="105"/>
  <c r="O155" i="105" s="1"/>
  <c r="Q160" i="105"/>
  <c r="O160" i="105" s="1"/>
  <c r="Q164" i="105"/>
  <c r="O164" i="105" s="1"/>
  <c r="X213" i="105"/>
  <c r="Q213" i="105"/>
  <c r="O213" i="105" s="1"/>
  <c r="X367" i="105"/>
  <c r="U329" i="105"/>
  <c r="L329" i="105"/>
  <c r="O364" i="105"/>
  <c r="L364" i="105"/>
  <c r="Q270" i="105"/>
  <c r="O270" i="105" s="1"/>
  <c r="X288" i="105"/>
  <c r="X296" i="105"/>
  <c r="U363" i="105"/>
  <c r="L363" i="105"/>
  <c r="U324" i="105"/>
  <c r="L324" i="105"/>
  <c r="U326" i="105"/>
  <c r="L326" i="105"/>
  <c r="O349" i="105"/>
  <c r="X350" i="105"/>
  <c r="O350" i="105"/>
  <c r="L350" i="105"/>
  <c r="X294" i="105"/>
  <c r="X303" i="105"/>
  <c r="X308" i="105"/>
  <c r="X309" i="105"/>
  <c r="X310" i="105"/>
  <c r="X311" i="105"/>
  <c r="U349" i="105"/>
  <c r="L349" i="105"/>
  <c r="E23" i="107" l="1"/>
  <c r="F23" i="107" s="1"/>
  <c r="B38" i="107"/>
  <c r="L102" i="105"/>
  <c r="L97" i="105"/>
  <c r="O176" i="105"/>
  <c r="L176" i="105"/>
  <c r="O157" i="105"/>
  <c r="O152" i="105"/>
  <c r="O229" i="105"/>
  <c r="O244" i="105"/>
  <c r="O262" i="105"/>
  <c r="O255" i="105"/>
  <c r="O272" i="105"/>
  <c r="O261" i="105"/>
  <c r="O238" i="105"/>
  <c r="O171" i="105"/>
  <c r="O287" i="105"/>
  <c r="O242" i="105"/>
  <c r="O268" i="105"/>
  <c r="O167" i="105"/>
  <c r="O158" i="105"/>
  <c r="O271" i="105"/>
  <c r="O225" i="105"/>
  <c r="O135" i="105"/>
  <c r="O162" i="105"/>
  <c r="O129" i="105"/>
  <c r="O131" i="105" s="1"/>
  <c r="O153" i="105"/>
  <c r="O137" i="105"/>
  <c r="O245" i="105"/>
  <c r="O143" i="105"/>
  <c r="O237" i="105"/>
  <c r="O148" i="105"/>
  <c r="O174" i="105"/>
  <c r="O224" i="105"/>
  <c r="O134" i="105"/>
  <c r="O165" i="105" s="1"/>
  <c r="O239" i="105"/>
  <c r="O259" i="105"/>
  <c r="O228" i="105"/>
  <c r="O248" i="105"/>
  <c r="O294" i="105"/>
  <c r="O146" i="105"/>
  <c r="O312" i="105"/>
  <c r="O230" i="105"/>
  <c r="O151" i="105"/>
  <c r="O218" i="105"/>
  <c r="O288" i="105"/>
  <c r="O226" i="105"/>
  <c r="O136" i="105"/>
  <c r="O269" i="105"/>
  <c r="O233" i="105"/>
  <c r="O172" i="105"/>
  <c r="O159" i="105"/>
  <c r="O275" i="105"/>
  <c r="O246" i="105"/>
  <c r="O163" i="105"/>
  <c r="O130" i="105"/>
  <c r="O173" i="105"/>
  <c r="O273" i="105"/>
  <c r="O124" i="105"/>
  <c r="O140" i="105"/>
  <c r="O66" i="105"/>
  <c r="O17" i="105"/>
  <c r="O83" i="105"/>
  <c r="O44" i="105"/>
  <c r="O37" i="105"/>
  <c r="O76" i="105"/>
  <c r="O64" i="105"/>
  <c r="O33" i="105"/>
  <c r="O112" i="105"/>
  <c r="O47" i="105"/>
  <c r="O103" i="105"/>
  <c r="O51" i="105"/>
  <c r="O52" i="105"/>
  <c r="O54" i="105"/>
  <c r="O58" i="105"/>
  <c r="O90" i="105"/>
  <c r="O92" i="105"/>
  <c r="O40" i="105"/>
  <c r="O43" i="105"/>
  <c r="O24" i="105"/>
  <c r="O46" i="105"/>
  <c r="O84" i="105"/>
  <c r="O79" i="105"/>
  <c r="O35" i="105"/>
  <c r="O49" i="105"/>
  <c r="O81" i="105"/>
  <c r="O77" i="105"/>
  <c r="O74" i="105"/>
  <c r="O87" i="105"/>
  <c r="O80" i="105"/>
  <c r="O23" i="105"/>
  <c r="O45" i="105"/>
  <c r="O25" i="105"/>
  <c r="O21" i="105"/>
  <c r="O111" i="105"/>
  <c r="O73" i="105"/>
  <c r="O68" i="105"/>
  <c r="O85" i="105"/>
  <c r="O12" i="105"/>
  <c r="O75" i="105"/>
  <c r="O11" i="105"/>
  <c r="O16" i="105"/>
  <c r="O41" i="105"/>
  <c r="O102" i="105"/>
  <c r="O70" i="105"/>
  <c r="O106" i="105"/>
  <c r="O113" i="105"/>
  <c r="O18" i="105"/>
  <c r="L86" i="105"/>
  <c r="O86" i="105"/>
  <c r="O72" i="105"/>
  <c r="O36" i="105"/>
  <c r="O96" i="105"/>
  <c r="O116" i="105" s="1"/>
  <c r="O67" i="105"/>
  <c r="O13" i="105"/>
  <c r="O109" i="105"/>
  <c r="P254" i="105"/>
  <c r="L254" i="105" s="1"/>
  <c r="M351" i="105"/>
  <c r="L40" i="105"/>
  <c r="L172" i="105"/>
  <c r="L58" i="105"/>
  <c r="L45" i="105"/>
  <c r="U319" i="105"/>
  <c r="L240" i="105"/>
  <c r="L92" i="105"/>
  <c r="L152" i="105"/>
  <c r="M349" i="105"/>
  <c r="L100" i="105"/>
  <c r="U317" i="105"/>
  <c r="L156" i="105"/>
  <c r="L48" i="105"/>
  <c r="L27" i="105"/>
  <c r="U369" i="105"/>
  <c r="L75" i="105"/>
  <c r="L139" i="105"/>
  <c r="L59" i="105"/>
  <c r="L107" i="105"/>
  <c r="L260" i="105"/>
  <c r="L43" i="105"/>
  <c r="L369" i="105"/>
  <c r="L157" i="105"/>
  <c r="L269" i="105"/>
  <c r="L229" i="105"/>
  <c r="L53" i="105"/>
  <c r="L319" i="105"/>
  <c r="L30" i="105"/>
  <c r="M350" i="105"/>
  <c r="L267" i="105"/>
  <c r="L228" i="105"/>
  <c r="L12" i="105"/>
  <c r="L367" i="105"/>
  <c r="L286" i="105"/>
  <c r="L84" i="105"/>
  <c r="O367" i="105"/>
  <c r="L51" i="105"/>
  <c r="L57" i="105"/>
  <c r="L47" i="105"/>
  <c r="M312" i="105"/>
  <c r="L259" i="105"/>
  <c r="L255" i="105"/>
  <c r="M367" i="105"/>
  <c r="L312" i="105"/>
  <c r="L16" i="105"/>
  <c r="L261" i="105"/>
  <c r="L77" i="105"/>
  <c r="Z309" i="105"/>
  <c r="Q309" i="105" s="1"/>
  <c r="L317" i="105"/>
  <c r="L25" i="105"/>
  <c r="L10" i="105"/>
  <c r="Z302" i="105"/>
  <c r="Q302" i="105" s="1"/>
  <c r="O302" i="105" s="1"/>
  <c r="L35" i="105"/>
  <c r="L39" i="105"/>
  <c r="Z310" i="105"/>
  <c r="Q310" i="105" s="1"/>
  <c r="L257" i="105"/>
  <c r="L232" i="105"/>
  <c r="L163" i="105"/>
  <c r="L318" i="105"/>
  <c r="L161" i="105"/>
  <c r="L238" i="105"/>
  <c r="L33" i="105"/>
  <c r="U318" i="105"/>
  <c r="L124" i="105"/>
  <c r="L105" i="105"/>
  <c r="L112" i="105"/>
  <c r="L80" i="105"/>
  <c r="Z311" i="105"/>
  <c r="Q311" i="105" s="1"/>
  <c r="Z368" i="105"/>
  <c r="Q368" i="105" s="1"/>
  <c r="Z293" i="105"/>
  <c r="Q293" i="105" s="1"/>
  <c r="O293" i="105" s="1"/>
  <c r="Z296" i="105"/>
  <c r="Q296" i="105" s="1"/>
  <c r="O296" i="105" s="1"/>
  <c r="L370" i="105"/>
  <c r="Z295" i="105"/>
  <c r="Q295" i="105" s="1"/>
  <c r="Z303" i="105"/>
  <c r="Q303" i="105" s="1"/>
  <c r="O303" i="105" s="1"/>
  <c r="Z214" i="105"/>
  <c r="Q214" i="105" s="1"/>
  <c r="O214" i="105" s="1"/>
  <c r="Z308" i="105"/>
  <c r="Q308" i="105" s="1"/>
  <c r="O308" i="105" s="1"/>
  <c r="Z297" i="105"/>
  <c r="Q297" i="105" s="1"/>
  <c r="O297" i="105" s="1"/>
  <c r="L146" i="105"/>
  <c r="L115" i="105"/>
  <c r="O370" i="105"/>
  <c r="L175" i="105"/>
  <c r="M370" i="105"/>
  <c r="L44" i="105"/>
  <c r="L111" i="105"/>
  <c r="L37" i="105"/>
  <c r="L162" i="105"/>
  <c r="L21" i="105"/>
  <c r="L79" i="105"/>
  <c r="L174" i="105"/>
  <c r="L103" i="105"/>
  <c r="L150" i="105"/>
  <c r="L50" i="105"/>
  <c r="L171" i="105"/>
  <c r="L73" i="105"/>
  <c r="L49" i="105"/>
  <c r="L141" i="105"/>
  <c r="L158" i="105"/>
  <c r="L55" i="105"/>
  <c r="L272" i="105"/>
  <c r="L237" i="105"/>
  <c r="L144" i="105"/>
  <c r="L81" i="105"/>
  <c r="L280" i="105"/>
  <c r="L69" i="105"/>
  <c r="L281" i="105"/>
  <c r="L241" i="105"/>
  <c r="L242" i="105"/>
  <c r="L262" i="105"/>
  <c r="L213" i="105"/>
  <c r="L270" i="105"/>
  <c r="L256" i="105"/>
  <c r="L160" i="105"/>
  <c r="L155" i="105"/>
  <c r="L247" i="105"/>
  <c r="L227" i="105"/>
  <c r="L104" i="105"/>
  <c r="L82" i="105"/>
  <c r="L99" i="105"/>
  <c r="L120" i="105"/>
  <c r="L91" i="105"/>
  <c r="L71" i="105"/>
  <c r="L22" i="105"/>
  <c r="L258" i="105"/>
  <c r="L243" i="105"/>
  <c r="L274" i="105"/>
  <c r="L164" i="105"/>
  <c r="X262" i="105"/>
  <c r="L65" i="105"/>
  <c r="L110" i="105"/>
  <c r="L56" i="105"/>
  <c r="L231" i="105"/>
  <c r="L38" i="105"/>
  <c r="L42" i="105"/>
  <c r="L147" i="105"/>
  <c r="L78" i="105"/>
  <c r="L133" i="105"/>
  <c r="L26" i="105"/>
  <c r="L34" i="105"/>
  <c r="H200" i="104"/>
  <c r="J200" i="104" s="1"/>
  <c r="H199" i="104"/>
  <c r="J199" i="104" s="1"/>
  <c r="H198" i="104"/>
  <c r="J198" i="104" s="1"/>
  <c r="H197" i="104"/>
  <c r="J197" i="104" s="1"/>
  <c r="H196" i="104"/>
  <c r="J196" i="104" s="1"/>
  <c r="H195" i="104"/>
  <c r="J195" i="104" s="1"/>
  <c r="H193" i="104"/>
  <c r="J193" i="104" s="1"/>
  <c r="H9" i="104"/>
  <c r="J9" i="104" s="1"/>
  <c r="H191" i="104"/>
  <c r="J191" i="104" s="1"/>
  <c r="H190" i="104"/>
  <c r="J190" i="104" s="1"/>
  <c r="H189" i="104"/>
  <c r="J189" i="104" s="1"/>
  <c r="H188" i="104"/>
  <c r="J188" i="104" s="1"/>
  <c r="H184" i="104"/>
  <c r="J184" i="104" s="1"/>
  <c r="H183" i="104"/>
  <c r="J183" i="104" s="1"/>
  <c r="D3" i="104"/>
  <c r="O211" i="105" l="1"/>
  <c r="O14" i="105"/>
  <c r="O28" i="105"/>
  <c r="O61" i="105"/>
  <c r="O88" i="105"/>
  <c r="O19" i="105"/>
  <c r="B40" i="107"/>
  <c r="E24" i="107"/>
  <c r="F24" i="107" s="1"/>
  <c r="L310" i="105"/>
  <c r="O310" i="105"/>
  <c r="L295" i="105"/>
  <c r="O295" i="105"/>
  <c r="L311" i="105"/>
  <c r="O311" i="105"/>
  <c r="L309" i="105"/>
  <c r="O309" i="105"/>
  <c r="O254" i="105"/>
  <c r="U311" i="105"/>
  <c r="M311" i="105" s="1"/>
  <c r="L303" i="105"/>
  <c r="U309" i="105"/>
  <c r="M309" i="105" s="1"/>
  <c r="U310" i="105"/>
  <c r="M310" i="105" s="1"/>
  <c r="L302" i="105"/>
  <c r="L293" i="105"/>
  <c r="L214" i="105"/>
  <c r="L297" i="105"/>
  <c r="L368" i="105"/>
  <c r="O368" i="105"/>
  <c r="U368" i="105"/>
  <c r="M368" i="105" s="1"/>
  <c r="L308" i="105"/>
  <c r="L296" i="105"/>
  <c r="E72" i="104"/>
  <c r="E25" i="107" l="1"/>
  <c r="F25" i="107" s="1"/>
  <c r="B42" i="107"/>
  <c r="E74" i="104"/>
  <c r="E73" i="104"/>
  <c r="E75" i="104"/>
  <c r="B44" i="107" l="1"/>
  <c r="E26" i="107"/>
  <c r="F26" i="107" s="1"/>
  <c r="E79" i="104"/>
  <c r="E88" i="104"/>
  <c r="E85" i="104"/>
  <c r="E71" i="104"/>
  <c r="E84" i="104"/>
  <c r="E80" i="104"/>
  <c r="E77" i="104"/>
  <c r="E83" i="104"/>
  <c r="E87" i="104"/>
  <c r="E76" i="104"/>
  <c r="E89" i="104"/>
  <c r="E86" i="104"/>
  <c r="E27" i="107" l="1"/>
  <c r="F27" i="107" s="1"/>
  <c r="B46" i="107"/>
  <c r="E69" i="104"/>
  <c r="AT48" i="6"/>
  <c r="AR48" i="6"/>
  <c r="AJ48" i="6"/>
  <c r="AH48" i="6"/>
  <c r="AF48" i="6"/>
  <c r="AD48" i="6"/>
  <c r="AB48" i="6"/>
  <c r="X48" i="6"/>
  <c r="V48" i="6"/>
  <c r="T48" i="6"/>
  <c r="R48" i="6"/>
  <c r="P48" i="6"/>
  <c r="N48" i="6"/>
  <c r="L48" i="6"/>
  <c r="J48" i="6"/>
  <c r="F48" i="6"/>
  <c r="D48" i="6"/>
  <c r="B48" i="6"/>
  <c r="AT44" i="6"/>
  <c r="AR44" i="6"/>
  <c r="AJ44" i="6"/>
  <c r="AD44" i="6"/>
  <c r="AB44" i="6"/>
  <c r="X44" i="6"/>
  <c r="V44" i="6"/>
  <c r="T44" i="6"/>
  <c r="R44" i="6"/>
  <c r="P44" i="6"/>
  <c r="N44" i="6"/>
  <c r="L44" i="6"/>
  <c r="J44" i="6"/>
  <c r="H44" i="6"/>
  <c r="F44" i="6"/>
  <c r="D44" i="6"/>
  <c r="B44" i="6"/>
  <c r="AZ37" i="6"/>
  <c r="AX37" i="6"/>
  <c r="AV37" i="6"/>
  <c r="AT37" i="6"/>
  <c r="AR37" i="6"/>
  <c r="AN37" i="6"/>
  <c r="AL37" i="6"/>
  <c r="AJ37" i="6"/>
  <c r="AF37" i="6"/>
  <c r="AD37" i="6"/>
  <c r="AB37" i="6"/>
  <c r="Z37" i="6"/>
  <c r="X37" i="6"/>
  <c r="V37" i="6"/>
  <c r="T37" i="6"/>
  <c r="R37" i="6"/>
  <c r="P37" i="6"/>
  <c r="N37" i="6"/>
  <c r="L37" i="6"/>
  <c r="D37" i="6"/>
  <c r="B37" i="6"/>
  <c r="AZ33" i="6"/>
  <c r="AX33" i="6"/>
  <c r="AV33" i="6"/>
  <c r="AT33" i="6"/>
  <c r="AR33" i="6"/>
  <c r="AN33" i="6"/>
  <c r="AL33" i="6"/>
  <c r="AJ33" i="6"/>
  <c r="AF33" i="6"/>
  <c r="AD33" i="6"/>
  <c r="AB33" i="6"/>
  <c r="Z33" i="6"/>
  <c r="X33" i="6"/>
  <c r="V33" i="6"/>
  <c r="T33" i="6"/>
  <c r="R33" i="6"/>
  <c r="P33" i="6"/>
  <c r="N33" i="6"/>
  <c r="L33" i="6"/>
  <c r="D33" i="6"/>
  <c r="B33" i="6"/>
  <c r="AX26" i="6"/>
  <c r="AV26" i="6"/>
  <c r="AT26" i="6"/>
  <c r="AR26" i="6"/>
  <c r="AP26" i="6"/>
  <c r="AL26" i="6"/>
  <c r="AJ26" i="6"/>
  <c r="AF26" i="6"/>
  <c r="AD26" i="6"/>
  <c r="Z26" i="6"/>
  <c r="X26" i="6"/>
  <c r="V26" i="6"/>
  <c r="T26" i="6"/>
  <c r="P26" i="6"/>
  <c r="N26" i="6"/>
  <c r="L26" i="6"/>
  <c r="J26" i="6"/>
  <c r="F26" i="6"/>
  <c r="D26" i="6"/>
  <c r="B26" i="6"/>
  <c r="AX22" i="6"/>
  <c r="AV22" i="6"/>
  <c r="AT22" i="6"/>
  <c r="AR22" i="6"/>
  <c r="AP22" i="6"/>
  <c r="AL22" i="6"/>
  <c r="AJ22" i="6"/>
  <c r="AF22" i="6"/>
  <c r="AD22" i="6"/>
  <c r="Z22" i="6"/>
  <c r="X22" i="6"/>
  <c r="V22" i="6"/>
  <c r="T22" i="6"/>
  <c r="P22" i="6"/>
  <c r="N22" i="6"/>
  <c r="L22" i="6"/>
  <c r="F22" i="6"/>
  <c r="D22" i="6"/>
  <c r="B22" i="6"/>
  <c r="AB15" i="6"/>
  <c r="T15" i="6"/>
  <c r="N15" i="6"/>
  <c r="L15" i="6"/>
  <c r="J15" i="6"/>
  <c r="AJ13" i="6"/>
  <c r="AJ15" i="6" s="1"/>
  <c r="AR11" i="6"/>
  <c r="AJ11" i="6"/>
  <c r="AB11" i="6"/>
  <c r="T11" i="6"/>
  <c r="N11" i="6"/>
  <c r="L11" i="6"/>
  <c r="AZ9" i="6"/>
  <c r="AZ15" i="6" s="1"/>
  <c r="F9" i="6"/>
  <c r="F15" i="6" s="1"/>
  <c r="D9" i="6"/>
  <c r="D15" i="6" s="1"/>
  <c r="B9" i="6"/>
  <c r="B15" i="6" s="1"/>
  <c r="AN3" i="6"/>
  <c r="X3" i="6"/>
  <c r="F3" i="6"/>
  <c r="H159" i="18"/>
  <c r="H158" i="18"/>
  <c r="H150" i="18"/>
  <c r="H136" i="18"/>
  <c r="H125" i="18"/>
  <c r="H123" i="18"/>
  <c r="H120" i="18"/>
  <c r="I184" i="29"/>
  <c r="E184" i="29"/>
  <c r="B184" i="29"/>
  <c r="I183" i="29"/>
  <c r="E183" i="29"/>
  <c r="B183" i="29"/>
  <c r="I182" i="29"/>
  <c r="E182" i="29"/>
  <c r="B182" i="29"/>
  <c r="I181" i="29"/>
  <c r="E181" i="29"/>
  <c r="B181" i="29"/>
  <c r="I180" i="29"/>
  <c r="E180" i="29"/>
  <c r="I179" i="29"/>
  <c r="E179" i="29"/>
  <c r="I150" i="29"/>
  <c r="E150" i="29"/>
  <c r="B150" i="29"/>
  <c r="I149" i="29"/>
  <c r="E149" i="29"/>
  <c r="B149" i="29"/>
  <c r="I148" i="29"/>
  <c r="E148" i="29"/>
  <c r="I147" i="29"/>
  <c r="E147" i="29"/>
  <c r="B147" i="29"/>
  <c r="I146" i="29"/>
  <c r="E146" i="29"/>
  <c r="B146" i="29"/>
  <c r="I145" i="29"/>
  <c r="E145" i="29"/>
  <c r="B145" i="29"/>
  <c r="I144" i="29"/>
  <c r="E144" i="29"/>
  <c r="B144" i="29"/>
  <c r="I143" i="29"/>
  <c r="E143" i="29"/>
  <c r="B143" i="29"/>
  <c r="I142" i="29"/>
  <c r="E142" i="29"/>
  <c r="B142" i="29"/>
  <c r="E141" i="29"/>
  <c r="I140" i="29"/>
  <c r="E140" i="29"/>
  <c r="B140" i="29"/>
  <c r="I139" i="29"/>
  <c r="E139" i="29"/>
  <c r="B139" i="29"/>
  <c r="I138" i="29"/>
  <c r="E138" i="29"/>
  <c r="I137" i="29"/>
  <c r="E137" i="29"/>
  <c r="B137" i="29"/>
  <c r="I136" i="29"/>
  <c r="E136" i="29"/>
  <c r="B136" i="29"/>
  <c r="I135" i="29"/>
  <c r="E135" i="29"/>
  <c r="B135" i="29"/>
  <c r="I134" i="29"/>
  <c r="E134" i="29"/>
  <c r="B134" i="29"/>
  <c r="I133" i="29"/>
  <c r="E133" i="29"/>
  <c r="B133" i="29"/>
  <c r="I131" i="29"/>
  <c r="E131" i="29"/>
  <c r="B131" i="29"/>
  <c r="I130" i="29"/>
  <c r="E130" i="29"/>
  <c r="B130" i="29"/>
  <c r="I129" i="29"/>
  <c r="E129" i="29"/>
  <c r="B129" i="29"/>
  <c r="I128" i="29"/>
  <c r="E128" i="29"/>
  <c r="B128" i="29"/>
  <c r="I127" i="29"/>
  <c r="E127" i="29"/>
  <c r="B127" i="29"/>
  <c r="I126" i="29"/>
  <c r="E126" i="29"/>
  <c r="B126" i="29"/>
  <c r="I125" i="29"/>
  <c r="E125" i="29"/>
  <c r="B125" i="29"/>
  <c r="I124" i="29"/>
  <c r="E124" i="29"/>
  <c r="B124" i="29"/>
  <c r="I123" i="29"/>
  <c r="E123" i="29"/>
  <c r="B123" i="29"/>
  <c r="I122" i="29"/>
  <c r="E122" i="29"/>
  <c r="B122" i="29"/>
  <c r="I121" i="29"/>
  <c r="E121" i="29"/>
  <c r="B121" i="29"/>
  <c r="I120" i="29"/>
  <c r="E120" i="29"/>
  <c r="B120" i="29"/>
  <c r="I119" i="29"/>
  <c r="E119" i="29"/>
  <c r="B119" i="29"/>
  <c r="I118" i="29"/>
  <c r="E118" i="29"/>
  <c r="B118" i="29"/>
  <c r="I116" i="29"/>
  <c r="E116" i="29"/>
  <c r="B116" i="29"/>
  <c r="I115" i="29"/>
  <c r="E115" i="29"/>
  <c r="B115" i="29"/>
  <c r="I114" i="29"/>
  <c r="E114" i="29"/>
  <c r="B114" i="29"/>
  <c r="I113" i="29"/>
  <c r="E113" i="29"/>
  <c r="B113" i="29"/>
  <c r="I112" i="29"/>
  <c r="E112" i="29"/>
  <c r="B112" i="29"/>
  <c r="I111" i="29"/>
  <c r="E111" i="29"/>
  <c r="B111" i="29"/>
  <c r="I109" i="29"/>
  <c r="E109" i="29"/>
  <c r="B109" i="29"/>
  <c r="I108" i="29"/>
  <c r="E108" i="29"/>
  <c r="B108" i="29"/>
  <c r="I107" i="29"/>
  <c r="E107" i="29"/>
  <c r="B107" i="29"/>
  <c r="I106" i="29"/>
  <c r="E106" i="29"/>
  <c r="B106" i="29"/>
  <c r="I105" i="29"/>
  <c r="E105" i="29"/>
  <c r="B105" i="29"/>
  <c r="I104" i="29"/>
  <c r="E104" i="29"/>
  <c r="B104" i="29"/>
  <c r="I103" i="29"/>
  <c r="E103" i="29"/>
  <c r="B103" i="29"/>
  <c r="I102" i="29"/>
  <c r="E102" i="29"/>
  <c r="B102" i="29"/>
  <c r="I101" i="29"/>
  <c r="E101" i="29"/>
  <c r="B101" i="29"/>
  <c r="I100" i="29"/>
  <c r="E100" i="29"/>
  <c r="B100" i="29"/>
  <c r="I99" i="29"/>
  <c r="E99" i="29"/>
  <c r="B99" i="29"/>
  <c r="I98" i="29"/>
  <c r="E98" i="29"/>
  <c r="B98" i="29"/>
  <c r="I97" i="29"/>
  <c r="E97" i="29"/>
  <c r="B97" i="29"/>
  <c r="I96" i="29"/>
  <c r="E96" i="29"/>
  <c r="B96" i="29"/>
  <c r="I94" i="29"/>
  <c r="E94" i="29"/>
  <c r="B94" i="29"/>
  <c r="I93" i="29"/>
  <c r="E93" i="29"/>
  <c r="B93" i="29"/>
  <c r="I92" i="29"/>
  <c r="E92" i="29"/>
  <c r="B92" i="29"/>
  <c r="I91" i="29"/>
  <c r="E91" i="29"/>
  <c r="B91" i="29"/>
  <c r="I90" i="29"/>
  <c r="E90" i="29"/>
  <c r="B90" i="29"/>
  <c r="I89" i="29"/>
  <c r="E89" i="29"/>
  <c r="B89" i="29"/>
  <c r="I87" i="29"/>
  <c r="E87" i="29"/>
  <c r="B87" i="29"/>
  <c r="I86" i="29"/>
  <c r="E86" i="29"/>
  <c r="B86" i="29"/>
  <c r="I85" i="29"/>
  <c r="E85" i="29"/>
  <c r="B85" i="29"/>
  <c r="I84" i="29"/>
  <c r="E84" i="29"/>
  <c r="B84" i="29"/>
  <c r="I83" i="29"/>
  <c r="E83" i="29"/>
  <c r="B83" i="29"/>
  <c r="I82" i="29"/>
  <c r="E82" i="29"/>
  <c r="B82" i="29"/>
  <c r="I80" i="29"/>
  <c r="E80" i="29"/>
  <c r="B80" i="29"/>
  <c r="I79" i="29"/>
  <c r="E79" i="29"/>
  <c r="B79" i="29"/>
  <c r="I77" i="29"/>
  <c r="E77" i="29"/>
  <c r="B77" i="29"/>
  <c r="I76" i="29"/>
  <c r="E76" i="29"/>
  <c r="B76" i="29"/>
  <c r="I75" i="29"/>
  <c r="E75" i="29"/>
  <c r="B75" i="29"/>
  <c r="I74" i="29"/>
  <c r="E74" i="29"/>
  <c r="B74" i="29"/>
  <c r="I73" i="29"/>
  <c r="E73" i="29"/>
  <c r="B73" i="29"/>
  <c r="I72" i="29"/>
  <c r="E72" i="29"/>
  <c r="B72" i="29"/>
  <c r="I71" i="29"/>
  <c r="E71" i="29"/>
  <c r="B71" i="29"/>
  <c r="I70" i="29"/>
  <c r="E70" i="29"/>
  <c r="B70" i="29"/>
  <c r="I69" i="29"/>
  <c r="E69" i="29"/>
  <c r="B69" i="29"/>
  <c r="I68" i="29"/>
  <c r="E68" i="29"/>
  <c r="B68" i="29"/>
  <c r="I67" i="29"/>
  <c r="E67" i="29"/>
  <c r="B67" i="29"/>
  <c r="I65" i="29"/>
  <c r="E65" i="29"/>
  <c r="B65" i="29"/>
  <c r="I64" i="29"/>
  <c r="E64" i="29"/>
  <c r="B64" i="29"/>
  <c r="I63" i="29"/>
  <c r="E63" i="29"/>
  <c r="B63" i="29"/>
  <c r="I62" i="29"/>
  <c r="E62" i="29"/>
  <c r="B62" i="29"/>
  <c r="I61" i="29"/>
  <c r="E61" i="29"/>
  <c r="B61" i="29"/>
  <c r="I60" i="29"/>
  <c r="E60" i="29"/>
  <c r="B60" i="29"/>
  <c r="I59" i="29"/>
  <c r="E59" i="29"/>
  <c r="B59" i="29"/>
  <c r="I58" i="29"/>
  <c r="E58" i="29"/>
  <c r="B58" i="29"/>
  <c r="I57" i="29"/>
  <c r="E57" i="29"/>
  <c r="B57" i="29"/>
  <c r="I56" i="29"/>
  <c r="E56" i="29"/>
  <c r="B56" i="29"/>
  <c r="I55" i="29"/>
  <c r="E55" i="29"/>
  <c r="B55" i="29"/>
  <c r="I53" i="29"/>
  <c r="E53" i="29"/>
  <c r="B53" i="29"/>
  <c r="I52" i="29"/>
  <c r="E52" i="29"/>
  <c r="B52" i="29"/>
  <c r="I51" i="29"/>
  <c r="E51" i="29"/>
  <c r="B51" i="29"/>
  <c r="I50" i="29"/>
  <c r="E50" i="29"/>
  <c r="B50" i="29"/>
  <c r="I49" i="29"/>
  <c r="E49" i="29"/>
  <c r="B49" i="29"/>
  <c r="I48" i="29"/>
  <c r="E48" i="29"/>
  <c r="B48" i="29"/>
  <c r="I47" i="29"/>
  <c r="E47" i="29"/>
  <c r="B47" i="29"/>
  <c r="I46" i="29"/>
  <c r="E46" i="29"/>
  <c r="B46" i="29"/>
  <c r="I45" i="29"/>
  <c r="E45" i="29"/>
  <c r="B45" i="29"/>
  <c r="I44" i="29"/>
  <c r="E44" i="29"/>
  <c r="B44" i="29"/>
  <c r="I43" i="29"/>
  <c r="E43" i="29"/>
  <c r="B43" i="29"/>
  <c r="I42" i="29"/>
  <c r="E42" i="29"/>
  <c r="B42" i="29"/>
  <c r="I41" i="29"/>
  <c r="E41" i="29"/>
  <c r="B41" i="29"/>
  <c r="I39" i="29"/>
  <c r="E39" i="29"/>
  <c r="B39" i="29"/>
  <c r="I38" i="29"/>
  <c r="E38" i="29"/>
  <c r="B38" i="29"/>
  <c r="I37" i="29"/>
  <c r="E37" i="29"/>
  <c r="B37" i="29"/>
  <c r="I36" i="29"/>
  <c r="E36" i="29"/>
  <c r="B36" i="29"/>
  <c r="I35" i="29"/>
  <c r="E35" i="29"/>
  <c r="B35" i="29"/>
  <c r="I34" i="29"/>
  <c r="E34" i="29"/>
  <c r="B34" i="29"/>
  <c r="I33" i="29"/>
  <c r="E33" i="29"/>
  <c r="B33" i="29"/>
  <c r="I32" i="29"/>
  <c r="E32" i="29"/>
  <c r="B32" i="29"/>
  <c r="I31" i="29"/>
  <c r="E31" i="29"/>
  <c r="B31" i="29"/>
  <c r="I30" i="29"/>
  <c r="E30" i="29"/>
  <c r="B30" i="29"/>
  <c r="I29" i="29"/>
  <c r="E29" i="29"/>
  <c r="B29" i="29"/>
  <c r="I27" i="29"/>
  <c r="E27" i="29"/>
  <c r="B27" i="29"/>
  <c r="I26" i="29"/>
  <c r="E26" i="29"/>
  <c r="B26" i="29"/>
  <c r="I25" i="29"/>
  <c r="E25" i="29"/>
  <c r="B25" i="29"/>
  <c r="I24" i="29"/>
  <c r="E24" i="29"/>
  <c r="B24" i="29"/>
  <c r="I23" i="29"/>
  <c r="E23" i="29"/>
  <c r="B23" i="29"/>
  <c r="I22" i="29"/>
  <c r="E22" i="29"/>
  <c r="B22" i="29"/>
  <c r="I20" i="29"/>
  <c r="E20" i="29"/>
  <c r="I19" i="29"/>
  <c r="E19" i="29"/>
  <c r="B19" i="29"/>
  <c r="I18" i="29"/>
  <c r="E18" i="29"/>
  <c r="B18" i="29"/>
  <c r="I17" i="29"/>
  <c r="E17" i="29"/>
  <c r="B17" i="29"/>
  <c r="I16" i="29"/>
  <c r="E16" i="29"/>
  <c r="B16" i="29"/>
  <c r="I15" i="29"/>
  <c r="E15" i="29"/>
  <c r="B15" i="29"/>
  <c r="I13" i="29"/>
  <c r="E13" i="29"/>
  <c r="B13" i="29"/>
  <c r="I12" i="29"/>
  <c r="E12" i="29"/>
  <c r="B12" i="29"/>
  <c r="I11" i="29"/>
  <c r="E11" i="29"/>
  <c r="B11" i="29"/>
  <c r="I10" i="29"/>
  <c r="E10" i="29"/>
  <c r="B10" i="29"/>
  <c r="I9" i="29"/>
  <c r="E9" i="29"/>
  <c r="B9" i="29"/>
  <c r="I8" i="29"/>
  <c r="E8" i="29"/>
  <c r="B8" i="29"/>
  <c r="I7" i="29"/>
  <c r="E7" i="29"/>
  <c r="B7" i="29"/>
  <c r="I5" i="29"/>
  <c r="E5" i="29"/>
  <c r="B5" i="29"/>
  <c r="I4" i="29"/>
  <c r="E4" i="29"/>
  <c r="B4" i="29"/>
  <c r="D6" i="74"/>
  <c r="D5" i="74"/>
  <c r="D4" i="74"/>
  <c r="D3" i="74"/>
  <c r="D2" i="74"/>
  <c r="J307" i="82"/>
  <c r="G307" i="82" s="1"/>
  <c r="I307" i="82" s="1"/>
  <c r="W329" i="105" s="1"/>
  <c r="C307" i="82"/>
  <c r="J306" i="82"/>
  <c r="G306" i="82" s="1"/>
  <c r="I306" i="82" s="1"/>
  <c r="C306" i="82"/>
  <c r="D306" i="82" s="1"/>
  <c r="J305" i="82"/>
  <c r="G305" i="82" s="1"/>
  <c r="I305" i="82" s="1"/>
  <c r="C305" i="82"/>
  <c r="D305" i="82" s="1"/>
  <c r="J304" i="82"/>
  <c r="G304" i="82" s="1"/>
  <c r="I304" i="82" s="1"/>
  <c r="C304" i="82"/>
  <c r="D304" i="82" s="1"/>
  <c r="J303" i="82"/>
  <c r="G303" i="82" s="1"/>
  <c r="I303" i="82" s="1"/>
  <c r="C303" i="82"/>
  <c r="D303" i="82" s="1"/>
  <c r="J302" i="82"/>
  <c r="G302" i="82" s="1"/>
  <c r="I302" i="82" s="1"/>
  <c r="C302" i="82"/>
  <c r="J301" i="82"/>
  <c r="G301" i="82" s="1"/>
  <c r="I301" i="82" s="1"/>
  <c r="C301" i="82"/>
  <c r="J300" i="82"/>
  <c r="G300" i="82" s="1"/>
  <c r="I300" i="82" s="1"/>
  <c r="C300" i="82"/>
  <c r="D300" i="82" s="1"/>
  <c r="J299" i="82"/>
  <c r="G299" i="82" s="1"/>
  <c r="I299" i="82" s="1"/>
  <c r="C299" i="82"/>
  <c r="D299" i="82" s="1"/>
  <c r="J298" i="82"/>
  <c r="G298" i="82" s="1"/>
  <c r="I298" i="82" s="1"/>
  <c r="C298" i="82"/>
  <c r="D298" i="82" s="1"/>
  <c r="J297" i="82"/>
  <c r="G297" i="82" s="1"/>
  <c r="I297" i="82" s="1"/>
  <c r="C297" i="82"/>
  <c r="D297" i="82" s="1"/>
  <c r="J296" i="82"/>
  <c r="G296" i="82" s="1"/>
  <c r="I296" i="82" s="1"/>
  <c r="C296" i="82"/>
  <c r="J295" i="82"/>
  <c r="G295" i="82" s="1"/>
  <c r="I295" i="82" s="1"/>
  <c r="C295" i="82"/>
  <c r="J294" i="82"/>
  <c r="G294" i="82" s="1"/>
  <c r="I294" i="82" s="1"/>
  <c r="C294" i="82"/>
  <c r="J293" i="82"/>
  <c r="G293" i="82" s="1"/>
  <c r="I293" i="82" s="1"/>
  <c r="C293" i="82"/>
  <c r="J292" i="82"/>
  <c r="G292" i="82" s="1"/>
  <c r="I292" i="82" s="1"/>
  <c r="C292" i="82"/>
  <c r="J291" i="82"/>
  <c r="G291" i="82" s="1"/>
  <c r="I291" i="82" s="1"/>
  <c r="C291" i="82"/>
  <c r="D291" i="82" s="1"/>
  <c r="J290" i="82"/>
  <c r="G290" i="82" s="1"/>
  <c r="I290" i="82" s="1"/>
  <c r="C290" i="82"/>
  <c r="D290" i="82" s="1"/>
  <c r="J289" i="82"/>
  <c r="G289" i="82" s="1"/>
  <c r="I289" i="82" s="1"/>
  <c r="C289" i="82"/>
  <c r="D289" i="82" s="1"/>
  <c r="J288" i="82"/>
  <c r="G288" i="82" s="1"/>
  <c r="I288" i="82" s="1"/>
  <c r="C288" i="82"/>
  <c r="D288" i="82" s="1"/>
  <c r="J287" i="82"/>
  <c r="G287" i="82" s="1"/>
  <c r="I287" i="82" s="1"/>
  <c r="C287" i="82"/>
  <c r="J286" i="82"/>
  <c r="G286" i="82" s="1"/>
  <c r="I286" i="82" s="1"/>
  <c r="C286" i="82"/>
  <c r="J285" i="82"/>
  <c r="G285" i="82" s="1"/>
  <c r="I285" i="82" s="1"/>
  <c r="C285" i="82"/>
  <c r="J284" i="82"/>
  <c r="G284" i="82" s="1"/>
  <c r="I284" i="82" s="1"/>
  <c r="C284" i="82"/>
  <c r="D284" i="82" s="1"/>
  <c r="J283" i="82"/>
  <c r="G283" i="82" s="1"/>
  <c r="I283" i="82" s="1"/>
  <c r="C283" i="82"/>
  <c r="D283" i="82" s="1"/>
  <c r="J282" i="82"/>
  <c r="G282" i="82" s="1"/>
  <c r="I282" i="82" s="1"/>
  <c r="C282" i="82"/>
  <c r="D282" i="82" s="1"/>
  <c r="J281" i="82"/>
  <c r="G281" i="82" s="1"/>
  <c r="I281" i="82" s="1"/>
  <c r="C281" i="82"/>
  <c r="D281" i="82" s="1"/>
  <c r="J280" i="82"/>
  <c r="G280" i="82" s="1"/>
  <c r="I280" i="82" s="1"/>
  <c r="C280" i="82"/>
  <c r="J279" i="82"/>
  <c r="G279" i="82" s="1"/>
  <c r="I279" i="82" s="1"/>
  <c r="C279" i="82"/>
  <c r="J278" i="82"/>
  <c r="G278" i="82" s="1"/>
  <c r="I278" i="82" s="1"/>
  <c r="C278" i="82"/>
  <c r="D278" i="82" s="1"/>
  <c r="J277" i="82"/>
  <c r="G277" i="82" s="1"/>
  <c r="I277" i="82" s="1"/>
  <c r="C277" i="82"/>
  <c r="D277" i="82" s="1"/>
  <c r="J276" i="82"/>
  <c r="G276" i="82" s="1"/>
  <c r="I276" i="82" s="1"/>
  <c r="C276" i="82"/>
  <c r="D276" i="82" s="1"/>
  <c r="J275" i="82"/>
  <c r="G275" i="82" s="1"/>
  <c r="I275" i="82" s="1"/>
  <c r="C275" i="82"/>
  <c r="D275" i="82" s="1"/>
  <c r="J274" i="82"/>
  <c r="G274" i="82" s="1"/>
  <c r="I274" i="82" s="1"/>
  <c r="C274" i="82"/>
  <c r="J273" i="82"/>
  <c r="G273" i="82" s="1"/>
  <c r="I273" i="82" s="1"/>
  <c r="C273" i="82"/>
  <c r="J272" i="82"/>
  <c r="G272" i="82" s="1"/>
  <c r="I272" i="82" s="1"/>
  <c r="C272" i="82"/>
  <c r="J271" i="82"/>
  <c r="G271" i="82" s="1"/>
  <c r="I271" i="82" s="1"/>
  <c r="C271" i="82"/>
  <c r="J270" i="82"/>
  <c r="G270" i="82" s="1"/>
  <c r="I270" i="82" s="1"/>
  <c r="C270" i="82"/>
  <c r="J269" i="82"/>
  <c r="G269" i="82" s="1"/>
  <c r="I269" i="82" s="1"/>
  <c r="C269" i="82"/>
  <c r="J268" i="82"/>
  <c r="G268" i="82" s="1"/>
  <c r="I268" i="82" s="1"/>
  <c r="C268" i="82"/>
  <c r="J267" i="82"/>
  <c r="G267" i="82" s="1"/>
  <c r="I267" i="82" s="1"/>
  <c r="C267" i="82"/>
  <c r="J266" i="82"/>
  <c r="G266" i="82" s="1"/>
  <c r="I266" i="82" s="1"/>
  <c r="C266" i="82"/>
  <c r="J265" i="82"/>
  <c r="G265" i="82" s="1"/>
  <c r="I265" i="82" s="1"/>
  <c r="C265" i="82"/>
  <c r="D265" i="82" s="1"/>
  <c r="J264" i="82"/>
  <c r="G264" i="82" s="1"/>
  <c r="I264" i="82" s="1"/>
  <c r="C264" i="82"/>
  <c r="D264" i="82" s="1"/>
  <c r="J263" i="82"/>
  <c r="G263" i="82" s="1"/>
  <c r="I263" i="82" s="1"/>
  <c r="C263" i="82"/>
  <c r="D263" i="82" s="1"/>
  <c r="J262" i="82"/>
  <c r="G262" i="82" s="1"/>
  <c r="I262" i="82" s="1"/>
  <c r="C262" i="82"/>
  <c r="D262" i="82" s="1"/>
  <c r="J261" i="82"/>
  <c r="G261" i="82" s="1"/>
  <c r="I261" i="82" s="1"/>
  <c r="C261" i="82"/>
  <c r="J260" i="82"/>
  <c r="G260" i="82" s="1"/>
  <c r="I260" i="82" s="1"/>
  <c r="C260" i="82"/>
  <c r="J259" i="82"/>
  <c r="G259" i="82" s="1"/>
  <c r="I259" i="82" s="1"/>
  <c r="C259" i="82"/>
  <c r="J258" i="82"/>
  <c r="G258" i="82" s="1"/>
  <c r="I258" i="82" s="1"/>
  <c r="C258" i="82"/>
  <c r="J257" i="82"/>
  <c r="G257" i="82" s="1"/>
  <c r="I257" i="82" s="1"/>
  <c r="C257" i="82"/>
  <c r="J256" i="82"/>
  <c r="G256" i="82" s="1"/>
  <c r="I256" i="82" s="1"/>
  <c r="C256" i="82"/>
  <c r="J255" i="82"/>
  <c r="G255" i="82" s="1"/>
  <c r="I255" i="82" s="1"/>
  <c r="C255" i="82"/>
  <c r="J254" i="82"/>
  <c r="G254" i="82" s="1"/>
  <c r="I254" i="82" s="1"/>
  <c r="C254" i="82"/>
  <c r="J253" i="82"/>
  <c r="G253" i="82" s="1"/>
  <c r="I253" i="82" s="1"/>
  <c r="C253" i="82"/>
  <c r="J252" i="82"/>
  <c r="G252" i="82" s="1"/>
  <c r="I252" i="82" s="1"/>
  <c r="C252" i="82"/>
  <c r="D252" i="82" s="1"/>
  <c r="J251" i="82"/>
  <c r="G251" i="82" s="1"/>
  <c r="I251" i="82" s="1"/>
  <c r="C251" i="82"/>
  <c r="D251" i="82" s="1"/>
  <c r="J250" i="82"/>
  <c r="G250" i="82" s="1"/>
  <c r="I250" i="82" s="1"/>
  <c r="C250" i="82"/>
  <c r="D250" i="82" s="1"/>
  <c r="J249" i="82"/>
  <c r="G249" i="82" s="1"/>
  <c r="I249" i="82" s="1"/>
  <c r="C249" i="82"/>
  <c r="D249" i="82" s="1"/>
  <c r="J248" i="82"/>
  <c r="G248" i="82" s="1"/>
  <c r="I248" i="82" s="1"/>
  <c r="C248" i="82"/>
  <c r="D248" i="82" s="1"/>
  <c r="J247" i="82"/>
  <c r="G247" i="82" s="1"/>
  <c r="I247" i="82" s="1"/>
  <c r="C247" i="82"/>
  <c r="J246" i="82"/>
  <c r="G246" i="82" s="1"/>
  <c r="I246" i="82" s="1"/>
  <c r="C246" i="82"/>
  <c r="J245" i="82"/>
  <c r="G245" i="82" s="1"/>
  <c r="I245" i="82" s="1"/>
  <c r="C245" i="82"/>
  <c r="J244" i="82"/>
  <c r="G244" i="82" s="1"/>
  <c r="I244" i="82" s="1"/>
  <c r="C244" i="82"/>
  <c r="J243" i="82"/>
  <c r="G243" i="82" s="1"/>
  <c r="I243" i="82" s="1"/>
  <c r="C243" i="82"/>
  <c r="J242" i="82"/>
  <c r="G242" i="82" s="1"/>
  <c r="I242" i="82" s="1"/>
  <c r="C242" i="82"/>
  <c r="J241" i="82"/>
  <c r="G241" i="82" s="1"/>
  <c r="I241" i="82" s="1"/>
  <c r="C241" i="82"/>
  <c r="J240" i="82"/>
  <c r="G240" i="82" s="1"/>
  <c r="I240" i="82" s="1"/>
  <c r="C240" i="82"/>
  <c r="J239" i="82"/>
  <c r="G239" i="82" s="1"/>
  <c r="I239" i="82" s="1"/>
  <c r="C239" i="82"/>
  <c r="J238" i="82"/>
  <c r="G238" i="82" s="1"/>
  <c r="I238" i="82" s="1"/>
  <c r="C238" i="82"/>
  <c r="J237" i="82"/>
  <c r="G237" i="82" s="1"/>
  <c r="I237" i="82" s="1"/>
  <c r="C237" i="82"/>
  <c r="J236" i="82"/>
  <c r="G236" i="82" s="1"/>
  <c r="I236" i="82" s="1"/>
  <c r="C236" i="82"/>
  <c r="J235" i="82"/>
  <c r="G235" i="82" s="1"/>
  <c r="I235" i="82" s="1"/>
  <c r="C235" i="82"/>
  <c r="D235" i="82" s="1"/>
  <c r="J234" i="82"/>
  <c r="G234" i="82" s="1"/>
  <c r="I234" i="82" s="1"/>
  <c r="C234" i="82"/>
  <c r="D234" i="82" s="1"/>
  <c r="J233" i="82"/>
  <c r="G233" i="82" s="1"/>
  <c r="I233" i="82" s="1"/>
  <c r="C233" i="82"/>
  <c r="D233" i="82" s="1"/>
  <c r="J232" i="82"/>
  <c r="G232" i="82" s="1"/>
  <c r="I232" i="82" s="1"/>
  <c r="C232" i="82"/>
  <c r="J231" i="82"/>
  <c r="G231" i="82" s="1"/>
  <c r="I231" i="82" s="1"/>
  <c r="C231" i="82"/>
  <c r="J230" i="82"/>
  <c r="G230" i="82" s="1"/>
  <c r="I230" i="82" s="1"/>
  <c r="C230" i="82"/>
  <c r="J229" i="82"/>
  <c r="G229" i="82" s="1"/>
  <c r="I229" i="82" s="1"/>
  <c r="C229" i="82"/>
  <c r="J228" i="82"/>
  <c r="G228" i="82" s="1"/>
  <c r="I228" i="82" s="1"/>
  <c r="C228" i="82"/>
  <c r="T229" i="105" s="1"/>
  <c r="U229" i="105" s="1"/>
  <c r="M229" i="105" s="1"/>
  <c r="J227" i="82"/>
  <c r="G227" i="82" s="1"/>
  <c r="I227" i="82" s="1"/>
  <c r="C227" i="82"/>
  <c r="J226" i="82"/>
  <c r="G226" i="82" s="1"/>
  <c r="I226" i="82" s="1"/>
  <c r="C226" i="82"/>
  <c r="J225" i="82"/>
  <c r="G225" i="82" s="1"/>
  <c r="I225" i="82" s="1"/>
  <c r="C225" i="82"/>
  <c r="J224" i="82"/>
  <c r="G224" i="82" s="1"/>
  <c r="I224" i="82" s="1"/>
  <c r="C224" i="82"/>
  <c r="J223" i="82"/>
  <c r="G223" i="82" s="1"/>
  <c r="I223" i="82" s="1"/>
  <c r="C223" i="82"/>
  <c r="J222" i="82"/>
  <c r="G222" i="82" s="1"/>
  <c r="I222" i="82" s="1"/>
  <c r="C222" i="82"/>
  <c r="D222" i="82" s="1"/>
  <c r="J221" i="82"/>
  <c r="G221" i="82" s="1"/>
  <c r="I221" i="82" s="1"/>
  <c r="C221" i="82"/>
  <c r="J220" i="82"/>
  <c r="G220" i="82" s="1"/>
  <c r="I220" i="82" s="1"/>
  <c r="C220" i="82"/>
  <c r="D220" i="82" s="1"/>
  <c r="J219" i="82"/>
  <c r="G219" i="82" s="1"/>
  <c r="I219" i="82" s="1"/>
  <c r="C219" i="82"/>
  <c r="D219" i="82" s="1"/>
  <c r="J218" i="82"/>
  <c r="G218" i="82" s="1"/>
  <c r="I218" i="82" s="1"/>
  <c r="C218" i="82"/>
  <c r="J217" i="82"/>
  <c r="G217" i="82" s="1"/>
  <c r="I217" i="82" s="1"/>
  <c r="W86" i="105" s="1"/>
  <c r="X86" i="105" s="1"/>
  <c r="C217" i="82"/>
  <c r="D217" i="82" s="1"/>
  <c r="J216" i="82"/>
  <c r="G216" i="82" s="1"/>
  <c r="C216" i="82"/>
  <c r="D216" i="82" s="1"/>
  <c r="J215" i="82"/>
  <c r="G215" i="82" s="1"/>
  <c r="I215" i="82" s="1"/>
  <c r="W280" i="105" s="1"/>
  <c r="X280" i="105" s="1"/>
  <c r="C215" i="82"/>
  <c r="D215" i="82" s="1"/>
  <c r="J214" i="82"/>
  <c r="G214" i="82" s="1"/>
  <c r="I214" i="82" s="1"/>
  <c r="W286" i="105" s="1"/>
  <c r="X286" i="105" s="1"/>
  <c r="C214" i="82"/>
  <c r="J213" i="82"/>
  <c r="G213" i="82" s="1"/>
  <c r="I213" i="82" s="1"/>
  <c r="C213" i="82"/>
  <c r="J212" i="82"/>
  <c r="G212" i="82" s="1"/>
  <c r="I212" i="82" s="1"/>
  <c r="C212" i="82"/>
  <c r="D212" i="82" s="1"/>
  <c r="J211" i="82"/>
  <c r="G211" i="82" s="1"/>
  <c r="I211" i="82" s="1"/>
  <c r="C211" i="82"/>
  <c r="D211" i="82" s="1"/>
  <c r="J210" i="82"/>
  <c r="G210" i="82" s="1"/>
  <c r="I210" i="82" s="1"/>
  <c r="C210" i="82"/>
  <c r="J209" i="82"/>
  <c r="G209" i="82" s="1"/>
  <c r="I209" i="82" s="1"/>
  <c r="C209" i="82"/>
  <c r="J208" i="82"/>
  <c r="G208" i="82" s="1"/>
  <c r="I208" i="82" s="1"/>
  <c r="C208" i="82"/>
  <c r="D208" i="82" s="1"/>
  <c r="J207" i="82"/>
  <c r="G207" i="82" s="1"/>
  <c r="I207" i="82" s="1"/>
  <c r="C207" i="82"/>
  <c r="J206" i="82"/>
  <c r="G206" i="82" s="1"/>
  <c r="I206" i="82" s="1"/>
  <c r="C206" i="82"/>
  <c r="D206" i="82" s="1"/>
  <c r="J205" i="82"/>
  <c r="G205" i="82" s="1"/>
  <c r="I205" i="82" s="1"/>
  <c r="C205" i="82"/>
  <c r="J204" i="82"/>
  <c r="G204" i="82" s="1"/>
  <c r="I204" i="82" s="1"/>
  <c r="C204" i="82"/>
  <c r="J203" i="82"/>
  <c r="G203" i="82" s="1"/>
  <c r="I203" i="82" s="1"/>
  <c r="C203" i="82"/>
  <c r="D203" i="82" s="1"/>
  <c r="J202" i="82"/>
  <c r="G202" i="82" s="1"/>
  <c r="I202" i="82" s="1"/>
  <c r="C202" i="82"/>
  <c r="J201" i="82"/>
  <c r="G201" i="82" s="1"/>
  <c r="I201" i="82" s="1"/>
  <c r="C201" i="82"/>
  <c r="J200" i="82"/>
  <c r="G200" i="82" s="1"/>
  <c r="I200" i="82" s="1"/>
  <c r="W136" i="105" s="1"/>
  <c r="X136" i="105" s="1"/>
  <c r="C200" i="82"/>
  <c r="D200" i="82" s="1"/>
  <c r="J199" i="82"/>
  <c r="G199" i="82" s="1"/>
  <c r="I199" i="82" s="1"/>
  <c r="W134" i="105" s="1"/>
  <c r="X134" i="105" s="1"/>
  <c r="C199" i="82"/>
  <c r="J198" i="82"/>
  <c r="G198" i="82" s="1"/>
  <c r="I198" i="82" s="1"/>
  <c r="W156" i="105" s="1"/>
  <c r="X156" i="105" s="1"/>
  <c r="C198" i="82"/>
  <c r="J197" i="82"/>
  <c r="G197" i="82" s="1"/>
  <c r="I197" i="82" s="1"/>
  <c r="W140" i="105" s="1"/>
  <c r="X140" i="105" s="1"/>
  <c r="C197" i="82"/>
  <c r="J196" i="82"/>
  <c r="G196" i="82" s="1"/>
  <c r="I196" i="82" s="1"/>
  <c r="C196" i="82"/>
  <c r="J195" i="82"/>
  <c r="G195" i="82" s="1"/>
  <c r="I195" i="82" s="1"/>
  <c r="W159" i="105" s="1"/>
  <c r="X159" i="105" s="1"/>
  <c r="C195" i="82"/>
  <c r="J194" i="82"/>
  <c r="G194" i="82" s="1"/>
  <c r="I194" i="82" s="1"/>
  <c r="W141" i="105" s="1"/>
  <c r="X141" i="105" s="1"/>
  <c r="C194" i="82"/>
  <c r="J193" i="82"/>
  <c r="G193" i="82" s="1"/>
  <c r="I193" i="82" s="1"/>
  <c r="W146" i="105" s="1"/>
  <c r="X146" i="105" s="1"/>
  <c r="C193" i="82"/>
  <c r="J192" i="82"/>
  <c r="G192" i="82" s="1"/>
  <c r="I192" i="82" s="1"/>
  <c r="W153" i="105" s="1"/>
  <c r="X153" i="105" s="1"/>
  <c r="C192" i="82"/>
  <c r="J191" i="82"/>
  <c r="G191" i="82" s="1"/>
  <c r="I191" i="82" s="1"/>
  <c r="W130" i="105" s="1"/>
  <c r="X130" i="105" s="1"/>
  <c r="C191" i="82"/>
  <c r="J190" i="82"/>
  <c r="G190" i="82" s="1"/>
  <c r="I190" i="82" s="1"/>
  <c r="W137" i="105" s="1"/>
  <c r="X137" i="105" s="1"/>
  <c r="C190" i="82"/>
  <c r="J189" i="82"/>
  <c r="G189" i="82" s="1"/>
  <c r="I189" i="82" s="1"/>
  <c r="W366" i="105" s="1"/>
  <c r="X366" i="105" s="1"/>
  <c r="M366" i="105" s="1"/>
  <c r="C189" i="82"/>
  <c r="J188" i="82"/>
  <c r="G188" i="82" s="1"/>
  <c r="I188" i="82" s="1"/>
  <c r="W155" i="105" s="1"/>
  <c r="X155" i="105" s="1"/>
  <c r="C188" i="82"/>
  <c r="J187" i="82"/>
  <c r="G187" i="82" s="1"/>
  <c r="I187" i="82" s="1"/>
  <c r="C187" i="82"/>
  <c r="J186" i="82"/>
  <c r="G186" i="82" s="1"/>
  <c r="I186" i="82" s="1"/>
  <c r="D186" i="82"/>
  <c r="C186" i="82"/>
  <c r="T186" i="105" s="1"/>
  <c r="U186" i="105" s="1"/>
  <c r="J185" i="82"/>
  <c r="G185" i="82" s="1"/>
  <c r="I185" i="82" s="1"/>
  <c r="W164" i="105" s="1"/>
  <c r="X164" i="105" s="1"/>
  <c r="C185" i="82"/>
  <c r="J184" i="82"/>
  <c r="G184" i="82" s="1"/>
  <c r="I184" i="82" s="1"/>
  <c r="W364" i="105" s="1"/>
  <c r="X364" i="105" s="1"/>
  <c r="M364" i="105" s="1"/>
  <c r="C184" i="82"/>
  <c r="T184" i="105" s="1"/>
  <c r="U184" i="105" s="1"/>
  <c r="J183" i="82"/>
  <c r="G183" i="82" s="1"/>
  <c r="I183" i="82" s="1"/>
  <c r="W152" i="105" s="1"/>
  <c r="X152" i="105" s="1"/>
  <c r="C183" i="82"/>
  <c r="J182" i="82"/>
  <c r="G182" i="82" s="1"/>
  <c r="I182" i="82" s="1"/>
  <c r="W133" i="105" s="1"/>
  <c r="X133" i="105" s="1"/>
  <c r="C182" i="82"/>
  <c r="J181" i="82"/>
  <c r="G181" i="82" s="1"/>
  <c r="I181" i="82" s="1"/>
  <c r="C181" i="82"/>
  <c r="J180" i="82"/>
  <c r="G180" i="82" s="1"/>
  <c r="I180" i="82" s="1"/>
  <c r="W151" i="105" s="1"/>
  <c r="X151" i="105" s="1"/>
  <c r="C180" i="82"/>
  <c r="T180" i="105" s="1"/>
  <c r="U180" i="105" s="1"/>
  <c r="M180" i="105" s="1"/>
  <c r="J179" i="82"/>
  <c r="G179" i="82" s="1"/>
  <c r="I179" i="82" s="1"/>
  <c r="C179" i="82"/>
  <c r="J178" i="82"/>
  <c r="G178" i="82" s="1"/>
  <c r="I178" i="82" s="1"/>
  <c r="W160" i="105" s="1"/>
  <c r="X160" i="105" s="1"/>
  <c r="C178" i="82"/>
  <c r="J177" i="82"/>
  <c r="G177" i="82" s="1"/>
  <c r="I177" i="82" s="1"/>
  <c r="C177" i="82"/>
  <c r="J176" i="82"/>
  <c r="G176" i="82" s="1"/>
  <c r="I176" i="82" s="1"/>
  <c r="W163" i="105" s="1"/>
  <c r="X163" i="105" s="1"/>
  <c r="C176" i="82"/>
  <c r="J175" i="82"/>
  <c r="G175" i="82" s="1"/>
  <c r="I175" i="82" s="1"/>
  <c r="W158" i="105" s="1"/>
  <c r="X158" i="105" s="1"/>
  <c r="C175" i="82"/>
  <c r="J174" i="82"/>
  <c r="G174" i="82" s="1"/>
  <c r="I174" i="82" s="1"/>
  <c r="W129" i="105" s="1"/>
  <c r="X129" i="105" s="1"/>
  <c r="C174" i="82"/>
  <c r="J173" i="82"/>
  <c r="G173" i="82" s="1"/>
  <c r="I173" i="82" s="1"/>
  <c r="W157" i="105" s="1"/>
  <c r="X157" i="105" s="1"/>
  <c r="C173" i="82"/>
  <c r="J172" i="82"/>
  <c r="G172" i="82" s="1"/>
  <c r="I172" i="82" s="1"/>
  <c r="W218" i="105" s="1"/>
  <c r="X218" i="105" s="1"/>
  <c r="C172" i="82"/>
  <c r="T173" i="105" s="1"/>
  <c r="U173" i="105" s="1"/>
  <c r="J171" i="82"/>
  <c r="G171" i="82" s="1"/>
  <c r="I171" i="82" s="1"/>
  <c r="W363" i="105" s="1"/>
  <c r="X363" i="105" s="1"/>
  <c r="M363" i="105" s="1"/>
  <c r="C171" i="82"/>
  <c r="J170" i="82"/>
  <c r="G170" i="82" s="1"/>
  <c r="I170" i="82" s="1"/>
  <c r="W171" i="105" s="1"/>
  <c r="X171" i="105" s="1"/>
  <c r="C170" i="82"/>
  <c r="J169" i="82"/>
  <c r="G169" i="82" s="1"/>
  <c r="I169" i="82" s="1"/>
  <c r="W135" i="105" s="1"/>
  <c r="X135" i="105" s="1"/>
  <c r="C169" i="82"/>
  <c r="D169" i="82" s="1"/>
  <c r="J168" i="82"/>
  <c r="G168" i="82" s="1"/>
  <c r="I168" i="82" s="1"/>
  <c r="W362" i="105" s="1"/>
  <c r="X362" i="105" s="1"/>
  <c r="M362" i="105" s="1"/>
  <c r="C168" i="82"/>
  <c r="J167" i="82"/>
  <c r="G167" i="82" s="1"/>
  <c r="I167" i="82" s="1"/>
  <c r="W148" i="105" s="1"/>
  <c r="X148" i="105" s="1"/>
  <c r="C167" i="82"/>
  <c r="D167" i="82" s="1"/>
  <c r="J166" i="82"/>
  <c r="G166" i="82" s="1"/>
  <c r="I166" i="82" s="1"/>
  <c r="W162" i="105" s="1"/>
  <c r="X162" i="105" s="1"/>
  <c r="C166" i="82"/>
  <c r="J165" i="82"/>
  <c r="G165" i="82" s="1"/>
  <c r="I165" i="82" s="1"/>
  <c r="W147" i="105" s="1"/>
  <c r="X147" i="105" s="1"/>
  <c r="C165" i="82"/>
  <c r="J164" i="82"/>
  <c r="G164" i="82" s="1"/>
  <c r="I164" i="82" s="1"/>
  <c r="W150" i="105" s="1"/>
  <c r="X150" i="105" s="1"/>
  <c r="C164" i="82"/>
  <c r="D164" i="82" s="1"/>
  <c r="J163" i="82"/>
  <c r="G163" i="82" s="1"/>
  <c r="I163" i="82" s="1"/>
  <c r="W144" i="105" s="1"/>
  <c r="X144" i="105" s="1"/>
  <c r="C163" i="82"/>
  <c r="J162" i="82"/>
  <c r="G162" i="82" s="1"/>
  <c r="I162" i="82" s="1"/>
  <c r="W143" i="105" s="1"/>
  <c r="X143" i="105" s="1"/>
  <c r="C162" i="82"/>
  <c r="J161" i="82"/>
  <c r="G161" i="82" s="1"/>
  <c r="I161" i="82" s="1"/>
  <c r="C161" i="82"/>
  <c r="J160" i="82"/>
  <c r="G160" i="82" s="1"/>
  <c r="I160" i="82" s="1"/>
  <c r="W139" i="105" s="1"/>
  <c r="X139" i="105" s="1"/>
  <c r="C160" i="82"/>
  <c r="J159" i="82"/>
  <c r="G159" i="82" s="1"/>
  <c r="I159" i="82" s="1"/>
  <c r="C159" i="82"/>
  <c r="T160" i="105" s="1"/>
  <c r="U160" i="105" s="1"/>
  <c r="J158" i="82"/>
  <c r="G158" i="82" s="1"/>
  <c r="I158" i="82" s="1"/>
  <c r="C158" i="82"/>
  <c r="T159" i="105" s="1"/>
  <c r="U159" i="105" s="1"/>
  <c r="J157" i="82"/>
  <c r="G157" i="82" s="1"/>
  <c r="I157" i="82" s="1"/>
  <c r="C157" i="82"/>
  <c r="T158" i="105" s="1"/>
  <c r="U158" i="105" s="1"/>
  <c r="J156" i="82"/>
  <c r="G156" i="82" s="1"/>
  <c r="I156" i="82" s="1"/>
  <c r="C156" i="82"/>
  <c r="T157" i="105" s="1"/>
  <c r="U157" i="105" s="1"/>
  <c r="J155" i="82"/>
  <c r="G155" i="82" s="1"/>
  <c r="I155" i="82" s="1"/>
  <c r="C155" i="82"/>
  <c r="T156" i="105" s="1"/>
  <c r="U156" i="105" s="1"/>
  <c r="J154" i="82"/>
  <c r="G154" i="82" s="1"/>
  <c r="I154" i="82" s="1"/>
  <c r="C154" i="82"/>
  <c r="T155" i="105" s="1"/>
  <c r="U155" i="105" s="1"/>
  <c r="J153" i="82"/>
  <c r="G153" i="82" s="1"/>
  <c r="I153" i="82" s="1"/>
  <c r="C153" i="82"/>
  <c r="J152" i="82"/>
  <c r="G152" i="82" s="1"/>
  <c r="I152" i="82" s="1"/>
  <c r="C152" i="82"/>
  <c r="T153" i="105" s="1"/>
  <c r="U153" i="105" s="1"/>
  <c r="J151" i="82"/>
  <c r="G151" i="82" s="1"/>
  <c r="I151" i="82" s="1"/>
  <c r="C151" i="82"/>
  <c r="T152" i="105" s="1"/>
  <c r="U152" i="105" s="1"/>
  <c r="J150" i="82"/>
  <c r="G150" i="82" s="1"/>
  <c r="I150" i="82" s="1"/>
  <c r="C150" i="82"/>
  <c r="T151" i="105" s="1"/>
  <c r="U151" i="105" s="1"/>
  <c r="J149" i="82"/>
  <c r="G149" i="82" s="1"/>
  <c r="I149" i="82" s="1"/>
  <c r="C149" i="82"/>
  <c r="T150" i="105" s="1"/>
  <c r="U150" i="105" s="1"/>
  <c r="J148" i="82"/>
  <c r="G148" i="82" s="1"/>
  <c r="I148" i="82" s="1"/>
  <c r="C148" i="82"/>
  <c r="J147" i="82"/>
  <c r="G147" i="82" s="1"/>
  <c r="I147" i="82" s="1"/>
  <c r="C147" i="82"/>
  <c r="T148" i="105" s="1"/>
  <c r="U148" i="105" s="1"/>
  <c r="J146" i="82"/>
  <c r="G146" i="82" s="1"/>
  <c r="I146" i="82" s="1"/>
  <c r="W80" i="105" s="1"/>
  <c r="X80" i="105" s="1"/>
  <c r="C146" i="82"/>
  <c r="T147" i="105" s="1"/>
  <c r="U147" i="105" s="1"/>
  <c r="J145" i="82"/>
  <c r="G145" i="82" s="1"/>
  <c r="I145" i="82" s="1"/>
  <c r="C145" i="82"/>
  <c r="T146" i="105" s="1"/>
  <c r="U146" i="105" s="1"/>
  <c r="J144" i="82"/>
  <c r="G144" i="82" s="1"/>
  <c r="I144" i="82" s="1"/>
  <c r="C144" i="82"/>
  <c r="J143" i="82"/>
  <c r="G143" i="82" s="1"/>
  <c r="I143" i="82" s="1"/>
  <c r="C143" i="82"/>
  <c r="T144" i="105" s="1"/>
  <c r="U144" i="105" s="1"/>
  <c r="J142" i="82"/>
  <c r="G142" i="82" s="1"/>
  <c r="I142" i="82" s="1"/>
  <c r="C142" i="82"/>
  <c r="T143" i="105" s="1"/>
  <c r="U143" i="105" s="1"/>
  <c r="J141" i="82"/>
  <c r="G141" i="82" s="1"/>
  <c r="I141" i="82" s="1"/>
  <c r="C141" i="82"/>
  <c r="J140" i="82"/>
  <c r="G140" i="82" s="1"/>
  <c r="I140" i="82" s="1"/>
  <c r="C140" i="82"/>
  <c r="T141" i="105" s="1"/>
  <c r="U141" i="105" s="1"/>
  <c r="J139" i="82"/>
  <c r="G139" i="82" s="1"/>
  <c r="I139" i="82" s="1"/>
  <c r="W38" i="105" s="1"/>
  <c r="X38" i="105" s="1"/>
  <c r="C139" i="82"/>
  <c r="T140" i="105" s="1"/>
  <c r="U140" i="105" s="1"/>
  <c r="J138" i="82"/>
  <c r="G138" i="82" s="1"/>
  <c r="I138" i="82" s="1"/>
  <c r="W81" i="105" s="1"/>
  <c r="X81" i="105" s="1"/>
  <c r="C138" i="82"/>
  <c r="J137" i="82"/>
  <c r="G137" i="82" s="1"/>
  <c r="I137" i="82" s="1"/>
  <c r="W56" i="105" s="1"/>
  <c r="X56" i="105" s="1"/>
  <c r="C137" i="82"/>
  <c r="J136" i="82"/>
  <c r="G136" i="82" s="1"/>
  <c r="I136" i="82" s="1"/>
  <c r="W34" i="105" s="1"/>
  <c r="X34" i="105" s="1"/>
  <c r="C136" i="82"/>
  <c r="J135" i="82"/>
  <c r="G135" i="82" s="1"/>
  <c r="I135" i="82" s="1"/>
  <c r="W54" i="105" s="1"/>
  <c r="X54" i="105" s="1"/>
  <c r="C135" i="82"/>
  <c r="T136" i="105" s="1"/>
  <c r="U136" i="105" s="1"/>
  <c r="J134" i="82"/>
  <c r="G134" i="82" s="1"/>
  <c r="I134" i="82" s="1"/>
  <c r="W22" i="105" s="1"/>
  <c r="X22" i="105" s="1"/>
  <c r="C134" i="82"/>
  <c r="J133" i="82"/>
  <c r="G133" i="82" s="1"/>
  <c r="I133" i="82" s="1"/>
  <c r="W26" i="105" s="1"/>
  <c r="X26" i="105" s="1"/>
  <c r="C133" i="82"/>
  <c r="T134" i="105" s="1"/>
  <c r="U134" i="105" s="1"/>
  <c r="J132" i="82"/>
  <c r="G132" i="82" s="1"/>
  <c r="I132" i="82" s="1"/>
  <c r="W37" i="105" s="1"/>
  <c r="X37" i="105" s="1"/>
  <c r="C132" i="82"/>
  <c r="J131" i="82"/>
  <c r="G131" i="82" s="1"/>
  <c r="I131" i="82" s="1"/>
  <c r="W51" i="105" s="1"/>
  <c r="X51" i="105" s="1"/>
  <c r="C131" i="82"/>
  <c r="J130" i="82"/>
  <c r="G130" i="82" s="1"/>
  <c r="I130" i="82" s="1"/>
  <c r="W82" i="105" s="1"/>
  <c r="X82" i="105" s="1"/>
  <c r="C130" i="82"/>
  <c r="J129" i="82"/>
  <c r="G129" i="82" s="1"/>
  <c r="I129" i="82" s="1"/>
  <c r="C129" i="82"/>
  <c r="J128" i="82"/>
  <c r="G128" i="82" s="1"/>
  <c r="I128" i="82" s="1"/>
  <c r="W72" i="105" s="1"/>
  <c r="X72" i="105" s="1"/>
  <c r="C128" i="82"/>
  <c r="J127" i="82"/>
  <c r="G127" i="82" s="1"/>
  <c r="I127" i="82" s="1"/>
  <c r="W96" i="105" s="1"/>
  <c r="X96" i="105" s="1"/>
  <c r="C127" i="82"/>
  <c r="D127" i="82" s="1"/>
  <c r="J126" i="82"/>
  <c r="G126" i="82" s="1"/>
  <c r="I126" i="82" s="1"/>
  <c r="W361" i="105" s="1"/>
  <c r="X361" i="105" s="1"/>
  <c r="M361" i="105" s="1"/>
  <c r="C126" i="82"/>
  <c r="J125" i="82"/>
  <c r="G125" i="82" s="1"/>
  <c r="I125" i="82" s="1"/>
  <c r="W87" i="105" s="1"/>
  <c r="X87" i="105" s="1"/>
  <c r="C125" i="82"/>
  <c r="D125" i="82" s="1"/>
  <c r="J124" i="82"/>
  <c r="G124" i="82" s="1"/>
  <c r="I124" i="82" s="1"/>
  <c r="W42" i="105" s="1"/>
  <c r="X42" i="105" s="1"/>
  <c r="C124" i="82"/>
  <c r="D124" i="82" s="1"/>
  <c r="J123" i="82"/>
  <c r="G123" i="82" s="1"/>
  <c r="I123" i="82" s="1"/>
  <c r="W43" i="105" s="1"/>
  <c r="X43" i="105" s="1"/>
  <c r="C123" i="82"/>
  <c r="J122" i="82"/>
  <c r="G122" i="82" s="1"/>
  <c r="I122" i="82" s="1"/>
  <c r="W40" i="105" s="1"/>
  <c r="X40" i="105" s="1"/>
  <c r="C122" i="82"/>
  <c r="D122" i="82" s="1"/>
  <c r="J121" i="82"/>
  <c r="G121" i="82" s="1"/>
  <c r="I121" i="82" s="1"/>
  <c r="W33" i="105" s="1"/>
  <c r="X33" i="105" s="1"/>
  <c r="C121" i="82"/>
  <c r="D121" i="82" s="1"/>
  <c r="J120" i="82"/>
  <c r="G120" i="82" s="1"/>
  <c r="I120" i="82" s="1"/>
  <c r="W50" i="105" s="1"/>
  <c r="X50" i="105" s="1"/>
  <c r="C120" i="82"/>
  <c r="D120" i="82" s="1"/>
  <c r="J119" i="82"/>
  <c r="G119" i="82" s="1"/>
  <c r="I119" i="82" s="1"/>
  <c r="W58" i="105" s="1"/>
  <c r="X58" i="105" s="1"/>
  <c r="C119" i="82"/>
  <c r="J118" i="82"/>
  <c r="G118" i="82" s="1"/>
  <c r="I118" i="82" s="1"/>
  <c r="W11" i="105" s="1"/>
  <c r="X11" i="105" s="1"/>
  <c r="C118" i="82"/>
  <c r="J117" i="82"/>
  <c r="G117" i="82" s="1"/>
  <c r="I117" i="82" s="1"/>
  <c r="W13" i="105" s="1"/>
  <c r="X13" i="105" s="1"/>
  <c r="C117" i="82"/>
  <c r="D117" i="82" s="1"/>
  <c r="J116" i="82"/>
  <c r="G116" i="82" s="1"/>
  <c r="I116" i="82" s="1"/>
  <c r="W10" i="105" s="1"/>
  <c r="X10" i="105" s="1"/>
  <c r="C116" i="82"/>
  <c r="J115" i="82"/>
  <c r="G115" i="82" s="1"/>
  <c r="I115" i="82" s="1"/>
  <c r="W39" i="105" s="1"/>
  <c r="X39" i="105" s="1"/>
  <c r="C115" i="82"/>
  <c r="D115" i="82" s="1"/>
  <c r="J114" i="82"/>
  <c r="G114" i="82" s="1"/>
  <c r="I114" i="82" s="1"/>
  <c r="C114" i="82"/>
  <c r="T113" i="105" s="1"/>
  <c r="U113" i="105" s="1"/>
  <c r="J113" i="82"/>
  <c r="G113" i="82" s="1"/>
  <c r="I113" i="82" s="1"/>
  <c r="W35" i="105" s="1"/>
  <c r="X35" i="105" s="1"/>
  <c r="C113" i="82"/>
  <c r="J112" i="82"/>
  <c r="G112" i="82" s="1"/>
  <c r="I112" i="82" s="1"/>
  <c r="W45" i="105" s="1"/>
  <c r="X45" i="105" s="1"/>
  <c r="C112" i="82"/>
  <c r="T111" i="105" s="1"/>
  <c r="U111" i="105" s="1"/>
  <c r="J111" i="82"/>
  <c r="G111" i="82" s="1"/>
  <c r="I111" i="82" s="1"/>
  <c r="W73" i="105" s="1"/>
  <c r="X73" i="105" s="1"/>
  <c r="C111" i="82"/>
  <c r="J110" i="82"/>
  <c r="G110" i="82" s="1"/>
  <c r="I110" i="82" s="1"/>
  <c r="W44" i="105" s="1"/>
  <c r="X44" i="105" s="1"/>
  <c r="C110" i="82"/>
  <c r="J109" i="82"/>
  <c r="G109" i="82" s="1"/>
  <c r="I109" i="82" s="1"/>
  <c r="W83" i="105" s="1"/>
  <c r="X83" i="105" s="1"/>
  <c r="C109" i="82"/>
  <c r="D109" i="82" s="1"/>
  <c r="J108" i="82"/>
  <c r="G108" i="82" s="1"/>
  <c r="I108" i="82" s="1"/>
  <c r="W18" i="105" s="1"/>
  <c r="X18" i="105" s="1"/>
  <c r="C108" i="82"/>
  <c r="T107" i="105" s="1"/>
  <c r="U107" i="105" s="1"/>
  <c r="J107" i="82"/>
  <c r="G107" i="82" s="1"/>
  <c r="I107" i="82" s="1"/>
  <c r="W120" i="105" s="1"/>
  <c r="X120" i="105" s="1"/>
  <c r="C107" i="82"/>
  <c r="T106" i="105" s="1"/>
  <c r="U106" i="105" s="1"/>
  <c r="J106" i="82"/>
  <c r="G106" i="82" s="1"/>
  <c r="I106" i="82" s="1"/>
  <c r="C106" i="82"/>
  <c r="J105" i="82"/>
  <c r="G105" i="82" s="1"/>
  <c r="I105" i="82" s="1"/>
  <c r="W91" i="105" s="1"/>
  <c r="X91" i="105" s="1"/>
  <c r="C105" i="82"/>
  <c r="T104" i="105" s="1"/>
  <c r="U104" i="105" s="1"/>
  <c r="J104" i="82"/>
  <c r="G104" i="82" s="1"/>
  <c r="I104" i="82" s="1"/>
  <c r="W90" i="105" s="1"/>
  <c r="X90" i="105" s="1"/>
  <c r="C104" i="82"/>
  <c r="J103" i="82"/>
  <c r="G103" i="82" s="1"/>
  <c r="I103" i="82" s="1"/>
  <c r="W92" i="105" s="1"/>
  <c r="X92" i="105" s="1"/>
  <c r="C103" i="82"/>
  <c r="J102" i="82"/>
  <c r="G102" i="82" s="1"/>
  <c r="I102" i="82" s="1"/>
  <c r="W49" i="105" s="1"/>
  <c r="X49" i="105" s="1"/>
  <c r="C102" i="82"/>
  <c r="J101" i="82"/>
  <c r="G101" i="82" s="1"/>
  <c r="I101" i="82" s="1"/>
  <c r="W71" i="105" s="1"/>
  <c r="X71" i="105" s="1"/>
  <c r="C101" i="82"/>
  <c r="J100" i="82"/>
  <c r="G100" i="82" s="1"/>
  <c r="I100" i="82" s="1"/>
  <c r="W27" i="105" s="1"/>
  <c r="X27" i="105" s="1"/>
  <c r="C100" i="82"/>
  <c r="J99" i="82"/>
  <c r="G99" i="82" s="1"/>
  <c r="I99" i="82" s="1"/>
  <c r="W17" i="105" s="1"/>
  <c r="X17" i="105" s="1"/>
  <c r="C99" i="82"/>
  <c r="D99" i="82" s="1"/>
  <c r="J98" i="82"/>
  <c r="G98" i="82" s="1"/>
  <c r="I98" i="82" s="1"/>
  <c r="W12" i="105" s="1"/>
  <c r="X12" i="105" s="1"/>
  <c r="C98" i="82"/>
  <c r="J97" i="82"/>
  <c r="G97" i="82" s="1"/>
  <c r="I97" i="82" s="1"/>
  <c r="W210" i="105" s="1"/>
  <c r="X210" i="105" s="1"/>
  <c r="C97" i="82"/>
  <c r="J96" i="82"/>
  <c r="G96" i="82" s="1"/>
  <c r="I96" i="82" s="1"/>
  <c r="W209" i="105" s="1"/>
  <c r="X209" i="105" s="1"/>
  <c r="C96" i="82"/>
  <c r="D96" i="82" s="1"/>
  <c r="J95" i="82"/>
  <c r="G95" i="82" s="1"/>
  <c r="I95" i="82" s="1"/>
  <c r="C95" i="82"/>
  <c r="D95" i="82" s="1"/>
  <c r="J94" i="82"/>
  <c r="G94" i="82" s="1"/>
  <c r="I94" i="82" s="1"/>
  <c r="C94" i="82"/>
  <c r="D94" i="82" s="1"/>
  <c r="J93" i="82"/>
  <c r="G93" i="82" s="1"/>
  <c r="I93" i="82" s="1"/>
  <c r="C93" i="82"/>
  <c r="J92" i="82"/>
  <c r="G92" i="82" s="1"/>
  <c r="I92" i="82" s="1"/>
  <c r="W219" i="105" s="1"/>
  <c r="X219" i="105" s="1"/>
  <c r="C92" i="82"/>
  <c r="T91" i="105" s="1"/>
  <c r="U91" i="105" s="1"/>
  <c r="J91" i="82"/>
  <c r="G91" i="82" s="1"/>
  <c r="I91" i="82" s="1"/>
  <c r="C91" i="82"/>
  <c r="J90" i="82"/>
  <c r="G90" i="82" s="1"/>
  <c r="I90" i="82" s="1"/>
  <c r="C90" i="82"/>
  <c r="D90" i="82" s="1"/>
  <c r="J89" i="82"/>
  <c r="G89" i="82" s="1"/>
  <c r="I89" i="82" s="1"/>
  <c r="C89" i="82"/>
  <c r="J88" i="82"/>
  <c r="G88" i="82" s="1"/>
  <c r="I88" i="82" s="1"/>
  <c r="C88" i="82"/>
  <c r="J87" i="82"/>
  <c r="G87" i="82" s="1"/>
  <c r="I87" i="82" s="1"/>
  <c r="C87" i="82"/>
  <c r="J86" i="82"/>
  <c r="G86" i="82" s="1"/>
  <c r="I86" i="82" s="1"/>
  <c r="W177" i="105" s="1"/>
  <c r="X177" i="105" s="1"/>
  <c r="C86" i="82"/>
  <c r="J85" i="82"/>
  <c r="G85" i="82" s="1"/>
  <c r="I85" i="82" s="1"/>
  <c r="W202" i="105" s="1"/>
  <c r="X202" i="105" s="1"/>
  <c r="C85" i="82"/>
  <c r="T84" i="105" s="1"/>
  <c r="U84" i="105" s="1"/>
  <c r="J84" i="82"/>
  <c r="G84" i="82" s="1"/>
  <c r="I84" i="82" s="1"/>
  <c r="W201" i="105" s="1"/>
  <c r="X201" i="105" s="1"/>
  <c r="C84" i="82"/>
  <c r="J83" i="82"/>
  <c r="G83" i="82" s="1"/>
  <c r="I83" i="82" s="1"/>
  <c r="W195" i="105" s="1"/>
  <c r="X195" i="105" s="1"/>
  <c r="C83" i="82"/>
  <c r="J82" i="82"/>
  <c r="G82" i="82" s="1"/>
  <c r="I82" i="82" s="1"/>
  <c r="W194" i="105" s="1"/>
  <c r="X194" i="105" s="1"/>
  <c r="C82" i="82"/>
  <c r="T81" i="105" s="1"/>
  <c r="U81" i="105" s="1"/>
  <c r="J81" i="82"/>
  <c r="G81" i="82" s="1"/>
  <c r="I81" i="82" s="1"/>
  <c r="W193" i="105" s="1"/>
  <c r="X193" i="105" s="1"/>
  <c r="C81" i="82"/>
  <c r="J80" i="82"/>
  <c r="G80" i="82" s="1"/>
  <c r="I80" i="82" s="1"/>
  <c r="W192" i="105" s="1"/>
  <c r="X192" i="105" s="1"/>
  <c r="C80" i="82"/>
  <c r="J79" i="82"/>
  <c r="G79" i="82" s="1"/>
  <c r="I79" i="82" s="1"/>
  <c r="W167" i="105" s="1"/>
  <c r="X167" i="105" s="1"/>
  <c r="C79" i="82"/>
  <c r="J78" i="82"/>
  <c r="G78" i="82" s="1"/>
  <c r="I78" i="82" s="1"/>
  <c r="C78" i="82"/>
  <c r="D78" i="82" s="1"/>
  <c r="J77" i="82"/>
  <c r="G77" i="82" s="1"/>
  <c r="I77" i="82" s="1"/>
  <c r="C77" i="82"/>
  <c r="J76" i="82"/>
  <c r="G76" i="82" s="1"/>
  <c r="I76" i="82" s="1"/>
  <c r="W205" i="105" s="1"/>
  <c r="X205" i="105" s="1"/>
  <c r="C76" i="82"/>
  <c r="J75" i="82"/>
  <c r="G75" i="82" s="1"/>
  <c r="I75" i="82" s="1"/>
  <c r="W191" i="105" s="1"/>
  <c r="X191" i="105" s="1"/>
  <c r="C75" i="82"/>
  <c r="J74" i="82"/>
  <c r="G74" i="82" s="1"/>
  <c r="I74" i="82" s="1"/>
  <c r="W190" i="105" s="1"/>
  <c r="X190" i="105" s="1"/>
  <c r="C74" i="82"/>
  <c r="J73" i="82"/>
  <c r="G73" i="82" s="1"/>
  <c r="I73" i="82" s="1"/>
  <c r="W189" i="105" s="1"/>
  <c r="X189" i="105" s="1"/>
  <c r="C73" i="82"/>
  <c r="J72" i="82"/>
  <c r="G72" i="82" s="1"/>
  <c r="I72" i="82" s="1"/>
  <c r="W188" i="105" s="1"/>
  <c r="X188" i="105" s="1"/>
  <c r="C72" i="82"/>
  <c r="J71" i="82"/>
  <c r="G71" i="82" s="1"/>
  <c r="I71" i="82" s="1"/>
  <c r="W187" i="105" s="1"/>
  <c r="X187" i="105" s="1"/>
  <c r="C71" i="82"/>
  <c r="J70" i="82"/>
  <c r="G70" i="82" s="1"/>
  <c r="I70" i="82" s="1"/>
  <c r="W186" i="105" s="1"/>
  <c r="X186" i="105" s="1"/>
  <c r="C70" i="82"/>
  <c r="T70" i="105" s="1"/>
  <c r="U70" i="105" s="1"/>
  <c r="J69" i="82"/>
  <c r="G69" i="82" s="1"/>
  <c r="I69" i="82" s="1"/>
  <c r="W185" i="105" s="1"/>
  <c r="X185" i="105" s="1"/>
  <c r="C69" i="82"/>
  <c r="J68" i="82"/>
  <c r="G68" i="82" s="1"/>
  <c r="I68" i="82" s="1"/>
  <c r="W184" i="105" s="1"/>
  <c r="X184" i="105" s="1"/>
  <c r="C68" i="82"/>
  <c r="J67" i="82"/>
  <c r="G67" i="82" s="1"/>
  <c r="I67" i="82" s="1"/>
  <c r="C67" i="82"/>
  <c r="J66" i="82"/>
  <c r="G66" i="82" s="1"/>
  <c r="I66" i="82" s="1"/>
  <c r="C66" i="82"/>
  <c r="J65" i="82"/>
  <c r="G65" i="82" s="1"/>
  <c r="I65" i="82" s="1"/>
  <c r="W204" i="105" s="1"/>
  <c r="X204" i="105" s="1"/>
  <c r="C65" i="82"/>
  <c r="T115" i="105" s="1"/>
  <c r="U115" i="105" s="1"/>
  <c r="J64" i="82"/>
  <c r="G64" i="82" s="1"/>
  <c r="I64" i="82" s="1"/>
  <c r="W183" i="105" s="1"/>
  <c r="X183" i="105" s="1"/>
  <c r="C64" i="82"/>
  <c r="J63" i="82"/>
  <c r="G63" i="82" s="1"/>
  <c r="I63" i="82" s="1"/>
  <c r="C63" i="82"/>
  <c r="T64" i="105" s="1"/>
  <c r="U64" i="105" s="1"/>
  <c r="J62" i="82"/>
  <c r="G62" i="82" s="1"/>
  <c r="I62" i="82" s="1"/>
  <c r="C62" i="82"/>
  <c r="D62" i="82" s="1"/>
  <c r="J61" i="82"/>
  <c r="G61" i="82" s="1"/>
  <c r="I61" i="82" s="1"/>
  <c r="W182" i="105" s="1"/>
  <c r="X182" i="105" s="1"/>
  <c r="C61" i="82"/>
  <c r="J60" i="82"/>
  <c r="G60" i="82" s="1"/>
  <c r="I60" i="82" s="1"/>
  <c r="C60" i="82"/>
  <c r="D60" i="82" s="1"/>
  <c r="J59" i="82"/>
  <c r="G59" i="82" s="1"/>
  <c r="I59" i="82" s="1"/>
  <c r="W327" i="105" s="1"/>
  <c r="X327" i="105" s="1"/>
  <c r="M327" i="105" s="1"/>
  <c r="C59" i="82"/>
  <c r="J58" i="82"/>
  <c r="G58" i="82" s="1"/>
  <c r="I58" i="82" s="1"/>
  <c r="C58" i="82"/>
  <c r="J57" i="82"/>
  <c r="G57" i="82" s="1"/>
  <c r="I57" i="82" s="1"/>
  <c r="C57" i="82"/>
  <c r="T57" i="105" s="1"/>
  <c r="U57" i="105" s="1"/>
  <c r="M57" i="105" s="1"/>
  <c r="J56" i="82"/>
  <c r="G56" i="82" s="1"/>
  <c r="I56" i="82" s="1"/>
  <c r="C56" i="82"/>
  <c r="J55" i="82"/>
  <c r="G55" i="82" s="1"/>
  <c r="I55" i="82" s="1"/>
  <c r="W84" i="105" s="1"/>
  <c r="X84" i="105" s="1"/>
  <c r="C55" i="82"/>
  <c r="T55" i="105" s="1"/>
  <c r="U55" i="105" s="1"/>
  <c r="M55" i="105" s="1"/>
  <c r="J54" i="82"/>
  <c r="G54" i="82" s="1"/>
  <c r="I54" i="82" s="1"/>
  <c r="C54" i="82"/>
  <c r="J53" i="82"/>
  <c r="G53" i="82" s="1"/>
  <c r="I53" i="82" s="1"/>
  <c r="C53" i="82"/>
  <c r="T53" i="105" s="1"/>
  <c r="U53" i="105" s="1"/>
  <c r="M53" i="105" s="1"/>
  <c r="J52" i="82"/>
  <c r="G52" i="82" s="1"/>
  <c r="I52" i="82" s="1"/>
  <c r="C52" i="82"/>
  <c r="J51" i="82"/>
  <c r="G51" i="82" s="1"/>
  <c r="I51" i="82" s="1"/>
  <c r="W77" i="105" s="1"/>
  <c r="X77" i="105" s="1"/>
  <c r="C51" i="82"/>
  <c r="T51" i="105" s="1"/>
  <c r="U51" i="105" s="1"/>
  <c r="J50" i="82"/>
  <c r="G50" i="82" s="1"/>
  <c r="I50" i="82" s="1"/>
  <c r="W74" i="105" s="1"/>
  <c r="X74" i="105" s="1"/>
  <c r="C50" i="82"/>
  <c r="J49" i="82"/>
  <c r="G49" i="82" s="1"/>
  <c r="I49" i="82" s="1"/>
  <c r="W110" i="105" s="1"/>
  <c r="X110" i="105" s="1"/>
  <c r="C49" i="82"/>
  <c r="J48" i="82"/>
  <c r="G48" i="82" s="1"/>
  <c r="I48" i="82" s="1"/>
  <c r="C48" i="82"/>
  <c r="J47" i="82"/>
  <c r="G47" i="82" s="1"/>
  <c r="I47" i="82" s="1"/>
  <c r="W75" i="105" s="1"/>
  <c r="X75" i="105" s="1"/>
  <c r="C47" i="82"/>
  <c r="J46" i="82"/>
  <c r="G46" i="82" s="1"/>
  <c r="I46" i="82" s="1"/>
  <c r="W109" i="105" s="1"/>
  <c r="X109" i="105" s="1"/>
  <c r="C46" i="82"/>
  <c r="J45" i="82"/>
  <c r="G45" i="82" s="1"/>
  <c r="I45" i="82" s="1"/>
  <c r="W76" i="105" s="1"/>
  <c r="X76" i="105" s="1"/>
  <c r="C45" i="82"/>
  <c r="J44" i="82"/>
  <c r="G44" i="82" s="1"/>
  <c r="I44" i="82" s="1"/>
  <c r="W102" i="105" s="1"/>
  <c r="X102" i="105" s="1"/>
  <c r="C44" i="82"/>
  <c r="J43" i="82"/>
  <c r="G43" i="82" s="1"/>
  <c r="I43" i="82" s="1"/>
  <c r="C43" i="82"/>
  <c r="J42" i="82"/>
  <c r="G42" i="82" s="1"/>
  <c r="I42" i="82" s="1"/>
  <c r="C42" i="82"/>
  <c r="J41" i="82"/>
  <c r="G41" i="82" s="1"/>
  <c r="I41" i="82" s="1"/>
  <c r="C41" i="82"/>
  <c r="J40" i="82"/>
  <c r="G40" i="82" s="1"/>
  <c r="I40" i="82" s="1"/>
  <c r="W105" i="105" s="1"/>
  <c r="X105" i="105" s="1"/>
  <c r="C40" i="82"/>
  <c r="J39" i="82"/>
  <c r="G39" i="82" s="1"/>
  <c r="I39" i="82" s="1"/>
  <c r="W113" i="105" s="1"/>
  <c r="X113" i="105" s="1"/>
  <c r="C39" i="82"/>
  <c r="J38" i="82"/>
  <c r="G38" i="82" s="1"/>
  <c r="I38" i="82" s="1"/>
  <c r="W103" i="105" s="1"/>
  <c r="X103" i="105" s="1"/>
  <c r="C38" i="82"/>
  <c r="J37" i="82"/>
  <c r="G37" i="82" s="1"/>
  <c r="I37" i="82" s="1"/>
  <c r="W111" i="105" s="1"/>
  <c r="X111" i="105" s="1"/>
  <c r="C37" i="82"/>
  <c r="J36" i="82"/>
  <c r="G36" i="82" s="1"/>
  <c r="I36" i="82" s="1"/>
  <c r="C36" i="82"/>
  <c r="J35" i="82"/>
  <c r="G35" i="82" s="1"/>
  <c r="I35" i="82" s="1"/>
  <c r="W115" i="105" s="1"/>
  <c r="X115" i="105" s="1"/>
  <c r="C35" i="82"/>
  <c r="J34" i="82"/>
  <c r="G34" i="82" s="1"/>
  <c r="I34" i="82" s="1"/>
  <c r="W112" i="105" s="1"/>
  <c r="X112" i="105" s="1"/>
  <c r="C34" i="82"/>
  <c r="J33" i="82"/>
  <c r="G33" i="82" s="1"/>
  <c r="I33" i="82" s="1"/>
  <c r="W106" i="105" s="1"/>
  <c r="X106" i="105" s="1"/>
  <c r="C33" i="82"/>
  <c r="J32" i="82"/>
  <c r="G32" i="82" s="1"/>
  <c r="I32" i="82" s="1"/>
  <c r="C32" i="82"/>
  <c r="D32" i="82" s="1"/>
  <c r="J31" i="82"/>
  <c r="G31" i="82" s="1"/>
  <c r="I31" i="82" s="1"/>
  <c r="W104" i="105" s="1"/>
  <c r="X104" i="105" s="1"/>
  <c r="C31" i="82"/>
  <c r="D31" i="82" s="1"/>
  <c r="J30" i="82"/>
  <c r="G30" i="82" s="1"/>
  <c r="I30" i="82" s="1"/>
  <c r="W85" i="105" s="1"/>
  <c r="X85" i="105" s="1"/>
  <c r="C30" i="82"/>
  <c r="J29" i="82"/>
  <c r="G29" i="82" s="1"/>
  <c r="I29" i="82" s="1"/>
  <c r="C29" i="82"/>
  <c r="D29" i="82" s="1"/>
  <c r="J28" i="82"/>
  <c r="G28" i="82" s="1"/>
  <c r="I28" i="82" s="1"/>
  <c r="W78" i="105" s="1"/>
  <c r="X78" i="105" s="1"/>
  <c r="C28" i="82"/>
  <c r="D28" i="82" s="1"/>
  <c r="J27" i="82"/>
  <c r="G27" i="82" s="1"/>
  <c r="I27" i="82" s="1"/>
  <c r="C27" i="82"/>
  <c r="J26" i="82"/>
  <c r="G26" i="82" s="1"/>
  <c r="I26" i="82" s="1"/>
  <c r="W24" i="105" s="1"/>
  <c r="X24" i="105" s="1"/>
  <c r="C26" i="82"/>
  <c r="J25" i="82"/>
  <c r="G25" i="82" s="1"/>
  <c r="I25" i="82" s="1"/>
  <c r="W46" i="105" s="1"/>
  <c r="X46" i="105" s="1"/>
  <c r="C25" i="82"/>
  <c r="J24" i="82"/>
  <c r="G24" i="82" s="1"/>
  <c r="I24" i="82" s="1"/>
  <c r="W47" i="105" s="1"/>
  <c r="X47" i="105" s="1"/>
  <c r="C24" i="82"/>
  <c r="J23" i="82"/>
  <c r="G23" i="82" s="1"/>
  <c r="I23" i="82" s="1"/>
  <c r="W48" i="105" s="1"/>
  <c r="X48" i="105" s="1"/>
  <c r="C23" i="82"/>
  <c r="J22" i="82"/>
  <c r="G22" i="82" s="1"/>
  <c r="I22" i="82" s="1"/>
  <c r="W23" i="105" s="1"/>
  <c r="X23" i="105" s="1"/>
  <c r="C22" i="82"/>
  <c r="J21" i="82"/>
  <c r="G21" i="82" s="1"/>
  <c r="I21" i="82" s="1"/>
  <c r="W99" i="105" s="1"/>
  <c r="X99" i="105" s="1"/>
  <c r="C21" i="82"/>
  <c r="J20" i="82"/>
  <c r="G20" i="82" s="1"/>
  <c r="I20" i="82" s="1"/>
  <c r="W36" i="105" s="1"/>
  <c r="X36" i="105" s="1"/>
  <c r="C20" i="82"/>
  <c r="D20" i="82" s="1"/>
  <c r="J19" i="82"/>
  <c r="G19" i="82" s="1"/>
  <c r="I19" i="82" s="1"/>
  <c r="W21" i="105" s="1"/>
  <c r="X21" i="105" s="1"/>
  <c r="C19" i="82"/>
  <c r="J18" i="82"/>
  <c r="G18" i="82" s="1"/>
  <c r="I18" i="82" s="1"/>
  <c r="W16" i="105" s="1"/>
  <c r="X16" i="105" s="1"/>
  <c r="C18" i="82"/>
  <c r="J17" i="82"/>
  <c r="G17" i="82" s="1"/>
  <c r="I17" i="82" s="1"/>
  <c r="C17" i="82"/>
  <c r="T17" i="105" s="1"/>
  <c r="U17" i="105" s="1"/>
  <c r="J16" i="82"/>
  <c r="G16" i="82" s="1"/>
  <c r="I16" i="82" s="1"/>
  <c r="C16" i="82"/>
  <c r="J15" i="82"/>
  <c r="G15" i="82" s="1"/>
  <c r="I15" i="82" s="1"/>
  <c r="C15" i="82"/>
  <c r="J14" i="82"/>
  <c r="G14" i="82" s="1"/>
  <c r="I14" i="82" s="1"/>
  <c r="C14" i="82"/>
  <c r="D14" i="82" s="1"/>
  <c r="J13" i="82"/>
  <c r="G13" i="82" s="1"/>
  <c r="I13" i="82" s="1"/>
  <c r="W100" i="105" s="1"/>
  <c r="X100" i="105" s="1"/>
  <c r="C13" i="82"/>
  <c r="T13" i="105" s="1"/>
  <c r="U13" i="105" s="1"/>
  <c r="J12" i="82"/>
  <c r="G12" i="82" s="1"/>
  <c r="I12" i="82" s="1"/>
  <c r="W70" i="105" s="1"/>
  <c r="X70" i="105" s="1"/>
  <c r="C12" i="82"/>
  <c r="T12" i="105" s="1"/>
  <c r="U12" i="105" s="1"/>
  <c r="J11" i="82"/>
  <c r="G11" i="82" s="1"/>
  <c r="I11" i="82" s="1"/>
  <c r="W79" i="105" s="1"/>
  <c r="X79" i="105" s="1"/>
  <c r="C11" i="82"/>
  <c r="J10" i="82"/>
  <c r="G10" i="82" s="1"/>
  <c r="I10" i="82" s="1"/>
  <c r="W69" i="105" s="1"/>
  <c r="X69" i="105" s="1"/>
  <c r="C10" i="82"/>
  <c r="T10" i="105" s="1"/>
  <c r="U10" i="105" s="1"/>
  <c r="J9" i="82"/>
  <c r="G9" i="82" s="1"/>
  <c r="I9" i="82" s="1"/>
  <c r="W64" i="105" s="1"/>
  <c r="X64" i="105" s="1"/>
  <c r="C9" i="82"/>
  <c r="D9" i="82" s="1"/>
  <c r="J8" i="82"/>
  <c r="G8" i="82" s="1"/>
  <c r="I8" i="82" s="1"/>
  <c r="W65" i="105" s="1"/>
  <c r="X65" i="105" s="1"/>
  <c r="C8" i="82"/>
  <c r="D8" i="82" s="1"/>
  <c r="J7" i="82"/>
  <c r="G7" i="82" s="1"/>
  <c r="I7" i="82" s="1"/>
  <c r="W59" i="105" s="1"/>
  <c r="X59" i="105" s="1"/>
  <c r="C7" i="82"/>
  <c r="D7" i="82" s="1"/>
  <c r="J6" i="82"/>
  <c r="G6" i="82" s="1"/>
  <c r="I6" i="82" s="1"/>
  <c r="W25" i="105" s="1"/>
  <c r="X25" i="105" s="1"/>
  <c r="C6" i="82"/>
  <c r="D6" i="82" s="1"/>
  <c r="J5" i="82"/>
  <c r="G5" i="82" s="1"/>
  <c r="I5" i="82" s="1"/>
  <c r="W41" i="105" s="1"/>
  <c r="X41" i="105" s="1"/>
  <c r="C5" i="82"/>
  <c r="D5" i="82" s="1"/>
  <c r="J4" i="82"/>
  <c r="G4" i="82" s="1"/>
  <c r="I4" i="82" s="1"/>
  <c r="W107" i="105" s="1"/>
  <c r="X107" i="105" s="1"/>
  <c r="C4" i="82"/>
  <c r="D4" i="82" s="1"/>
  <c r="F2" i="94"/>
  <c r="F2" i="95"/>
  <c r="F2" i="96"/>
  <c r="F2" i="98"/>
  <c r="L190" i="19"/>
  <c r="K190" i="19" s="1"/>
  <c r="L189" i="19"/>
  <c r="K189" i="19" s="1"/>
  <c r="L188" i="19"/>
  <c r="K188" i="19" s="1"/>
  <c r="L187" i="19"/>
  <c r="K187" i="19" s="1"/>
  <c r="L186" i="19"/>
  <c r="K186" i="19" s="1"/>
  <c r="L185" i="19"/>
  <c r="K185" i="19" s="1"/>
  <c r="L184" i="19"/>
  <c r="K184" i="19" s="1"/>
  <c r="L183" i="19"/>
  <c r="K183" i="19" s="1"/>
  <c r="L182" i="19"/>
  <c r="K182" i="19" s="1"/>
  <c r="N182" i="19" s="1"/>
  <c r="L181" i="19"/>
  <c r="K181" i="19" s="1"/>
  <c r="N181" i="19" s="1"/>
  <c r="L180" i="19"/>
  <c r="K180" i="19" s="1"/>
  <c r="N180" i="19" s="1"/>
  <c r="L179" i="19"/>
  <c r="K179" i="19" s="1"/>
  <c r="N179" i="19" s="1"/>
  <c r="L178" i="19"/>
  <c r="K178" i="19" s="1"/>
  <c r="N178" i="19" s="1"/>
  <c r="L177" i="19"/>
  <c r="K177" i="19" s="1"/>
  <c r="N177" i="19" s="1"/>
  <c r="L176" i="19"/>
  <c r="K176" i="19" s="1"/>
  <c r="N176" i="19" s="1"/>
  <c r="L175" i="19"/>
  <c r="K175" i="19" s="1"/>
  <c r="N175" i="19" s="1"/>
  <c r="L174" i="19"/>
  <c r="K174" i="19"/>
  <c r="N174" i="19" s="1"/>
  <c r="L173" i="19"/>
  <c r="K173" i="19" s="1"/>
  <c r="N173" i="19" s="1"/>
  <c r="N172" i="19"/>
  <c r="L172" i="19"/>
  <c r="K172" i="19" s="1"/>
  <c r="L171" i="19"/>
  <c r="K171" i="19" s="1"/>
  <c r="N171" i="19" s="1"/>
  <c r="L170" i="19"/>
  <c r="K170" i="19"/>
  <c r="N170" i="19" s="1"/>
  <c r="L169" i="19"/>
  <c r="K169" i="19" s="1"/>
  <c r="N169" i="19" s="1"/>
  <c r="L168" i="19"/>
  <c r="K168" i="19" s="1"/>
  <c r="N168" i="19" s="1"/>
  <c r="L167" i="19"/>
  <c r="K167" i="19" s="1"/>
  <c r="N167" i="19" s="1"/>
  <c r="L166" i="19"/>
  <c r="K166" i="19" s="1"/>
  <c r="N166" i="19" s="1"/>
  <c r="L165" i="19"/>
  <c r="K165" i="19" s="1"/>
  <c r="N165" i="19" s="1"/>
  <c r="L164" i="19"/>
  <c r="K164" i="19" s="1"/>
  <c r="N164" i="19" s="1"/>
  <c r="I163" i="19"/>
  <c r="L163" i="19" s="1"/>
  <c r="K163" i="19" s="1"/>
  <c r="N163" i="19" s="1"/>
  <c r="I162" i="19"/>
  <c r="L162" i="19" s="1"/>
  <c r="K162" i="19" s="1"/>
  <c r="N162" i="19" s="1"/>
  <c r="L161" i="19"/>
  <c r="K161" i="19" s="1"/>
  <c r="N161" i="19" s="1"/>
  <c r="L160" i="19"/>
  <c r="K160" i="19"/>
  <c r="N160" i="19" s="1"/>
  <c r="L159" i="19"/>
  <c r="K159" i="19" s="1"/>
  <c r="N159" i="19" s="1"/>
  <c r="N158" i="19"/>
  <c r="L158" i="19"/>
  <c r="K158" i="19" s="1"/>
  <c r="L157" i="19"/>
  <c r="K157" i="19" s="1"/>
  <c r="N157" i="19" s="1"/>
  <c r="L156" i="19"/>
  <c r="K156" i="19"/>
  <c r="N156" i="19" s="1"/>
  <c r="L155" i="19"/>
  <c r="K155" i="19" s="1"/>
  <c r="N155" i="19" s="1"/>
  <c r="L154" i="19"/>
  <c r="K154" i="19" s="1"/>
  <c r="N154" i="19" s="1"/>
  <c r="I154" i="19"/>
  <c r="L153" i="19"/>
  <c r="K153" i="19" s="1"/>
  <c r="N153" i="19" s="1"/>
  <c r="L152" i="19"/>
  <c r="K152" i="19" s="1"/>
  <c r="N152" i="19" s="1"/>
  <c r="L151" i="19"/>
  <c r="K151" i="19" s="1"/>
  <c r="N151" i="19" s="1"/>
  <c r="L150" i="19"/>
  <c r="K150" i="19" s="1"/>
  <c r="N150" i="19" s="1"/>
  <c r="L149" i="19"/>
  <c r="K149" i="19" s="1"/>
  <c r="N149" i="19" s="1"/>
  <c r="L148" i="19"/>
  <c r="K148" i="19" s="1"/>
  <c r="N148" i="19" s="1"/>
  <c r="L147" i="19"/>
  <c r="K147" i="19" s="1"/>
  <c r="N147" i="19" s="1"/>
  <c r="L146" i="19"/>
  <c r="K146" i="19" s="1"/>
  <c r="N146" i="19" s="1"/>
  <c r="L145" i="19"/>
  <c r="K145" i="19" s="1"/>
  <c r="N145" i="19" s="1"/>
  <c r="L144" i="19"/>
  <c r="K144" i="19" s="1"/>
  <c r="N144" i="19" s="1"/>
  <c r="L143" i="19"/>
  <c r="K143" i="19" s="1"/>
  <c r="N143" i="19" s="1"/>
  <c r="L142" i="19"/>
  <c r="K142" i="19" s="1"/>
  <c r="N142" i="19" s="1"/>
  <c r="L141" i="19"/>
  <c r="K141" i="19" s="1"/>
  <c r="N141" i="19" s="1"/>
  <c r="I140" i="19"/>
  <c r="L140" i="19" s="1"/>
  <c r="K140" i="19" s="1"/>
  <c r="N140" i="19" s="1"/>
  <c r="L139" i="19"/>
  <c r="K139" i="19" s="1"/>
  <c r="N139" i="19" s="1"/>
  <c r="L138" i="19"/>
  <c r="K138" i="19" s="1"/>
  <c r="N138" i="19" s="1"/>
  <c r="L137" i="19"/>
  <c r="K137" i="19" s="1"/>
  <c r="N137" i="19" s="1"/>
  <c r="L136" i="19"/>
  <c r="K136" i="19" s="1"/>
  <c r="N136" i="19" s="1"/>
  <c r="L135" i="19"/>
  <c r="K135" i="19" s="1"/>
  <c r="N135" i="19" s="1"/>
  <c r="L134" i="19"/>
  <c r="K134" i="19" s="1"/>
  <c r="N134" i="19" s="1"/>
  <c r="L133" i="19"/>
  <c r="K133" i="19" s="1"/>
  <c r="N133" i="19" s="1"/>
  <c r="L132" i="19"/>
  <c r="K132" i="19" s="1"/>
  <c r="N132" i="19" s="1"/>
  <c r="L131" i="19"/>
  <c r="K131" i="19" s="1"/>
  <c r="N131" i="19" s="1"/>
  <c r="L130" i="19"/>
  <c r="K130" i="19" s="1"/>
  <c r="N130" i="19" s="1"/>
  <c r="I129" i="19"/>
  <c r="L129" i="19" s="1"/>
  <c r="K129" i="19" s="1"/>
  <c r="N129" i="19" s="1"/>
  <c r="L128" i="19"/>
  <c r="K128" i="19" s="1"/>
  <c r="N128" i="19" s="1"/>
  <c r="I127" i="19"/>
  <c r="L127" i="19" s="1"/>
  <c r="K127" i="19" s="1"/>
  <c r="N127" i="19" s="1"/>
  <c r="L126" i="19"/>
  <c r="K126" i="19" s="1"/>
  <c r="N126" i="19" s="1"/>
  <c r="L125" i="19"/>
  <c r="K125" i="19" s="1"/>
  <c r="N125" i="19" s="1"/>
  <c r="I124" i="19"/>
  <c r="L124" i="19" s="1"/>
  <c r="K124" i="19" s="1"/>
  <c r="L123" i="19"/>
  <c r="K123" i="19" s="1"/>
  <c r="L122" i="19"/>
  <c r="K122" i="19" s="1"/>
  <c r="N122" i="19" s="1"/>
  <c r="I121" i="19"/>
  <c r="L121" i="19" s="1"/>
  <c r="K121" i="19" s="1"/>
  <c r="N121" i="19" s="1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L73" i="19"/>
  <c r="K73" i="19" s="1"/>
  <c r="N73" i="19" s="1"/>
  <c r="L72" i="19"/>
  <c r="K72" i="19" s="1"/>
  <c r="N72" i="19" s="1"/>
  <c r="L71" i="19"/>
  <c r="K71" i="19" s="1"/>
  <c r="N71" i="19" s="1"/>
  <c r="L70" i="19"/>
  <c r="K70" i="19" s="1"/>
  <c r="N70" i="19" s="1"/>
  <c r="L69" i="19"/>
  <c r="K69" i="19" s="1"/>
  <c r="N69" i="19" s="1"/>
  <c r="L68" i="19"/>
  <c r="K68" i="19" s="1"/>
  <c r="N68" i="19" s="1"/>
  <c r="L67" i="19"/>
  <c r="K67" i="19" s="1"/>
  <c r="N67" i="19" s="1"/>
  <c r="L66" i="19"/>
  <c r="K66" i="19" s="1"/>
  <c r="N66" i="19" s="1"/>
  <c r="L65" i="19"/>
  <c r="K65" i="19" s="1"/>
  <c r="N65" i="19" s="1"/>
  <c r="L64" i="19"/>
  <c r="K64" i="19" s="1"/>
  <c r="N64" i="19" s="1"/>
  <c r="L63" i="19"/>
  <c r="K63" i="19" s="1"/>
  <c r="N63" i="19" s="1"/>
  <c r="L62" i="19"/>
  <c r="K62" i="19" s="1"/>
  <c r="L61" i="19"/>
  <c r="K61" i="19" s="1"/>
  <c r="L60" i="19"/>
  <c r="K60" i="19" s="1"/>
  <c r="L59" i="19"/>
  <c r="K59" i="19" s="1"/>
  <c r="L58" i="19"/>
  <c r="K58" i="19" s="1"/>
  <c r="L57" i="19"/>
  <c r="K57" i="19" s="1"/>
  <c r="N57" i="19" s="1"/>
  <c r="L56" i="19"/>
  <c r="K56" i="19" s="1"/>
  <c r="L55" i="19"/>
  <c r="K55" i="19" s="1"/>
  <c r="N55" i="19" s="1"/>
  <c r="L54" i="19"/>
  <c r="K54" i="19" s="1"/>
  <c r="N54" i="19" s="1"/>
  <c r="L53" i="19"/>
  <c r="K53" i="19" s="1"/>
  <c r="N53" i="19" s="1"/>
  <c r="L52" i="19"/>
  <c r="K52" i="19"/>
  <c r="N52" i="19" s="1"/>
  <c r="L51" i="19"/>
  <c r="K51" i="19" s="1"/>
  <c r="N51" i="19" s="1"/>
  <c r="N50" i="19"/>
  <c r="L50" i="19"/>
  <c r="K50" i="19" s="1"/>
  <c r="L49" i="19"/>
  <c r="K48" i="19"/>
  <c r="L48" i="19" s="1"/>
  <c r="L47" i="19"/>
  <c r="K47" i="19" s="1"/>
  <c r="L46" i="19"/>
  <c r="K46" i="19" s="1"/>
  <c r="L45" i="19"/>
  <c r="K45" i="19" s="1"/>
  <c r="L44" i="19"/>
  <c r="K44" i="19"/>
  <c r="L43" i="19"/>
  <c r="K43" i="19" s="1"/>
  <c r="L42" i="19"/>
  <c r="K42" i="19" s="1"/>
  <c r="N42" i="19" s="1"/>
  <c r="L41" i="19"/>
  <c r="K41" i="19"/>
  <c r="N41" i="19" s="1"/>
  <c r="I40" i="19"/>
  <c r="L40" i="19" s="1"/>
  <c r="K40" i="19" s="1"/>
  <c r="N40" i="19" s="1"/>
  <c r="L29" i="19"/>
  <c r="K29" i="19" s="1"/>
  <c r="N29" i="19" s="1"/>
  <c r="L28" i="19"/>
  <c r="K28" i="19" s="1"/>
  <c r="N28" i="19" s="1"/>
  <c r="L27" i="19"/>
  <c r="K27" i="19" s="1"/>
  <c r="N27" i="19" s="1"/>
  <c r="L26" i="19"/>
  <c r="K26" i="19" s="1"/>
  <c r="N26" i="19" s="1"/>
  <c r="L25" i="19"/>
  <c r="K25" i="19" s="1"/>
  <c r="N25" i="19" s="1"/>
  <c r="L24" i="19"/>
  <c r="K24" i="19"/>
  <c r="N24" i="19" s="1"/>
  <c r="L23" i="19"/>
  <c r="K23" i="19" s="1"/>
  <c r="N23" i="19" s="1"/>
  <c r="L22" i="19"/>
  <c r="K22" i="19" s="1"/>
  <c r="N22" i="19" s="1"/>
  <c r="I21" i="19"/>
  <c r="L21" i="19" s="1"/>
  <c r="K21" i="19" s="1"/>
  <c r="N21" i="19" s="1"/>
  <c r="I9" i="19"/>
  <c r="L9" i="19" s="1"/>
  <c r="K9" i="19" s="1"/>
  <c r="N9" i="19" s="1"/>
  <c r="L6" i="19"/>
  <c r="K6" i="19" s="1"/>
  <c r="L5" i="19"/>
  <c r="K5" i="19" s="1"/>
  <c r="L4" i="19"/>
  <c r="K4" i="19"/>
  <c r="L3" i="19"/>
  <c r="K3" i="19" s="1"/>
  <c r="J190" i="13"/>
  <c r="I190" i="13" s="1"/>
  <c r="J189" i="13"/>
  <c r="I189" i="13" s="1"/>
  <c r="J188" i="13"/>
  <c r="I188" i="13" s="1"/>
  <c r="J187" i="13"/>
  <c r="I187" i="13" s="1"/>
  <c r="J186" i="13"/>
  <c r="I186" i="13" s="1"/>
  <c r="J185" i="13"/>
  <c r="I185" i="13" s="1"/>
  <c r="J184" i="13"/>
  <c r="I184" i="13" s="1"/>
  <c r="J183" i="13"/>
  <c r="I183" i="13" s="1"/>
  <c r="J182" i="13"/>
  <c r="I182" i="13" s="1"/>
  <c r="J181" i="13"/>
  <c r="I181" i="13" s="1"/>
  <c r="J180" i="13"/>
  <c r="I180" i="13" s="1"/>
  <c r="J179" i="13"/>
  <c r="I179" i="13" s="1"/>
  <c r="J178" i="13"/>
  <c r="I178" i="13" s="1"/>
  <c r="J177" i="13"/>
  <c r="I177" i="13" s="1"/>
  <c r="J176" i="13"/>
  <c r="I176" i="13" s="1"/>
  <c r="J175" i="13"/>
  <c r="I175" i="13" s="1"/>
  <c r="J174" i="13"/>
  <c r="I174" i="13" s="1"/>
  <c r="J173" i="13"/>
  <c r="I173" i="13" s="1"/>
  <c r="J172" i="13"/>
  <c r="I172" i="13" s="1"/>
  <c r="J171" i="13"/>
  <c r="I171" i="13" s="1"/>
  <c r="J170" i="13"/>
  <c r="I170" i="13" s="1"/>
  <c r="J169" i="13"/>
  <c r="I169" i="13" s="1"/>
  <c r="J168" i="13"/>
  <c r="I168" i="13" s="1"/>
  <c r="J167" i="13"/>
  <c r="I167" i="13" s="1"/>
  <c r="J166" i="13"/>
  <c r="I166" i="13" s="1"/>
  <c r="J165" i="13"/>
  <c r="I165" i="13" s="1"/>
  <c r="J164" i="13"/>
  <c r="I164" i="13" s="1"/>
  <c r="H163" i="13"/>
  <c r="J163" i="13" s="1"/>
  <c r="I163" i="13" s="1"/>
  <c r="H162" i="13"/>
  <c r="J162" i="13" s="1"/>
  <c r="I162" i="13" s="1"/>
  <c r="J161" i="13"/>
  <c r="I161" i="13" s="1"/>
  <c r="J160" i="13"/>
  <c r="I160" i="13" s="1"/>
  <c r="J159" i="13"/>
  <c r="I159" i="13"/>
  <c r="J158" i="13"/>
  <c r="I158" i="13" s="1"/>
  <c r="J157" i="13"/>
  <c r="I157" i="13" s="1"/>
  <c r="J156" i="13"/>
  <c r="I156" i="13" s="1"/>
  <c r="J155" i="13"/>
  <c r="I155" i="13" s="1"/>
  <c r="H154" i="13"/>
  <c r="J154" i="13" s="1"/>
  <c r="I154" i="13" s="1"/>
  <c r="J153" i="13"/>
  <c r="I153" i="13" s="1"/>
  <c r="J152" i="13"/>
  <c r="I152" i="13" s="1"/>
  <c r="J150" i="13"/>
  <c r="I150" i="13" s="1"/>
  <c r="J149" i="13"/>
  <c r="I149" i="13" s="1"/>
  <c r="J148" i="13"/>
  <c r="I148" i="13" s="1"/>
  <c r="J147" i="13"/>
  <c r="I147" i="13" s="1"/>
  <c r="J146" i="13"/>
  <c r="I146" i="13" s="1"/>
  <c r="J145" i="13"/>
  <c r="I145" i="13" s="1"/>
  <c r="J144" i="13"/>
  <c r="I144" i="13" s="1"/>
  <c r="J143" i="13"/>
  <c r="I143" i="13" s="1"/>
  <c r="J142" i="13"/>
  <c r="I142" i="13" s="1"/>
  <c r="J141" i="13"/>
  <c r="I141" i="13"/>
  <c r="J140" i="13"/>
  <c r="I140" i="13" s="1"/>
  <c r="H139" i="13"/>
  <c r="J139" i="13" s="1"/>
  <c r="I139" i="13" s="1"/>
  <c r="J138" i="13"/>
  <c r="I138" i="13" s="1"/>
  <c r="J137" i="13"/>
  <c r="I137" i="13" s="1"/>
  <c r="J136" i="13"/>
  <c r="I136" i="13" s="1"/>
  <c r="J135" i="13"/>
  <c r="I135" i="13" s="1"/>
  <c r="J134" i="13"/>
  <c r="I134" i="13" s="1"/>
  <c r="J133" i="13"/>
  <c r="I133" i="13" s="1"/>
  <c r="J132" i="13"/>
  <c r="I132" i="13" s="1"/>
  <c r="J131" i="13"/>
  <c r="I131" i="13"/>
  <c r="J130" i="13"/>
  <c r="I130" i="13" s="1"/>
  <c r="J129" i="13"/>
  <c r="I129" i="13" s="1"/>
  <c r="H128" i="13"/>
  <c r="J128" i="13" s="1"/>
  <c r="I128" i="13" s="1"/>
  <c r="J127" i="13"/>
  <c r="I127" i="13" s="1"/>
  <c r="H126" i="13"/>
  <c r="J126" i="13" s="1"/>
  <c r="I126" i="13" s="1"/>
  <c r="J125" i="13"/>
  <c r="I125" i="13" s="1"/>
  <c r="J124" i="13"/>
  <c r="I124" i="13" s="1"/>
  <c r="J123" i="13"/>
  <c r="I123" i="13" s="1"/>
  <c r="J122" i="13"/>
  <c r="I122" i="13" s="1"/>
  <c r="H121" i="13"/>
  <c r="J121" i="13" s="1"/>
  <c r="I121" i="13" s="1"/>
  <c r="H120" i="13"/>
  <c r="J120" i="13" s="1"/>
  <c r="I120" i="13" s="1"/>
  <c r="J72" i="13"/>
  <c r="I72" i="13" s="1"/>
  <c r="J71" i="13"/>
  <c r="I71" i="13" s="1"/>
  <c r="J70" i="13"/>
  <c r="I70" i="13" s="1"/>
  <c r="J69" i="13"/>
  <c r="I69" i="13" s="1"/>
  <c r="J68" i="13"/>
  <c r="I68" i="13" s="1"/>
  <c r="J67" i="13"/>
  <c r="I67" i="13" s="1"/>
  <c r="J66" i="13"/>
  <c r="I66" i="13"/>
  <c r="J65" i="13"/>
  <c r="I65" i="13" s="1"/>
  <c r="J64" i="13"/>
  <c r="I64" i="13" s="1"/>
  <c r="J63" i="13"/>
  <c r="I63" i="13" s="1"/>
  <c r="J62" i="13"/>
  <c r="I62" i="13" s="1"/>
  <c r="J61" i="13"/>
  <c r="I61" i="13" s="1"/>
  <c r="J60" i="13"/>
  <c r="I60" i="13" s="1"/>
  <c r="J59" i="13"/>
  <c r="I59" i="13" s="1"/>
  <c r="J58" i="13"/>
  <c r="I58" i="13" s="1"/>
  <c r="J57" i="13"/>
  <c r="I57" i="13" s="1"/>
  <c r="J56" i="13"/>
  <c r="I56" i="13"/>
  <c r="J55" i="13"/>
  <c r="I55" i="13" s="1"/>
  <c r="J54" i="13"/>
  <c r="I54" i="13" s="1"/>
  <c r="J53" i="13"/>
  <c r="I53" i="13" s="1"/>
  <c r="J52" i="13"/>
  <c r="I52" i="13" s="1"/>
  <c r="J51" i="13"/>
  <c r="I51" i="13" s="1"/>
  <c r="J50" i="13"/>
  <c r="I50" i="13" s="1"/>
  <c r="J49" i="13"/>
  <c r="I49" i="13" s="1"/>
  <c r="I48" i="13"/>
  <c r="J48" i="13" s="1"/>
  <c r="J47" i="13"/>
  <c r="I47" i="13" s="1"/>
  <c r="J46" i="13"/>
  <c r="I46" i="13" s="1"/>
  <c r="J45" i="13"/>
  <c r="I45" i="13" s="1"/>
  <c r="J44" i="13"/>
  <c r="I44" i="13" s="1"/>
  <c r="J43" i="13"/>
  <c r="I43" i="13" s="1"/>
  <c r="J42" i="13"/>
  <c r="I42" i="13" s="1"/>
  <c r="H41" i="13"/>
  <c r="J41" i="13" s="1"/>
  <c r="I41" i="13" s="1"/>
  <c r="J30" i="13"/>
  <c r="I30" i="13" s="1"/>
  <c r="J29" i="13"/>
  <c r="I29" i="13" s="1"/>
  <c r="J28" i="13"/>
  <c r="I28" i="13" s="1"/>
  <c r="J27" i="13"/>
  <c r="I27" i="13" s="1"/>
  <c r="J26" i="13"/>
  <c r="I26" i="13" s="1"/>
  <c r="J25" i="13"/>
  <c r="I25" i="13" s="1"/>
  <c r="J24" i="13"/>
  <c r="I24" i="13" s="1"/>
  <c r="I23" i="13"/>
  <c r="J23" i="13" s="1"/>
  <c r="J22" i="13"/>
  <c r="I22" i="13" s="1"/>
  <c r="H22" i="13"/>
  <c r="H10" i="13"/>
  <c r="J10" i="13" s="1"/>
  <c r="I10" i="13" s="1"/>
  <c r="J7" i="13"/>
  <c r="I7" i="13" s="1"/>
  <c r="J6" i="13"/>
  <c r="I6" i="13" s="1"/>
  <c r="J5" i="13"/>
  <c r="I5" i="13"/>
  <c r="J4" i="13"/>
  <c r="I4" i="13" s="1"/>
  <c r="M136" i="105" l="1"/>
  <c r="X329" i="105"/>
  <c r="M329" i="105" s="1"/>
  <c r="B48" i="107"/>
  <c r="E28" i="107"/>
  <c r="F28" i="107" s="1"/>
  <c r="M156" i="105"/>
  <c r="M134" i="105"/>
  <c r="M140" i="105"/>
  <c r="M146" i="105"/>
  <c r="M141" i="105"/>
  <c r="M153" i="105"/>
  <c r="M159" i="105"/>
  <c r="M113" i="105"/>
  <c r="M12" i="105"/>
  <c r="M104" i="105"/>
  <c r="M13" i="105"/>
  <c r="M70" i="105"/>
  <c r="M81" i="105"/>
  <c r="W214" i="105"/>
  <c r="X214" i="105" s="1"/>
  <c r="M115" i="105"/>
  <c r="D260" i="82"/>
  <c r="T261" i="105"/>
  <c r="U261" i="105" s="1"/>
  <c r="D266" i="82"/>
  <c r="T267" i="105"/>
  <c r="U267" i="105" s="1"/>
  <c r="D269" i="82"/>
  <c r="T270" i="105"/>
  <c r="U270" i="105" s="1"/>
  <c r="D272" i="82"/>
  <c r="T273" i="105"/>
  <c r="U273" i="105" s="1"/>
  <c r="D287" i="82"/>
  <c r="T288" i="105"/>
  <c r="U288" i="105" s="1"/>
  <c r="M288" i="105" s="1"/>
  <c r="D293" i="82"/>
  <c r="T294" i="105"/>
  <c r="U294" i="105" s="1"/>
  <c r="M294" i="105" s="1"/>
  <c r="D296" i="82"/>
  <c r="T297" i="105"/>
  <c r="U297" i="105" s="1"/>
  <c r="M297" i="105" s="1"/>
  <c r="D302" i="82"/>
  <c r="T303" i="105"/>
  <c r="U303" i="105" s="1"/>
  <c r="M303" i="105" s="1"/>
  <c r="M148" i="105"/>
  <c r="M151" i="105"/>
  <c r="M157" i="105"/>
  <c r="M160" i="105"/>
  <c r="D162" i="82"/>
  <c r="T163" i="105"/>
  <c r="U163" i="105" s="1"/>
  <c r="M163" i="105" s="1"/>
  <c r="D171" i="82"/>
  <c r="T172" i="105"/>
  <c r="U172" i="105" s="1"/>
  <c r="D174" i="82"/>
  <c r="T175" i="105"/>
  <c r="U175" i="105" s="1"/>
  <c r="D177" i="82"/>
  <c r="T178" i="105"/>
  <c r="U178" i="105" s="1"/>
  <c r="M178" i="105" s="1"/>
  <c r="D183" i="82"/>
  <c r="T183" i="105"/>
  <c r="U183" i="105" s="1"/>
  <c r="M183" i="105" s="1"/>
  <c r="M186" i="105"/>
  <c r="W273" i="105"/>
  <c r="X273" i="105" s="1"/>
  <c r="W260" i="105"/>
  <c r="X260" i="105" s="1"/>
  <c r="D16" i="82"/>
  <c r="T16" i="105"/>
  <c r="U16" i="105" s="1"/>
  <c r="M16" i="105" s="1"/>
  <c r="D22" i="82"/>
  <c r="T22" i="105"/>
  <c r="U22" i="105" s="1"/>
  <c r="M22" i="105" s="1"/>
  <c r="D34" i="82"/>
  <c r="T34" i="105"/>
  <c r="U34" i="105" s="1"/>
  <c r="M34" i="105" s="1"/>
  <c r="D40" i="82"/>
  <c r="T40" i="105"/>
  <c r="U40" i="105" s="1"/>
  <c r="M40" i="105" s="1"/>
  <c r="D46" i="82"/>
  <c r="T46" i="105"/>
  <c r="U46" i="105" s="1"/>
  <c r="M46" i="105" s="1"/>
  <c r="D49" i="82"/>
  <c r="T49" i="105"/>
  <c r="U49" i="105" s="1"/>
  <c r="M49" i="105" s="1"/>
  <c r="D52" i="82"/>
  <c r="T52" i="105"/>
  <c r="U52" i="105" s="1"/>
  <c r="M52" i="105" s="1"/>
  <c r="D58" i="82"/>
  <c r="T58" i="105"/>
  <c r="U58" i="105" s="1"/>
  <c r="M58" i="105" s="1"/>
  <c r="D84" i="82"/>
  <c r="T83" i="105"/>
  <c r="U83" i="105" s="1"/>
  <c r="M83" i="105" s="1"/>
  <c r="D87" i="82"/>
  <c r="T86" i="105"/>
  <c r="U86" i="105" s="1"/>
  <c r="M86" i="105" s="1"/>
  <c r="D93" i="82"/>
  <c r="T92" i="105"/>
  <c r="U92" i="105" s="1"/>
  <c r="M92" i="105" s="1"/>
  <c r="D128" i="82"/>
  <c r="T129" i="105"/>
  <c r="U129" i="105" s="1"/>
  <c r="M129" i="105" s="1"/>
  <c r="D134" i="82"/>
  <c r="T135" i="105"/>
  <c r="U135" i="105" s="1"/>
  <c r="M135" i="105" s="1"/>
  <c r="D11" i="82"/>
  <c r="T11" i="105"/>
  <c r="U11" i="105" s="1"/>
  <c r="M11" i="105" s="1"/>
  <c r="D76" i="82"/>
  <c r="T76" i="105"/>
  <c r="U76" i="105" s="1"/>
  <c r="M76" i="105" s="1"/>
  <c r="M107" i="105"/>
  <c r="D111" i="82"/>
  <c r="T110" i="105"/>
  <c r="U110" i="105" s="1"/>
  <c r="M110" i="105" s="1"/>
  <c r="D123" i="82"/>
  <c r="T124" i="105"/>
  <c r="U124" i="105" s="1"/>
  <c r="D188" i="82"/>
  <c r="T188" i="105"/>
  <c r="U188" i="105" s="1"/>
  <c r="M188" i="105" s="1"/>
  <c r="D194" i="82"/>
  <c r="T194" i="105"/>
  <c r="U194" i="105" s="1"/>
  <c r="M194" i="105" s="1"/>
  <c r="D218" i="82"/>
  <c r="T218" i="105"/>
  <c r="U218" i="105" s="1"/>
  <c r="M218" i="105" s="1"/>
  <c r="D224" i="82"/>
  <c r="T225" i="105"/>
  <c r="U225" i="105" s="1"/>
  <c r="D230" i="82"/>
  <c r="T231" i="105"/>
  <c r="U231" i="105" s="1"/>
  <c r="M231" i="105" s="1"/>
  <c r="D236" i="82"/>
  <c r="T237" i="105"/>
  <c r="U237" i="105" s="1"/>
  <c r="M237" i="105" s="1"/>
  <c r="D245" i="82"/>
  <c r="T246" i="105"/>
  <c r="U246" i="105" s="1"/>
  <c r="M246" i="105" s="1"/>
  <c r="D254" i="82"/>
  <c r="T255" i="105"/>
  <c r="U255" i="105" s="1"/>
  <c r="M17" i="105"/>
  <c r="D23" i="82"/>
  <c r="T23" i="105"/>
  <c r="U23" i="105" s="1"/>
  <c r="M23" i="105" s="1"/>
  <c r="D35" i="82"/>
  <c r="T35" i="105"/>
  <c r="U35" i="105" s="1"/>
  <c r="M35" i="105" s="1"/>
  <c r="D41" i="82"/>
  <c r="T41" i="105"/>
  <c r="U41" i="105" s="1"/>
  <c r="M41" i="105" s="1"/>
  <c r="D59" i="82"/>
  <c r="T59" i="105"/>
  <c r="U59" i="105" s="1"/>
  <c r="M59" i="105" s="1"/>
  <c r="M84" i="105"/>
  <c r="D91" i="82"/>
  <c r="T90" i="105"/>
  <c r="U90" i="105" s="1"/>
  <c r="M90" i="105" s="1"/>
  <c r="D97" i="82"/>
  <c r="T96" i="105"/>
  <c r="U96" i="105" s="1"/>
  <c r="M96" i="105" s="1"/>
  <c r="D103" i="82"/>
  <c r="T102" i="105"/>
  <c r="U102" i="105" s="1"/>
  <c r="M102" i="105" s="1"/>
  <c r="D65" i="82"/>
  <c r="D71" i="82"/>
  <c r="T71" i="105"/>
  <c r="U71" i="105" s="1"/>
  <c r="M71" i="105" s="1"/>
  <c r="D77" i="82"/>
  <c r="T77" i="105"/>
  <c r="U77" i="105" s="1"/>
  <c r="M77" i="105" s="1"/>
  <c r="M111" i="105"/>
  <c r="W30" i="105"/>
  <c r="X30" i="105" s="1"/>
  <c r="W317" i="105"/>
  <c r="X317" i="105" s="1"/>
  <c r="M317" i="105" s="1"/>
  <c r="W207" i="105"/>
  <c r="X207" i="105" s="1"/>
  <c r="W173" i="105"/>
  <c r="X173" i="105" s="1"/>
  <c r="M173" i="105" s="1"/>
  <c r="D189" i="82"/>
  <c r="T189" i="105"/>
  <c r="U189" i="105" s="1"/>
  <c r="M189" i="105" s="1"/>
  <c r="D195" i="82"/>
  <c r="T195" i="105"/>
  <c r="U195" i="105" s="1"/>
  <c r="M195" i="105" s="1"/>
  <c r="D201" i="82"/>
  <c r="T201" i="105"/>
  <c r="U201" i="105" s="1"/>
  <c r="M201" i="105" s="1"/>
  <c r="D207" i="82"/>
  <c r="T207" i="105"/>
  <c r="U207" i="105" s="1"/>
  <c r="D213" i="82"/>
  <c r="T213" i="105"/>
  <c r="U213" i="105" s="1"/>
  <c r="M213" i="105" s="1"/>
  <c r="D225" i="82"/>
  <c r="T226" i="105"/>
  <c r="U226" i="105" s="1"/>
  <c r="D231" i="82"/>
  <c r="T232" i="105"/>
  <c r="U232" i="105" s="1"/>
  <c r="M232" i="105" s="1"/>
  <c r="D237" i="82"/>
  <c r="T238" i="105"/>
  <c r="U238" i="105" s="1"/>
  <c r="M238" i="105" s="1"/>
  <c r="D243" i="82"/>
  <c r="T244" i="105"/>
  <c r="U244" i="105" s="1"/>
  <c r="M244" i="105" s="1"/>
  <c r="D255" i="82"/>
  <c r="T256" i="105"/>
  <c r="U256" i="105" s="1"/>
  <c r="D261" i="82"/>
  <c r="T262" i="105"/>
  <c r="U262" i="105" s="1"/>
  <c r="M262" i="105" s="1"/>
  <c r="D267" i="82"/>
  <c r="T268" i="105"/>
  <c r="U268" i="105" s="1"/>
  <c r="D294" i="82"/>
  <c r="T295" i="105"/>
  <c r="U295" i="105" s="1"/>
  <c r="M295" i="105" s="1"/>
  <c r="D24" i="82"/>
  <c r="T24" i="105"/>
  <c r="U24" i="105" s="1"/>
  <c r="M24" i="105" s="1"/>
  <c r="D30" i="82"/>
  <c r="T30" i="105"/>
  <c r="U30" i="105" s="1"/>
  <c r="D36" i="82"/>
  <c r="T36" i="105"/>
  <c r="U36" i="105" s="1"/>
  <c r="M36" i="105" s="1"/>
  <c r="D42" i="82"/>
  <c r="T42" i="105"/>
  <c r="U42" i="105" s="1"/>
  <c r="M42" i="105" s="1"/>
  <c r="M51" i="105"/>
  <c r="D54" i="82"/>
  <c r="T54" i="105"/>
  <c r="U54" i="105" s="1"/>
  <c r="M54" i="105" s="1"/>
  <c r="M64" i="105"/>
  <c r="M91" i="105"/>
  <c r="D98" i="82"/>
  <c r="T97" i="105"/>
  <c r="U97" i="105" s="1"/>
  <c r="M97" i="105" s="1"/>
  <c r="D104" i="82"/>
  <c r="T103" i="105"/>
  <c r="U103" i="105" s="1"/>
  <c r="M103" i="105" s="1"/>
  <c r="D136" i="82"/>
  <c r="T137" i="105"/>
  <c r="U137" i="105" s="1"/>
  <c r="M137" i="105" s="1"/>
  <c r="M143" i="105"/>
  <c r="M152" i="105"/>
  <c r="M155" i="105"/>
  <c r="M158" i="105"/>
  <c r="D160" i="82"/>
  <c r="T161" i="105"/>
  <c r="U161" i="105" s="1"/>
  <c r="D163" i="82"/>
  <c r="T164" i="105"/>
  <c r="U164" i="105" s="1"/>
  <c r="M164" i="105" s="1"/>
  <c r="D166" i="82"/>
  <c r="T167" i="105"/>
  <c r="U167" i="105" s="1"/>
  <c r="M167" i="105" s="1"/>
  <c r="D175" i="82"/>
  <c r="T176" i="105"/>
  <c r="U176" i="105" s="1"/>
  <c r="D178" i="82"/>
  <c r="T219" i="105"/>
  <c r="U219" i="105" s="1"/>
  <c r="M219" i="105" s="1"/>
  <c r="D181" i="82"/>
  <c r="T181" i="105"/>
  <c r="U181" i="105" s="1"/>
  <c r="M184" i="105"/>
  <c r="W319" i="105"/>
  <c r="X319" i="105" s="1"/>
  <c r="M319" i="105" s="1"/>
  <c r="W161" i="105"/>
  <c r="X161" i="105" s="1"/>
  <c r="W254" i="105"/>
  <c r="X254" i="105" s="1"/>
  <c r="W267" i="105"/>
  <c r="X267" i="105" s="1"/>
  <c r="W269" i="105"/>
  <c r="X269" i="105" s="1"/>
  <c r="W256" i="105"/>
  <c r="X256" i="105" s="1"/>
  <c r="W328" i="105"/>
  <c r="X328" i="105" s="1"/>
  <c r="W67" i="105"/>
  <c r="X67" i="105" s="1"/>
  <c r="W258" i="105"/>
  <c r="X258" i="105" s="1"/>
  <c r="W271" i="105"/>
  <c r="X271" i="105" s="1"/>
  <c r="W274" i="105"/>
  <c r="X274" i="105" s="1"/>
  <c r="W261" i="105"/>
  <c r="X261" i="105" s="1"/>
  <c r="W318" i="105"/>
  <c r="X318" i="105" s="1"/>
  <c r="M318" i="105" s="1"/>
  <c r="W225" i="105"/>
  <c r="X225" i="105" s="1"/>
  <c r="D25" i="82"/>
  <c r="T25" i="105"/>
  <c r="U25" i="105" s="1"/>
  <c r="M25" i="105" s="1"/>
  <c r="D37" i="82"/>
  <c r="T37" i="105"/>
  <c r="U37" i="105" s="1"/>
  <c r="M37" i="105" s="1"/>
  <c r="D43" i="82"/>
  <c r="T43" i="105"/>
  <c r="U43" i="105" s="1"/>
  <c r="M43" i="105" s="1"/>
  <c r="D64" i="82"/>
  <c r="T65" i="105"/>
  <c r="U65" i="105" s="1"/>
  <c r="M65" i="105" s="1"/>
  <c r="D67" i="82"/>
  <c r="T67" i="105"/>
  <c r="U67" i="105" s="1"/>
  <c r="D73" i="82"/>
  <c r="T73" i="105"/>
  <c r="U73" i="105" s="1"/>
  <c r="M73" i="105" s="1"/>
  <c r="D79" i="82"/>
  <c r="T78" i="105"/>
  <c r="U78" i="105" s="1"/>
  <c r="M78" i="105" s="1"/>
  <c r="D105" i="82"/>
  <c r="W199" i="105"/>
  <c r="X199" i="105" s="1"/>
  <c r="W172" i="105"/>
  <c r="X172" i="105" s="1"/>
  <c r="W197" i="105"/>
  <c r="X197" i="105" s="1"/>
  <c r="W176" i="105"/>
  <c r="X176" i="105" s="1"/>
  <c r="D191" i="82"/>
  <c r="T191" i="105"/>
  <c r="U191" i="105" s="1"/>
  <c r="M191" i="105" s="1"/>
  <c r="D197" i="82"/>
  <c r="T197" i="105"/>
  <c r="U197" i="105" s="1"/>
  <c r="D209" i="82"/>
  <c r="T209" i="105"/>
  <c r="U209" i="105" s="1"/>
  <c r="M209" i="105" s="1"/>
  <c r="D227" i="82"/>
  <c r="T228" i="105"/>
  <c r="U228" i="105" s="1"/>
  <c r="M228" i="105" s="1"/>
  <c r="D239" i="82"/>
  <c r="T240" i="105"/>
  <c r="U240" i="105" s="1"/>
  <c r="M240" i="105" s="1"/>
  <c r="D242" i="82"/>
  <c r="T243" i="105"/>
  <c r="U243" i="105" s="1"/>
  <c r="M243" i="105" s="1"/>
  <c r="D257" i="82"/>
  <c r="T258" i="105"/>
  <c r="U258" i="105" s="1"/>
  <c r="D26" i="82"/>
  <c r="T26" i="105"/>
  <c r="U26" i="105" s="1"/>
  <c r="M26" i="105" s="1"/>
  <c r="D38" i="82"/>
  <c r="T38" i="105"/>
  <c r="U38" i="105" s="1"/>
  <c r="M38" i="105" s="1"/>
  <c r="D44" i="82"/>
  <c r="T44" i="105"/>
  <c r="U44" i="105" s="1"/>
  <c r="M44" i="105" s="1"/>
  <c r="D47" i="82"/>
  <c r="T47" i="105"/>
  <c r="U47" i="105" s="1"/>
  <c r="M47" i="105" s="1"/>
  <c r="D50" i="82"/>
  <c r="T50" i="105"/>
  <c r="U50" i="105" s="1"/>
  <c r="M50" i="105" s="1"/>
  <c r="D56" i="82"/>
  <c r="T56" i="105"/>
  <c r="U56" i="105" s="1"/>
  <c r="M56" i="105" s="1"/>
  <c r="D82" i="82"/>
  <c r="D88" i="82"/>
  <c r="T87" i="105"/>
  <c r="U87" i="105" s="1"/>
  <c r="M87" i="105" s="1"/>
  <c r="D100" i="82"/>
  <c r="T99" i="105"/>
  <c r="U99" i="105" s="1"/>
  <c r="M99" i="105" s="1"/>
  <c r="D129" i="82"/>
  <c r="T130" i="105"/>
  <c r="U130" i="105" s="1"/>
  <c r="M130" i="105" s="1"/>
  <c r="D132" i="82"/>
  <c r="T133" i="105"/>
  <c r="U133" i="105" s="1"/>
  <c r="M133" i="105" s="1"/>
  <c r="D138" i="82"/>
  <c r="T139" i="105"/>
  <c r="U139" i="105" s="1"/>
  <c r="M139" i="105" s="1"/>
  <c r="D68" i="82"/>
  <c r="T68" i="105"/>
  <c r="U68" i="105" s="1"/>
  <c r="D74" i="82"/>
  <c r="T74" i="105"/>
  <c r="U74" i="105" s="1"/>
  <c r="M74" i="105" s="1"/>
  <c r="D80" i="82"/>
  <c r="T79" i="105"/>
  <c r="U79" i="105" s="1"/>
  <c r="M79" i="105" s="1"/>
  <c r="D106" i="82"/>
  <c r="T105" i="105"/>
  <c r="U105" i="105" s="1"/>
  <c r="M105" i="105" s="1"/>
  <c r="D192" i="82"/>
  <c r="T192" i="105"/>
  <c r="U192" i="105" s="1"/>
  <c r="M192" i="105" s="1"/>
  <c r="D198" i="82"/>
  <c r="T198" i="105"/>
  <c r="U198" i="105" s="1"/>
  <c r="D204" i="82"/>
  <c r="T204" i="105"/>
  <c r="U204" i="105" s="1"/>
  <c r="M204" i="105" s="1"/>
  <c r="D210" i="82"/>
  <c r="T210" i="105"/>
  <c r="U210" i="105" s="1"/>
  <c r="M210" i="105" s="1"/>
  <c r="D240" i="82"/>
  <c r="T241" i="105"/>
  <c r="U241" i="105" s="1"/>
  <c r="M241" i="105" s="1"/>
  <c r="D246" i="82"/>
  <c r="T247" i="105"/>
  <c r="U247" i="105" s="1"/>
  <c r="M247" i="105" s="1"/>
  <c r="D258" i="82"/>
  <c r="T259" i="105"/>
  <c r="U259" i="105" s="1"/>
  <c r="D270" i="82"/>
  <c r="T271" i="105"/>
  <c r="U271" i="105" s="1"/>
  <c r="M271" i="105" s="1"/>
  <c r="D273" i="82"/>
  <c r="T274" i="105"/>
  <c r="U274" i="105" s="1"/>
  <c r="D279" i="82"/>
  <c r="T280" i="105"/>
  <c r="U280" i="105" s="1"/>
  <c r="M280" i="105" s="1"/>
  <c r="D285" i="82"/>
  <c r="T286" i="105"/>
  <c r="U286" i="105" s="1"/>
  <c r="M286" i="105" s="1"/>
  <c r="D12" i="82"/>
  <c r="D18" i="82"/>
  <c r="T18" i="105"/>
  <c r="U18" i="105" s="1"/>
  <c r="M18" i="105" s="1"/>
  <c r="D21" i="82"/>
  <c r="T21" i="105"/>
  <c r="U21" i="105" s="1"/>
  <c r="M21" i="105" s="1"/>
  <c r="D27" i="82"/>
  <c r="T27" i="105"/>
  <c r="U27" i="105" s="1"/>
  <c r="M27" i="105" s="1"/>
  <c r="D33" i="82"/>
  <c r="T33" i="105"/>
  <c r="U33" i="105" s="1"/>
  <c r="M33" i="105" s="1"/>
  <c r="D39" i="82"/>
  <c r="T39" i="105"/>
  <c r="U39" i="105" s="1"/>
  <c r="M39" i="105" s="1"/>
  <c r="D45" i="82"/>
  <c r="T45" i="105"/>
  <c r="U45" i="105" s="1"/>
  <c r="M45" i="105" s="1"/>
  <c r="D48" i="82"/>
  <c r="T48" i="105"/>
  <c r="U48" i="105" s="1"/>
  <c r="M48" i="105" s="1"/>
  <c r="D83" i="82"/>
  <c r="T82" i="105"/>
  <c r="U82" i="105" s="1"/>
  <c r="M82" i="105" s="1"/>
  <c r="D86" i="82"/>
  <c r="T85" i="105"/>
  <c r="U85" i="105" s="1"/>
  <c r="M85" i="105" s="1"/>
  <c r="D101" i="82"/>
  <c r="T100" i="105"/>
  <c r="U100" i="105" s="1"/>
  <c r="M100" i="105" s="1"/>
  <c r="M10" i="105"/>
  <c r="W369" i="105"/>
  <c r="X369" i="105" s="1"/>
  <c r="M369" i="105" s="1"/>
  <c r="W124" i="105"/>
  <c r="X124" i="105" s="1"/>
  <c r="W66" i="105"/>
  <c r="X66" i="105" s="1"/>
  <c r="W326" i="105"/>
  <c r="X326" i="105" s="1"/>
  <c r="M326" i="105" s="1"/>
  <c r="W68" i="105"/>
  <c r="X68" i="105" s="1"/>
  <c r="W324" i="105"/>
  <c r="X324" i="105" s="1"/>
  <c r="M324" i="105" s="1"/>
  <c r="W181" i="105"/>
  <c r="X181" i="105" s="1"/>
  <c r="W325" i="105"/>
  <c r="X325" i="105" s="1"/>
  <c r="M325" i="105" s="1"/>
  <c r="D66" i="82"/>
  <c r="T66" i="105"/>
  <c r="U66" i="105" s="1"/>
  <c r="D69" i="82"/>
  <c r="T69" i="105"/>
  <c r="U69" i="105" s="1"/>
  <c r="M69" i="105" s="1"/>
  <c r="D72" i="82"/>
  <c r="T72" i="105"/>
  <c r="U72" i="105" s="1"/>
  <c r="M72" i="105" s="1"/>
  <c r="D75" i="82"/>
  <c r="T75" i="105"/>
  <c r="U75" i="105" s="1"/>
  <c r="M75" i="105" s="1"/>
  <c r="D81" i="82"/>
  <c r="T80" i="105"/>
  <c r="U80" i="105" s="1"/>
  <c r="M80" i="105" s="1"/>
  <c r="M106" i="105"/>
  <c r="D110" i="82"/>
  <c r="T109" i="105"/>
  <c r="U109" i="105" s="1"/>
  <c r="M109" i="105" s="1"/>
  <c r="D113" i="82"/>
  <c r="T112" i="105"/>
  <c r="U112" i="105" s="1"/>
  <c r="M112" i="105" s="1"/>
  <c r="D119" i="82"/>
  <c r="T120" i="105"/>
  <c r="U120" i="105" s="1"/>
  <c r="M120" i="105" s="1"/>
  <c r="W196" i="105"/>
  <c r="X196" i="105" s="1"/>
  <c r="W175" i="105"/>
  <c r="X175" i="105" s="1"/>
  <c r="D187" i="82"/>
  <c r="T187" i="105"/>
  <c r="U187" i="105" s="1"/>
  <c r="M187" i="105" s="1"/>
  <c r="D190" i="82"/>
  <c r="T190" i="105"/>
  <c r="U190" i="105" s="1"/>
  <c r="M190" i="105" s="1"/>
  <c r="D193" i="82"/>
  <c r="T193" i="105"/>
  <c r="U193" i="105" s="1"/>
  <c r="M193" i="105" s="1"/>
  <c r="D196" i="82"/>
  <c r="T196" i="105"/>
  <c r="U196" i="105" s="1"/>
  <c r="D199" i="82"/>
  <c r="T199" i="105"/>
  <c r="U199" i="105" s="1"/>
  <c r="D202" i="82"/>
  <c r="T202" i="105"/>
  <c r="U202" i="105" s="1"/>
  <c r="M202" i="105" s="1"/>
  <c r="D205" i="82"/>
  <c r="T205" i="105"/>
  <c r="U205" i="105" s="1"/>
  <c r="M205" i="105" s="1"/>
  <c r="D214" i="82"/>
  <c r="T214" i="105"/>
  <c r="U214" i="105" s="1"/>
  <c r="D223" i="82"/>
  <c r="T224" i="105"/>
  <c r="U224" i="105" s="1"/>
  <c r="M224" i="105" s="1"/>
  <c r="D226" i="82"/>
  <c r="T227" i="105"/>
  <c r="U227" i="105" s="1"/>
  <c r="M227" i="105" s="1"/>
  <c r="D229" i="82"/>
  <c r="T230" i="105"/>
  <c r="U230" i="105" s="1"/>
  <c r="M230" i="105" s="1"/>
  <c r="D232" i="82"/>
  <c r="T233" i="105"/>
  <c r="U233" i="105" s="1"/>
  <c r="M233" i="105" s="1"/>
  <c r="D238" i="82"/>
  <c r="T239" i="105"/>
  <c r="U239" i="105" s="1"/>
  <c r="M239" i="105" s="1"/>
  <c r="D241" i="82"/>
  <c r="T242" i="105"/>
  <c r="U242" i="105" s="1"/>
  <c r="M242" i="105" s="1"/>
  <c r="D244" i="82"/>
  <c r="T245" i="105"/>
  <c r="U245" i="105" s="1"/>
  <c r="M245" i="105" s="1"/>
  <c r="D247" i="82"/>
  <c r="T248" i="105"/>
  <c r="U248" i="105" s="1"/>
  <c r="M248" i="105" s="1"/>
  <c r="D253" i="82"/>
  <c r="T254" i="105"/>
  <c r="U254" i="105" s="1"/>
  <c r="D256" i="82"/>
  <c r="T257" i="105"/>
  <c r="U257" i="105" s="1"/>
  <c r="D259" i="82"/>
  <c r="T260" i="105"/>
  <c r="U260" i="105" s="1"/>
  <c r="D268" i="82"/>
  <c r="T269" i="105"/>
  <c r="U269" i="105" s="1"/>
  <c r="D271" i="82"/>
  <c r="T272" i="105"/>
  <c r="U272" i="105" s="1"/>
  <c r="D274" i="82"/>
  <c r="T275" i="105"/>
  <c r="U275" i="105" s="1"/>
  <c r="M275" i="105" s="1"/>
  <c r="D280" i="82"/>
  <c r="T281" i="105"/>
  <c r="U281" i="105" s="1"/>
  <c r="M281" i="105" s="1"/>
  <c r="D286" i="82"/>
  <c r="T287" i="105"/>
  <c r="U287" i="105" s="1"/>
  <c r="M287" i="105" s="1"/>
  <c r="D292" i="82"/>
  <c r="T293" i="105"/>
  <c r="U293" i="105" s="1"/>
  <c r="M293" i="105" s="1"/>
  <c r="D295" i="82"/>
  <c r="T296" i="105"/>
  <c r="U296" i="105" s="1"/>
  <c r="M296" i="105" s="1"/>
  <c r="D301" i="82"/>
  <c r="T302" i="105"/>
  <c r="U302" i="105" s="1"/>
  <c r="M302" i="105" s="1"/>
  <c r="M144" i="105"/>
  <c r="M147" i="105"/>
  <c r="M150" i="105"/>
  <c r="D161" i="82"/>
  <c r="T162" i="105"/>
  <c r="U162" i="105" s="1"/>
  <c r="M162" i="105" s="1"/>
  <c r="D170" i="82"/>
  <c r="T171" i="105"/>
  <c r="U171" i="105" s="1"/>
  <c r="M171" i="105" s="1"/>
  <c r="D173" i="82"/>
  <c r="T174" i="105"/>
  <c r="U174" i="105" s="1"/>
  <c r="D176" i="82"/>
  <c r="T177" i="105"/>
  <c r="U177" i="105" s="1"/>
  <c r="M177" i="105" s="1"/>
  <c r="D179" i="82"/>
  <c r="T179" i="105"/>
  <c r="U179" i="105" s="1"/>
  <c r="M179" i="105" s="1"/>
  <c r="D182" i="82"/>
  <c r="T182" i="105"/>
  <c r="U182" i="105" s="1"/>
  <c r="M182" i="105" s="1"/>
  <c r="D185" i="82"/>
  <c r="T185" i="105"/>
  <c r="U185" i="105" s="1"/>
  <c r="M185" i="105" s="1"/>
  <c r="W198" i="105"/>
  <c r="X198" i="105" s="1"/>
  <c r="W174" i="105"/>
  <c r="X174" i="105" s="1"/>
  <c r="W255" i="105"/>
  <c r="X255" i="105" s="1"/>
  <c r="W268" i="105"/>
  <c r="X268" i="105" s="1"/>
  <c r="W257" i="105"/>
  <c r="X257" i="105" s="1"/>
  <c r="W270" i="105"/>
  <c r="X270" i="105" s="1"/>
  <c r="W259" i="105"/>
  <c r="X259" i="105" s="1"/>
  <c r="W272" i="105"/>
  <c r="X272" i="105" s="1"/>
  <c r="D307" i="82"/>
  <c r="T308" i="105"/>
  <c r="U308" i="105" s="1"/>
  <c r="M308" i="105" s="1"/>
  <c r="E101" i="104"/>
  <c r="E58" i="104"/>
  <c r="E12" i="104"/>
  <c r="E23" i="104"/>
  <c r="E34" i="104"/>
  <c r="E60" i="104"/>
  <c r="E41" i="104"/>
  <c r="E38" i="104"/>
  <c r="E43" i="104"/>
  <c r="E68" i="104"/>
  <c r="E194" i="104"/>
  <c r="E185" i="104"/>
  <c r="E132" i="104"/>
  <c r="E131" i="104"/>
  <c r="E174" i="104"/>
  <c r="E121" i="104"/>
  <c r="E135" i="104"/>
  <c r="E138" i="104"/>
  <c r="E181" i="104"/>
  <c r="E18" i="104"/>
  <c r="E114" i="104"/>
  <c r="E96" i="104"/>
  <c r="E103" i="104"/>
  <c r="E106" i="104"/>
  <c r="E108" i="104"/>
  <c r="E111" i="104"/>
  <c r="E143" i="104"/>
  <c r="E178" i="104"/>
  <c r="E129" i="104"/>
  <c r="E140" i="104"/>
  <c r="E14" i="104"/>
  <c r="E15" i="104"/>
  <c r="E113" i="104"/>
  <c r="E95" i="104"/>
  <c r="E10" i="104"/>
  <c r="E40" i="104"/>
  <c r="E52" i="104"/>
  <c r="E37" i="104"/>
  <c r="E56" i="104"/>
  <c r="E49" i="104"/>
  <c r="E100" i="104"/>
  <c r="E115" i="104"/>
  <c r="E117" i="104"/>
  <c r="E124" i="104"/>
  <c r="E125" i="104"/>
  <c r="E176" i="104"/>
  <c r="E126" i="104"/>
  <c r="E180" i="104"/>
  <c r="E27" i="104"/>
  <c r="E21" i="104"/>
  <c r="E25" i="104"/>
  <c r="E24" i="104"/>
  <c r="E54" i="104"/>
  <c r="E50" i="104"/>
  <c r="E48" i="104"/>
  <c r="E47" i="104"/>
  <c r="E46" i="104"/>
  <c r="E30" i="104"/>
  <c r="E65" i="104"/>
  <c r="E44" i="104"/>
  <c r="E82" i="104"/>
  <c r="E109" i="104"/>
  <c r="E112" i="104"/>
  <c r="E33" i="104"/>
  <c r="E31" i="104"/>
  <c r="E32" i="104"/>
  <c r="E53" i="104"/>
  <c r="E57" i="104"/>
  <c r="E59" i="104"/>
  <c r="E39" i="104"/>
  <c r="E35" i="104"/>
  <c r="E186" i="104"/>
  <c r="E195" i="104"/>
  <c r="E120" i="104"/>
  <c r="E17" i="104"/>
  <c r="E110" i="104"/>
  <c r="E91" i="104"/>
  <c r="E93" i="104"/>
  <c r="E66" i="104"/>
  <c r="E116" i="104"/>
  <c r="E118" i="104"/>
  <c r="E134" i="104"/>
  <c r="E128" i="104"/>
  <c r="E141" i="104"/>
  <c r="E123" i="104"/>
  <c r="E119" i="104"/>
  <c r="E133" i="104"/>
  <c r="E136" i="104"/>
  <c r="E11" i="104"/>
  <c r="E55" i="104"/>
  <c r="E51" i="104"/>
  <c r="E61" i="104"/>
  <c r="E45" i="104"/>
  <c r="E229" i="104"/>
  <c r="E142" i="104"/>
  <c r="E19" i="104"/>
  <c r="E99" i="104"/>
  <c r="E97" i="104"/>
  <c r="E102" i="104"/>
  <c r="E105" i="104"/>
  <c r="E107" i="104"/>
  <c r="E130" i="104"/>
  <c r="E175" i="104"/>
  <c r="E233" i="104"/>
  <c r="E232" i="104"/>
  <c r="E231" i="104"/>
  <c r="E230" i="104"/>
  <c r="E139" i="104"/>
  <c r="E8" i="104"/>
  <c r="E104" i="104"/>
  <c r="E137" i="104"/>
  <c r="E177" i="104"/>
  <c r="E127" i="104"/>
  <c r="E179" i="104"/>
  <c r="E122" i="104"/>
  <c r="E16" i="104"/>
  <c r="E28" i="104"/>
  <c r="E98" i="104"/>
  <c r="E90" i="104"/>
  <c r="E92" i="104"/>
  <c r="E94" i="104"/>
  <c r="E13" i="104"/>
  <c r="E20" i="104"/>
  <c r="E22" i="104"/>
  <c r="E26" i="104"/>
  <c r="E29" i="104"/>
  <c r="E42" i="104"/>
  <c r="E62" i="104"/>
  <c r="E64" i="104"/>
  <c r="E36" i="104"/>
  <c r="E67" i="104"/>
  <c r="E63" i="104"/>
  <c r="E81" i="104"/>
  <c r="E187" i="104"/>
  <c r="Q328" i="105" s="1"/>
  <c r="E196" i="104"/>
  <c r="D108" i="82"/>
  <c r="N3" i="19"/>
  <c r="D126" i="82"/>
  <c r="D168" i="82"/>
  <c r="D159" i="82"/>
  <c r="D102" i="82"/>
  <c r="D184" i="82"/>
  <c r="D51" i="82"/>
  <c r="D57" i="82"/>
  <c r="D61" i="82"/>
  <c r="D89" i="82"/>
  <c r="D133" i="82"/>
  <c r="D137" i="82"/>
  <c r="D70" i="82"/>
  <c r="D92" i="82"/>
  <c r="D53" i="82"/>
  <c r="D55" i="82"/>
  <c r="D63" i="82"/>
  <c r="D131" i="82"/>
  <c r="D135" i="82"/>
  <c r="D139" i="82"/>
  <c r="D165" i="82"/>
  <c r="D180" i="82"/>
  <c r="D221" i="82"/>
  <c r="D107" i="82"/>
  <c r="D112" i="82"/>
  <c r="D114" i="82"/>
  <c r="D116" i="82"/>
  <c r="D118" i="82"/>
  <c r="D85" i="82"/>
  <c r="D130" i="82"/>
  <c r="D172" i="82"/>
  <c r="D228" i="82"/>
  <c r="D13" i="82"/>
  <c r="D15" i="82"/>
  <c r="D17" i="82"/>
  <c r="D19" i="82"/>
  <c r="D140" i="82"/>
  <c r="D142" i="82"/>
  <c r="D144" i="82"/>
  <c r="D146" i="82"/>
  <c r="D148" i="82"/>
  <c r="D150" i="82"/>
  <c r="D152" i="82"/>
  <c r="D154" i="82"/>
  <c r="D156" i="82"/>
  <c r="D158" i="82"/>
  <c r="D10" i="82"/>
  <c r="D141" i="82"/>
  <c r="D143" i="82"/>
  <c r="D145" i="82"/>
  <c r="D147" i="82"/>
  <c r="D149" i="82"/>
  <c r="D151" i="82"/>
  <c r="D153" i="82"/>
  <c r="D155" i="82"/>
  <c r="D157" i="82"/>
  <c r="E191" i="104"/>
  <c r="M199" i="105" l="1"/>
  <c r="E29" i="107"/>
  <c r="F29" i="107" s="1"/>
  <c r="B50" i="107"/>
  <c r="M269" i="105"/>
  <c r="M30" i="105"/>
  <c r="M272" i="105"/>
  <c r="M274" i="105"/>
  <c r="M260" i="105"/>
  <c r="M197" i="105"/>
  <c r="M176" i="105"/>
  <c r="M214" i="105"/>
  <c r="M196" i="105"/>
  <c r="M198" i="105"/>
  <c r="M261" i="105"/>
  <c r="M174" i="105"/>
  <c r="M172" i="105"/>
  <c r="M270" i="105"/>
  <c r="M161" i="105"/>
  <c r="M255" i="105"/>
  <c r="M257" i="105"/>
  <c r="M258" i="105"/>
  <c r="M181" i="105"/>
  <c r="M256" i="105"/>
  <c r="M207" i="105"/>
  <c r="M225" i="105"/>
  <c r="M267" i="105"/>
  <c r="M254" i="105"/>
  <c r="M268" i="105"/>
  <c r="M124" i="105"/>
  <c r="M175" i="105"/>
  <c r="M273" i="105"/>
  <c r="M259" i="105"/>
  <c r="O328" i="105"/>
  <c r="L328" i="105"/>
  <c r="U328" i="105"/>
  <c r="M328" i="105" s="1"/>
  <c r="E200" i="104"/>
  <c r="E198" i="104"/>
  <c r="E189" i="104"/>
  <c r="E193" i="104"/>
  <c r="E184" i="104"/>
  <c r="E9" i="104"/>
  <c r="E183" i="104"/>
  <c r="E199" i="104"/>
  <c r="E190" i="104"/>
  <c r="E197" i="104"/>
  <c r="E188" i="104"/>
  <c r="B52" i="107" l="1"/>
  <c r="E30" i="107"/>
  <c r="F30" i="107" s="1"/>
  <c r="AI150" i="105"/>
  <c r="AI151" i="105"/>
  <c r="AI161" i="105"/>
  <c r="AI153" i="105"/>
  <c r="AI163" i="105"/>
  <c r="AI148" i="105"/>
  <c r="AI157" i="105"/>
  <c r="E31" i="107" l="1"/>
  <c r="F31" i="107" s="1"/>
  <c r="B54" i="107"/>
  <c r="E32" i="107" l="1"/>
  <c r="F32" i="107" s="1"/>
  <c r="B56" i="107"/>
  <c r="E33" i="107" l="1"/>
  <c r="F33" i="107" s="1"/>
  <c r="B58" i="107"/>
  <c r="B60" i="107" l="1"/>
  <c r="E34" i="107"/>
  <c r="F34" i="107" s="1"/>
  <c r="E35" i="107" l="1"/>
  <c r="F35" i="107" s="1"/>
  <c r="B62" i="107"/>
  <c r="B64" i="107" l="1"/>
  <c r="E36" i="107"/>
  <c r="F36" i="107" s="1"/>
  <c r="E37" i="107" l="1"/>
  <c r="F37" i="107" s="1"/>
  <c r="B66" i="107"/>
  <c r="B68" i="107" l="1"/>
  <c r="E38" i="107"/>
  <c r="F38" i="107" s="1"/>
  <c r="B70" i="107" l="1"/>
  <c r="E39" i="107"/>
  <c r="F39" i="107" s="1"/>
  <c r="E40" i="107" l="1"/>
  <c r="F40" i="107" s="1"/>
  <c r="B72" i="107"/>
  <c r="E41" i="107" l="1"/>
  <c r="F41" i="107" s="1"/>
  <c r="E42" i="107" l="1"/>
  <c r="F42" i="107" s="1"/>
  <c r="E43" i="107" l="1"/>
  <c r="F43" i="107" s="1"/>
  <c r="E44" i="107" l="1"/>
  <c r="F44" i="107" s="1"/>
  <c r="E45" i="107" l="1"/>
  <c r="F45" i="107" s="1"/>
  <c r="E46" i="107" l="1"/>
  <c r="F46" i="107" s="1"/>
  <c r="E47" i="107" l="1"/>
  <c r="F47" i="107" s="1"/>
  <c r="E48" i="107" l="1"/>
  <c r="F48" i="107" s="1"/>
  <c r="E49" i="107" l="1"/>
  <c r="F49" i="107" s="1"/>
  <c r="E50" i="107" l="1"/>
  <c r="F50" i="107" s="1"/>
  <c r="E51" i="107" l="1"/>
  <c r="F51" i="107" s="1"/>
  <c r="E52" i="107" l="1"/>
  <c r="F52" i="107" s="1"/>
  <c r="E53" i="107" l="1"/>
  <c r="F53" i="107" s="1"/>
  <c r="E54" i="107" l="1"/>
  <c r="F54" i="107" s="1"/>
  <c r="E55" i="107" l="1"/>
  <c r="F55" i="107" s="1"/>
  <c r="E56" i="107" l="1"/>
  <c r="F56" i="107" s="1"/>
  <c r="E57" i="107" l="1"/>
  <c r="F57" i="107" s="1"/>
  <c r="E58" i="107" l="1"/>
  <c r="F58" i="107" s="1"/>
  <c r="E59" i="107" l="1"/>
  <c r="F59" i="107" s="1"/>
  <c r="E60" i="107" l="1"/>
  <c r="F60" i="107" s="1"/>
  <c r="E61" i="107" l="1"/>
  <c r="F61" i="107" s="1"/>
  <c r="E62" i="107" l="1"/>
  <c r="F62" i="107" s="1"/>
  <c r="E63" i="107" l="1"/>
  <c r="F63" i="107" s="1"/>
  <c r="E64" i="107" l="1"/>
  <c r="F64" i="107" s="1"/>
  <c r="E65" i="107" l="1"/>
  <c r="F65" i="107" s="1"/>
  <c r="E66" i="107" l="1"/>
  <c r="F66" i="107" s="1"/>
  <c r="E67" i="107" l="1"/>
  <c r="F67" i="107" s="1"/>
  <c r="E68" i="107" l="1"/>
  <c r="F68" i="107" s="1"/>
  <c r="E69" i="107" l="1"/>
  <c r="F69" i="107" s="1"/>
  <c r="E70" i="107" l="1"/>
  <c r="F70" i="107" s="1"/>
  <c r="E71" i="107" l="1"/>
  <c r="F71" i="107" s="1"/>
  <c r="E72" i="107" l="1"/>
  <c r="F72" i="107" s="1"/>
  <c r="E73" i="107" l="1"/>
  <c r="F73" i="10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D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Papelera 9 de Julio. El resto, Vihal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D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D190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D242" authorId="0" shapeId="0" xr:uid="{15861E96-3159-47F1-8ABF-340833DDEE3F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van con corbata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Damian</author>
    <author>Compras</author>
    <author>Recepcion</author>
    <author>Logistica2</author>
    <author>Logistica1</author>
  </authors>
  <commentList>
    <comment ref="M9" authorId="0" shapeId="0" xr:uid="{17B0F5AE-F9E7-4B01-ABA5-EBDAF949D04C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G13" authorId="0" shapeId="0" xr:uid="{97607BE8-ADEC-4B4B-A82F-C2501DAACF83}">
      <text>
        <r>
          <rPr>
            <b/>
            <sz val="9"/>
            <color indexed="81"/>
            <rFont val="Tahoma"/>
            <family val="2"/>
          </rPr>
          <t>Damian:</t>
        </r>
        <r>
          <rPr>
            <sz val="9"/>
            <color indexed="81"/>
            <rFont val="Tahoma"/>
            <family val="2"/>
          </rPr>
          <t xml:space="preserve">
Troquel 6 manijas 6 mariposas</t>
        </r>
      </text>
    </comment>
    <comment ref="G35" authorId="1" shapeId="0" xr:uid="{B5AA1498-B975-4C30-AD7E-BD60A901526F}">
      <text>
        <r>
          <rPr>
            <b/>
            <sz val="9"/>
            <color indexed="81"/>
            <rFont val="Tahoma"/>
            <family val="2"/>
          </rPr>
          <t>Compras:</t>
        </r>
        <r>
          <rPr>
            <sz val="9"/>
            <color indexed="81"/>
            <rFont val="Tahoma"/>
            <family val="2"/>
          </rPr>
          <t xml:space="preserve">
Deberia ser utensilios, no corta torta</t>
        </r>
      </text>
    </comment>
    <comment ref="M63" authorId="0" shapeId="0" xr:uid="{BADE5979-51B9-4A7C-A60C-18693187087C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M95" authorId="0" shapeId="0" xr:uid="{8E8B43E9-8574-4B50-9420-614DD9475CA2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M119" authorId="0" shapeId="0" xr:uid="{FCC70008-7B2F-4050-B328-E2B733F77D1E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M123" authorId="0" shapeId="0" xr:uid="{1FF9A3FF-4D61-46DE-A567-B15F9172BF1E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M128" authorId="0" shapeId="0" xr:uid="{18D29485-B36D-4E2C-A91C-69B7367DF38F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M170" authorId="0" shapeId="0" xr:uid="{09557A5D-0852-4126-BB91-5ED33ED4D553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AE177" authorId="2" shapeId="0" xr:uid="{CD8021EC-0761-4046-8E0E-88BEB8B53F93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AE180" authorId="2" shapeId="0" xr:uid="{9EF530F7-7AA0-4292-ACDD-9F251FFDE5C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G182" authorId="3" shapeId="0" xr:uid="{0B5B278E-BC62-4203-A153-065A19DDD977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E182" authorId="2" shapeId="0" xr:uid="{DB395D31-9421-4178-ACF9-B28CD72F14C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G183" authorId="3" shapeId="0" xr:uid="{5155DDC0-65C0-461E-90DE-831EB034F96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E183" authorId="2" shapeId="0" xr:uid="{C94341A6-F9D3-4B77-BD23-187A0C4C966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AE184" authorId="2" shapeId="0" xr:uid="{EC918E85-EDC1-4C91-9276-4B345987FFE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AE185" authorId="2" shapeId="0" xr:uid="{B61C87F1-A639-41EE-A76E-5E4B1DEBDD0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AE186" authorId="2" shapeId="0" xr:uid="{931BB525-7C03-45DB-8C33-36FD0C416E6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AE187" authorId="2" shapeId="0" xr:uid="{6697B5E9-B73F-4FEB-931B-63727F8B4CC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AE188" authorId="2" shapeId="0" xr:uid="{01318FB5-6518-4239-B478-CE474DB2E197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AE189" authorId="2" shapeId="0" xr:uid="{DBDFA801-BAA3-4851-AC03-C49D722C50B6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E190" authorId="2" shapeId="0" xr:uid="{26F7FC96-8B8B-437A-8DCF-DAD0D1F7C49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G191" authorId="3" shapeId="0" xr:uid="{4F8602B5-9CA5-4416-A7E1-88A10F904CC8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E191" authorId="2" shapeId="0" xr:uid="{A276EBCF-10C0-4A61-A484-92EBB56C077B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E192" authorId="2" shapeId="0" xr:uid="{E5A67A1D-9F33-44B7-8B10-92264D465E9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AE193" authorId="2" shapeId="0" xr:uid="{13E0D52E-914A-4CB4-90C4-C3D81CF748C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AE194" authorId="2" shapeId="0" xr:uid="{AFF4B5ED-6231-48F6-9F91-4E89551FE16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E196" authorId="2" shapeId="0" xr:uid="{E8B13412-ED33-4B6C-9E81-55D9241C8C84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AE197" authorId="2" shapeId="0" xr:uid="{F15C0631-E5C0-42F5-BF5E-4186AEBBC538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E199" authorId="2" shapeId="0" xr:uid="{19F4DDAD-29C9-45F9-B46D-9CA10ED2FE60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AE201" authorId="2" shapeId="0" xr:uid="{42281CEC-65DD-4DF3-8A78-0AFB0B70CD0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AE202" authorId="2" shapeId="0" xr:uid="{6F496573-543A-4C64-A042-6D96740CFEF5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AE205" authorId="2" shapeId="0" xr:uid="{B3B98A30-52E0-4F24-B48F-5E1768D0AE4F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AE207" authorId="2" shapeId="0" xr:uid="{C726C706-E521-4813-9895-76B56690C3DD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M217" authorId="0" shapeId="0" xr:uid="{B1D9995F-91D4-418C-97E4-24A6899A4E7A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AE219" authorId="2" shapeId="0" xr:uid="{C820D481-E21A-43E1-92E1-02A1D0A828C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270</t>
        </r>
      </text>
    </comment>
    <comment ref="M223" authorId="0" shapeId="0" xr:uid="{36432BEF-BFAA-49EE-9B33-74FDFADD7048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M236" authorId="0" shapeId="0" xr:uid="{AA9031A9-8DF9-4B29-8E4C-0655FEE53B65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G256" authorId="3" shapeId="0" xr:uid="{E43C1459-60FD-4CDD-B8BC-5505C97B4AF4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G269" authorId="3" shapeId="0" xr:uid="{B6A42F5C-3BE1-4072-B536-FE819D764573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P286" authorId="3" shapeId="0" xr:uid="{9852F2A0-50AF-443F-97B9-4A00B5E1B1BA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Maximo para 4 meses</t>
        </r>
      </text>
    </comment>
    <comment ref="AF287" authorId="4" shapeId="0" xr:uid="{90BF0C40-06F9-4BAB-BBF1-204B49045A0F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55000 lk y ch
</t>
        </r>
      </text>
    </comment>
    <comment ref="AG308" authorId="1" shapeId="0" xr:uid="{78173B45-EAC8-4616-BD02-93EAAC400E9F}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G309" authorId="1" shapeId="0" xr:uid="{E18B6208-4F4A-43BA-8D8E-46AEEE3156F2}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G310" authorId="1" shapeId="0" xr:uid="{B7D73DC3-B9FB-4C9A-B407-7DFF1E31EED7}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G311" authorId="1" shapeId="0" xr:uid="{8265FCE5-6748-4632-9EBD-039EE1798BE3}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G312" authorId="1" shapeId="0" xr:uid="{2D1FCF6B-4042-4099-B707-CBCD71731272}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Damian</author>
    <author>Logistica2</author>
    <author>Recepcion</author>
  </authors>
  <commentList>
    <comment ref="M42" authorId="0" shapeId="0" xr:uid="{F5FB5050-8AD4-43B9-812B-FBE34426CECB}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G45" authorId="0" shapeId="0" xr:uid="{36CBDE49-59AB-416E-BB49-865618A6FB86}">
      <text>
        <r>
          <rPr>
            <b/>
            <sz val="9"/>
            <color indexed="81"/>
            <rFont val="Tahoma"/>
            <family val="2"/>
          </rPr>
          <t>Damian:</t>
        </r>
        <r>
          <rPr>
            <sz val="9"/>
            <color indexed="81"/>
            <rFont val="Tahoma"/>
            <family val="2"/>
          </rPr>
          <t xml:space="preserve">
Troquel 6 manijas 6 mariposas</t>
        </r>
      </text>
    </comment>
    <comment ref="G65" authorId="1" shapeId="0" xr:uid="{050D3DF4-1A5D-478B-9490-20E9E9EB81E8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AE78" authorId="2" shapeId="0" xr:uid="{8302577B-9553-4B57-AC2F-664F74B32E6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AE80" authorId="2" shapeId="0" xr:uid="{B967E7AA-0E99-482A-993B-54232ED22B7C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AE81" authorId="2" shapeId="0" xr:uid="{3A48BB62-1586-42B3-8D52-4E11677C758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E83" authorId="2" shapeId="0" xr:uid="{D8A37E9C-5124-45FF-BD6A-312E630AFD4A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AE84" authorId="2" shapeId="0" xr:uid="{57902E74-6795-4F39-BBE8-0DDA268B143E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AE86" authorId="2" shapeId="0" xr:uid="{C2C0F9AE-C977-475E-91ED-B55AFAE293A1}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C149" authorId="0" shapeId="0" xr:uid="{C344C144-7880-495E-83D4-1013E5A50CBA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50" authorId="0" shapeId="0" xr:uid="{3340762C-1B1B-4A42-AC99-09C71ECBDB84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58" authorId="0" shapeId="0" xr:uid="{EF1F2C69-E1BE-4DE2-AC3F-ACEE2277D009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8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C194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C202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Papelera 9 de Julio. El resto, Vihal</t>
        </r>
      </text>
    </comment>
    <comment ref="D212" authorId="0" shapeId="0" xr:uid="{00000000-0006-0000-0C00-000004000000}">
      <text>
        <r>
          <rPr>
            <b/>
            <sz val="14"/>
            <color indexed="81"/>
            <rFont val="Tahoma"/>
            <family val="2"/>
          </rPr>
          <t>Logistica2:</t>
        </r>
        <r>
          <rPr>
            <sz val="14"/>
            <color indexed="81"/>
            <rFont val="Tahoma"/>
            <family val="2"/>
          </rPr>
          <t xml:space="preserve">
Sector Virgilio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C9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van con corbata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<sst xmlns="http://schemas.openxmlformats.org/spreadsheetml/2006/main" count="8742" uniqueCount="1830">
  <si>
    <t>G</t>
  </si>
  <si>
    <t>MAX</t>
  </si>
  <si>
    <t>F</t>
  </si>
  <si>
    <t>E</t>
  </si>
  <si>
    <t>D</t>
  </si>
  <si>
    <t>C</t>
  </si>
  <si>
    <t>B</t>
  </si>
  <si>
    <t>025</t>
  </si>
  <si>
    <t>026</t>
  </si>
  <si>
    <t>027</t>
  </si>
  <si>
    <t>029</t>
  </si>
  <si>
    <t>030</t>
  </si>
  <si>
    <t>057</t>
  </si>
  <si>
    <t xml:space="preserve">MAX </t>
  </si>
  <si>
    <t>BANDI.</t>
  </si>
  <si>
    <t>CORBA.</t>
  </si>
  <si>
    <t>UTENS.</t>
  </si>
  <si>
    <t>STOCK</t>
  </si>
  <si>
    <t>FECHA</t>
  </si>
  <si>
    <t>COD.</t>
  </si>
  <si>
    <t>ART.</t>
  </si>
  <si>
    <t>025D</t>
  </si>
  <si>
    <t xml:space="preserve">COLADOR N°7                        </t>
  </si>
  <si>
    <t>026D</t>
  </si>
  <si>
    <t xml:space="preserve">COLADOR N°8                        </t>
  </si>
  <si>
    <t>027D</t>
  </si>
  <si>
    <t xml:space="preserve">COLADOR N°10                       </t>
  </si>
  <si>
    <t>029D</t>
  </si>
  <si>
    <t xml:space="preserve">COLADOR N°16                       </t>
  </si>
  <si>
    <t>030D</t>
  </si>
  <si>
    <t xml:space="preserve">COLADOR N°20                       </t>
  </si>
  <si>
    <t>057D</t>
  </si>
  <si>
    <t>DESTAPA CORONA X1 CROMADO</t>
  </si>
  <si>
    <t>229D</t>
  </si>
  <si>
    <t xml:space="preserve">ÑOQUERA MADERA                     </t>
  </si>
  <si>
    <t>315D</t>
  </si>
  <si>
    <t xml:space="preserve">PISA PAPAS ACERO INOX              </t>
  </si>
  <si>
    <t>320D</t>
  </si>
  <si>
    <t xml:space="preserve">RALLADOR 1/2 CAÑA                  </t>
  </si>
  <si>
    <t>321D</t>
  </si>
  <si>
    <t xml:space="preserve">RALLADOR CILINDRICO                </t>
  </si>
  <si>
    <t>325D</t>
  </si>
  <si>
    <t xml:space="preserve">ESPATULA REPOSTERA PLAST 1 PZA     </t>
  </si>
  <si>
    <t>333D</t>
  </si>
  <si>
    <t xml:space="preserve">espumadera ac.inox.                </t>
  </si>
  <si>
    <t>395D</t>
  </si>
  <si>
    <t xml:space="preserve">DESCORAZONADOR DE MANZANA          </t>
  </si>
  <si>
    <t>396D</t>
  </si>
  <si>
    <t xml:space="preserve">ENRULADOR DE MANTECA               </t>
  </si>
  <si>
    <t>477D</t>
  </si>
  <si>
    <t xml:space="preserve">AFLOJA TAPITA            </t>
  </si>
  <si>
    <t>499D</t>
  </si>
  <si>
    <t xml:space="preserve">DESTAPADOR PIE COLOR     </t>
  </si>
  <si>
    <t>500D</t>
  </si>
  <si>
    <t xml:space="preserve">ABRELATA UÑA PIE COLOR   </t>
  </si>
  <si>
    <t>501D</t>
  </si>
  <si>
    <t xml:space="preserve">ABRELATAS A MANIJA                 </t>
  </si>
  <si>
    <t>502D</t>
  </si>
  <si>
    <t xml:space="preserve">ABRELATAS A MARIPOSA               </t>
  </si>
  <si>
    <t>504D</t>
  </si>
  <si>
    <t xml:space="preserve">AFILA CUCHILLOS                    </t>
  </si>
  <si>
    <t>505D</t>
  </si>
  <si>
    <t xml:space="preserve">PELADOR MGO PLASTICO               </t>
  </si>
  <si>
    <t>506D</t>
  </si>
  <si>
    <t xml:space="preserve">ABRELATAS UÑA                      </t>
  </si>
  <si>
    <t>507D</t>
  </si>
  <si>
    <t xml:space="preserve">ROMPENUECES                        </t>
  </si>
  <si>
    <t>508D</t>
  </si>
  <si>
    <t xml:space="preserve">SACAFUENTES ARTICULADO             </t>
  </si>
  <si>
    <t>511D</t>
  </si>
  <si>
    <t xml:space="preserve">3 EN 1                             </t>
  </si>
  <si>
    <t>512D</t>
  </si>
  <si>
    <t xml:space="preserve">ABRELATAS A MARIPOSA PLASTICA      </t>
  </si>
  <si>
    <t>513D</t>
  </si>
  <si>
    <t xml:space="preserve">PELADOR MGO METALICO               </t>
  </si>
  <si>
    <t>517D</t>
  </si>
  <si>
    <t xml:space="preserve">PINZA GASTRONOMICA                 </t>
  </si>
  <si>
    <t>519D</t>
  </si>
  <si>
    <t xml:space="preserve">CUCHILLO DE UNTAR x 2              </t>
  </si>
  <si>
    <t>520D</t>
  </si>
  <si>
    <t xml:space="preserve">SACACORCHO TIPO MOZO CROMADO       </t>
  </si>
  <si>
    <t>521D</t>
  </si>
  <si>
    <t xml:space="preserve">SACACORCHO COMBINADO CROMADO       </t>
  </si>
  <si>
    <t>522D</t>
  </si>
  <si>
    <t xml:space="preserve">SACACORCHO CUSTOM                  </t>
  </si>
  <si>
    <t>523D</t>
  </si>
  <si>
    <t xml:space="preserve">SACACORCHO DOBLE ALETA             </t>
  </si>
  <si>
    <t>524D</t>
  </si>
  <si>
    <t xml:space="preserve">SACACORCHO DE ESPUMANTES           </t>
  </si>
  <si>
    <t>525D</t>
  </si>
  <si>
    <t xml:space="preserve">SACACORCHO CABO MADERA             </t>
  </si>
  <si>
    <t>526D</t>
  </si>
  <si>
    <t xml:space="preserve">SACACORCHO DOBLE ALETA LUXE        </t>
  </si>
  <si>
    <t>530D</t>
  </si>
  <si>
    <t xml:space="preserve">SACACORCHO TIPO MOZO COLOR         </t>
  </si>
  <si>
    <t>531D</t>
  </si>
  <si>
    <t xml:space="preserve">SACACORCHO COMBINADO COLOR         </t>
  </si>
  <si>
    <t>532D</t>
  </si>
  <si>
    <t xml:space="preserve">CUCHARA DE HELADO                  </t>
  </si>
  <si>
    <t>537D</t>
  </si>
  <si>
    <t xml:space="preserve">PELA Y PICA AJO DE ACERO           </t>
  </si>
  <si>
    <t>542D</t>
  </si>
  <si>
    <t xml:space="preserve">AHUECA PAPAS                       </t>
  </si>
  <si>
    <t>543D</t>
  </si>
  <si>
    <t xml:space="preserve">AHUECA FRUTAS                      </t>
  </si>
  <si>
    <t>544D</t>
  </si>
  <si>
    <t xml:space="preserve">BATIDOR PERA ALAMBRE               </t>
  </si>
  <si>
    <t>546D</t>
  </si>
  <si>
    <t xml:space="preserve">CORTA QUESO                        </t>
  </si>
  <si>
    <t>547D</t>
  </si>
  <si>
    <t xml:space="preserve">CORTA TORTA                        </t>
  </si>
  <si>
    <t>548D</t>
  </si>
  <si>
    <t xml:space="preserve">PINCEL PASTELERO                   </t>
  </si>
  <si>
    <t>559D</t>
  </si>
  <si>
    <t xml:space="preserve">CORTA RAVIOLES                     </t>
  </si>
  <si>
    <t>560D</t>
  </si>
  <si>
    <t xml:space="preserve">PINZA CHICA                        </t>
  </si>
  <si>
    <t>561D</t>
  </si>
  <si>
    <t xml:space="preserve">PINZA GRANDE                       </t>
  </si>
  <si>
    <t>562D</t>
  </si>
  <si>
    <t xml:space="preserve">CORTA PIZZA                        </t>
  </si>
  <si>
    <t>563D</t>
  </si>
  <si>
    <t xml:space="preserve">PINZA DE HAMBURGUESAS              </t>
  </si>
  <si>
    <t>565D</t>
  </si>
  <si>
    <t xml:space="preserve">PINZA DE HIELO                     </t>
  </si>
  <si>
    <t>570D</t>
  </si>
  <si>
    <t xml:space="preserve">PALA DE CANELONES                  </t>
  </si>
  <si>
    <t>575D</t>
  </si>
  <si>
    <t>TAPON DE VINO/CERV X1  NE</t>
  </si>
  <si>
    <t>577D</t>
  </si>
  <si>
    <t>TAPON DE VINO/CERVEZA X 1</t>
  </si>
  <si>
    <t>578D</t>
  </si>
  <si>
    <t xml:space="preserve">DESCAROZADOR DE ACEITUNAS          </t>
  </si>
  <si>
    <t>579D</t>
  </si>
  <si>
    <t>TAPON DE VINO/CERV X 1 CO</t>
  </si>
  <si>
    <t>586D</t>
  </si>
  <si>
    <t xml:space="preserve">PELAPAPAS MGO ERGONOMICO </t>
  </si>
  <si>
    <t>594D</t>
  </si>
  <si>
    <t xml:space="preserve">PINZA DE FIDEOS MGO PLASTICO       </t>
  </si>
  <si>
    <t>595D</t>
  </si>
  <si>
    <t xml:space="preserve">PINZA DE FIAMBRE MGO PLASTICO      </t>
  </si>
  <si>
    <t>596D</t>
  </si>
  <si>
    <t xml:space="preserve">PINZA DE ENSALADA MGO PLASTICO     </t>
  </si>
  <si>
    <t xml:space="preserve">ESPATULA LISA NYLON                </t>
  </si>
  <si>
    <t xml:space="preserve">CUCHARON NYLON                     </t>
  </si>
  <si>
    <t xml:space="preserve">TOSTADOR      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</si>
  <si>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</si>
  <si>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</si>
  <si>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</si>
  <si>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</si>
  <si>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</si>
  <si>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027M</t>
  </si>
  <si>
    <t xml:space="preserve">820612-COLADOR N°10 ALAMBRE        </t>
  </si>
  <si>
    <t>028D</t>
  </si>
  <si>
    <t xml:space="preserve">COLADOR N°13                       </t>
  </si>
  <si>
    <t>030M</t>
  </si>
  <si>
    <t xml:space="preserve">820729-COLADOR N°20 ALAMBRE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</si>
  <si>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</si>
  <si>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</si>
  <si>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</si>
  <si>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</si>
  <si>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</si>
  <si>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</si>
  <si>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</si>
  <si>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</si>
  <si>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</si>
  <si>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</si>
  <si>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</si>
  <si>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</si>
  <si>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220D</t>
  </si>
  <si>
    <t xml:space="preserve">CUCHARA MADERA 40 CM               </t>
  </si>
  <si>
    <t>221D</t>
  </si>
  <si>
    <t xml:space="preserve">CUCHARA MADERA 45 CM               </t>
  </si>
  <si>
    <t>222D</t>
  </si>
  <si>
    <t xml:space="preserve">BATE BIFE MADERA                   </t>
  </si>
  <si>
    <t>223D</t>
  </si>
  <si>
    <t xml:space="preserve">CUCHARA MADERA 25 CM               </t>
  </si>
  <si>
    <t>224D</t>
  </si>
  <si>
    <t xml:space="preserve">CUCHARA MADERA 30 CM               </t>
  </si>
  <si>
    <t>224M</t>
  </si>
  <si>
    <t xml:space="preserve">821197-CUCHARA MADERA 30 cm        </t>
  </si>
  <si>
    <t>225D</t>
  </si>
  <si>
    <t xml:space="preserve">CUCHARA MADERA 35 CM               </t>
  </si>
  <si>
    <t>226D</t>
  </si>
  <si>
    <t xml:space="preserve">ESPATULA MADERA                    </t>
  </si>
  <si>
    <t>227D</t>
  </si>
  <si>
    <t xml:space="preserve">ESPATULA REPOSTERA MADERA          </t>
  </si>
  <si>
    <t>326D</t>
  </si>
  <si>
    <t xml:space="preserve">ESPATULA PLASTICA 3 USOS           </t>
  </si>
  <si>
    <t>327D</t>
  </si>
  <si>
    <t xml:space="preserve">ESPATULA REPOSTERA DE GOMA         </t>
  </si>
  <si>
    <t>331D</t>
  </si>
  <si>
    <t xml:space="preserve">ESP. REPOST.DE GOMA COMUN          </t>
  </si>
  <si>
    <t>332D</t>
  </si>
  <si>
    <t xml:space="preserve">espatula acero inox.               </t>
  </si>
  <si>
    <t>334D</t>
  </si>
  <si>
    <t xml:space="preserve">cuchara salsera inox               </t>
  </si>
  <si>
    <t>335D</t>
  </si>
  <si>
    <t xml:space="preserve">cuchara calada ac.inox.            </t>
  </si>
  <si>
    <t>336D</t>
  </si>
  <si>
    <t xml:space="preserve">cucharon ac.inox.                  </t>
  </si>
  <si>
    <t>337D</t>
  </si>
  <si>
    <t xml:space="preserve">pinche ac.inox.                    </t>
  </si>
  <si>
    <t>338D</t>
  </si>
  <si>
    <t xml:space="preserve">espatula lisa ac.inox.             </t>
  </si>
  <si>
    <t>390D</t>
  </si>
  <si>
    <t xml:space="preserve">CUCHARA CALADA NYLON 1 PZA         </t>
  </si>
  <si>
    <t>391D</t>
  </si>
  <si>
    <t xml:space="preserve">CUCHARA PULPO NYLON 1 PZA          </t>
  </si>
  <si>
    <t>392D</t>
  </si>
  <si>
    <t xml:space="preserve">CUCHARON NYLON 1 PZA               </t>
  </si>
  <si>
    <t>393D</t>
  </si>
  <si>
    <t xml:space="preserve">ESPATULA CALADA NYLON 1 PZA        </t>
  </si>
  <si>
    <t>393S</t>
  </si>
  <si>
    <t>394D</t>
  </si>
  <si>
    <t xml:space="preserve">ESPATULA LISA NYLON 1 PZA          </t>
  </si>
  <si>
    <t>509D</t>
  </si>
  <si>
    <t xml:space="preserve">PALETA BATIDORA                    </t>
  </si>
  <si>
    <t>515D</t>
  </si>
  <si>
    <t xml:space="preserve">BATIDOR RESORTE                    </t>
  </si>
  <si>
    <t>534D</t>
  </si>
  <si>
    <t xml:space="preserve">CEPILLO LAVAVAJILLA                </t>
  </si>
  <si>
    <t>535D</t>
  </si>
  <si>
    <t xml:space="preserve">CEPILLO LIMPIA VASO MAMADERA       </t>
  </si>
  <si>
    <t>592D</t>
  </si>
  <si>
    <t>593D</t>
  </si>
  <si>
    <t xml:space="preserve">TOSTADOR ENLOZADO                  </t>
  </si>
  <si>
    <t xml:space="preserve">FILTRO DE CAFE                     </t>
  </si>
  <si>
    <t>246D</t>
  </si>
  <si>
    <t xml:space="preserve">PRENSA MATAMBRE                    </t>
  </si>
  <si>
    <t>323D</t>
  </si>
  <si>
    <t xml:space="preserve">RALLADOR CILINDRICO CHICO          </t>
  </si>
  <si>
    <t>328D</t>
  </si>
  <si>
    <t xml:space="preserve">RALLADOR 3 USOS MARCO PLAST        </t>
  </si>
  <si>
    <t>329D</t>
  </si>
  <si>
    <t xml:space="preserve">RALLADOR QUESO MARCO PLAST         </t>
  </si>
  <si>
    <t>695D</t>
  </si>
  <si>
    <t xml:space="preserve">POSA PAVA ALAMBRE                  </t>
  </si>
  <si>
    <t>Abrelata
Uñas</t>
  </si>
  <si>
    <t>Pelador
Met.</t>
  </si>
  <si>
    <t>Pelador
Plast.</t>
  </si>
  <si>
    <t>Afila cuchillos</t>
  </si>
  <si>
    <t>Pelapapas mango
ergonomico</t>
  </si>
  <si>
    <t>Rompenueces</t>
  </si>
  <si>
    <t>Sacafuentes</t>
  </si>
  <si>
    <t>3 en 1</t>
  </si>
  <si>
    <t>Pela naranjas</t>
  </si>
  <si>
    <t>Cuchillo de 
untar x2</t>
  </si>
  <si>
    <t>Sacacorcho 
tipo mozo</t>
  </si>
  <si>
    <t>Sacacorcho 
cromado comb</t>
  </si>
  <si>
    <t>Sacacorcho tipo
mozo color</t>
  </si>
  <si>
    <t>Sacacorcho comb.
Color</t>
  </si>
  <si>
    <t>Sacacorcho
custom</t>
  </si>
  <si>
    <t>Sacacorcho
doble aleta</t>
  </si>
  <si>
    <t>Sacacorcho
espumante</t>
  </si>
  <si>
    <t>Sacacorcho
cabo madera</t>
  </si>
  <si>
    <t>Sacacorcho
doble aleta luxe</t>
  </si>
  <si>
    <t>Cuchara de
helado</t>
  </si>
  <si>
    <t>Pela y pica ajo
de acero</t>
  </si>
  <si>
    <t>Ahueca papas</t>
  </si>
  <si>
    <t>Ahueca frutas</t>
  </si>
  <si>
    <t>Batidor
cocktail X2</t>
  </si>
  <si>
    <t>Batidor pera
alambre</t>
  </si>
  <si>
    <t>Corta queso</t>
  </si>
  <si>
    <t>Corta torta</t>
  </si>
  <si>
    <t>Pincel pastelero</t>
  </si>
  <si>
    <t>Corta ravioles</t>
  </si>
  <si>
    <t>Pinza chica</t>
  </si>
  <si>
    <t>Pinza grande</t>
  </si>
  <si>
    <t>Corta pizza</t>
  </si>
  <si>
    <t>Pinza de 
hamburguesas</t>
  </si>
  <si>
    <t>Pinza de hielo</t>
  </si>
  <si>
    <t>Pinza de fideos 
mgo plastico</t>
  </si>
  <si>
    <t>Pinza de fiambre
mgo plastico</t>
  </si>
  <si>
    <t>Pinza de ensal.
Mgo plastico</t>
  </si>
  <si>
    <t>Colador N°7</t>
  </si>
  <si>
    <t>Colador N°8</t>
  </si>
  <si>
    <t>Colador N°10</t>
  </si>
  <si>
    <t>Colador N°16</t>
  </si>
  <si>
    <t>Colador N°20</t>
  </si>
  <si>
    <t>Pisapapas acero
inox</t>
  </si>
  <si>
    <t>Espatula repost
plastica</t>
  </si>
  <si>
    <t>Espumadera
acero inox</t>
  </si>
  <si>
    <t>Destapa coronas
x1 cromado</t>
  </si>
  <si>
    <t>Ñoquera de
madera</t>
  </si>
  <si>
    <t>Afloja tapa</t>
  </si>
  <si>
    <t>Destapa pie 
color</t>
  </si>
  <si>
    <t>Rallador 
1/2 caña</t>
  </si>
  <si>
    <t>Rallador 
cilindrico</t>
  </si>
  <si>
    <t>Descorazonador
de manzana</t>
  </si>
  <si>
    <t>Enrulador
de manteca</t>
  </si>
  <si>
    <t>Tapon de vino
cerveza x1 negro</t>
  </si>
  <si>
    <t>Tapon de vino y
cerveza x1 color</t>
  </si>
  <si>
    <t>Tapon de vino y
cerveza x1 premium</t>
  </si>
  <si>
    <t>Pala de 
canelones</t>
  </si>
  <si>
    <t>Descorazonador
de aceiunas</t>
  </si>
  <si>
    <t>Abrelata 
uña pie</t>
  </si>
  <si>
    <t>322D</t>
  </si>
  <si>
    <t>Pliegos x 10</t>
  </si>
  <si>
    <t>Sacacorcho
doble impulso</t>
  </si>
  <si>
    <t>Ab. Mariposa</t>
  </si>
  <si>
    <t>Ab. Manija</t>
  </si>
  <si>
    <t>Ab. Marip.
Plastica</t>
  </si>
  <si>
    <t>PEDIDO</t>
  </si>
  <si>
    <t>IMPORTADO</t>
  </si>
  <si>
    <t>MIN</t>
  </si>
  <si>
    <t>PROCESO</t>
  </si>
  <si>
    <t>Pinza
 gastronomica</t>
  </si>
  <si>
    <t>PLANILLA DE CONTEO &amp; PEDIDOS DE CARTONES LOEKEMEYER</t>
  </si>
  <si>
    <t>514 (569)</t>
  </si>
  <si>
    <t>545 (580)</t>
  </si>
  <si>
    <t>TENEDOR DE COPETIN x6 UNID</t>
  </si>
  <si>
    <t>058</t>
  </si>
  <si>
    <t>299</t>
  </si>
  <si>
    <t>Muñeco silic.
Antiderrame</t>
  </si>
  <si>
    <t>Cierra 
bolsa x2</t>
  </si>
  <si>
    <t>HOJA 1</t>
  </si>
  <si>
    <t>HOJA 2</t>
  </si>
  <si>
    <t>HOJA 3</t>
  </si>
  <si>
    <t>552D</t>
  </si>
  <si>
    <t>553D</t>
  </si>
  <si>
    <t>554D</t>
  </si>
  <si>
    <t>555D</t>
  </si>
  <si>
    <t xml:space="preserve">BOMBILLA SUP NIQ LARGA RECTA       </t>
  </si>
  <si>
    <t xml:space="preserve">BOMBILLA SUPER NIQ LARGA CURVA     </t>
  </si>
  <si>
    <t xml:space="preserve">CUCHARITA MATERA                   </t>
  </si>
  <si>
    <t xml:space="preserve">CEPILLO LIMPIA BOMBILLA            </t>
  </si>
  <si>
    <t>654D</t>
  </si>
  <si>
    <t>657D</t>
  </si>
  <si>
    <t>658D</t>
  </si>
  <si>
    <t>659D</t>
  </si>
  <si>
    <t xml:space="preserve">BOMBILLA AUTOLIMPIANTE INOX        </t>
  </si>
  <si>
    <t xml:space="preserve">BOMBILLA AUTOLIMPIANTE NIQ         </t>
  </si>
  <si>
    <t xml:space="preserve">BOMBILLA BASICA LARGA RECTA        </t>
  </si>
  <si>
    <t xml:space="preserve">BOMBILLA BASICA LARGA CURVA        </t>
  </si>
  <si>
    <t>Pliegos x 16</t>
  </si>
  <si>
    <t>L. MATE</t>
  </si>
  <si>
    <t>Cuchara
Madera 35cm</t>
  </si>
  <si>
    <t>318D</t>
  </si>
  <si>
    <t>533D</t>
  </si>
  <si>
    <t>Bandita</t>
  </si>
  <si>
    <t>Pliego Uña x 12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</si>
  <si>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</si>
  <si>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</si>
  <si>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</si>
  <si>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</si>
  <si>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</si>
  <si>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</si>
  <si>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</si>
  <si>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</si>
  <si>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</si>
  <si>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</si>
  <si>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</si>
  <si>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</si>
  <si>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</si>
  <si>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</si>
  <si>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>031D</t>
  </si>
  <si>
    <t>034D</t>
  </si>
  <si>
    <t>055D</t>
  </si>
  <si>
    <t xml:space="preserve">FILTRO DE CAFE GASTRONOMICO        </t>
  </si>
  <si>
    <t xml:space="preserve">SACAFUENTE ALAMBRE                 </t>
  </si>
  <si>
    <t>058D</t>
  </si>
  <si>
    <t>059D</t>
  </si>
  <si>
    <t>101M</t>
  </si>
  <si>
    <t>102M</t>
  </si>
  <si>
    <t>104M</t>
  </si>
  <si>
    <t>107M</t>
  </si>
  <si>
    <t xml:space="preserve">CIERRA BOLSA X2          </t>
  </si>
  <si>
    <t>CUCHILLITO DE UNTAR PLAST</t>
  </si>
  <si>
    <t xml:space="preserve">74230-PELAPAPA METALICO ARO        </t>
  </si>
  <si>
    <t xml:space="preserve">74243-DESTAPACORONA x 2 ARO        </t>
  </si>
  <si>
    <t xml:space="preserve">74282-ABRELATAS MANIJA ARO         </t>
  </si>
  <si>
    <t xml:space="preserve">74334-ABRELATAS UÑA ARO            </t>
  </si>
  <si>
    <t>230D</t>
  </si>
  <si>
    <t>231D</t>
  </si>
  <si>
    <t>233D</t>
  </si>
  <si>
    <t>234D</t>
  </si>
  <si>
    <t>241D</t>
  </si>
  <si>
    <t xml:space="preserve">PALO DE AMASAR 30 CM               </t>
  </si>
  <si>
    <t xml:space="preserve">PALO DE AMASAR 40 CM               </t>
  </si>
  <si>
    <t xml:space="preserve">PALO DE AMASAR 50 CM               </t>
  </si>
  <si>
    <t>PIZZERA 35 CM ALGA.</t>
  </si>
  <si>
    <t>PIZZERA 35 CM EUCA.</t>
  </si>
  <si>
    <t>247D</t>
  </si>
  <si>
    <t>250D</t>
  </si>
  <si>
    <t>253D</t>
  </si>
  <si>
    <t>254D</t>
  </si>
  <si>
    <t>259D</t>
  </si>
  <si>
    <t>280D</t>
  </si>
  <si>
    <t>299D</t>
  </si>
  <si>
    <t>312D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</si>
  <si>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</si>
  <si>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</si>
  <si>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</si>
  <si>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</si>
  <si>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>MATE ALUMINIO COLOR DOBLE</t>
  </si>
  <si>
    <t>MANGA REPOSTERA + 4 BOQUI</t>
  </si>
  <si>
    <t>MUÑECO SILICONA ANTIDERRA</t>
  </si>
  <si>
    <t xml:space="preserve">PALA DE TORTA ACERO INOX           </t>
  </si>
  <si>
    <t>319D</t>
  </si>
  <si>
    <t xml:space="preserve">PISAPAPAS FUNDICION MGO MAD        </t>
  </si>
  <si>
    <t xml:space="preserve">BATE BIFE FUNDICION                </t>
  </si>
  <si>
    <t>324D</t>
  </si>
  <si>
    <t xml:space="preserve">PINCHE DE CHOCLO X4 </t>
  </si>
  <si>
    <t>346D</t>
  </si>
  <si>
    <t>355D</t>
  </si>
  <si>
    <t xml:space="preserve">TENEDOR DE ACHURA                  </t>
  </si>
  <si>
    <t xml:space="preserve">PISA PAPAS NYLON MGO PLAST         </t>
  </si>
  <si>
    <t>516S</t>
  </si>
  <si>
    <t xml:space="preserve">DESTAPACORONA SUELTO               </t>
  </si>
  <si>
    <t>518D</t>
  </si>
  <si>
    <t xml:space="preserve">SACAFUENTE GASTRONOMICO            </t>
  </si>
  <si>
    <t>519S</t>
  </si>
  <si>
    <t xml:space="preserve">CUCHILLO DE UNTAR SUELTO           </t>
  </si>
  <si>
    <t>527D</t>
  </si>
  <si>
    <t>528D</t>
  </si>
  <si>
    <t xml:space="preserve">SACACORCHO C/CORTA PLOMO CROM      </t>
  </si>
  <si>
    <t xml:space="preserve">SACACORCHO C/CORTA PLOMO PINT      </t>
  </si>
  <si>
    <t xml:space="preserve">PELADOR MGO NUEVO                  </t>
  </si>
  <si>
    <t>550D</t>
  </si>
  <si>
    <t>551D</t>
  </si>
  <si>
    <t xml:space="preserve">FILTRO PARA BOMBILLAS    </t>
  </si>
  <si>
    <t xml:space="preserve">CUCH/ UNTAR MGO PLAST.       </t>
  </si>
  <si>
    <t>557D</t>
  </si>
  <si>
    <t>558D</t>
  </si>
  <si>
    <t xml:space="preserve">BOMBILLA RESORTE CHATA   </t>
  </si>
  <si>
    <t>BOMBILLA RESORTE tradicio</t>
  </si>
  <si>
    <t>564D</t>
  </si>
  <si>
    <t xml:space="preserve">CORTA PIZZA GASTRONOMICO           </t>
  </si>
  <si>
    <t>569D</t>
  </si>
  <si>
    <t xml:space="preserve">PELANARANJAS X 1 DISPLAY </t>
  </si>
  <si>
    <t>573D</t>
  </si>
  <si>
    <t>574D</t>
  </si>
  <si>
    <t>BOMBILLA COLORES METALIZA</t>
  </si>
  <si>
    <t xml:space="preserve">CORTA QUESO DE ALAMBRE   </t>
  </si>
  <si>
    <t>580D</t>
  </si>
  <si>
    <t xml:space="preserve">MINI BATIDOR X 1         </t>
  </si>
  <si>
    <t>597D</t>
  </si>
  <si>
    <t xml:space="preserve">CUCHILLO UNTAR BCO x 2             </t>
  </si>
  <si>
    <t>820S</t>
  </si>
  <si>
    <t>821S</t>
  </si>
  <si>
    <t>822S</t>
  </si>
  <si>
    <t>823D</t>
  </si>
  <si>
    <t>870D</t>
  </si>
  <si>
    <t xml:space="preserve">Tapon 1 (cebador p/termo 1Lt)      </t>
  </si>
  <si>
    <t xml:space="preserve">Tapon 2 (cebador p/ termo gde)     </t>
  </si>
  <si>
    <t xml:space="preserve">Tapon 3 (cebador p/termo A/I)      </t>
  </si>
  <si>
    <t xml:space="preserve">EXPRIMIDOR DE CITRICOS   </t>
  </si>
  <si>
    <t xml:space="preserve">COLADOR N°20 MGO MADERA  </t>
  </si>
  <si>
    <t>Bolsa</t>
  </si>
  <si>
    <t>Codigo</t>
  </si>
  <si>
    <t>Cia</t>
  </si>
  <si>
    <t>Aro</t>
  </si>
  <si>
    <t>Tipo Carton</t>
  </si>
  <si>
    <t>H5</t>
  </si>
  <si>
    <t>H4</t>
  </si>
  <si>
    <t>H3</t>
  </si>
  <si>
    <t>H2</t>
  </si>
  <si>
    <t>H1</t>
  </si>
  <si>
    <t>C1</t>
  </si>
  <si>
    <t>B1</t>
  </si>
  <si>
    <t>F3</t>
  </si>
  <si>
    <t>A2</t>
  </si>
  <si>
    <t>G4</t>
  </si>
  <si>
    <t>B4</t>
  </si>
  <si>
    <t>D1</t>
  </si>
  <si>
    <t>C3</t>
  </si>
  <si>
    <t>E3</t>
  </si>
  <si>
    <t>E2</t>
  </si>
  <si>
    <t>D3</t>
  </si>
  <si>
    <t>D2</t>
  </si>
  <si>
    <t>E4</t>
  </si>
  <si>
    <t>F4</t>
  </si>
  <si>
    <t>G2</t>
  </si>
  <si>
    <t>D4</t>
  </si>
  <si>
    <t>G3</t>
  </si>
  <si>
    <t>C4</t>
  </si>
  <si>
    <t>Granel en caja</t>
  </si>
  <si>
    <t>Carton Aro</t>
  </si>
  <si>
    <t>G5</t>
  </si>
  <si>
    <t>D5</t>
  </si>
  <si>
    <t>F5</t>
  </si>
  <si>
    <t>F2</t>
  </si>
  <si>
    <t>B5</t>
  </si>
  <si>
    <t>B3</t>
  </si>
  <si>
    <t>T2</t>
  </si>
  <si>
    <t>T3</t>
  </si>
  <si>
    <t>U1</t>
  </si>
  <si>
    <t>C5</t>
  </si>
  <si>
    <t>E5</t>
  </si>
  <si>
    <t>U3</t>
  </si>
  <si>
    <t>B2</t>
  </si>
  <si>
    <t>Código</t>
  </si>
  <si>
    <t>E1</t>
  </si>
  <si>
    <t xml:space="preserve">C2 </t>
  </si>
  <si>
    <t>Carton Propio</t>
  </si>
  <si>
    <t>Carton Cod. 570D</t>
  </si>
  <si>
    <t>Carton Cod. 519D</t>
  </si>
  <si>
    <t>Carton Cod. 526D</t>
  </si>
  <si>
    <t>Carton Cod. 562D</t>
  </si>
  <si>
    <t>Carton Cod. 546D</t>
  </si>
  <si>
    <t>Corbata Propia</t>
  </si>
  <si>
    <t>Corbata Generica</t>
  </si>
  <si>
    <t>Ubic</t>
  </si>
  <si>
    <t xml:space="preserve">Listado Cartones Loekemeyer </t>
  </si>
  <si>
    <t>Pliegos Utensilios</t>
  </si>
  <si>
    <t>Suelto</t>
  </si>
  <si>
    <t xml:space="preserve">Bolsa </t>
  </si>
  <si>
    <t>Tipo</t>
  </si>
  <si>
    <t>Lk</t>
  </si>
  <si>
    <t>Linea Lkmeyer / Aro</t>
  </si>
  <si>
    <t>P.P</t>
  </si>
  <si>
    <t>Lin.</t>
  </si>
  <si>
    <t xml:space="preserve">Stocks </t>
  </si>
  <si>
    <t xml:space="preserve">Stock
Max </t>
  </si>
  <si>
    <t xml:space="preserve">Stock
Min  </t>
  </si>
  <si>
    <t>Stock 
Actual</t>
  </si>
  <si>
    <t>Vta.
2017</t>
  </si>
  <si>
    <t>Pedido</t>
  </si>
  <si>
    <t xml:space="preserve">Stock 
Real </t>
  </si>
  <si>
    <t>Fecha:</t>
  </si>
  <si>
    <t>Cotado Por:</t>
  </si>
  <si>
    <t xml:space="preserve">Filtro De Cafe                     </t>
  </si>
  <si>
    <t xml:space="preserve">Filtro De Cafe Gastronomico        </t>
  </si>
  <si>
    <t xml:space="preserve">Destapacorona Suelto               </t>
  </si>
  <si>
    <t xml:space="preserve">Pinche De Choclo X4 </t>
  </si>
  <si>
    <t>Tenedor De Copetin X6 Unid</t>
  </si>
  <si>
    <t/>
  </si>
  <si>
    <t xml:space="preserve">Bombilla Sup Niq Larga Recta       </t>
  </si>
  <si>
    <t xml:space="preserve">Bombilla Super Niq Larga Curva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</si>
  <si>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</si>
  <si>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</si>
  <si>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</si>
  <si>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</si>
  <si>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Bombilla Autolimpiante Inox        </t>
  </si>
  <si>
    <t xml:space="preserve">Bombilla Autolimpiante Niq         </t>
  </si>
  <si>
    <t xml:space="preserve">Bombilla Basica Larga Recta        </t>
  </si>
  <si>
    <t xml:space="preserve">Bombilla Basica Larga Curva        </t>
  </si>
  <si>
    <t>Bombilla Colores Metaliza</t>
  </si>
  <si>
    <t xml:space="preserve">Abrelatas Uña                      </t>
  </si>
  <si>
    <t xml:space="preserve">Pela Y Pica Ajo De Acero           </t>
  </si>
  <si>
    <t xml:space="preserve">Ahueca Papas                       </t>
  </si>
  <si>
    <t xml:space="preserve">Ahueca Frutas                      </t>
  </si>
  <si>
    <t xml:space="preserve">Colador N°16                       </t>
  </si>
  <si>
    <t xml:space="preserve">Espumadera Ac.Inox.                </t>
  </si>
  <si>
    <t xml:space="preserve">Palo De Amasar 30 Cm               </t>
  </si>
  <si>
    <t xml:space="preserve">Palo De Amasar 40 Cm               </t>
  </si>
  <si>
    <t xml:space="preserve">Palo De Amasar 50 Cm               </t>
  </si>
  <si>
    <t xml:space="preserve">Prensa Matambre                    </t>
  </si>
  <si>
    <t>Plato De Picada P.P 21 Cm</t>
  </si>
  <si>
    <t xml:space="preserve">Rallador Cilindrico Chico          </t>
  </si>
  <si>
    <t xml:space="preserve">Rallador 3 Usos Marco Plast        </t>
  </si>
  <si>
    <t xml:space="preserve">Rallador Queso Marco Plast         </t>
  </si>
  <si>
    <t xml:space="preserve">Posa Pava Alambre                  </t>
  </si>
  <si>
    <t xml:space="preserve">Rallador Cilindrico                </t>
  </si>
  <si>
    <t xml:space="preserve">Colador N°20                       </t>
  </si>
  <si>
    <t>Cuchillito De Untar Plast</t>
  </si>
  <si>
    <t xml:space="preserve">Sacafuente Alambre                 </t>
  </si>
  <si>
    <t xml:space="preserve">Pala De Torta Acero Inox           </t>
  </si>
  <si>
    <t xml:space="preserve">Pisapapas Fundicion Mgo Mad        </t>
  </si>
  <si>
    <t xml:space="preserve">Sacafuente Gastronomico            </t>
  </si>
  <si>
    <t xml:space="preserve">Sacacorcho Doble Aleta Luxe        </t>
  </si>
  <si>
    <t xml:space="preserve">Sacacorcho Cabo Madera             </t>
  </si>
  <si>
    <t xml:space="preserve">Cuchara De Helado                  </t>
  </si>
  <si>
    <t xml:space="preserve">Colador N°7                        </t>
  </si>
  <si>
    <t xml:space="preserve">Colador N°8                        </t>
  </si>
  <si>
    <t xml:space="preserve">Colador N°10                       </t>
  </si>
  <si>
    <t xml:space="preserve">820612-Colador N°10 Alambre        </t>
  </si>
  <si>
    <t xml:space="preserve">Abrelata Uña Pie Color   </t>
  </si>
  <si>
    <t xml:space="preserve">Cuch/ Untar Mgo Plast.       </t>
  </si>
  <si>
    <t xml:space="preserve">Sacacorcho C/Corta Plomo Crom      </t>
  </si>
  <si>
    <t xml:space="preserve">Sacacorcho C/Corta Plomo Pint      </t>
  </si>
  <si>
    <t xml:space="preserve">Corta Pizza Gastronomico           </t>
  </si>
  <si>
    <t xml:space="preserve">Pelador Mgo Nuevo                  </t>
  </si>
  <si>
    <t xml:space="preserve">Sacacorcho Custom                  </t>
  </si>
  <si>
    <t xml:space="preserve">Sacacorcho Doble Aleta             </t>
  </si>
  <si>
    <t xml:space="preserve">Sacacorcho De Espumantes           </t>
  </si>
  <si>
    <t xml:space="preserve">Pala De Canelones                  </t>
  </si>
  <si>
    <t xml:space="preserve">Descarozador De Aceitunas          </t>
  </si>
  <si>
    <t xml:space="preserve">Cierra Bolsa X2          </t>
  </si>
  <si>
    <t>Muñeco Silicona Antiderra</t>
  </si>
  <si>
    <t xml:space="preserve">Espatula Lisa Nylon                </t>
  </si>
  <si>
    <t xml:space="preserve">Cucharon Nylon                     </t>
  </si>
  <si>
    <t xml:space="preserve">Tostador      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</si>
  <si>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</si>
  <si>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</si>
  <si>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</si>
  <si>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</si>
  <si>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</si>
  <si>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 xml:space="preserve">Colador N°7 Pintado                </t>
  </si>
  <si>
    <t xml:space="preserve">Colador N°8 Pintado                </t>
  </si>
  <si>
    <t xml:space="preserve">Colador N°10 Pintado               </t>
  </si>
  <si>
    <t xml:space="preserve">Colador N°13 Pintado               </t>
  </si>
  <si>
    <t xml:space="preserve">Colador N°16 Pintado               </t>
  </si>
  <si>
    <t xml:space="preserve">Colador N°20 Pintado               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</si>
  <si>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</si>
  <si>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</si>
  <si>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</si>
  <si>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</si>
  <si>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</si>
  <si>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821197-Cuchara Madera 30 Cm        </t>
  </si>
  <si>
    <t xml:space="preserve">Espatula Madera                    </t>
  </si>
  <si>
    <t xml:space="preserve">Espatula Repostera Madera          </t>
  </si>
  <si>
    <t xml:space="preserve">Espatula Plastica 3 Usos           </t>
  </si>
  <si>
    <t xml:space="preserve">Espatula Repostera De Goma         </t>
  </si>
  <si>
    <t xml:space="preserve">Esp. Repost.De Goma Comun          </t>
  </si>
  <si>
    <t xml:space="preserve">Espatula Acero Inox.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</si>
  <si>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</si>
  <si>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</si>
  <si>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</si>
  <si>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</si>
  <si>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</si>
  <si>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Tenedor De Achura     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</si>
  <si>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</si>
  <si>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</si>
  <si>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</si>
  <si>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</si>
  <si>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</si>
  <si>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</si>
  <si>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Paleta Batidora                    </t>
  </si>
  <si>
    <t xml:space="preserve">Batidor Resorte                    </t>
  </si>
  <si>
    <t xml:space="preserve">Cepillo Lavavajilla                </t>
  </si>
  <si>
    <t xml:space="preserve">Cepillo Limpia Vaso Mamadera       </t>
  </si>
  <si>
    <t xml:space="preserve">Filtro Para Bombillas    </t>
  </si>
  <si>
    <t xml:space="preserve">Tostador Enlozado                  </t>
  </si>
  <si>
    <t xml:space="preserve">Colador N°20 Mgo Madera  </t>
  </si>
  <si>
    <t xml:space="preserve">Cuchillo Untar Bco X 2             </t>
  </si>
  <si>
    <t xml:space="preserve">Corta Queso De Alambre   </t>
  </si>
  <si>
    <t>Manga Repostera + 4 Boqui</t>
  </si>
  <si>
    <t xml:space="preserve">Colador N°13                       </t>
  </si>
  <si>
    <t xml:space="preserve">Cuchara Madera 35 Cm               </t>
  </si>
  <si>
    <t xml:space="preserve">Sacacorcho Combinado Color         </t>
  </si>
  <si>
    <t xml:space="preserve">Corta Pizza                        </t>
  </si>
  <si>
    <t xml:space="preserve">Pinza Grande                       </t>
  </si>
  <si>
    <t xml:space="preserve">Pinza De Hamburguesas              </t>
  </si>
  <si>
    <t xml:space="preserve">Pinza De Hielo                     </t>
  </si>
  <si>
    <t xml:space="preserve">Afila Cuchillos                    </t>
  </si>
  <si>
    <t xml:space="preserve">Pelapapas Mgo Ergonomico </t>
  </si>
  <si>
    <t xml:space="preserve">Pinza Gastronomica                 </t>
  </si>
  <si>
    <t xml:space="preserve">Cuchillo De Untar X 2              </t>
  </si>
  <si>
    <t xml:space="preserve">Pelanaranjas X 1 Display </t>
  </si>
  <si>
    <t xml:space="preserve">Pincel Pastelero                   </t>
  </si>
  <si>
    <t xml:space="preserve">Corta Ravioles                     </t>
  </si>
  <si>
    <t xml:space="preserve">Pinza Chica                        </t>
  </si>
  <si>
    <t xml:space="preserve">Corta Torta                        </t>
  </si>
  <si>
    <t xml:space="preserve">Enrulador De Manteca               </t>
  </si>
  <si>
    <t xml:space="preserve">Descorazonador De Manzana          </t>
  </si>
  <si>
    <t xml:space="preserve">Rallador 1/2 Caña                  </t>
  </si>
  <si>
    <t xml:space="preserve">Abrelatas A Manija                 </t>
  </si>
  <si>
    <t xml:space="preserve">Abrelatas A Mariposa Plastica      </t>
  </si>
  <si>
    <t xml:space="preserve">Abrelatas A Mariposa               </t>
  </si>
  <si>
    <t xml:space="preserve">Sacafuentes Articulado             </t>
  </si>
  <si>
    <t xml:space="preserve">Rompenueces                        </t>
  </si>
  <si>
    <t xml:space="preserve">3 En 1                             </t>
  </si>
  <si>
    <t xml:space="preserve">Ñoquera Madera                     </t>
  </si>
  <si>
    <t xml:space="preserve">Afloja Tapita            </t>
  </si>
  <si>
    <t xml:space="preserve">Destapador Pie Color     </t>
  </si>
  <si>
    <t xml:space="preserve">Batidor Pera Alambre               </t>
  </si>
  <si>
    <t xml:space="preserve">Corta Queso                        </t>
  </si>
  <si>
    <t xml:space="preserve">Corta Queso Zinc                   </t>
  </si>
  <si>
    <t xml:space="preserve">Destapa Corona Zincado             </t>
  </si>
  <si>
    <t xml:space="preserve">Cuchillo Untar Ac Inox             </t>
  </si>
  <si>
    <t xml:space="preserve">Rompenueces Zincado                </t>
  </si>
  <si>
    <t xml:space="preserve">Sacafuentes Art Zincado 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</si>
  <si>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</si>
  <si>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</si>
  <si>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</si>
  <si>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</si>
  <si>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</si>
  <si>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</si>
  <si>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</si>
  <si>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74230-Pelapapa Metalico Aro        </t>
  </si>
  <si>
    <t xml:space="preserve">74243-Destapacorona X 2 Aro        </t>
  </si>
  <si>
    <t xml:space="preserve">74282-Abrelatas Manija Aro         </t>
  </si>
  <si>
    <t xml:space="preserve">74334-Abrelatas Uña Aro            </t>
  </si>
  <si>
    <t xml:space="preserve">Bate Bife Fundicion                </t>
  </si>
  <si>
    <t>Pizzera 35 Cm Alga.</t>
  </si>
  <si>
    <t>Pizzera 35 Cm Euca.</t>
  </si>
  <si>
    <t xml:space="preserve">Mate Forrado                       </t>
  </si>
  <si>
    <t xml:space="preserve">Mate Calabaza C/Virola             </t>
  </si>
  <si>
    <t xml:space="preserve">Mate Calabaza S/Virola             </t>
  </si>
  <si>
    <t>Mate Aluminio Color Doble</t>
  </si>
  <si>
    <t xml:space="preserve">Cuchillo De Untar Suelto           </t>
  </si>
  <si>
    <t xml:space="preserve">Tapon 1 (Cebador P/Termo 1Lt)      </t>
  </si>
  <si>
    <t xml:space="preserve">Tapon 2 (Cebador P/ Termo Gde)     </t>
  </si>
  <si>
    <t xml:space="preserve">Tapon 3 (Cebador P/Termo A/I)      </t>
  </si>
  <si>
    <t xml:space="preserve">Exprimidor De Citricos   </t>
  </si>
  <si>
    <t>Ped.</t>
  </si>
  <si>
    <t xml:space="preserve">Espat. Repost Plast 1 Pza.     </t>
  </si>
  <si>
    <t xml:space="preserve">Pisa Papas Inox              </t>
  </si>
  <si>
    <t xml:space="preserve">Abrelat. Uña                      </t>
  </si>
  <si>
    <t xml:space="preserve">Pelador Mgo Met.               </t>
  </si>
  <si>
    <t xml:space="preserve">Pin. Fiambre Mgo Plas.      </t>
  </si>
  <si>
    <t xml:space="preserve">Pin.  Ensalada Mgo Plas.    </t>
  </si>
  <si>
    <t xml:space="preserve">Pin. Fideos Mgo Plas.       </t>
  </si>
  <si>
    <t xml:space="preserve">Pelador Mgo Plast.              </t>
  </si>
  <si>
    <t xml:space="preserve">Sacac. Tipo Mozo Crom.       </t>
  </si>
  <si>
    <t xml:space="preserve">Sacac. Comb. Crom.       </t>
  </si>
  <si>
    <t xml:space="preserve">Sacac Tipo Mozo Color         </t>
  </si>
  <si>
    <t>Tapon De Vino X 1 Col</t>
  </si>
  <si>
    <t>Tapon De Vino X 1 Prem.</t>
  </si>
  <si>
    <t>Tapon De Vino/ X1  Neg.</t>
  </si>
  <si>
    <t>Destapa Corona X1 Crom.</t>
  </si>
  <si>
    <t xml:space="preserve">Pelapapas Zinc.                  </t>
  </si>
  <si>
    <t xml:space="preserve">Abrelatas Uña Zinc.           </t>
  </si>
  <si>
    <t>Cart Prop.</t>
  </si>
  <si>
    <t>Corb. Prop</t>
  </si>
  <si>
    <t xml:space="preserve"> Cartón</t>
  </si>
  <si>
    <t>Ped
Correg</t>
  </si>
  <si>
    <t>LOEKE</t>
  </si>
  <si>
    <t>Cod.Art.</t>
  </si>
  <si>
    <t>MARZO</t>
  </si>
  <si>
    <t>ABRIL</t>
  </si>
  <si>
    <t>248D</t>
  </si>
  <si>
    <t>030ENS</t>
  </si>
  <si>
    <t>328ENS</t>
  </si>
  <si>
    <t>360ENS</t>
  </si>
  <si>
    <t>361ENS</t>
  </si>
  <si>
    <t>362ENS</t>
  </si>
  <si>
    <t>363ENS</t>
  </si>
  <si>
    <t>364ENS</t>
  </si>
  <si>
    <t>365ENS</t>
  </si>
  <si>
    <t>388ENS</t>
  </si>
  <si>
    <t>311D</t>
  </si>
  <si>
    <t>435ENS</t>
  </si>
  <si>
    <t>436ENS</t>
  </si>
  <si>
    <t>437ENS</t>
  </si>
  <si>
    <t>438ENS</t>
  </si>
  <si>
    <t>439ENS</t>
  </si>
  <si>
    <t>440ENS</t>
  </si>
  <si>
    <t>478ENS</t>
  </si>
  <si>
    <t>503ENS</t>
  </si>
  <si>
    <t>512ENS</t>
  </si>
  <si>
    <t>525ENS</t>
  </si>
  <si>
    <t>529ENS</t>
  </si>
  <si>
    <t>544ENS</t>
  </si>
  <si>
    <t>585ENS</t>
  </si>
  <si>
    <t>810ENS</t>
  </si>
  <si>
    <t>811ENS</t>
  </si>
  <si>
    <t>812ENS</t>
  </si>
  <si>
    <t>814ENS</t>
  </si>
  <si>
    <t>816ENS</t>
  </si>
  <si>
    <t>817ENS</t>
  </si>
  <si>
    <t>818ENS</t>
  </si>
  <si>
    <t>819ENS</t>
  </si>
  <si>
    <t>813ENS</t>
  </si>
  <si>
    <t>LK</t>
  </si>
  <si>
    <t>Destapa Corona X1 Cromado</t>
  </si>
  <si>
    <t>Cod</t>
  </si>
  <si>
    <t>Descripcion</t>
  </si>
  <si>
    <t xml:space="preserve">Colador N°8              </t>
  </si>
  <si>
    <t xml:space="preserve">Colador N°10             </t>
  </si>
  <si>
    <t>P</t>
  </si>
  <si>
    <t xml:space="preserve">Filtro De Cafe           </t>
  </si>
  <si>
    <t>Filtro De Cafe Gastronomi</t>
  </si>
  <si>
    <t>O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</si>
  <si>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</si>
  <si>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</si>
  <si>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</si>
  <si>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</si>
  <si>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</si>
  <si>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</si>
  <si>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</si>
  <si>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</si>
  <si>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</si>
  <si>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 xml:space="preserve">Pala De Torta Acero Inox </t>
  </si>
  <si>
    <t xml:space="preserve">Pisa Papas Acero Inox    </t>
  </si>
  <si>
    <t xml:space="preserve">Rallador Cilindrico      </t>
  </si>
  <si>
    <t>Tenedor De Copetin X 6 Un</t>
  </si>
  <si>
    <t>Rallador Cilindrico Chico</t>
  </si>
  <si>
    <t>Pinche De Choclo X 4 Unid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</si>
  <si>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</si>
  <si>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</si>
  <si>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</si>
  <si>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</si>
  <si>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</si>
  <si>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</si>
  <si>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</si>
  <si>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</si>
  <si>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</si>
  <si>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>Pisa Papas Nylon Mgo Plas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</si>
  <si>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</si>
  <si>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</si>
  <si>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</si>
  <si>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</si>
  <si>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</si>
  <si>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</si>
  <si>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</si>
  <si>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</si>
  <si>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</si>
  <si>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</si>
  <si>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</si>
  <si>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</si>
  <si>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</si>
  <si>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</si>
  <si>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</si>
  <si>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</si>
  <si>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</si>
  <si>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</si>
  <si>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</si>
  <si>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</si>
  <si>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</si>
  <si>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</si>
  <si>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</si>
  <si>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</si>
  <si>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</si>
  <si>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</si>
  <si>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</si>
  <si>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</si>
  <si>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</si>
  <si>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</si>
  <si>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</si>
  <si>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</si>
  <si>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</si>
  <si>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</si>
  <si>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</si>
  <si>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Cucharita Matera         </t>
  </si>
  <si>
    <t xml:space="preserve">Cepillo Limpia Bombilla  </t>
  </si>
  <si>
    <t>Sacayerba</t>
  </si>
  <si>
    <t xml:space="preserve">Corta Ravioles           </t>
  </si>
  <si>
    <t xml:space="preserve">Pinza Chica              </t>
  </si>
  <si>
    <t xml:space="preserve">Corta Pizza Gastronomico </t>
  </si>
  <si>
    <t xml:space="preserve">Pinza De Hielo           </t>
  </si>
  <si>
    <t xml:space="preserve">Pala De Canelones        </t>
  </si>
  <si>
    <t>Tapon De Vino/Cerv X1  Negro</t>
  </si>
  <si>
    <t>Tapon De Vino/Cerveza Premium</t>
  </si>
  <si>
    <t>Tapon De Vino/Cerv X 1 Color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</si>
  <si>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</si>
  <si>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</si>
  <si>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</si>
  <si>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</si>
  <si>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</si>
  <si>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</si>
  <si>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</si>
  <si>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587D</t>
  </si>
  <si>
    <t>Sacacorcho Cabo Plastico</t>
  </si>
  <si>
    <t>581D</t>
  </si>
  <si>
    <t>510D</t>
  </si>
  <si>
    <t>Abrelata Uña Cromado</t>
  </si>
  <si>
    <t>A2A</t>
  </si>
  <si>
    <t>B5B</t>
  </si>
  <si>
    <t>E4B</t>
  </si>
  <si>
    <t>F3A</t>
  </si>
  <si>
    <t>F3B</t>
  </si>
  <si>
    <t>F4A</t>
  </si>
  <si>
    <t>F4B</t>
  </si>
  <si>
    <t>G5B</t>
  </si>
  <si>
    <t>F5A</t>
  </si>
  <si>
    <t>F5B</t>
  </si>
  <si>
    <t>G2A</t>
  </si>
  <si>
    <t>G2B</t>
  </si>
  <si>
    <t>G3A</t>
  </si>
  <si>
    <t>G3B</t>
  </si>
  <si>
    <t>G3C</t>
  </si>
  <si>
    <t>G4B</t>
  </si>
  <si>
    <t>G4A</t>
  </si>
  <si>
    <t>G5A</t>
  </si>
  <si>
    <t>Uni x Paq</t>
  </si>
  <si>
    <t>Ubicación</t>
  </si>
  <si>
    <t>Pliegos</t>
  </si>
  <si>
    <t>Corbata Gen</t>
  </si>
  <si>
    <t>CAPL1F</t>
  </si>
  <si>
    <t>CAPL1B</t>
  </si>
  <si>
    <t>CAPL2E</t>
  </si>
  <si>
    <t>CAPL2A</t>
  </si>
  <si>
    <t>CAPL2D</t>
  </si>
  <si>
    <t>CAPL2G</t>
  </si>
  <si>
    <t>Corbata Cuchara Plast</t>
  </si>
  <si>
    <t>706D</t>
  </si>
  <si>
    <t>Varios</t>
  </si>
  <si>
    <t>O1B</t>
  </si>
  <si>
    <t>N1</t>
  </si>
  <si>
    <t>N2B</t>
  </si>
  <si>
    <t>N2C</t>
  </si>
  <si>
    <t>N2A</t>
  </si>
  <si>
    <t>N3B</t>
  </si>
  <si>
    <t>N3C</t>
  </si>
  <si>
    <t>N5</t>
  </si>
  <si>
    <t>N7B</t>
  </si>
  <si>
    <t>Ñ1B</t>
  </si>
  <si>
    <t>Ñ2B</t>
  </si>
  <si>
    <t>802D</t>
  </si>
  <si>
    <t>O2A</t>
  </si>
  <si>
    <t>O2B</t>
  </si>
  <si>
    <t>O2C</t>
  </si>
  <si>
    <t>O2D</t>
  </si>
  <si>
    <t>O3C</t>
  </si>
  <si>
    <t>P3A</t>
  </si>
  <si>
    <t>P4B</t>
  </si>
  <si>
    <t>Q1B</t>
  </si>
  <si>
    <t>909D</t>
  </si>
  <si>
    <t>Q4A</t>
  </si>
  <si>
    <t>Q7B</t>
  </si>
  <si>
    <t>N3A</t>
  </si>
  <si>
    <t>N6C</t>
  </si>
  <si>
    <t>N6B</t>
  </si>
  <si>
    <t>O3A</t>
  </si>
  <si>
    <t>O3B</t>
  </si>
  <si>
    <t>O5A</t>
  </si>
  <si>
    <t>O5B</t>
  </si>
  <si>
    <t>N6A</t>
  </si>
  <si>
    <t>N7A</t>
  </si>
  <si>
    <t>Ñ1A</t>
  </si>
  <si>
    <t>Ñ2A</t>
  </si>
  <si>
    <t>O1A</t>
  </si>
  <si>
    <t>O7</t>
  </si>
  <si>
    <t>P1B</t>
  </si>
  <si>
    <t>P3B</t>
  </si>
  <si>
    <t>Q7A</t>
  </si>
  <si>
    <t>P4A</t>
  </si>
  <si>
    <t>P2A</t>
  </si>
  <si>
    <t>P1A</t>
  </si>
  <si>
    <t>Q1A</t>
  </si>
  <si>
    <t>K1B</t>
  </si>
  <si>
    <t>112K</t>
  </si>
  <si>
    <t>118K</t>
  </si>
  <si>
    <t>K3A</t>
  </si>
  <si>
    <t>128K</t>
  </si>
  <si>
    <t>L2A</t>
  </si>
  <si>
    <t>113K</t>
  </si>
  <si>
    <t>L2B</t>
  </si>
  <si>
    <t>114K</t>
  </si>
  <si>
    <t>L2C</t>
  </si>
  <si>
    <t>115K</t>
  </si>
  <si>
    <t>126K</t>
  </si>
  <si>
    <t>184K</t>
  </si>
  <si>
    <t>K1A</t>
  </si>
  <si>
    <t>111K</t>
  </si>
  <si>
    <t>K3B</t>
  </si>
  <si>
    <t>129K</t>
  </si>
  <si>
    <t>110K</t>
  </si>
  <si>
    <t>CK</t>
  </si>
  <si>
    <t>121K</t>
  </si>
  <si>
    <t>139K</t>
  </si>
  <si>
    <t>150K</t>
  </si>
  <si>
    <t>163K</t>
  </si>
  <si>
    <t>Paquetes</t>
  </si>
  <si>
    <t>Uni Sueltas</t>
  </si>
  <si>
    <t>Estanteria</t>
  </si>
  <si>
    <t>A1A</t>
  </si>
  <si>
    <t>A</t>
  </si>
  <si>
    <t>H</t>
  </si>
  <si>
    <r>
      <rPr>
        <b/>
        <sz val="14"/>
        <color theme="1"/>
        <rFont val="Calibri"/>
        <family val="2"/>
        <scheme val="minor"/>
      </rPr>
      <t>A1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</si>
  <si>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A2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</si>
  <si>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</si>
  <si>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B1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</si>
  <si>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</si>
  <si>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B2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</si>
  <si>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</si>
  <si>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</si>
  <si>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</si>
  <si>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</si>
  <si>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</si>
  <si>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</si>
  <si>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</si>
  <si>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B5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</si>
  <si>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</si>
  <si>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</si>
  <si>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</si>
  <si>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</si>
  <si>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</si>
  <si>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</si>
  <si>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</si>
  <si>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</si>
  <si>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</si>
  <si>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</si>
  <si>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</si>
  <si>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</si>
  <si>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</si>
  <si>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</si>
  <si>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</si>
  <si>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</si>
  <si>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E</t>
    </r>
  </si>
  <si>
    <r>
      <rPr>
        <b/>
        <sz val="14"/>
        <color theme="1"/>
        <rFont val="Calibri"/>
        <family val="2"/>
        <scheme val="minor"/>
      </rPr>
      <t>E1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</si>
  <si>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E1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</si>
  <si>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</si>
  <si>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</si>
  <si>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</si>
  <si>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</si>
  <si>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</si>
  <si>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</si>
  <si>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</si>
  <si>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</si>
  <si>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</si>
  <si>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</si>
  <si>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</si>
  <si>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</si>
  <si>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</si>
  <si>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</si>
  <si>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</si>
  <si>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</si>
  <si>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</si>
  <si>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F5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</si>
  <si>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</si>
  <si>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</si>
  <si>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</si>
  <si>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</si>
  <si>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</si>
  <si>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</si>
  <si>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</si>
  <si>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</si>
  <si>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</si>
  <si>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</si>
  <si>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</si>
  <si>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G5</t>
    </r>
    <r>
      <rPr>
        <b/>
        <sz val="10"/>
        <color theme="1"/>
        <rFont val="Calibri"/>
        <family val="2"/>
        <scheme val="minor"/>
      </rPr>
      <t>B</t>
    </r>
  </si>
  <si>
    <t>RELEVAMIENTO CARTONES</t>
  </si>
  <si>
    <t>B3D</t>
  </si>
  <si>
    <r>
      <t>D2</t>
    </r>
    <r>
      <rPr>
        <b/>
        <sz val="10"/>
        <color theme="1"/>
        <rFont val="Calibri"/>
        <family val="2"/>
        <scheme val="minor"/>
      </rPr>
      <t>A</t>
    </r>
  </si>
  <si>
    <r>
      <t>F1</t>
    </r>
    <r>
      <rPr>
        <b/>
        <sz val="10"/>
        <color theme="1"/>
        <rFont val="Calibri"/>
        <family val="2"/>
        <scheme val="minor"/>
      </rPr>
      <t>A</t>
    </r>
  </si>
  <si>
    <r>
      <t>E2</t>
    </r>
    <r>
      <rPr>
        <b/>
        <sz val="10"/>
        <color theme="1"/>
        <rFont val="Calibri"/>
        <family val="2"/>
        <scheme val="minor"/>
      </rPr>
      <t>A</t>
    </r>
  </si>
  <si>
    <r>
      <t>H3</t>
    </r>
    <r>
      <rPr>
        <b/>
        <sz val="10"/>
        <color theme="1"/>
        <rFont val="Calibri"/>
        <family val="2"/>
        <scheme val="minor"/>
      </rPr>
      <t>A</t>
    </r>
  </si>
  <si>
    <r>
      <t>F2</t>
    </r>
    <r>
      <rPr>
        <b/>
        <sz val="10"/>
        <color theme="1"/>
        <rFont val="Calibri"/>
        <family val="2"/>
        <scheme val="minor"/>
      </rPr>
      <t>B</t>
    </r>
  </si>
  <si>
    <r>
      <t>H1</t>
    </r>
    <r>
      <rPr>
        <b/>
        <sz val="10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>/H2</t>
    </r>
    <r>
      <rPr>
        <b/>
        <sz val="10"/>
        <color theme="1"/>
        <rFont val="Calibri"/>
        <family val="2"/>
        <scheme val="minor"/>
      </rPr>
      <t>A</t>
    </r>
  </si>
  <si>
    <t>Stock REAL</t>
  </si>
  <si>
    <t>A1B</t>
  </si>
  <si>
    <t>K</t>
  </si>
  <si>
    <t>K2</t>
  </si>
  <si>
    <t>K5</t>
  </si>
  <si>
    <t>L</t>
  </si>
  <si>
    <t>L1</t>
  </si>
  <si>
    <t>L3</t>
  </si>
  <si>
    <t>L7</t>
  </si>
  <si>
    <t>N</t>
  </si>
  <si>
    <t>N4</t>
  </si>
  <si>
    <t>O4</t>
  </si>
  <si>
    <t>O6</t>
  </si>
  <si>
    <t>P2</t>
  </si>
  <si>
    <t>P6</t>
  </si>
  <si>
    <t>Q</t>
  </si>
  <si>
    <t>Q5</t>
  </si>
  <si>
    <t>Q3</t>
  </si>
  <si>
    <t>Q2</t>
  </si>
  <si>
    <t>Q1C</t>
  </si>
  <si>
    <t>Ñ5</t>
  </si>
  <si>
    <t>Ñ</t>
  </si>
  <si>
    <t>Ñ4</t>
  </si>
  <si>
    <r>
      <rPr>
        <sz val="11"/>
        <color theme="1"/>
        <rFont val="Calibri"/>
        <family val="2"/>
        <scheme val="minor"/>
      </rPr>
      <t>Responsable:</t>
    </r>
    <r>
      <rPr>
        <b/>
        <sz val="11"/>
        <color theme="1"/>
        <rFont val="Calibri"/>
        <family val="2"/>
        <scheme val="minor"/>
      </rPr>
      <t xml:space="preserve"> Facundo Sanacore</t>
    </r>
  </si>
  <si>
    <t>Fecha: 31/08/2022</t>
  </si>
  <si>
    <t>A1C</t>
  </si>
  <si>
    <t>Ñ3</t>
  </si>
  <si>
    <t>Q4B</t>
  </si>
  <si>
    <t>CH</t>
  </si>
  <si>
    <t>Pedido Uni</t>
  </si>
  <si>
    <t>435E</t>
  </si>
  <si>
    <t xml:space="preserve">Colador Acero Inox 10 Cm </t>
  </si>
  <si>
    <t>Ñoquera Mad. Mgo Redondo</t>
  </si>
  <si>
    <t xml:space="preserve">Cucharita 13cm Azucarera </t>
  </si>
  <si>
    <t xml:space="preserve">Cuchara Spaghetti Ac Inox. </t>
  </si>
  <si>
    <t>Espumadera Nylon c/ Mgo</t>
  </si>
  <si>
    <t>Destapador Pie Cromado</t>
  </si>
  <si>
    <t xml:space="preserve">Cuchillo De Untar Suelto </t>
  </si>
  <si>
    <t>Cuchillo Untar Mgo Plast</t>
  </si>
  <si>
    <t>Corta Pizza Mgo 6cm</t>
  </si>
  <si>
    <t>Pelapapas Cuchilla Corte Laser</t>
  </si>
  <si>
    <t>328E</t>
  </si>
  <si>
    <t xml:space="preserve">Rallador Plano 3 Usos Ac </t>
  </si>
  <si>
    <t>361E</t>
  </si>
  <si>
    <t>Rallador 4 Lados Ac Inox(</t>
  </si>
  <si>
    <t>363E</t>
  </si>
  <si>
    <t>Rallador Gurmet Grano Fin</t>
  </si>
  <si>
    <t>364E</t>
  </si>
  <si>
    <t>Rallador Gourmet Grano Me</t>
  </si>
  <si>
    <t>366E</t>
  </si>
  <si>
    <t>Rallador Conico A/I X 12</t>
  </si>
  <si>
    <t>478E</t>
  </si>
  <si>
    <t xml:space="preserve">Sacacorcho Doble Impulso </t>
  </si>
  <si>
    <t>502E</t>
  </si>
  <si>
    <t xml:space="preserve">Abrelata Mariposa        </t>
  </si>
  <si>
    <t>503E</t>
  </si>
  <si>
    <t>Abrelatas Doble Engranaje</t>
  </si>
  <si>
    <t>809E</t>
  </si>
  <si>
    <t xml:space="preserve">Rallador 4 Lados A/I Mgo </t>
  </si>
  <si>
    <t>702E</t>
  </si>
  <si>
    <t>712E</t>
  </si>
  <si>
    <t>692E</t>
  </si>
  <si>
    <t>727E</t>
  </si>
  <si>
    <t>729E</t>
  </si>
  <si>
    <t>733E</t>
  </si>
  <si>
    <t>865E</t>
  </si>
  <si>
    <t>868E</t>
  </si>
  <si>
    <t>877E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</si>
  <si>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</si>
  <si>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</si>
  <si>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</si>
  <si>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</si>
  <si>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</si>
  <si>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</si>
  <si>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</si>
  <si>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</si>
  <si>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</si>
  <si>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</si>
  <si>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</si>
  <si>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</si>
  <si>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</si>
  <si>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</si>
  <si>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</si>
  <si>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</si>
  <si>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</si>
  <si>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</si>
  <si>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</si>
  <si>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</si>
  <si>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</si>
  <si>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</si>
  <si>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</si>
  <si>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</si>
  <si>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</si>
  <si>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</si>
  <si>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</si>
  <si>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</si>
  <si>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 xml:space="preserve">Abrelatas Uñas           </t>
  </si>
  <si>
    <t>Enrulador Manteca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</si>
  <si>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</si>
  <si>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</si>
  <si>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</si>
  <si>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</si>
  <si>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</si>
  <si>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</si>
  <si>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</si>
  <si>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</si>
  <si>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</si>
  <si>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</si>
  <si>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</si>
  <si>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</si>
  <si>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</si>
  <si>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</si>
  <si>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</si>
  <si>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</si>
  <si>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</si>
  <si>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</si>
  <si>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</si>
  <si>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</si>
  <si>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</si>
  <si>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</si>
  <si>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</si>
  <si>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</si>
  <si>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</si>
  <si>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</si>
  <si>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</si>
  <si>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</si>
  <si>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</si>
  <si>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</si>
  <si>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</si>
  <si>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</si>
  <si>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</si>
  <si>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</si>
  <si>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</si>
  <si>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</si>
  <si>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</si>
  <si>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</si>
  <si>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</si>
  <si>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</si>
  <si>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</si>
  <si>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</si>
  <si>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</si>
  <si>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</si>
  <si>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</si>
  <si>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</si>
  <si>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</si>
  <si>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Afila Cuchillo           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</si>
  <si>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</si>
  <si>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</si>
  <si>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</si>
  <si>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</si>
  <si>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</si>
  <si>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 xml:space="preserve">Pelador "V" Horizontal   </t>
  </si>
  <si>
    <t>Sac Doble Aleta Fund Eco</t>
  </si>
  <si>
    <t xml:space="preserve">Batidor Pera Display     </t>
  </si>
  <si>
    <t>Rallador Plano A/I 3 Usos</t>
  </si>
  <si>
    <t>Filtro De Tela Gastronomi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</si>
  <si>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</si>
  <si>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</si>
  <si>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</si>
  <si>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</si>
  <si>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</si>
  <si>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</si>
  <si>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</si>
  <si>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</si>
  <si>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</si>
  <si>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 xml:space="preserve">Stock Uni </t>
  </si>
  <si>
    <t>Ahueca Papas</t>
  </si>
  <si>
    <t>Ahueca Frutas</t>
  </si>
  <si>
    <t>Espumadera Ac.Inox.</t>
  </si>
  <si>
    <t>Cuchara De Helado</t>
  </si>
  <si>
    <t>Pelador Mgo Metalico</t>
  </si>
  <si>
    <t>Sacacorcho Doble Aleta</t>
  </si>
  <si>
    <t>Pala De Canelones</t>
  </si>
  <si>
    <t>Pelador Mgo Plastico</t>
  </si>
  <si>
    <t>Pincel Pastelero</t>
  </si>
  <si>
    <t>Corta Torta</t>
  </si>
  <si>
    <t>Abrelatas A Manija</t>
  </si>
  <si>
    <t>Sacafuentes Articulado</t>
  </si>
  <si>
    <t>Ñoquera Madera</t>
  </si>
  <si>
    <t>Enrulador De Manteca</t>
  </si>
  <si>
    <t>Batidor Pera Alambre</t>
  </si>
  <si>
    <t>Afila Cuchillos</t>
  </si>
  <si>
    <t>Batidor Resorte</t>
  </si>
  <si>
    <t>Unid Sueltas</t>
  </si>
  <si>
    <t>Conteo Paquete</t>
  </si>
  <si>
    <t>Sector</t>
  </si>
  <si>
    <t>Sacacorcho Combinado Color</t>
  </si>
  <si>
    <t>V2A</t>
  </si>
  <si>
    <t>A2C</t>
  </si>
  <si>
    <t>V2D</t>
  </si>
  <si>
    <t>A1D</t>
  </si>
  <si>
    <t>V2C</t>
  </si>
  <si>
    <t>V2B</t>
  </si>
  <si>
    <t>V3A</t>
  </si>
  <si>
    <t>Bolsas</t>
  </si>
  <si>
    <t>Bolsa Filtro Café LK</t>
  </si>
  <si>
    <t>Bolsa Filtro Café Gast LK</t>
  </si>
  <si>
    <t>Bolsa Filtro Café CH</t>
  </si>
  <si>
    <t>Bolsa Filtro Café Gast CH</t>
  </si>
  <si>
    <t>Cant x Pliego</t>
  </si>
  <si>
    <t>UT</t>
  </si>
  <si>
    <t>CO</t>
  </si>
  <si>
    <t>CGENE</t>
  </si>
  <si>
    <t>RC</t>
  </si>
  <si>
    <t>AM</t>
  </si>
  <si>
    <t>BQ</t>
  </si>
  <si>
    <t>AC</t>
  </si>
  <si>
    <t>AA</t>
  </si>
  <si>
    <t>CC</t>
  </si>
  <si>
    <t>BB</t>
  </si>
  <si>
    <t>Sacacorcho Tipo Mozo Color</t>
  </si>
  <si>
    <t>Cuchillo De Untar X 2 mad</t>
  </si>
  <si>
    <t xml:space="preserve">Colador N°16             </t>
  </si>
  <si>
    <t xml:space="preserve">Colador N°20             </t>
  </si>
  <si>
    <t xml:space="preserve">Cuchillo Torta Acero Inox </t>
  </si>
  <si>
    <t>Abrelata Mariposa Tira Imp.</t>
  </si>
  <si>
    <t>Afila Cuchillos Azul</t>
  </si>
  <si>
    <t>Abrelata Uña Crom Tira Imp</t>
  </si>
  <si>
    <t>Sac. Tipo Mozo Cromado Tira Imp.</t>
  </si>
  <si>
    <t>502T</t>
  </si>
  <si>
    <t>504A</t>
  </si>
  <si>
    <t>510T</t>
  </si>
  <si>
    <t>512E</t>
  </si>
  <si>
    <t>520T</t>
  </si>
  <si>
    <t>581T</t>
  </si>
  <si>
    <t>587T</t>
  </si>
  <si>
    <t>Cepillo Limpia Bombilla</t>
  </si>
  <si>
    <t>L3A</t>
  </si>
  <si>
    <t>L3B</t>
  </si>
  <si>
    <t>L3C</t>
  </si>
  <si>
    <t>Sac. Cabo Nylon</t>
  </si>
  <si>
    <t>Sac. Cabo Plast Tira Imp.</t>
  </si>
  <si>
    <t>Pelapapa Corte Laser Tira Imp.</t>
  </si>
  <si>
    <t>V1A</t>
  </si>
  <si>
    <t>V1B</t>
  </si>
  <si>
    <t>V2E</t>
  </si>
  <si>
    <t>M3A</t>
  </si>
  <si>
    <t>M3B</t>
  </si>
  <si>
    <t>M3C</t>
  </si>
  <si>
    <t>M5A</t>
  </si>
  <si>
    <t>M5B</t>
  </si>
  <si>
    <t>L5A</t>
  </si>
  <si>
    <t>L5B</t>
  </si>
  <si>
    <t>Q3A</t>
  </si>
  <si>
    <t>S4A</t>
  </si>
  <si>
    <t>O4A</t>
  </si>
  <si>
    <t>S3C</t>
  </si>
  <si>
    <t>R3A</t>
  </si>
  <si>
    <t>R3C</t>
  </si>
  <si>
    <t>S3A</t>
  </si>
  <si>
    <t>S3B</t>
  </si>
  <si>
    <t>Pinza Articulada Madera Ensalada y Sushi</t>
  </si>
  <si>
    <t>Abrelatas Super Mariposa</t>
  </si>
  <si>
    <t>Abrelata Mariposa Tira Impulsiva</t>
  </si>
  <si>
    <t>Abrelata Uña Cromado Tira Impulsiva</t>
  </si>
  <si>
    <t>Sac. Tipo Mozo Cromado Tira Impulsiva</t>
  </si>
  <si>
    <t>Sac. Cabo Nylon Tira Impulsiva</t>
  </si>
  <si>
    <t>Pelador Cuchilla Corte Laser Tira Impulsiva</t>
  </si>
  <si>
    <t>Sacacorcho Cabo Madera</t>
  </si>
  <si>
    <t>Corta Queso Semiduros A/I</t>
  </si>
  <si>
    <t>Batidor Mini</t>
  </si>
  <si>
    <t>Corta Pizza C/Mgo Ergonom</t>
  </si>
  <si>
    <t xml:space="preserve">Corta Huevo              </t>
  </si>
  <si>
    <t>Corta Pizza Familiar</t>
  </si>
  <si>
    <t xml:space="preserve">Sacacorcho "Fish" Grande </t>
  </si>
  <si>
    <t>Rallador C/Mgo Ergonomico</t>
  </si>
  <si>
    <t>574E</t>
  </si>
  <si>
    <t>810E</t>
  </si>
  <si>
    <t>580E</t>
  </si>
  <si>
    <t>811E</t>
  </si>
  <si>
    <t>812E</t>
  </si>
  <si>
    <t>819E</t>
  </si>
  <si>
    <t>817E</t>
  </si>
  <si>
    <t>529E</t>
  </si>
  <si>
    <t xml:space="preserve">Sacafuente               </t>
  </si>
  <si>
    <t>R1A</t>
  </si>
  <si>
    <t>R2A</t>
  </si>
  <si>
    <t>S1A</t>
  </si>
  <si>
    <t>S2A</t>
  </si>
  <si>
    <t>R5/6/7A</t>
  </si>
  <si>
    <t>Cód ISIS</t>
  </si>
  <si>
    <t>Prescintos N° 8</t>
  </si>
  <si>
    <t>Prescintos N° 10</t>
  </si>
  <si>
    <t>Prescintos N° 12</t>
  </si>
  <si>
    <t>Prescintos N° 14</t>
  </si>
  <si>
    <t>Prescintos N° 16</t>
  </si>
  <si>
    <t>Corbata</t>
  </si>
  <si>
    <t>SI</t>
  </si>
  <si>
    <t>Cant x Uni</t>
  </si>
  <si>
    <t>Prescintos</t>
  </si>
  <si>
    <t>Etiquetas</t>
  </si>
  <si>
    <t>MA1A</t>
  </si>
  <si>
    <t>MA1B</t>
  </si>
  <si>
    <t>NA1C</t>
  </si>
  <si>
    <t>Etiqueta 49 x 25</t>
  </si>
  <si>
    <t>Etiqueta 38 x 20</t>
  </si>
  <si>
    <t>Etiqueta 100 x 35</t>
  </si>
  <si>
    <t>38x20</t>
  </si>
  <si>
    <t>49x25</t>
  </si>
  <si>
    <t>Fleje Prolipropileno 11.5 mm</t>
  </si>
  <si>
    <t>AC9</t>
  </si>
  <si>
    <t>Cepillos</t>
  </si>
  <si>
    <t>Cepillo Limpia Mamadera</t>
  </si>
  <si>
    <t>Etiqueta 100 x 65</t>
  </si>
  <si>
    <t>Ribbon Cera 102 x 450 Negro</t>
  </si>
  <si>
    <t>Abrelatas Mariposa Cromado</t>
  </si>
  <si>
    <t>Filtro Para Bombillas</t>
  </si>
  <si>
    <t xml:space="preserve">Cuchara Nylon Reforzada  </t>
  </si>
  <si>
    <t>Sacacorcho Mango Ergonomico</t>
  </si>
  <si>
    <t>Pelador Metalico Corte Laser</t>
  </si>
  <si>
    <t xml:space="preserve">Colador Ø 16cm  </t>
  </si>
  <si>
    <t>Muñeco Silicona Antiderrame</t>
  </si>
  <si>
    <t xml:space="preserve">Sacacorcho Doble Aleta  </t>
  </si>
  <si>
    <t>Cuchara Madera 35 Cm</t>
  </si>
  <si>
    <t>Pinza De Hielo 14cm</t>
  </si>
  <si>
    <t>Tapon De Vino/Cerveza x1 Negro</t>
  </si>
  <si>
    <t>Tapon De Vino/Cerveza x1 Prem</t>
  </si>
  <si>
    <t>Tapon De Vino/Cerveza x1 Color</t>
  </si>
  <si>
    <t>Manga Repostera + 4 Boquillas</t>
  </si>
  <si>
    <t>Cuchillo Untar Mgo Madera x2</t>
  </si>
  <si>
    <t>Pelanaranjas x 1 Display</t>
  </si>
  <si>
    <t xml:space="preserve">Corta Ravioles c/Mango Loeke </t>
  </si>
  <si>
    <t xml:space="preserve">Pinza Corta Alambre 21cm </t>
  </si>
  <si>
    <t>Rallador Cilindrico 21cm</t>
  </si>
  <si>
    <t>Abrelatas Mariposa Capuchon Rojo</t>
  </si>
  <si>
    <t>Abrelatas Uña 3 En 1</t>
  </si>
  <si>
    <t>Llavero Destapador Pie Color</t>
  </si>
  <si>
    <t>Corta Queso Blandos Mango Loeke</t>
  </si>
  <si>
    <t xml:space="preserve">Corta Pizza 8cm Mgo Madera </t>
  </si>
  <si>
    <t>Pala De Torta Acero Inox</t>
  </si>
  <si>
    <t>Sacafuente Pizzero</t>
  </si>
  <si>
    <t>Cuchillo De Untar Mgo Plast x2</t>
  </si>
  <si>
    <t>Cuchara Madera 40 Cm</t>
  </si>
  <si>
    <t>Cuchara Madera 25 Cm</t>
  </si>
  <si>
    <t>Bate Bife Madera</t>
  </si>
  <si>
    <t>Cuchara Madera 45 Cm</t>
  </si>
  <si>
    <t>Cuchara Madera 30 Cm</t>
  </si>
  <si>
    <t>Cucharon Nylon 1 Pza</t>
  </si>
  <si>
    <t>Cuchara Fideos Nylon 1 Pza</t>
  </si>
  <si>
    <t>Espatula Calada Nylon 1 Pza</t>
  </si>
  <si>
    <t>Espatula Calada Ac. Inox.</t>
  </si>
  <si>
    <t>Cuchara Salsera Inox</t>
  </si>
  <si>
    <t>Cuchara Calada Ac.Inox.</t>
  </si>
  <si>
    <t>Cucharon Ac.Inox.</t>
  </si>
  <si>
    <t>Pinche Ac.Inox.</t>
  </si>
  <si>
    <t>Espatula Lisa Ac.Inox.</t>
  </si>
  <si>
    <t>Cuchara Calada Nylon 1 Pza</t>
  </si>
  <si>
    <t>Pisa Papas Nylon con Mgo</t>
  </si>
  <si>
    <t xml:space="preserve">Colador Ø 20cm  </t>
  </si>
  <si>
    <t>Colador Ø 8cm</t>
  </si>
  <si>
    <t xml:space="preserve">Colador Ø 10cm </t>
  </si>
  <si>
    <t>Cierra Bolsa x2</t>
  </si>
  <si>
    <t>Destapa Corona x1 Cromado</t>
  </si>
  <si>
    <t xml:space="preserve">Abrelatas Super Mariposa                         </t>
  </si>
  <si>
    <t>Pinza Gastronomica 25cm</t>
  </si>
  <si>
    <t>Espumadera Nylon con Mgo</t>
  </si>
  <si>
    <t>Corta Ravioles c/Mango Loeke</t>
  </si>
  <si>
    <t>Abrelata Mariposa Niquelado</t>
  </si>
  <si>
    <t xml:space="preserve">Cuchillo Untar Mgo Madera x2 </t>
  </si>
  <si>
    <t xml:space="preserve">Cuchara De Helado </t>
  </si>
  <si>
    <t>Destapa Corona x1 Blanco</t>
  </si>
  <si>
    <t>Cuchillo De Torta Ac. Inox</t>
  </si>
  <si>
    <t>Pinza Corta Alambre 21cm</t>
  </si>
  <si>
    <t>Filtro de Bombilla</t>
  </si>
  <si>
    <t>Pala De Canelones Ac. Inox</t>
  </si>
  <si>
    <t>Corta Pizza Gastro. Mgo Chef Ø 8cm</t>
  </si>
  <si>
    <t>Sacacorcho Cabo Ergonomico</t>
  </si>
  <si>
    <t xml:space="preserve">Set x3 Espatulas Plasticas </t>
  </si>
  <si>
    <t xml:space="preserve">Pinza De Ensalada Inox </t>
  </si>
  <si>
    <t>Pelapapas Mgo Plastico Ergonomico Verde</t>
  </si>
  <si>
    <t>Pinza De Fiambre Inox</t>
  </si>
  <si>
    <t xml:space="preserve">Pinza De Fideos Inox  </t>
  </si>
  <si>
    <t xml:space="preserve">Afila Cuchillos </t>
  </si>
  <si>
    <t>Extractor de Espumante</t>
  </si>
  <si>
    <t>Precio Uni</t>
  </si>
  <si>
    <t>% Ocup</t>
  </si>
  <si>
    <t>FECHA:</t>
  </si>
  <si>
    <t>Pedi Min</t>
  </si>
  <si>
    <t>Descripción</t>
  </si>
  <si>
    <t>Cons x Mes Rollo</t>
  </si>
  <si>
    <t>Uni x Rollo</t>
  </si>
  <si>
    <t>Cons Uni x Mes</t>
  </si>
  <si>
    <t>Abrelata Uña Pie</t>
  </si>
  <si>
    <t>Abrelatas Uña</t>
  </si>
  <si>
    <t>Abrelata Uña Crom</t>
  </si>
  <si>
    <t>Corta Pizza 6cm Mgo LK</t>
  </si>
  <si>
    <t>Max Cons 3 Mes</t>
  </si>
  <si>
    <t>Pliegos Adhesivado</t>
  </si>
  <si>
    <t>Pliegos SIN Adhesivar</t>
  </si>
  <si>
    <t>Max Cons 3 Mes Uni</t>
  </si>
  <si>
    <t>Prov</t>
  </si>
  <si>
    <t>Pliego x Paq</t>
  </si>
  <si>
    <t>Pedido KG</t>
  </si>
  <si>
    <t xml:space="preserve">Abrelatas Uña 706 CH </t>
  </si>
  <si>
    <t xml:space="preserve">Cepillo Limpia Bombilla </t>
  </si>
  <si>
    <t xml:space="preserve">Bombilla Resorte Chata </t>
  </si>
  <si>
    <t xml:space="preserve">Bombilla Resorte Tradici </t>
  </si>
  <si>
    <t xml:space="preserve">Bombilla AutoLimp </t>
  </si>
  <si>
    <t xml:space="preserve">Bombilla Chef </t>
  </si>
  <si>
    <t xml:space="preserve">Abrelata Uña Pie </t>
  </si>
  <si>
    <t xml:space="preserve">Abrelatas Uña </t>
  </si>
  <si>
    <t xml:space="preserve">Abrelata Uña Cromado </t>
  </si>
  <si>
    <t xml:space="preserve">Cons x Mes </t>
  </si>
  <si>
    <t>Agrup</t>
  </si>
  <si>
    <t>Sunchos</t>
  </si>
  <si>
    <t>Stock KG</t>
  </si>
  <si>
    <t>KG x Caja</t>
  </si>
  <si>
    <t>Prec x KG</t>
  </si>
  <si>
    <t>Cant x Rollo</t>
  </si>
  <si>
    <t>Carton</t>
  </si>
  <si>
    <t>DISCONTINUO</t>
  </si>
  <si>
    <t>E2A</t>
  </si>
  <si>
    <t>G1A</t>
  </si>
  <si>
    <t>M4A</t>
  </si>
  <si>
    <t>M3D</t>
  </si>
  <si>
    <t>M6A</t>
  </si>
  <si>
    <t>M6B</t>
  </si>
  <si>
    <t>L4B</t>
  </si>
  <si>
    <t>L4A</t>
  </si>
  <si>
    <t>Afila Loekemeyer</t>
  </si>
  <si>
    <t>Afila Chef</t>
  </si>
  <si>
    <t>INFORMACION</t>
  </si>
  <si>
    <t>Max Cons 3 Mes KG</t>
  </si>
  <si>
    <t>Cant x Bolsa</t>
  </si>
  <si>
    <t>Conteo Rollo</t>
  </si>
  <si>
    <t>Pedi Min Uni</t>
  </si>
  <si>
    <t>% Ocup Total</t>
  </si>
  <si>
    <t>Stock CD Uni</t>
  </si>
  <si>
    <t>Stock Total Uni</t>
  </si>
  <si>
    <t>Max CD Uni</t>
  </si>
  <si>
    <t>Max Total Uni</t>
  </si>
  <si>
    <t>Cod Art</t>
  </si>
  <si>
    <t>Stock Caja CD</t>
  </si>
  <si>
    <t>Parte x Uni</t>
  </si>
  <si>
    <t>Uni x Caja</t>
  </si>
  <si>
    <t>Stock Uni CD</t>
  </si>
  <si>
    <t>Max Cajas CD</t>
  </si>
  <si>
    <t>STOCK VIRGILIO CARTONES</t>
  </si>
  <si>
    <t>Descripción Parte</t>
  </si>
  <si>
    <t>Max Uni CD</t>
  </si>
  <si>
    <t>Estad Madre Uni</t>
  </si>
  <si>
    <t>Bandita LK</t>
  </si>
  <si>
    <t>Bandita CH</t>
  </si>
  <si>
    <t>Cepillo Limpia Mamadera LK</t>
  </si>
  <si>
    <t>Cepillo Limpia Mamadera CH</t>
  </si>
  <si>
    <t>Cepillo Limpia Bombilla LK</t>
  </si>
  <si>
    <t>Cepillo Limpia Bombilla CH</t>
  </si>
  <si>
    <t>Uni Suelta</t>
  </si>
  <si>
    <t>Stock CD KG</t>
  </si>
  <si>
    <t>Stock Total KG</t>
  </si>
  <si>
    <t>Stock CD Pliego</t>
  </si>
  <si>
    <t>Stock Total Pliego</t>
  </si>
  <si>
    <t>Max CD KG</t>
  </si>
  <si>
    <t>Max Total KG</t>
  </si>
  <si>
    <t>Max CD Pliego</t>
  </si>
  <si>
    <t>Max Total Pliego</t>
  </si>
  <si>
    <t>ENCARGADO:</t>
  </si>
  <si>
    <t>Grafica Pol</t>
  </si>
  <si>
    <t>Envases Vihal</t>
  </si>
  <si>
    <t>Packaging y Servicios</t>
  </si>
  <si>
    <t>Roster</t>
  </si>
  <si>
    <t>Sumatik</t>
  </si>
  <si>
    <t>Cia Integral Etiquetas</t>
  </si>
  <si>
    <t>Film Strecht Virgen</t>
  </si>
  <si>
    <t>LA1</t>
  </si>
  <si>
    <t>Stock Paquete</t>
  </si>
  <si>
    <t>Pedido Paquete</t>
  </si>
  <si>
    <t>Pedi Min Paquete</t>
  </si>
  <si>
    <t>Pliego Suelto</t>
  </si>
  <si>
    <t>Cons x Mes Paquete</t>
  </si>
  <si>
    <t>Uni x Pliego</t>
  </si>
  <si>
    <t>Pliego Bombilla</t>
  </si>
  <si>
    <t>Papelera 9 de Julio</t>
  </si>
  <si>
    <t>B5C</t>
  </si>
  <si>
    <t>Cepillo Limpia Vajilla LK</t>
  </si>
  <si>
    <t>Cepillo Limpia Vajilla CH</t>
  </si>
  <si>
    <t>Cepillo Limpia Vajilla</t>
  </si>
  <si>
    <t>Cant x Caja</t>
  </si>
  <si>
    <t>Pedi Min KG</t>
  </si>
  <si>
    <t>Cant Rollo x Caja</t>
  </si>
  <si>
    <t>AB</t>
  </si>
  <si>
    <t>N° Prec</t>
  </si>
  <si>
    <t>Bolsa Cierra Bolsa</t>
  </si>
  <si>
    <t>Este pedido anula cualquier pedido anterior</t>
  </si>
  <si>
    <t xml:space="preserve">Fecha: </t>
  </si>
  <si>
    <t>AJ Adhesivos</t>
  </si>
  <si>
    <t>Precinter</t>
  </si>
  <si>
    <t>Pedido Damian</t>
  </si>
  <si>
    <t>Corbata Generica CH</t>
  </si>
  <si>
    <t>Corbata Generica LK</t>
  </si>
  <si>
    <t>Carton 66</t>
  </si>
  <si>
    <t>Pelapapas Mgo Plast Ergo Vde</t>
  </si>
  <si>
    <t>Corta Queso Blandos Mgo Alambre</t>
  </si>
  <si>
    <t>Pinza De Ensalada Mgo Plast 23cm</t>
  </si>
  <si>
    <t>Pinza De Fiambre Mgo Plast 23cm</t>
  </si>
  <si>
    <t>Pinza De Fideos Mgo Plast 25cm</t>
  </si>
  <si>
    <t>Pelapapas Mgo Plast Ergo</t>
  </si>
  <si>
    <t>Corta Pizza Gastro. Mgo Ch Ø 8cm</t>
  </si>
  <si>
    <t>CONTEO CARTONES Y PLIEGOS</t>
  </si>
  <si>
    <t>Max Cons 3 Mes Paquete</t>
  </si>
  <si>
    <t>Max x Mes</t>
  </si>
  <si>
    <t>1314700</t>
  </si>
  <si>
    <t>Orden Prioridad</t>
  </si>
  <si>
    <t>Conteo Cajas</t>
  </si>
  <si>
    <t>Cant Uni x Caja</t>
  </si>
  <si>
    <t>Cuchara de Fideos Nylon Mango Goma</t>
  </si>
  <si>
    <t>Llavero Destapador Pie Cromado</t>
  </si>
  <si>
    <t>Ñoquera Madera mango redondo</t>
  </si>
  <si>
    <t>Cucharita 13cm Azucarera Madera</t>
  </si>
  <si>
    <t>Met-V</t>
  </si>
  <si>
    <t>Met-Cua</t>
  </si>
  <si>
    <t>% Ocup Conteo</t>
  </si>
  <si>
    <t>Orden Priori</t>
  </si>
  <si>
    <t>Pedido Damian Uni</t>
  </si>
  <si>
    <t>Pinza Grande</t>
  </si>
  <si>
    <t xml:space="preserve">Espatula Calada Nylon Mgo Goma </t>
  </si>
  <si>
    <t>Cucharon Nylon Mgo Goma</t>
  </si>
  <si>
    <t xml:space="preserve">Bombilla Coco Hexagonal </t>
  </si>
  <si>
    <t>Bombilla Colores Metalizados</t>
  </si>
  <si>
    <t xml:space="preserve">Pinza articulada de Madera Ensalada/Sushi </t>
  </si>
  <si>
    <t>G1B</t>
  </si>
  <si>
    <t>G1C</t>
  </si>
  <si>
    <t>G1E</t>
  </si>
  <si>
    <t>G2C</t>
  </si>
  <si>
    <t>G2D</t>
  </si>
  <si>
    <t>G2E</t>
  </si>
  <si>
    <t>G3D</t>
  </si>
  <si>
    <t>G3E</t>
  </si>
  <si>
    <t>G4C</t>
  </si>
  <si>
    <t>G4D</t>
  </si>
  <si>
    <t>G4E</t>
  </si>
  <si>
    <t>G5C</t>
  </si>
  <si>
    <t>G5D</t>
  </si>
  <si>
    <t>G5E</t>
  </si>
  <si>
    <t>G6A</t>
  </si>
  <si>
    <t>G6B</t>
  </si>
  <si>
    <t>G7A</t>
  </si>
  <si>
    <t>G7B</t>
  </si>
  <si>
    <t>G7C</t>
  </si>
  <si>
    <t>G7D</t>
  </si>
  <si>
    <t>D1B</t>
  </si>
  <si>
    <t>D1A</t>
  </si>
  <si>
    <t>E1A</t>
  </si>
  <si>
    <t>E1B</t>
  </si>
  <si>
    <t>E2B</t>
  </si>
  <si>
    <t>E4A</t>
  </si>
  <si>
    <t>F1</t>
  </si>
  <si>
    <t>F5C</t>
  </si>
  <si>
    <t>M7A</t>
  </si>
  <si>
    <t>M4B</t>
  </si>
  <si>
    <t>M7B</t>
  </si>
  <si>
    <t>M5D</t>
  </si>
  <si>
    <t>G8A</t>
  </si>
  <si>
    <t>G7E</t>
  </si>
  <si>
    <t>G8B</t>
  </si>
  <si>
    <t>L4C</t>
  </si>
  <si>
    <t>M2</t>
  </si>
  <si>
    <t>M5C</t>
  </si>
  <si>
    <t>K4A</t>
  </si>
  <si>
    <t>K4B</t>
  </si>
  <si>
    <t>K4C</t>
  </si>
  <si>
    <t>K5A</t>
  </si>
  <si>
    <t>K5B</t>
  </si>
  <si>
    <t>K5C</t>
  </si>
  <si>
    <t>K6A</t>
  </si>
  <si>
    <t>K6C</t>
  </si>
  <si>
    <t>K7A</t>
  </si>
  <si>
    <t>G8C</t>
  </si>
  <si>
    <t xml:space="preserve">Afila Cuchillos Loke </t>
  </si>
  <si>
    <t>Abrelata A Mariposa</t>
  </si>
  <si>
    <t>Sac Cabo Ergono nylon</t>
  </si>
  <si>
    <t>Sac Zincado</t>
  </si>
  <si>
    <t>Fecha Entrega</t>
  </si>
  <si>
    <t>Entrega:</t>
  </si>
  <si>
    <t>Conteo Caja</t>
  </si>
  <si>
    <t xml:space="preserve">Descripcion </t>
  </si>
  <si>
    <t xml:space="preserve">Abrelatas A Manija </t>
  </si>
  <si>
    <t>Abrelatas A Mariposa</t>
  </si>
  <si>
    <t>Abrelatas Uña Cromado</t>
  </si>
  <si>
    <t>Sac.Doble Aleta Fundi</t>
  </si>
  <si>
    <t>Sacac Doble Imp Inox</t>
  </si>
  <si>
    <t>Pelador Cuchilla Laser</t>
  </si>
  <si>
    <t xml:space="preserve">Pelador Mgo Metalico </t>
  </si>
  <si>
    <t>Sac. Zincado</t>
  </si>
  <si>
    <t xml:space="preserve">Colador N°8     </t>
  </si>
  <si>
    <t xml:space="preserve">Colador N°10              </t>
  </si>
  <si>
    <t xml:space="preserve">Colador N°16                  </t>
  </si>
  <si>
    <t xml:space="preserve">Colador N°20                  </t>
  </si>
  <si>
    <t xml:space="preserve">Afila Cuchillos               </t>
  </si>
  <si>
    <t xml:space="preserve">Batidor Pera Alambre          </t>
  </si>
  <si>
    <t>Corta Pizza familiar</t>
  </si>
  <si>
    <t xml:space="preserve">ECOCorta Pizza C/Mgo Ergonomico  </t>
  </si>
  <si>
    <t>Corta Queso mgo Lk</t>
  </si>
  <si>
    <t>Corta Queso (entero)</t>
  </si>
  <si>
    <t xml:space="preserve">Filtro De Cafe                </t>
  </si>
  <si>
    <t xml:space="preserve">Pisa Papas A. Inox         </t>
  </si>
  <si>
    <t xml:space="preserve">Rallador Cilindrico           </t>
  </si>
  <si>
    <t>Pelador Ergonomico</t>
  </si>
  <si>
    <t>Tostador Enlosado</t>
  </si>
  <si>
    <t>Etiqueta</t>
  </si>
  <si>
    <t>Afila Loke</t>
  </si>
  <si>
    <t>K1C</t>
  </si>
  <si>
    <t>Cant Presc</t>
  </si>
  <si>
    <t>Pelador Ergonomuco Loke</t>
  </si>
  <si>
    <t>Pelador Mgo Metalico Loke</t>
  </si>
  <si>
    <t>Pelador cuchilla laser Loke</t>
  </si>
  <si>
    <t>Sac Cabo Ergono Nylon</t>
  </si>
  <si>
    <t>Corta Queso Mgo LK</t>
  </si>
  <si>
    <t>Rallador Cilindrico</t>
  </si>
  <si>
    <t>Tostador Enlozado</t>
  </si>
  <si>
    <t>Stock Uni/Paq/KG</t>
  </si>
  <si>
    <t>Pedido Damian Rollos</t>
  </si>
  <si>
    <t>Sacacorcho Ergonomico Plast</t>
  </si>
  <si>
    <t>Colador N° 8 Loke</t>
  </si>
  <si>
    <t>Colador  N°10  Loke</t>
  </si>
  <si>
    <t>Afila  Cuch  Loke</t>
  </si>
  <si>
    <t xml:space="preserve"> Ø 16 Env. Loke</t>
  </si>
  <si>
    <t>Colador  N°20  Loke</t>
  </si>
  <si>
    <t>Q24C</t>
  </si>
  <si>
    <t>Q24L</t>
  </si>
  <si>
    <t>Q28L</t>
  </si>
  <si>
    <t>Q28C</t>
  </si>
  <si>
    <t>Q35/ BOM5C</t>
  </si>
  <si>
    <t>Q35/ BOM5L</t>
  </si>
  <si>
    <t>Colador Ø 14cm</t>
  </si>
  <si>
    <t>Colador Ø 7cm</t>
  </si>
  <si>
    <t>K3C</t>
  </si>
  <si>
    <t>K3F</t>
  </si>
  <si>
    <t>K3D</t>
  </si>
  <si>
    <t>K3E</t>
  </si>
  <si>
    <t>K3G</t>
  </si>
  <si>
    <t>K3H</t>
  </si>
  <si>
    <t>K2A</t>
  </si>
  <si>
    <t>C-LOK</t>
  </si>
  <si>
    <t>Max Paq 3 Mes</t>
  </si>
  <si>
    <t>Madre Est Uni</t>
  </si>
  <si>
    <t xml:space="preserve">Madre Est Uni </t>
  </si>
  <si>
    <t>TOTAL</t>
  </si>
  <si>
    <t>MINIMO</t>
  </si>
  <si>
    <t>H1-LOK</t>
  </si>
  <si>
    <t>H2-LOK</t>
  </si>
  <si>
    <t>H3-LOK</t>
  </si>
  <si>
    <t>H4-LOK</t>
  </si>
  <si>
    <t>Corb-CH</t>
  </si>
  <si>
    <t>Corb-LK</t>
  </si>
  <si>
    <t>Bomb-CH</t>
  </si>
  <si>
    <t>Corta Pizza Gastronomico</t>
  </si>
  <si>
    <t>K4D</t>
  </si>
  <si>
    <t>K4E</t>
  </si>
  <si>
    <t>LOK</t>
  </si>
  <si>
    <t>Colador 7cm</t>
  </si>
  <si>
    <t>Colador 8cm</t>
  </si>
  <si>
    <t>CBG</t>
  </si>
  <si>
    <t>HUEVO</t>
  </si>
  <si>
    <t>PEL</t>
  </si>
  <si>
    <t>RALL</t>
  </si>
  <si>
    <t>MRP</t>
  </si>
  <si>
    <t>Prescintos Negro N° 8</t>
  </si>
  <si>
    <t>Prescintos Negro N° 10</t>
  </si>
  <si>
    <t>Prescintos Negro N° 12</t>
  </si>
  <si>
    <t>Prescintos Negro N° 14</t>
  </si>
  <si>
    <t>Prescintos Negro N° 16</t>
  </si>
  <si>
    <t>N° Ord</t>
  </si>
  <si>
    <t>Entrega Uni</t>
  </si>
  <si>
    <t>Entrega Fecha</t>
  </si>
  <si>
    <t>CORB8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</si>
  <si>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</si>
  <si>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</si>
  <si>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</si>
  <si>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</si>
  <si>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</si>
  <si>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</si>
  <si>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</si>
  <si>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</si>
  <si>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</si>
  <si>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TELEFONO:</t>
  </si>
  <si>
    <t>11 3118-1027</t>
  </si>
  <si>
    <t>RAZON SOCIAL:</t>
  </si>
  <si>
    <t>COD PROV:</t>
  </si>
  <si>
    <t>ENTREGA EN:</t>
  </si>
  <si>
    <t>ESTE PEDIDO ANULA CUALQUIER PEDIDO ANTERIOR</t>
  </si>
  <si>
    <t>TALLER GRAFICA POL</t>
  </si>
  <si>
    <t>Chef S.R.L</t>
  </si>
  <si>
    <t>30-68575625-7</t>
  </si>
  <si>
    <t>Virgilio 2788</t>
  </si>
  <si>
    <t>PRECINTER</t>
  </si>
  <si>
    <t>SUMATIK</t>
  </si>
  <si>
    <t>Pedido Damian Rollo</t>
  </si>
  <si>
    <t>Entrega Rollo</t>
  </si>
  <si>
    <t>ROSTER</t>
  </si>
  <si>
    <t>Prescintos Negros N° 8</t>
  </si>
  <si>
    <t>Prescintos Negros N° 12</t>
  </si>
  <si>
    <t>Prescintos Negros N° 10</t>
  </si>
  <si>
    <t>Prescintos Negros N° 14</t>
  </si>
  <si>
    <t>Prescintos Negros N° 16</t>
  </si>
  <si>
    <t>Corbata N°8 CH</t>
  </si>
  <si>
    <t>Pelapapas Mgo Plast Ergo Negro</t>
  </si>
  <si>
    <t>Cucharita Matera 13cm</t>
  </si>
  <si>
    <t>Llavero Destapador Pie Crom</t>
  </si>
  <si>
    <t>Pedido Damian Paquete</t>
  </si>
  <si>
    <t>Entrega Paquete</t>
  </si>
  <si>
    <t>Loekemeyer SRL - LOKE</t>
  </si>
  <si>
    <t>123E</t>
  </si>
  <si>
    <t>Abr Manija Loke</t>
  </si>
  <si>
    <t>Abr Mariposa Loke</t>
  </si>
  <si>
    <t>Abr Uña Pint Loke</t>
  </si>
  <si>
    <t>Sac  Ergo  Loke</t>
  </si>
  <si>
    <t>Sac Doble Impluso Loke</t>
  </si>
  <si>
    <t>Pel Mgo Met Loke</t>
  </si>
  <si>
    <t>Batidor Pera Loke</t>
  </si>
  <si>
    <t>Corta Pizza Loke</t>
  </si>
  <si>
    <t>Corta Quesos  Mgo Alamb Loke</t>
  </si>
  <si>
    <t>Pisa Papas  Loke</t>
  </si>
  <si>
    <t>Pelador Plastico  Loke</t>
  </si>
  <si>
    <t xml:space="preserve">Pelador Plastico </t>
  </si>
  <si>
    <t>Pelador  Ergo  Loke</t>
  </si>
  <si>
    <t>Tostador Enlozado Loke</t>
  </si>
  <si>
    <t>% Ocup Virgilio</t>
  </si>
  <si>
    <t>Tipo de Cartón</t>
  </si>
  <si>
    <t>Huevo</t>
  </si>
  <si>
    <t>Corb8</t>
  </si>
  <si>
    <t>Fecha Pedido:</t>
  </si>
  <si>
    <t>Abrelata Mariposa Cromado</t>
  </si>
  <si>
    <t>Abrelata A Manija</t>
  </si>
  <si>
    <t>Abrelata Mariposa Pintado</t>
  </si>
  <si>
    <t>Abrelata Super Mariposa</t>
  </si>
  <si>
    <t>Sacacorcho Mgo Ergonomico</t>
  </si>
  <si>
    <t>Corta Ravioles c/Mgo LK</t>
  </si>
  <si>
    <t>Corta Queso Blandos Mgo LK</t>
  </si>
  <si>
    <t>Tapon De Vino x 1 Negro</t>
  </si>
  <si>
    <t>Tapon De Vino x 1 Color</t>
  </si>
  <si>
    <t>Tapon De Vino x 1 Prem</t>
  </si>
  <si>
    <t>Cuchillo Untar Mgo Madera x 2</t>
  </si>
  <si>
    <t>Cuchillo Untar Mgo Plast x 2</t>
  </si>
  <si>
    <t>Destapa Corona x 1 Cromado</t>
  </si>
  <si>
    <t>Pinza Ensalada Mgo Plast 23cm</t>
  </si>
  <si>
    <t>Pinza Fiambre Mgo Plast 23cm</t>
  </si>
  <si>
    <t>Pinza Fideos Mgo Plast 25cm</t>
  </si>
  <si>
    <t>Pinza Hielo 14cm</t>
  </si>
  <si>
    <t>Cucharita 13cm Azucar Madera</t>
  </si>
  <si>
    <t>Ñoquera Madera Mgo redondo</t>
  </si>
  <si>
    <t xml:space="preserve">Cuchillo Untar Mgo Madera x 2 </t>
  </si>
  <si>
    <t>Corta Ravioles c/Mgo CH</t>
  </si>
  <si>
    <t>C/Pizza Gastro. Mgo Ch Ø 8cm</t>
  </si>
  <si>
    <t>Corta Queso Mgo Alambre</t>
  </si>
  <si>
    <t>Tipo C</t>
  </si>
  <si>
    <t>Manga</t>
  </si>
  <si>
    <t>Abrelata Uña 3 En 1</t>
  </si>
  <si>
    <t>Colador N°20  Loke</t>
  </si>
  <si>
    <t>Colador N°10  Loke</t>
  </si>
  <si>
    <t>Colador N°8 Loke</t>
  </si>
  <si>
    <t>Pelador</t>
  </si>
  <si>
    <t xml:space="preserve">Tipo C - Pliego 5 Sacacorchos - Troquel Utensilios </t>
  </si>
  <si>
    <t>Tipo C - Pliego 2 Pelador - Troquel Pelador</t>
  </si>
  <si>
    <t>Tipo C - Pliego 1 Abrelatas - Troquel Abrelatas (Mariposa 12)</t>
  </si>
  <si>
    <t>Tipo C - Pliego 11 Afila - Troquel Utensilios</t>
  </si>
  <si>
    <t>Tipo C - Pliegos a definir - Troquel Utensilios</t>
  </si>
  <si>
    <t>Tipo Rallador - Pliego 16 - Troquel Rallador</t>
  </si>
  <si>
    <t>Tipo Manga Repostera - Pliego x - Troquel Manga</t>
  </si>
  <si>
    <t>Tipo Loke (LOKE) - Pliego x - Troquel x</t>
  </si>
  <si>
    <t>Tipo Huevo - Pliego 13 - Troquel Tapon</t>
  </si>
  <si>
    <t>IMP</t>
  </si>
  <si>
    <t>Rallador</t>
  </si>
  <si>
    <t>Tipo Corbata 8 (Chef) - Pliego x - Troqueles Varios</t>
  </si>
  <si>
    <t>Utensilios</t>
  </si>
  <si>
    <t>K7B</t>
  </si>
  <si>
    <t>Tipo Huevo (25) - Pliegos 9 y 10 - Troquel Huevo</t>
  </si>
  <si>
    <t>Tipo Corbata 8 (30) - Pliegos 17 y 18 - Troqueles Varios</t>
  </si>
  <si>
    <t>Pedido Pend Uni</t>
  </si>
  <si>
    <t>Pedido Pend Paquete</t>
  </si>
  <si>
    <t>890E</t>
  </si>
  <si>
    <t>Pincel Silicona 11 Gms</t>
  </si>
  <si>
    <t>052</t>
  </si>
  <si>
    <t>Cuchara Fideos Nylon Mgo</t>
  </si>
  <si>
    <t>Espatula Lisa Nylon Mgo</t>
  </si>
  <si>
    <t>Cucharon Inox Mgo</t>
  </si>
  <si>
    <t xml:space="preserve">Espumadera Inox Mgo </t>
  </si>
  <si>
    <t>Pinche Inox Mgo Chef</t>
  </si>
  <si>
    <t>Cuchara Calada Inox</t>
  </si>
  <si>
    <t>Espatula Lisa Inox</t>
  </si>
  <si>
    <t>Espatula Calada Inox</t>
  </si>
  <si>
    <t>Cuchara Spaghetti  Inox</t>
  </si>
  <si>
    <t>COLADOR 16 CM</t>
  </si>
  <si>
    <t>COLADOR 20 CM</t>
  </si>
  <si>
    <t>-</t>
  </si>
  <si>
    <t xml:space="preserve">(16) Tipo Loke (Chef) - Pliego x - Troquel utensilios </t>
  </si>
  <si>
    <t>(24) Tipo Bandita (Chef) - Pliego x - Troquel Bandita</t>
  </si>
  <si>
    <t>Rallador Cilindrico GDE 21cm</t>
  </si>
  <si>
    <t>Tipo Bandita (Chef) - Genérico</t>
  </si>
  <si>
    <t>Fecha
Entrega</t>
  </si>
  <si>
    <t>Max Cons 5 Mes Uni</t>
  </si>
  <si>
    <t>Bolsa Polipropileno 15x20</t>
  </si>
  <si>
    <t xml:space="preserve">Banditas </t>
  </si>
  <si>
    <t>SOAFRA</t>
  </si>
  <si>
    <t>Uni x Bolsa</t>
  </si>
  <si>
    <t>Banditas Negras</t>
  </si>
  <si>
    <t>Bandita Negra</t>
  </si>
  <si>
    <t>Z17</t>
  </si>
  <si>
    <t>Chef SRL</t>
  </si>
  <si>
    <t>Villa Real, CABA</t>
  </si>
  <si>
    <t>FACTURAR   Loekemeyer 70% Chef 30%</t>
  </si>
  <si>
    <t>Descripcion Material</t>
  </si>
  <si>
    <t>Emp</t>
  </si>
  <si>
    <t>Fecha Pos Ent</t>
  </si>
  <si>
    <t>Fecha Ent</t>
  </si>
  <si>
    <t>CIA INTEGRAL ETIQUETAS</t>
  </si>
  <si>
    <t>9 de Julio</t>
  </si>
  <si>
    <t>Packaging</t>
  </si>
  <si>
    <t>Pedido Rollo</t>
  </si>
  <si>
    <t>% LK</t>
  </si>
  <si>
    <t>% CH</t>
  </si>
  <si>
    <t>Rollo a FC</t>
  </si>
  <si>
    <t>Rollo Ent</t>
  </si>
  <si>
    <r>
      <t xml:space="preserve">CONTEO CARTONES Y PLIEGOS     </t>
    </r>
    <r>
      <rPr>
        <b/>
        <sz val="20"/>
        <color theme="1"/>
        <rFont val="Calibri"/>
        <family val="2"/>
        <scheme val="minor"/>
      </rPr>
      <t xml:space="preserve"> 1 CM </t>
    </r>
    <r>
      <rPr>
        <b/>
        <sz val="24"/>
        <color theme="1"/>
        <rFont val="Calibri"/>
        <family val="2"/>
        <scheme val="minor"/>
      </rPr>
      <t>= 5 Uni</t>
    </r>
  </si>
  <si>
    <t>(12) Tipo Pelador (Chef) - Pliego 9 - Troquel Pelador</t>
  </si>
  <si>
    <t>(25) Tipo Huevo (Chef) - Pliego x - Troquel Huevo</t>
  </si>
  <si>
    <t>T.Loke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</si>
</sst>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  <numFmt numFmtId="167" formatCode="_ * #,##0.0_ ;_ * \-#,##0.0_ ;_ * &quot;-&quot;??_ ;_ @_ "/>
    <numFmt numFmtId="168" formatCode="0.000"/>
    <numFmt numFmtId="169" formatCode="&quot;Carton&quot;\ 0"/>
    <numFmt numFmtId="170" formatCode="_-&quot;$&quot;\ * #,##0.0_-;\-&quot;$&quot;\ * #,##0.0_-;_-&quot;$&quot;\ * &quot;-&quot;??_-;_-@_-"/>
    <numFmt numFmtId="171" formatCode="0.0"/>
    <numFmt numFmtId="172" formatCode="dd/mm/yy;@"/>
  </numFmts>
  <fonts count="6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6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9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1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" fillId="0" borderId="0"/>
    <xf numFmtId="0" fontId="21" fillId="0" borderId="0"/>
  </cellStyleXfs>
  <cellXfs count="1495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0" xfId="0" applyFont="1"/>
    <xf numFmtId="0" fontId="5" fillId="0" borderId="7" xfId="0" applyFont="1" applyBorder="1"/>
    <xf numFmtId="0" fontId="18" fillId="0" borderId="0" xfId="0" applyFont="1"/>
    <xf numFmtId="0" fontId="11" fillId="0" borderId="42" xfId="0" applyFont="1" applyBorder="1"/>
    <xf numFmtId="0" fontId="17" fillId="2" borderId="5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14" fontId="17" fillId="2" borderId="25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20" fillId="0" borderId="0" xfId="0" applyFont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 vertical="top"/>
    </xf>
    <xf numFmtId="0" fontId="0" fillId="0" borderId="12" xfId="0" applyBorder="1"/>
    <xf numFmtId="0" fontId="0" fillId="0" borderId="1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0" xfId="0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65" fontId="0" fillId="0" borderId="14" xfId="2" applyNumberFormat="1" applyFont="1" applyBorder="1" applyAlignment="1">
      <alignment horizontal="left" vertical="center"/>
    </xf>
    <xf numFmtId="165" fontId="0" fillId="0" borderId="22" xfId="2" applyNumberFormat="1" applyFont="1" applyBorder="1" applyAlignment="1">
      <alignment horizontal="left" vertical="center"/>
    </xf>
    <xf numFmtId="165" fontId="0" fillId="0" borderId="38" xfId="2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165" fontId="0" fillId="0" borderId="16" xfId="2" applyNumberFormat="1" applyFont="1" applyBorder="1" applyAlignment="1">
      <alignment horizontal="left" vertical="center"/>
    </xf>
    <xf numFmtId="165" fontId="0" fillId="0" borderId="22" xfId="2" applyNumberFormat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165" fontId="0" fillId="0" borderId="14" xfId="2" applyNumberFormat="1" applyFont="1" applyFill="1" applyBorder="1" applyAlignment="1">
      <alignment horizontal="left" vertical="center"/>
    </xf>
    <xf numFmtId="165" fontId="0" fillId="0" borderId="22" xfId="2" applyNumberFormat="1" applyFont="1" applyBorder="1" applyAlignment="1">
      <alignment horizontal="center" vertical="center"/>
    </xf>
    <xf numFmtId="165" fontId="0" fillId="0" borderId="29" xfId="2" applyNumberFormat="1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49" fontId="21" fillId="0" borderId="17" xfId="1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1" fillId="0" borderId="15" xfId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29" xfId="2" applyNumberFormat="1" applyFont="1" applyFill="1" applyBorder="1" applyAlignment="1">
      <alignment horizontal="left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textRotation="90"/>
    </xf>
    <xf numFmtId="165" fontId="0" fillId="0" borderId="0" xfId="0" applyNumberFormat="1"/>
    <xf numFmtId="1" fontId="0" fillId="0" borderId="0" xfId="0" applyNumberFormat="1"/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1" fillId="0" borderId="61" xfId="0" applyFont="1" applyBorder="1" applyAlignment="1">
      <alignment horizontal="center" vertical="center" wrapText="1"/>
    </xf>
    <xf numFmtId="165" fontId="0" fillId="0" borderId="3" xfId="0" applyNumberFormat="1" applyBorder="1"/>
    <xf numFmtId="165" fontId="0" fillId="0" borderId="12" xfId="0" applyNumberFormat="1" applyBorder="1"/>
    <xf numFmtId="165" fontId="0" fillId="0" borderId="18" xfId="0" applyNumberFormat="1" applyBorder="1"/>
    <xf numFmtId="0" fontId="0" fillId="0" borderId="28" xfId="0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21" fillId="0" borderId="3" xfId="1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49" fontId="21" fillId="0" borderId="18" xfId="1" applyNumberForma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1" fillId="0" borderId="64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0" borderId="40" xfId="0" applyFont="1" applyBorder="1" applyAlignment="1">
      <alignment horizontal="center" vertical="center" wrapText="1"/>
    </xf>
    <xf numFmtId="165" fontId="0" fillId="0" borderId="54" xfId="2" applyNumberFormat="1" applyFont="1" applyFill="1" applyBorder="1" applyAlignment="1">
      <alignment horizontal="left" vertical="center"/>
    </xf>
    <xf numFmtId="165" fontId="0" fillId="0" borderId="45" xfId="2" applyNumberFormat="1" applyFont="1" applyFill="1" applyBorder="1" applyAlignment="1">
      <alignment horizontal="left" vertical="center"/>
    </xf>
    <xf numFmtId="165" fontId="0" fillId="0" borderId="59" xfId="2" applyNumberFormat="1" applyFont="1" applyFill="1" applyBorder="1" applyAlignment="1">
      <alignment horizontal="left" vertical="center"/>
    </xf>
    <xf numFmtId="165" fontId="0" fillId="0" borderId="54" xfId="2" applyNumberFormat="1" applyFont="1" applyBorder="1" applyAlignment="1">
      <alignment horizontal="left" vertical="center"/>
    </xf>
    <xf numFmtId="165" fontId="0" fillId="0" borderId="59" xfId="2" applyNumberFormat="1" applyFont="1" applyBorder="1" applyAlignment="1">
      <alignment horizontal="left" vertical="center"/>
    </xf>
    <xf numFmtId="165" fontId="22" fillId="0" borderId="54" xfId="2" applyNumberFormat="1" applyFont="1" applyBorder="1" applyAlignment="1">
      <alignment horizontal="left" vertical="center"/>
    </xf>
    <xf numFmtId="165" fontId="0" fillId="0" borderId="45" xfId="2" applyNumberFormat="1" applyFont="1" applyBorder="1" applyAlignment="1">
      <alignment horizontal="left" vertical="center"/>
    </xf>
    <xf numFmtId="165" fontId="22" fillId="0" borderId="45" xfId="2" applyNumberFormat="1" applyFont="1" applyBorder="1" applyAlignment="1">
      <alignment horizontal="center" vertical="center"/>
    </xf>
    <xf numFmtId="165" fontId="0" fillId="0" borderId="45" xfId="2" applyNumberFormat="1" applyFont="1" applyBorder="1" applyAlignment="1">
      <alignment horizontal="center" vertical="center"/>
    </xf>
    <xf numFmtId="165" fontId="22" fillId="0" borderId="45" xfId="2" applyNumberFormat="1" applyFont="1" applyFill="1" applyBorder="1" applyAlignment="1">
      <alignment horizontal="left" vertical="center"/>
    </xf>
    <xf numFmtId="165" fontId="0" fillId="0" borderId="46" xfId="2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 wrapText="1"/>
    </xf>
    <xf numFmtId="165" fontId="0" fillId="0" borderId="13" xfId="0" applyNumberFormat="1" applyBorder="1"/>
    <xf numFmtId="165" fontId="0" fillId="0" borderId="4" xfId="0" applyNumberFormat="1" applyBorder="1"/>
    <xf numFmtId="165" fontId="0" fillId="0" borderId="19" xfId="0" applyNumberFormat="1" applyBorder="1"/>
    <xf numFmtId="0" fontId="11" fillId="0" borderId="9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/>
    </xf>
    <xf numFmtId="49" fontId="24" fillId="0" borderId="66" xfId="1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49" fontId="24" fillId="0" borderId="68" xfId="1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1" fontId="25" fillId="0" borderId="66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26" fillId="0" borderId="0" xfId="0" applyFont="1"/>
    <xf numFmtId="0" fontId="0" fillId="4" borderId="7" xfId="0" applyFill="1" applyBorder="1" applyAlignment="1">
      <alignment vertical="center" textRotation="90"/>
    </xf>
    <xf numFmtId="0" fontId="0" fillId="4" borderId="25" xfId="0" applyFill="1" applyBorder="1" applyAlignment="1">
      <alignment vertical="center" textRotation="90"/>
    </xf>
    <xf numFmtId="0" fontId="0" fillId="4" borderId="44" xfId="0" applyFill="1" applyBorder="1" applyAlignment="1">
      <alignment vertical="center" textRotation="90"/>
    </xf>
    <xf numFmtId="0" fontId="28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0" fillId="0" borderId="3" xfId="2" applyNumberFormat="1" applyFont="1" applyFill="1" applyBorder="1" applyAlignment="1">
      <alignment horizontal="left" vertical="center"/>
    </xf>
    <xf numFmtId="165" fontId="0" fillId="0" borderId="3" xfId="2" applyNumberFormat="1" applyFon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1" fontId="0" fillId="0" borderId="3" xfId="0" applyNumberFormat="1" applyBorder="1"/>
    <xf numFmtId="165" fontId="22" fillId="0" borderId="3" xfId="2" applyNumberFormat="1" applyFont="1" applyBorder="1" applyAlignment="1">
      <alignment horizontal="left" vertical="center"/>
    </xf>
    <xf numFmtId="165" fontId="22" fillId="0" borderId="3" xfId="2" applyNumberFormat="1" applyFont="1" applyBorder="1" applyAlignment="1">
      <alignment horizontal="center" vertical="center"/>
    </xf>
    <xf numFmtId="165" fontId="0" fillId="0" borderId="3" xfId="2" applyNumberFormat="1" applyFont="1" applyBorder="1" applyAlignment="1">
      <alignment horizontal="center" vertical="center"/>
    </xf>
    <xf numFmtId="165" fontId="22" fillId="0" borderId="3" xfId="2" applyNumberFormat="1" applyFont="1" applyFill="1" applyBorder="1" applyAlignment="1">
      <alignment horizontal="left" vertical="center"/>
    </xf>
    <xf numFmtId="165" fontId="0" fillId="0" borderId="12" xfId="2" applyNumberFormat="1" applyFont="1" applyBorder="1" applyAlignment="1">
      <alignment horizontal="left" vertical="center"/>
    </xf>
    <xf numFmtId="1" fontId="0" fillId="0" borderId="14" xfId="0" applyNumberFormat="1" applyBorder="1"/>
    <xf numFmtId="1" fontId="0" fillId="0" borderId="22" xfId="0" applyNumberFormat="1" applyBorder="1"/>
    <xf numFmtId="165" fontId="0" fillId="0" borderId="18" xfId="2" applyNumberFormat="1" applyFont="1" applyBorder="1" applyAlignment="1">
      <alignment horizontal="left" vertical="center"/>
    </xf>
    <xf numFmtId="1" fontId="0" fillId="0" borderId="18" xfId="0" applyNumberFormat="1" applyBorder="1"/>
    <xf numFmtId="1" fontId="0" fillId="0" borderId="38" xfId="0" applyNumberFormat="1" applyBorder="1"/>
    <xf numFmtId="0" fontId="29" fillId="0" borderId="12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0" fillId="0" borderId="12" xfId="2" applyNumberFormat="1" applyFont="1" applyFill="1" applyBorder="1" applyAlignment="1">
      <alignment horizontal="left" vertical="center"/>
    </xf>
    <xf numFmtId="165" fontId="0" fillId="0" borderId="18" xfId="2" applyNumberFormat="1" applyFont="1" applyFill="1" applyBorder="1" applyAlignment="1">
      <alignment horizontal="left" vertical="center"/>
    </xf>
    <xf numFmtId="1" fontId="30" fillId="0" borderId="22" xfId="0" applyNumberFormat="1" applyFont="1" applyBorder="1"/>
    <xf numFmtId="0" fontId="8" fillId="0" borderId="57" xfId="0" applyFont="1" applyBorder="1" applyAlignment="1">
      <alignment horizontal="center" vertical="center" textRotation="90"/>
    </xf>
    <xf numFmtId="0" fontId="8" fillId="0" borderId="62" xfId="0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/>
    <xf numFmtId="165" fontId="3" fillId="0" borderId="3" xfId="0" applyNumberFormat="1" applyFont="1" applyBorder="1"/>
    <xf numFmtId="0" fontId="15" fillId="0" borderId="3" xfId="0" applyFont="1" applyBorder="1" applyAlignment="1">
      <alignment horizontal="center" vertical="center"/>
    </xf>
    <xf numFmtId="1" fontId="3" fillId="0" borderId="3" xfId="0" applyNumberFormat="1" applyFont="1" applyBorder="1"/>
    <xf numFmtId="0" fontId="3" fillId="0" borderId="3" xfId="0" applyFont="1" applyBorder="1" applyAlignment="1">
      <alignment horizontal="left"/>
    </xf>
    <xf numFmtId="49" fontId="31" fillId="0" borderId="3" xfId="1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1" fontId="30" fillId="0" borderId="4" xfId="0" applyNumberFormat="1" applyFont="1" applyBorder="1"/>
    <xf numFmtId="1" fontId="0" fillId="0" borderId="4" xfId="0" applyNumberFormat="1" applyBorder="1"/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5" fontId="29" fillId="0" borderId="3" xfId="0" applyNumberFormat="1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1" fontId="26" fillId="0" borderId="15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66" xfId="0" applyBorder="1" applyAlignment="1">
      <alignment vertical="center"/>
    </xf>
    <xf numFmtId="165" fontId="0" fillId="0" borderId="31" xfId="0" applyNumberFormat="1" applyBorder="1"/>
    <xf numFmtId="1" fontId="25" fillId="0" borderId="67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3" fillId="0" borderId="69" xfId="0" applyFont="1" applyBorder="1" applyAlignment="1">
      <alignment horizontal="center" vertical="center"/>
    </xf>
    <xf numFmtId="165" fontId="0" fillId="0" borderId="48" xfId="2" applyNumberFormat="1" applyFont="1" applyBorder="1" applyAlignment="1">
      <alignment horizontal="left" vertical="center"/>
    </xf>
    <xf numFmtId="165" fontId="0" fillId="0" borderId="8" xfId="0" applyNumberFormat="1" applyBorder="1"/>
    <xf numFmtId="0" fontId="0" fillId="0" borderId="11" xfId="0" applyBorder="1"/>
    <xf numFmtId="0" fontId="0" fillId="0" borderId="27" xfId="0" applyBorder="1"/>
    <xf numFmtId="0" fontId="0" fillId="0" borderId="65" xfId="0" applyBorder="1" applyAlignment="1">
      <alignment horizontal="center" vertical="center"/>
    </xf>
    <xf numFmtId="1" fontId="25" fillId="0" borderId="65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42" xfId="0" applyBorder="1"/>
    <xf numFmtId="1" fontId="0" fillId="0" borderId="17" xfId="0" applyNumberFormat="1" applyBorder="1" applyAlignment="1">
      <alignment horizontal="center" vertical="center"/>
    </xf>
    <xf numFmtId="1" fontId="25" fillId="0" borderId="68" xfId="0" applyNumberFormat="1" applyFont="1" applyBorder="1" applyAlignment="1">
      <alignment horizontal="center" vertical="center"/>
    </xf>
    <xf numFmtId="0" fontId="34" fillId="2" borderId="0" xfId="0" applyFont="1" applyFill="1"/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1" fillId="0" borderId="43" xfId="0" applyFont="1" applyBorder="1"/>
    <xf numFmtId="0" fontId="2" fillId="2" borderId="51" xfId="0" applyFont="1" applyFill="1" applyBorder="1" applyAlignment="1">
      <alignment horizontal="center" vertical="center"/>
    </xf>
    <xf numFmtId="0" fontId="11" fillId="0" borderId="49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6" fillId="0" borderId="0" xfId="0" applyFont="1" applyAlignment="1">
      <alignment horizontal="left"/>
    </xf>
    <xf numFmtId="49" fontId="32" fillId="0" borderId="3" xfId="1" applyNumberFormat="1" applyFont="1" applyBorder="1" applyAlignment="1">
      <alignment horizontal="center" vertical="center"/>
    </xf>
    <xf numFmtId="0" fontId="0" fillId="0" borderId="7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wrapText="1"/>
    </xf>
    <xf numFmtId="0" fontId="3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12" xfId="0" applyBorder="1" applyAlignment="1">
      <alignment wrapText="1"/>
    </xf>
    <xf numFmtId="0" fontId="3" fillId="0" borderId="18" xfId="0" quotePrefix="1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0" borderId="18" xfId="0" applyBorder="1" applyAlignment="1">
      <alignment wrapText="1"/>
    </xf>
    <xf numFmtId="0" fontId="3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49" fontId="32" fillId="0" borderId="12" xfId="1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0" fillId="0" borderId="57" xfId="0" applyBorder="1"/>
    <xf numFmtId="0" fontId="19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71" xfId="0" applyFont="1" applyBorder="1" applyAlignment="1">
      <alignment horizontal="left" vertical="center"/>
    </xf>
    <xf numFmtId="0" fontId="0" fillId="0" borderId="71" xfId="0" applyBorder="1" applyAlignment="1">
      <alignment horizontal="center" wrapText="1"/>
    </xf>
    <xf numFmtId="0" fontId="0" fillId="0" borderId="71" xfId="0" applyBorder="1" applyAlignment="1">
      <alignment wrapText="1"/>
    </xf>
    <xf numFmtId="0" fontId="1" fillId="0" borderId="71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73" xfId="0" applyBorder="1"/>
    <xf numFmtId="0" fontId="0" fillId="0" borderId="2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65" fontId="0" fillId="0" borderId="0" xfId="2" applyNumberFormat="1" applyFont="1"/>
    <xf numFmtId="0" fontId="17" fillId="0" borderId="5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7" fillId="0" borderId="57" xfId="2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3" xfId="0" applyFont="1" applyBorder="1"/>
    <xf numFmtId="0" fontId="17" fillId="0" borderId="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165" fontId="18" fillId="0" borderId="3" xfId="2" applyNumberFormat="1" applyFont="1" applyBorder="1"/>
    <xf numFmtId="0" fontId="17" fillId="0" borderId="15" xfId="0" applyFont="1" applyBorder="1" applyAlignment="1">
      <alignment horizontal="center" vertical="center"/>
    </xf>
    <xf numFmtId="165" fontId="18" fillId="0" borderId="18" xfId="2" applyNumberFormat="1" applyFont="1" applyBorder="1"/>
    <xf numFmtId="1" fontId="18" fillId="0" borderId="12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65" fontId="18" fillId="0" borderId="3" xfId="2" applyNumberFormat="1" applyFont="1" applyBorder="1" applyAlignment="1">
      <alignment horizontal="center" vertical="center"/>
    </xf>
    <xf numFmtId="165" fontId="18" fillId="0" borderId="18" xfId="2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5" fontId="17" fillId="0" borderId="10" xfId="2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165" fontId="17" fillId="0" borderId="9" xfId="2" applyNumberFormat="1" applyFont="1" applyBorder="1" applyAlignment="1">
      <alignment horizontal="center" vertical="center" wrapText="1"/>
    </xf>
    <xf numFmtId="9" fontId="18" fillId="0" borderId="0" xfId="0" applyNumberFormat="1" applyFont="1" applyAlignment="1">
      <alignment horizontal="center"/>
    </xf>
    <xf numFmtId="165" fontId="18" fillId="0" borderId="0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44" fontId="0" fillId="0" borderId="0" xfId="3" applyFont="1"/>
    <xf numFmtId="0" fontId="17" fillId="0" borderId="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44" fontId="18" fillId="0" borderId="3" xfId="3" applyFont="1" applyBorder="1"/>
    <xf numFmtId="44" fontId="18" fillId="0" borderId="12" xfId="3" applyFont="1" applyBorder="1"/>
    <xf numFmtId="44" fontId="18" fillId="0" borderId="18" xfId="3" applyFont="1" applyBorder="1"/>
    <xf numFmtId="0" fontId="19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7" fillId="0" borderId="4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7" xfId="0" applyFont="1" applyBorder="1" applyAlignment="1">
      <alignment horizontal="left"/>
    </xf>
    <xf numFmtId="0" fontId="18" fillId="0" borderId="38" xfId="0" applyFont="1" applyBorder="1" applyAlignment="1">
      <alignment horizontal="center"/>
    </xf>
    <xf numFmtId="165" fontId="18" fillId="0" borderId="0" xfId="2" applyNumberFormat="1" applyFont="1" applyFill="1" applyBorder="1"/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44" fontId="18" fillId="0" borderId="14" xfId="3" applyFont="1" applyBorder="1"/>
    <xf numFmtId="44" fontId="18" fillId="0" borderId="22" xfId="3" applyFont="1" applyBorder="1"/>
    <xf numFmtId="44" fontId="18" fillId="0" borderId="38" xfId="3" applyFont="1" applyBorder="1"/>
    <xf numFmtId="0" fontId="2" fillId="0" borderId="0" xfId="0" applyFont="1" applyAlignment="1">
      <alignment vertical="center"/>
    </xf>
    <xf numFmtId="165" fontId="18" fillId="0" borderId="3" xfId="2" applyNumberFormat="1" applyFont="1" applyFill="1" applyBorder="1"/>
    <xf numFmtId="165" fontId="18" fillId="0" borderId="12" xfId="2" applyNumberFormat="1" applyFont="1" applyFill="1" applyBorder="1"/>
    <xf numFmtId="165" fontId="18" fillId="0" borderId="18" xfId="2" applyNumberFormat="1" applyFont="1" applyFill="1" applyBorder="1"/>
    <xf numFmtId="1" fontId="17" fillId="0" borderId="0" xfId="0" applyNumberFormat="1" applyFont="1" applyAlignment="1">
      <alignment horizontal="center" vertical="center"/>
    </xf>
    <xf numFmtId="44" fontId="18" fillId="0" borderId="0" xfId="3" applyFont="1" applyFill="1" applyBorder="1" applyAlignment="1">
      <alignment horizontal="center"/>
    </xf>
    <xf numFmtId="44" fontId="18" fillId="0" borderId="0" xfId="3" applyFont="1" applyBorder="1"/>
    <xf numFmtId="44" fontId="17" fillId="0" borderId="0" xfId="0" applyNumberFormat="1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26" fillId="0" borderId="18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/>
    </xf>
    <xf numFmtId="165" fontId="18" fillId="0" borderId="12" xfId="2" applyNumberFormat="1" applyFont="1" applyBorder="1" applyAlignment="1">
      <alignment horizontal="center"/>
    </xf>
    <xf numFmtId="165" fontId="18" fillId="0" borderId="3" xfId="2" applyNumberFormat="1" applyFont="1" applyBorder="1" applyAlignment="1">
      <alignment horizontal="center"/>
    </xf>
    <xf numFmtId="0" fontId="47" fillId="0" borderId="25" xfId="0" applyFont="1" applyBorder="1" applyAlignment="1">
      <alignment horizontal="center"/>
    </xf>
    <xf numFmtId="165" fontId="18" fillId="0" borderId="18" xfId="2" applyNumberFormat="1" applyFont="1" applyBorder="1" applyAlignment="1">
      <alignment horizontal="center"/>
    </xf>
    <xf numFmtId="0" fontId="47" fillId="0" borderId="25" xfId="0" applyFont="1" applyBorder="1"/>
    <xf numFmtId="0" fontId="47" fillId="0" borderId="44" xfId="0" applyFont="1" applyBorder="1"/>
    <xf numFmtId="165" fontId="18" fillId="0" borderId="12" xfId="2" applyNumberFormat="1" applyFont="1" applyFill="1" applyBorder="1" applyAlignment="1">
      <alignment vertical="center"/>
    </xf>
    <xf numFmtId="165" fontId="18" fillId="0" borderId="3" xfId="2" applyNumberFormat="1" applyFont="1" applyFill="1" applyBorder="1" applyAlignment="1">
      <alignment vertical="center"/>
    </xf>
    <xf numFmtId="0" fontId="47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165" fontId="18" fillId="0" borderId="0" xfId="2" applyNumberFormat="1" applyFont="1" applyBorder="1" applyAlignment="1">
      <alignment vertical="center"/>
    </xf>
    <xf numFmtId="44" fontId="18" fillId="0" borderId="0" xfId="3" applyFont="1" applyBorder="1" applyAlignment="1"/>
    <xf numFmtId="0" fontId="17" fillId="0" borderId="3" xfId="0" applyFont="1" applyBorder="1" applyAlignment="1">
      <alignment vertical="center"/>
    </xf>
    <xf numFmtId="165" fontId="18" fillId="0" borderId="3" xfId="2" applyNumberFormat="1" applyFont="1" applyBorder="1" applyAlignment="1">
      <alignment vertical="center"/>
    </xf>
    <xf numFmtId="165" fontId="0" fillId="0" borderId="0" xfId="2" applyNumberFormat="1" applyFont="1" applyAlignment="1">
      <alignment horizontal="center"/>
    </xf>
    <xf numFmtId="165" fontId="18" fillId="0" borderId="12" xfId="2" applyNumberFormat="1" applyFont="1" applyFill="1" applyBorder="1" applyAlignment="1">
      <alignment horizontal="center"/>
    </xf>
    <xf numFmtId="165" fontId="18" fillId="0" borderId="3" xfId="2" applyNumberFormat="1" applyFont="1" applyFill="1" applyBorder="1" applyAlignment="1">
      <alignment horizontal="center"/>
    </xf>
    <xf numFmtId="165" fontId="18" fillId="0" borderId="18" xfId="2" applyNumberFormat="1" applyFont="1" applyFill="1" applyBorder="1" applyAlignment="1">
      <alignment horizontal="center"/>
    </xf>
    <xf numFmtId="165" fontId="18" fillId="0" borderId="0" xfId="2" applyNumberFormat="1" applyFont="1" applyFill="1" applyBorder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6" fontId="18" fillId="0" borderId="0" xfId="2" applyNumberFormat="1" applyFont="1" applyFill="1" applyBorder="1" applyAlignment="1">
      <alignment horizontal="center"/>
    </xf>
    <xf numFmtId="166" fontId="18" fillId="0" borderId="15" xfId="2" applyNumberFormat="1" applyFont="1" applyBorder="1" applyAlignment="1">
      <alignment horizontal="center"/>
    </xf>
    <xf numFmtId="166" fontId="18" fillId="0" borderId="17" xfId="2" applyNumberFormat="1" applyFont="1" applyBorder="1" applyAlignment="1">
      <alignment horizontal="center"/>
    </xf>
    <xf numFmtId="165" fontId="18" fillId="0" borderId="0" xfId="2" applyNumberFormat="1" applyFont="1" applyBorder="1" applyAlignment="1">
      <alignment horizontal="center"/>
    </xf>
    <xf numFmtId="0" fontId="18" fillId="8" borderId="0" xfId="0" applyFont="1" applyFill="1"/>
    <xf numFmtId="167" fontId="17" fillId="0" borderId="9" xfId="2" applyNumberFormat="1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168" fontId="17" fillId="8" borderId="9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9" fontId="17" fillId="0" borderId="11" xfId="0" applyNumberFormat="1" applyFont="1" applyBorder="1" applyAlignment="1">
      <alignment horizontal="center" vertical="center"/>
    </xf>
    <xf numFmtId="169" fontId="17" fillId="0" borderId="15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18" fillId="0" borderId="3" xfId="3" applyNumberFormat="1" applyFont="1" applyFill="1" applyBorder="1" applyAlignment="1">
      <alignment horizontal="center"/>
    </xf>
    <xf numFmtId="1" fontId="18" fillId="0" borderId="11" xfId="3" applyNumberFormat="1" applyFont="1" applyFill="1" applyBorder="1" applyAlignment="1">
      <alignment horizontal="center"/>
    </xf>
    <xf numFmtId="1" fontId="18" fillId="0" borderId="15" xfId="3" applyNumberFormat="1" applyFont="1" applyFill="1" applyBorder="1" applyAlignment="1">
      <alignment horizontal="center"/>
    </xf>
    <xf numFmtId="1" fontId="18" fillId="0" borderId="17" xfId="3" applyNumberFormat="1" applyFont="1" applyFill="1" applyBorder="1" applyAlignment="1">
      <alignment horizontal="center"/>
    </xf>
    <xf numFmtId="1" fontId="18" fillId="0" borderId="14" xfId="3" applyNumberFormat="1" applyFont="1" applyFill="1" applyBorder="1" applyAlignment="1">
      <alignment horizontal="center"/>
    </xf>
    <xf numFmtId="1" fontId="18" fillId="0" borderId="22" xfId="3" applyNumberFormat="1" applyFont="1" applyFill="1" applyBorder="1" applyAlignment="1">
      <alignment horizontal="center"/>
    </xf>
    <xf numFmtId="1" fontId="18" fillId="0" borderId="38" xfId="3" applyNumberFormat="1" applyFont="1" applyFill="1" applyBorder="1" applyAlignment="1">
      <alignment horizontal="center"/>
    </xf>
    <xf numFmtId="1" fontId="18" fillId="0" borderId="30" xfId="3" applyNumberFormat="1" applyFont="1" applyFill="1" applyBorder="1" applyAlignment="1">
      <alignment horizontal="center"/>
    </xf>
    <xf numFmtId="1" fontId="18" fillId="0" borderId="16" xfId="3" applyNumberFormat="1" applyFont="1" applyFill="1" applyBorder="1" applyAlignment="1">
      <alignment horizontal="center"/>
    </xf>
    <xf numFmtId="1" fontId="18" fillId="0" borderId="11" xfId="3" applyNumberFormat="1" applyFont="1" applyFill="1" applyBorder="1" applyAlignment="1">
      <alignment horizontal="center" vertical="center"/>
    </xf>
    <xf numFmtId="1" fontId="18" fillId="0" borderId="14" xfId="3" applyNumberFormat="1" applyFont="1" applyFill="1" applyBorder="1" applyAlignment="1">
      <alignment horizontal="center" vertical="center"/>
    </xf>
    <xf numFmtId="1" fontId="18" fillId="0" borderId="15" xfId="3" applyNumberFormat="1" applyFont="1" applyFill="1" applyBorder="1" applyAlignment="1">
      <alignment horizontal="center" vertical="center"/>
    </xf>
    <xf numFmtId="1" fontId="18" fillId="0" borderId="22" xfId="3" applyNumberFormat="1" applyFont="1" applyFill="1" applyBorder="1" applyAlignment="1">
      <alignment horizontal="center" vertical="center"/>
    </xf>
    <xf numFmtId="1" fontId="18" fillId="0" borderId="38" xfId="3" applyNumberFormat="1" applyFont="1" applyFill="1" applyBorder="1" applyAlignment="1">
      <alignment horizontal="center" vertical="center"/>
    </xf>
    <xf numFmtId="166" fontId="18" fillId="0" borderId="3" xfId="2" applyNumberFormat="1" applyFont="1" applyFill="1" applyBorder="1" applyAlignment="1">
      <alignment horizontal="center"/>
    </xf>
    <xf numFmtId="44" fontId="18" fillId="0" borderId="14" xfId="3" applyFont="1" applyBorder="1" applyAlignment="1">
      <alignment vertical="center"/>
    </xf>
    <xf numFmtId="44" fontId="18" fillId="0" borderId="22" xfId="3" applyFont="1" applyBorder="1" applyAlignment="1">
      <alignment vertical="center"/>
    </xf>
    <xf numFmtId="44" fontId="18" fillId="0" borderId="38" xfId="3" applyFont="1" applyBorder="1" applyAlignment="1">
      <alignment vertical="center"/>
    </xf>
    <xf numFmtId="1" fontId="17" fillId="0" borderId="11" xfId="0" applyNumberFormat="1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8" fillId="0" borderId="3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9" fillId="0" borderId="9" xfId="0" applyFont="1" applyBorder="1" applyAlignment="1">
      <alignment horizontal="center" vertical="center"/>
    </xf>
    <xf numFmtId="44" fontId="18" fillId="0" borderId="22" xfId="3" applyFont="1" applyBorder="1" applyAlignment="1"/>
    <xf numFmtId="165" fontId="0" fillId="0" borderId="0" xfId="2" applyNumberFormat="1" applyFont="1" applyAlignment="1">
      <alignment horizontal="center" vertical="center"/>
    </xf>
    <xf numFmtId="0" fontId="44" fillId="0" borderId="0" xfId="0" applyFont="1" applyAlignment="1">
      <alignment vertical="center"/>
    </xf>
    <xf numFmtId="14" fontId="17" fillId="0" borderId="0" xfId="0" applyNumberFormat="1" applyFont="1" applyAlignment="1">
      <alignment horizontal="center" vertical="center"/>
    </xf>
    <xf numFmtId="166" fontId="18" fillId="0" borderId="12" xfId="2" applyNumberFormat="1" applyFont="1" applyFill="1" applyBorder="1" applyAlignment="1">
      <alignment horizontal="center"/>
    </xf>
    <xf numFmtId="166" fontId="18" fillId="0" borderId="18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18" fillId="0" borderId="12" xfId="2" applyNumberFormat="1" applyFont="1" applyFill="1" applyBorder="1" applyAlignment="1">
      <alignment horizontal="center"/>
    </xf>
    <xf numFmtId="1" fontId="18" fillId="0" borderId="18" xfId="2" applyNumberFormat="1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/>
    </xf>
    <xf numFmtId="0" fontId="18" fillId="0" borderId="12" xfId="0" applyFont="1" applyBorder="1"/>
    <xf numFmtId="0" fontId="0" fillId="0" borderId="22" xfId="0" applyBorder="1"/>
    <xf numFmtId="0" fontId="18" fillId="0" borderId="18" xfId="0" applyFont="1" applyBorder="1"/>
    <xf numFmtId="0" fontId="0" fillId="0" borderId="38" xfId="0" applyBorder="1"/>
    <xf numFmtId="166" fontId="18" fillId="0" borderId="3" xfId="2" applyNumberFormat="1" applyFont="1" applyBorder="1" applyAlignment="1">
      <alignment horizontal="center"/>
    </xf>
    <xf numFmtId="166" fontId="18" fillId="0" borderId="12" xfId="2" applyNumberFormat="1" applyFont="1" applyBorder="1" applyAlignment="1">
      <alignment horizontal="center"/>
    </xf>
    <xf numFmtId="0" fontId="0" fillId="0" borderId="14" xfId="0" applyBorder="1"/>
    <xf numFmtId="0" fontId="17" fillId="0" borderId="22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/>
    </xf>
    <xf numFmtId="1" fontId="18" fillId="0" borderId="15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9" fillId="0" borderId="0" xfId="0" applyFont="1"/>
    <xf numFmtId="0" fontId="36" fillId="0" borderId="7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wrapText="1"/>
    </xf>
    <xf numFmtId="9" fontId="18" fillId="0" borderId="0" xfId="5" applyFont="1" applyFill="1" applyBorder="1" applyAlignment="1">
      <alignment horizontal="center"/>
    </xf>
    <xf numFmtId="1" fontId="18" fillId="0" borderId="0" xfId="3" applyNumberFormat="1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0" fontId="2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/>
    </xf>
    <xf numFmtId="44" fontId="17" fillId="0" borderId="0" xfId="3" applyFont="1" applyBorder="1" applyAlignment="1">
      <alignment vertical="center"/>
    </xf>
    <xf numFmtId="0" fontId="12" fillId="0" borderId="57" xfId="0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" fontId="17" fillId="0" borderId="11" xfId="0" applyNumberFormat="1" applyFont="1" applyBorder="1" applyAlignment="1">
      <alignment horizontal="center" vertical="center" wrapText="1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17" xfId="0" applyNumberFormat="1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8" fillId="0" borderId="14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14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165" fontId="18" fillId="0" borderId="11" xfId="2" applyNumberFormat="1" applyFont="1" applyFill="1" applyBorder="1" applyAlignment="1">
      <alignment horizontal="center" vertical="center"/>
    </xf>
    <xf numFmtId="165" fontId="18" fillId="0" borderId="15" xfId="2" applyNumberFormat="1" applyFont="1" applyFill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9" fontId="18" fillId="0" borderId="22" xfId="5" applyFont="1" applyFill="1" applyBorder="1" applyAlignment="1">
      <alignment horizontal="center"/>
    </xf>
    <xf numFmtId="165" fontId="18" fillId="0" borderId="11" xfId="2" applyNumberFormat="1" applyFont="1" applyFill="1" applyBorder="1" applyAlignment="1">
      <alignment horizontal="center"/>
    </xf>
    <xf numFmtId="165" fontId="18" fillId="0" borderId="15" xfId="2" applyNumberFormat="1" applyFont="1" applyFill="1" applyBorder="1" applyAlignment="1">
      <alignment horizontal="center"/>
    </xf>
    <xf numFmtId="165" fontId="18" fillId="0" borderId="17" xfId="2" applyNumberFormat="1" applyFont="1" applyFill="1" applyBorder="1" applyAlignment="1">
      <alignment horizontal="center"/>
    </xf>
    <xf numFmtId="0" fontId="18" fillId="0" borderId="65" xfId="0" applyFont="1" applyBorder="1" applyAlignment="1">
      <alignment horizontal="center" vertical="center"/>
    </xf>
    <xf numFmtId="0" fontId="18" fillId="0" borderId="22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9" fontId="18" fillId="0" borderId="14" xfId="5" applyFont="1" applyFill="1" applyBorder="1" applyAlignment="1">
      <alignment horizontal="center"/>
    </xf>
    <xf numFmtId="9" fontId="18" fillId="0" borderId="38" xfId="5" applyFont="1" applyFill="1" applyBorder="1" applyAlignment="1">
      <alignment horizontal="center"/>
    </xf>
    <xf numFmtId="170" fontId="18" fillId="0" borderId="38" xfId="3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49" fontId="17" fillId="0" borderId="12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7" fillId="0" borderId="9" xfId="0" applyNumberFormat="1" applyFont="1" applyBorder="1" applyAlignment="1">
      <alignment horizontal="center" vertical="center" wrapText="1"/>
    </xf>
    <xf numFmtId="3" fontId="12" fillId="0" borderId="5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vertical="center"/>
    </xf>
    <xf numFmtId="0" fontId="46" fillId="0" borderId="25" xfId="0" applyFont="1" applyBorder="1" applyAlignment="1">
      <alignment vertical="center"/>
    </xf>
    <xf numFmtId="3" fontId="18" fillId="0" borderId="3" xfId="0" applyNumberFormat="1" applyFont="1" applyBorder="1" applyAlignment="1">
      <alignment horizontal="center" vertical="center"/>
    </xf>
    <xf numFmtId="9" fontId="18" fillId="0" borderId="0" xfId="5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3" xfId="0" applyNumberFormat="1" applyFont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8" xfId="0" applyBorder="1"/>
    <xf numFmtId="0" fontId="17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14" fontId="50" fillId="0" borderId="5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65" fontId="18" fillId="0" borderId="22" xfId="2" applyNumberFormat="1" applyFont="1" applyBorder="1" applyAlignment="1">
      <alignment horizontal="center"/>
    </xf>
    <xf numFmtId="165" fontId="18" fillId="0" borderId="38" xfId="2" applyNumberFormat="1" applyFont="1" applyBorder="1" applyAlignment="1">
      <alignment horizontal="center"/>
    </xf>
    <xf numFmtId="165" fontId="18" fillId="0" borderId="15" xfId="2" applyNumberFormat="1" applyFont="1" applyBorder="1" applyAlignment="1">
      <alignment horizontal="center"/>
    </xf>
    <xf numFmtId="1" fontId="18" fillId="0" borderId="22" xfId="0" applyNumberFormat="1" applyFont="1" applyBorder="1" applyAlignment="1">
      <alignment horizontal="center"/>
    </xf>
    <xf numFmtId="0" fontId="17" fillId="6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/>
    </xf>
    <xf numFmtId="166" fontId="40" fillId="0" borderId="0" xfId="0" applyNumberFormat="1" applyFont="1" applyAlignment="1">
      <alignment horizontal="center"/>
    </xf>
    <xf numFmtId="166" fontId="12" fillId="0" borderId="12" xfId="0" applyNumberFormat="1" applyFont="1" applyBorder="1" applyAlignment="1">
      <alignment horizontal="center"/>
    </xf>
    <xf numFmtId="166" fontId="12" fillId="0" borderId="18" xfId="0" applyNumberFormat="1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166" fontId="18" fillId="0" borderId="1" xfId="2" applyNumberFormat="1" applyFont="1" applyFill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0" fillId="0" borderId="55" xfId="0" applyBorder="1"/>
    <xf numFmtId="0" fontId="17" fillId="0" borderId="5" xfId="0" applyFont="1" applyBorder="1" applyAlignment="1">
      <alignment horizontal="center" vertical="center"/>
    </xf>
    <xf numFmtId="165" fontId="18" fillId="0" borderId="14" xfId="2" applyNumberFormat="1" applyFont="1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5" fontId="18" fillId="0" borderId="1" xfId="2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44" fontId="18" fillId="0" borderId="1" xfId="3" applyFont="1" applyBorder="1"/>
    <xf numFmtId="0" fontId="30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/>
    </xf>
    <xf numFmtId="165" fontId="18" fillId="0" borderId="22" xfId="2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17" fillId="0" borderId="22" xfId="2" applyNumberFormat="1" applyFont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/>
    </xf>
    <xf numFmtId="165" fontId="18" fillId="0" borderId="14" xfId="2" applyNumberFormat="1" applyFont="1" applyBorder="1" applyAlignment="1">
      <alignment horizontal="center" vertical="center"/>
    </xf>
    <xf numFmtId="0" fontId="46" fillId="0" borderId="44" xfId="0" applyFont="1" applyBorder="1" applyAlignment="1">
      <alignment horizontal="centerContinuous" vertical="center"/>
    </xf>
    <xf numFmtId="0" fontId="17" fillId="0" borderId="3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" fillId="0" borderId="3" xfId="0" applyFont="1" applyBorder="1"/>
    <xf numFmtId="0" fontId="26" fillId="0" borderId="0" xfId="0" applyFont="1" applyAlignment="1">
      <alignment horizontal="center" vertical="center" wrapText="1"/>
    </xf>
    <xf numFmtId="171" fontId="18" fillId="0" borderId="3" xfId="0" applyNumberFormat="1" applyFont="1" applyBorder="1" applyAlignment="1">
      <alignment horizontal="center" vertical="center"/>
    </xf>
    <xf numFmtId="171" fontId="18" fillId="0" borderId="12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0" fillId="0" borderId="34" xfId="0" applyBorder="1"/>
    <xf numFmtId="0" fontId="0" fillId="0" borderId="13" xfId="0" applyBorder="1"/>
    <xf numFmtId="0" fontId="0" fillId="0" borderId="19" xfId="0" applyBorder="1"/>
    <xf numFmtId="0" fontId="0" fillId="0" borderId="37" xfId="0" applyBorder="1"/>
    <xf numFmtId="0" fontId="0" fillId="0" borderId="72" xfId="0" applyBorder="1"/>
    <xf numFmtId="0" fontId="0" fillId="0" borderId="76" xfId="0" applyBorder="1"/>
    <xf numFmtId="0" fontId="19" fillId="0" borderId="57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52" fillId="0" borderId="57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5" fillId="0" borderId="51" xfId="0" applyFont="1" applyBorder="1" applyAlignment="1">
      <alignment horizontal="center"/>
    </xf>
    <xf numFmtId="0" fontId="55" fillId="0" borderId="49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52" fillId="0" borderId="42" xfId="0" applyFont="1" applyBorder="1" applyAlignment="1">
      <alignment horizontal="center"/>
    </xf>
    <xf numFmtId="0" fontId="52" fillId="0" borderId="7" xfId="0" applyFont="1" applyBorder="1" applyAlignment="1">
      <alignment horizontal="center" vertical="center" wrapText="1"/>
    </xf>
    <xf numFmtId="0" fontId="52" fillId="0" borderId="44" xfId="0" applyFont="1" applyBorder="1" applyAlignment="1">
      <alignment horizontal="center" vertical="center" wrapText="1"/>
    </xf>
    <xf numFmtId="0" fontId="52" fillId="0" borderId="4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52" fillId="0" borderId="0" xfId="0" applyFont="1"/>
    <xf numFmtId="0" fontId="52" fillId="0" borderId="57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37" xfId="0" applyFont="1" applyBorder="1" applyAlignment="1">
      <alignment vertical="center"/>
    </xf>
    <xf numFmtId="172" fontId="53" fillId="0" borderId="0" xfId="0" applyNumberFormat="1" applyFont="1" applyAlignment="1">
      <alignment vertical="center"/>
    </xf>
    <xf numFmtId="0" fontId="30" fillId="0" borderId="5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4" fontId="17" fillId="0" borderId="0" xfId="3" applyFont="1" applyBorder="1" applyAlignment="1">
      <alignment horizontal="center" vertical="center"/>
    </xf>
    <xf numFmtId="170" fontId="18" fillId="0" borderId="0" xfId="3" applyNumberFormat="1" applyFont="1" applyBorder="1" applyAlignment="1">
      <alignment horizontal="center"/>
    </xf>
    <xf numFmtId="44" fontId="0" fillId="0" borderId="0" xfId="3" applyFont="1" applyAlignment="1">
      <alignment horizontal="center"/>
    </xf>
    <xf numFmtId="44" fontId="18" fillId="0" borderId="0" xfId="3" applyFont="1" applyBorder="1" applyAlignment="1">
      <alignment horizontal="center"/>
    </xf>
    <xf numFmtId="44" fontId="18" fillId="0" borderId="12" xfId="3" applyFont="1" applyBorder="1" applyAlignment="1">
      <alignment horizontal="center"/>
    </xf>
    <xf numFmtId="44" fontId="18" fillId="0" borderId="3" xfId="3" applyFont="1" applyBorder="1" applyAlignment="1">
      <alignment horizontal="center"/>
    </xf>
    <xf numFmtId="44" fontId="18" fillId="0" borderId="1" xfId="3" applyFont="1" applyBorder="1" applyAlignment="1">
      <alignment horizontal="center"/>
    </xf>
    <xf numFmtId="44" fontId="18" fillId="0" borderId="18" xfId="3" applyFont="1" applyBorder="1" applyAlignment="1">
      <alignment horizontal="center"/>
    </xf>
    <xf numFmtId="44" fontId="18" fillId="0" borderId="0" xfId="3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44" fontId="18" fillId="0" borderId="4" xfId="3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5" fontId="18" fillId="0" borderId="1" xfId="2" applyNumberFormat="1" applyFont="1" applyFill="1" applyBorder="1"/>
    <xf numFmtId="1" fontId="18" fillId="0" borderId="29" xfId="3" applyNumberFormat="1" applyFont="1" applyFill="1" applyBorder="1" applyAlignment="1">
      <alignment horizontal="center"/>
    </xf>
    <xf numFmtId="1" fontId="18" fillId="0" borderId="1" xfId="0" applyNumberFormat="1" applyFont="1" applyBorder="1" applyAlignment="1">
      <alignment horizontal="center" vertical="center"/>
    </xf>
    <xf numFmtId="165" fontId="18" fillId="0" borderId="29" xfId="2" applyNumberFormat="1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left" vertical="center"/>
    </xf>
    <xf numFmtId="3" fontId="18" fillId="0" borderId="2" xfId="0" applyNumberFormat="1" applyFont="1" applyBorder="1" applyAlignment="1">
      <alignment horizontal="center" vertical="center"/>
    </xf>
    <xf numFmtId="165" fontId="18" fillId="0" borderId="30" xfId="2" applyNumberFormat="1" applyFont="1" applyFill="1" applyBorder="1" applyAlignment="1">
      <alignment horizontal="center"/>
    </xf>
    <xf numFmtId="165" fontId="18" fillId="0" borderId="2" xfId="2" applyNumberFormat="1" applyFont="1" applyFill="1" applyBorder="1"/>
    <xf numFmtId="1" fontId="18" fillId="0" borderId="2" xfId="0" applyNumberFormat="1" applyFont="1" applyBorder="1" applyAlignment="1">
      <alignment horizontal="center" vertical="center"/>
    </xf>
    <xf numFmtId="165" fontId="18" fillId="0" borderId="16" xfId="2" applyNumberFormat="1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166" fontId="18" fillId="0" borderId="2" xfId="2" applyNumberFormat="1" applyFont="1" applyFill="1" applyBorder="1" applyAlignment="1">
      <alignment horizontal="center"/>
    </xf>
    <xf numFmtId="165" fontId="18" fillId="0" borderId="2" xfId="2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44" fontId="18" fillId="0" borderId="2" xfId="3" applyFont="1" applyBorder="1"/>
    <xf numFmtId="44" fontId="18" fillId="0" borderId="2" xfId="3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3" fontId="18" fillId="0" borderId="0" xfId="0" applyNumberFormat="1" applyFont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left" vertical="center"/>
    </xf>
    <xf numFmtId="0" fontId="0" fillId="0" borderId="25" xfId="0" applyBorder="1"/>
    <xf numFmtId="165" fontId="18" fillId="0" borderId="50" xfId="2" applyNumberFormat="1" applyFont="1" applyFill="1" applyBorder="1" applyAlignment="1">
      <alignment horizontal="center"/>
    </xf>
    <xf numFmtId="165" fontId="18" fillId="0" borderId="20" xfId="2" applyNumberFormat="1" applyFont="1" applyFill="1" applyBorder="1"/>
    <xf numFmtId="1" fontId="18" fillId="0" borderId="50" xfId="3" applyNumberFormat="1" applyFont="1" applyFill="1" applyBorder="1" applyAlignment="1">
      <alignment horizontal="center"/>
    </xf>
    <xf numFmtId="1" fontId="18" fillId="0" borderId="21" xfId="3" applyNumberFormat="1" applyFont="1" applyFill="1" applyBorder="1" applyAlignment="1">
      <alignment horizontal="center"/>
    </xf>
    <xf numFmtId="1" fontId="18" fillId="0" borderId="20" xfId="0" applyNumberFormat="1" applyFont="1" applyBorder="1" applyAlignment="1">
      <alignment horizontal="center" vertical="center"/>
    </xf>
    <xf numFmtId="165" fontId="18" fillId="0" borderId="21" xfId="2" applyNumberFormat="1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6" fontId="18" fillId="0" borderId="20" xfId="2" applyNumberFormat="1" applyFont="1" applyFill="1" applyBorder="1" applyAlignment="1">
      <alignment horizontal="center"/>
    </xf>
    <xf numFmtId="165" fontId="18" fillId="0" borderId="20" xfId="2" applyNumberFormat="1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44" fontId="18" fillId="0" borderId="20" xfId="3" applyFont="1" applyBorder="1"/>
    <xf numFmtId="44" fontId="18" fillId="0" borderId="20" xfId="3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2" fillId="0" borderId="5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18" fillId="0" borderId="28" xfId="0" applyNumberFormat="1" applyFont="1" applyBorder="1" applyAlignment="1">
      <alignment horizontal="center"/>
    </xf>
    <xf numFmtId="1" fontId="18" fillId="0" borderId="29" xfId="0" applyNumberFormat="1" applyFont="1" applyBorder="1" applyAlignment="1">
      <alignment horizontal="center"/>
    </xf>
    <xf numFmtId="1" fontId="18" fillId="0" borderId="30" xfId="0" applyNumberFormat="1" applyFont="1" applyBorder="1" applyAlignment="1">
      <alignment horizontal="center"/>
    </xf>
    <xf numFmtId="1" fontId="18" fillId="0" borderId="16" xfId="0" applyNumberFormat="1" applyFont="1" applyBorder="1" applyAlignment="1">
      <alignment horizontal="center"/>
    </xf>
    <xf numFmtId="0" fontId="17" fillId="0" borderId="41" xfId="0" applyFont="1" applyBorder="1" applyAlignment="1">
      <alignment horizontal="center" vertical="top" wrapText="1"/>
    </xf>
    <xf numFmtId="0" fontId="17" fillId="0" borderId="51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/>
    </xf>
    <xf numFmtId="0" fontId="18" fillId="0" borderId="75" xfId="0" applyFont="1" applyBorder="1" applyAlignment="1">
      <alignment horizontal="left" vertical="center"/>
    </xf>
    <xf numFmtId="165" fontId="18" fillId="0" borderId="72" xfId="2" applyNumberFormat="1" applyFont="1" applyFill="1" applyBorder="1" applyAlignment="1">
      <alignment horizontal="center"/>
    </xf>
    <xf numFmtId="165" fontId="18" fillId="0" borderId="75" xfId="2" applyNumberFormat="1" applyFont="1" applyFill="1" applyBorder="1"/>
    <xf numFmtId="1" fontId="18" fillId="0" borderId="76" xfId="3" applyNumberFormat="1" applyFont="1" applyFill="1" applyBorder="1" applyAlignment="1">
      <alignment horizontal="center"/>
    </xf>
    <xf numFmtId="1" fontId="18" fillId="0" borderId="75" xfId="0" applyNumberFormat="1" applyFont="1" applyBorder="1" applyAlignment="1">
      <alignment horizontal="center" vertical="center"/>
    </xf>
    <xf numFmtId="165" fontId="18" fillId="0" borderId="76" xfId="2" applyNumberFormat="1" applyFont="1" applyBorder="1" applyAlignment="1">
      <alignment horizontal="center"/>
    </xf>
    <xf numFmtId="0" fontId="18" fillId="0" borderId="72" xfId="0" applyFont="1" applyBorder="1" applyAlignment="1">
      <alignment horizontal="center"/>
    </xf>
    <xf numFmtId="166" fontId="18" fillId="0" borderId="75" xfId="2" applyNumberFormat="1" applyFont="1" applyFill="1" applyBorder="1" applyAlignment="1">
      <alignment horizontal="center"/>
    </xf>
    <xf numFmtId="165" fontId="18" fillId="0" borderId="75" xfId="2" applyNumberFormat="1" applyFont="1" applyBorder="1" applyAlignment="1">
      <alignment horizontal="center"/>
    </xf>
    <xf numFmtId="0" fontId="18" fillId="0" borderId="75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/>
    </xf>
    <xf numFmtId="1" fontId="18" fillId="0" borderId="14" xfId="0" applyNumberFormat="1" applyFont="1" applyBorder="1" applyAlignment="1">
      <alignment horizontal="center"/>
    </xf>
    <xf numFmtId="1" fontId="18" fillId="0" borderId="72" xfId="0" applyNumberFormat="1" applyFont="1" applyBorder="1" applyAlignment="1">
      <alignment horizontal="center"/>
    </xf>
    <xf numFmtId="1" fontId="18" fillId="0" borderId="76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165" fontId="18" fillId="0" borderId="2" xfId="2" applyNumberFormat="1" applyFont="1" applyFill="1" applyBorder="1" applyAlignment="1">
      <alignment horizontal="center"/>
    </xf>
    <xf numFmtId="1" fontId="17" fillId="0" borderId="53" xfId="0" applyNumberFormat="1" applyFont="1" applyBorder="1" applyAlignment="1">
      <alignment horizontal="center" vertical="center"/>
    </xf>
    <xf numFmtId="1" fontId="17" fillId="0" borderId="35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" fontId="17" fillId="0" borderId="36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 wrapText="1"/>
    </xf>
    <xf numFmtId="166" fontId="17" fillId="0" borderId="14" xfId="0" applyNumberFormat="1" applyFont="1" applyBorder="1" applyAlignment="1">
      <alignment horizontal="center" vertical="center" wrapText="1"/>
    </xf>
    <xf numFmtId="166" fontId="17" fillId="0" borderId="22" xfId="0" applyNumberFormat="1" applyFont="1" applyBorder="1" applyAlignment="1">
      <alignment horizontal="center" vertical="center" wrapText="1"/>
    </xf>
    <xf numFmtId="166" fontId="17" fillId="0" borderId="38" xfId="0" applyNumberFormat="1" applyFont="1" applyBorder="1" applyAlignment="1">
      <alignment horizontal="center" vertical="center" wrapText="1"/>
    </xf>
    <xf numFmtId="166" fontId="17" fillId="0" borderId="3" xfId="0" applyNumberFormat="1" applyFont="1" applyBorder="1" applyAlignment="1">
      <alignment horizontal="center" vertical="center" wrapText="1"/>
    </xf>
    <xf numFmtId="166" fontId="17" fillId="0" borderId="18" xfId="0" applyNumberFormat="1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top"/>
    </xf>
    <xf numFmtId="165" fontId="17" fillId="0" borderId="56" xfId="2" applyNumberFormat="1" applyFont="1" applyBorder="1" applyAlignment="1">
      <alignment horizontal="center" vertical="top" wrapText="1"/>
    </xf>
    <xf numFmtId="0" fontId="17" fillId="0" borderId="56" xfId="0" applyFont="1" applyBorder="1" applyAlignment="1">
      <alignment horizontal="center" vertical="top" wrapText="1"/>
    </xf>
    <xf numFmtId="0" fontId="17" fillId="0" borderId="49" xfId="0" applyFont="1" applyBorder="1" applyAlignment="1">
      <alignment horizontal="center" vertical="top" wrapText="1"/>
    </xf>
    <xf numFmtId="165" fontId="17" fillId="0" borderId="42" xfId="2" applyNumberFormat="1" applyFont="1" applyBorder="1" applyAlignment="1">
      <alignment horizontal="center" vertical="top" wrapText="1"/>
    </xf>
    <xf numFmtId="0" fontId="17" fillId="0" borderId="42" xfId="0" applyFont="1" applyBorder="1" applyAlignment="1">
      <alignment horizontal="center" vertical="top" wrapText="1"/>
    </xf>
    <xf numFmtId="165" fontId="17" fillId="0" borderId="55" xfId="2" applyNumberFormat="1" applyFont="1" applyBorder="1" applyAlignment="1">
      <alignment horizontal="center" vertical="top" wrapText="1"/>
    </xf>
    <xf numFmtId="0" fontId="17" fillId="0" borderId="55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center"/>
    </xf>
    <xf numFmtId="171" fontId="25" fillId="0" borderId="3" xfId="0" applyNumberFormat="1" applyFont="1" applyBorder="1" applyAlignment="1">
      <alignment horizontal="center" vertical="center"/>
    </xf>
    <xf numFmtId="165" fontId="25" fillId="0" borderId="22" xfId="2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165" fontId="17" fillId="0" borderId="9" xfId="2" applyNumberFormat="1" applyFont="1" applyBorder="1" applyAlignment="1">
      <alignment horizontal="center" vertical="top" wrapText="1"/>
    </xf>
    <xf numFmtId="165" fontId="17" fillId="0" borderId="10" xfId="2" applyNumberFormat="1" applyFont="1" applyBorder="1" applyAlignment="1">
      <alignment horizontal="center" vertical="top" wrapText="1"/>
    </xf>
    <xf numFmtId="0" fontId="51" fillId="0" borderId="9" xfId="6" applyFont="1" applyBorder="1" applyAlignment="1">
      <alignment horizontal="center" vertical="top" wrapText="1"/>
    </xf>
    <xf numFmtId="0" fontId="17" fillId="0" borderId="57" xfId="0" applyFont="1" applyBorder="1" applyAlignment="1">
      <alignment horizontal="center" vertical="top" wrapText="1"/>
    </xf>
    <xf numFmtId="165" fontId="17" fillId="0" borderId="57" xfId="2" applyNumberFormat="1" applyFont="1" applyBorder="1" applyAlignment="1">
      <alignment horizontal="center" vertical="top" wrapText="1"/>
    </xf>
    <xf numFmtId="1" fontId="18" fillId="0" borderId="11" xfId="0" applyNumberFormat="1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top" wrapText="1"/>
    </xf>
    <xf numFmtId="0" fontId="0" fillId="0" borderId="5" xfId="0" applyBorder="1"/>
    <xf numFmtId="0" fontId="51" fillId="0" borderId="57" xfId="6" applyFont="1" applyBorder="1" applyAlignment="1">
      <alignment horizontal="center" vertical="top" wrapText="1"/>
    </xf>
    <xf numFmtId="165" fontId="17" fillId="0" borderId="7" xfId="2" applyNumberFormat="1" applyFont="1" applyBorder="1" applyAlignment="1">
      <alignment horizontal="center" vertical="top" wrapText="1"/>
    </xf>
    <xf numFmtId="0" fontId="0" fillId="0" borderId="52" xfId="0" applyBorder="1"/>
    <xf numFmtId="0" fontId="0" fillId="0" borderId="6" xfId="0" applyBorder="1"/>
    <xf numFmtId="0" fontId="0" fillId="0" borderId="33" xfId="0" applyBorder="1"/>
    <xf numFmtId="44" fontId="18" fillId="0" borderId="13" xfId="3" applyFont="1" applyBorder="1"/>
    <xf numFmtId="44" fontId="18" fillId="0" borderId="4" xfId="3" applyFont="1" applyBorder="1"/>
    <xf numFmtId="44" fontId="18" fillId="0" borderId="11" xfId="3" applyFont="1" applyBorder="1" applyAlignment="1">
      <alignment horizontal="center"/>
    </xf>
    <xf numFmtId="44" fontId="18" fillId="0" borderId="15" xfId="3" applyFont="1" applyBorder="1" applyAlignment="1">
      <alignment horizontal="center"/>
    </xf>
    <xf numFmtId="44" fontId="18" fillId="0" borderId="17" xfId="3" applyFont="1" applyBorder="1" applyAlignment="1">
      <alignment horizontal="center"/>
    </xf>
    <xf numFmtId="44" fontId="18" fillId="0" borderId="77" xfId="3" applyFont="1" applyBorder="1"/>
    <xf numFmtId="44" fontId="18" fillId="0" borderId="19" xfId="3" applyFont="1" applyBorder="1"/>
    <xf numFmtId="165" fontId="17" fillId="0" borderId="0" xfId="2" applyNumberFormat="1" applyFont="1" applyBorder="1" applyAlignment="1">
      <alignment horizontal="center" vertical="top" wrapText="1"/>
    </xf>
    <xf numFmtId="44" fontId="18" fillId="0" borderId="34" xfId="3" applyFont="1" applyBorder="1" applyAlignment="1">
      <alignment horizontal="center"/>
    </xf>
    <xf numFmtId="44" fontId="18" fillId="0" borderId="5" xfId="3" applyFont="1" applyBorder="1" applyAlignment="1">
      <alignment horizontal="center"/>
    </xf>
    <xf numFmtId="44" fontId="18" fillId="0" borderId="39" xfId="3" applyFont="1" applyBorder="1"/>
    <xf numFmtId="44" fontId="18" fillId="0" borderId="50" xfId="3" applyFont="1" applyBorder="1" applyAlignment="1">
      <alignment horizontal="center"/>
    </xf>
    <xf numFmtId="0" fontId="5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3" fillId="0" borderId="0" xfId="0" applyFont="1"/>
    <xf numFmtId="0" fontId="26" fillId="0" borderId="11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9" fontId="18" fillId="0" borderId="34" xfId="0" applyNumberFormat="1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wrapText="1"/>
    </xf>
    <xf numFmtId="9" fontId="18" fillId="0" borderId="23" xfId="0" applyNumberFormat="1" applyFont="1" applyBorder="1" applyAlignment="1">
      <alignment horizontal="center" wrapText="1"/>
    </xf>
    <xf numFmtId="166" fontId="17" fillId="0" borderId="52" xfId="0" applyNumberFormat="1" applyFont="1" applyBorder="1" applyAlignment="1">
      <alignment horizontal="center" vertical="center" wrapText="1"/>
    </xf>
    <xf numFmtId="166" fontId="17" fillId="0" borderId="6" xfId="0" applyNumberFormat="1" applyFont="1" applyBorder="1" applyAlignment="1">
      <alignment horizontal="center" vertical="center" wrapText="1"/>
    </xf>
    <xf numFmtId="166" fontId="17" fillId="0" borderId="4" xfId="0" applyNumberFormat="1" applyFont="1" applyBorder="1" applyAlignment="1">
      <alignment horizontal="center" vertical="center" wrapText="1"/>
    </xf>
    <xf numFmtId="166" fontId="17" fillId="0" borderId="32" xfId="0" applyNumberFormat="1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166" fontId="17" fillId="0" borderId="65" xfId="0" applyNumberFormat="1" applyFont="1" applyBorder="1" applyAlignment="1">
      <alignment horizontal="center" vertical="center" wrapText="1"/>
    </xf>
    <xf numFmtId="166" fontId="17" fillId="0" borderId="54" xfId="0" applyNumberFormat="1" applyFont="1" applyBorder="1" applyAlignment="1">
      <alignment horizontal="center" vertical="center" wrapText="1"/>
    </xf>
    <xf numFmtId="166" fontId="17" fillId="0" borderId="66" xfId="0" applyNumberFormat="1" applyFont="1" applyBorder="1" applyAlignment="1">
      <alignment horizontal="center" vertical="center" wrapText="1"/>
    </xf>
    <xf numFmtId="166" fontId="17" fillId="0" borderId="45" xfId="0" applyNumberFormat="1" applyFont="1" applyBorder="1" applyAlignment="1">
      <alignment horizontal="center" vertical="center" wrapText="1"/>
    </xf>
    <xf numFmtId="166" fontId="17" fillId="0" borderId="68" xfId="0" applyNumberFormat="1" applyFont="1" applyBorder="1" applyAlignment="1">
      <alignment horizontal="center" vertical="center" wrapText="1"/>
    </xf>
    <xf numFmtId="166" fontId="17" fillId="0" borderId="46" xfId="0" applyNumberFormat="1" applyFont="1" applyBorder="1" applyAlignment="1">
      <alignment horizontal="center" vertical="center" wrapText="1"/>
    </xf>
    <xf numFmtId="44" fontId="18" fillId="0" borderId="30" xfId="3" applyFont="1" applyBorder="1" applyAlignment="1">
      <alignment horizontal="center"/>
    </xf>
    <xf numFmtId="0" fontId="19" fillId="0" borderId="27" xfId="0" applyFont="1" applyBorder="1" applyAlignment="1">
      <alignment horizontal="center" vertical="center"/>
    </xf>
    <xf numFmtId="9" fontId="18" fillId="0" borderId="50" xfId="0" applyNumberFormat="1" applyFont="1" applyBorder="1" applyAlignment="1">
      <alignment horizontal="center" wrapText="1"/>
    </xf>
    <xf numFmtId="166" fontId="17" fillId="0" borderId="44" xfId="0" applyNumberFormat="1" applyFont="1" applyBorder="1" applyAlignment="1">
      <alignment horizontal="center" vertical="center" wrapText="1"/>
    </xf>
    <xf numFmtId="166" fontId="17" fillId="0" borderId="57" xfId="0" applyNumberFormat="1" applyFont="1" applyBorder="1" applyAlignment="1">
      <alignment horizontal="center" vertical="center" wrapText="1"/>
    </xf>
    <xf numFmtId="1" fontId="17" fillId="0" borderId="30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" fontId="18" fillId="0" borderId="62" xfId="0" applyNumberFormat="1" applyFont="1" applyBorder="1" applyAlignment="1">
      <alignment horizontal="center" vertical="center"/>
    </xf>
    <xf numFmtId="165" fontId="18" fillId="0" borderId="63" xfId="2" applyNumberFormat="1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166" fontId="18" fillId="0" borderId="62" xfId="2" applyNumberFormat="1" applyFont="1" applyFill="1" applyBorder="1" applyAlignment="1">
      <alignment horizontal="center"/>
    </xf>
    <xf numFmtId="165" fontId="18" fillId="0" borderId="62" xfId="2" applyNumberFormat="1" applyFont="1" applyBorder="1" applyAlignment="1">
      <alignment horizontal="center"/>
    </xf>
    <xf numFmtId="0" fontId="18" fillId="0" borderId="62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/>
    </xf>
    <xf numFmtId="0" fontId="18" fillId="0" borderId="71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 wrapText="1"/>
    </xf>
    <xf numFmtId="0" fontId="0" fillId="0" borderId="24" xfId="0" applyBorder="1"/>
    <xf numFmtId="0" fontId="59" fillId="0" borderId="12" xfId="0" applyFont="1" applyBorder="1"/>
    <xf numFmtId="0" fontId="18" fillId="0" borderId="15" xfId="0" applyFont="1" applyBorder="1" applyAlignment="1">
      <alignment horizontal="left" vertical="center"/>
    </xf>
    <xf numFmtId="0" fontId="59" fillId="0" borderId="3" xfId="0" applyFont="1" applyBorder="1"/>
    <xf numFmtId="0" fontId="59" fillId="0" borderId="18" xfId="0" applyFont="1" applyBorder="1"/>
    <xf numFmtId="0" fontId="18" fillId="0" borderId="11" xfId="0" quotePrefix="1" applyFont="1" applyBorder="1" applyAlignment="1">
      <alignment horizontal="left" vertical="center"/>
    </xf>
    <xf numFmtId="0" fontId="18" fillId="0" borderId="50" xfId="0" applyFont="1" applyBorder="1" applyAlignment="1">
      <alignment horizontal="left" vertical="center"/>
    </xf>
    <xf numFmtId="0" fontId="59" fillId="0" borderId="20" xfId="0" applyFont="1" applyBorder="1"/>
    <xf numFmtId="166" fontId="17" fillId="0" borderId="11" xfId="0" applyNumberFormat="1" applyFont="1" applyBorder="1" applyAlignment="1">
      <alignment horizontal="center" vertical="center" wrapText="1"/>
    </xf>
    <xf numFmtId="166" fontId="17" fillId="0" borderId="17" xfId="0" applyNumberFormat="1" applyFont="1" applyBorder="1" applyAlignment="1">
      <alignment horizontal="center" vertical="center" wrapText="1"/>
    </xf>
    <xf numFmtId="1" fontId="18" fillId="0" borderId="13" xfId="3" applyNumberFormat="1" applyFont="1" applyFill="1" applyBorder="1" applyAlignment="1">
      <alignment horizontal="center"/>
    </xf>
    <xf numFmtId="1" fontId="18" fillId="0" borderId="4" xfId="3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top" wrapText="1"/>
    </xf>
    <xf numFmtId="1" fontId="18" fillId="0" borderId="8" xfId="3" applyNumberFormat="1" applyFont="1" applyFill="1" applyBorder="1" applyAlignment="1">
      <alignment horizontal="center"/>
    </xf>
    <xf numFmtId="9" fontId="18" fillId="0" borderId="4" xfId="5" applyFont="1" applyFill="1" applyBorder="1" applyAlignment="1">
      <alignment horizontal="center"/>
    </xf>
    <xf numFmtId="9" fontId="18" fillId="0" borderId="4" xfId="5" applyFont="1" applyBorder="1" applyAlignment="1">
      <alignment horizontal="center"/>
    </xf>
    <xf numFmtId="9" fontId="18" fillId="0" borderId="13" xfId="5" applyFont="1" applyBorder="1" applyAlignment="1">
      <alignment horizontal="center"/>
    </xf>
    <xf numFmtId="9" fontId="18" fillId="0" borderId="8" xfId="5" applyFont="1" applyFill="1" applyBorder="1" applyAlignment="1">
      <alignment horizontal="center"/>
    </xf>
    <xf numFmtId="9" fontId="18" fillId="0" borderId="35" xfId="5" applyFont="1" applyFill="1" applyBorder="1" applyAlignment="1">
      <alignment horizontal="center"/>
    </xf>
    <xf numFmtId="1" fontId="18" fillId="0" borderId="5" xfId="3" applyNumberFormat="1" applyFont="1" applyFill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8" fillId="0" borderId="34" xfId="0" applyNumberFormat="1" applyFont="1" applyBorder="1" applyAlignment="1">
      <alignment horizontal="center"/>
    </xf>
    <xf numFmtId="1" fontId="18" fillId="0" borderId="23" xfId="3" applyNumberFormat="1" applyFont="1" applyFill="1" applyBorder="1" applyAlignment="1">
      <alignment horizontal="center"/>
    </xf>
    <xf numFmtId="166" fontId="17" fillId="0" borderId="43" xfId="0" applyNumberFormat="1" applyFont="1" applyBorder="1" applyAlignment="1">
      <alignment horizontal="center" vertical="center" wrapText="1"/>
    </xf>
    <xf numFmtId="166" fontId="17" fillId="0" borderId="37" xfId="0" applyNumberFormat="1" applyFont="1" applyBorder="1" applyAlignment="1">
      <alignment horizontal="center" vertical="center" wrapText="1"/>
    </xf>
    <xf numFmtId="166" fontId="17" fillId="0" borderId="5" xfId="0" applyNumberFormat="1" applyFont="1" applyBorder="1" applyAlignment="1">
      <alignment horizontal="center" vertical="center" wrapText="1"/>
    </xf>
    <xf numFmtId="166" fontId="17" fillId="0" borderId="48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vertical="center"/>
    </xf>
    <xf numFmtId="0" fontId="18" fillId="0" borderId="37" xfId="0" applyFont="1" applyBorder="1" applyAlignment="1">
      <alignment horizontal="left" vertical="center"/>
    </xf>
    <xf numFmtId="1" fontId="18" fillId="0" borderId="28" xfId="3" applyNumberFormat="1" applyFont="1" applyFill="1" applyBorder="1" applyAlignment="1">
      <alignment horizontal="center"/>
    </xf>
    <xf numFmtId="1" fontId="18" fillId="0" borderId="28" xfId="0" applyNumberFormat="1" applyFont="1" applyBorder="1" applyAlignment="1">
      <alignment horizontal="center" vertical="center"/>
    </xf>
    <xf numFmtId="44" fontId="18" fillId="0" borderId="29" xfId="3" applyFont="1" applyBorder="1"/>
    <xf numFmtId="44" fontId="18" fillId="0" borderId="24" xfId="3" applyFont="1" applyBorder="1" applyAlignment="1">
      <alignment horizontal="center"/>
    </xf>
    <xf numFmtId="44" fontId="18" fillId="0" borderId="31" xfId="3" applyFont="1" applyBorder="1"/>
    <xf numFmtId="44" fontId="18" fillId="0" borderId="28" xfId="3" applyFont="1" applyBorder="1" applyAlignment="1">
      <alignment horizontal="center"/>
    </xf>
    <xf numFmtId="166" fontId="17" fillId="0" borderId="41" xfId="0" applyNumberFormat="1" applyFont="1" applyBorder="1" applyAlignment="1">
      <alignment horizontal="center" vertical="center" wrapText="1"/>
    </xf>
    <xf numFmtId="1" fontId="18" fillId="0" borderId="73" xfId="3" applyNumberFormat="1" applyFont="1" applyFill="1" applyBorder="1" applyAlignment="1">
      <alignment horizontal="center"/>
    </xf>
    <xf numFmtId="1" fontId="18" fillId="0" borderId="74" xfId="3" applyNumberFormat="1" applyFont="1" applyFill="1" applyBorder="1" applyAlignment="1">
      <alignment horizontal="center"/>
    </xf>
    <xf numFmtId="1" fontId="18" fillId="0" borderId="71" xfId="0" applyNumberFormat="1" applyFont="1" applyBorder="1" applyAlignment="1">
      <alignment horizontal="center" vertical="center"/>
    </xf>
    <xf numFmtId="165" fontId="18" fillId="0" borderId="74" xfId="2" applyNumberFormat="1" applyFont="1" applyBorder="1" applyAlignment="1">
      <alignment horizontal="center"/>
    </xf>
    <xf numFmtId="0" fontId="18" fillId="0" borderId="70" xfId="0" applyFont="1" applyBorder="1" applyAlignment="1">
      <alignment horizontal="center"/>
    </xf>
    <xf numFmtId="166" fontId="18" fillId="0" borderId="71" xfId="2" applyNumberFormat="1" applyFont="1" applyFill="1" applyBorder="1" applyAlignment="1">
      <alignment horizontal="center"/>
    </xf>
    <xf numFmtId="165" fontId="18" fillId="0" borderId="71" xfId="2" applyNumberFormat="1" applyFont="1" applyBorder="1" applyAlignment="1">
      <alignment horizontal="center"/>
    </xf>
    <xf numFmtId="44" fontId="18" fillId="0" borderId="71" xfId="3" applyFont="1" applyBorder="1"/>
    <xf numFmtId="44" fontId="18" fillId="0" borderId="71" xfId="3" applyFont="1" applyBorder="1" applyAlignment="1">
      <alignment horizontal="center"/>
    </xf>
    <xf numFmtId="0" fontId="18" fillId="0" borderId="74" xfId="0" applyFont="1" applyBorder="1" applyAlignment="1">
      <alignment horizontal="center"/>
    </xf>
    <xf numFmtId="44" fontId="18" fillId="0" borderId="64" xfId="3" applyFont="1" applyBorder="1"/>
    <xf numFmtId="44" fontId="18" fillId="0" borderId="61" xfId="3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0" fontId="18" fillId="0" borderId="1" xfId="0" applyFont="1" applyBorder="1"/>
    <xf numFmtId="166" fontId="18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18" fillId="0" borderId="29" xfId="3" applyFont="1" applyBorder="1" applyAlignment="1"/>
    <xf numFmtId="165" fontId="18" fillId="0" borderId="29" xfId="2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66" fontId="18" fillId="0" borderId="1" xfId="2" applyNumberFormat="1" applyFont="1" applyFill="1" applyBorder="1" applyAlignment="1">
      <alignment horizontal="center" vertical="center"/>
    </xf>
    <xf numFmtId="165" fontId="18" fillId="0" borderId="1" xfId="2" applyNumberFormat="1" applyFont="1" applyBorder="1" applyAlignment="1">
      <alignment horizontal="center" vertical="center"/>
    </xf>
    <xf numFmtId="44" fontId="18" fillId="0" borderId="29" xfId="3" applyFont="1" applyBorder="1" applyAlignment="1">
      <alignment vertical="center"/>
    </xf>
    <xf numFmtId="1" fontId="18" fillId="0" borderId="30" xfId="0" applyNumberFormat="1" applyFont="1" applyBorder="1" applyAlignment="1">
      <alignment horizontal="center" vertical="center"/>
    </xf>
    <xf numFmtId="44" fontId="18" fillId="0" borderId="8" xfId="3" applyFont="1" applyBorder="1"/>
    <xf numFmtId="44" fontId="18" fillId="0" borderId="78" xfId="3" applyFont="1" applyBorder="1"/>
    <xf numFmtId="0" fontId="17" fillId="0" borderId="41" xfId="0" applyFont="1" applyBorder="1" applyAlignment="1">
      <alignment horizontal="center" vertical="center" wrapText="1"/>
    </xf>
    <xf numFmtId="165" fontId="17" fillId="0" borderId="55" xfId="2" applyNumberFormat="1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55" xfId="0" applyFont="1" applyBorder="1" applyAlignment="1">
      <alignment vertical="center" wrapText="1"/>
    </xf>
    <xf numFmtId="165" fontId="17" fillId="0" borderId="51" xfId="2" applyNumberFormat="1" applyFont="1" applyBorder="1" applyAlignment="1">
      <alignment horizontal="center" vertical="center" wrapText="1"/>
    </xf>
    <xf numFmtId="165" fontId="17" fillId="0" borderId="56" xfId="2" applyNumberFormat="1" applyFont="1" applyBorder="1" applyAlignment="1">
      <alignment horizontal="center" vertical="center" wrapText="1"/>
    </xf>
    <xf numFmtId="44" fontId="17" fillId="0" borderId="55" xfId="3" applyFont="1" applyBorder="1" applyAlignment="1">
      <alignment horizontal="center" vertical="center"/>
    </xf>
    <xf numFmtId="0" fontId="47" fillId="0" borderId="42" xfId="0" applyFont="1" applyBorder="1" applyAlignment="1">
      <alignment horizontal="center"/>
    </xf>
    <xf numFmtId="0" fontId="47" fillId="0" borderId="42" xfId="0" applyFont="1" applyBorder="1"/>
    <xf numFmtId="0" fontId="47" fillId="0" borderId="42" xfId="0" applyFont="1" applyBorder="1" applyAlignment="1">
      <alignment horizontal="center" vertical="center" wrapText="1"/>
    </xf>
    <xf numFmtId="0" fontId="12" fillId="0" borderId="0" xfId="6" applyFont="1" applyAlignment="1">
      <alignment horizontal="center" vertical="top" wrapText="1"/>
    </xf>
    <xf numFmtId="0" fontId="51" fillId="0" borderId="0" xfId="6" applyFont="1" applyAlignment="1">
      <alignment horizontal="center" vertical="top" wrapText="1"/>
    </xf>
    <xf numFmtId="44" fontId="0" fillId="0" borderId="0" xfId="3" applyFont="1" applyBorder="1"/>
    <xf numFmtId="44" fontId="0" fillId="0" borderId="0" xfId="3" applyFont="1" applyBorder="1" applyAlignment="1">
      <alignment horizontal="center"/>
    </xf>
    <xf numFmtId="1" fontId="18" fillId="0" borderId="33" xfId="0" applyNumberFormat="1" applyFont="1" applyBorder="1" applyAlignment="1">
      <alignment horizontal="center" vertical="center"/>
    </xf>
    <xf numFmtId="165" fontId="18" fillId="0" borderId="33" xfId="2" applyNumberFormat="1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166" fontId="18" fillId="0" borderId="33" xfId="2" applyNumberFormat="1" applyFont="1" applyFill="1" applyBorder="1" applyAlignment="1">
      <alignment horizontal="center"/>
    </xf>
    <xf numFmtId="0" fontId="18" fillId="0" borderId="33" xfId="0" applyFont="1" applyBorder="1" applyAlignment="1">
      <alignment horizontal="center" vertical="center"/>
    </xf>
    <xf numFmtId="44" fontId="18" fillId="0" borderId="33" xfId="3" applyFont="1" applyBorder="1"/>
    <xf numFmtId="44" fontId="18" fillId="0" borderId="33" xfId="3" applyFont="1" applyBorder="1" applyAlignment="1">
      <alignment horizontal="center"/>
    </xf>
    <xf numFmtId="0" fontId="12" fillId="0" borderId="33" xfId="6" applyFont="1" applyBorder="1" applyAlignment="1">
      <alignment horizontal="center" vertical="top" wrapText="1"/>
    </xf>
    <xf numFmtId="0" fontId="0" fillId="0" borderId="33" xfId="0" applyBorder="1" applyAlignment="1">
      <alignment horizontal="center"/>
    </xf>
    <xf numFmtId="44" fontId="0" fillId="0" borderId="33" xfId="3" applyFont="1" applyBorder="1"/>
    <xf numFmtId="44" fontId="0" fillId="0" borderId="33" xfId="3" applyFont="1" applyBorder="1" applyAlignment="1">
      <alignment horizontal="center"/>
    </xf>
    <xf numFmtId="165" fontId="18" fillId="0" borderId="33" xfId="2" applyNumberFormat="1" applyFont="1" applyBorder="1" applyAlignment="1">
      <alignment horizontal="center" vertical="center"/>
    </xf>
    <xf numFmtId="0" fontId="43" fillId="0" borderId="33" xfId="0" applyFont="1" applyBorder="1" applyAlignment="1">
      <alignment vertical="center"/>
    </xf>
    <xf numFmtId="0" fontId="43" fillId="0" borderId="33" xfId="0" applyFont="1" applyBorder="1" applyAlignment="1">
      <alignment horizontal="center" vertical="center"/>
    </xf>
    <xf numFmtId="165" fontId="18" fillId="0" borderId="33" xfId="2" applyNumberFormat="1" applyFont="1" applyBorder="1" applyAlignment="1">
      <alignment vertical="center"/>
    </xf>
    <xf numFmtId="44" fontId="18" fillId="0" borderId="33" xfId="3" applyFont="1" applyBorder="1" applyAlignment="1"/>
    <xf numFmtId="0" fontId="26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top"/>
    </xf>
    <xf numFmtId="0" fontId="17" fillId="0" borderId="32" xfId="0" applyFont="1" applyBorder="1" applyAlignment="1">
      <alignment horizontal="center" vertical="top" wrapText="1"/>
    </xf>
    <xf numFmtId="165" fontId="17" fillId="0" borderId="32" xfId="2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17" fillId="0" borderId="6" xfId="0" applyFont="1" applyBorder="1" applyAlignment="1">
      <alignment horizontal="center" vertical="top" wrapText="1"/>
    </xf>
    <xf numFmtId="165" fontId="17" fillId="0" borderId="6" xfId="2" applyNumberFormat="1" applyFont="1" applyBorder="1" applyAlignment="1">
      <alignment horizontal="center" vertical="top" wrapText="1"/>
    </xf>
    <xf numFmtId="1" fontId="18" fillId="0" borderId="6" xfId="0" applyNumberFormat="1" applyFont="1" applyBorder="1" applyAlignment="1">
      <alignment horizontal="center" vertical="center"/>
    </xf>
    <xf numFmtId="165" fontId="18" fillId="0" borderId="6" xfId="2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66" fontId="18" fillId="0" borderId="6" xfId="2" applyNumberFormat="1" applyFont="1" applyFill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44" fontId="18" fillId="0" borderId="6" xfId="3" applyFont="1" applyBorder="1"/>
    <xf numFmtId="44" fontId="18" fillId="0" borderId="6" xfId="3" applyFont="1" applyBorder="1" applyAlignment="1">
      <alignment horizontal="center"/>
    </xf>
    <xf numFmtId="9" fontId="18" fillId="0" borderId="32" xfId="0" applyNumberFormat="1" applyFont="1" applyBorder="1" applyAlignment="1">
      <alignment horizontal="center" wrapText="1"/>
    </xf>
    <xf numFmtId="0" fontId="0" fillId="0" borderId="32" xfId="0" applyBorder="1"/>
    <xf numFmtId="165" fontId="18" fillId="0" borderId="32" xfId="2" applyNumberFormat="1" applyFont="1" applyFill="1" applyBorder="1" applyAlignment="1">
      <alignment horizontal="center"/>
    </xf>
    <xf numFmtId="165" fontId="18" fillId="0" borderId="32" xfId="2" applyNumberFormat="1" applyFont="1" applyFill="1" applyBorder="1"/>
    <xf numFmtId="1" fontId="18" fillId="0" borderId="32" xfId="3" applyNumberFormat="1" applyFont="1" applyFill="1" applyBorder="1" applyAlignment="1">
      <alignment horizontal="center"/>
    </xf>
    <xf numFmtId="1" fontId="18" fillId="0" borderId="32" xfId="0" applyNumberFormat="1" applyFont="1" applyBorder="1" applyAlignment="1">
      <alignment horizontal="center" vertical="center"/>
    </xf>
    <xf numFmtId="165" fontId="18" fillId="0" borderId="32" xfId="2" applyNumberFormat="1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166" fontId="18" fillId="0" borderId="32" xfId="2" applyNumberFormat="1" applyFont="1" applyFill="1" applyBorder="1" applyAlignment="1">
      <alignment horizontal="center"/>
    </xf>
    <xf numFmtId="0" fontId="18" fillId="0" borderId="32" xfId="0" applyFont="1" applyBorder="1" applyAlignment="1">
      <alignment horizontal="center" vertical="center"/>
    </xf>
    <xf numFmtId="44" fontId="18" fillId="0" borderId="32" xfId="3" applyFont="1" applyBorder="1"/>
    <xf numFmtId="44" fontId="18" fillId="0" borderId="32" xfId="3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43" fillId="0" borderId="32" xfId="0" applyFont="1" applyBorder="1" applyAlignment="1">
      <alignment horizontal="center" vertical="center"/>
    </xf>
    <xf numFmtId="0" fontId="43" fillId="0" borderId="32" xfId="0" applyFont="1" applyBorder="1" applyAlignment="1">
      <alignment vertical="center"/>
    </xf>
    <xf numFmtId="44" fontId="0" fillId="0" borderId="32" xfId="3" applyFont="1" applyBorder="1"/>
    <xf numFmtId="44" fontId="0" fillId="0" borderId="32" xfId="3" applyFont="1" applyBorder="1" applyAlignment="1">
      <alignment horizontal="center"/>
    </xf>
    <xf numFmtId="44" fontId="18" fillId="0" borderId="32" xfId="3" applyFont="1" applyBorder="1" applyAlignment="1"/>
    <xf numFmtId="0" fontId="26" fillId="0" borderId="32" xfId="0" applyFont="1" applyBorder="1" applyAlignment="1">
      <alignment horizontal="center" vertical="center" wrapText="1"/>
    </xf>
    <xf numFmtId="0" fontId="12" fillId="0" borderId="9" xfId="6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/>
    </xf>
    <xf numFmtId="9" fontId="18" fillId="0" borderId="32" xfId="5" applyFont="1" applyFill="1" applyBorder="1" applyAlignment="1">
      <alignment horizontal="center"/>
    </xf>
    <xf numFmtId="9" fontId="18" fillId="0" borderId="65" xfId="0" applyNumberFormat="1" applyFont="1" applyBorder="1" applyAlignment="1">
      <alignment horizontal="center" wrapText="1"/>
    </xf>
    <xf numFmtId="9" fontId="18" fillId="0" borderId="66" xfId="0" applyNumberFormat="1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wrapText="1"/>
    </xf>
    <xf numFmtId="9" fontId="18" fillId="0" borderId="56" xfId="0" applyNumberFormat="1" applyFont="1" applyBorder="1" applyAlignment="1">
      <alignment horizontal="center" wrapText="1"/>
    </xf>
    <xf numFmtId="0" fontId="18" fillId="0" borderId="76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1" fontId="17" fillId="0" borderId="51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12" fillId="0" borderId="57" xfId="6" applyFont="1" applyBorder="1" applyAlignment="1">
      <alignment horizontal="center" vertical="top" wrapText="1"/>
    </xf>
    <xf numFmtId="9" fontId="18" fillId="0" borderId="57" xfId="0" applyNumberFormat="1" applyFont="1" applyBorder="1" applyAlignment="1">
      <alignment horizontal="center" wrapText="1"/>
    </xf>
    <xf numFmtId="0" fontId="18" fillId="0" borderId="29" xfId="0" applyFont="1" applyBorder="1" applyAlignment="1">
      <alignment horizontal="left" vertical="center"/>
    </xf>
    <xf numFmtId="9" fontId="18" fillId="0" borderId="69" xfId="0" applyNumberFormat="1" applyFont="1" applyBorder="1" applyAlignment="1">
      <alignment horizontal="center" wrapText="1"/>
    </xf>
    <xf numFmtId="9" fontId="18" fillId="0" borderId="67" xfId="0" applyNumberFormat="1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vertical="center" wrapText="1"/>
    </xf>
    <xf numFmtId="9" fontId="18" fillId="0" borderId="65" xfId="0" applyNumberFormat="1" applyFont="1" applyBorder="1" applyAlignment="1">
      <alignment horizontal="center" vertical="center" wrapText="1"/>
    </xf>
    <xf numFmtId="9" fontId="18" fillId="0" borderId="66" xfId="0" applyNumberFormat="1" applyFont="1" applyBorder="1" applyAlignment="1">
      <alignment horizontal="center" vertical="center" wrapText="1"/>
    </xf>
    <xf numFmtId="1" fontId="17" fillId="0" borderId="28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6" fontId="17" fillId="0" borderId="15" xfId="0" applyNumberFormat="1" applyFont="1" applyBorder="1" applyAlignment="1">
      <alignment horizontal="center" vertical="center" wrapText="1"/>
    </xf>
    <xf numFmtId="166" fontId="17" fillId="0" borderId="28" xfId="0" applyNumberFormat="1" applyFont="1" applyBorder="1" applyAlignment="1">
      <alignment horizontal="center" vertical="center" wrapText="1"/>
    </xf>
    <xf numFmtId="1" fontId="17" fillId="0" borderId="5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6" fontId="17" fillId="0" borderId="50" xfId="0" applyNumberFormat="1" applyFont="1" applyBorder="1" applyAlignment="1">
      <alignment horizontal="center" vertical="center" wrapText="1"/>
    </xf>
    <xf numFmtId="165" fontId="18" fillId="0" borderId="20" xfId="2" applyNumberFormat="1" applyFont="1" applyFill="1" applyBorder="1" applyAlignment="1">
      <alignment horizontal="center"/>
    </xf>
    <xf numFmtId="0" fontId="0" fillId="0" borderId="20" xfId="0" applyBorder="1"/>
    <xf numFmtId="0" fontId="59" fillId="0" borderId="0" xfId="0" applyFont="1"/>
    <xf numFmtId="0" fontId="18" fillId="0" borderId="46" xfId="0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/>
    </xf>
    <xf numFmtId="0" fontId="18" fillId="0" borderId="66" xfId="0" applyFont="1" applyBorder="1" applyAlignment="1">
      <alignment horizontal="left" vertical="center"/>
    </xf>
    <xf numFmtId="0" fontId="18" fillId="0" borderId="67" xfId="0" applyFont="1" applyBorder="1" applyAlignment="1">
      <alignment horizontal="left" vertical="center"/>
    </xf>
    <xf numFmtId="0" fontId="59" fillId="0" borderId="13" xfId="0" applyFont="1" applyBorder="1"/>
    <xf numFmtId="0" fontId="59" fillId="0" borderId="19" xfId="0" applyFont="1" applyBorder="1"/>
    <xf numFmtId="0" fontId="59" fillId="0" borderId="39" xfId="0" applyFont="1" applyBorder="1"/>
    <xf numFmtId="3" fontId="0" fillId="0" borderId="0" xfId="0" applyNumberFormat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8" fillId="0" borderId="45" xfId="0" applyFont="1" applyBorder="1" applyAlignment="1">
      <alignment horizontal="left" vertical="center"/>
    </xf>
    <xf numFmtId="0" fontId="18" fillId="0" borderId="59" xfId="0" applyFont="1" applyBorder="1" applyAlignment="1">
      <alignment horizontal="left" vertical="center"/>
    </xf>
    <xf numFmtId="0" fontId="51" fillId="0" borderId="33" xfId="6" applyFont="1" applyBorder="1" applyAlignment="1">
      <alignment horizontal="center" vertical="top" wrapText="1"/>
    </xf>
    <xf numFmtId="0" fontId="17" fillId="0" borderId="33" xfId="0" applyFont="1" applyBorder="1" applyAlignment="1">
      <alignment horizontal="center" vertical="top" wrapText="1"/>
    </xf>
    <xf numFmtId="165" fontId="17" fillId="0" borderId="33" xfId="2" applyNumberFormat="1" applyFont="1" applyBorder="1" applyAlignment="1">
      <alignment horizontal="center" vertical="top" wrapText="1"/>
    </xf>
    <xf numFmtId="0" fontId="51" fillId="0" borderId="40" xfId="6" applyFont="1" applyBorder="1" applyAlignment="1">
      <alignment horizontal="center" vertical="top" wrapText="1"/>
    </xf>
    <xf numFmtId="9" fontId="18" fillId="0" borderId="54" xfId="5" applyFont="1" applyFill="1" applyBorder="1" applyAlignment="1">
      <alignment horizontal="center"/>
    </xf>
    <xf numFmtId="9" fontId="18" fillId="0" borderId="45" xfId="5" applyFont="1" applyFill="1" applyBorder="1" applyAlignment="1">
      <alignment horizontal="center"/>
    </xf>
    <xf numFmtId="9" fontId="18" fillId="0" borderId="46" xfId="5" applyFont="1" applyFill="1" applyBorder="1" applyAlignment="1">
      <alignment horizontal="center"/>
    </xf>
    <xf numFmtId="9" fontId="18" fillId="0" borderId="44" xfId="5" applyFont="1" applyFill="1" applyBorder="1" applyAlignment="1">
      <alignment horizontal="center"/>
    </xf>
    <xf numFmtId="9" fontId="18" fillId="0" borderId="45" xfId="5" applyFont="1" applyBorder="1" applyAlignment="1">
      <alignment horizontal="center"/>
    </xf>
    <xf numFmtId="9" fontId="18" fillId="0" borderId="43" xfId="5" applyFont="1" applyBorder="1" applyAlignment="1">
      <alignment horizontal="center"/>
    </xf>
    <xf numFmtId="9" fontId="18" fillId="0" borderId="21" xfId="5" applyFont="1" applyFill="1" applyBorder="1" applyAlignment="1">
      <alignment horizontal="center"/>
    </xf>
    <xf numFmtId="0" fontId="51" fillId="0" borderId="44" xfId="6" applyFont="1" applyBorder="1" applyAlignment="1">
      <alignment horizontal="center" vertical="top" wrapText="1"/>
    </xf>
    <xf numFmtId="9" fontId="18" fillId="0" borderId="43" xfId="5" applyFont="1" applyFill="1" applyBorder="1" applyAlignment="1">
      <alignment horizontal="center"/>
    </xf>
    <xf numFmtId="166" fontId="17" fillId="0" borderId="56" xfId="0" applyNumberFormat="1" applyFont="1" applyBorder="1" applyAlignment="1">
      <alignment horizontal="center" vertical="center" wrapText="1"/>
    </xf>
    <xf numFmtId="9" fontId="18" fillId="0" borderId="41" xfId="5" applyFont="1" applyFill="1" applyBorder="1" applyAlignment="1">
      <alignment horizontal="center"/>
    </xf>
    <xf numFmtId="9" fontId="18" fillId="0" borderId="51" xfId="0" applyNumberFormat="1" applyFont="1" applyBorder="1" applyAlignment="1">
      <alignment horizontal="center" wrapText="1"/>
    </xf>
    <xf numFmtId="166" fontId="17" fillId="0" borderId="51" xfId="0" applyNumberFormat="1" applyFont="1" applyBorder="1" applyAlignment="1">
      <alignment horizontal="center" vertical="center" wrapText="1"/>
    </xf>
    <xf numFmtId="166" fontId="17" fillId="0" borderId="21" xfId="0" applyNumberFormat="1" applyFont="1" applyBorder="1" applyAlignment="1">
      <alignment horizontal="center" vertical="center" wrapText="1"/>
    </xf>
    <xf numFmtId="165" fontId="18" fillId="0" borderId="26" xfId="2" applyNumberFormat="1" applyFont="1" applyFill="1" applyBorder="1" applyAlignment="1">
      <alignment horizontal="center"/>
    </xf>
    <xf numFmtId="9" fontId="18" fillId="0" borderId="54" xfId="5" applyFont="1" applyBorder="1" applyAlignment="1">
      <alignment horizontal="center"/>
    </xf>
    <xf numFmtId="9" fontId="18" fillId="0" borderId="48" xfId="5" applyFont="1" applyBorder="1" applyAlignment="1">
      <alignment horizontal="center"/>
    </xf>
    <xf numFmtId="9" fontId="18" fillId="0" borderId="59" xfId="5" applyFont="1" applyBorder="1" applyAlignment="1">
      <alignment horizontal="center"/>
    </xf>
    <xf numFmtId="9" fontId="18" fillId="0" borderId="46" xfId="5" applyFont="1" applyBorder="1" applyAlignment="1">
      <alignment horizontal="center"/>
    </xf>
    <xf numFmtId="165" fontId="18" fillId="0" borderId="21" xfId="2" applyNumberFormat="1" applyFont="1" applyFill="1" applyBorder="1"/>
    <xf numFmtId="166" fontId="17" fillId="0" borderId="9" xfId="0" applyNumberFormat="1" applyFont="1" applyBorder="1" applyAlignment="1">
      <alignment horizontal="center" vertical="center" wrapText="1"/>
    </xf>
    <xf numFmtId="166" fontId="17" fillId="0" borderId="16" xfId="0" applyNumberFormat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9" fontId="18" fillId="0" borderId="46" xfId="5" applyFont="1" applyFill="1" applyBorder="1" applyAlignment="1">
      <alignment horizontal="center" vertical="center"/>
    </xf>
    <xf numFmtId="165" fontId="18" fillId="0" borderId="17" xfId="2" applyNumberFormat="1" applyFont="1" applyFill="1" applyBorder="1" applyAlignment="1">
      <alignment horizontal="center" vertical="center"/>
    </xf>
    <xf numFmtId="165" fontId="18" fillId="0" borderId="18" xfId="2" applyNumberFormat="1" applyFont="1" applyFill="1" applyBorder="1" applyAlignment="1">
      <alignment vertical="center"/>
    </xf>
    <xf numFmtId="9" fontId="18" fillId="0" borderId="48" xfId="5" applyFont="1" applyFill="1" applyBorder="1" applyAlignment="1">
      <alignment horizontal="center"/>
    </xf>
    <xf numFmtId="9" fontId="18" fillId="0" borderId="54" xfId="5" applyFont="1" applyFill="1" applyBorder="1" applyAlignment="1">
      <alignment horizontal="center" vertical="center"/>
    </xf>
    <xf numFmtId="9" fontId="18" fillId="0" borderId="45" xfId="5" applyFont="1" applyFill="1" applyBorder="1" applyAlignment="1">
      <alignment horizontal="center" vertical="center"/>
    </xf>
    <xf numFmtId="165" fontId="17" fillId="0" borderId="7" xfId="2" applyNumberFormat="1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wrapText="1"/>
    </xf>
    <xf numFmtId="9" fontId="18" fillId="0" borderId="17" xfId="0" applyNumberFormat="1" applyFont="1" applyBorder="1" applyAlignment="1">
      <alignment horizontal="center" wrapText="1"/>
    </xf>
    <xf numFmtId="9" fontId="18" fillId="0" borderId="15" xfId="0" applyNumberFormat="1" applyFont="1" applyBorder="1" applyAlignment="1">
      <alignment horizontal="center" wrapText="1"/>
    </xf>
    <xf numFmtId="0" fontId="59" fillId="0" borderId="4" xfId="0" applyFont="1" applyBorder="1"/>
    <xf numFmtId="0" fontId="59" fillId="0" borderId="8" xfId="0" applyFont="1" applyBorder="1"/>
    <xf numFmtId="0" fontId="59" fillId="0" borderId="31" xfId="0" applyFont="1" applyBorder="1"/>
    <xf numFmtId="0" fontId="17" fillId="0" borderId="44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1" fontId="18" fillId="0" borderId="72" xfId="3" applyNumberFormat="1" applyFont="1" applyFill="1" applyBorder="1" applyAlignment="1">
      <alignment horizontal="center"/>
    </xf>
    <xf numFmtId="1" fontId="18" fillId="0" borderId="17" xfId="0" applyNumberFormat="1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1" fontId="18" fillId="0" borderId="17" xfId="3" applyNumberFormat="1" applyFont="1" applyFill="1" applyBorder="1" applyAlignment="1">
      <alignment horizontal="center" vertical="center"/>
    </xf>
    <xf numFmtId="1" fontId="17" fillId="0" borderId="58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/>
    </xf>
    <xf numFmtId="9" fontId="18" fillId="0" borderId="59" xfId="5" applyFont="1" applyFill="1" applyBorder="1" applyAlignment="1">
      <alignment horizontal="center"/>
    </xf>
    <xf numFmtId="166" fontId="17" fillId="0" borderId="67" xfId="0" applyNumberFormat="1" applyFont="1" applyBorder="1" applyAlignment="1">
      <alignment horizontal="center" vertical="center" wrapText="1"/>
    </xf>
    <xf numFmtId="165" fontId="18" fillId="0" borderId="28" xfId="2" applyNumberFormat="1" applyFont="1" applyFill="1" applyBorder="1" applyAlignment="1">
      <alignment horizontal="center"/>
    </xf>
    <xf numFmtId="166" fontId="17" fillId="0" borderId="59" xfId="0" applyNumberFormat="1" applyFont="1" applyBorder="1" applyAlignment="1">
      <alignment horizontal="center" vertical="center" wrapText="1"/>
    </xf>
    <xf numFmtId="1" fontId="18" fillId="0" borderId="24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9" fontId="18" fillId="0" borderId="0" xfId="5" applyFont="1" applyFill="1" applyBorder="1" applyAlignment="1">
      <alignment horizontal="center" vertical="center"/>
    </xf>
    <xf numFmtId="165" fontId="18" fillId="0" borderId="0" xfId="2" applyNumberFormat="1" applyFont="1" applyFill="1" applyBorder="1" applyAlignment="1">
      <alignment horizontal="center" vertical="center"/>
    </xf>
    <xf numFmtId="165" fontId="18" fillId="0" borderId="0" xfId="2" applyNumberFormat="1" applyFont="1" applyFill="1" applyBorder="1" applyAlignment="1">
      <alignment vertical="center"/>
    </xf>
    <xf numFmtId="1" fontId="18" fillId="0" borderId="0" xfId="3" applyNumberFormat="1" applyFont="1" applyFill="1" applyBorder="1" applyAlignment="1">
      <alignment horizontal="center" vertical="center"/>
    </xf>
    <xf numFmtId="44" fontId="18" fillId="0" borderId="0" xfId="3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7" fillId="0" borderId="50" xfId="0" applyNumberFormat="1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165" fontId="18" fillId="0" borderId="20" xfId="2" applyNumberFormat="1" applyFont="1" applyFill="1" applyBorder="1" applyAlignment="1">
      <alignment horizontal="center" vertical="center"/>
    </xf>
    <xf numFmtId="165" fontId="18" fillId="0" borderId="20" xfId="2" applyNumberFormat="1" applyFont="1" applyFill="1" applyBorder="1" applyAlignment="1">
      <alignment vertical="center"/>
    </xf>
    <xf numFmtId="9" fontId="18" fillId="0" borderId="50" xfId="0" applyNumberFormat="1" applyFont="1" applyBorder="1" applyAlignment="1">
      <alignment horizontal="center" vertical="center" wrapText="1"/>
    </xf>
    <xf numFmtId="9" fontId="18" fillId="0" borderId="21" xfId="5" applyFont="1" applyFill="1" applyBorder="1" applyAlignment="1">
      <alignment horizontal="center" vertical="center"/>
    </xf>
    <xf numFmtId="1" fontId="18" fillId="0" borderId="50" xfId="3" applyNumberFormat="1" applyFont="1" applyFill="1" applyBorder="1" applyAlignment="1">
      <alignment horizontal="center" vertical="center"/>
    </xf>
    <xf numFmtId="1" fontId="18" fillId="0" borderId="21" xfId="3" applyNumberFormat="1" applyFont="1" applyFill="1" applyBorder="1" applyAlignment="1">
      <alignment horizontal="center" vertical="center"/>
    </xf>
    <xf numFmtId="1" fontId="18" fillId="0" borderId="50" xfId="0" applyNumberFormat="1" applyFont="1" applyBorder="1" applyAlignment="1">
      <alignment horizontal="center" vertical="center"/>
    </xf>
    <xf numFmtId="44" fontId="18" fillId="0" borderId="21" xfId="3" applyFont="1" applyBorder="1" applyAlignment="1">
      <alignment vertical="center"/>
    </xf>
    <xf numFmtId="0" fontId="12" fillId="6" borderId="55" xfId="0" applyFont="1" applyFill="1" applyBorder="1" applyAlignment="1">
      <alignment horizontal="center" vertical="center" wrapText="1"/>
    </xf>
    <xf numFmtId="165" fontId="18" fillId="0" borderId="2" xfId="2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21" fillId="0" borderId="0" xfId="6"/>
    <xf numFmtId="0" fontId="2" fillId="0" borderId="0" xfId="6" applyFont="1" applyAlignment="1">
      <alignment horizontal="center"/>
    </xf>
    <xf numFmtId="0" fontId="52" fillId="0" borderId="41" xfId="6" applyFont="1" applyBorder="1" applyAlignment="1">
      <alignment horizontal="center"/>
    </xf>
    <xf numFmtId="0" fontId="18" fillId="0" borderId="43" xfId="6" applyFont="1" applyBorder="1" applyAlignment="1">
      <alignment horizontal="center"/>
    </xf>
    <xf numFmtId="0" fontId="2" fillId="0" borderId="7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57" xfId="6" applyFont="1" applyBorder="1" applyAlignment="1">
      <alignment horizontal="center" vertical="center"/>
    </xf>
    <xf numFmtId="0" fontId="12" fillId="0" borderId="9" xfId="7" applyFont="1" applyBorder="1" applyAlignment="1">
      <alignment horizontal="center" vertical="center" wrapText="1"/>
    </xf>
    <xf numFmtId="0" fontId="12" fillId="0" borderId="9" xfId="6" applyFont="1" applyBorder="1" applyAlignment="1">
      <alignment horizontal="center" vertical="center" wrapText="1"/>
    </xf>
    <xf numFmtId="0" fontId="14" fillId="0" borderId="9" xfId="6" applyFont="1" applyBorder="1" applyAlignment="1">
      <alignment horizontal="center" vertical="center" wrapText="1"/>
    </xf>
    <xf numFmtId="0" fontId="12" fillId="0" borderId="33" xfId="6" applyFont="1" applyBorder="1" applyAlignment="1">
      <alignment horizontal="center" vertical="center" wrapText="1"/>
    </xf>
    <xf numFmtId="0" fontId="12" fillId="0" borderId="10" xfId="6" applyFont="1" applyBorder="1" applyAlignment="1">
      <alignment horizontal="center" vertical="center" wrapText="1"/>
    </xf>
    <xf numFmtId="0" fontId="12" fillId="0" borderId="12" xfId="6" applyFont="1" applyBorder="1" applyAlignment="1">
      <alignment horizontal="center" vertical="center"/>
    </xf>
    <xf numFmtId="16" fontId="63" fillId="0" borderId="12" xfId="6" applyNumberFormat="1" applyFont="1" applyBorder="1"/>
    <xf numFmtId="0" fontId="63" fillId="0" borderId="12" xfId="6" applyFont="1" applyBorder="1"/>
    <xf numFmtId="0" fontId="63" fillId="0" borderId="14" xfId="6" applyFont="1" applyBorder="1"/>
    <xf numFmtId="168" fontId="21" fillId="0" borderId="0" xfId="6" applyNumberFormat="1"/>
    <xf numFmtId="0" fontId="12" fillId="0" borderId="3" xfId="6" applyFont="1" applyBorder="1" applyAlignment="1">
      <alignment horizontal="center" vertical="center"/>
    </xf>
    <xf numFmtId="16" fontId="63" fillId="0" borderId="3" xfId="6" applyNumberFormat="1" applyFont="1" applyBorder="1"/>
    <xf numFmtId="0" fontId="63" fillId="0" borderId="3" xfId="6" applyFont="1" applyBorder="1"/>
    <xf numFmtId="0" fontId="63" fillId="0" borderId="22" xfId="6" applyFont="1" applyBorder="1"/>
    <xf numFmtId="0" fontId="12" fillId="0" borderId="18" xfId="6" applyFont="1" applyBorder="1" applyAlignment="1">
      <alignment horizontal="center" vertical="center"/>
    </xf>
    <xf numFmtId="0" fontId="63" fillId="0" borderId="18" xfId="6" applyFont="1" applyBorder="1"/>
    <xf numFmtId="0" fontId="63" fillId="0" borderId="38" xfId="6" applyFont="1" applyBorder="1"/>
    <xf numFmtId="0" fontId="25" fillId="0" borderId="17" xfId="0" applyFont="1" applyBorder="1" applyAlignment="1">
      <alignment horizontal="center" vertical="center"/>
    </xf>
    <xf numFmtId="166" fontId="17" fillId="0" borderId="30" xfId="0" applyNumberFormat="1" applyFont="1" applyBorder="1" applyAlignment="1">
      <alignment horizontal="center" vertical="center" wrapText="1"/>
    </xf>
    <xf numFmtId="0" fontId="51" fillId="0" borderId="40" xfId="6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/>
    </xf>
    <xf numFmtId="0" fontId="18" fillId="0" borderId="40" xfId="0" applyFont="1" applyBorder="1" applyAlignment="1">
      <alignment vertical="center"/>
    </xf>
    <xf numFmtId="0" fontId="18" fillId="0" borderId="44" xfId="0" applyFont="1" applyBorder="1" applyAlignment="1">
      <alignment horizontal="left" vertical="center"/>
    </xf>
    <xf numFmtId="0" fontId="18" fillId="0" borderId="65" xfId="0" applyFont="1" applyBorder="1" applyAlignment="1">
      <alignment horizontal="left" vertical="center"/>
    </xf>
    <xf numFmtId="0" fontId="18" fillId="0" borderId="68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12" fontId="17" fillId="0" borderId="0" xfId="0" applyNumberFormat="1" applyFont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172" fontId="53" fillId="0" borderId="0" xfId="0" applyNumberFormat="1" applyFont="1" applyAlignment="1">
      <alignment horizontal="center" vertical="center"/>
    </xf>
    <xf numFmtId="0" fontId="65" fillId="0" borderId="0" xfId="0" applyFont="1"/>
    <xf numFmtId="0" fontId="18" fillId="9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left" vertical="center"/>
    </xf>
    <xf numFmtId="3" fontId="18" fillId="9" borderId="3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51" fillId="0" borderId="0" xfId="6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3" fontId="18" fillId="0" borderId="75" xfId="0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166" fontId="18" fillId="0" borderId="0" xfId="2" applyNumberFormat="1" applyFont="1" applyBorder="1" applyAlignment="1">
      <alignment horizontal="center"/>
    </xf>
    <xf numFmtId="166" fontId="17" fillId="0" borderId="55" xfId="0" applyNumberFormat="1" applyFont="1" applyBorder="1" applyAlignment="1">
      <alignment horizontal="center" vertical="center" wrapText="1"/>
    </xf>
    <xf numFmtId="166" fontId="18" fillId="0" borderId="2" xfId="2" applyNumberFormat="1" applyFont="1" applyBorder="1" applyAlignment="1">
      <alignment horizontal="center"/>
    </xf>
    <xf numFmtId="0" fontId="17" fillId="0" borderId="60" xfId="0" applyFont="1" applyBorder="1" applyAlignment="1">
      <alignment horizontal="center" vertical="center"/>
    </xf>
    <xf numFmtId="0" fontId="18" fillId="0" borderId="12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165" fontId="18" fillId="0" borderId="11" xfId="2" applyNumberFormat="1" applyFont="1" applyBorder="1" applyAlignment="1">
      <alignment horizontal="center" vertical="center"/>
    </xf>
    <xf numFmtId="165" fontId="18" fillId="0" borderId="17" xfId="2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8" fillId="0" borderId="52" xfId="0" applyFont="1" applyBorder="1" applyAlignment="1">
      <alignment horizontal="left" vertical="center"/>
    </xf>
    <xf numFmtId="0" fontId="59" fillId="0" borderId="47" xfId="0" applyFont="1" applyBorder="1"/>
    <xf numFmtId="3" fontId="18" fillId="0" borderId="65" xfId="0" applyNumberFormat="1" applyFont="1" applyBorder="1" applyAlignment="1">
      <alignment horizontal="center" vertical="center"/>
    </xf>
    <xf numFmtId="3" fontId="18" fillId="0" borderId="68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7" fillId="0" borderId="7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0" xfId="0" applyBorder="1" applyAlignment="1">
      <alignment horizontal="center" vertical="center" textRotation="90"/>
    </xf>
    <xf numFmtId="0" fontId="0" fillId="0" borderId="51" xfId="0" applyBorder="1" applyAlignment="1">
      <alignment horizontal="center" vertical="center" textRotation="90"/>
    </xf>
    <xf numFmtId="0" fontId="0" fillId="0" borderId="49" xfId="0" applyBorder="1" applyAlignment="1">
      <alignment horizontal="center" vertical="center" textRotation="90"/>
    </xf>
    <xf numFmtId="0" fontId="23" fillId="0" borderId="7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0" fillId="0" borderId="56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0" fontId="46" fillId="0" borderId="40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6" fillId="0" borderId="49" xfId="0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/>
    </xf>
    <xf numFmtId="0" fontId="46" fillId="0" borderId="4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8" xfId="0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/>
    </xf>
    <xf numFmtId="0" fontId="54" fillId="0" borderId="27" xfId="0" applyFont="1" applyBorder="1" applyAlignment="1">
      <alignment horizontal="center"/>
    </xf>
    <xf numFmtId="0" fontId="54" fillId="0" borderId="40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72" fontId="53" fillId="0" borderId="7" xfId="0" applyNumberFormat="1" applyFont="1" applyBorder="1" applyAlignment="1">
      <alignment horizontal="center" vertical="center"/>
    </xf>
    <xf numFmtId="172" fontId="53" fillId="0" borderId="25" xfId="0" applyNumberFormat="1" applyFont="1" applyBorder="1" applyAlignment="1">
      <alignment horizontal="center" vertical="center"/>
    </xf>
    <xf numFmtId="172" fontId="53" fillId="0" borderId="4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52" fillId="0" borderId="10" xfId="0" applyNumberFormat="1" applyFont="1" applyBorder="1" applyAlignment="1">
      <alignment horizontal="center" vertical="center"/>
    </xf>
    <xf numFmtId="14" fontId="52" fillId="0" borderId="40" xfId="0" applyNumberFormat="1" applyFont="1" applyBorder="1" applyAlignment="1">
      <alignment horizontal="center" vertical="center"/>
    </xf>
    <xf numFmtId="14" fontId="52" fillId="0" borderId="49" xfId="0" applyNumberFormat="1" applyFont="1" applyBorder="1" applyAlignment="1">
      <alignment horizontal="center" vertical="center"/>
    </xf>
    <xf numFmtId="14" fontId="52" fillId="0" borderId="43" xfId="0" applyNumberFormat="1" applyFont="1" applyBorder="1" applyAlignment="1">
      <alignment horizontal="center" vertical="center"/>
    </xf>
    <xf numFmtId="0" fontId="56" fillId="0" borderId="10" xfId="0" applyFont="1" applyBorder="1" applyAlignment="1">
      <alignment horizontal="center"/>
    </xf>
    <xf numFmtId="0" fontId="56" fillId="0" borderId="27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2" fillId="0" borderId="5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49" xfId="6" applyFont="1" applyBorder="1" applyAlignment="1">
      <alignment horizontal="center"/>
    </xf>
    <xf numFmtId="0" fontId="2" fillId="0" borderId="42" xfId="6" applyFont="1" applyBorder="1" applyAlignment="1">
      <alignment horizontal="center"/>
    </xf>
    <xf numFmtId="0" fontId="52" fillId="0" borderId="42" xfId="6" applyFont="1" applyBorder="1" applyAlignment="1">
      <alignment horizontal="center"/>
    </xf>
    <xf numFmtId="0" fontId="52" fillId="0" borderId="43" xfId="6" applyFont="1" applyBorder="1" applyAlignment="1">
      <alignment horizontal="center"/>
    </xf>
    <xf numFmtId="0" fontId="46" fillId="0" borderId="7" xfId="6" applyFont="1" applyBorder="1" applyAlignment="1">
      <alignment horizontal="center" vertical="center"/>
    </xf>
    <xf numFmtId="0" fontId="46" fillId="0" borderId="25" xfId="6" applyFont="1" applyBorder="1" applyAlignment="1">
      <alignment horizontal="center" vertical="center"/>
    </xf>
    <xf numFmtId="0" fontId="46" fillId="0" borderId="44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0" fontId="2" fillId="0" borderId="25" xfId="6" applyFont="1" applyBorder="1" applyAlignment="1">
      <alignment horizontal="center" vertical="center"/>
    </xf>
    <xf numFmtId="0" fontId="2" fillId="0" borderId="44" xfId="6" applyFont="1" applyBorder="1" applyAlignment="1">
      <alignment horizontal="center" vertical="center"/>
    </xf>
    <xf numFmtId="14" fontId="52" fillId="0" borderId="7" xfId="6" applyNumberFormat="1" applyFont="1" applyBorder="1" applyAlignment="1">
      <alignment horizontal="center" vertical="center"/>
    </xf>
    <xf numFmtId="14" fontId="52" fillId="0" borderId="25" xfId="6" applyNumberFormat="1" applyFont="1" applyBorder="1" applyAlignment="1">
      <alignment horizontal="center" vertical="center"/>
    </xf>
    <xf numFmtId="14" fontId="52" fillId="0" borderId="44" xfId="6" applyNumberFormat="1" applyFont="1" applyBorder="1" applyAlignment="1">
      <alignment horizontal="center" vertical="center"/>
    </xf>
    <xf numFmtId="0" fontId="53" fillId="0" borderId="10" xfId="6" applyFont="1" applyBorder="1" applyAlignment="1">
      <alignment horizontal="center"/>
    </xf>
    <xf numFmtId="0" fontId="53" fillId="0" borderId="27" xfId="6" applyFont="1" applyBorder="1" applyAlignment="1">
      <alignment horizontal="center"/>
    </xf>
    <xf numFmtId="0" fontId="53" fillId="0" borderId="40" xfId="6" applyFont="1" applyBorder="1" applyAlignment="1">
      <alignment horizontal="center"/>
    </xf>
    <xf numFmtId="0" fontId="60" fillId="0" borderId="10" xfId="6" applyFont="1" applyBorder="1" applyAlignment="1">
      <alignment horizontal="center"/>
    </xf>
    <xf numFmtId="0" fontId="60" fillId="0" borderId="27" xfId="6" applyFont="1" applyBorder="1" applyAlignment="1">
      <alignment horizontal="center"/>
    </xf>
    <xf numFmtId="0" fontId="60" fillId="0" borderId="40" xfId="6" applyFont="1" applyBorder="1" applyAlignment="1">
      <alignment horizontal="center"/>
    </xf>
    <xf numFmtId="0" fontId="2" fillId="0" borderId="51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52" fillId="0" borderId="0" xfId="6" applyFont="1" applyAlignment="1">
      <alignment horizontal="center"/>
    </xf>
    <xf numFmtId="0" fontId="52" fillId="0" borderId="41" xfId="6" applyFont="1" applyBorder="1" applyAlignment="1">
      <alignment horizontal="center"/>
    </xf>
    <xf numFmtId="0" fontId="2" fillId="0" borderId="7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/>
    </xf>
    <xf numFmtId="0" fontId="61" fillId="0" borderId="25" xfId="6" applyFont="1" applyBorder="1" applyAlignment="1">
      <alignment horizontal="center" vertical="center"/>
    </xf>
    <xf numFmtId="0" fontId="61" fillId="0" borderId="44" xfId="6" applyFont="1" applyBorder="1" applyAlignment="1">
      <alignment horizontal="center" vertical="center"/>
    </xf>
    <xf numFmtId="172" fontId="62" fillId="0" borderId="7" xfId="6" applyNumberFormat="1" applyFont="1" applyBorder="1" applyAlignment="1">
      <alignment horizontal="center" vertical="center"/>
    </xf>
    <xf numFmtId="172" fontId="62" fillId="0" borderId="25" xfId="6" applyNumberFormat="1" applyFont="1" applyBorder="1" applyAlignment="1">
      <alignment horizontal="center" vertical="center"/>
    </xf>
    <xf numFmtId="172" fontId="62" fillId="0" borderId="44" xfId="6" applyNumberFormat="1" applyFont="1" applyBorder="1" applyAlignment="1">
      <alignment horizontal="center" vertical="center"/>
    </xf>
    <xf numFmtId="172" fontId="53" fillId="0" borderId="7" xfId="6" applyNumberFormat="1" applyFont="1" applyBorder="1" applyAlignment="1">
      <alignment horizontal="center" vertical="center"/>
    </xf>
    <xf numFmtId="172" fontId="53" fillId="0" borderId="25" xfId="6" applyNumberFormat="1" applyFont="1" applyBorder="1" applyAlignment="1">
      <alignment horizontal="center" vertical="center"/>
    </xf>
    <xf numFmtId="172" fontId="53" fillId="0" borderId="44" xfId="6" applyNumberFormat="1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 wrapText="1"/>
    </xf>
    <xf numFmtId="0" fontId="13" fillId="0" borderId="15" xfId="6" applyFont="1" applyBorder="1" applyAlignment="1">
      <alignment horizontal="center" vertical="center" wrapText="1"/>
    </xf>
    <xf numFmtId="0" fontId="12" fillId="0" borderId="1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3" fillId="0" borderId="12" xfId="6" applyFont="1" applyBorder="1" applyAlignment="1">
      <alignment horizontal="center" vertical="center" wrapText="1"/>
    </xf>
    <xf numFmtId="0" fontId="13" fillId="0" borderId="3" xfId="6" applyFont="1" applyBorder="1" applyAlignment="1">
      <alignment horizontal="center" vertical="center" wrapText="1"/>
    </xf>
    <xf numFmtId="0" fontId="13" fillId="0" borderId="15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53" fillId="0" borderId="27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1" fontId="17" fillId="0" borderId="61" xfId="0" applyNumberFormat="1" applyFont="1" applyBorder="1" applyAlignment="1">
      <alignment horizontal="center" vertical="center"/>
    </xf>
    <xf numFmtId="1" fontId="17" fillId="0" borderId="72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1" fontId="17" fillId="0" borderId="62" xfId="0" applyNumberFormat="1" applyFont="1" applyBorder="1" applyAlignment="1">
      <alignment horizontal="center" vertical="center"/>
    </xf>
    <xf numFmtId="1" fontId="17" fillId="0" borderId="75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 wrapText="1"/>
    </xf>
    <xf numFmtId="0" fontId="52" fillId="0" borderId="44" xfId="0" applyFont="1" applyBorder="1" applyAlignment="1">
      <alignment horizontal="center" vertical="center" wrapText="1"/>
    </xf>
    <xf numFmtId="0" fontId="52" fillId="0" borderId="7" xfId="0" applyFont="1" applyBorder="1" applyAlignment="1">
      <alignment horizontal="center"/>
    </xf>
    <xf numFmtId="0" fontId="52" fillId="0" borderId="44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14" fontId="18" fillId="0" borderId="40" xfId="0" applyNumberFormat="1" applyFont="1" applyBorder="1" applyAlignment="1">
      <alignment horizontal="center" vertical="center"/>
    </xf>
    <xf numFmtId="14" fontId="18" fillId="0" borderId="49" xfId="0" applyNumberFormat="1" applyFont="1" applyBorder="1" applyAlignment="1">
      <alignment horizontal="center" vertical="center"/>
    </xf>
    <xf numFmtId="14" fontId="18" fillId="0" borderId="43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2" fillId="0" borderId="4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52" fillId="0" borderId="42" xfId="0" applyFont="1" applyBorder="1" applyAlignment="1">
      <alignment horizontal="center"/>
    </xf>
    <xf numFmtId="0" fontId="52" fillId="0" borderId="43" xfId="0" applyFont="1" applyBorder="1" applyAlignment="1">
      <alignment horizontal="center"/>
    </xf>
    <xf numFmtId="0" fontId="2" fillId="0" borderId="6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52" fillId="0" borderId="25" xfId="0" applyFont="1" applyBorder="1" applyAlignment="1">
      <alignment horizontal="center"/>
    </xf>
    <xf numFmtId="0" fontId="5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53" fillId="0" borderId="42" xfId="0" applyFont="1" applyBorder="1" applyAlignment="1">
      <alignment horizontal="left"/>
    </xf>
    <xf numFmtId="0" fontId="54" fillId="0" borderId="42" xfId="0" applyFont="1" applyBorder="1" applyAlignment="1">
      <alignment horizontal="left"/>
    </xf>
    <xf numFmtId="0" fontId="57" fillId="0" borderId="7" xfId="0" applyFont="1" applyBorder="1" applyAlignment="1">
      <alignment horizontal="center" vertical="center"/>
    </xf>
    <xf numFmtId="0" fontId="57" fillId="0" borderId="25" xfId="0" applyFont="1" applyBorder="1" applyAlignment="1">
      <alignment horizontal="center" vertical="center"/>
    </xf>
    <xf numFmtId="0" fontId="57" fillId="0" borderId="4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54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19" fillId="0" borderId="50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9" fillId="0" borderId="62" xfId="0" applyFont="1" applyBorder="1" applyAlignment="1">
      <alignment horizontal="left" vertical="center"/>
    </xf>
    <xf numFmtId="0" fontId="19" fillId="0" borderId="63" xfId="0" applyFont="1" applyBorder="1" applyAlignment="1">
      <alignment horizontal="left" vertical="center"/>
    </xf>
    <xf numFmtId="0" fontId="19" fillId="0" borderId="5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14" fontId="52" fillId="0" borderId="51" xfId="0" applyNumberFormat="1" applyFont="1" applyBorder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14" fontId="52" fillId="0" borderId="41" xfId="0" applyNumberFormat="1" applyFont="1" applyBorder="1" applyAlignment="1">
      <alignment horizontal="center" vertical="center"/>
    </xf>
    <xf numFmtId="14" fontId="52" fillId="0" borderId="4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72" fontId="53" fillId="0" borderId="0" xfId="0" applyNumberFormat="1" applyFont="1" applyAlignment="1">
      <alignment horizontal="center" vertical="center"/>
    </xf>
    <xf numFmtId="0" fontId="19" fillId="0" borderId="72" xfId="0" applyFont="1" applyBorder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8" fillId="0" borderId="74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40" xfId="0" applyFont="1" applyFill="1" applyBorder="1" applyAlignment="1">
      <alignment horizontal="center" vertical="center"/>
    </xf>
    <xf numFmtId="0" fontId="19" fillId="8" borderId="49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/>
    </xf>
    <xf numFmtId="0" fontId="39" fillId="0" borderId="70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14" fontId="17" fillId="0" borderId="49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14" fontId="17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49" fontId="17" fillId="0" borderId="50" xfId="0" applyNumberFormat="1" applyFont="1" applyBorder="1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7" fillId="0" borderId="10" xfId="0" quotePrefix="1" applyFont="1" applyBorder="1" applyAlignment="1">
      <alignment horizontal="center" vertical="center"/>
    </xf>
    <xf numFmtId="0" fontId="17" fillId="0" borderId="40" xfId="0" quotePrefix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49" fontId="17" fillId="0" borderId="20" xfId="0" applyNumberFormat="1" applyFont="1" applyBorder="1" applyAlignment="1">
      <alignment horizontal="center" vertical="center"/>
    </xf>
    <xf numFmtId="49" fontId="17" fillId="0" borderId="3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7" xfId="0" quotePrefix="1" applyFont="1" applyBorder="1" applyAlignment="1">
      <alignment horizontal="center" vertical="center"/>
    </xf>
    <xf numFmtId="0" fontId="17" fillId="0" borderId="44" xfId="0" quotePrefix="1" applyFont="1" applyBorder="1" applyAlignment="1">
      <alignment horizontal="center" vertical="center"/>
    </xf>
    <xf numFmtId="0" fontId="17" fillId="0" borderId="25" xfId="0" quotePrefix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1" fontId="9" fillId="3" borderId="17" xfId="0" applyNumberFormat="1" applyFont="1" applyFill="1" applyBorder="1" applyAlignment="1">
      <alignment horizontal="center" vertical="center"/>
    </xf>
    <xf numFmtId="1" fontId="9" fillId="3" borderId="38" xfId="0" applyNumberFormat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8" fillId="0" borderId="9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</cellXfs>
  <cellStyles count="8">
    <cellStyle name="Millares" xfId="2" builtinId="3"/>
    <cellStyle name="Millares 2 2" xfId="4" xr:uid="{00000000-0005-0000-0000-000001000000}"/>
    <cellStyle name="Moneda" xfId="3" builtinId="4"/>
    <cellStyle name="Normal" xfId="0" builtinId="0"/>
    <cellStyle name="Normal 2" xfId="1" xr:uid="{00000000-0005-0000-0000-000004000000}"/>
    <cellStyle name="Normal 4" xfId="6" xr:uid="{00000000-0005-0000-0000-000005000000}"/>
    <cellStyle name="Normal 4 2" xfId="7" xr:uid="{83C0A5B6-A4B4-4B2D-A122-58E617A1E466}"/>
    <cellStyle name="Porcentaje" xfId="5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%20DISE&#209;O%20GRAFICO/Chef/2%20-%20Cartones%20Chef/Carton%20Troquel%20Ch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hef Troquel"/>
    </sheetNames>
    <sheetDataSet>
      <sheetData sheetId="0"/>
      <sheetData sheetId="1">
        <row r="4">
          <cell r="A4">
            <v>836</v>
          </cell>
          <cell r="B4">
            <v>4</v>
          </cell>
          <cell r="C4" t="str">
            <v xml:space="preserve">Filtro Para Cafe         </v>
          </cell>
          <cell r="D4">
            <v>2400</v>
          </cell>
          <cell r="E4" t="str">
            <v>Bolsa</v>
          </cell>
          <cell r="F4">
            <v>0</v>
          </cell>
        </row>
        <row r="5">
          <cell r="A5">
            <v>840</v>
          </cell>
          <cell r="B5">
            <v>1</v>
          </cell>
          <cell r="C5" t="str">
            <v xml:space="preserve">Rallador Cilindrico      </v>
          </cell>
          <cell r="D5">
            <v>2100</v>
          </cell>
          <cell r="E5" t="str">
            <v>Bandita</v>
          </cell>
          <cell r="F5">
            <v>0</v>
          </cell>
        </row>
        <row r="6">
          <cell r="A6">
            <v>867</v>
          </cell>
          <cell r="B6">
            <v>8</v>
          </cell>
          <cell r="C6" t="str">
            <v>Filtro De Tela Gastronomi</v>
          </cell>
          <cell r="D6">
            <v>240</v>
          </cell>
          <cell r="E6" t="str">
            <v>Bolsa</v>
          </cell>
          <cell r="F6">
            <v>0</v>
          </cell>
        </row>
        <row r="7">
          <cell r="A7">
            <v>839</v>
          </cell>
          <cell r="B7">
            <v>5</v>
          </cell>
          <cell r="C7" t="str">
            <v xml:space="preserve">Rallador Chico Chocolate </v>
          </cell>
          <cell r="D7">
            <v>228</v>
          </cell>
          <cell r="E7" t="str">
            <v>Bandita</v>
          </cell>
          <cell r="F7">
            <v>0</v>
          </cell>
        </row>
        <row r="8">
          <cell r="A8">
            <v>900</v>
          </cell>
          <cell r="B8">
            <v>2</v>
          </cell>
          <cell r="C8" t="str">
            <v xml:space="preserve">Prensa Matambre Display  </v>
          </cell>
          <cell r="D8">
            <v>24</v>
          </cell>
          <cell r="E8" t="str">
            <v>Bandita</v>
          </cell>
          <cell r="F8">
            <v>0</v>
          </cell>
        </row>
        <row r="9">
          <cell r="A9">
            <v>802</v>
          </cell>
          <cell r="B9">
            <v>9</v>
          </cell>
          <cell r="C9" t="str">
            <v xml:space="preserve">Batidor Pera Display     </v>
          </cell>
          <cell r="D9">
            <v>600</v>
          </cell>
          <cell r="E9" t="str">
            <v>Corb8</v>
          </cell>
          <cell r="F9" t="str">
            <v>Batidor</v>
          </cell>
        </row>
        <row r="10">
          <cell r="A10">
            <v>824</v>
          </cell>
          <cell r="B10">
            <v>1</v>
          </cell>
          <cell r="C10" t="str">
            <v xml:space="preserve">Colador 8 Cm             </v>
          </cell>
          <cell r="D10">
            <v>1812</v>
          </cell>
          <cell r="E10" t="str">
            <v>Corb8</v>
          </cell>
          <cell r="F10" t="str">
            <v>Colador</v>
          </cell>
        </row>
        <row r="11">
          <cell r="A11">
            <v>825</v>
          </cell>
          <cell r="B11">
            <v>8</v>
          </cell>
          <cell r="C11" t="str">
            <v xml:space="preserve">Colador 10 Cm            </v>
          </cell>
          <cell r="D11">
            <v>2184</v>
          </cell>
          <cell r="E11" t="str">
            <v>Corb8</v>
          </cell>
          <cell r="F11" t="str">
            <v>Colador</v>
          </cell>
        </row>
        <row r="12">
          <cell r="A12">
            <v>901</v>
          </cell>
          <cell r="B12">
            <v>9</v>
          </cell>
          <cell r="C12" t="str">
            <v>Cuchara Madera 35 Display X 12</v>
          </cell>
          <cell r="D12">
            <v>1296</v>
          </cell>
          <cell r="E12" t="str">
            <v>Corb8</v>
          </cell>
          <cell r="F12" t="str">
            <v>Cuchara</v>
          </cell>
        </row>
        <row r="13">
          <cell r="A13">
            <v>902</v>
          </cell>
          <cell r="B13">
            <v>6</v>
          </cell>
          <cell r="C13" t="str">
            <v>Cuchara Madera 45 Display X 12</v>
          </cell>
          <cell r="D13">
            <v>228</v>
          </cell>
          <cell r="E13" t="str">
            <v>Corb8</v>
          </cell>
          <cell r="F13" t="str">
            <v>Cuchara</v>
          </cell>
        </row>
        <row r="14">
          <cell r="A14">
            <v>908</v>
          </cell>
          <cell r="B14">
            <v>8</v>
          </cell>
          <cell r="C14" t="str">
            <v>Cuchara De Cocina 33Cm X 12</v>
          </cell>
          <cell r="D14">
            <v>60</v>
          </cell>
          <cell r="E14" t="str">
            <v>Corb8</v>
          </cell>
          <cell r="F14" t="str">
            <v>Cuchara</v>
          </cell>
        </row>
        <row r="15">
          <cell r="A15">
            <v>911</v>
          </cell>
          <cell r="B15">
            <v>8</v>
          </cell>
          <cell r="C15" t="str">
            <v>Cuchara Madera 30 Display X 12</v>
          </cell>
          <cell r="D15">
            <v>336</v>
          </cell>
          <cell r="E15" t="str">
            <v>Corb8</v>
          </cell>
          <cell r="F15" t="str">
            <v>Cuchara</v>
          </cell>
        </row>
        <row r="16">
          <cell r="A16">
            <v>920</v>
          </cell>
          <cell r="B16">
            <v>0</v>
          </cell>
          <cell r="C16" t="str">
            <v>Cuchara Madera 40 Display X 12</v>
          </cell>
          <cell r="D16">
            <v>144</v>
          </cell>
          <cell r="E16" t="str">
            <v>Corb8</v>
          </cell>
          <cell r="F16" t="str">
            <v>Cuchara</v>
          </cell>
        </row>
        <row r="17">
          <cell r="A17">
            <v>922</v>
          </cell>
          <cell r="B17">
            <v>4</v>
          </cell>
          <cell r="C17" t="str">
            <v>Cuchara Madera 25 Display X 12</v>
          </cell>
          <cell r="D17">
            <v>660</v>
          </cell>
          <cell r="E17" t="str">
            <v>Corb8</v>
          </cell>
          <cell r="F17" t="str">
            <v>Cuchara</v>
          </cell>
        </row>
        <row r="18">
          <cell r="A18" t="str">
            <v>052</v>
          </cell>
          <cell r="B18">
            <v>8</v>
          </cell>
          <cell r="C18" t="str">
            <v>Lavavajilla C/Mgo.Arte</v>
          </cell>
          <cell r="D18">
            <v>48</v>
          </cell>
          <cell r="E18" t="str">
            <v>Huevo</v>
          </cell>
          <cell r="F18" t="str">
            <v>Utensilios</v>
          </cell>
        </row>
        <row r="19">
          <cell r="A19">
            <v>307</v>
          </cell>
          <cell r="B19">
            <v>9</v>
          </cell>
          <cell r="C19" t="str">
            <v>Limpia Mamadera A/I</v>
          </cell>
          <cell r="D19">
            <v>360</v>
          </cell>
          <cell r="E19" t="str">
            <v>Huevo</v>
          </cell>
          <cell r="F19" t="str">
            <v>Utensilios</v>
          </cell>
        </row>
        <row r="20">
          <cell r="A20">
            <v>453</v>
          </cell>
          <cell r="B20">
            <v>3</v>
          </cell>
          <cell r="C20" t="str">
            <v>Cuchara Fideos Nylon C/Mgo</v>
          </cell>
          <cell r="D20"/>
          <cell r="E20" t="str">
            <v>Huevo</v>
          </cell>
          <cell r="F20">
            <v>0</v>
          </cell>
        </row>
        <row r="21">
          <cell r="A21">
            <v>456</v>
          </cell>
          <cell r="B21">
            <v>4</v>
          </cell>
          <cell r="C21" t="str">
            <v>Espatula Lisa Nylon C/Mgo</v>
          </cell>
          <cell r="D21"/>
          <cell r="E21" t="str">
            <v>Huevo</v>
          </cell>
          <cell r="F21">
            <v>0</v>
          </cell>
        </row>
        <row r="22">
          <cell r="A22">
            <v>609</v>
          </cell>
          <cell r="B22">
            <v>4</v>
          </cell>
          <cell r="C22" t="str">
            <v xml:space="preserve">Pisa Papas               </v>
          </cell>
          <cell r="D22">
            <v>480</v>
          </cell>
          <cell r="E22" t="str">
            <v>Huevo</v>
          </cell>
          <cell r="F22">
            <v>0</v>
          </cell>
        </row>
        <row r="23">
          <cell r="A23">
            <v>615</v>
          </cell>
          <cell r="B23">
            <v>5</v>
          </cell>
          <cell r="C23" t="str">
            <v xml:space="preserve">Batidor Resorte          </v>
          </cell>
          <cell r="D23">
            <v>96</v>
          </cell>
          <cell r="E23" t="str">
            <v>Huevo</v>
          </cell>
          <cell r="F23">
            <v>0</v>
          </cell>
        </row>
        <row r="24">
          <cell r="A24">
            <v>630</v>
          </cell>
          <cell r="B24">
            <v>8</v>
          </cell>
          <cell r="C24" t="str">
            <v>Cucharon Ac Inox C/Mgo Ch</v>
          </cell>
          <cell r="D24">
            <v>60</v>
          </cell>
          <cell r="E24" t="str">
            <v>Huevo</v>
          </cell>
          <cell r="F24">
            <v>0</v>
          </cell>
        </row>
        <row r="25">
          <cell r="A25">
            <v>631</v>
          </cell>
          <cell r="B25">
            <v>5</v>
          </cell>
          <cell r="C25" t="str">
            <v xml:space="preserve">Espumadera Ac Inox C/Mgo </v>
          </cell>
          <cell r="D25">
            <v>48</v>
          </cell>
          <cell r="E25" t="str">
            <v>Huevo</v>
          </cell>
          <cell r="F25">
            <v>0</v>
          </cell>
        </row>
        <row r="26">
          <cell r="A26">
            <v>632</v>
          </cell>
          <cell r="B26">
            <v>2</v>
          </cell>
          <cell r="C26" t="str">
            <v>Pinche Ac Inox C/Mgo Chef</v>
          </cell>
          <cell r="D26">
            <v>48</v>
          </cell>
          <cell r="E26" t="str">
            <v>Huevo</v>
          </cell>
          <cell r="F26">
            <v>0</v>
          </cell>
        </row>
        <row r="27">
          <cell r="A27">
            <v>633</v>
          </cell>
          <cell r="B27">
            <v>9</v>
          </cell>
          <cell r="C27" t="str">
            <v>Cuchara Salsera Ac Inox</v>
          </cell>
          <cell r="D27">
            <v>36</v>
          </cell>
          <cell r="E27" t="str">
            <v>Huevo</v>
          </cell>
          <cell r="F27">
            <v>0</v>
          </cell>
        </row>
        <row r="28">
          <cell r="A28">
            <v>634</v>
          </cell>
          <cell r="B28">
            <v>6</v>
          </cell>
          <cell r="C28" t="str">
            <v>Cuchara Calada Ac Inox</v>
          </cell>
          <cell r="D28">
            <v>24</v>
          </cell>
          <cell r="E28" t="str">
            <v>Huevo</v>
          </cell>
          <cell r="F28">
            <v>0</v>
          </cell>
        </row>
        <row r="29">
          <cell r="A29">
            <v>635</v>
          </cell>
          <cell r="B29">
            <v>3</v>
          </cell>
          <cell r="C29" t="str">
            <v>Espatula Lisa Ac Inox</v>
          </cell>
          <cell r="D29">
            <v>48</v>
          </cell>
          <cell r="E29" t="str">
            <v>Huevo</v>
          </cell>
          <cell r="F29">
            <v>0</v>
          </cell>
        </row>
        <row r="30">
          <cell r="A30">
            <v>636</v>
          </cell>
          <cell r="B30">
            <v>0</v>
          </cell>
          <cell r="C30" t="str">
            <v>Espatula Calada Ac Inox</v>
          </cell>
          <cell r="D30">
            <v>48</v>
          </cell>
          <cell r="E30" t="str">
            <v>Huevo</v>
          </cell>
          <cell r="F30">
            <v>0</v>
          </cell>
        </row>
        <row r="31">
          <cell r="A31">
            <v>637</v>
          </cell>
          <cell r="B31">
            <v>7</v>
          </cell>
          <cell r="C31" t="str">
            <v>Cuchara Spaghetti Ac. Inox</v>
          </cell>
          <cell r="D31">
            <v>24</v>
          </cell>
          <cell r="E31" t="str">
            <v>Huevo</v>
          </cell>
          <cell r="F31">
            <v>0</v>
          </cell>
        </row>
        <row r="32">
          <cell r="A32">
            <v>789</v>
          </cell>
          <cell r="B32">
            <v>3</v>
          </cell>
          <cell r="C32" t="str">
            <v xml:space="preserve">Pisa Papa Nylon          </v>
          </cell>
          <cell r="D32">
            <v>600</v>
          </cell>
          <cell r="E32" t="str">
            <v>Huevo</v>
          </cell>
          <cell r="F32">
            <v>0</v>
          </cell>
        </row>
        <row r="33">
          <cell r="A33">
            <v>828</v>
          </cell>
          <cell r="B33">
            <v>9</v>
          </cell>
          <cell r="C33" t="str">
            <v>COLADOR 16 CM</v>
          </cell>
          <cell r="D33">
            <v>0</v>
          </cell>
          <cell r="E33" t="str">
            <v>Huevo</v>
          </cell>
          <cell r="F33">
            <v>0</v>
          </cell>
        </row>
        <row r="34">
          <cell r="A34">
            <v>830</v>
          </cell>
          <cell r="B34">
            <v>2</v>
          </cell>
          <cell r="C34" t="str">
            <v>COLADOR 20 CM</v>
          </cell>
          <cell r="D34">
            <v>0</v>
          </cell>
          <cell r="E34" t="str">
            <v>Huevo</v>
          </cell>
          <cell r="F34">
            <v>0</v>
          </cell>
        </row>
        <row r="35">
          <cell r="A35">
            <v>842</v>
          </cell>
          <cell r="B35">
            <v>5</v>
          </cell>
          <cell r="C35" t="str">
            <v xml:space="preserve">Espatula Lisa Plastica   </v>
          </cell>
          <cell r="D35">
            <v>264</v>
          </cell>
          <cell r="E35" t="str">
            <v>Huevo</v>
          </cell>
          <cell r="F35">
            <v>0</v>
          </cell>
        </row>
        <row r="36">
          <cell r="A36">
            <v>843</v>
          </cell>
          <cell r="B36">
            <v>2</v>
          </cell>
          <cell r="C36" t="str">
            <v xml:space="preserve">Cuchara Calada Plastica  </v>
          </cell>
          <cell r="D36">
            <v>72</v>
          </cell>
          <cell r="E36" t="str">
            <v>Huevo</v>
          </cell>
          <cell r="F36">
            <v>0</v>
          </cell>
        </row>
        <row r="37">
          <cell r="A37">
            <v>844</v>
          </cell>
          <cell r="B37">
            <v>9</v>
          </cell>
          <cell r="C37" t="str">
            <v xml:space="preserve">Cuchara Pulpo Plastica   </v>
          </cell>
          <cell r="D37">
            <v>96</v>
          </cell>
          <cell r="E37" t="str">
            <v>Huevo</v>
          </cell>
          <cell r="F37">
            <v>0</v>
          </cell>
        </row>
        <row r="38">
          <cell r="A38">
            <v>845</v>
          </cell>
          <cell r="B38">
            <v>6</v>
          </cell>
          <cell r="C38" t="str">
            <v xml:space="preserve">Cucharon Plastico        </v>
          </cell>
          <cell r="D38">
            <v>168</v>
          </cell>
          <cell r="E38" t="str">
            <v>Huevo</v>
          </cell>
          <cell r="F38">
            <v>0</v>
          </cell>
        </row>
        <row r="39">
          <cell r="A39">
            <v>846</v>
          </cell>
          <cell r="B39">
            <v>3</v>
          </cell>
          <cell r="C39" t="str">
            <v xml:space="preserve">Espatula Calada Plastica </v>
          </cell>
          <cell r="D39">
            <v>264</v>
          </cell>
          <cell r="E39" t="str">
            <v>Huevo</v>
          </cell>
          <cell r="F39">
            <v>0</v>
          </cell>
        </row>
        <row r="40">
          <cell r="A40">
            <v>847</v>
          </cell>
          <cell r="B40">
            <v>0</v>
          </cell>
          <cell r="C40" t="str">
            <v>Espatula Repostera Plasti</v>
          </cell>
          <cell r="D40">
            <v>1248</v>
          </cell>
          <cell r="E40" t="str">
            <v>Huevo</v>
          </cell>
          <cell r="F40">
            <v>0</v>
          </cell>
        </row>
        <row r="41">
          <cell r="A41">
            <v>848</v>
          </cell>
          <cell r="B41">
            <v>7</v>
          </cell>
          <cell r="C41" t="str">
            <v xml:space="preserve">Espatula Repostera Plast </v>
          </cell>
          <cell r="D41">
            <v>96</v>
          </cell>
          <cell r="E41" t="str">
            <v>Huevo</v>
          </cell>
          <cell r="F41">
            <v>0</v>
          </cell>
        </row>
        <row r="42">
          <cell r="A42">
            <v>856</v>
          </cell>
          <cell r="B42">
            <v>2</v>
          </cell>
          <cell r="C42" t="str">
            <v xml:space="preserve">Pala Torta               </v>
          </cell>
          <cell r="D42">
            <v>96</v>
          </cell>
          <cell r="E42" t="str">
            <v>Huevo</v>
          </cell>
          <cell r="F42">
            <v>0</v>
          </cell>
        </row>
        <row r="43">
          <cell r="A43">
            <v>857</v>
          </cell>
          <cell r="B43">
            <v>9</v>
          </cell>
          <cell r="C43" t="str">
            <v>Cuchillo De Torta</v>
          </cell>
          <cell r="D43">
            <v>24</v>
          </cell>
          <cell r="E43" t="str">
            <v>Huevo</v>
          </cell>
          <cell r="F43">
            <v>0</v>
          </cell>
        </row>
        <row r="44">
          <cell r="A44">
            <v>858</v>
          </cell>
          <cell r="B44">
            <v>6</v>
          </cell>
          <cell r="C44" t="str">
            <v xml:space="preserve">Pala De Canelones        </v>
          </cell>
          <cell r="D44">
            <v>96</v>
          </cell>
          <cell r="E44" t="str">
            <v>Huevo</v>
          </cell>
          <cell r="F44">
            <v>0</v>
          </cell>
        </row>
        <row r="45">
          <cell r="A45">
            <v>859</v>
          </cell>
          <cell r="B45">
            <v>3</v>
          </cell>
          <cell r="C45" t="str">
            <v xml:space="preserve">Corta Ravioles           </v>
          </cell>
          <cell r="D45">
            <v>96</v>
          </cell>
          <cell r="E45" t="str">
            <v>Huevo</v>
          </cell>
          <cell r="F45">
            <v>0</v>
          </cell>
        </row>
        <row r="46">
          <cell r="A46">
            <v>747</v>
          </cell>
          <cell r="B46">
            <v>3</v>
          </cell>
          <cell r="C46" t="str">
            <v>Bombilla Coco Hexagonal</v>
          </cell>
          <cell r="D46">
            <v>24</v>
          </cell>
          <cell r="E46" t="str">
            <v>Skin</v>
          </cell>
          <cell r="F46">
            <v>0</v>
          </cell>
        </row>
        <row r="47">
          <cell r="A47">
            <v>755</v>
          </cell>
          <cell r="B47">
            <v>8</v>
          </cell>
          <cell r="C47" t="str">
            <v>Bomb. Resorte Color Metal</v>
          </cell>
          <cell r="D47">
            <v>0</v>
          </cell>
          <cell r="E47" t="str">
            <v>Skin</v>
          </cell>
          <cell r="F47">
            <v>0</v>
          </cell>
        </row>
        <row r="48">
          <cell r="A48">
            <v>762</v>
          </cell>
          <cell r="B48">
            <v>6</v>
          </cell>
          <cell r="C48" t="str">
            <v xml:space="preserve">Bombilla Resorte Chata   </v>
          </cell>
          <cell r="D48">
            <v>0</v>
          </cell>
          <cell r="E48" t="str">
            <v>Skin</v>
          </cell>
          <cell r="F48">
            <v>0</v>
          </cell>
        </row>
        <row r="49">
          <cell r="A49">
            <v>763</v>
          </cell>
          <cell r="B49">
            <v>3</v>
          </cell>
          <cell r="C49" t="str">
            <v>Bombilla Resorte Tradicio</v>
          </cell>
          <cell r="D49">
            <v>480</v>
          </cell>
          <cell r="E49" t="str">
            <v>Skin</v>
          </cell>
          <cell r="F49">
            <v>0</v>
          </cell>
        </row>
        <row r="50">
          <cell r="A50">
            <v>764</v>
          </cell>
          <cell r="B50">
            <v>0</v>
          </cell>
          <cell r="C50" t="str">
            <v xml:space="preserve">Limpia Bombilla          </v>
          </cell>
          <cell r="D50">
            <v>432</v>
          </cell>
          <cell r="E50" t="str">
            <v>Skin</v>
          </cell>
          <cell r="F50">
            <v>0</v>
          </cell>
        </row>
        <row r="51">
          <cell r="A51">
            <v>769</v>
          </cell>
          <cell r="B51">
            <v>5</v>
          </cell>
          <cell r="C51" t="str">
            <v>Bomb. Autolimpiante Ac. I</v>
          </cell>
          <cell r="D51">
            <v>360</v>
          </cell>
          <cell r="E51" t="str">
            <v>Skin</v>
          </cell>
          <cell r="F51">
            <v>0</v>
          </cell>
        </row>
        <row r="52">
          <cell r="A52" t="str">
            <v>043</v>
          </cell>
          <cell r="B52">
            <v>6</v>
          </cell>
          <cell r="C52" t="str">
            <v xml:space="preserve">Tres En Uno </v>
          </cell>
          <cell r="D52">
            <v>240</v>
          </cell>
          <cell r="E52" t="str">
            <v>T.Loke</v>
          </cell>
          <cell r="F52" t="str">
            <v>Abrelatas</v>
          </cell>
        </row>
        <row r="53">
          <cell r="A53" t="str">
            <v>053</v>
          </cell>
          <cell r="B53">
            <v>5</v>
          </cell>
          <cell r="C53" t="str">
            <v>Pinza De Fiambre*Arte* X 12</v>
          </cell>
          <cell r="D53">
            <v>72</v>
          </cell>
          <cell r="E53" t="str">
            <v>T.Loke</v>
          </cell>
          <cell r="F53" t="str">
            <v>Pinza</v>
          </cell>
        </row>
        <row r="54">
          <cell r="A54" t="str">
            <v>054</v>
          </cell>
          <cell r="B54">
            <v>2</v>
          </cell>
          <cell r="C54" t="str">
            <v>Pinza De Ensalada*Arte*</v>
          </cell>
          <cell r="D54">
            <v>96</v>
          </cell>
          <cell r="E54" t="str">
            <v>T.Loke</v>
          </cell>
          <cell r="F54" t="str">
            <v>Pinza</v>
          </cell>
        </row>
        <row r="55">
          <cell r="A55" t="str">
            <v>055</v>
          </cell>
          <cell r="B55">
            <v>9</v>
          </cell>
          <cell r="C55" t="str">
            <v>Pinza De Fideos*Arte*</v>
          </cell>
          <cell r="D55">
            <v>24</v>
          </cell>
          <cell r="E55" t="str">
            <v>T.Loke</v>
          </cell>
          <cell r="F55" t="str">
            <v>Pinza</v>
          </cell>
        </row>
        <row r="56">
          <cell r="A56" t="str">
            <v>097</v>
          </cell>
          <cell r="B56">
            <v>9</v>
          </cell>
          <cell r="C56" t="str">
            <v>Afila Cuchillo Con Base V</v>
          </cell>
          <cell r="D56">
            <v>720</v>
          </cell>
          <cell r="E56" t="str">
            <v>T.Loke</v>
          </cell>
          <cell r="F56" t="str">
            <v>Afila Cuch.</v>
          </cell>
        </row>
        <row r="57">
          <cell r="A57">
            <v>618</v>
          </cell>
          <cell r="B57">
            <v>6</v>
          </cell>
          <cell r="C57" t="str">
            <v>Espat. Repost. Goma Gastr</v>
          </cell>
          <cell r="D57"/>
          <cell r="E57" t="str">
            <v>T.Loke</v>
          </cell>
          <cell r="F57" t="str">
            <v>Utensilios</v>
          </cell>
        </row>
        <row r="58">
          <cell r="A58">
            <v>619</v>
          </cell>
          <cell r="B58">
            <v>3</v>
          </cell>
          <cell r="C58" t="str">
            <v>Espatula Repost. Goma Com</v>
          </cell>
          <cell r="D58"/>
          <cell r="E58" t="str">
            <v>T.Loke</v>
          </cell>
          <cell r="F58" t="str">
            <v>Utensilios</v>
          </cell>
        </row>
        <row r="59">
          <cell r="A59">
            <v>700</v>
          </cell>
          <cell r="B59">
            <v>8</v>
          </cell>
          <cell r="C59" t="str">
            <v xml:space="preserve">Destapa Corona Pint. X </v>
          </cell>
          <cell r="D59">
            <v>192</v>
          </cell>
          <cell r="E59" t="str">
            <v>T.Loke</v>
          </cell>
          <cell r="F59" t="str">
            <v>Corona</v>
          </cell>
        </row>
        <row r="60">
          <cell r="A60">
            <v>701</v>
          </cell>
          <cell r="B60">
            <v>5</v>
          </cell>
          <cell r="C60" t="str">
            <v>Abrelatas A Manija</v>
          </cell>
          <cell r="D60">
            <v>804</v>
          </cell>
          <cell r="E60" t="str">
            <v>T.Loke</v>
          </cell>
          <cell r="F60" t="str">
            <v>Abrelatas</v>
          </cell>
        </row>
        <row r="61">
          <cell r="A61" t="str">
            <v>702E</v>
          </cell>
          <cell r="B61">
            <v>2</v>
          </cell>
          <cell r="C61" t="str">
            <v>Abrelatas Mariposa</v>
          </cell>
          <cell r="D61">
            <v>1008</v>
          </cell>
          <cell r="E61" t="str">
            <v>T.Loke</v>
          </cell>
          <cell r="F61" t="str">
            <v>Abrelatas</v>
          </cell>
        </row>
        <row r="62">
          <cell r="A62">
            <v>706</v>
          </cell>
          <cell r="B62">
            <v>0</v>
          </cell>
          <cell r="C62" t="str">
            <v>Abrelatas Uñas</v>
          </cell>
          <cell r="D62">
            <v>3276</v>
          </cell>
          <cell r="E62" t="str">
            <v>T.Loke</v>
          </cell>
          <cell r="F62" t="str">
            <v>Abre. Uña</v>
          </cell>
        </row>
        <row r="63">
          <cell r="A63">
            <v>708</v>
          </cell>
          <cell r="B63">
            <v>4</v>
          </cell>
          <cell r="C63" t="str">
            <v>Sacafuentes Articulado</v>
          </cell>
          <cell r="D63">
            <v>72</v>
          </cell>
          <cell r="E63" t="str">
            <v>T.Loke</v>
          </cell>
          <cell r="F63" t="str">
            <v>Sacafuentes</v>
          </cell>
        </row>
        <row r="64">
          <cell r="A64">
            <v>709</v>
          </cell>
          <cell r="B64">
            <v>1</v>
          </cell>
          <cell r="C64" t="str">
            <v>Descorazonador De Manzana</v>
          </cell>
          <cell r="D64">
            <v>48</v>
          </cell>
          <cell r="E64" t="str">
            <v>T.Loke</v>
          </cell>
          <cell r="F64">
            <v>0</v>
          </cell>
        </row>
        <row r="65">
          <cell r="A65">
            <v>715</v>
          </cell>
          <cell r="B65">
            <v>2</v>
          </cell>
          <cell r="C65" t="str">
            <v>Cierra Bolsa X 4</v>
          </cell>
          <cell r="D65">
            <v>120</v>
          </cell>
          <cell r="E65" t="str">
            <v>T.Loke</v>
          </cell>
          <cell r="F65" t="str">
            <v>Cierra Bolsa</v>
          </cell>
        </row>
        <row r="66">
          <cell r="A66">
            <v>717</v>
          </cell>
          <cell r="B66">
            <v>6</v>
          </cell>
          <cell r="C66" t="str">
            <v>Cuchillo de Untar Acrilico Transp.</v>
          </cell>
          <cell r="D66">
            <v>24</v>
          </cell>
          <cell r="E66" t="str">
            <v>T.Loke</v>
          </cell>
          <cell r="F66" t="str">
            <v>C.Unt</v>
          </cell>
        </row>
        <row r="67">
          <cell r="A67">
            <v>718</v>
          </cell>
          <cell r="B67">
            <v>3</v>
          </cell>
          <cell r="C67" t="str">
            <v>Cuch. Untar Blanco X 4</v>
          </cell>
          <cell r="D67">
            <v>72</v>
          </cell>
          <cell r="E67" t="str">
            <v>T.Loke</v>
          </cell>
          <cell r="F67" t="str">
            <v>C.Unt</v>
          </cell>
        </row>
        <row r="68">
          <cell r="A68">
            <v>719</v>
          </cell>
          <cell r="B68">
            <v>0</v>
          </cell>
          <cell r="C68" t="str">
            <v>Cuch Untar Mgo Madera X2</v>
          </cell>
          <cell r="D68">
            <v>72</v>
          </cell>
          <cell r="E68" t="str">
            <v>T.Loke</v>
          </cell>
          <cell r="F68" t="str">
            <v>C.Unt</v>
          </cell>
        </row>
        <row r="69">
          <cell r="A69">
            <v>720</v>
          </cell>
          <cell r="B69">
            <v>6</v>
          </cell>
          <cell r="C69" t="str">
            <v>Ahueca Papa</v>
          </cell>
          <cell r="D69">
            <v>108</v>
          </cell>
          <cell r="E69" t="str">
            <v>T.Loke</v>
          </cell>
          <cell r="F69" t="str">
            <v>Ahueca</v>
          </cell>
        </row>
        <row r="70">
          <cell r="A70">
            <v>722</v>
          </cell>
          <cell r="B70">
            <v>0</v>
          </cell>
          <cell r="C70" t="str">
            <v>Ahueca Frutas</v>
          </cell>
          <cell r="D70">
            <v>60</v>
          </cell>
          <cell r="E70" t="str">
            <v>T.Loke</v>
          </cell>
          <cell r="F70" t="str">
            <v>Ahueca</v>
          </cell>
        </row>
        <row r="71">
          <cell r="A71">
            <v>723</v>
          </cell>
          <cell r="B71">
            <v>7</v>
          </cell>
          <cell r="C71" t="str">
            <v xml:space="preserve">Sacacorcho Doble Aleta   </v>
          </cell>
          <cell r="D71">
            <v>360</v>
          </cell>
          <cell r="E71" t="str">
            <v>T.Loke</v>
          </cell>
          <cell r="F71" t="str">
            <v>Sacacorcho</v>
          </cell>
        </row>
        <row r="72">
          <cell r="A72">
            <v>725</v>
          </cell>
          <cell r="B72">
            <v>1</v>
          </cell>
          <cell r="C72" t="str">
            <v>Sacacorcho Cabo De Madera</v>
          </cell>
          <cell r="D72">
            <v>528</v>
          </cell>
          <cell r="E72" t="str">
            <v>T.Loke</v>
          </cell>
          <cell r="F72" t="str">
            <v>Sacacorcho</v>
          </cell>
        </row>
        <row r="73">
          <cell r="A73">
            <v>730</v>
          </cell>
          <cell r="B73">
            <v>5</v>
          </cell>
          <cell r="C73" t="str">
            <v>Sacacorcho Tipo Mozo Colo</v>
          </cell>
          <cell r="D73">
            <v>720</v>
          </cell>
          <cell r="E73" t="str">
            <v>T.Loke</v>
          </cell>
          <cell r="F73" t="str">
            <v>Sacacorcho</v>
          </cell>
        </row>
        <row r="74">
          <cell r="A74">
            <v>731</v>
          </cell>
          <cell r="B74">
            <v>2</v>
          </cell>
          <cell r="C74" t="str">
            <v>Sacacorcho Combinado Col</v>
          </cell>
          <cell r="D74">
            <v>744</v>
          </cell>
          <cell r="E74" t="str">
            <v>T.Loke</v>
          </cell>
          <cell r="F74" t="str">
            <v>Sacacorcho</v>
          </cell>
        </row>
        <row r="75">
          <cell r="A75">
            <v>735</v>
          </cell>
          <cell r="B75">
            <v>0</v>
          </cell>
          <cell r="C75" t="str">
            <v>Sacacorcho Ergonomico Plast</v>
          </cell>
          <cell r="D75">
            <v>72</v>
          </cell>
          <cell r="E75" t="str">
            <v>T.Loke</v>
          </cell>
          <cell r="F75" t="str">
            <v>Sacacorcho</v>
          </cell>
        </row>
        <row r="76">
          <cell r="A76">
            <v>760</v>
          </cell>
          <cell r="B76">
            <v>2</v>
          </cell>
          <cell r="C76" t="str">
            <v xml:space="preserve">Filtro Para Bombilla     </v>
          </cell>
          <cell r="D76">
            <v>648</v>
          </cell>
          <cell r="E76" t="str">
            <v>T.Loke</v>
          </cell>
          <cell r="F76">
            <v>0</v>
          </cell>
        </row>
        <row r="77">
          <cell r="A77">
            <v>761</v>
          </cell>
          <cell r="B77">
            <v>9</v>
          </cell>
          <cell r="C77" t="str">
            <v xml:space="preserve">Cucharita Matera         </v>
          </cell>
          <cell r="D77">
            <v>96</v>
          </cell>
          <cell r="E77" t="str">
            <v>T.Loke</v>
          </cell>
          <cell r="F77" t="str">
            <v>Utensilios</v>
          </cell>
        </row>
        <row r="78">
          <cell r="A78">
            <v>800</v>
          </cell>
          <cell r="B78">
            <v>5</v>
          </cell>
          <cell r="C78" t="str">
            <v xml:space="preserve">Pinza Chica Display      </v>
          </cell>
          <cell r="D78">
            <v>108</v>
          </cell>
          <cell r="E78" t="str">
            <v>T.Loke</v>
          </cell>
          <cell r="F78" t="str">
            <v>Pinza</v>
          </cell>
        </row>
        <row r="79">
          <cell r="A79">
            <v>801</v>
          </cell>
          <cell r="B79">
            <v>2</v>
          </cell>
          <cell r="C79" t="str">
            <v xml:space="preserve">Pinza Grande Display     </v>
          </cell>
          <cell r="D79"/>
          <cell r="E79" t="str">
            <v>T.Loke</v>
          </cell>
          <cell r="F79" t="str">
            <v>Pinza</v>
          </cell>
        </row>
        <row r="80">
          <cell r="A80">
            <v>809</v>
          </cell>
          <cell r="B80">
            <v>8</v>
          </cell>
          <cell r="C80" t="str">
            <v xml:space="preserve">Corta Queso              </v>
          </cell>
          <cell r="D80">
            <v>1200</v>
          </cell>
          <cell r="E80" t="str">
            <v>T.Loke</v>
          </cell>
          <cell r="F80" t="str">
            <v>CQ</v>
          </cell>
        </row>
        <row r="81">
          <cell r="A81">
            <v>816</v>
          </cell>
          <cell r="B81">
            <v>6</v>
          </cell>
          <cell r="C81" t="str">
            <v xml:space="preserve">Tapon Gaseosa            </v>
          </cell>
          <cell r="D81">
            <v>204</v>
          </cell>
          <cell r="E81" t="str">
            <v>T.Loke</v>
          </cell>
          <cell r="F81" t="str">
            <v>Tapón</v>
          </cell>
        </row>
        <row r="82">
          <cell r="A82">
            <v>817</v>
          </cell>
          <cell r="B82">
            <v>3</v>
          </cell>
          <cell r="C82" t="str">
            <v>Tapon De Gaseosa X 1 Negr</v>
          </cell>
          <cell r="D82">
            <v>576</v>
          </cell>
          <cell r="E82" t="str">
            <v>T.Loke</v>
          </cell>
          <cell r="F82" t="str">
            <v>Tapón</v>
          </cell>
        </row>
        <row r="83">
          <cell r="A83">
            <v>818</v>
          </cell>
          <cell r="B83">
            <v>0</v>
          </cell>
          <cell r="C83" t="str">
            <v>Corta Torta Plast</v>
          </cell>
          <cell r="D83">
            <v>0</v>
          </cell>
          <cell r="E83" t="str">
            <v>T.Loke</v>
          </cell>
          <cell r="F83" t="str">
            <v>Utensilios</v>
          </cell>
        </row>
        <row r="84">
          <cell r="A84">
            <v>862</v>
          </cell>
          <cell r="B84">
            <v>3</v>
          </cell>
          <cell r="C84" t="str">
            <v xml:space="preserve">Corta Pizza Mgo Chef 6cm              </v>
          </cell>
          <cell r="D84">
            <v>180</v>
          </cell>
          <cell r="E84" t="str">
            <v>T.Loke</v>
          </cell>
          <cell r="F84">
            <v>0</v>
          </cell>
        </row>
        <row r="85">
          <cell r="A85">
            <v>863</v>
          </cell>
          <cell r="B85">
            <v>0</v>
          </cell>
          <cell r="C85" t="str">
            <v xml:space="preserve">Corta Pizza Grande       </v>
          </cell>
          <cell r="D85">
            <v>156</v>
          </cell>
          <cell r="E85" t="str">
            <v>T.Loke</v>
          </cell>
          <cell r="F85" t="str">
            <v>Corta Pizza</v>
          </cell>
        </row>
        <row r="86">
          <cell r="A86">
            <v>878</v>
          </cell>
          <cell r="B86">
            <v>4</v>
          </cell>
          <cell r="C86" t="str">
            <v xml:space="preserve">Cuchillitos De Untar Mgo </v>
          </cell>
          <cell r="D86">
            <v>144</v>
          </cell>
          <cell r="E86" t="str">
            <v>T.Loke</v>
          </cell>
          <cell r="F86" t="str">
            <v>C.Unt</v>
          </cell>
        </row>
        <row r="87">
          <cell r="A87">
            <v>909</v>
          </cell>
          <cell r="B87">
            <v>5</v>
          </cell>
          <cell r="C87" t="str">
            <v xml:space="preserve">Ñoquera Display      </v>
          </cell>
          <cell r="D87">
            <v>276</v>
          </cell>
          <cell r="E87" t="str">
            <v>T.Loke</v>
          </cell>
          <cell r="F87">
            <v>0</v>
          </cell>
        </row>
        <row r="88">
          <cell r="A88" t="str">
            <v>099</v>
          </cell>
          <cell r="B88">
            <v>3</v>
          </cell>
          <cell r="C88" t="str">
            <v>Pelapapas Mgo Plast Verde</v>
          </cell>
          <cell r="D88">
            <v>2976</v>
          </cell>
          <cell r="E88" t="str">
            <v>T.Loke Oval</v>
          </cell>
          <cell r="F88" t="str">
            <v>Pelador</v>
          </cell>
        </row>
        <row r="89">
          <cell r="A89">
            <v>713</v>
          </cell>
          <cell r="B89">
            <v>8</v>
          </cell>
          <cell r="C89" t="str">
            <v>Pelapapas Metalico</v>
          </cell>
          <cell r="D89">
            <v>2796</v>
          </cell>
          <cell r="E89" t="str">
            <v>T.Loke Oval</v>
          </cell>
          <cell r="F89" t="str">
            <v>Pelador</v>
          </cell>
        </row>
        <row r="90">
          <cell r="A90">
            <v>707</v>
          </cell>
          <cell r="B90">
            <v>7</v>
          </cell>
          <cell r="C90" t="str">
            <v>Rompenueces</v>
          </cell>
          <cell r="D90">
            <v>48</v>
          </cell>
          <cell r="E90" t="str">
            <v>T.Loke/Huevo</v>
          </cell>
          <cell r="F90" t="str">
            <v>Nuez</v>
          </cell>
        </row>
        <row r="91">
          <cell r="A91">
            <v>732</v>
          </cell>
          <cell r="B91">
            <v>9</v>
          </cell>
          <cell r="C91" t="str">
            <v xml:space="preserve">Cuchara Helado           </v>
          </cell>
          <cell r="D91">
            <v>120</v>
          </cell>
          <cell r="E91" t="str">
            <v>T.Loke/Huevo</v>
          </cell>
          <cell r="F91">
            <v>0</v>
          </cell>
        </row>
        <row r="92">
          <cell r="A92">
            <v>852</v>
          </cell>
          <cell r="B92">
            <v>4</v>
          </cell>
          <cell r="C92" t="str">
            <v xml:space="preserve">Pinza Hielo Display      </v>
          </cell>
          <cell r="D92">
            <v>36</v>
          </cell>
          <cell r="E92" t="str">
            <v>T.Loke/Huevo</v>
          </cell>
          <cell r="F92" t="str">
            <v>Pinza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P327"/>
  <sheetViews>
    <sheetView topLeftCell="A3" workbookViewId="0"/>
  </sheetViews>
  <sheetFormatPr baseColWidth="10" defaultRowHeight="14.4" x14ac:dyDescent="0.3"/>
  <cols>
    <col min="2" max="2" width="3.6640625" bestFit="1" customWidth="1"/>
    <col min="3" max="3" width="5.6640625" style="41" customWidth="1"/>
    <col min="4" max="4" width="5.88671875" style="1" customWidth="1"/>
    <col min="5" max="5" width="4.6640625" customWidth="1"/>
    <col min="6" max="6" width="16.33203125" customWidth="1"/>
    <col min="7" max="7" width="22.88671875" style="1" customWidth="1"/>
    <col min="8" max="8" width="8.33203125" style="1" customWidth="1"/>
    <col min="9" max="9" width="8.109375" customWidth="1"/>
    <col min="10" max="10" width="8.33203125" customWidth="1"/>
    <col min="11" max="11" width="9" customWidth="1"/>
    <col min="12" max="12" width="7.6640625" customWidth="1"/>
    <col min="13" max="13" width="7.33203125" customWidth="1"/>
  </cols>
  <sheetData>
    <row r="1" spans="2:13" ht="16.2" hidden="1" thickBot="1" x14ac:dyDescent="0.35">
      <c r="B1" s="1094" t="s">
        <v>520</v>
      </c>
      <c r="C1" s="1095"/>
      <c r="D1" s="1096"/>
      <c r="E1" s="1097"/>
      <c r="F1" s="135" t="s">
        <v>521</v>
      </c>
      <c r="G1" s="1091"/>
      <c r="H1" s="1092"/>
      <c r="I1" s="1092"/>
      <c r="J1" s="1092"/>
      <c r="K1" s="1092"/>
      <c r="L1" s="1093"/>
    </row>
    <row r="2" spans="2:13" ht="34.5" hidden="1" customHeight="1" thickBot="1" x14ac:dyDescent="0.35">
      <c r="B2" s="1101" t="s">
        <v>504</v>
      </c>
      <c r="C2" s="1102"/>
      <c r="D2" s="1102"/>
      <c r="E2" s="1102"/>
      <c r="F2" s="1102"/>
      <c r="G2" s="1102"/>
      <c r="H2" s="1103"/>
      <c r="I2" s="1088" t="s">
        <v>513</v>
      </c>
      <c r="J2" s="1089"/>
      <c r="K2" s="1090"/>
      <c r="L2" s="136" t="s">
        <v>518</v>
      </c>
    </row>
    <row r="3" spans="2:13" ht="31.8" thickBot="1" x14ac:dyDescent="0.35">
      <c r="B3" s="158" t="s">
        <v>508</v>
      </c>
      <c r="C3" s="159" t="s">
        <v>503</v>
      </c>
      <c r="D3" s="160" t="s">
        <v>19</v>
      </c>
      <c r="E3" s="161" t="s">
        <v>512</v>
      </c>
      <c r="F3" s="159" t="s">
        <v>707</v>
      </c>
      <c r="G3" s="159" t="s">
        <v>20</v>
      </c>
      <c r="H3" s="65" t="s">
        <v>517</v>
      </c>
      <c r="I3" s="162" t="s">
        <v>514</v>
      </c>
      <c r="J3" s="161" t="s">
        <v>515</v>
      </c>
      <c r="K3" s="163" t="s">
        <v>519</v>
      </c>
      <c r="L3" s="164" t="s">
        <v>687</v>
      </c>
      <c r="M3" s="174" t="s">
        <v>708</v>
      </c>
    </row>
    <row r="4" spans="2:13" ht="19.5" customHeight="1" x14ac:dyDescent="0.3">
      <c r="B4" s="1098" t="s">
        <v>507</v>
      </c>
      <c r="C4" s="81" t="s">
        <v>462</v>
      </c>
      <c r="D4" s="33" t="s">
        <v>356</v>
      </c>
      <c r="E4" s="27" t="s">
        <v>509</v>
      </c>
      <c r="F4" s="27" t="s">
        <v>449</v>
      </c>
      <c r="G4" s="27" t="s">
        <v>522</v>
      </c>
      <c r="H4" s="155">
        <v>12813.714285714286</v>
      </c>
      <c r="I4" s="27">
        <f>+J4*2</f>
        <v>25627.428571428572</v>
      </c>
      <c r="J4" s="74">
        <f>+H4</f>
        <v>12813.714285714286</v>
      </c>
      <c r="K4" s="153"/>
      <c r="L4" s="148"/>
    </row>
    <row r="5" spans="2:13" ht="19.5" customHeight="1" x14ac:dyDescent="0.3">
      <c r="B5" s="1099"/>
      <c r="C5" s="82" t="s">
        <v>462</v>
      </c>
      <c r="D5" s="32" t="s">
        <v>357</v>
      </c>
      <c r="E5" s="23" t="s">
        <v>509</v>
      </c>
      <c r="F5" s="23" t="s">
        <v>449</v>
      </c>
      <c r="G5" s="23" t="s">
        <v>523</v>
      </c>
      <c r="H5" s="138">
        <v>970.28571428571433</v>
      </c>
      <c r="I5" s="142">
        <f>+J5*2</f>
        <v>1940.5714285714287</v>
      </c>
      <c r="J5" s="73">
        <f>+H5</f>
        <v>970.28571428571433</v>
      </c>
      <c r="K5" s="141"/>
      <c r="L5" s="149"/>
    </row>
    <row r="6" spans="2:13" ht="19.5" customHeight="1" x14ac:dyDescent="0.3">
      <c r="B6" s="1099"/>
      <c r="C6" s="82" t="s">
        <v>462</v>
      </c>
      <c r="D6" s="32" t="s">
        <v>408</v>
      </c>
      <c r="E6" s="23" t="s">
        <v>509</v>
      </c>
      <c r="F6" s="23" t="s">
        <v>449</v>
      </c>
      <c r="G6" s="23" t="s">
        <v>524</v>
      </c>
      <c r="H6" s="138">
        <v>305</v>
      </c>
      <c r="I6" s="23">
        <f>+J6*2</f>
        <v>610</v>
      </c>
      <c r="J6" s="73">
        <f>+H6</f>
        <v>305</v>
      </c>
      <c r="K6" s="141"/>
      <c r="L6" s="149"/>
    </row>
    <row r="7" spans="2:13" ht="19.5" customHeight="1" thickBot="1" x14ac:dyDescent="0.35">
      <c r="B7" s="1100"/>
      <c r="C7" s="83" t="s">
        <v>462</v>
      </c>
      <c r="D7" s="37">
        <v>35</v>
      </c>
      <c r="E7" s="29" t="s">
        <v>511</v>
      </c>
      <c r="F7" s="29" t="s">
        <v>449</v>
      </c>
      <c r="G7" s="29" t="s">
        <v>522</v>
      </c>
      <c r="H7" s="156">
        <v>1356</v>
      </c>
      <c r="I7" s="29">
        <f>+J7*2</f>
        <v>2712</v>
      </c>
      <c r="J7" s="75">
        <f>+H7</f>
        <v>1356</v>
      </c>
      <c r="K7" s="154"/>
      <c r="L7" s="152"/>
    </row>
    <row r="8" spans="2:13" ht="19.5" customHeight="1" x14ac:dyDescent="0.3">
      <c r="B8" s="1098" t="s">
        <v>510</v>
      </c>
      <c r="C8" s="69" t="s">
        <v>460</v>
      </c>
      <c r="D8" s="140" t="s">
        <v>402</v>
      </c>
      <c r="E8" s="27" t="s">
        <v>509</v>
      </c>
      <c r="F8" s="27" t="s">
        <v>505</v>
      </c>
      <c r="G8" s="27" t="s">
        <v>525</v>
      </c>
      <c r="H8" s="147">
        <v>42</v>
      </c>
      <c r="I8" s="27"/>
      <c r="J8" s="74"/>
      <c r="K8" s="153"/>
      <c r="L8" s="148"/>
    </row>
    <row r="9" spans="2:13" ht="19.5" customHeight="1" x14ac:dyDescent="0.3">
      <c r="B9" s="1099"/>
      <c r="C9" s="70" t="s">
        <v>460</v>
      </c>
      <c r="D9" s="32" t="s">
        <v>297</v>
      </c>
      <c r="E9" s="23" t="s">
        <v>509</v>
      </c>
      <c r="F9" s="23" t="s">
        <v>505</v>
      </c>
      <c r="G9" s="23" t="s">
        <v>526</v>
      </c>
      <c r="H9" s="139">
        <v>130.28571428571428</v>
      </c>
      <c r="I9" s="142"/>
      <c r="J9" s="73"/>
      <c r="K9" s="141"/>
      <c r="L9" s="149"/>
    </row>
    <row r="10" spans="2:13" ht="19.5" customHeight="1" x14ac:dyDescent="0.3">
      <c r="B10" s="1099"/>
      <c r="C10" s="70" t="s">
        <v>460</v>
      </c>
      <c r="D10" s="32"/>
      <c r="E10" s="23" t="s">
        <v>509</v>
      </c>
      <c r="F10" s="23" t="s">
        <v>505</v>
      </c>
      <c r="G10" s="23" t="s">
        <v>527</v>
      </c>
      <c r="H10" s="143">
        <f>SUM(H8:H9)</f>
        <v>172.28571428571428</v>
      </c>
      <c r="I10" s="142">
        <f>+J10*2</f>
        <v>344.57142857142856</v>
      </c>
      <c r="J10" s="73">
        <f>+H10</f>
        <v>172.28571428571428</v>
      </c>
      <c r="K10" s="141"/>
      <c r="L10" s="149"/>
    </row>
    <row r="11" spans="2:13" ht="19.5" customHeight="1" x14ac:dyDescent="0.3">
      <c r="B11" s="1099"/>
      <c r="C11" s="70" t="s">
        <v>460</v>
      </c>
      <c r="D11" s="32" t="s">
        <v>319</v>
      </c>
      <c r="E11" s="23" t="s">
        <v>509</v>
      </c>
      <c r="F11" s="23" t="s">
        <v>335</v>
      </c>
      <c r="G11" s="23" t="s">
        <v>528</v>
      </c>
      <c r="H11" s="139">
        <v>258</v>
      </c>
      <c r="I11" s="23"/>
      <c r="J11" s="73"/>
      <c r="K11" s="141"/>
      <c r="L11" s="149"/>
    </row>
    <row r="12" spans="2:13" ht="19.5" customHeight="1" x14ac:dyDescent="0.3">
      <c r="B12" s="1099"/>
      <c r="C12" s="70" t="s">
        <v>460</v>
      </c>
      <c r="D12" s="32" t="s">
        <v>320</v>
      </c>
      <c r="E12" s="23" t="s">
        <v>509</v>
      </c>
      <c r="F12" s="23" t="s">
        <v>335</v>
      </c>
      <c r="G12" s="23" t="s">
        <v>529</v>
      </c>
      <c r="H12" s="139">
        <v>244</v>
      </c>
      <c r="I12" s="23"/>
      <c r="J12" s="73"/>
      <c r="K12" s="141"/>
      <c r="L12" s="149"/>
    </row>
    <row r="13" spans="2:13" ht="19.5" customHeight="1" x14ac:dyDescent="0.3">
      <c r="B13" s="1099"/>
      <c r="C13" s="70" t="s">
        <v>460</v>
      </c>
      <c r="D13" s="32" t="s">
        <v>321</v>
      </c>
      <c r="E13" s="23" t="s">
        <v>509</v>
      </c>
      <c r="F13" s="23" t="s">
        <v>335</v>
      </c>
      <c r="G13" s="23" t="s">
        <v>530</v>
      </c>
      <c r="H13" s="139">
        <v>243.42857142857142</v>
      </c>
      <c r="I13" s="142"/>
      <c r="J13" s="73"/>
      <c r="K13" s="141"/>
      <c r="L13" s="149"/>
    </row>
    <row r="14" spans="2:13" ht="19.5" customHeight="1" x14ac:dyDescent="0.3">
      <c r="B14" s="1099"/>
      <c r="C14" s="70" t="s">
        <v>460</v>
      </c>
      <c r="D14" s="32" t="s">
        <v>322</v>
      </c>
      <c r="E14" s="23" t="s">
        <v>509</v>
      </c>
      <c r="F14" s="23" t="s">
        <v>335</v>
      </c>
      <c r="G14" s="23" t="s">
        <v>531</v>
      </c>
      <c r="H14" s="139">
        <v>1163.4285714285713</v>
      </c>
      <c r="I14" s="23"/>
      <c r="J14" s="73"/>
      <c r="K14" s="141"/>
      <c r="L14" s="149"/>
    </row>
    <row r="15" spans="2:13" ht="19.5" customHeight="1" x14ac:dyDescent="0.3">
      <c r="B15" s="1099"/>
      <c r="C15" s="70" t="s">
        <v>460</v>
      </c>
      <c r="D15" s="78" t="s">
        <v>423</v>
      </c>
      <c r="E15" s="23" t="s">
        <v>509</v>
      </c>
      <c r="F15" s="23" t="s">
        <v>335</v>
      </c>
      <c r="G15" s="23" t="s">
        <v>532</v>
      </c>
      <c r="H15" s="139">
        <v>230.85714285714286</v>
      </c>
      <c r="I15" s="142"/>
      <c r="J15" s="73"/>
      <c r="K15" s="141"/>
      <c r="L15" s="149"/>
    </row>
    <row r="16" spans="2:13" ht="19.5" customHeight="1" x14ac:dyDescent="0.3">
      <c r="B16" s="1099"/>
      <c r="C16" s="70" t="s">
        <v>460</v>
      </c>
      <c r="D16" s="78" t="s">
        <v>424</v>
      </c>
      <c r="E16" s="23" t="s">
        <v>509</v>
      </c>
      <c r="F16" s="23" t="s">
        <v>335</v>
      </c>
      <c r="G16" s="23" t="s">
        <v>533</v>
      </c>
      <c r="H16" s="139">
        <v>208</v>
      </c>
      <c r="I16" s="23"/>
      <c r="J16" s="73"/>
      <c r="K16" s="141"/>
      <c r="L16" s="149"/>
    </row>
    <row r="17" spans="2:14" ht="19.5" customHeight="1" x14ac:dyDescent="0.3">
      <c r="B17" s="1099"/>
      <c r="C17" s="70" t="s">
        <v>460</v>
      </c>
      <c r="D17" s="32" t="s">
        <v>327</v>
      </c>
      <c r="E17" s="23" t="s">
        <v>509</v>
      </c>
      <c r="F17" s="23" t="s">
        <v>335</v>
      </c>
      <c r="G17" s="23" t="s">
        <v>534</v>
      </c>
      <c r="H17" s="139">
        <v>788.57142857142856</v>
      </c>
      <c r="I17" s="23"/>
      <c r="J17" s="73"/>
      <c r="K17" s="141"/>
      <c r="L17" s="149"/>
    </row>
    <row r="18" spans="2:14" ht="19.5" customHeight="1" x14ac:dyDescent="0.3">
      <c r="B18" s="1099"/>
      <c r="C18" s="70" t="s">
        <v>460</v>
      </c>
      <c r="D18" s="32" t="s">
        <v>328</v>
      </c>
      <c r="E18" s="23" t="s">
        <v>509</v>
      </c>
      <c r="F18" s="23" t="s">
        <v>335</v>
      </c>
      <c r="G18" s="23" t="s">
        <v>535</v>
      </c>
      <c r="H18" s="139">
        <v>526.28571428571433</v>
      </c>
      <c r="I18" s="23"/>
      <c r="J18" s="73"/>
      <c r="K18" s="141"/>
      <c r="L18" s="149"/>
    </row>
    <row r="19" spans="2:14" ht="19.5" customHeight="1" x14ac:dyDescent="0.3">
      <c r="B19" s="1099"/>
      <c r="C19" s="70" t="s">
        <v>460</v>
      </c>
      <c r="D19" s="32" t="s">
        <v>329</v>
      </c>
      <c r="E19" s="23" t="s">
        <v>509</v>
      </c>
      <c r="F19" s="23" t="s">
        <v>335</v>
      </c>
      <c r="G19" s="23" t="s">
        <v>536</v>
      </c>
      <c r="H19" s="139">
        <v>126.85714285714286</v>
      </c>
      <c r="I19" s="142"/>
      <c r="J19" s="73"/>
      <c r="K19" s="141"/>
      <c r="L19" s="149"/>
    </row>
    <row r="20" spans="2:14" ht="19.5" customHeight="1" x14ac:dyDescent="0.3">
      <c r="B20" s="1099"/>
      <c r="C20" s="70" t="s">
        <v>460</v>
      </c>
      <c r="D20" s="32" t="s">
        <v>330</v>
      </c>
      <c r="E20" s="23" t="s">
        <v>509</v>
      </c>
      <c r="F20" s="23" t="s">
        <v>335</v>
      </c>
      <c r="G20" s="23" t="s">
        <v>537</v>
      </c>
      <c r="H20" s="139">
        <v>248</v>
      </c>
      <c r="I20" s="23"/>
      <c r="J20" s="73"/>
      <c r="K20" s="141"/>
      <c r="L20" s="149"/>
    </row>
    <row r="21" spans="2:14" ht="19.5" customHeight="1" x14ac:dyDescent="0.3">
      <c r="B21" s="1099"/>
      <c r="C21" s="70" t="s">
        <v>460</v>
      </c>
      <c r="D21" s="78" t="s">
        <v>431</v>
      </c>
      <c r="E21" s="23" t="s">
        <v>509</v>
      </c>
      <c r="F21" s="23" t="s">
        <v>335</v>
      </c>
      <c r="G21" s="23" t="s">
        <v>538</v>
      </c>
      <c r="H21" s="139">
        <v>277.71428571428572</v>
      </c>
      <c r="I21" s="142"/>
      <c r="J21" s="73"/>
      <c r="K21" s="141"/>
      <c r="L21" s="149"/>
    </row>
    <row r="22" spans="2:14" ht="19.5" customHeight="1" x14ac:dyDescent="0.3">
      <c r="B22" s="1099"/>
      <c r="C22" s="70" t="s">
        <v>460</v>
      </c>
      <c r="D22" s="78"/>
      <c r="E22" s="24" t="s">
        <v>509</v>
      </c>
      <c r="F22" s="24" t="s">
        <v>335</v>
      </c>
      <c r="G22" s="23" t="s">
        <v>527</v>
      </c>
      <c r="H22" s="144">
        <f>SUM(H11:H21)</f>
        <v>4315.142857142856</v>
      </c>
      <c r="I22" s="142">
        <f>+J22*2</f>
        <v>8630.2857142857119</v>
      </c>
      <c r="J22" s="73">
        <f>+H22</f>
        <v>4315.142857142856</v>
      </c>
      <c r="K22" s="141"/>
      <c r="L22" s="149"/>
    </row>
    <row r="23" spans="2:14" ht="19.5" customHeight="1" x14ac:dyDescent="0.35">
      <c r="B23" s="1099"/>
      <c r="C23" s="165" t="s">
        <v>491</v>
      </c>
      <c r="D23" s="166" t="s">
        <v>63</v>
      </c>
      <c r="E23" s="167" t="s">
        <v>509</v>
      </c>
      <c r="F23" s="167" t="s">
        <v>341</v>
      </c>
      <c r="G23" s="167" t="s">
        <v>539</v>
      </c>
      <c r="H23" s="139">
        <v>22355.285714285714</v>
      </c>
      <c r="I23" s="168">
        <f>+H23</f>
        <v>22355.285714285714</v>
      </c>
      <c r="J23" s="168">
        <f>+I23/2</f>
        <v>11177.642857142857</v>
      </c>
      <c r="K23" s="169"/>
      <c r="L23" s="157"/>
    </row>
    <row r="24" spans="2:14" ht="19.5" customHeight="1" x14ac:dyDescent="0.3">
      <c r="B24" s="1099"/>
      <c r="C24" s="70" t="s">
        <v>484</v>
      </c>
      <c r="D24" s="32" t="s">
        <v>99</v>
      </c>
      <c r="E24" s="23" t="s">
        <v>509</v>
      </c>
      <c r="F24" s="23" t="s">
        <v>495</v>
      </c>
      <c r="G24" s="23" t="s">
        <v>540</v>
      </c>
      <c r="H24" s="139">
        <v>385.71428571428572</v>
      </c>
      <c r="I24" s="142">
        <f t="shared" ref="I24:I30" si="0">+J24*2</f>
        <v>771.42857142857144</v>
      </c>
      <c r="J24" s="73">
        <f t="shared" ref="J24:J30" si="1">+H24</f>
        <v>385.71428571428572</v>
      </c>
      <c r="K24" s="141"/>
      <c r="L24" s="149"/>
    </row>
    <row r="25" spans="2:14" ht="19.5" customHeight="1" x14ac:dyDescent="0.3">
      <c r="B25" s="1099"/>
      <c r="C25" s="70" t="s">
        <v>484</v>
      </c>
      <c r="D25" s="32" t="s">
        <v>101</v>
      </c>
      <c r="E25" s="23" t="s">
        <v>509</v>
      </c>
      <c r="F25" s="23" t="s">
        <v>495</v>
      </c>
      <c r="G25" s="23" t="s">
        <v>541</v>
      </c>
      <c r="H25" s="139">
        <v>462.85714285714283</v>
      </c>
      <c r="I25" s="142">
        <f t="shared" si="0"/>
        <v>925.71428571428567</v>
      </c>
      <c r="J25" s="73">
        <f t="shared" si="1"/>
        <v>462.85714285714283</v>
      </c>
      <c r="K25" s="141"/>
      <c r="L25" s="149"/>
    </row>
    <row r="26" spans="2:14" ht="19.5" customHeight="1" x14ac:dyDescent="0.35">
      <c r="B26" s="1099"/>
      <c r="C26" s="165" t="s">
        <v>484</v>
      </c>
      <c r="D26" s="166" t="s">
        <v>103</v>
      </c>
      <c r="E26" s="167" t="s">
        <v>509</v>
      </c>
      <c r="F26" s="167" t="s">
        <v>705</v>
      </c>
      <c r="G26" s="167" t="s">
        <v>542</v>
      </c>
      <c r="H26" s="139">
        <v>368.57142857142856</v>
      </c>
      <c r="I26" s="170">
        <f t="shared" si="0"/>
        <v>737.14285714285711</v>
      </c>
      <c r="J26" s="168">
        <f t="shared" si="1"/>
        <v>368.57142857142856</v>
      </c>
      <c r="K26" s="177"/>
      <c r="L26" s="175"/>
      <c r="M26" s="179"/>
    </row>
    <row r="27" spans="2:14" ht="19.5" customHeight="1" x14ac:dyDescent="0.3">
      <c r="B27" s="1099"/>
      <c r="C27" s="70" t="s">
        <v>464</v>
      </c>
      <c r="D27" s="32" t="s">
        <v>27</v>
      </c>
      <c r="E27" s="24" t="s">
        <v>509</v>
      </c>
      <c r="F27" s="24" t="s">
        <v>501</v>
      </c>
      <c r="G27" s="23" t="s">
        <v>543</v>
      </c>
      <c r="H27" s="138">
        <v>1107.7142857142858</v>
      </c>
      <c r="I27" s="142">
        <f t="shared" si="0"/>
        <v>2215.4285714285716</v>
      </c>
      <c r="J27" s="73">
        <f t="shared" si="1"/>
        <v>1107.7142857142858</v>
      </c>
      <c r="K27" s="141"/>
      <c r="L27" s="149"/>
    </row>
    <row r="28" spans="2:14" ht="19.5" customHeight="1" x14ac:dyDescent="0.35">
      <c r="B28" s="1099"/>
      <c r="C28" s="165" t="s">
        <v>464</v>
      </c>
      <c r="D28" s="166" t="s">
        <v>35</v>
      </c>
      <c r="E28" s="171" t="s">
        <v>509</v>
      </c>
      <c r="F28" s="171" t="s">
        <v>706</v>
      </c>
      <c r="G28" s="167" t="s">
        <v>689</v>
      </c>
      <c r="H28" s="139">
        <v>1563.4285714285713</v>
      </c>
      <c r="I28" s="170">
        <f t="shared" si="0"/>
        <v>3126.8571428571427</v>
      </c>
      <c r="J28" s="168">
        <f t="shared" si="1"/>
        <v>1563.4285714285713</v>
      </c>
      <c r="K28" s="169"/>
      <c r="L28" s="157"/>
    </row>
    <row r="29" spans="2:14" ht="19.5" customHeight="1" x14ac:dyDescent="0.35">
      <c r="B29" s="1099"/>
      <c r="C29" s="165" t="s">
        <v>464</v>
      </c>
      <c r="D29" s="166" t="s">
        <v>41</v>
      </c>
      <c r="E29" s="171" t="s">
        <v>509</v>
      </c>
      <c r="F29" s="171" t="s">
        <v>706</v>
      </c>
      <c r="G29" s="167" t="s">
        <v>688</v>
      </c>
      <c r="H29" s="139">
        <v>3252</v>
      </c>
      <c r="I29" s="167">
        <f t="shared" si="0"/>
        <v>6504</v>
      </c>
      <c r="J29" s="168">
        <f t="shared" si="1"/>
        <v>3252</v>
      </c>
      <c r="K29" s="177"/>
      <c r="L29" s="175"/>
      <c r="M29" s="179"/>
    </row>
    <row r="30" spans="2:14" ht="19.5" customHeight="1" x14ac:dyDescent="0.3">
      <c r="B30" s="1099"/>
      <c r="C30" s="70" t="s">
        <v>464</v>
      </c>
      <c r="D30" s="32" t="s">
        <v>43</v>
      </c>
      <c r="E30" s="24" t="s">
        <v>509</v>
      </c>
      <c r="F30" s="24" t="s">
        <v>501</v>
      </c>
      <c r="G30" s="23" t="s">
        <v>544</v>
      </c>
      <c r="H30" s="138">
        <v>594.85714285714289</v>
      </c>
      <c r="I30" s="142">
        <f t="shared" si="0"/>
        <v>1189.7142857142858</v>
      </c>
      <c r="J30" s="73">
        <f t="shared" si="1"/>
        <v>594.85714285714289</v>
      </c>
      <c r="K30" s="141"/>
      <c r="L30" s="149"/>
      <c r="N30" s="68"/>
    </row>
    <row r="31" spans="2:14" ht="19.5" customHeight="1" x14ac:dyDescent="0.3">
      <c r="B31" s="1099"/>
      <c r="C31" s="70" t="s">
        <v>483</v>
      </c>
      <c r="D31" s="79" t="s">
        <v>373</v>
      </c>
      <c r="E31" s="23" t="s">
        <v>509</v>
      </c>
      <c r="F31" s="23" t="s">
        <v>340</v>
      </c>
      <c r="G31" s="23" t="s">
        <v>545</v>
      </c>
      <c r="H31" s="145"/>
      <c r="I31" s="23"/>
      <c r="J31" s="73"/>
      <c r="K31" s="141"/>
      <c r="L31" s="149"/>
    </row>
    <row r="32" spans="2:14" ht="19.5" customHeight="1" x14ac:dyDescent="0.3">
      <c r="B32" s="1099"/>
      <c r="C32" s="70" t="s">
        <v>483</v>
      </c>
      <c r="D32" s="32" t="s">
        <v>374</v>
      </c>
      <c r="E32" s="23" t="s">
        <v>509</v>
      </c>
      <c r="F32" s="23" t="s">
        <v>340</v>
      </c>
      <c r="G32" s="23" t="s">
        <v>546</v>
      </c>
      <c r="H32" s="139"/>
      <c r="I32" s="142"/>
      <c r="J32" s="73"/>
      <c r="K32" s="141"/>
      <c r="L32" s="149"/>
    </row>
    <row r="33" spans="2:13" ht="19.5" customHeight="1" x14ac:dyDescent="0.3">
      <c r="B33" s="1099"/>
      <c r="C33" s="70" t="s">
        <v>483</v>
      </c>
      <c r="D33" s="79" t="s">
        <v>375</v>
      </c>
      <c r="E33" s="23" t="s">
        <v>509</v>
      </c>
      <c r="F33" s="23" t="s">
        <v>340</v>
      </c>
      <c r="G33" s="23" t="s">
        <v>547</v>
      </c>
      <c r="H33" s="138"/>
      <c r="I33" s="23"/>
      <c r="J33" s="73"/>
      <c r="K33" s="141"/>
      <c r="L33" s="149"/>
    </row>
    <row r="34" spans="2:13" ht="19.5" customHeight="1" x14ac:dyDescent="0.3">
      <c r="B34" s="1099"/>
      <c r="C34" s="70" t="s">
        <v>483</v>
      </c>
      <c r="D34" s="32" t="s">
        <v>228</v>
      </c>
      <c r="E34" s="23" t="s">
        <v>509</v>
      </c>
      <c r="F34" s="23" t="s">
        <v>340</v>
      </c>
      <c r="G34" s="23" t="s">
        <v>548</v>
      </c>
      <c r="H34" s="138">
        <v>103.71428571428571</v>
      </c>
      <c r="I34" s="142"/>
      <c r="J34" s="73"/>
      <c r="K34" s="141"/>
      <c r="L34" s="149"/>
    </row>
    <row r="35" spans="2:13" ht="19.5" customHeight="1" x14ac:dyDescent="0.3">
      <c r="B35" s="1099"/>
      <c r="C35" s="70" t="s">
        <v>483</v>
      </c>
      <c r="D35" s="79" t="s">
        <v>383</v>
      </c>
      <c r="E35" s="23" t="s">
        <v>509</v>
      </c>
      <c r="F35" s="23" t="s">
        <v>340</v>
      </c>
      <c r="G35" s="23" t="s">
        <v>549</v>
      </c>
      <c r="H35" s="138">
        <v>51</v>
      </c>
      <c r="I35" s="23"/>
      <c r="J35" s="73"/>
      <c r="K35" s="141"/>
      <c r="L35" s="149"/>
    </row>
    <row r="36" spans="2:13" ht="19.5" customHeight="1" x14ac:dyDescent="0.3">
      <c r="B36" s="1099"/>
      <c r="C36" s="70" t="s">
        <v>483</v>
      </c>
      <c r="D36" s="32" t="s">
        <v>230</v>
      </c>
      <c r="E36" s="23" t="s">
        <v>509</v>
      </c>
      <c r="F36" s="23" t="s">
        <v>340</v>
      </c>
      <c r="G36" s="23" t="s">
        <v>550</v>
      </c>
      <c r="H36" s="138">
        <v>958.28571428571433</v>
      </c>
      <c r="I36" s="23"/>
      <c r="J36" s="73"/>
      <c r="K36" s="141"/>
      <c r="L36" s="149"/>
    </row>
    <row r="37" spans="2:13" ht="19.5" customHeight="1" x14ac:dyDescent="0.3">
      <c r="B37" s="1099"/>
      <c r="C37" s="70" t="s">
        <v>483</v>
      </c>
      <c r="D37" s="32" t="s">
        <v>232</v>
      </c>
      <c r="E37" s="23" t="s">
        <v>509</v>
      </c>
      <c r="F37" s="23" t="s">
        <v>340</v>
      </c>
      <c r="G37" s="23" t="s">
        <v>551</v>
      </c>
      <c r="H37" s="138">
        <v>1150.2857142857142</v>
      </c>
      <c r="I37" s="23"/>
      <c r="J37" s="73"/>
      <c r="K37" s="141"/>
      <c r="L37" s="149"/>
    </row>
    <row r="38" spans="2:13" ht="19.5" customHeight="1" x14ac:dyDescent="0.3">
      <c r="B38" s="1099"/>
      <c r="C38" s="70" t="s">
        <v>483</v>
      </c>
      <c r="D38" s="32" t="s">
        <v>234</v>
      </c>
      <c r="E38" s="23" t="s">
        <v>509</v>
      </c>
      <c r="F38" s="23" t="s">
        <v>340</v>
      </c>
      <c r="G38" s="23" t="s">
        <v>552</v>
      </c>
      <c r="H38" s="138">
        <v>82.285714285714292</v>
      </c>
      <c r="I38" s="142"/>
      <c r="J38" s="73"/>
      <c r="K38" s="141"/>
      <c r="L38" s="149"/>
    </row>
    <row r="39" spans="2:13" ht="19.5" customHeight="1" x14ac:dyDescent="0.3">
      <c r="B39" s="1099"/>
      <c r="C39" s="70" t="s">
        <v>483</v>
      </c>
      <c r="D39" s="32" t="s">
        <v>236</v>
      </c>
      <c r="E39" s="23" t="s">
        <v>509</v>
      </c>
      <c r="F39" s="23" t="s">
        <v>340</v>
      </c>
      <c r="G39" s="23" t="s">
        <v>553</v>
      </c>
      <c r="H39" s="138">
        <v>0</v>
      </c>
      <c r="I39" s="23"/>
      <c r="J39" s="73"/>
      <c r="K39" s="141"/>
      <c r="L39" s="149"/>
    </row>
    <row r="40" spans="2:13" ht="19.5" customHeight="1" x14ac:dyDescent="0.3">
      <c r="B40" s="1099"/>
      <c r="C40" s="70" t="s">
        <v>483</v>
      </c>
      <c r="D40" s="32">
        <v>36</v>
      </c>
      <c r="E40" s="23" t="s">
        <v>511</v>
      </c>
      <c r="F40" s="23" t="s">
        <v>340</v>
      </c>
      <c r="G40" s="23" t="s">
        <v>554</v>
      </c>
      <c r="H40" s="138">
        <v>384</v>
      </c>
      <c r="I40" s="23"/>
      <c r="J40" s="73"/>
      <c r="K40" s="141"/>
      <c r="L40" s="149"/>
    </row>
    <row r="41" spans="2:13" ht="19.5" customHeight="1" x14ac:dyDescent="0.3">
      <c r="B41" s="1099"/>
      <c r="C41" s="70" t="s">
        <v>483</v>
      </c>
      <c r="D41" s="32"/>
      <c r="E41" s="23" t="s">
        <v>509</v>
      </c>
      <c r="F41" s="23" t="s">
        <v>340</v>
      </c>
      <c r="G41" s="23" t="s">
        <v>527</v>
      </c>
      <c r="H41" s="146">
        <f>SUM(H31:H40)</f>
        <v>2729.5714285714284</v>
      </c>
      <c r="I41" s="142">
        <f t="shared" ref="I41:I47" si="2">+J41*2</f>
        <v>5459.1428571428569</v>
      </c>
      <c r="J41" s="73">
        <f t="shared" ref="J41:J47" si="3">+H41</f>
        <v>2729.5714285714284</v>
      </c>
      <c r="K41" s="141"/>
      <c r="L41" s="149"/>
    </row>
    <row r="42" spans="2:13" ht="19.5" customHeight="1" x14ac:dyDescent="0.35">
      <c r="B42" s="1099"/>
      <c r="C42" s="165" t="s">
        <v>483</v>
      </c>
      <c r="D42" s="166" t="s">
        <v>29</v>
      </c>
      <c r="E42" s="171" t="s">
        <v>509</v>
      </c>
      <c r="F42" s="171" t="s">
        <v>706</v>
      </c>
      <c r="G42" s="167" t="s">
        <v>555</v>
      </c>
      <c r="H42" s="138">
        <v>2828.5714285714284</v>
      </c>
      <c r="I42" s="170">
        <f t="shared" si="2"/>
        <v>5657.1428571428569</v>
      </c>
      <c r="J42" s="168">
        <f t="shared" si="3"/>
        <v>2828.5714285714284</v>
      </c>
      <c r="K42" s="177"/>
      <c r="L42" s="175"/>
      <c r="M42" s="179"/>
    </row>
    <row r="43" spans="2:13" ht="19.5" customHeight="1" x14ac:dyDescent="0.3">
      <c r="B43" s="1099"/>
      <c r="C43" s="70" t="s">
        <v>459</v>
      </c>
      <c r="D43" s="78" t="s">
        <v>362</v>
      </c>
      <c r="E43" s="23" t="s">
        <v>509</v>
      </c>
      <c r="F43" s="23" t="s">
        <v>497</v>
      </c>
      <c r="G43" s="23" t="s">
        <v>556</v>
      </c>
      <c r="H43" s="139">
        <v>209.142857142857</v>
      </c>
      <c r="I43" s="142">
        <f t="shared" si="2"/>
        <v>418.28571428571399</v>
      </c>
      <c r="J43" s="73">
        <f t="shared" si="3"/>
        <v>209.142857142857</v>
      </c>
      <c r="K43" s="141"/>
      <c r="L43" s="149"/>
    </row>
    <row r="44" spans="2:13" ht="19.5" customHeight="1" x14ac:dyDescent="0.3">
      <c r="B44" s="1099"/>
      <c r="C44" s="70" t="s">
        <v>459</v>
      </c>
      <c r="D44" s="32" t="s">
        <v>358</v>
      </c>
      <c r="E44" s="23" t="s">
        <v>509</v>
      </c>
      <c r="F44" s="23" t="s">
        <v>496</v>
      </c>
      <c r="G44" s="23" t="s">
        <v>557</v>
      </c>
      <c r="H44" s="139">
        <v>102</v>
      </c>
      <c r="I44" s="23">
        <f t="shared" si="2"/>
        <v>204</v>
      </c>
      <c r="J44" s="73">
        <f t="shared" si="3"/>
        <v>102</v>
      </c>
      <c r="K44" s="141"/>
      <c r="L44" s="149"/>
    </row>
    <row r="45" spans="2:13" ht="19.5" customHeight="1" x14ac:dyDescent="0.3">
      <c r="B45" s="1099"/>
      <c r="C45" s="70" t="s">
        <v>459</v>
      </c>
      <c r="D45" s="32" t="s">
        <v>390</v>
      </c>
      <c r="E45" s="23" t="s">
        <v>509</v>
      </c>
      <c r="F45" s="23" t="s">
        <v>496</v>
      </c>
      <c r="G45" s="23" t="s">
        <v>558</v>
      </c>
      <c r="H45" s="139">
        <v>155.14285714285714</v>
      </c>
      <c r="I45" s="142">
        <f t="shared" si="2"/>
        <v>310.28571428571428</v>
      </c>
      <c r="J45" s="73">
        <f t="shared" si="3"/>
        <v>155.14285714285714</v>
      </c>
      <c r="K45" s="141"/>
      <c r="L45" s="149"/>
    </row>
    <row r="46" spans="2:13" ht="19.5" customHeight="1" x14ac:dyDescent="0.3">
      <c r="B46" s="1099"/>
      <c r="C46" s="70" t="s">
        <v>459</v>
      </c>
      <c r="D46" s="32" t="s">
        <v>338</v>
      </c>
      <c r="E46" s="23" t="s">
        <v>509</v>
      </c>
      <c r="F46" s="23" t="s">
        <v>496</v>
      </c>
      <c r="G46" s="23" t="s">
        <v>559</v>
      </c>
      <c r="H46" s="139">
        <v>1129.7142857142858</v>
      </c>
      <c r="I46" s="142">
        <f t="shared" si="2"/>
        <v>2259.4285714285716</v>
      </c>
      <c r="J46" s="73">
        <f t="shared" si="3"/>
        <v>1129.7142857142858</v>
      </c>
      <c r="K46" s="141"/>
      <c r="L46" s="149"/>
    </row>
    <row r="47" spans="2:13" ht="19.5" customHeight="1" x14ac:dyDescent="0.3">
      <c r="B47" s="1099"/>
      <c r="C47" s="70" t="s">
        <v>459</v>
      </c>
      <c r="D47" s="32" t="s">
        <v>410</v>
      </c>
      <c r="E47" s="23" t="s">
        <v>509</v>
      </c>
      <c r="F47" s="23" t="s">
        <v>496</v>
      </c>
      <c r="G47" s="23" t="s">
        <v>560</v>
      </c>
      <c r="H47" s="139">
        <v>848.57142857142856</v>
      </c>
      <c r="I47" s="142">
        <f t="shared" si="2"/>
        <v>1697.1428571428571</v>
      </c>
      <c r="J47" s="73">
        <f t="shared" si="3"/>
        <v>848.57142857142856</v>
      </c>
      <c r="K47" s="141"/>
      <c r="L47" s="149"/>
    </row>
    <row r="48" spans="2:13" ht="19.5" customHeight="1" x14ac:dyDescent="0.35">
      <c r="B48" s="1099"/>
      <c r="C48" s="165" t="s">
        <v>494</v>
      </c>
      <c r="D48" s="166" t="s">
        <v>63</v>
      </c>
      <c r="E48" s="167" t="s">
        <v>509</v>
      </c>
      <c r="F48" s="167" t="s">
        <v>341</v>
      </c>
      <c r="G48" s="167" t="s">
        <v>690</v>
      </c>
      <c r="H48" s="139">
        <v>22355.285714285714</v>
      </c>
      <c r="I48" s="168">
        <f>+H48</f>
        <v>22355.285714285714</v>
      </c>
      <c r="J48" s="168">
        <f>+I48/2</f>
        <v>11177.642857142857</v>
      </c>
      <c r="K48" s="169"/>
      <c r="L48" s="157"/>
    </row>
    <row r="49" spans="2:13" ht="19.5" customHeight="1" x14ac:dyDescent="0.3">
      <c r="B49" s="1099"/>
      <c r="C49" s="70" t="s">
        <v>466</v>
      </c>
      <c r="D49" s="32" t="s">
        <v>91</v>
      </c>
      <c r="E49" s="23" t="s">
        <v>509</v>
      </c>
      <c r="F49" s="23" t="s">
        <v>495</v>
      </c>
      <c r="G49" s="23" t="s">
        <v>561</v>
      </c>
      <c r="H49" s="139">
        <v>459.42857142857144</v>
      </c>
      <c r="I49" s="142">
        <f t="shared" ref="I49:I72" si="4">+J49*2</f>
        <v>918.85714285714289</v>
      </c>
      <c r="J49" s="73">
        <f t="shared" ref="J49:J72" si="5">+H49</f>
        <v>459.42857142857144</v>
      </c>
      <c r="K49" s="141"/>
      <c r="L49" s="149"/>
    </row>
    <row r="50" spans="2:13" ht="19.5" customHeight="1" x14ac:dyDescent="0.3">
      <c r="B50" s="1099"/>
      <c r="C50" s="70" t="s">
        <v>466</v>
      </c>
      <c r="D50" s="32" t="s">
        <v>89</v>
      </c>
      <c r="E50" s="23" t="s">
        <v>509</v>
      </c>
      <c r="F50" s="23" t="s">
        <v>495</v>
      </c>
      <c r="G50" s="23" t="s">
        <v>562</v>
      </c>
      <c r="H50" s="139">
        <v>456</v>
      </c>
      <c r="I50" s="23">
        <f t="shared" si="4"/>
        <v>912</v>
      </c>
      <c r="J50" s="73">
        <f t="shared" si="5"/>
        <v>456</v>
      </c>
      <c r="K50" s="141"/>
      <c r="L50" s="149"/>
    </row>
    <row r="51" spans="2:13" ht="19.5" customHeight="1" x14ac:dyDescent="0.3">
      <c r="B51" s="1099"/>
      <c r="C51" s="70" t="s">
        <v>466</v>
      </c>
      <c r="D51" s="32" t="s">
        <v>97</v>
      </c>
      <c r="E51" s="23" t="s">
        <v>509</v>
      </c>
      <c r="F51" s="23" t="s">
        <v>495</v>
      </c>
      <c r="G51" s="23" t="s">
        <v>563</v>
      </c>
      <c r="H51" s="139">
        <v>264</v>
      </c>
      <c r="I51" s="23">
        <f t="shared" si="4"/>
        <v>528</v>
      </c>
      <c r="J51" s="73">
        <f t="shared" si="5"/>
        <v>264</v>
      </c>
      <c r="K51" s="141"/>
      <c r="L51" s="149"/>
    </row>
    <row r="52" spans="2:13" ht="19.5" customHeight="1" x14ac:dyDescent="0.35">
      <c r="B52" s="1099"/>
      <c r="C52" s="165" t="s">
        <v>476</v>
      </c>
      <c r="D52" s="166" t="s">
        <v>21</v>
      </c>
      <c r="E52" s="171" t="s">
        <v>509</v>
      </c>
      <c r="F52" s="171" t="s">
        <v>706</v>
      </c>
      <c r="G52" s="167" t="s">
        <v>564</v>
      </c>
      <c r="H52" s="139">
        <v>2629.7142857142858</v>
      </c>
      <c r="I52" s="170">
        <f t="shared" si="4"/>
        <v>5259.4285714285716</v>
      </c>
      <c r="J52" s="168">
        <f t="shared" si="5"/>
        <v>2629.7142857142858</v>
      </c>
      <c r="K52" s="177"/>
      <c r="L52" s="175"/>
      <c r="M52" s="179"/>
    </row>
    <row r="53" spans="2:13" ht="19.5" customHeight="1" x14ac:dyDescent="0.35">
      <c r="B53" s="1099"/>
      <c r="C53" s="165" t="s">
        <v>476</v>
      </c>
      <c r="D53" s="166" t="s">
        <v>23</v>
      </c>
      <c r="E53" s="171" t="s">
        <v>509</v>
      </c>
      <c r="F53" s="171" t="s">
        <v>706</v>
      </c>
      <c r="G53" s="167" t="s">
        <v>565</v>
      </c>
      <c r="H53" s="139">
        <v>4687.2857142857147</v>
      </c>
      <c r="I53" s="170">
        <f t="shared" si="4"/>
        <v>9374.5714285714294</v>
      </c>
      <c r="J53" s="168">
        <f t="shared" si="5"/>
        <v>4687.2857142857147</v>
      </c>
      <c r="K53" s="177"/>
      <c r="L53" s="175"/>
      <c r="M53" s="179"/>
    </row>
    <row r="54" spans="2:13" ht="19.5" customHeight="1" x14ac:dyDescent="0.35">
      <c r="B54" s="1099"/>
      <c r="C54" s="165" t="s">
        <v>476</v>
      </c>
      <c r="D54" s="166" t="s">
        <v>25</v>
      </c>
      <c r="E54" s="171" t="s">
        <v>509</v>
      </c>
      <c r="F54" s="171" t="s">
        <v>706</v>
      </c>
      <c r="G54" s="167" t="s">
        <v>566</v>
      </c>
      <c r="H54" s="139">
        <v>6627.4285714285716</v>
      </c>
      <c r="I54" s="167">
        <f t="shared" si="4"/>
        <v>13254.857142857143</v>
      </c>
      <c r="J54" s="168">
        <f t="shared" si="5"/>
        <v>6627.4285714285716</v>
      </c>
      <c r="K54" s="177"/>
      <c r="L54" s="175"/>
      <c r="M54" s="179"/>
    </row>
    <row r="55" spans="2:13" ht="19.5" customHeight="1" x14ac:dyDescent="0.3">
      <c r="B55" s="1099"/>
      <c r="C55" s="70" t="s">
        <v>476</v>
      </c>
      <c r="D55" s="32" t="s">
        <v>151</v>
      </c>
      <c r="E55" s="24" t="s">
        <v>452</v>
      </c>
      <c r="F55" s="24" t="s">
        <v>501</v>
      </c>
      <c r="G55" s="23" t="s">
        <v>567</v>
      </c>
      <c r="H55" s="139">
        <v>0</v>
      </c>
      <c r="I55" s="23">
        <f t="shared" si="4"/>
        <v>0</v>
      </c>
      <c r="J55" s="73">
        <f t="shared" si="5"/>
        <v>0</v>
      </c>
      <c r="K55" s="141"/>
      <c r="L55" s="149"/>
    </row>
    <row r="56" spans="2:13" ht="19.5" customHeight="1" x14ac:dyDescent="0.3">
      <c r="B56" s="1099"/>
      <c r="C56" s="70" t="s">
        <v>488</v>
      </c>
      <c r="D56" s="32" t="s">
        <v>53</v>
      </c>
      <c r="E56" s="23" t="s">
        <v>509</v>
      </c>
      <c r="F56" s="23" t="s">
        <v>495</v>
      </c>
      <c r="G56" s="23" t="s">
        <v>568</v>
      </c>
      <c r="H56" s="139">
        <v>450.85714285714283</v>
      </c>
      <c r="I56" s="142">
        <f t="shared" si="4"/>
        <v>901.71428571428567</v>
      </c>
      <c r="J56" s="73">
        <f t="shared" si="5"/>
        <v>450.85714285714283</v>
      </c>
      <c r="K56" s="141"/>
      <c r="L56" s="149"/>
    </row>
    <row r="57" spans="2:13" ht="19.5" customHeight="1" x14ac:dyDescent="0.3">
      <c r="B57" s="1099"/>
      <c r="C57" s="70" t="s">
        <v>465</v>
      </c>
      <c r="D57" s="79" t="s">
        <v>420</v>
      </c>
      <c r="E57" s="23" t="s">
        <v>509</v>
      </c>
      <c r="F57" s="23" t="s">
        <v>497</v>
      </c>
      <c r="G57" s="23" t="s">
        <v>569</v>
      </c>
      <c r="H57" s="139">
        <v>148</v>
      </c>
      <c r="I57" s="23">
        <f t="shared" si="4"/>
        <v>296</v>
      </c>
      <c r="J57" s="73">
        <f t="shared" si="5"/>
        <v>148</v>
      </c>
      <c r="K57" s="141"/>
      <c r="L57" s="149"/>
    </row>
    <row r="58" spans="2:13" ht="19.5" customHeight="1" x14ac:dyDescent="0.3">
      <c r="B58" s="1099"/>
      <c r="C58" s="70" t="s">
        <v>465</v>
      </c>
      <c r="D58" s="32" t="s">
        <v>414</v>
      </c>
      <c r="E58" s="23" t="s">
        <v>509</v>
      </c>
      <c r="F58" s="23" t="s">
        <v>498</v>
      </c>
      <c r="G58" s="23" t="s">
        <v>570</v>
      </c>
      <c r="H58" s="139">
        <v>190.28571428571428</v>
      </c>
      <c r="I58" s="142">
        <f t="shared" si="4"/>
        <v>380.57142857142856</v>
      </c>
      <c r="J58" s="73">
        <f t="shared" si="5"/>
        <v>190.28571428571428</v>
      </c>
      <c r="K58" s="141"/>
      <c r="L58" s="149"/>
    </row>
    <row r="59" spans="2:13" ht="19.5" customHeight="1" x14ac:dyDescent="0.3">
      <c r="B59" s="1099"/>
      <c r="C59" s="70" t="s">
        <v>465</v>
      </c>
      <c r="D59" s="32" t="s">
        <v>415</v>
      </c>
      <c r="E59" s="23" t="s">
        <v>509</v>
      </c>
      <c r="F59" s="23" t="s">
        <v>498</v>
      </c>
      <c r="G59" s="23" t="s">
        <v>571</v>
      </c>
      <c r="H59" s="139">
        <v>48</v>
      </c>
      <c r="I59" s="23">
        <f t="shared" si="4"/>
        <v>96</v>
      </c>
      <c r="J59" s="73">
        <f t="shared" si="5"/>
        <v>48</v>
      </c>
      <c r="K59" s="141"/>
      <c r="L59" s="149"/>
    </row>
    <row r="60" spans="2:13" ht="19.5" customHeight="1" x14ac:dyDescent="0.3">
      <c r="B60" s="1099"/>
      <c r="C60" s="70" t="s">
        <v>465</v>
      </c>
      <c r="D60" s="32" t="s">
        <v>427</v>
      </c>
      <c r="E60" s="23" t="s">
        <v>509</v>
      </c>
      <c r="F60" s="23" t="s">
        <v>499</v>
      </c>
      <c r="G60" s="23" t="s">
        <v>572</v>
      </c>
      <c r="H60" s="139">
        <v>305.14285714285717</v>
      </c>
      <c r="I60" s="142">
        <f t="shared" si="4"/>
        <v>610.28571428571433</v>
      </c>
      <c r="J60" s="73">
        <f t="shared" si="5"/>
        <v>305.14285714285717</v>
      </c>
      <c r="K60" s="141"/>
      <c r="L60" s="149"/>
    </row>
    <row r="61" spans="2:13" ht="19.5" customHeight="1" x14ac:dyDescent="0.3">
      <c r="B61" s="1099"/>
      <c r="C61" s="70" t="s">
        <v>465</v>
      </c>
      <c r="D61" s="32" t="s">
        <v>339</v>
      </c>
      <c r="E61" s="23" t="s">
        <v>509</v>
      </c>
      <c r="F61" s="23" t="s">
        <v>496</v>
      </c>
      <c r="G61" s="23" t="s">
        <v>573</v>
      </c>
      <c r="H61" s="139">
        <v>768</v>
      </c>
      <c r="I61" s="23">
        <f t="shared" si="4"/>
        <v>1536</v>
      </c>
      <c r="J61" s="73">
        <f t="shared" si="5"/>
        <v>768</v>
      </c>
      <c r="K61" s="141"/>
      <c r="L61" s="149"/>
    </row>
    <row r="62" spans="2:13" ht="19.5" customHeight="1" x14ac:dyDescent="0.35">
      <c r="B62" s="1099"/>
      <c r="C62" s="165" t="s">
        <v>470</v>
      </c>
      <c r="D62" s="166" t="s">
        <v>73</v>
      </c>
      <c r="E62" s="167" t="s">
        <v>509</v>
      </c>
      <c r="F62" s="167" t="s">
        <v>705</v>
      </c>
      <c r="G62" s="167" t="s">
        <v>691</v>
      </c>
      <c r="H62" s="138">
        <v>17541.714285714286</v>
      </c>
      <c r="I62" s="167">
        <f t="shared" si="4"/>
        <v>35083.428571428572</v>
      </c>
      <c r="J62" s="168">
        <f t="shared" si="5"/>
        <v>17541.714285714286</v>
      </c>
      <c r="K62" s="177"/>
      <c r="L62" s="175"/>
      <c r="M62" s="179"/>
    </row>
    <row r="63" spans="2:13" ht="19.5" customHeight="1" x14ac:dyDescent="0.3">
      <c r="B63" s="1099"/>
      <c r="C63" s="70" t="s">
        <v>469</v>
      </c>
      <c r="D63" s="32" t="s">
        <v>83</v>
      </c>
      <c r="E63" s="23" t="s">
        <v>509</v>
      </c>
      <c r="F63" s="23" t="s">
        <v>495</v>
      </c>
      <c r="G63" s="23" t="s">
        <v>574</v>
      </c>
      <c r="H63" s="139">
        <v>133.71428571428572</v>
      </c>
      <c r="I63" s="142">
        <f t="shared" si="4"/>
        <v>267.42857142857144</v>
      </c>
      <c r="J63" s="73">
        <f t="shared" si="5"/>
        <v>133.71428571428572</v>
      </c>
      <c r="K63" s="141"/>
      <c r="L63" s="149"/>
    </row>
    <row r="64" spans="2:13" ht="19.5" customHeight="1" x14ac:dyDescent="0.3">
      <c r="B64" s="1099"/>
      <c r="C64" s="70" t="s">
        <v>469</v>
      </c>
      <c r="D64" s="32" t="s">
        <v>85</v>
      </c>
      <c r="E64" s="23" t="s">
        <v>509</v>
      </c>
      <c r="F64" s="23" t="s">
        <v>495</v>
      </c>
      <c r="G64" s="23" t="s">
        <v>575</v>
      </c>
      <c r="H64" s="139">
        <v>1556.5714285714287</v>
      </c>
      <c r="I64" s="142">
        <f t="shared" si="4"/>
        <v>3113.1428571428573</v>
      </c>
      <c r="J64" s="73">
        <f t="shared" si="5"/>
        <v>1556.5714285714287</v>
      </c>
      <c r="K64" s="141"/>
      <c r="L64" s="149"/>
    </row>
    <row r="65" spans="2:13" ht="19.5" customHeight="1" x14ac:dyDescent="0.3">
      <c r="B65" s="1099"/>
      <c r="C65" s="70" t="s">
        <v>469</v>
      </c>
      <c r="D65" s="32" t="s">
        <v>87</v>
      </c>
      <c r="E65" s="23" t="s">
        <v>509</v>
      </c>
      <c r="F65" s="23" t="s">
        <v>495</v>
      </c>
      <c r="G65" s="23" t="s">
        <v>576</v>
      </c>
      <c r="H65" s="139">
        <v>92</v>
      </c>
      <c r="I65" s="23">
        <f t="shared" si="4"/>
        <v>184</v>
      </c>
      <c r="J65" s="73">
        <f t="shared" si="5"/>
        <v>92</v>
      </c>
      <c r="K65" s="141"/>
      <c r="L65" s="149"/>
    </row>
    <row r="66" spans="2:13" ht="19.5" customHeight="1" x14ac:dyDescent="0.35">
      <c r="B66" s="1099"/>
      <c r="C66" s="165" t="s">
        <v>474</v>
      </c>
      <c r="D66" s="166" t="s">
        <v>139</v>
      </c>
      <c r="E66" s="167" t="s">
        <v>509</v>
      </c>
      <c r="F66" s="167" t="s">
        <v>705</v>
      </c>
      <c r="G66" s="167" t="s">
        <v>692</v>
      </c>
      <c r="H66" s="139">
        <v>336</v>
      </c>
      <c r="I66" s="167">
        <f t="shared" si="4"/>
        <v>672</v>
      </c>
      <c r="J66" s="168">
        <f t="shared" si="5"/>
        <v>336</v>
      </c>
      <c r="K66" s="177"/>
      <c r="L66" s="175"/>
      <c r="M66" s="179"/>
    </row>
    <row r="67" spans="2:13" ht="19.5" customHeight="1" x14ac:dyDescent="0.35">
      <c r="B67" s="1099"/>
      <c r="C67" s="165" t="s">
        <v>474</v>
      </c>
      <c r="D67" s="166" t="s">
        <v>141</v>
      </c>
      <c r="E67" s="167" t="s">
        <v>509</v>
      </c>
      <c r="F67" s="167" t="s">
        <v>705</v>
      </c>
      <c r="G67" s="167" t="s">
        <v>693</v>
      </c>
      <c r="H67" s="139">
        <v>222.85714285714286</v>
      </c>
      <c r="I67" s="170">
        <f t="shared" si="4"/>
        <v>445.71428571428572</v>
      </c>
      <c r="J67" s="168">
        <f t="shared" si="5"/>
        <v>222.85714285714286</v>
      </c>
      <c r="K67" s="177"/>
      <c r="L67" s="175"/>
      <c r="M67" s="179"/>
    </row>
    <row r="68" spans="2:13" ht="19.5" customHeight="1" x14ac:dyDescent="0.35">
      <c r="B68" s="1099"/>
      <c r="C68" s="165" t="s">
        <v>474</v>
      </c>
      <c r="D68" s="166" t="s">
        <v>137</v>
      </c>
      <c r="E68" s="167" t="s">
        <v>509</v>
      </c>
      <c r="F68" s="167" t="s">
        <v>705</v>
      </c>
      <c r="G68" s="167" t="s">
        <v>694</v>
      </c>
      <c r="H68" s="139">
        <v>378.85714285714283</v>
      </c>
      <c r="I68" s="170">
        <f t="shared" si="4"/>
        <v>757.71428571428567</v>
      </c>
      <c r="J68" s="168">
        <f t="shared" si="5"/>
        <v>378.85714285714283</v>
      </c>
      <c r="K68" s="177"/>
      <c r="L68" s="175"/>
      <c r="M68" s="179"/>
    </row>
    <row r="69" spans="2:13" ht="19.5" customHeight="1" x14ac:dyDescent="0.3">
      <c r="B69" s="1099"/>
      <c r="C69" s="70" t="s">
        <v>480</v>
      </c>
      <c r="D69" s="32" t="s">
        <v>125</v>
      </c>
      <c r="E69" s="23" t="s">
        <v>509</v>
      </c>
      <c r="F69" s="23" t="s">
        <v>495</v>
      </c>
      <c r="G69" s="23" t="s">
        <v>577</v>
      </c>
      <c r="H69" s="139">
        <v>399.42857142857144</v>
      </c>
      <c r="I69" s="142">
        <f t="shared" si="4"/>
        <v>798.85714285714289</v>
      </c>
      <c r="J69" s="73">
        <f t="shared" si="5"/>
        <v>399.42857142857144</v>
      </c>
      <c r="K69" s="141"/>
      <c r="L69" s="149"/>
    </row>
    <row r="70" spans="2:13" ht="19.5" customHeight="1" x14ac:dyDescent="0.3">
      <c r="B70" s="1099"/>
      <c r="C70" s="70" t="s">
        <v>480</v>
      </c>
      <c r="D70" s="32" t="s">
        <v>131</v>
      </c>
      <c r="E70" s="23" t="s">
        <v>509</v>
      </c>
      <c r="F70" s="23" t="s">
        <v>495</v>
      </c>
      <c r="G70" s="23" t="s">
        <v>578</v>
      </c>
      <c r="H70" s="139">
        <v>399.42857142857144</v>
      </c>
      <c r="I70" s="142">
        <f t="shared" si="4"/>
        <v>798.85714285714289</v>
      </c>
      <c r="J70" s="73">
        <f t="shared" si="5"/>
        <v>399.42857142857144</v>
      </c>
      <c r="K70" s="141"/>
      <c r="L70" s="149"/>
    </row>
    <row r="71" spans="2:13" ht="19.5" customHeight="1" x14ac:dyDescent="0.35">
      <c r="B71" s="1099"/>
      <c r="C71" s="165" t="s">
        <v>480</v>
      </c>
      <c r="D71" s="172" t="s">
        <v>361</v>
      </c>
      <c r="E71" s="167" t="s">
        <v>509</v>
      </c>
      <c r="F71" s="167" t="s">
        <v>705</v>
      </c>
      <c r="G71" s="167" t="s">
        <v>579</v>
      </c>
      <c r="H71" s="139">
        <v>140.57142857142858</v>
      </c>
      <c r="I71" s="170">
        <f t="shared" si="4"/>
        <v>281.14285714285717</v>
      </c>
      <c r="J71" s="168">
        <f t="shared" si="5"/>
        <v>140.57142857142858</v>
      </c>
      <c r="K71" s="177"/>
      <c r="L71" s="175"/>
      <c r="M71" s="179"/>
    </row>
    <row r="72" spans="2:13" ht="19.5" customHeight="1" x14ac:dyDescent="0.3">
      <c r="B72" s="1099"/>
      <c r="C72" s="70" t="s">
        <v>480</v>
      </c>
      <c r="D72" s="78" t="s">
        <v>389</v>
      </c>
      <c r="E72" s="23" t="s">
        <v>509</v>
      </c>
      <c r="F72" s="23" t="s">
        <v>495</v>
      </c>
      <c r="G72" s="23" t="s">
        <v>580</v>
      </c>
      <c r="H72" s="139">
        <v>240</v>
      </c>
      <c r="I72" s="23">
        <f t="shared" si="4"/>
        <v>480</v>
      </c>
      <c r="J72" s="73">
        <f t="shared" si="5"/>
        <v>240</v>
      </c>
      <c r="K72" s="141"/>
      <c r="L72" s="149"/>
    </row>
    <row r="73" spans="2:13" ht="19.5" customHeight="1" x14ac:dyDescent="0.3">
      <c r="B73" s="1099"/>
      <c r="C73" s="70" t="s">
        <v>480</v>
      </c>
      <c r="D73" s="32">
        <v>37</v>
      </c>
      <c r="E73" s="24" t="s">
        <v>509</v>
      </c>
      <c r="F73" s="24" t="s">
        <v>502</v>
      </c>
      <c r="G73" s="23" t="s">
        <v>581</v>
      </c>
      <c r="H73" s="138">
        <v>243.42857142857142</v>
      </c>
      <c r="I73" s="23"/>
      <c r="J73" s="73"/>
      <c r="K73" s="141"/>
      <c r="L73" s="149"/>
    </row>
    <row r="74" spans="2:13" ht="19.5" customHeight="1" x14ac:dyDescent="0.3">
      <c r="B74" s="1099"/>
      <c r="C74" s="70" t="s">
        <v>480</v>
      </c>
      <c r="D74" s="32">
        <v>38</v>
      </c>
      <c r="E74" s="24" t="s">
        <v>509</v>
      </c>
      <c r="F74" s="24" t="s">
        <v>502</v>
      </c>
      <c r="G74" s="23" t="s">
        <v>582</v>
      </c>
      <c r="H74" s="138">
        <v>308.57142857142856</v>
      </c>
      <c r="I74" s="23"/>
      <c r="J74" s="73"/>
      <c r="K74" s="141"/>
      <c r="L74" s="149"/>
    </row>
    <row r="75" spans="2:13" ht="19.5" customHeight="1" x14ac:dyDescent="0.3">
      <c r="B75" s="1099"/>
      <c r="C75" s="70" t="s">
        <v>480</v>
      </c>
      <c r="D75" s="32">
        <v>40</v>
      </c>
      <c r="E75" s="24" t="s">
        <v>509</v>
      </c>
      <c r="F75" s="24" t="s">
        <v>502</v>
      </c>
      <c r="G75" s="23" t="s">
        <v>583</v>
      </c>
      <c r="H75" s="138">
        <v>100</v>
      </c>
      <c r="I75" s="23"/>
      <c r="J75" s="73"/>
      <c r="K75" s="141"/>
      <c r="L75" s="149"/>
    </row>
    <row r="76" spans="2:13" ht="19.5" customHeight="1" x14ac:dyDescent="0.3">
      <c r="B76" s="1099"/>
      <c r="C76" s="70" t="s">
        <v>480</v>
      </c>
      <c r="D76" s="32">
        <v>41</v>
      </c>
      <c r="E76" s="24" t="s">
        <v>509</v>
      </c>
      <c r="F76" s="24" t="s">
        <v>502</v>
      </c>
      <c r="G76" s="23" t="s">
        <v>584</v>
      </c>
      <c r="H76" s="138">
        <v>370.28571428571428</v>
      </c>
      <c r="I76" s="23"/>
      <c r="J76" s="73"/>
      <c r="K76" s="141"/>
      <c r="L76" s="149"/>
    </row>
    <row r="77" spans="2:13" ht="19.5" customHeight="1" x14ac:dyDescent="0.3">
      <c r="B77" s="1099"/>
      <c r="C77" s="70" t="s">
        <v>480</v>
      </c>
      <c r="D77" s="32">
        <v>42</v>
      </c>
      <c r="E77" s="24" t="s">
        <v>509</v>
      </c>
      <c r="F77" s="24" t="s">
        <v>502</v>
      </c>
      <c r="G77" s="23" t="s">
        <v>585</v>
      </c>
      <c r="H77" s="138">
        <v>60</v>
      </c>
      <c r="I77" s="23"/>
      <c r="J77" s="73"/>
      <c r="K77" s="141"/>
      <c r="L77" s="149"/>
    </row>
    <row r="78" spans="2:13" ht="19.5" customHeight="1" x14ac:dyDescent="0.3">
      <c r="B78" s="1099"/>
      <c r="C78" s="70" t="s">
        <v>480</v>
      </c>
      <c r="D78" s="32">
        <v>43</v>
      </c>
      <c r="E78" s="24" t="s">
        <v>509</v>
      </c>
      <c r="F78" s="24" t="s">
        <v>502</v>
      </c>
      <c r="G78" s="23" t="s">
        <v>586</v>
      </c>
      <c r="H78" s="138">
        <v>418.28571428571428</v>
      </c>
      <c r="I78" s="23"/>
      <c r="J78" s="73"/>
      <c r="K78" s="141"/>
      <c r="L78" s="149"/>
    </row>
    <row r="79" spans="2:13" ht="19.5" customHeight="1" x14ac:dyDescent="0.3">
      <c r="B79" s="1099"/>
      <c r="C79" s="70" t="s">
        <v>480</v>
      </c>
      <c r="D79" s="32">
        <v>50</v>
      </c>
      <c r="E79" s="24" t="s">
        <v>509</v>
      </c>
      <c r="F79" s="24" t="s">
        <v>502</v>
      </c>
      <c r="G79" s="23" t="s">
        <v>587</v>
      </c>
      <c r="H79" s="139">
        <v>126.85714285714286</v>
      </c>
      <c r="I79" s="23"/>
      <c r="J79" s="73"/>
      <c r="K79" s="141"/>
      <c r="L79" s="149"/>
    </row>
    <row r="80" spans="2:13" ht="19.5" customHeight="1" x14ac:dyDescent="0.3">
      <c r="B80" s="1099"/>
      <c r="C80" s="70" t="s">
        <v>480</v>
      </c>
      <c r="D80" s="32">
        <v>51</v>
      </c>
      <c r="E80" s="24" t="s">
        <v>509</v>
      </c>
      <c r="F80" s="24" t="s">
        <v>502</v>
      </c>
      <c r="G80" s="23" t="s">
        <v>588</v>
      </c>
      <c r="H80" s="139">
        <v>132</v>
      </c>
      <c r="I80" s="23"/>
      <c r="J80" s="73"/>
      <c r="K80" s="141"/>
      <c r="L80" s="149"/>
    </row>
    <row r="81" spans="2:12" ht="19.5" customHeight="1" x14ac:dyDescent="0.3">
      <c r="B81" s="1099"/>
      <c r="C81" s="70" t="s">
        <v>480</v>
      </c>
      <c r="D81" s="32" t="s">
        <v>157</v>
      </c>
      <c r="E81" s="24" t="s">
        <v>509</v>
      </c>
      <c r="F81" s="24" t="s">
        <v>502</v>
      </c>
      <c r="G81" s="23" t="s">
        <v>589</v>
      </c>
      <c r="H81" s="138">
        <v>150</v>
      </c>
      <c r="I81" s="23"/>
      <c r="J81" s="73"/>
      <c r="K81" s="141"/>
      <c r="L81" s="149"/>
    </row>
    <row r="82" spans="2:12" ht="19.5" customHeight="1" x14ac:dyDescent="0.3">
      <c r="B82" s="1099"/>
      <c r="C82" s="70" t="s">
        <v>480</v>
      </c>
      <c r="D82" s="32" t="s">
        <v>159</v>
      </c>
      <c r="E82" s="24" t="s">
        <v>509</v>
      </c>
      <c r="F82" s="24" t="s">
        <v>502</v>
      </c>
      <c r="G82" s="23" t="s">
        <v>590</v>
      </c>
      <c r="H82" s="138">
        <v>354</v>
      </c>
      <c r="I82" s="23"/>
      <c r="J82" s="73"/>
      <c r="K82" s="141"/>
      <c r="L82" s="149"/>
    </row>
    <row r="83" spans="2:12" ht="19.5" customHeight="1" x14ac:dyDescent="0.3">
      <c r="B83" s="1099"/>
      <c r="C83" s="70" t="s">
        <v>480</v>
      </c>
      <c r="D83" s="32" t="s">
        <v>161</v>
      </c>
      <c r="E83" s="24" t="s">
        <v>509</v>
      </c>
      <c r="F83" s="24" t="s">
        <v>502</v>
      </c>
      <c r="G83" s="23" t="s">
        <v>591</v>
      </c>
      <c r="H83" s="138">
        <v>168</v>
      </c>
      <c r="I83" s="23"/>
      <c r="J83" s="73"/>
      <c r="K83" s="141"/>
      <c r="L83" s="149"/>
    </row>
    <row r="84" spans="2:12" ht="19.5" customHeight="1" x14ac:dyDescent="0.3">
      <c r="B84" s="1099"/>
      <c r="C84" s="70" t="s">
        <v>480</v>
      </c>
      <c r="D84" s="32" t="s">
        <v>163</v>
      </c>
      <c r="E84" s="24" t="s">
        <v>509</v>
      </c>
      <c r="F84" s="24" t="s">
        <v>502</v>
      </c>
      <c r="G84" s="23" t="s">
        <v>592</v>
      </c>
      <c r="H84" s="138">
        <v>38.5</v>
      </c>
      <c r="I84" s="23"/>
      <c r="J84" s="73"/>
      <c r="K84" s="141"/>
      <c r="L84" s="149"/>
    </row>
    <row r="85" spans="2:12" ht="19.5" customHeight="1" x14ac:dyDescent="0.3">
      <c r="B85" s="1099"/>
      <c r="C85" s="70" t="s">
        <v>480</v>
      </c>
      <c r="D85" s="32" t="s">
        <v>165</v>
      </c>
      <c r="E85" s="24" t="s">
        <v>509</v>
      </c>
      <c r="F85" s="24" t="s">
        <v>502</v>
      </c>
      <c r="G85" s="23" t="s">
        <v>593</v>
      </c>
      <c r="H85" s="138">
        <v>113.14285714285714</v>
      </c>
      <c r="I85" s="23"/>
      <c r="J85" s="73"/>
      <c r="K85" s="141"/>
      <c r="L85" s="149"/>
    </row>
    <row r="86" spans="2:12" ht="19.5" customHeight="1" x14ac:dyDescent="0.3">
      <c r="B86" s="1099"/>
      <c r="C86" s="70" t="s">
        <v>480</v>
      </c>
      <c r="D86" s="32" t="s">
        <v>167</v>
      </c>
      <c r="E86" s="24" t="s">
        <v>509</v>
      </c>
      <c r="F86" s="24" t="s">
        <v>502</v>
      </c>
      <c r="G86" s="23" t="s">
        <v>594</v>
      </c>
      <c r="H86" s="138">
        <v>72</v>
      </c>
      <c r="I86" s="23"/>
      <c r="J86" s="73"/>
      <c r="K86" s="141"/>
      <c r="L86" s="149"/>
    </row>
    <row r="87" spans="2:12" ht="19.5" customHeight="1" x14ac:dyDescent="0.3">
      <c r="B87" s="1099"/>
      <c r="C87" s="70" t="s">
        <v>480</v>
      </c>
      <c r="D87" s="32" t="s">
        <v>169</v>
      </c>
      <c r="E87" s="24" t="s">
        <v>509</v>
      </c>
      <c r="F87" s="24" t="s">
        <v>502</v>
      </c>
      <c r="G87" s="23" t="s">
        <v>595</v>
      </c>
      <c r="H87" s="138">
        <v>464.57142857142856</v>
      </c>
      <c r="I87" s="23"/>
      <c r="J87" s="73"/>
      <c r="K87" s="141"/>
      <c r="L87" s="149"/>
    </row>
    <row r="88" spans="2:12" ht="19.5" customHeight="1" x14ac:dyDescent="0.3">
      <c r="B88" s="1099"/>
      <c r="C88" s="70" t="s">
        <v>480</v>
      </c>
      <c r="D88" s="32" t="s">
        <v>171</v>
      </c>
      <c r="E88" s="24" t="s">
        <v>509</v>
      </c>
      <c r="F88" s="24" t="s">
        <v>502</v>
      </c>
      <c r="G88" s="23" t="s">
        <v>596</v>
      </c>
      <c r="H88" s="138">
        <v>279.42857142857144</v>
      </c>
      <c r="I88" s="23"/>
      <c r="J88" s="73"/>
      <c r="K88" s="141"/>
      <c r="L88" s="149"/>
    </row>
    <row r="89" spans="2:12" ht="19.5" customHeight="1" x14ac:dyDescent="0.3">
      <c r="B89" s="1099"/>
      <c r="C89" s="70" t="s">
        <v>480</v>
      </c>
      <c r="D89" s="32" t="s">
        <v>173</v>
      </c>
      <c r="E89" s="24" t="s">
        <v>509</v>
      </c>
      <c r="F89" s="24" t="s">
        <v>502</v>
      </c>
      <c r="G89" s="23" t="s">
        <v>597</v>
      </c>
      <c r="H89" s="138">
        <v>786.85714285714289</v>
      </c>
      <c r="I89" s="23"/>
      <c r="J89" s="73"/>
      <c r="K89" s="141"/>
      <c r="L89" s="149"/>
    </row>
    <row r="90" spans="2:12" ht="19.5" customHeight="1" x14ac:dyDescent="0.3">
      <c r="B90" s="1099"/>
      <c r="C90" s="70" t="s">
        <v>480</v>
      </c>
      <c r="D90" s="32" t="s">
        <v>175</v>
      </c>
      <c r="E90" s="24" t="s">
        <v>509</v>
      </c>
      <c r="F90" s="24" t="s">
        <v>502</v>
      </c>
      <c r="G90" s="23" t="s">
        <v>598</v>
      </c>
      <c r="H90" s="138">
        <v>257.14285714285717</v>
      </c>
      <c r="I90" s="23"/>
      <c r="J90" s="73"/>
      <c r="K90" s="141"/>
      <c r="L90" s="149"/>
    </row>
    <row r="91" spans="2:12" ht="19.5" customHeight="1" x14ac:dyDescent="0.3">
      <c r="B91" s="1099"/>
      <c r="C91" s="70" t="s">
        <v>480</v>
      </c>
      <c r="D91" s="32" t="s">
        <v>177</v>
      </c>
      <c r="E91" s="24" t="s">
        <v>509</v>
      </c>
      <c r="F91" s="24" t="s">
        <v>502</v>
      </c>
      <c r="G91" s="23" t="s">
        <v>599</v>
      </c>
      <c r="H91" s="138">
        <v>714.85714285714289</v>
      </c>
      <c r="I91" s="23"/>
      <c r="J91" s="73"/>
      <c r="K91" s="141"/>
      <c r="L91" s="149"/>
    </row>
    <row r="92" spans="2:12" ht="19.5" customHeight="1" x14ac:dyDescent="0.3">
      <c r="B92" s="1099"/>
      <c r="C92" s="70" t="s">
        <v>480</v>
      </c>
      <c r="D92" s="32" t="s">
        <v>179</v>
      </c>
      <c r="E92" s="24" t="s">
        <v>509</v>
      </c>
      <c r="F92" s="24" t="s">
        <v>502</v>
      </c>
      <c r="G92" s="23" t="s">
        <v>600</v>
      </c>
      <c r="H92" s="138">
        <v>0</v>
      </c>
      <c r="I92" s="23"/>
      <c r="J92" s="73"/>
      <c r="K92" s="141"/>
      <c r="L92" s="149"/>
    </row>
    <row r="93" spans="2:12" ht="19.5" customHeight="1" x14ac:dyDescent="0.3">
      <c r="B93" s="1099"/>
      <c r="C93" s="70" t="s">
        <v>480</v>
      </c>
      <c r="D93" s="32" t="s">
        <v>183</v>
      </c>
      <c r="E93" s="24" t="s">
        <v>509</v>
      </c>
      <c r="F93" s="24" t="s">
        <v>502</v>
      </c>
      <c r="G93" s="23" t="s">
        <v>601</v>
      </c>
      <c r="H93" s="139">
        <v>77.142857142857139</v>
      </c>
      <c r="I93" s="23"/>
      <c r="J93" s="73"/>
      <c r="K93" s="141"/>
      <c r="L93" s="149"/>
    </row>
    <row r="94" spans="2:12" ht="19.5" customHeight="1" x14ac:dyDescent="0.3">
      <c r="B94" s="1099"/>
      <c r="C94" s="70" t="s">
        <v>480</v>
      </c>
      <c r="D94" s="32" t="s">
        <v>185</v>
      </c>
      <c r="E94" s="24" t="s">
        <v>509</v>
      </c>
      <c r="F94" s="24" t="s">
        <v>502</v>
      </c>
      <c r="G94" s="23" t="s">
        <v>602</v>
      </c>
      <c r="H94" s="139">
        <v>84</v>
      </c>
      <c r="I94" s="23"/>
      <c r="J94" s="73"/>
      <c r="K94" s="141"/>
      <c r="L94" s="149"/>
    </row>
    <row r="95" spans="2:12" ht="19.5" customHeight="1" x14ac:dyDescent="0.3">
      <c r="B95" s="1099"/>
      <c r="C95" s="70" t="s">
        <v>480</v>
      </c>
      <c r="D95" s="32" t="s">
        <v>187</v>
      </c>
      <c r="E95" s="24" t="s">
        <v>509</v>
      </c>
      <c r="F95" s="24" t="s">
        <v>502</v>
      </c>
      <c r="G95" s="23" t="s">
        <v>603</v>
      </c>
      <c r="H95" s="139">
        <v>120</v>
      </c>
      <c r="I95" s="23"/>
      <c r="J95" s="73"/>
      <c r="K95" s="141"/>
      <c r="L95" s="149"/>
    </row>
    <row r="96" spans="2:12" ht="19.5" customHeight="1" x14ac:dyDescent="0.3">
      <c r="B96" s="1099"/>
      <c r="C96" s="70" t="s">
        <v>480</v>
      </c>
      <c r="D96" s="32" t="s">
        <v>189</v>
      </c>
      <c r="E96" s="24" t="s">
        <v>509</v>
      </c>
      <c r="F96" s="24" t="s">
        <v>502</v>
      </c>
      <c r="G96" s="23" t="s">
        <v>604</v>
      </c>
      <c r="H96" s="138">
        <v>186.85714285714286</v>
      </c>
      <c r="I96" s="23"/>
      <c r="J96" s="73"/>
      <c r="K96" s="141"/>
      <c r="L96" s="149"/>
    </row>
    <row r="97" spans="2:12" ht="19.5" customHeight="1" x14ac:dyDescent="0.3">
      <c r="B97" s="1099"/>
      <c r="C97" s="70" t="s">
        <v>480</v>
      </c>
      <c r="D97" s="32" t="s">
        <v>191</v>
      </c>
      <c r="E97" s="24" t="s">
        <v>509</v>
      </c>
      <c r="F97" s="24" t="s">
        <v>502</v>
      </c>
      <c r="G97" s="23" t="s">
        <v>605</v>
      </c>
      <c r="H97" s="138">
        <v>456</v>
      </c>
      <c r="I97" s="23"/>
      <c r="J97" s="73"/>
      <c r="K97" s="141"/>
      <c r="L97" s="149"/>
    </row>
    <row r="98" spans="2:12" ht="19.5" customHeight="1" x14ac:dyDescent="0.3">
      <c r="B98" s="1099"/>
      <c r="C98" s="70" t="s">
        <v>480</v>
      </c>
      <c r="D98" s="32" t="s">
        <v>193</v>
      </c>
      <c r="E98" s="24" t="s">
        <v>509</v>
      </c>
      <c r="F98" s="24" t="s">
        <v>502</v>
      </c>
      <c r="G98" s="23" t="s">
        <v>606</v>
      </c>
      <c r="H98" s="138">
        <v>531.42857142857144</v>
      </c>
      <c r="I98" s="23"/>
      <c r="J98" s="73"/>
      <c r="K98" s="141"/>
      <c r="L98" s="149"/>
    </row>
    <row r="99" spans="2:12" ht="19.5" customHeight="1" x14ac:dyDescent="0.3">
      <c r="B99" s="1099"/>
      <c r="C99" s="70" t="s">
        <v>480</v>
      </c>
      <c r="D99" s="32" t="s">
        <v>195</v>
      </c>
      <c r="E99" s="24" t="s">
        <v>509</v>
      </c>
      <c r="F99" s="24" t="s">
        <v>502</v>
      </c>
      <c r="G99" s="23" t="s">
        <v>607</v>
      </c>
      <c r="H99" s="138">
        <v>156</v>
      </c>
      <c r="I99" s="23"/>
      <c r="J99" s="73"/>
      <c r="K99" s="141"/>
      <c r="L99" s="149"/>
    </row>
    <row r="100" spans="2:12" ht="19.5" customHeight="1" x14ac:dyDescent="0.3">
      <c r="B100" s="1099"/>
      <c r="C100" s="70" t="s">
        <v>480</v>
      </c>
      <c r="D100" s="32" t="s">
        <v>197</v>
      </c>
      <c r="E100" s="24" t="s">
        <v>509</v>
      </c>
      <c r="F100" s="24" t="s">
        <v>502</v>
      </c>
      <c r="G100" s="23" t="s">
        <v>608</v>
      </c>
      <c r="H100" s="138">
        <v>64</v>
      </c>
      <c r="I100" s="23"/>
      <c r="J100" s="73"/>
      <c r="K100" s="141"/>
      <c r="L100" s="149"/>
    </row>
    <row r="101" spans="2:12" ht="19.5" customHeight="1" x14ac:dyDescent="0.3">
      <c r="B101" s="1099"/>
      <c r="C101" s="70" t="s">
        <v>480</v>
      </c>
      <c r="D101" s="32" t="s">
        <v>199</v>
      </c>
      <c r="E101" s="24" t="s">
        <v>509</v>
      </c>
      <c r="F101" s="24" t="s">
        <v>502</v>
      </c>
      <c r="G101" s="23" t="s">
        <v>609</v>
      </c>
      <c r="H101" s="138">
        <v>478.28571428571428</v>
      </c>
      <c r="I101" s="23"/>
      <c r="J101" s="73"/>
      <c r="K101" s="141"/>
      <c r="L101" s="149"/>
    </row>
    <row r="102" spans="2:12" ht="19.5" customHeight="1" x14ac:dyDescent="0.3">
      <c r="B102" s="1099"/>
      <c r="C102" s="70" t="s">
        <v>480</v>
      </c>
      <c r="D102" s="32" t="s">
        <v>201</v>
      </c>
      <c r="E102" s="24" t="s">
        <v>509</v>
      </c>
      <c r="F102" s="24" t="s">
        <v>502</v>
      </c>
      <c r="G102" s="23" t="s">
        <v>610</v>
      </c>
      <c r="H102" s="138">
        <v>40</v>
      </c>
      <c r="I102" s="23"/>
      <c r="J102" s="73"/>
      <c r="K102" s="141"/>
      <c r="L102" s="149"/>
    </row>
    <row r="103" spans="2:12" ht="19.5" customHeight="1" x14ac:dyDescent="0.3">
      <c r="B103" s="1099"/>
      <c r="C103" s="70" t="s">
        <v>480</v>
      </c>
      <c r="D103" s="32" t="s">
        <v>203</v>
      </c>
      <c r="E103" s="24" t="s">
        <v>509</v>
      </c>
      <c r="F103" s="24" t="s">
        <v>502</v>
      </c>
      <c r="G103" s="23" t="s">
        <v>611</v>
      </c>
      <c r="H103" s="138">
        <v>96</v>
      </c>
      <c r="I103" s="23"/>
      <c r="J103" s="73"/>
      <c r="K103" s="141"/>
      <c r="L103" s="149"/>
    </row>
    <row r="104" spans="2:12" ht="19.5" customHeight="1" x14ac:dyDescent="0.3">
      <c r="B104" s="1099"/>
      <c r="C104" s="70" t="s">
        <v>480</v>
      </c>
      <c r="D104" s="79" t="s">
        <v>404</v>
      </c>
      <c r="E104" s="24" t="s">
        <v>509</v>
      </c>
      <c r="F104" s="24" t="s">
        <v>502</v>
      </c>
      <c r="G104" s="23" t="s">
        <v>612</v>
      </c>
      <c r="H104" s="138">
        <v>42</v>
      </c>
      <c r="I104" s="23"/>
      <c r="J104" s="73"/>
      <c r="K104" s="141"/>
      <c r="L104" s="149"/>
    </row>
    <row r="105" spans="2:12" ht="19.5" customHeight="1" x14ac:dyDescent="0.3">
      <c r="B105" s="1099"/>
      <c r="C105" s="70" t="s">
        <v>480</v>
      </c>
      <c r="D105" s="32" t="s">
        <v>405</v>
      </c>
      <c r="E105" s="24" t="s">
        <v>509</v>
      </c>
      <c r="F105" s="24" t="s">
        <v>502</v>
      </c>
      <c r="G105" s="23" t="s">
        <v>613</v>
      </c>
      <c r="H105" s="138">
        <v>110.4</v>
      </c>
      <c r="I105" s="23"/>
      <c r="J105" s="73"/>
      <c r="K105" s="141"/>
      <c r="L105" s="149"/>
    </row>
    <row r="106" spans="2:12" ht="19.5" customHeight="1" x14ac:dyDescent="0.3">
      <c r="B106" s="1099"/>
      <c r="C106" s="70" t="s">
        <v>480</v>
      </c>
      <c r="D106" s="32" t="s">
        <v>205</v>
      </c>
      <c r="E106" s="24" t="s">
        <v>509</v>
      </c>
      <c r="F106" s="24" t="s">
        <v>502</v>
      </c>
      <c r="G106" s="23" t="s">
        <v>614</v>
      </c>
      <c r="H106" s="138">
        <v>209.14285714285714</v>
      </c>
      <c r="I106" s="23"/>
      <c r="J106" s="73"/>
      <c r="K106" s="141"/>
      <c r="L106" s="149"/>
    </row>
    <row r="107" spans="2:12" ht="19.5" customHeight="1" x14ac:dyDescent="0.3">
      <c r="B107" s="1099"/>
      <c r="C107" s="70" t="s">
        <v>480</v>
      </c>
      <c r="D107" s="32" t="s">
        <v>207</v>
      </c>
      <c r="E107" s="24" t="s">
        <v>509</v>
      </c>
      <c r="F107" s="24" t="s">
        <v>502</v>
      </c>
      <c r="G107" s="23" t="s">
        <v>615</v>
      </c>
      <c r="H107" s="138">
        <v>233.14285714285714</v>
      </c>
      <c r="I107" s="23"/>
      <c r="J107" s="73"/>
      <c r="K107" s="141"/>
      <c r="L107" s="149"/>
    </row>
    <row r="108" spans="2:12" ht="19.5" customHeight="1" x14ac:dyDescent="0.3">
      <c r="B108" s="1099"/>
      <c r="C108" s="70" t="s">
        <v>480</v>
      </c>
      <c r="D108" s="32" t="s">
        <v>209</v>
      </c>
      <c r="E108" s="24" t="s">
        <v>509</v>
      </c>
      <c r="F108" s="24" t="s">
        <v>502</v>
      </c>
      <c r="G108" s="23" t="s">
        <v>616</v>
      </c>
      <c r="H108" s="138">
        <v>493.71428571428572</v>
      </c>
      <c r="I108" s="23"/>
      <c r="J108" s="73"/>
      <c r="K108" s="141"/>
      <c r="L108" s="149"/>
    </row>
    <row r="109" spans="2:12" ht="19.5" customHeight="1" x14ac:dyDescent="0.3">
      <c r="B109" s="1099"/>
      <c r="C109" s="70" t="s">
        <v>480</v>
      </c>
      <c r="D109" s="32" t="s">
        <v>211</v>
      </c>
      <c r="E109" s="24" t="s">
        <v>509</v>
      </c>
      <c r="F109" s="24" t="s">
        <v>502</v>
      </c>
      <c r="G109" s="23" t="s">
        <v>617</v>
      </c>
      <c r="H109" s="138">
        <v>482.28571428571428</v>
      </c>
      <c r="I109" s="23"/>
      <c r="J109" s="73"/>
      <c r="K109" s="141"/>
      <c r="L109" s="149"/>
    </row>
    <row r="110" spans="2:12" ht="19.5" customHeight="1" x14ac:dyDescent="0.3">
      <c r="B110" s="1099"/>
      <c r="C110" s="70" t="s">
        <v>480</v>
      </c>
      <c r="D110" s="32" t="s">
        <v>213</v>
      </c>
      <c r="E110" s="24" t="s">
        <v>509</v>
      </c>
      <c r="F110" s="24" t="s">
        <v>502</v>
      </c>
      <c r="G110" s="23" t="s">
        <v>617</v>
      </c>
      <c r="H110" s="138">
        <v>0</v>
      </c>
      <c r="I110" s="23"/>
      <c r="J110" s="73"/>
      <c r="K110" s="141"/>
      <c r="L110" s="149"/>
    </row>
    <row r="111" spans="2:12" ht="19.5" customHeight="1" x14ac:dyDescent="0.3">
      <c r="B111" s="1099"/>
      <c r="C111" s="70" t="s">
        <v>480</v>
      </c>
      <c r="D111" s="32" t="s">
        <v>214</v>
      </c>
      <c r="E111" s="24" t="s">
        <v>509</v>
      </c>
      <c r="F111" s="24" t="s">
        <v>502</v>
      </c>
      <c r="G111" s="23" t="s">
        <v>618</v>
      </c>
      <c r="H111" s="138">
        <v>473.14285714285717</v>
      </c>
      <c r="I111" s="23"/>
      <c r="J111" s="73"/>
      <c r="K111" s="141"/>
      <c r="L111" s="149"/>
    </row>
    <row r="112" spans="2:12" ht="19.5" customHeight="1" x14ac:dyDescent="0.3">
      <c r="B112" s="1099"/>
      <c r="C112" s="70" t="s">
        <v>480</v>
      </c>
      <c r="D112" s="32" t="s">
        <v>216</v>
      </c>
      <c r="E112" s="24" t="s">
        <v>509</v>
      </c>
      <c r="F112" s="24" t="s">
        <v>502</v>
      </c>
      <c r="G112" s="23" t="s">
        <v>619</v>
      </c>
      <c r="H112" s="138">
        <v>85.714285714285708</v>
      </c>
      <c r="I112" s="23"/>
      <c r="J112" s="73"/>
      <c r="K112" s="141"/>
      <c r="L112" s="149"/>
    </row>
    <row r="113" spans="2:13" ht="19.5" customHeight="1" x14ac:dyDescent="0.3">
      <c r="B113" s="1099"/>
      <c r="C113" s="70" t="s">
        <v>480</v>
      </c>
      <c r="D113" s="32" t="s">
        <v>218</v>
      </c>
      <c r="E113" s="24" t="s">
        <v>509</v>
      </c>
      <c r="F113" s="24" t="s">
        <v>502</v>
      </c>
      <c r="G113" s="23" t="s">
        <v>620</v>
      </c>
      <c r="H113" s="139">
        <v>145.71428571428572</v>
      </c>
      <c r="I113" s="23"/>
      <c r="J113" s="73"/>
      <c r="K113" s="141"/>
      <c r="L113" s="149"/>
    </row>
    <row r="114" spans="2:13" ht="19.5" customHeight="1" x14ac:dyDescent="0.3">
      <c r="B114" s="1099"/>
      <c r="C114" s="70" t="s">
        <v>480</v>
      </c>
      <c r="D114" s="32" t="s">
        <v>220</v>
      </c>
      <c r="E114" s="24" t="s">
        <v>509</v>
      </c>
      <c r="F114" s="24" t="s">
        <v>502</v>
      </c>
      <c r="G114" s="23" t="s">
        <v>621</v>
      </c>
      <c r="H114" s="138">
        <v>72</v>
      </c>
      <c r="I114" s="23"/>
      <c r="J114" s="73"/>
      <c r="K114" s="141"/>
      <c r="L114" s="149"/>
    </row>
    <row r="115" spans="2:13" ht="19.5" customHeight="1" x14ac:dyDescent="0.3">
      <c r="B115" s="1099"/>
      <c r="C115" s="70" t="s">
        <v>480</v>
      </c>
      <c r="D115" s="32" t="s">
        <v>222</v>
      </c>
      <c r="E115" s="24" t="s">
        <v>509</v>
      </c>
      <c r="F115" s="24" t="s">
        <v>502</v>
      </c>
      <c r="G115" s="23" t="s">
        <v>622</v>
      </c>
      <c r="H115" s="138">
        <v>855.42857142857144</v>
      </c>
      <c r="I115" s="23"/>
      <c r="J115" s="73"/>
      <c r="K115" s="141"/>
      <c r="L115" s="149"/>
    </row>
    <row r="116" spans="2:13" ht="19.5" customHeight="1" x14ac:dyDescent="0.3">
      <c r="B116" s="1099"/>
      <c r="C116" s="70" t="s">
        <v>480</v>
      </c>
      <c r="D116" s="78" t="s">
        <v>419</v>
      </c>
      <c r="E116" s="24" t="s">
        <v>509</v>
      </c>
      <c r="F116" s="24" t="s">
        <v>502</v>
      </c>
      <c r="G116" s="23" t="s">
        <v>623</v>
      </c>
      <c r="H116" s="138">
        <v>317.14285714285717</v>
      </c>
      <c r="I116" s="23"/>
      <c r="J116" s="73"/>
      <c r="K116" s="141"/>
      <c r="L116" s="149"/>
    </row>
    <row r="117" spans="2:13" ht="19.5" customHeight="1" x14ac:dyDescent="0.3">
      <c r="B117" s="1099"/>
      <c r="C117" s="70" t="s">
        <v>480</v>
      </c>
      <c r="D117" s="32" t="s">
        <v>224</v>
      </c>
      <c r="E117" s="24" t="s">
        <v>509</v>
      </c>
      <c r="F117" s="24" t="s">
        <v>502</v>
      </c>
      <c r="G117" s="23" t="s">
        <v>583</v>
      </c>
      <c r="H117" s="138">
        <v>169.71428571428572</v>
      </c>
      <c r="I117" s="23"/>
      <c r="J117" s="73"/>
      <c r="K117" s="141"/>
      <c r="L117" s="149"/>
    </row>
    <row r="118" spans="2:13" ht="19.5" customHeight="1" x14ac:dyDescent="0.3">
      <c r="B118" s="1099"/>
      <c r="C118" s="70" t="s">
        <v>480</v>
      </c>
      <c r="D118" s="32" t="s">
        <v>225</v>
      </c>
      <c r="E118" s="24" t="s">
        <v>509</v>
      </c>
      <c r="F118" s="24" t="s">
        <v>502</v>
      </c>
      <c r="G118" s="23" t="s">
        <v>624</v>
      </c>
      <c r="H118" s="138">
        <v>248.57142857142858</v>
      </c>
      <c r="I118" s="23"/>
      <c r="J118" s="73"/>
      <c r="K118" s="141"/>
      <c r="L118" s="149"/>
    </row>
    <row r="119" spans="2:13" ht="19.5" customHeight="1" x14ac:dyDescent="0.3">
      <c r="B119" s="1099"/>
      <c r="C119" s="70" t="s">
        <v>480</v>
      </c>
      <c r="D119" s="32" t="s">
        <v>443</v>
      </c>
      <c r="E119" s="24" t="s">
        <v>509</v>
      </c>
      <c r="F119" s="24" t="s">
        <v>502</v>
      </c>
      <c r="G119" s="23" t="s">
        <v>625</v>
      </c>
      <c r="H119" s="138">
        <v>0</v>
      </c>
      <c r="I119" s="23"/>
      <c r="J119" s="73"/>
      <c r="K119" s="141"/>
      <c r="L119" s="149"/>
    </row>
    <row r="120" spans="2:13" ht="19.5" customHeight="1" x14ac:dyDescent="0.3">
      <c r="B120" s="1099"/>
      <c r="C120" s="70" t="s">
        <v>480</v>
      </c>
      <c r="D120" s="32"/>
      <c r="E120" s="24" t="s">
        <v>509</v>
      </c>
      <c r="F120" s="24" t="s">
        <v>502</v>
      </c>
      <c r="G120" s="23" t="s">
        <v>527</v>
      </c>
      <c r="H120" s="146">
        <f>SUM(H73:H119)</f>
        <v>11385.757142857143</v>
      </c>
      <c r="I120" s="23">
        <f t="shared" ref="I120:I152" si="6">+J120*2</f>
        <v>22771.514285714286</v>
      </c>
      <c r="J120" s="73">
        <f t="shared" ref="J120:J152" si="7">+H120</f>
        <v>11385.757142857143</v>
      </c>
      <c r="K120" s="141"/>
      <c r="L120" s="149"/>
    </row>
    <row r="121" spans="2:13" ht="19.5" customHeight="1" x14ac:dyDescent="0.3">
      <c r="B121" s="1099"/>
      <c r="C121" s="70" t="s">
        <v>493</v>
      </c>
      <c r="D121" s="79" t="s">
        <v>437</v>
      </c>
      <c r="E121" s="23" t="s">
        <v>509</v>
      </c>
      <c r="F121" s="23" t="s">
        <v>497</v>
      </c>
      <c r="G121" s="23" t="s">
        <v>626</v>
      </c>
      <c r="H121" s="139">
        <f>76+198</f>
        <v>274</v>
      </c>
      <c r="I121" s="23">
        <f t="shared" si="6"/>
        <v>548</v>
      </c>
      <c r="J121" s="73">
        <f t="shared" si="7"/>
        <v>274</v>
      </c>
      <c r="K121" s="141"/>
      <c r="L121" s="149"/>
    </row>
    <row r="122" spans="2:13" ht="19.5" customHeight="1" x14ac:dyDescent="0.3">
      <c r="B122" s="1099"/>
      <c r="C122" s="70" t="s">
        <v>493</v>
      </c>
      <c r="D122" s="78" t="s">
        <v>432</v>
      </c>
      <c r="E122" s="23" t="s">
        <v>509</v>
      </c>
      <c r="F122" s="23" t="s">
        <v>500</v>
      </c>
      <c r="G122" s="23" t="s">
        <v>627</v>
      </c>
      <c r="H122" s="139">
        <v>165.14285714285714</v>
      </c>
      <c r="I122" s="142">
        <f t="shared" si="6"/>
        <v>330.28571428571428</v>
      </c>
      <c r="J122" s="73">
        <f t="shared" si="7"/>
        <v>165.14285714285714</v>
      </c>
      <c r="K122" s="141"/>
      <c r="L122" s="149"/>
    </row>
    <row r="123" spans="2:13" ht="19.5" customHeight="1" x14ac:dyDescent="0.3">
      <c r="B123" s="1099"/>
      <c r="C123" s="70" t="s">
        <v>493</v>
      </c>
      <c r="D123" s="78" t="s">
        <v>388</v>
      </c>
      <c r="E123" s="23" t="s">
        <v>509</v>
      </c>
      <c r="F123" s="23" t="s">
        <v>495</v>
      </c>
      <c r="G123" s="23" t="s">
        <v>628</v>
      </c>
      <c r="H123" s="139">
        <v>390.85714285714283</v>
      </c>
      <c r="I123" s="142">
        <f t="shared" si="6"/>
        <v>781.71428571428567</v>
      </c>
      <c r="J123" s="73">
        <f t="shared" si="7"/>
        <v>390.85714285714283</v>
      </c>
      <c r="K123" s="141"/>
      <c r="L123" s="149"/>
    </row>
    <row r="124" spans="2:13" ht="19.5" customHeight="1" x14ac:dyDescent="0.3">
      <c r="B124" s="1099"/>
      <c r="C124" s="70" t="s">
        <v>493</v>
      </c>
      <c r="D124" s="32" t="s">
        <v>153</v>
      </c>
      <c r="E124" s="24" t="s">
        <v>509</v>
      </c>
      <c r="F124" s="24" t="s">
        <v>501</v>
      </c>
      <c r="G124" s="23" t="s">
        <v>629</v>
      </c>
      <c r="H124" s="138">
        <v>562.28571428571433</v>
      </c>
      <c r="I124" s="142">
        <f t="shared" si="6"/>
        <v>1124.5714285714287</v>
      </c>
      <c r="J124" s="73">
        <f t="shared" si="7"/>
        <v>562.28571428571433</v>
      </c>
      <c r="K124" s="141"/>
      <c r="L124" s="149"/>
    </row>
    <row r="125" spans="2:13" ht="19.5" customHeight="1" x14ac:dyDescent="0.3">
      <c r="B125" s="1099"/>
      <c r="C125" s="70" t="s">
        <v>493</v>
      </c>
      <c r="D125" s="32" t="s">
        <v>181</v>
      </c>
      <c r="E125" s="24" t="s">
        <v>509</v>
      </c>
      <c r="F125" s="24" t="s">
        <v>501</v>
      </c>
      <c r="G125" s="23" t="s">
        <v>630</v>
      </c>
      <c r="H125" s="138">
        <v>1524</v>
      </c>
      <c r="I125" s="23">
        <f t="shared" si="6"/>
        <v>3048</v>
      </c>
      <c r="J125" s="73">
        <f t="shared" si="7"/>
        <v>1524</v>
      </c>
      <c r="K125" s="141"/>
      <c r="L125" s="149"/>
    </row>
    <row r="126" spans="2:13" ht="19.5" customHeight="1" x14ac:dyDescent="0.35">
      <c r="B126" s="1099"/>
      <c r="C126" s="165" t="s">
        <v>468</v>
      </c>
      <c r="D126" s="166" t="s">
        <v>61</v>
      </c>
      <c r="E126" s="167" t="s">
        <v>509</v>
      </c>
      <c r="F126" s="167" t="s">
        <v>705</v>
      </c>
      <c r="G126" s="167" t="s">
        <v>695</v>
      </c>
      <c r="H126" s="139">
        <f>30089.1428571429+999</f>
        <v>31088.142857142899</v>
      </c>
      <c r="I126" s="167">
        <f t="shared" si="6"/>
        <v>62176.285714285797</v>
      </c>
      <c r="J126" s="168">
        <f t="shared" si="7"/>
        <v>31088.142857142899</v>
      </c>
      <c r="K126" s="177"/>
      <c r="L126" s="175"/>
      <c r="M126" s="179"/>
    </row>
    <row r="127" spans="2:13" ht="19.5" customHeight="1" x14ac:dyDescent="0.35">
      <c r="B127" s="1099"/>
      <c r="C127" s="165" t="s">
        <v>467</v>
      </c>
      <c r="D127" s="166" t="s">
        <v>79</v>
      </c>
      <c r="E127" s="167" t="s">
        <v>509</v>
      </c>
      <c r="F127" s="167" t="s">
        <v>705</v>
      </c>
      <c r="G127" s="167" t="s">
        <v>696</v>
      </c>
      <c r="H127" s="139">
        <v>1808.5714285714287</v>
      </c>
      <c r="I127" s="170">
        <f t="shared" si="6"/>
        <v>3617.1428571428573</v>
      </c>
      <c r="J127" s="168">
        <f t="shared" si="7"/>
        <v>1808.5714285714287</v>
      </c>
      <c r="K127" s="177"/>
      <c r="L127" s="175"/>
      <c r="M127" s="179"/>
    </row>
    <row r="128" spans="2:13" ht="19.5" customHeight="1" x14ac:dyDescent="0.35">
      <c r="B128" s="1099"/>
      <c r="C128" s="165" t="s">
        <v>467</v>
      </c>
      <c r="D128" s="166" t="s">
        <v>81</v>
      </c>
      <c r="E128" s="167" t="s">
        <v>509</v>
      </c>
      <c r="F128" s="167" t="s">
        <v>705</v>
      </c>
      <c r="G128" s="167" t="s">
        <v>697</v>
      </c>
      <c r="H128" s="139">
        <f>2022.85714285714+162</f>
        <v>2184.8571428571399</v>
      </c>
      <c r="I128" s="170">
        <f t="shared" si="6"/>
        <v>4369.7142857142799</v>
      </c>
      <c r="J128" s="168">
        <f t="shared" si="7"/>
        <v>2184.8571428571399</v>
      </c>
      <c r="K128" s="177"/>
      <c r="L128" s="175"/>
      <c r="M128" s="179"/>
    </row>
    <row r="129" spans="2:13" ht="19.5" customHeight="1" x14ac:dyDescent="0.35">
      <c r="B129" s="1099"/>
      <c r="C129" s="165" t="s">
        <v>467</v>
      </c>
      <c r="D129" s="166" t="s">
        <v>93</v>
      </c>
      <c r="E129" s="167" t="s">
        <v>509</v>
      </c>
      <c r="F129" s="167" t="s">
        <v>705</v>
      </c>
      <c r="G129" s="167" t="s">
        <v>698</v>
      </c>
      <c r="H129" s="139">
        <v>2994.8571428571427</v>
      </c>
      <c r="I129" s="170">
        <f t="shared" si="6"/>
        <v>5989.7142857142853</v>
      </c>
      <c r="J129" s="168">
        <f t="shared" si="7"/>
        <v>2994.8571428571427</v>
      </c>
      <c r="K129" s="177"/>
      <c r="L129" s="175"/>
      <c r="M129" s="179"/>
    </row>
    <row r="130" spans="2:13" ht="19.5" customHeight="1" x14ac:dyDescent="0.3">
      <c r="B130" s="1099"/>
      <c r="C130" s="70" t="s">
        <v>467</v>
      </c>
      <c r="D130" s="32" t="s">
        <v>95</v>
      </c>
      <c r="E130" s="23" t="s">
        <v>509</v>
      </c>
      <c r="F130" s="23" t="s">
        <v>495</v>
      </c>
      <c r="G130" s="23" t="s">
        <v>631</v>
      </c>
      <c r="H130" s="139">
        <v>912</v>
      </c>
      <c r="I130" s="23">
        <f t="shared" si="6"/>
        <v>1824</v>
      </c>
      <c r="J130" s="73">
        <f t="shared" si="7"/>
        <v>912</v>
      </c>
      <c r="K130" s="141"/>
      <c r="L130" s="149"/>
    </row>
    <row r="131" spans="2:13" ht="19.5" customHeight="1" x14ac:dyDescent="0.3">
      <c r="B131" s="1099"/>
      <c r="C131" s="70" t="s">
        <v>471</v>
      </c>
      <c r="D131" s="32" t="s">
        <v>119</v>
      </c>
      <c r="E131" s="23" t="s">
        <v>509</v>
      </c>
      <c r="F131" s="23" t="s">
        <v>495</v>
      </c>
      <c r="G131" s="23" t="s">
        <v>632</v>
      </c>
      <c r="H131" s="139">
        <v>1486.8571428571429</v>
      </c>
      <c r="I131" s="142">
        <f t="shared" si="6"/>
        <v>2973.7142857142858</v>
      </c>
      <c r="J131" s="73">
        <f t="shared" si="7"/>
        <v>1486.8571428571429</v>
      </c>
      <c r="K131" s="141"/>
      <c r="L131" s="149"/>
    </row>
    <row r="132" spans="2:13" ht="19.5" customHeight="1" x14ac:dyDescent="0.35">
      <c r="B132" s="1099"/>
      <c r="C132" s="165" t="s">
        <v>471</v>
      </c>
      <c r="D132" s="166" t="s">
        <v>117</v>
      </c>
      <c r="E132" s="167" t="s">
        <v>509</v>
      </c>
      <c r="F132" s="167" t="s">
        <v>705</v>
      </c>
      <c r="G132" s="167" t="s">
        <v>633</v>
      </c>
      <c r="H132" s="139">
        <v>373.71428571428572</v>
      </c>
      <c r="I132" s="170">
        <f t="shared" si="6"/>
        <v>747.42857142857144</v>
      </c>
      <c r="J132" s="168">
        <f t="shared" si="7"/>
        <v>373.71428571428572</v>
      </c>
      <c r="K132" s="177"/>
      <c r="L132" s="175"/>
      <c r="M132" s="179"/>
    </row>
    <row r="133" spans="2:13" ht="19.5" customHeight="1" x14ac:dyDescent="0.3">
      <c r="B133" s="1099"/>
      <c r="C133" s="70" t="s">
        <v>471</v>
      </c>
      <c r="D133" s="32" t="s">
        <v>121</v>
      </c>
      <c r="E133" s="23" t="s">
        <v>509</v>
      </c>
      <c r="F133" s="23" t="s">
        <v>495</v>
      </c>
      <c r="G133" s="23" t="s">
        <v>634</v>
      </c>
      <c r="H133" s="139">
        <v>409.71428571428572</v>
      </c>
      <c r="I133" s="142">
        <f t="shared" si="6"/>
        <v>819.42857142857144</v>
      </c>
      <c r="J133" s="73">
        <f t="shared" si="7"/>
        <v>409.71428571428572</v>
      </c>
      <c r="K133" s="141"/>
      <c r="L133" s="149"/>
    </row>
    <row r="134" spans="2:13" ht="19.5" customHeight="1" x14ac:dyDescent="0.3">
      <c r="B134" s="1099"/>
      <c r="C134" s="70" t="s">
        <v>471</v>
      </c>
      <c r="D134" s="32" t="s">
        <v>123</v>
      </c>
      <c r="E134" s="23" t="s">
        <v>509</v>
      </c>
      <c r="F134" s="23" t="s">
        <v>495</v>
      </c>
      <c r="G134" s="23" t="s">
        <v>635</v>
      </c>
      <c r="H134" s="139">
        <v>524.57142857142856</v>
      </c>
      <c r="I134" s="142">
        <f t="shared" si="6"/>
        <v>1049.1428571428571</v>
      </c>
      <c r="J134" s="73">
        <f t="shared" si="7"/>
        <v>524.57142857142856</v>
      </c>
      <c r="K134" s="141"/>
      <c r="L134" s="149"/>
    </row>
    <row r="135" spans="2:13" ht="19.5" customHeight="1" x14ac:dyDescent="0.35">
      <c r="B135" s="1099"/>
      <c r="C135" s="165" t="s">
        <v>489</v>
      </c>
      <c r="D135" s="166" t="s">
        <v>127</v>
      </c>
      <c r="E135" s="167" t="s">
        <v>509</v>
      </c>
      <c r="F135" s="167" t="s">
        <v>705</v>
      </c>
      <c r="G135" s="167" t="s">
        <v>701</v>
      </c>
      <c r="H135" s="139">
        <v>1217.1428571428571</v>
      </c>
      <c r="I135" s="170">
        <f t="shared" si="6"/>
        <v>2434.2857142857142</v>
      </c>
      <c r="J135" s="168">
        <f t="shared" si="7"/>
        <v>1217.1428571428571</v>
      </c>
      <c r="K135" s="169"/>
      <c r="L135" s="157"/>
    </row>
    <row r="136" spans="2:13" ht="19.5" customHeight="1" x14ac:dyDescent="0.35">
      <c r="B136" s="1099"/>
      <c r="C136" s="165" t="s">
        <v>489</v>
      </c>
      <c r="D136" s="166" t="s">
        <v>129</v>
      </c>
      <c r="E136" s="167" t="s">
        <v>509</v>
      </c>
      <c r="F136" s="167" t="s">
        <v>705</v>
      </c>
      <c r="G136" s="167" t="s">
        <v>700</v>
      </c>
      <c r="H136" s="139">
        <v>293.14285714285717</v>
      </c>
      <c r="I136" s="170">
        <f t="shared" si="6"/>
        <v>586.28571428571433</v>
      </c>
      <c r="J136" s="168">
        <f t="shared" si="7"/>
        <v>293.14285714285717</v>
      </c>
      <c r="K136" s="169"/>
      <c r="L136" s="157"/>
    </row>
    <row r="137" spans="2:13" ht="19.5" customHeight="1" x14ac:dyDescent="0.35">
      <c r="B137" s="1099"/>
      <c r="C137" s="165" t="s">
        <v>489</v>
      </c>
      <c r="D137" s="166" t="s">
        <v>133</v>
      </c>
      <c r="E137" s="167" t="s">
        <v>509</v>
      </c>
      <c r="F137" s="167" t="s">
        <v>705</v>
      </c>
      <c r="G137" s="167" t="s">
        <v>699</v>
      </c>
      <c r="H137" s="139">
        <v>1393.7142857142858</v>
      </c>
      <c r="I137" s="170">
        <f t="shared" si="6"/>
        <v>2787.4285714285716</v>
      </c>
      <c r="J137" s="168">
        <f t="shared" si="7"/>
        <v>1393.7142857142858</v>
      </c>
      <c r="K137" s="169"/>
      <c r="L137" s="157"/>
    </row>
    <row r="138" spans="2:13" ht="19.5" customHeight="1" x14ac:dyDescent="0.3">
      <c r="B138" s="1099"/>
      <c r="C138" s="70" t="s">
        <v>482</v>
      </c>
      <c r="D138" s="32" t="s">
        <v>59</v>
      </c>
      <c r="E138" s="23" t="s">
        <v>509</v>
      </c>
      <c r="F138" s="23" t="s">
        <v>495</v>
      </c>
      <c r="G138" s="23" t="s">
        <v>636</v>
      </c>
      <c r="H138" s="139">
        <v>6783.333333333333</v>
      </c>
      <c r="I138" s="23">
        <f t="shared" si="6"/>
        <v>13566.666666666666</v>
      </c>
      <c r="J138" s="73">
        <f t="shared" si="7"/>
        <v>6783.333333333333</v>
      </c>
      <c r="K138" s="141"/>
      <c r="L138" s="149"/>
    </row>
    <row r="139" spans="2:13" ht="19.5" customHeight="1" x14ac:dyDescent="0.3">
      <c r="B139" s="1099"/>
      <c r="C139" s="70" t="s">
        <v>482</v>
      </c>
      <c r="D139" s="32" t="s">
        <v>135</v>
      </c>
      <c r="E139" s="23" t="s">
        <v>509</v>
      </c>
      <c r="F139" s="23" t="s">
        <v>495</v>
      </c>
      <c r="G139" s="23" t="s">
        <v>637</v>
      </c>
      <c r="H139" s="139">
        <f>3519.42857142857+608</f>
        <v>4127.4285714285706</v>
      </c>
      <c r="I139" s="142">
        <f t="shared" si="6"/>
        <v>8254.8571428571413</v>
      </c>
      <c r="J139" s="73">
        <f t="shared" si="7"/>
        <v>4127.4285714285706</v>
      </c>
      <c r="K139" s="141"/>
      <c r="L139" s="149"/>
    </row>
    <row r="140" spans="2:13" ht="19.5" customHeight="1" x14ac:dyDescent="0.3">
      <c r="B140" s="1099"/>
      <c r="C140" s="70" t="s">
        <v>461</v>
      </c>
      <c r="D140" s="32" t="s">
        <v>75</v>
      </c>
      <c r="E140" s="23" t="s">
        <v>509</v>
      </c>
      <c r="F140" s="23" t="s">
        <v>495</v>
      </c>
      <c r="G140" s="23" t="s">
        <v>638</v>
      </c>
      <c r="H140" s="139">
        <v>185.14285714285714</v>
      </c>
      <c r="I140" s="142">
        <f t="shared" si="6"/>
        <v>370.28571428571428</v>
      </c>
      <c r="J140" s="73">
        <f t="shared" si="7"/>
        <v>185.14285714285714</v>
      </c>
      <c r="K140" s="141"/>
      <c r="L140" s="149"/>
    </row>
    <row r="141" spans="2:13" ht="19.5" customHeight="1" x14ac:dyDescent="0.3">
      <c r="B141" s="1099"/>
      <c r="C141" s="70" t="s">
        <v>461</v>
      </c>
      <c r="D141" s="32" t="s">
        <v>77</v>
      </c>
      <c r="E141" s="23" t="s">
        <v>509</v>
      </c>
      <c r="F141" s="23" t="s">
        <v>495</v>
      </c>
      <c r="G141" s="23" t="s">
        <v>639</v>
      </c>
      <c r="H141" s="139">
        <v>2977.7142857142858</v>
      </c>
      <c r="I141" s="142">
        <f t="shared" si="6"/>
        <v>5955.4285714285716</v>
      </c>
      <c r="J141" s="73">
        <f t="shared" si="7"/>
        <v>2977.7142857142858</v>
      </c>
      <c r="K141" s="141"/>
      <c r="L141" s="149"/>
    </row>
    <row r="142" spans="2:13" ht="19.5" customHeight="1" x14ac:dyDescent="0.3">
      <c r="B142" s="1099"/>
      <c r="C142" s="70" t="s">
        <v>461</v>
      </c>
      <c r="D142" s="78" t="s">
        <v>429</v>
      </c>
      <c r="E142" s="23" t="s">
        <v>509</v>
      </c>
      <c r="F142" s="23" t="s">
        <v>495</v>
      </c>
      <c r="G142" s="23" t="s">
        <v>640</v>
      </c>
      <c r="H142" s="139">
        <v>106.28571428571429</v>
      </c>
      <c r="I142" s="142">
        <f t="shared" si="6"/>
        <v>212.57142857142858</v>
      </c>
      <c r="J142" s="73">
        <f t="shared" si="7"/>
        <v>106.28571428571429</v>
      </c>
      <c r="K142" s="141"/>
      <c r="L142" s="149"/>
    </row>
    <row r="143" spans="2:13" ht="19.5" customHeight="1" x14ac:dyDescent="0.3">
      <c r="B143" s="1099"/>
      <c r="C143" s="70" t="s">
        <v>472</v>
      </c>
      <c r="D143" s="32" t="s">
        <v>111</v>
      </c>
      <c r="E143" s="23" t="s">
        <v>509</v>
      </c>
      <c r="F143" s="23" t="s">
        <v>495</v>
      </c>
      <c r="G143" s="23" t="s">
        <v>641</v>
      </c>
      <c r="H143" s="139">
        <v>305.14285714285717</v>
      </c>
      <c r="I143" s="142">
        <f t="shared" si="6"/>
        <v>610.28571428571433</v>
      </c>
      <c r="J143" s="73">
        <f t="shared" si="7"/>
        <v>305.14285714285717</v>
      </c>
      <c r="K143" s="141"/>
      <c r="L143" s="149"/>
    </row>
    <row r="144" spans="2:13" ht="19.5" customHeight="1" x14ac:dyDescent="0.35">
      <c r="B144" s="1099"/>
      <c r="C144" s="165" t="s">
        <v>472</v>
      </c>
      <c r="D144" s="166" t="s">
        <v>113</v>
      </c>
      <c r="E144" s="167" t="s">
        <v>509</v>
      </c>
      <c r="F144" s="167" t="s">
        <v>705</v>
      </c>
      <c r="G144" s="167" t="s">
        <v>642</v>
      </c>
      <c r="H144" s="139">
        <v>678.85714285714289</v>
      </c>
      <c r="I144" s="170">
        <f t="shared" si="6"/>
        <v>1357.7142857142858</v>
      </c>
      <c r="J144" s="168">
        <f t="shared" si="7"/>
        <v>678.85714285714289</v>
      </c>
      <c r="K144" s="177"/>
      <c r="L144" s="175"/>
      <c r="M144" s="179"/>
    </row>
    <row r="145" spans="2:16" ht="19.5" customHeight="1" x14ac:dyDescent="0.35">
      <c r="B145" s="1099"/>
      <c r="C145" s="165" t="s">
        <v>472</v>
      </c>
      <c r="D145" s="166" t="s">
        <v>115</v>
      </c>
      <c r="E145" s="167" t="s">
        <v>509</v>
      </c>
      <c r="F145" s="167" t="s">
        <v>705</v>
      </c>
      <c r="G145" s="167" t="s">
        <v>643</v>
      </c>
      <c r="H145" s="139">
        <v>474.85714285714283</v>
      </c>
      <c r="I145" s="170">
        <f t="shared" si="6"/>
        <v>949.71428571428567</v>
      </c>
      <c r="J145" s="168">
        <f t="shared" si="7"/>
        <v>474.85714285714283</v>
      </c>
      <c r="K145" s="177"/>
      <c r="L145" s="175"/>
      <c r="M145" s="179"/>
    </row>
    <row r="146" spans="2:16" ht="19.5" customHeight="1" x14ac:dyDescent="0.3">
      <c r="B146" s="1099"/>
      <c r="C146" s="70" t="s">
        <v>472</v>
      </c>
      <c r="D146" s="32" t="s">
        <v>109</v>
      </c>
      <c r="E146" s="23" t="s">
        <v>509</v>
      </c>
      <c r="F146" s="23" t="s">
        <v>495</v>
      </c>
      <c r="G146" s="23" t="s">
        <v>644</v>
      </c>
      <c r="H146" s="139">
        <v>46.285714285714285</v>
      </c>
      <c r="I146" s="142">
        <f t="shared" si="6"/>
        <v>92.571428571428569</v>
      </c>
      <c r="J146" s="73">
        <f t="shared" si="7"/>
        <v>46.285714285714285</v>
      </c>
      <c r="K146" s="141"/>
      <c r="L146" s="149"/>
    </row>
    <row r="147" spans="2:16" ht="19.5" customHeight="1" x14ac:dyDescent="0.3">
      <c r="B147" s="1099"/>
      <c r="C147" s="70" t="s">
        <v>481</v>
      </c>
      <c r="D147" s="32" t="s">
        <v>47</v>
      </c>
      <c r="E147" s="23" t="s">
        <v>509</v>
      </c>
      <c r="F147" s="23" t="s">
        <v>495</v>
      </c>
      <c r="G147" s="23" t="s">
        <v>645</v>
      </c>
      <c r="H147" s="139">
        <v>70.285714285714292</v>
      </c>
      <c r="I147" s="142">
        <f t="shared" si="6"/>
        <v>140.57142857142858</v>
      </c>
      <c r="J147" s="73">
        <f t="shared" si="7"/>
        <v>70.285714285714292</v>
      </c>
      <c r="K147" s="141"/>
      <c r="L147" s="149"/>
    </row>
    <row r="148" spans="2:16" ht="19.5" customHeight="1" x14ac:dyDescent="0.35">
      <c r="B148" s="1099"/>
      <c r="C148" s="165" t="s">
        <v>481</v>
      </c>
      <c r="D148" s="166" t="s">
        <v>39</v>
      </c>
      <c r="E148" s="167" t="s">
        <v>509</v>
      </c>
      <c r="F148" s="167" t="s">
        <v>705</v>
      </c>
      <c r="G148" s="167" t="s">
        <v>554</v>
      </c>
      <c r="H148" s="139">
        <v>5170.2857142857147</v>
      </c>
      <c r="I148" s="167">
        <f t="shared" si="6"/>
        <v>10340.571428571429</v>
      </c>
      <c r="J148" s="168">
        <f t="shared" si="7"/>
        <v>5170.2857142857147</v>
      </c>
      <c r="K148" s="177"/>
      <c r="L148" s="175"/>
      <c r="M148" s="179"/>
      <c r="P148" s="67"/>
    </row>
    <row r="149" spans="2:16" ht="19.5" customHeight="1" x14ac:dyDescent="0.3">
      <c r="B149" s="1099"/>
      <c r="C149" s="70" t="s">
        <v>481</v>
      </c>
      <c r="D149" s="32" t="s">
        <v>45</v>
      </c>
      <c r="E149" s="23" t="s">
        <v>509</v>
      </c>
      <c r="F149" s="23" t="s">
        <v>495</v>
      </c>
      <c r="G149" s="23" t="s">
        <v>646</v>
      </c>
      <c r="H149" s="139">
        <v>584.57142857142856</v>
      </c>
      <c r="I149" s="142">
        <f t="shared" si="6"/>
        <v>1169.1428571428571</v>
      </c>
      <c r="J149" s="73">
        <f t="shared" si="7"/>
        <v>584.57142857142856</v>
      </c>
      <c r="K149" s="141"/>
      <c r="L149" s="149"/>
    </row>
    <row r="150" spans="2:16" ht="19.5" customHeight="1" x14ac:dyDescent="0.3">
      <c r="B150" s="1099"/>
      <c r="C150" s="70" t="s">
        <v>481</v>
      </c>
      <c r="D150" s="32" t="s">
        <v>37</v>
      </c>
      <c r="E150" s="23" t="s">
        <v>509</v>
      </c>
      <c r="F150" s="23" t="s">
        <v>495</v>
      </c>
      <c r="G150" s="23" t="s">
        <v>647</v>
      </c>
      <c r="H150" s="139">
        <v>594.85714285714289</v>
      </c>
      <c r="I150" s="142">
        <f t="shared" si="6"/>
        <v>1189.7142857142858</v>
      </c>
      <c r="J150" s="73">
        <f t="shared" si="7"/>
        <v>594.85714285714289</v>
      </c>
      <c r="K150" s="141"/>
      <c r="L150" s="149"/>
    </row>
    <row r="151" spans="2:16" ht="19.5" customHeight="1" x14ac:dyDescent="0.3">
      <c r="B151" s="1099"/>
      <c r="C151" s="70"/>
      <c r="D151" s="32"/>
      <c r="E151" s="167" t="s">
        <v>509</v>
      </c>
      <c r="F151" s="23"/>
      <c r="G151" s="23" t="s">
        <v>647</v>
      </c>
      <c r="H151" s="139"/>
      <c r="I151" s="170">
        <v>1190</v>
      </c>
      <c r="J151" s="168">
        <v>595</v>
      </c>
      <c r="K151" s="178"/>
      <c r="L151" s="176"/>
      <c r="M151" s="180"/>
    </row>
    <row r="152" spans="2:16" ht="19.5" customHeight="1" x14ac:dyDescent="0.35">
      <c r="B152" s="1099"/>
      <c r="C152" s="165" t="s">
        <v>473</v>
      </c>
      <c r="D152" s="166" t="s">
        <v>55</v>
      </c>
      <c r="E152" s="167" t="s">
        <v>509</v>
      </c>
      <c r="F152" s="167" t="s">
        <v>705</v>
      </c>
      <c r="G152" s="167" t="s">
        <v>648</v>
      </c>
      <c r="H152" s="139">
        <v>6708.1428571428569</v>
      </c>
      <c r="I152" s="167">
        <f t="shared" si="6"/>
        <v>13416.285714285714</v>
      </c>
      <c r="J152" s="168">
        <f t="shared" si="7"/>
        <v>6708.1428571428569</v>
      </c>
      <c r="K152" s="177"/>
      <c r="L152" s="175"/>
      <c r="M152" s="179"/>
    </row>
    <row r="153" spans="2:16" ht="19.5" customHeight="1" x14ac:dyDescent="0.3">
      <c r="B153" s="1099"/>
      <c r="C153" s="70" t="s">
        <v>473</v>
      </c>
      <c r="D153" s="32" t="s">
        <v>71</v>
      </c>
      <c r="E153" s="23" t="s">
        <v>509</v>
      </c>
      <c r="F153" s="23" t="s">
        <v>495</v>
      </c>
      <c r="G153" s="23" t="s">
        <v>649</v>
      </c>
      <c r="H153" s="139">
        <v>598.28571428571433</v>
      </c>
      <c r="I153" s="142">
        <f t="shared" ref="I153:I184" si="8">+J153*2</f>
        <v>1196.5714285714287</v>
      </c>
      <c r="J153" s="73">
        <f t="shared" ref="J153:J184" si="9">+H153</f>
        <v>598.28571428571433</v>
      </c>
      <c r="K153" s="141"/>
      <c r="L153" s="149"/>
    </row>
    <row r="154" spans="2:16" ht="19.5" customHeight="1" x14ac:dyDescent="0.35">
      <c r="B154" s="1099"/>
      <c r="C154" s="165" t="s">
        <v>473</v>
      </c>
      <c r="D154" s="166" t="s">
        <v>57</v>
      </c>
      <c r="E154" s="167" t="s">
        <v>509</v>
      </c>
      <c r="F154" s="167" t="s">
        <v>705</v>
      </c>
      <c r="G154" s="167" t="s">
        <v>650</v>
      </c>
      <c r="H154" s="139">
        <f>7913.14285714286+612</f>
        <v>8525.1428571428587</v>
      </c>
      <c r="I154" s="137">
        <f t="shared" si="8"/>
        <v>17050.285714285717</v>
      </c>
      <c r="J154" s="173">
        <f t="shared" si="9"/>
        <v>8525.1428571428587</v>
      </c>
      <c r="K154" s="177"/>
      <c r="L154" s="175"/>
      <c r="M154" s="179"/>
    </row>
    <row r="155" spans="2:16" ht="19.5" customHeight="1" x14ac:dyDescent="0.35">
      <c r="B155" s="1099"/>
      <c r="C155" s="165" t="s">
        <v>475</v>
      </c>
      <c r="D155" s="166" t="s">
        <v>67</v>
      </c>
      <c r="E155" s="167" t="s">
        <v>509</v>
      </c>
      <c r="F155" s="167" t="s">
        <v>705</v>
      </c>
      <c r="G155" s="167" t="s">
        <v>651</v>
      </c>
      <c r="H155" s="139">
        <v>925.71428571428567</v>
      </c>
      <c r="I155" s="170">
        <f t="shared" si="8"/>
        <v>1851.4285714285713</v>
      </c>
      <c r="J155" s="168">
        <f t="shared" si="9"/>
        <v>925.71428571428567</v>
      </c>
      <c r="K155" s="177"/>
      <c r="L155" s="175"/>
      <c r="M155" s="179"/>
    </row>
    <row r="156" spans="2:16" ht="19.5" customHeight="1" x14ac:dyDescent="0.35">
      <c r="B156" s="1099"/>
      <c r="C156" s="165" t="s">
        <v>475</v>
      </c>
      <c r="D156" s="166" t="s">
        <v>65</v>
      </c>
      <c r="E156" s="167" t="s">
        <v>509</v>
      </c>
      <c r="F156" s="167" t="s">
        <v>705</v>
      </c>
      <c r="G156" s="167" t="s">
        <v>652</v>
      </c>
      <c r="H156" s="139">
        <v>627.42857142857144</v>
      </c>
      <c r="I156" s="170">
        <f t="shared" si="8"/>
        <v>1254.8571428571429</v>
      </c>
      <c r="J156" s="168">
        <f t="shared" si="9"/>
        <v>627.42857142857144</v>
      </c>
      <c r="K156" s="177"/>
      <c r="L156" s="175"/>
      <c r="M156" s="179"/>
    </row>
    <row r="157" spans="2:16" ht="19.5" customHeight="1" x14ac:dyDescent="0.3">
      <c r="B157" s="1099"/>
      <c r="C157" s="70" t="s">
        <v>475</v>
      </c>
      <c r="D157" s="32" t="s">
        <v>69</v>
      </c>
      <c r="E157" s="23" t="s">
        <v>509</v>
      </c>
      <c r="F157" s="23" t="s">
        <v>495</v>
      </c>
      <c r="G157" s="23" t="s">
        <v>653</v>
      </c>
      <c r="H157" s="139">
        <v>913.71428571428567</v>
      </c>
      <c r="I157" s="142">
        <f t="shared" si="8"/>
        <v>1827.4285714285713</v>
      </c>
      <c r="J157" s="73">
        <f t="shared" si="9"/>
        <v>913.71428571428567</v>
      </c>
      <c r="K157" s="141"/>
      <c r="L157" s="149"/>
    </row>
    <row r="158" spans="2:16" ht="19.5" customHeight="1" x14ac:dyDescent="0.35">
      <c r="B158" s="1099"/>
      <c r="C158" s="165" t="s">
        <v>463</v>
      </c>
      <c r="D158" s="166" t="s">
        <v>33</v>
      </c>
      <c r="E158" s="167" t="s">
        <v>509</v>
      </c>
      <c r="F158" s="167" t="s">
        <v>705</v>
      </c>
      <c r="G158" s="167" t="s">
        <v>654</v>
      </c>
      <c r="H158" s="139">
        <v>618.85714285714289</v>
      </c>
      <c r="I158" s="170">
        <f t="shared" si="8"/>
        <v>1237.7142857142858</v>
      </c>
      <c r="J158" s="168">
        <f t="shared" si="9"/>
        <v>618.85714285714289</v>
      </c>
      <c r="K158" s="177"/>
      <c r="L158" s="175"/>
      <c r="M158" s="179"/>
    </row>
    <row r="159" spans="2:16" ht="19.5" customHeight="1" x14ac:dyDescent="0.35">
      <c r="B159" s="1099"/>
      <c r="C159" s="165" t="s">
        <v>463</v>
      </c>
      <c r="D159" s="166" t="s">
        <v>31</v>
      </c>
      <c r="E159" s="167" t="s">
        <v>509</v>
      </c>
      <c r="F159" s="167" t="s">
        <v>705</v>
      </c>
      <c r="G159" s="167" t="s">
        <v>702</v>
      </c>
      <c r="H159" s="139">
        <v>406.28571428571428</v>
      </c>
      <c r="I159" s="170">
        <f t="shared" si="8"/>
        <v>812.57142857142856</v>
      </c>
      <c r="J159" s="168">
        <f t="shared" si="9"/>
        <v>406.28571428571428</v>
      </c>
      <c r="K159" s="177"/>
      <c r="L159" s="175"/>
      <c r="M159" s="179"/>
    </row>
    <row r="160" spans="2:16" ht="19.5" customHeight="1" x14ac:dyDescent="0.3">
      <c r="B160" s="1099"/>
      <c r="C160" s="70" t="s">
        <v>463</v>
      </c>
      <c r="D160" s="32" t="s">
        <v>49</v>
      </c>
      <c r="E160" s="23" t="s">
        <v>509</v>
      </c>
      <c r="F160" s="23" t="s">
        <v>495</v>
      </c>
      <c r="G160" s="23" t="s">
        <v>655</v>
      </c>
      <c r="H160" s="139">
        <v>38.4</v>
      </c>
      <c r="I160" s="23">
        <f t="shared" si="8"/>
        <v>76.8</v>
      </c>
      <c r="J160" s="73">
        <f t="shared" si="9"/>
        <v>38.4</v>
      </c>
      <c r="K160" s="141"/>
      <c r="L160" s="149"/>
    </row>
    <row r="161" spans="2:13" ht="19.5" customHeight="1" x14ac:dyDescent="0.35">
      <c r="B161" s="1099"/>
      <c r="C161" s="165" t="s">
        <v>463</v>
      </c>
      <c r="D161" s="166" t="s">
        <v>51</v>
      </c>
      <c r="E161" s="167" t="s">
        <v>509</v>
      </c>
      <c r="F161" s="167" t="s">
        <v>705</v>
      </c>
      <c r="G161" s="167" t="s">
        <v>656</v>
      </c>
      <c r="H161" s="139">
        <v>692.57142857142856</v>
      </c>
      <c r="I161" s="170">
        <f t="shared" si="8"/>
        <v>1385.1428571428571</v>
      </c>
      <c r="J161" s="168">
        <f t="shared" si="9"/>
        <v>692.57142857142856</v>
      </c>
      <c r="K161" s="177"/>
      <c r="L161" s="175"/>
      <c r="M161" s="179"/>
    </row>
    <row r="162" spans="2:13" ht="19.5" customHeight="1" x14ac:dyDescent="0.3">
      <c r="B162" s="1099"/>
      <c r="C162" s="70" t="s">
        <v>479</v>
      </c>
      <c r="D162" s="32" t="s">
        <v>105</v>
      </c>
      <c r="E162" s="23" t="s">
        <v>509</v>
      </c>
      <c r="F162" s="23" t="s">
        <v>495</v>
      </c>
      <c r="G162" s="23" t="s">
        <v>657</v>
      </c>
      <c r="H162" s="139">
        <f>7470.85714285714+400</f>
        <v>7870.8571428571404</v>
      </c>
      <c r="I162" s="23">
        <f t="shared" si="8"/>
        <v>15741.714285714281</v>
      </c>
      <c r="J162" s="73">
        <f t="shared" si="9"/>
        <v>7870.8571428571404</v>
      </c>
      <c r="K162" s="141"/>
      <c r="L162" s="149"/>
    </row>
    <row r="163" spans="2:13" ht="19.5" customHeight="1" x14ac:dyDescent="0.3">
      <c r="B163" s="1099"/>
      <c r="C163" s="70" t="s">
        <v>479</v>
      </c>
      <c r="D163" s="32" t="s">
        <v>107</v>
      </c>
      <c r="E163" s="23" t="s">
        <v>509</v>
      </c>
      <c r="F163" s="23" t="s">
        <v>495</v>
      </c>
      <c r="G163" s="23" t="s">
        <v>658</v>
      </c>
      <c r="H163" s="139">
        <f>5576+296</f>
        <v>5872</v>
      </c>
      <c r="I163" s="23">
        <f t="shared" si="8"/>
        <v>11744</v>
      </c>
      <c r="J163" s="73">
        <f t="shared" si="9"/>
        <v>5872</v>
      </c>
      <c r="K163" s="141"/>
      <c r="L163" s="149"/>
    </row>
    <row r="164" spans="2:13" ht="19.5" customHeight="1" x14ac:dyDescent="0.3">
      <c r="B164" s="1099"/>
      <c r="C164" s="70" t="s">
        <v>458</v>
      </c>
      <c r="D164" s="32">
        <v>17</v>
      </c>
      <c r="E164" s="23" t="s">
        <v>511</v>
      </c>
      <c r="F164" s="23" t="s">
        <v>495</v>
      </c>
      <c r="G164" s="23" t="s">
        <v>659</v>
      </c>
      <c r="H164" s="139">
        <v>106.28571428571429</v>
      </c>
      <c r="I164" s="142">
        <f t="shared" si="8"/>
        <v>212.57142857142858</v>
      </c>
      <c r="J164" s="73">
        <f t="shared" si="9"/>
        <v>106.28571428571429</v>
      </c>
      <c r="K164" s="141"/>
      <c r="L164" s="149"/>
    </row>
    <row r="165" spans="2:13" ht="19.5" customHeight="1" x14ac:dyDescent="0.3">
      <c r="B165" s="1099"/>
      <c r="C165" s="70" t="s">
        <v>458</v>
      </c>
      <c r="D165" s="32">
        <v>18</v>
      </c>
      <c r="E165" s="23" t="s">
        <v>511</v>
      </c>
      <c r="F165" s="23" t="s">
        <v>495</v>
      </c>
      <c r="G165" s="23" t="s">
        <v>562</v>
      </c>
      <c r="H165" s="139">
        <v>48</v>
      </c>
      <c r="I165" s="23">
        <f t="shared" si="8"/>
        <v>96</v>
      </c>
      <c r="J165" s="73">
        <f t="shared" si="9"/>
        <v>48</v>
      </c>
      <c r="K165" s="141"/>
      <c r="L165" s="149"/>
    </row>
    <row r="166" spans="2:13" ht="19.5" customHeight="1" x14ac:dyDescent="0.3">
      <c r="B166" s="1099"/>
      <c r="C166" s="70" t="s">
        <v>457</v>
      </c>
      <c r="D166" s="32">
        <v>14</v>
      </c>
      <c r="E166" s="23" t="s">
        <v>511</v>
      </c>
      <c r="F166" s="23" t="s">
        <v>495</v>
      </c>
      <c r="G166" s="23" t="s">
        <v>660</v>
      </c>
      <c r="H166" s="139">
        <v>72</v>
      </c>
      <c r="I166" s="23">
        <f t="shared" si="8"/>
        <v>144</v>
      </c>
      <c r="J166" s="73">
        <f t="shared" si="9"/>
        <v>72</v>
      </c>
      <c r="K166" s="141"/>
      <c r="L166" s="149"/>
    </row>
    <row r="167" spans="2:13" ht="19.5" customHeight="1" x14ac:dyDescent="0.3">
      <c r="B167" s="1099"/>
      <c r="C167" s="70" t="s">
        <v>457</v>
      </c>
      <c r="D167" s="32">
        <v>15</v>
      </c>
      <c r="E167" s="23" t="s">
        <v>511</v>
      </c>
      <c r="F167" s="23" t="s">
        <v>495</v>
      </c>
      <c r="G167" s="23" t="s">
        <v>661</v>
      </c>
      <c r="H167" s="139">
        <v>216</v>
      </c>
      <c r="I167" s="23">
        <f t="shared" si="8"/>
        <v>432</v>
      </c>
      <c r="J167" s="73">
        <f t="shared" si="9"/>
        <v>216</v>
      </c>
      <c r="K167" s="141"/>
      <c r="L167" s="149"/>
    </row>
    <row r="168" spans="2:13" ht="19.5" customHeight="1" x14ac:dyDescent="0.3">
      <c r="B168" s="1099"/>
      <c r="C168" s="70" t="s">
        <v>456</v>
      </c>
      <c r="D168" s="32">
        <v>12</v>
      </c>
      <c r="E168" s="23" t="s">
        <v>511</v>
      </c>
      <c r="F168" s="23" t="s">
        <v>495</v>
      </c>
      <c r="G168" s="23" t="s">
        <v>662</v>
      </c>
      <c r="H168" s="139">
        <v>30</v>
      </c>
      <c r="I168" s="23">
        <f t="shared" si="8"/>
        <v>60</v>
      </c>
      <c r="J168" s="73">
        <f t="shared" si="9"/>
        <v>30</v>
      </c>
      <c r="K168" s="141"/>
      <c r="L168" s="149"/>
    </row>
    <row r="169" spans="2:13" ht="19.5" customHeight="1" x14ac:dyDescent="0.3">
      <c r="B169" s="1099"/>
      <c r="C169" s="70" t="s">
        <v>456</v>
      </c>
      <c r="D169" s="32">
        <v>13</v>
      </c>
      <c r="E169" s="23" t="s">
        <v>511</v>
      </c>
      <c r="F169" s="23" t="s">
        <v>495</v>
      </c>
      <c r="G169" s="23" t="s">
        <v>663</v>
      </c>
      <c r="H169" s="139">
        <v>16</v>
      </c>
      <c r="I169" s="23">
        <f t="shared" si="8"/>
        <v>32</v>
      </c>
      <c r="J169" s="73">
        <f t="shared" si="9"/>
        <v>16</v>
      </c>
      <c r="K169" s="141"/>
      <c r="L169" s="149"/>
    </row>
    <row r="170" spans="2:13" ht="19.5" customHeight="1" x14ac:dyDescent="0.35">
      <c r="B170" s="1099"/>
      <c r="C170" s="165" t="s">
        <v>456</v>
      </c>
      <c r="D170" s="166">
        <v>11</v>
      </c>
      <c r="E170" s="167" t="s">
        <v>511</v>
      </c>
      <c r="F170" s="167" t="s">
        <v>705</v>
      </c>
      <c r="G170" s="167" t="s">
        <v>704</v>
      </c>
      <c r="H170" s="139">
        <v>349.71428571428572</v>
      </c>
      <c r="I170" s="170">
        <f t="shared" si="8"/>
        <v>699.42857142857144</v>
      </c>
      <c r="J170" s="168">
        <f t="shared" si="9"/>
        <v>349.71428571428572</v>
      </c>
      <c r="K170" s="169"/>
      <c r="L170" s="157"/>
      <c r="M170" s="67"/>
    </row>
    <row r="171" spans="2:13" ht="19.5" customHeight="1" x14ac:dyDescent="0.3">
      <c r="B171" s="1099"/>
      <c r="C171" s="70" t="s">
        <v>455</v>
      </c>
      <c r="D171" s="32">
        <v>6</v>
      </c>
      <c r="E171" s="23" t="s">
        <v>511</v>
      </c>
      <c r="F171" s="23" t="s">
        <v>495</v>
      </c>
      <c r="G171" s="23" t="s">
        <v>664</v>
      </c>
      <c r="H171" s="139">
        <v>30</v>
      </c>
      <c r="I171" s="23">
        <f t="shared" si="8"/>
        <v>60</v>
      </c>
      <c r="J171" s="73">
        <f t="shared" si="9"/>
        <v>30</v>
      </c>
      <c r="K171" s="141"/>
      <c r="L171" s="149"/>
    </row>
    <row r="172" spans="2:13" ht="19.5" customHeight="1" x14ac:dyDescent="0.3">
      <c r="B172" s="1099"/>
      <c r="C172" s="70" t="s">
        <v>455</v>
      </c>
      <c r="D172" s="32">
        <v>7</v>
      </c>
      <c r="E172" s="23" t="s">
        <v>511</v>
      </c>
      <c r="F172" s="23" t="s">
        <v>495</v>
      </c>
      <c r="G172" s="23" t="s">
        <v>665</v>
      </c>
      <c r="H172" s="139">
        <v>36</v>
      </c>
      <c r="I172" s="23">
        <f t="shared" si="8"/>
        <v>72</v>
      </c>
      <c r="J172" s="73">
        <f t="shared" si="9"/>
        <v>36</v>
      </c>
      <c r="K172" s="141"/>
      <c r="L172" s="149"/>
    </row>
    <row r="173" spans="2:13" ht="19.5" customHeight="1" x14ac:dyDescent="0.3">
      <c r="B173" s="1099"/>
      <c r="C173" s="70" t="s">
        <v>455</v>
      </c>
      <c r="D173" s="32">
        <v>8</v>
      </c>
      <c r="E173" s="23" t="s">
        <v>511</v>
      </c>
      <c r="F173" s="23" t="s">
        <v>495</v>
      </c>
      <c r="G173" s="23" t="s">
        <v>666</v>
      </c>
      <c r="H173" s="139">
        <v>109.71428571428571</v>
      </c>
      <c r="I173" s="142">
        <f t="shared" si="8"/>
        <v>219.42857142857142</v>
      </c>
      <c r="J173" s="73">
        <f t="shared" si="9"/>
        <v>109.71428571428571</v>
      </c>
      <c r="K173" s="141"/>
      <c r="L173" s="149"/>
    </row>
    <row r="174" spans="2:13" ht="19.5" customHeight="1" x14ac:dyDescent="0.35">
      <c r="B174" s="1099"/>
      <c r="C174" s="165" t="s">
        <v>454</v>
      </c>
      <c r="D174" s="166">
        <v>1</v>
      </c>
      <c r="E174" s="167" t="s">
        <v>511</v>
      </c>
      <c r="F174" s="167" t="s">
        <v>705</v>
      </c>
      <c r="G174" s="167" t="s">
        <v>703</v>
      </c>
      <c r="H174" s="139">
        <v>828</v>
      </c>
      <c r="I174" s="167">
        <f t="shared" si="8"/>
        <v>1656</v>
      </c>
      <c r="J174" s="168">
        <f t="shared" si="9"/>
        <v>828</v>
      </c>
      <c r="K174" s="169"/>
      <c r="L174" s="157"/>
      <c r="M174" s="67"/>
    </row>
    <row r="175" spans="2:13" ht="19.5" customHeight="1" x14ac:dyDescent="0.3">
      <c r="B175" s="1099"/>
      <c r="C175" s="70" t="s">
        <v>454</v>
      </c>
      <c r="D175" s="32">
        <v>2</v>
      </c>
      <c r="E175" s="23" t="s">
        <v>511</v>
      </c>
      <c r="F175" s="23" t="s">
        <v>495</v>
      </c>
      <c r="G175" s="23" t="s">
        <v>667</v>
      </c>
      <c r="H175" s="139">
        <v>98</v>
      </c>
      <c r="I175" s="23">
        <f t="shared" si="8"/>
        <v>196</v>
      </c>
      <c r="J175" s="73">
        <f t="shared" si="9"/>
        <v>98</v>
      </c>
      <c r="K175" s="141"/>
      <c r="L175" s="149"/>
    </row>
    <row r="176" spans="2:13" ht="19.5" customHeight="1" x14ac:dyDescent="0.3">
      <c r="B176" s="1099"/>
      <c r="C176" s="70" t="s">
        <v>454</v>
      </c>
      <c r="D176" s="32">
        <v>3</v>
      </c>
      <c r="E176" s="23" t="s">
        <v>511</v>
      </c>
      <c r="F176" s="23" t="s">
        <v>495</v>
      </c>
      <c r="G176" s="23" t="s">
        <v>668</v>
      </c>
      <c r="H176" s="139">
        <v>76</v>
      </c>
      <c r="I176" s="23">
        <f t="shared" si="8"/>
        <v>152</v>
      </c>
      <c r="J176" s="73">
        <f t="shared" si="9"/>
        <v>76</v>
      </c>
      <c r="K176" s="141"/>
      <c r="L176" s="149"/>
    </row>
    <row r="177" spans="2:12" ht="19.5" customHeight="1" x14ac:dyDescent="0.3">
      <c r="B177" s="1099"/>
      <c r="C177" s="70" t="s">
        <v>454</v>
      </c>
      <c r="D177" s="32">
        <v>4</v>
      </c>
      <c r="E177" s="23" t="s">
        <v>511</v>
      </c>
      <c r="F177" s="23" t="s">
        <v>495</v>
      </c>
      <c r="G177" s="23" t="s">
        <v>669</v>
      </c>
      <c r="H177" s="139">
        <v>182.4</v>
      </c>
      <c r="I177" s="142">
        <f t="shared" si="8"/>
        <v>364.8</v>
      </c>
      <c r="J177" s="73">
        <f t="shared" si="9"/>
        <v>182.4</v>
      </c>
      <c r="K177" s="141"/>
      <c r="L177" s="149"/>
    </row>
    <row r="178" spans="2:12" ht="19.5" customHeight="1" x14ac:dyDescent="0.3">
      <c r="B178" s="1099"/>
      <c r="C178" s="70" t="s">
        <v>454</v>
      </c>
      <c r="D178" s="32">
        <v>5</v>
      </c>
      <c r="E178" s="23" t="s">
        <v>511</v>
      </c>
      <c r="F178" s="23" t="s">
        <v>495</v>
      </c>
      <c r="G178" s="23" t="s">
        <v>670</v>
      </c>
      <c r="H178" s="139">
        <v>70.285714285714292</v>
      </c>
      <c r="I178" s="142">
        <f t="shared" si="8"/>
        <v>140.57142857142858</v>
      </c>
      <c r="J178" s="73">
        <f t="shared" si="9"/>
        <v>70.285714285714292</v>
      </c>
      <c r="K178" s="141"/>
      <c r="L178" s="149"/>
    </row>
    <row r="179" spans="2:12" ht="19.5" customHeight="1" x14ac:dyDescent="0.3">
      <c r="B179" s="1099"/>
      <c r="C179" s="70" t="s">
        <v>485</v>
      </c>
      <c r="D179" s="32" t="s">
        <v>363</v>
      </c>
      <c r="E179" s="23" t="s">
        <v>452</v>
      </c>
      <c r="F179" s="23" t="s">
        <v>478</v>
      </c>
      <c r="G179" s="23" t="s">
        <v>671</v>
      </c>
      <c r="H179" s="139">
        <v>685.71428571428567</v>
      </c>
      <c r="I179" s="142">
        <f t="shared" si="8"/>
        <v>1371.4285714285713</v>
      </c>
      <c r="J179" s="73">
        <f t="shared" si="9"/>
        <v>685.71428571428567</v>
      </c>
      <c r="K179" s="141"/>
      <c r="L179" s="149"/>
    </row>
    <row r="180" spans="2:12" ht="19.5" customHeight="1" x14ac:dyDescent="0.3">
      <c r="B180" s="1099"/>
      <c r="C180" s="70" t="s">
        <v>486</v>
      </c>
      <c r="D180" s="32" t="s">
        <v>364</v>
      </c>
      <c r="E180" s="23" t="s">
        <v>452</v>
      </c>
      <c r="F180" s="23" t="s">
        <v>478</v>
      </c>
      <c r="G180" s="23" t="s">
        <v>672</v>
      </c>
      <c r="H180" s="139">
        <v>0</v>
      </c>
      <c r="I180" s="23">
        <f t="shared" si="8"/>
        <v>0</v>
      </c>
      <c r="J180" s="73">
        <f t="shared" si="9"/>
        <v>0</v>
      </c>
      <c r="K180" s="141"/>
      <c r="L180" s="149"/>
    </row>
    <row r="181" spans="2:12" ht="19.5" customHeight="1" x14ac:dyDescent="0.3">
      <c r="B181" s="1099"/>
      <c r="C181" s="70" t="s">
        <v>487</v>
      </c>
      <c r="D181" s="32" t="s">
        <v>365</v>
      </c>
      <c r="E181" s="23" t="s">
        <v>452</v>
      </c>
      <c r="F181" s="23" t="s">
        <v>478</v>
      </c>
      <c r="G181" s="23" t="s">
        <v>673</v>
      </c>
      <c r="H181" s="139">
        <v>258</v>
      </c>
      <c r="I181" s="23">
        <f t="shared" si="8"/>
        <v>516</v>
      </c>
      <c r="J181" s="73">
        <f t="shared" si="9"/>
        <v>258</v>
      </c>
      <c r="K181" s="141"/>
      <c r="L181" s="149"/>
    </row>
    <row r="182" spans="2:12" ht="19.5" customHeight="1" x14ac:dyDescent="0.3">
      <c r="B182" s="1099"/>
      <c r="C182" s="70" t="s">
        <v>490</v>
      </c>
      <c r="D182" s="32" t="s">
        <v>366</v>
      </c>
      <c r="E182" s="23" t="s">
        <v>452</v>
      </c>
      <c r="F182" s="23" t="s">
        <v>341</v>
      </c>
      <c r="G182" s="23" t="s">
        <v>674</v>
      </c>
      <c r="H182" s="139">
        <v>459.42857142857144</v>
      </c>
      <c r="I182" s="142">
        <f t="shared" si="8"/>
        <v>918.85714285714289</v>
      </c>
      <c r="J182" s="73">
        <f t="shared" si="9"/>
        <v>459.42857142857144</v>
      </c>
      <c r="K182" s="141"/>
      <c r="L182" s="149"/>
    </row>
    <row r="183" spans="2:12" ht="19.5" customHeight="1" x14ac:dyDescent="0.3">
      <c r="B183" s="1099"/>
      <c r="C183" s="70"/>
      <c r="D183" s="32" t="s">
        <v>399</v>
      </c>
      <c r="E183" s="23" t="s">
        <v>509</v>
      </c>
      <c r="F183" s="23" t="s">
        <v>492</v>
      </c>
      <c r="G183" s="23" t="s">
        <v>675</v>
      </c>
      <c r="H183" s="139">
        <v>492</v>
      </c>
      <c r="I183" s="23">
        <f t="shared" si="8"/>
        <v>984</v>
      </c>
      <c r="J183" s="73">
        <f t="shared" si="9"/>
        <v>492</v>
      </c>
      <c r="K183" s="141"/>
      <c r="L183" s="149"/>
    </row>
    <row r="184" spans="2:12" ht="19.5" customHeight="1" x14ac:dyDescent="0.3">
      <c r="B184" s="1099"/>
      <c r="C184" s="70"/>
      <c r="D184" s="79" t="s">
        <v>376</v>
      </c>
      <c r="E184" s="23" t="s">
        <v>509</v>
      </c>
      <c r="F184" s="23" t="s">
        <v>450</v>
      </c>
      <c r="G184" s="23" t="s">
        <v>676</v>
      </c>
      <c r="H184" s="139">
        <v>44</v>
      </c>
      <c r="I184" s="23">
        <f t="shared" si="8"/>
        <v>88</v>
      </c>
      <c r="J184" s="73">
        <f t="shared" si="9"/>
        <v>44</v>
      </c>
      <c r="K184" s="141"/>
      <c r="L184" s="149"/>
    </row>
    <row r="185" spans="2:12" ht="19.5" customHeight="1" x14ac:dyDescent="0.3">
      <c r="B185" s="1099"/>
      <c r="C185" s="70"/>
      <c r="D185" s="79" t="s">
        <v>377</v>
      </c>
      <c r="E185" s="23" t="s">
        <v>509</v>
      </c>
      <c r="F185" s="23" t="s">
        <v>450</v>
      </c>
      <c r="G185" s="23" t="s">
        <v>677</v>
      </c>
      <c r="H185" s="139">
        <v>12</v>
      </c>
      <c r="I185" s="23">
        <f t="shared" ref="I185:I190" si="10">+J185*2</f>
        <v>24</v>
      </c>
      <c r="J185" s="73">
        <f t="shared" ref="J185:J190" si="11">+H185</f>
        <v>12</v>
      </c>
      <c r="K185" s="141"/>
      <c r="L185" s="149"/>
    </row>
    <row r="186" spans="2:12" ht="19.5" customHeight="1" x14ac:dyDescent="0.3">
      <c r="B186" s="1099"/>
      <c r="C186" s="70"/>
      <c r="D186" s="32" t="s">
        <v>384</v>
      </c>
      <c r="E186" s="23" t="s">
        <v>509</v>
      </c>
      <c r="F186" s="23" t="s">
        <v>450</v>
      </c>
      <c r="G186" s="23" t="s">
        <v>678</v>
      </c>
      <c r="H186" s="139">
        <v>48</v>
      </c>
      <c r="I186" s="23">
        <f t="shared" si="10"/>
        <v>96</v>
      </c>
      <c r="J186" s="73">
        <f t="shared" si="11"/>
        <v>48</v>
      </c>
      <c r="K186" s="141"/>
      <c r="L186" s="149"/>
    </row>
    <row r="187" spans="2:12" ht="19.5" customHeight="1" x14ac:dyDescent="0.3">
      <c r="B187" s="1099"/>
      <c r="C187" s="70"/>
      <c r="D187" s="32" t="s">
        <v>385</v>
      </c>
      <c r="E187" s="23" t="s">
        <v>509</v>
      </c>
      <c r="F187" s="23" t="s">
        <v>450</v>
      </c>
      <c r="G187" s="23" t="s">
        <v>679</v>
      </c>
      <c r="H187" s="139">
        <v>180</v>
      </c>
      <c r="I187" s="23">
        <f t="shared" si="10"/>
        <v>360</v>
      </c>
      <c r="J187" s="73">
        <f t="shared" si="11"/>
        <v>180</v>
      </c>
      <c r="K187" s="141"/>
      <c r="L187" s="149"/>
    </row>
    <row r="188" spans="2:12" ht="19.5" customHeight="1" x14ac:dyDescent="0.3">
      <c r="B188" s="1099"/>
      <c r="C188" s="70"/>
      <c r="D188" s="32" t="s">
        <v>386</v>
      </c>
      <c r="E188" s="23" t="s">
        <v>509</v>
      </c>
      <c r="F188" s="23" t="s">
        <v>450</v>
      </c>
      <c r="G188" s="23" t="s">
        <v>680</v>
      </c>
      <c r="H188" s="139">
        <v>138.85714285714286</v>
      </c>
      <c r="I188" s="142">
        <f t="shared" si="10"/>
        <v>277.71428571428572</v>
      </c>
      <c r="J188" s="73">
        <f t="shared" si="11"/>
        <v>138.85714285714286</v>
      </c>
      <c r="K188" s="141"/>
      <c r="L188" s="149"/>
    </row>
    <row r="189" spans="2:12" ht="19.5" customHeight="1" x14ac:dyDescent="0.3">
      <c r="B189" s="1099"/>
      <c r="C189" s="70"/>
      <c r="D189" s="78" t="s">
        <v>387</v>
      </c>
      <c r="E189" s="23" t="s">
        <v>509</v>
      </c>
      <c r="F189" s="23" t="s">
        <v>450</v>
      </c>
      <c r="G189" s="23" t="s">
        <v>681</v>
      </c>
      <c r="H189" s="139">
        <v>0</v>
      </c>
      <c r="I189" s="23">
        <f t="shared" si="10"/>
        <v>0</v>
      </c>
      <c r="J189" s="73">
        <f t="shared" si="11"/>
        <v>0</v>
      </c>
      <c r="K189" s="141"/>
      <c r="L189" s="149"/>
    </row>
    <row r="190" spans="2:12" ht="19.5" customHeight="1" thickBot="1" x14ac:dyDescent="0.35">
      <c r="B190" s="1100"/>
      <c r="C190" s="71"/>
      <c r="D190" s="37" t="s">
        <v>412</v>
      </c>
      <c r="E190" s="29" t="s">
        <v>509</v>
      </c>
      <c r="F190" s="29" t="s">
        <v>450</v>
      </c>
      <c r="G190" s="29" t="s">
        <v>682</v>
      </c>
      <c r="H190" s="150">
        <v>483</v>
      </c>
      <c r="I190" s="29">
        <f t="shared" si="10"/>
        <v>966</v>
      </c>
      <c r="J190" s="75">
        <f t="shared" si="11"/>
        <v>483</v>
      </c>
      <c r="K190" s="154"/>
      <c r="L190" s="152"/>
    </row>
    <row r="191" spans="2:12" ht="19.5" customHeight="1" x14ac:dyDescent="0.3">
      <c r="B191" s="1098" t="s">
        <v>506</v>
      </c>
      <c r="C191" s="81"/>
      <c r="D191" s="33" t="s">
        <v>439</v>
      </c>
      <c r="E191" s="27" t="s">
        <v>509</v>
      </c>
      <c r="F191" s="27" t="s">
        <v>477</v>
      </c>
      <c r="G191" s="27" t="s">
        <v>683</v>
      </c>
      <c r="H191" s="147">
        <v>90</v>
      </c>
      <c r="I191" s="27"/>
      <c r="J191" s="74"/>
      <c r="K191" s="27"/>
      <c r="L191" s="148"/>
    </row>
    <row r="192" spans="2:12" ht="19.5" customHeight="1" x14ac:dyDescent="0.3">
      <c r="B192" s="1099"/>
      <c r="C192" s="82"/>
      <c r="D192" s="32" t="s">
        <v>440</v>
      </c>
      <c r="E192" s="23" t="s">
        <v>509</v>
      </c>
      <c r="F192" s="23" t="s">
        <v>477</v>
      </c>
      <c r="G192" s="23" t="s">
        <v>684</v>
      </c>
      <c r="H192" s="139">
        <v>124</v>
      </c>
      <c r="I192" s="23"/>
      <c r="J192" s="73"/>
      <c r="K192" s="23"/>
      <c r="L192" s="149"/>
    </row>
    <row r="193" spans="2:12" ht="19.5" customHeight="1" x14ac:dyDescent="0.3">
      <c r="B193" s="1099"/>
      <c r="C193" s="82"/>
      <c r="D193" s="32" t="s">
        <v>441</v>
      </c>
      <c r="E193" s="23" t="s">
        <v>509</v>
      </c>
      <c r="F193" s="23" t="s">
        <v>477</v>
      </c>
      <c r="G193" s="23" t="s">
        <v>685</v>
      </c>
      <c r="H193" s="139">
        <v>236.57142857142858</v>
      </c>
      <c r="I193" s="142"/>
      <c r="J193" s="73"/>
      <c r="K193" s="23"/>
      <c r="L193" s="149"/>
    </row>
    <row r="194" spans="2:12" ht="19.5" customHeight="1" thickBot="1" x14ac:dyDescent="0.35">
      <c r="B194" s="1100"/>
      <c r="C194" s="83"/>
      <c r="D194" s="84" t="s">
        <v>442</v>
      </c>
      <c r="E194" s="29" t="s">
        <v>509</v>
      </c>
      <c r="F194" s="29" t="s">
        <v>477</v>
      </c>
      <c r="G194" s="29" t="s">
        <v>686</v>
      </c>
      <c r="H194" s="150">
        <v>86.571428571428569</v>
      </c>
      <c r="I194" s="151"/>
      <c r="J194" s="75"/>
      <c r="K194" s="29"/>
      <c r="L194" s="152"/>
    </row>
    <row r="195" spans="2:12" x14ac:dyDescent="0.3">
      <c r="D195"/>
      <c r="G195"/>
      <c r="H195" s="31"/>
      <c r="J195" s="131"/>
      <c r="L195" s="68"/>
    </row>
    <row r="196" spans="2:12" x14ac:dyDescent="0.3">
      <c r="D196"/>
      <c r="G196"/>
      <c r="H196" s="31"/>
    </row>
    <row r="197" spans="2:12" x14ac:dyDescent="0.3">
      <c r="D197"/>
      <c r="G197"/>
      <c r="H197" s="31"/>
    </row>
    <row r="198" spans="2:12" x14ac:dyDescent="0.3">
      <c r="D198"/>
      <c r="G198"/>
      <c r="H198" s="31"/>
    </row>
    <row r="199" spans="2:12" x14ac:dyDescent="0.3">
      <c r="D199"/>
      <c r="G199"/>
      <c r="H199" s="31"/>
    </row>
    <row r="200" spans="2:12" x14ac:dyDescent="0.3">
      <c r="D200"/>
      <c r="G200"/>
    </row>
    <row r="201" spans="2:12" x14ac:dyDescent="0.3">
      <c r="D201"/>
      <c r="G201"/>
    </row>
    <row r="202" spans="2:12" x14ac:dyDescent="0.3">
      <c r="D202"/>
      <c r="G202"/>
    </row>
    <row r="203" spans="2:12" x14ac:dyDescent="0.3">
      <c r="D203"/>
      <c r="G203"/>
    </row>
    <row r="204" spans="2:12" x14ac:dyDescent="0.3">
      <c r="D204"/>
      <c r="G204"/>
    </row>
    <row r="205" spans="2:12" x14ac:dyDescent="0.3">
      <c r="D205"/>
      <c r="G205"/>
    </row>
    <row r="206" spans="2:12" x14ac:dyDescent="0.3">
      <c r="D206"/>
      <c r="G206"/>
    </row>
    <row r="207" spans="2:12" x14ac:dyDescent="0.3">
      <c r="D207"/>
      <c r="G207"/>
    </row>
    <row r="208" spans="2:12" x14ac:dyDescent="0.3">
      <c r="D208"/>
      <c r="G208"/>
    </row>
    <row r="209" spans="4:7" x14ac:dyDescent="0.3">
      <c r="D209"/>
      <c r="G209"/>
    </row>
    <row r="210" spans="4:7" x14ac:dyDescent="0.3">
      <c r="D210"/>
      <c r="G210"/>
    </row>
    <row r="211" spans="4:7" x14ac:dyDescent="0.3">
      <c r="D211"/>
      <c r="G211"/>
    </row>
    <row r="212" spans="4:7" x14ac:dyDescent="0.3">
      <c r="D212"/>
      <c r="G212"/>
    </row>
    <row r="213" spans="4:7" x14ac:dyDescent="0.3">
      <c r="D213"/>
      <c r="G213"/>
    </row>
    <row r="214" spans="4:7" x14ac:dyDescent="0.3">
      <c r="D214"/>
      <c r="G214"/>
    </row>
    <row r="215" spans="4:7" x14ac:dyDescent="0.3">
      <c r="D215"/>
      <c r="G215"/>
    </row>
    <row r="216" spans="4:7" x14ac:dyDescent="0.3">
      <c r="D216"/>
      <c r="G216"/>
    </row>
    <row r="217" spans="4:7" x14ac:dyDescent="0.3">
      <c r="D217"/>
      <c r="G217"/>
    </row>
    <row r="218" spans="4:7" x14ac:dyDescent="0.3">
      <c r="D218"/>
      <c r="G218"/>
    </row>
    <row r="219" spans="4:7" x14ac:dyDescent="0.3">
      <c r="D219"/>
      <c r="G219"/>
    </row>
    <row r="220" spans="4:7" x14ac:dyDescent="0.3">
      <c r="D220"/>
      <c r="G220"/>
    </row>
    <row r="221" spans="4:7" x14ac:dyDescent="0.3">
      <c r="D221"/>
      <c r="G221"/>
    </row>
    <row r="222" spans="4:7" x14ac:dyDescent="0.3">
      <c r="D222"/>
      <c r="G222"/>
    </row>
    <row r="223" spans="4:7" x14ac:dyDescent="0.3">
      <c r="D223"/>
      <c r="G223"/>
    </row>
    <row r="224" spans="4:7" x14ac:dyDescent="0.3">
      <c r="D224"/>
      <c r="G224"/>
    </row>
    <row r="225" spans="4:7" x14ac:dyDescent="0.3">
      <c r="D225"/>
      <c r="G225"/>
    </row>
    <row r="226" spans="4:7" x14ac:dyDescent="0.3">
      <c r="D226"/>
      <c r="G226"/>
    </row>
    <row r="227" spans="4:7" x14ac:dyDescent="0.3">
      <c r="D227"/>
      <c r="G227"/>
    </row>
    <row r="228" spans="4:7" x14ac:dyDescent="0.3">
      <c r="D228"/>
      <c r="G228"/>
    </row>
    <row r="229" spans="4:7" x14ac:dyDescent="0.3">
      <c r="D229"/>
      <c r="G229"/>
    </row>
    <row r="230" spans="4:7" x14ac:dyDescent="0.3">
      <c r="D230"/>
      <c r="G230"/>
    </row>
    <row r="231" spans="4:7" x14ac:dyDescent="0.3">
      <c r="D231"/>
      <c r="G231"/>
    </row>
    <row r="232" spans="4:7" x14ac:dyDescent="0.3">
      <c r="D232"/>
      <c r="G232"/>
    </row>
    <row r="233" spans="4:7" x14ac:dyDescent="0.3">
      <c r="D233"/>
      <c r="G233"/>
    </row>
    <row r="234" spans="4:7" x14ac:dyDescent="0.3">
      <c r="D234"/>
      <c r="G234"/>
    </row>
    <row r="235" spans="4:7" x14ac:dyDescent="0.3">
      <c r="D235"/>
      <c r="G235"/>
    </row>
    <row r="236" spans="4:7" x14ac:dyDescent="0.3">
      <c r="D236"/>
      <c r="G236"/>
    </row>
    <row r="237" spans="4:7" x14ac:dyDescent="0.3">
      <c r="D237"/>
      <c r="G237"/>
    </row>
    <row r="238" spans="4:7" x14ac:dyDescent="0.3">
      <c r="D238"/>
      <c r="G238"/>
    </row>
    <row r="239" spans="4:7" x14ac:dyDescent="0.3">
      <c r="D239"/>
      <c r="G239"/>
    </row>
    <row r="240" spans="4:7" x14ac:dyDescent="0.3">
      <c r="D240"/>
      <c r="G240"/>
    </row>
    <row r="241" spans="4:7" x14ac:dyDescent="0.3">
      <c r="D241"/>
      <c r="G241"/>
    </row>
    <row r="242" spans="4:7" x14ac:dyDescent="0.3">
      <c r="D242"/>
      <c r="G242"/>
    </row>
    <row r="243" spans="4:7" x14ac:dyDescent="0.3">
      <c r="D243"/>
      <c r="G243"/>
    </row>
    <row r="244" spans="4:7" x14ac:dyDescent="0.3">
      <c r="D244"/>
      <c r="G244"/>
    </row>
    <row r="245" spans="4:7" x14ac:dyDescent="0.3">
      <c r="D245"/>
      <c r="G245"/>
    </row>
    <row r="246" spans="4:7" x14ac:dyDescent="0.3">
      <c r="D246"/>
      <c r="G246"/>
    </row>
    <row r="247" spans="4:7" x14ac:dyDescent="0.3">
      <c r="D247"/>
      <c r="G247"/>
    </row>
    <row r="248" spans="4:7" x14ac:dyDescent="0.3">
      <c r="D248"/>
      <c r="G248"/>
    </row>
    <row r="249" spans="4:7" x14ac:dyDescent="0.3">
      <c r="D249"/>
      <c r="G249"/>
    </row>
    <row r="250" spans="4:7" x14ac:dyDescent="0.3">
      <c r="D250"/>
      <c r="G250"/>
    </row>
    <row r="251" spans="4:7" x14ac:dyDescent="0.3">
      <c r="D251"/>
      <c r="G251"/>
    </row>
    <row r="252" spans="4:7" x14ac:dyDescent="0.3">
      <c r="D252"/>
      <c r="G252"/>
    </row>
    <row r="253" spans="4:7" x14ac:dyDescent="0.3">
      <c r="D253"/>
      <c r="G253"/>
    </row>
    <row r="254" spans="4:7" x14ac:dyDescent="0.3">
      <c r="D254"/>
      <c r="G254"/>
    </row>
    <row r="255" spans="4:7" x14ac:dyDescent="0.3">
      <c r="D255"/>
      <c r="G255"/>
    </row>
    <row r="256" spans="4:7" x14ac:dyDescent="0.3">
      <c r="D256"/>
      <c r="G256"/>
    </row>
    <row r="257" spans="4:7" x14ac:dyDescent="0.3">
      <c r="D257"/>
      <c r="G257"/>
    </row>
    <row r="258" spans="4:7" x14ac:dyDescent="0.3">
      <c r="D258"/>
      <c r="G258"/>
    </row>
    <row r="259" spans="4:7" x14ac:dyDescent="0.3">
      <c r="D259"/>
      <c r="G259"/>
    </row>
    <row r="260" spans="4:7" x14ac:dyDescent="0.3">
      <c r="D260"/>
      <c r="G260"/>
    </row>
    <row r="261" spans="4:7" x14ac:dyDescent="0.3">
      <c r="D261"/>
      <c r="G261"/>
    </row>
    <row r="262" spans="4:7" x14ac:dyDescent="0.3">
      <c r="D262"/>
      <c r="G262"/>
    </row>
    <row r="263" spans="4:7" x14ac:dyDescent="0.3">
      <c r="D263"/>
      <c r="G263"/>
    </row>
    <row r="264" spans="4:7" x14ac:dyDescent="0.3">
      <c r="D264"/>
      <c r="G264"/>
    </row>
    <row r="265" spans="4:7" x14ac:dyDescent="0.3">
      <c r="D265"/>
      <c r="G265"/>
    </row>
    <row r="266" spans="4:7" x14ac:dyDescent="0.3">
      <c r="D266"/>
      <c r="G266"/>
    </row>
    <row r="267" spans="4:7" x14ac:dyDescent="0.3">
      <c r="D267"/>
      <c r="G267"/>
    </row>
    <row r="268" spans="4:7" x14ac:dyDescent="0.3">
      <c r="D268"/>
      <c r="G268"/>
    </row>
    <row r="269" spans="4:7" x14ac:dyDescent="0.3">
      <c r="D269"/>
      <c r="G269"/>
    </row>
    <row r="270" spans="4:7" x14ac:dyDescent="0.3">
      <c r="D270"/>
      <c r="G270"/>
    </row>
    <row r="271" spans="4:7" x14ac:dyDescent="0.3">
      <c r="D271"/>
      <c r="G271"/>
    </row>
    <row r="272" spans="4:7" x14ac:dyDescent="0.3">
      <c r="D272"/>
      <c r="G272"/>
    </row>
    <row r="273" spans="4:7" x14ac:dyDescent="0.3">
      <c r="D273"/>
      <c r="G273"/>
    </row>
    <row r="274" spans="4:7" x14ac:dyDescent="0.3">
      <c r="D274"/>
      <c r="G274"/>
    </row>
    <row r="275" spans="4:7" x14ac:dyDescent="0.3">
      <c r="D275"/>
      <c r="G275"/>
    </row>
    <row r="276" spans="4:7" x14ac:dyDescent="0.3">
      <c r="D276"/>
      <c r="G276"/>
    </row>
    <row r="277" spans="4:7" x14ac:dyDescent="0.3">
      <c r="D277"/>
      <c r="G277"/>
    </row>
    <row r="278" spans="4:7" x14ac:dyDescent="0.3">
      <c r="D278"/>
      <c r="G278"/>
    </row>
    <row r="279" spans="4:7" x14ac:dyDescent="0.3">
      <c r="D279"/>
      <c r="G279"/>
    </row>
    <row r="280" spans="4:7" x14ac:dyDescent="0.3">
      <c r="D280"/>
      <c r="G280"/>
    </row>
    <row r="281" spans="4:7" x14ac:dyDescent="0.3">
      <c r="D281"/>
      <c r="G281"/>
    </row>
    <row r="282" spans="4:7" x14ac:dyDescent="0.3">
      <c r="D282"/>
      <c r="G282"/>
    </row>
    <row r="283" spans="4:7" x14ac:dyDescent="0.3">
      <c r="D283"/>
      <c r="G283"/>
    </row>
    <row r="284" spans="4:7" x14ac:dyDescent="0.3">
      <c r="D284"/>
      <c r="G284"/>
    </row>
    <row r="285" spans="4:7" x14ac:dyDescent="0.3">
      <c r="D285"/>
      <c r="G285"/>
    </row>
    <row r="286" spans="4:7" x14ac:dyDescent="0.3">
      <c r="D286"/>
      <c r="G286"/>
    </row>
    <row r="287" spans="4:7" x14ac:dyDescent="0.3">
      <c r="D287"/>
      <c r="G287"/>
    </row>
    <row r="288" spans="4:7" x14ac:dyDescent="0.3">
      <c r="D288"/>
      <c r="G288"/>
    </row>
    <row r="289" spans="4:7" x14ac:dyDescent="0.3">
      <c r="D289"/>
      <c r="G289"/>
    </row>
    <row r="290" spans="4:7" x14ac:dyDescent="0.3">
      <c r="D290"/>
      <c r="G290"/>
    </row>
    <row r="291" spans="4:7" x14ac:dyDescent="0.3">
      <c r="D291"/>
      <c r="G291"/>
    </row>
    <row r="292" spans="4:7" x14ac:dyDescent="0.3">
      <c r="D292"/>
      <c r="G292"/>
    </row>
    <row r="293" spans="4:7" x14ac:dyDescent="0.3">
      <c r="D293"/>
      <c r="G293"/>
    </row>
    <row r="294" spans="4:7" x14ac:dyDescent="0.3">
      <c r="D294"/>
      <c r="G294"/>
    </row>
    <row r="295" spans="4:7" x14ac:dyDescent="0.3">
      <c r="D295"/>
      <c r="G295"/>
    </row>
    <row r="296" spans="4:7" x14ac:dyDescent="0.3">
      <c r="D296"/>
      <c r="G296"/>
    </row>
    <row r="297" spans="4:7" x14ac:dyDescent="0.3">
      <c r="D297"/>
      <c r="G297"/>
    </row>
    <row r="298" spans="4:7" x14ac:dyDescent="0.3">
      <c r="D298"/>
      <c r="G298"/>
    </row>
    <row r="299" spans="4:7" x14ac:dyDescent="0.3">
      <c r="D299"/>
      <c r="G299"/>
    </row>
    <row r="300" spans="4:7" x14ac:dyDescent="0.3">
      <c r="D300"/>
      <c r="G300"/>
    </row>
    <row r="301" spans="4:7" x14ac:dyDescent="0.3">
      <c r="D301"/>
      <c r="G301"/>
    </row>
    <row r="302" spans="4:7" x14ac:dyDescent="0.3">
      <c r="D302"/>
      <c r="G302"/>
    </row>
    <row r="303" spans="4:7" x14ac:dyDescent="0.3">
      <c r="D303"/>
      <c r="G303"/>
    </row>
    <row r="304" spans="4:7" x14ac:dyDescent="0.3">
      <c r="D304"/>
      <c r="G304"/>
    </row>
    <row r="305" spans="4:7" x14ac:dyDescent="0.3">
      <c r="D305"/>
      <c r="G305"/>
    </row>
    <row r="306" spans="4:7" x14ac:dyDescent="0.3">
      <c r="D306"/>
      <c r="G306"/>
    </row>
    <row r="307" spans="4:7" x14ac:dyDescent="0.3">
      <c r="D307"/>
      <c r="G307"/>
    </row>
    <row r="308" spans="4:7" x14ac:dyDescent="0.3">
      <c r="D308"/>
      <c r="G308"/>
    </row>
    <row r="309" spans="4:7" x14ac:dyDescent="0.3">
      <c r="D309"/>
      <c r="G309"/>
    </row>
    <row r="310" spans="4:7" x14ac:dyDescent="0.3">
      <c r="D310"/>
      <c r="G310"/>
    </row>
    <row r="311" spans="4:7" x14ac:dyDescent="0.3">
      <c r="D311"/>
      <c r="G311"/>
    </row>
    <row r="312" spans="4:7" x14ac:dyDescent="0.3">
      <c r="D312"/>
      <c r="G312"/>
    </row>
    <row r="313" spans="4:7" x14ac:dyDescent="0.3">
      <c r="D313"/>
      <c r="G313"/>
    </row>
    <row r="314" spans="4:7" x14ac:dyDescent="0.3">
      <c r="D314"/>
      <c r="G314"/>
    </row>
    <row r="315" spans="4:7" x14ac:dyDescent="0.3">
      <c r="D315"/>
      <c r="G315"/>
    </row>
    <row r="316" spans="4:7" x14ac:dyDescent="0.3">
      <c r="D316"/>
      <c r="G316"/>
    </row>
    <row r="317" spans="4:7" x14ac:dyDescent="0.3">
      <c r="D317"/>
      <c r="G317"/>
    </row>
    <row r="318" spans="4:7" x14ac:dyDescent="0.3">
      <c r="D318"/>
      <c r="G318"/>
    </row>
    <row r="319" spans="4:7" x14ac:dyDescent="0.3">
      <c r="D319"/>
      <c r="G319"/>
    </row>
    <row r="320" spans="4:7" x14ac:dyDescent="0.3">
      <c r="D320"/>
      <c r="G320"/>
    </row>
    <row r="321" spans="4:7" x14ac:dyDescent="0.3">
      <c r="D321"/>
      <c r="G321"/>
    </row>
    <row r="322" spans="4:7" x14ac:dyDescent="0.3">
      <c r="D322"/>
      <c r="G322"/>
    </row>
    <row r="323" spans="4:7" x14ac:dyDescent="0.3">
      <c r="D323"/>
      <c r="G323"/>
    </row>
    <row r="324" spans="4:7" x14ac:dyDescent="0.3">
      <c r="D324"/>
      <c r="G324"/>
    </row>
    <row r="325" spans="4:7" x14ac:dyDescent="0.3">
      <c r="D325"/>
      <c r="G325"/>
    </row>
    <row r="326" spans="4:7" x14ac:dyDescent="0.3">
      <c r="D326"/>
      <c r="G326"/>
    </row>
    <row r="327" spans="4:7" x14ac:dyDescent="0.3">
      <c r="D327"/>
      <c r="G327"/>
    </row>
  </sheetData>
  <autoFilter ref="B3:L194" xr:uid="{00000000-0009-0000-0000-000000000000}"/>
  <sortState xmlns:xlrd2="http://schemas.microsoft.com/office/spreadsheetml/2017/richdata2" ref="C9:L182">
    <sortCondition ref="C9:C182"/>
    <sortCondition ref="F9:F182"/>
  </sortState>
  <mergeCells count="8">
    <mergeCell ref="I2:K2"/>
    <mergeCell ref="G1:L1"/>
    <mergeCell ref="B1:C1"/>
    <mergeCell ref="D1:E1"/>
    <mergeCell ref="B191:B194"/>
    <mergeCell ref="B8:B190"/>
    <mergeCell ref="B4:B7"/>
    <mergeCell ref="B2:H2"/>
  </mergeCells>
  <printOptions horizontalCentered="1"/>
  <pageMargins left="0.31496062992125984" right="0.31496062992125984" top="0.19685039370078741" bottom="0.19685039370078741" header="0.31496062992125984" footer="0.31496062992125984"/>
  <pageSetup paperSize="5" scale="10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N327"/>
  <sheetViews>
    <sheetView workbookViewId="0">
      <selection sqref="A1:I1"/>
    </sheetView>
  </sheetViews>
  <sheetFormatPr baseColWidth="10" defaultRowHeight="18" x14ac:dyDescent="0.3"/>
  <cols>
    <col min="1" max="1" width="3.6640625" bestFit="1" customWidth="1"/>
    <col min="2" max="2" width="5.6640625" style="41" hidden="1" customWidth="1"/>
    <col min="3" max="3" width="5.88671875" style="1" hidden="1" customWidth="1"/>
    <col min="4" max="4" width="4.6640625" bestFit="1" customWidth="1"/>
    <col min="5" max="5" width="16.33203125" style="31" bestFit="1" customWidth="1"/>
    <col min="6" max="6" width="35.33203125" style="1" customWidth="1"/>
    <col min="7" max="7" width="8.5546875" style="5" customWidth="1"/>
    <col min="8" max="8" width="8.33203125" style="5" bestFit="1" customWidth="1"/>
    <col min="9" max="9" width="8.33203125" style="1" hidden="1" customWidth="1"/>
    <col min="10" max="10" width="1.5546875" customWidth="1"/>
    <col min="11" max="11" width="7.33203125" style="1" bestFit="1" customWidth="1"/>
    <col min="12" max="12" width="7.33203125" hidden="1" customWidth="1"/>
    <col min="13" max="13" width="10.33203125" style="1" customWidth="1"/>
    <col min="14" max="14" width="11" style="127" customWidth="1"/>
  </cols>
  <sheetData>
    <row r="1" spans="1:14" ht="34.5" customHeight="1" thickBot="1" x14ac:dyDescent="0.35">
      <c r="A1" s="1101" t="s">
        <v>504</v>
      </c>
      <c r="B1" s="1102"/>
      <c r="C1" s="1102"/>
      <c r="D1" s="1102"/>
      <c r="E1" s="1102"/>
      <c r="F1" s="1102"/>
      <c r="G1" s="1102"/>
      <c r="H1" s="1102"/>
      <c r="I1" s="1103"/>
      <c r="K1" s="1101" t="s">
        <v>513</v>
      </c>
      <c r="L1" s="1102"/>
      <c r="M1" s="1103"/>
    </row>
    <row r="2" spans="1:14" ht="29.4" thickBot="1" x14ac:dyDescent="0.35">
      <c r="A2" s="66" t="s">
        <v>508</v>
      </c>
      <c r="B2" s="64" t="s">
        <v>503</v>
      </c>
      <c r="C2" s="80" t="s">
        <v>19</v>
      </c>
      <c r="D2" s="63" t="s">
        <v>512</v>
      </c>
      <c r="E2" s="64" t="s">
        <v>453</v>
      </c>
      <c r="F2" s="87" t="s">
        <v>20</v>
      </c>
      <c r="G2" s="103" t="s">
        <v>503</v>
      </c>
      <c r="H2" s="103" t="s">
        <v>19</v>
      </c>
      <c r="I2" s="91" t="s">
        <v>517</v>
      </c>
      <c r="K2" s="72" t="s">
        <v>514</v>
      </c>
      <c r="L2" s="105" t="s">
        <v>515</v>
      </c>
      <c r="M2" s="109" t="s">
        <v>516</v>
      </c>
      <c r="N2" s="126" t="s">
        <v>518</v>
      </c>
    </row>
    <row r="3" spans="1:14" ht="19.5" customHeight="1" x14ac:dyDescent="0.3">
      <c r="A3" s="1108" t="s">
        <v>507</v>
      </c>
      <c r="B3" s="46" t="s">
        <v>462</v>
      </c>
      <c r="C3" s="69" t="s">
        <v>356</v>
      </c>
      <c r="D3" s="27" t="s">
        <v>509</v>
      </c>
      <c r="E3" s="46" t="s">
        <v>449</v>
      </c>
      <c r="F3" s="89" t="s">
        <v>227</v>
      </c>
      <c r="G3" s="116" t="s">
        <v>462</v>
      </c>
      <c r="H3" s="116" t="s">
        <v>356</v>
      </c>
      <c r="I3" s="92">
        <v>12813.714285714286</v>
      </c>
      <c r="K3" s="124">
        <f>+L3*2</f>
        <v>25627.428571428572</v>
      </c>
      <c r="L3" s="106">
        <f>+I3</f>
        <v>12813.714285714286</v>
      </c>
      <c r="M3" s="1111">
        <v>18500</v>
      </c>
      <c r="N3" s="1104">
        <f>+K3+K4+K5+K6-M3</f>
        <v>12390</v>
      </c>
    </row>
    <row r="4" spans="1:14" ht="19.5" hidden="1" customHeight="1" x14ac:dyDescent="0.3">
      <c r="A4" s="1109"/>
      <c r="B4" s="43" t="s">
        <v>462</v>
      </c>
      <c r="C4" s="70" t="s">
        <v>357</v>
      </c>
      <c r="D4" s="23" t="s">
        <v>509</v>
      </c>
      <c r="E4" s="43" t="s">
        <v>449</v>
      </c>
      <c r="F4" s="90" t="s">
        <v>359</v>
      </c>
      <c r="G4" s="117" t="s">
        <v>462</v>
      </c>
      <c r="H4" s="117" t="s">
        <v>357</v>
      </c>
      <c r="I4" s="93">
        <v>970.28571428571433</v>
      </c>
      <c r="K4" s="110">
        <f t="shared" ref="K4:K68" si="0">+L4*2</f>
        <v>1940.5714285714287</v>
      </c>
      <c r="L4" s="107">
        <f t="shared" ref="L4:L68" si="1">+I4</f>
        <v>970.28571428571433</v>
      </c>
      <c r="M4" s="1112"/>
      <c r="N4" s="1105"/>
    </row>
    <row r="5" spans="1:14" ht="19.5" hidden="1" customHeight="1" x14ac:dyDescent="0.3">
      <c r="A5" s="1109"/>
      <c r="B5" s="43" t="s">
        <v>462</v>
      </c>
      <c r="C5" s="70" t="s">
        <v>408</v>
      </c>
      <c r="D5" s="23" t="s">
        <v>509</v>
      </c>
      <c r="E5" s="43" t="s">
        <v>449</v>
      </c>
      <c r="F5" s="90" t="s">
        <v>409</v>
      </c>
      <c r="G5" s="117" t="s">
        <v>462</v>
      </c>
      <c r="H5" s="117" t="s">
        <v>408</v>
      </c>
      <c r="I5" s="93">
        <v>305</v>
      </c>
      <c r="K5" s="50">
        <f t="shared" si="0"/>
        <v>610</v>
      </c>
      <c r="L5" s="107">
        <f t="shared" si="1"/>
        <v>305</v>
      </c>
      <c r="M5" s="1112"/>
      <c r="N5" s="1105"/>
    </row>
    <row r="6" spans="1:14" ht="19.5" hidden="1" customHeight="1" thickBot="1" x14ac:dyDescent="0.35">
      <c r="A6" s="1110"/>
      <c r="B6" s="60" t="s">
        <v>462</v>
      </c>
      <c r="C6" s="76">
        <v>35</v>
      </c>
      <c r="D6" s="28" t="s">
        <v>511</v>
      </c>
      <c r="E6" s="60" t="s">
        <v>449</v>
      </c>
      <c r="F6" s="88" t="s">
        <v>227</v>
      </c>
      <c r="G6" s="118" t="s">
        <v>462</v>
      </c>
      <c r="H6" s="118">
        <v>35</v>
      </c>
      <c r="I6" s="94">
        <v>1356</v>
      </c>
      <c r="K6" s="50">
        <f t="shared" si="0"/>
        <v>2712</v>
      </c>
      <c r="L6" s="107">
        <f t="shared" si="1"/>
        <v>1356</v>
      </c>
      <c r="M6" s="1113"/>
      <c r="N6" s="1106"/>
    </row>
    <row r="7" spans="1:14" ht="19.5" hidden="1" customHeight="1" x14ac:dyDescent="0.3">
      <c r="A7" s="1108" t="s">
        <v>510</v>
      </c>
      <c r="B7" s="85" t="s">
        <v>460</v>
      </c>
      <c r="C7" s="77" t="s">
        <v>402</v>
      </c>
      <c r="D7" s="27" t="s">
        <v>509</v>
      </c>
      <c r="E7" s="46" t="s">
        <v>505</v>
      </c>
      <c r="F7" s="89" t="s">
        <v>403</v>
      </c>
      <c r="G7" s="116" t="s">
        <v>460</v>
      </c>
      <c r="H7" s="119" t="s">
        <v>402</v>
      </c>
      <c r="I7" s="95">
        <v>42</v>
      </c>
      <c r="K7" s="50"/>
      <c r="L7" s="107"/>
      <c r="M7" s="190"/>
      <c r="N7" s="128"/>
    </row>
    <row r="8" spans="1:14" ht="19.5" hidden="1" customHeight="1" thickBot="1" x14ac:dyDescent="0.35">
      <c r="A8" s="1109"/>
      <c r="B8" s="86" t="s">
        <v>460</v>
      </c>
      <c r="C8" s="76" t="s">
        <v>297</v>
      </c>
      <c r="D8" s="28" t="s">
        <v>509</v>
      </c>
      <c r="E8" s="60" t="s">
        <v>505</v>
      </c>
      <c r="F8" s="88" t="s">
        <v>311</v>
      </c>
      <c r="G8" s="118" t="s">
        <v>460</v>
      </c>
      <c r="H8" s="118" t="s">
        <v>297</v>
      </c>
      <c r="I8" s="96">
        <v>130.28571428571428</v>
      </c>
      <c r="K8" s="110"/>
      <c r="L8" s="107"/>
      <c r="M8" s="189"/>
      <c r="N8" s="128"/>
    </row>
    <row r="9" spans="1:14" ht="19.5" hidden="1" customHeight="1" x14ac:dyDescent="0.3">
      <c r="A9" s="1109"/>
      <c r="B9" s="69" t="s">
        <v>460</v>
      </c>
      <c r="C9" s="33"/>
      <c r="D9" s="27" t="s">
        <v>509</v>
      </c>
      <c r="E9" s="46" t="s">
        <v>505</v>
      </c>
      <c r="F9" s="89"/>
      <c r="G9" s="116" t="s">
        <v>460</v>
      </c>
      <c r="H9" s="116"/>
      <c r="I9" s="97">
        <f>SUM(I7:I8)</f>
        <v>172.28571428571428</v>
      </c>
      <c r="K9" s="110">
        <f t="shared" si="0"/>
        <v>344.57142857142856</v>
      </c>
      <c r="L9" s="107">
        <f t="shared" si="1"/>
        <v>172.28571428571428</v>
      </c>
      <c r="M9" s="183">
        <v>2000</v>
      </c>
      <c r="N9" s="129">
        <f>+K9-M9</f>
        <v>-1655.4285714285716</v>
      </c>
    </row>
    <row r="10" spans="1:14" ht="19.5" hidden="1" customHeight="1" x14ac:dyDescent="0.3">
      <c r="A10" s="1109"/>
      <c r="B10" s="70" t="s">
        <v>460</v>
      </c>
      <c r="C10" s="32" t="s">
        <v>319</v>
      </c>
      <c r="D10" s="23" t="s">
        <v>509</v>
      </c>
      <c r="E10" s="43" t="s">
        <v>335</v>
      </c>
      <c r="F10" s="90" t="s">
        <v>323</v>
      </c>
      <c r="G10" s="117" t="s">
        <v>460</v>
      </c>
      <c r="H10" s="117" t="s">
        <v>319</v>
      </c>
      <c r="I10" s="98">
        <v>258</v>
      </c>
      <c r="K10" s="50"/>
      <c r="L10" s="107"/>
      <c r="M10" s="183"/>
      <c r="N10" s="128"/>
    </row>
    <row r="11" spans="1:14" ht="19.5" hidden="1" customHeight="1" x14ac:dyDescent="0.3">
      <c r="A11" s="1109"/>
      <c r="B11" s="70" t="s">
        <v>460</v>
      </c>
      <c r="C11" s="32" t="s">
        <v>320</v>
      </c>
      <c r="D11" s="23" t="s">
        <v>509</v>
      </c>
      <c r="E11" s="43" t="s">
        <v>335</v>
      </c>
      <c r="F11" s="90" t="s">
        <v>324</v>
      </c>
      <c r="G11" s="117" t="s">
        <v>460</v>
      </c>
      <c r="H11" s="117" t="s">
        <v>320</v>
      </c>
      <c r="I11" s="98">
        <v>244</v>
      </c>
      <c r="K11" s="50"/>
      <c r="L11" s="107"/>
      <c r="M11" s="183"/>
      <c r="N11" s="128"/>
    </row>
    <row r="12" spans="1:14" ht="19.5" hidden="1" customHeight="1" x14ac:dyDescent="0.3">
      <c r="A12" s="1109"/>
      <c r="B12" s="70" t="s">
        <v>460</v>
      </c>
      <c r="C12" s="32" t="s">
        <v>321</v>
      </c>
      <c r="D12" s="23" t="s">
        <v>509</v>
      </c>
      <c r="E12" s="43" t="s">
        <v>335</v>
      </c>
      <c r="F12" s="90" t="s">
        <v>325</v>
      </c>
      <c r="G12" s="117" t="s">
        <v>460</v>
      </c>
      <c r="H12" s="117" t="s">
        <v>321</v>
      </c>
      <c r="I12" s="98">
        <v>243.42857142857142</v>
      </c>
      <c r="K12" s="110"/>
      <c r="L12" s="107"/>
      <c r="M12" s="183"/>
      <c r="N12" s="128"/>
    </row>
    <row r="13" spans="1:14" ht="19.5" hidden="1" customHeight="1" x14ac:dyDescent="0.3">
      <c r="A13" s="1109"/>
      <c r="B13" s="70" t="s">
        <v>460</v>
      </c>
      <c r="C13" s="32" t="s">
        <v>322</v>
      </c>
      <c r="D13" s="23" t="s">
        <v>509</v>
      </c>
      <c r="E13" s="43" t="s">
        <v>335</v>
      </c>
      <c r="F13" s="90" t="s">
        <v>326</v>
      </c>
      <c r="G13" s="117" t="s">
        <v>460</v>
      </c>
      <c r="H13" s="117" t="s">
        <v>322</v>
      </c>
      <c r="I13" s="98">
        <v>1163.4285714285713</v>
      </c>
      <c r="K13" s="50"/>
      <c r="L13" s="107"/>
      <c r="M13" s="183"/>
      <c r="N13" s="128"/>
    </row>
    <row r="14" spans="1:14" ht="19.5" hidden="1" customHeight="1" x14ac:dyDescent="0.3">
      <c r="A14" s="1109"/>
      <c r="B14" s="70" t="s">
        <v>460</v>
      </c>
      <c r="C14" s="78" t="s">
        <v>423</v>
      </c>
      <c r="D14" s="23" t="s">
        <v>509</v>
      </c>
      <c r="E14" s="43" t="s">
        <v>335</v>
      </c>
      <c r="F14" s="90" t="s">
        <v>425</v>
      </c>
      <c r="G14" s="117" t="s">
        <v>460</v>
      </c>
      <c r="H14" s="120" t="s">
        <v>423</v>
      </c>
      <c r="I14" s="98">
        <v>230.85714285714286</v>
      </c>
      <c r="K14" s="110"/>
      <c r="L14" s="107"/>
      <c r="M14" s="183"/>
      <c r="N14" s="128"/>
    </row>
    <row r="15" spans="1:14" ht="19.5" hidden="1" customHeight="1" x14ac:dyDescent="0.3">
      <c r="A15" s="1109"/>
      <c r="B15" s="70" t="s">
        <v>460</v>
      </c>
      <c r="C15" s="78" t="s">
        <v>424</v>
      </c>
      <c r="D15" s="23" t="s">
        <v>509</v>
      </c>
      <c r="E15" s="43" t="s">
        <v>335</v>
      </c>
      <c r="F15" s="90" t="s">
        <v>426</v>
      </c>
      <c r="G15" s="117" t="s">
        <v>460</v>
      </c>
      <c r="H15" s="120" t="s">
        <v>424</v>
      </c>
      <c r="I15" s="98">
        <v>208</v>
      </c>
      <c r="K15" s="50"/>
      <c r="L15" s="107"/>
      <c r="M15" s="183"/>
      <c r="N15" s="128"/>
    </row>
    <row r="16" spans="1:14" ht="19.5" hidden="1" customHeight="1" x14ac:dyDescent="0.3">
      <c r="A16" s="1109"/>
      <c r="B16" s="70" t="s">
        <v>460</v>
      </c>
      <c r="C16" s="32" t="s">
        <v>327</v>
      </c>
      <c r="D16" s="23" t="s">
        <v>509</v>
      </c>
      <c r="E16" s="43" t="s">
        <v>335</v>
      </c>
      <c r="F16" s="90" t="s">
        <v>331</v>
      </c>
      <c r="G16" s="117" t="s">
        <v>460</v>
      </c>
      <c r="H16" s="117" t="s">
        <v>327</v>
      </c>
      <c r="I16" s="98">
        <v>788.57142857142856</v>
      </c>
      <c r="K16" s="50"/>
      <c r="L16" s="107"/>
      <c r="M16" s="183"/>
      <c r="N16" s="128"/>
    </row>
    <row r="17" spans="1:14" ht="19.5" hidden="1" customHeight="1" x14ac:dyDescent="0.3">
      <c r="A17" s="1109"/>
      <c r="B17" s="70" t="s">
        <v>460</v>
      </c>
      <c r="C17" s="32" t="s">
        <v>328</v>
      </c>
      <c r="D17" s="23" t="s">
        <v>509</v>
      </c>
      <c r="E17" s="43" t="s">
        <v>335</v>
      </c>
      <c r="F17" s="90" t="s">
        <v>332</v>
      </c>
      <c r="G17" s="117" t="s">
        <v>460</v>
      </c>
      <c r="H17" s="117" t="s">
        <v>328</v>
      </c>
      <c r="I17" s="98">
        <v>526.28571428571433</v>
      </c>
      <c r="K17" s="50"/>
      <c r="L17" s="107"/>
      <c r="M17" s="183"/>
      <c r="N17" s="128"/>
    </row>
    <row r="18" spans="1:14" ht="19.5" hidden="1" customHeight="1" x14ac:dyDescent="0.3">
      <c r="A18" s="1109"/>
      <c r="B18" s="70" t="s">
        <v>460</v>
      </c>
      <c r="C18" s="32" t="s">
        <v>329</v>
      </c>
      <c r="D18" s="23" t="s">
        <v>509</v>
      </c>
      <c r="E18" s="43" t="s">
        <v>335</v>
      </c>
      <c r="F18" s="90" t="s">
        <v>333</v>
      </c>
      <c r="G18" s="117" t="s">
        <v>460</v>
      </c>
      <c r="H18" s="117" t="s">
        <v>329</v>
      </c>
      <c r="I18" s="98">
        <v>126.85714285714286</v>
      </c>
      <c r="K18" s="110"/>
      <c r="L18" s="107"/>
      <c r="M18" s="183"/>
      <c r="N18" s="128"/>
    </row>
    <row r="19" spans="1:14" ht="19.5" hidden="1" customHeight="1" x14ac:dyDescent="0.3">
      <c r="A19" s="1109"/>
      <c r="B19" s="70" t="s">
        <v>460</v>
      </c>
      <c r="C19" s="32" t="s">
        <v>330</v>
      </c>
      <c r="D19" s="23" t="s">
        <v>509</v>
      </c>
      <c r="E19" s="43" t="s">
        <v>335</v>
      </c>
      <c r="F19" s="90" t="s">
        <v>334</v>
      </c>
      <c r="G19" s="117" t="s">
        <v>460</v>
      </c>
      <c r="H19" s="117" t="s">
        <v>330</v>
      </c>
      <c r="I19" s="98">
        <v>248</v>
      </c>
      <c r="K19" s="50"/>
      <c r="L19" s="107"/>
      <c r="M19" s="183"/>
      <c r="N19" s="128"/>
    </row>
    <row r="20" spans="1:14" ht="19.5" hidden="1" customHeight="1" x14ac:dyDescent="0.3">
      <c r="A20" s="1109"/>
      <c r="B20" s="70" t="s">
        <v>460</v>
      </c>
      <c r="C20" s="78" t="s">
        <v>431</v>
      </c>
      <c r="D20" s="23" t="s">
        <v>509</v>
      </c>
      <c r="E20" s="43" t="s">
        <v>335</v>
      </c>
      <c r="F20" s="90" t="s">
        <v>433</v>
      </c>
      <c r="G20" s="117" t="s">
        <v>460</v>
      </c>
      <c r="H20" s="120" t="s">
        <v>431</v>
      </c>
      <c r="I20" s="98">
        <v>277.71428571428572</v>
      </c>
      <c r="K20" s="110"/>
      <c r="L20" s="107"/>
      <c r="M20" s="183"/>
      <c r="N20" s="128"/>
    </row>
    <row r="21" spans="1:14" ht="19.5" hidden="1" customHeight="1" x14ac:dyDescent="0.3">
      <c r="A21" s="1109"/>
      <c r="B21" s="70" t="s">
        <v>460</v>
      </c>
      <c r="C21" s="78"/>
      <c r="D21" s="24" t="s">
        <v>509</v>
      </c>
      <c r="E21" s="182" t="s">
        <v>335</v>
      </c>
      <c r="F21" s="112"/>
      <c r="G21" s="117" t="s">
        <v>460</v>
      </c>
      <c r="H21" s="120"/>
      <c r="I21" s="99">
        <f>SUM(I10:I20)</f>
        <v>4315.142857142856</v>
      </c>
      <c r="K21" s="181">
        <f t="shared" si="0"/>
        <v>8630.2857142857119</v>
      </c>
      <c r="L21" s="107">
        <f t="shared" si="1"/>
        <v>4315.142857142856</v>
      </c>
      <c r="M21" s="183">
        <v>12800</v>
      </c>
      <c r="N21" s="129">
        <f t="shared" ref="N21:N42" si="2">+K21-M21</f>
        <v>-4169.7142857142881</v>
      </c>
    </row>
    <row r="22" spans="1:14" ht="19.5" hidden="1" customHeight="1" x14ac:dyDescent="0.3">
      <c r="A22" s="1109"/>
      <c r="B22" s="70" t="s">
        <v>484</v>
      </c>
      <c r="C22" s="32" t="s">
        <v>99</v>
      </c>
      <c r="D22" s="23" t="s">
        <v>509</v>
      </c>
      <c r="E22" s="43" t="s">
        <v>495</v>
      </c>
      <c r="F22" s="90" t="s">
        <v>100</v>
      </c>
      <c r="G22" s="117" t="s">
        <v>484</v>
      </c>
      <c r="H22" s="117" t="s">
        <v>99</v>
      </c>
      <c r="I22" s="98">
        <v>385.71428571428572</v>
      </c>
      <c r="K22" s="110">
        <f t="shared" si="0"/>
        <v>771.42857142857144</v>
      </c>
      <c r="L22" s="107">
        <f t="shared" si="1"/>
        <v>385.71428571428572</v>
      </c>
      <c r="M22" s="183">
        <v>1100</v>
      </c>
      <c r="N22" s="129">
        <f t="shared" si="2"/>
        <v>-328.57142857142856</v>
      </c>
    </row>
    <row r="23" spans="1:14" ht="19.5" hidden="1" customHeight="1" x14ac:dyDescent="0.3">
      <c r="A23" s="1109"/>
      <c r="B23" s="70" t="s">
        <v>484</v>
      </c>
      <c r="C23" s="32" t="s">
        <v>101</v>
      </c>
      <c r="D23" s="23" t="s">
        <v>509</v>
      </c>
      <c r="E23" s="43" t="s">
        <v>495</v>
      </c>
      <c r="F23" s="90" t="s">
        <v>102</v>
      </c>
      <c r="G23" s="117" t="s">
        <v>484</v>
      </c>
      <c r="H23" s="117" t="s">
        <v>101</v>
      </c>
      <c r="I23" s="98">
        <v>462.85714285714283</v>
      </c>
      <c r="K23" s="110">
        <f t="shared" si="0"/>
        <v>925.71428571428567</v>
      </c>
      <c r="L23" s="107">
        <f t="shared" si="1"/>
        <v>462.85714285714283</v>
      </c>
      <c r="M23" s="183">
        <v>510</v>
      </c>
      <c r="N23" s="129">
        <f t="shared" si="2"/>
        <v>415.71428571428567</v>
      </c>
    </row>
    <row r="24" spans="1:14" ht="19.5" customHeight="1" x14ac:dyDescent="0.3">
      <c r="A24" s="1109"/>
      <c r="B24" s="70" t="s">
        <v>484</v>
      </c>
      <c r="C24" s="32" t="s">
        <v>103</v>
      </c>
      <c r="D24" s="23" t="s">
        <v>509</v>
      </c>
      <c r="E24" s="43" t="s">
        <v>495</v>
      </c>
      <c r="F24" s="90" t="s">
        <v>104</v>
      </c>
      <c r="G24" s="117" t="s">
        <v>484</v>
      </c>
      <c r="H24" s="117" t="s">
        <v>103</v>
      </c>
      <c r="I24" s="98">
        <v>368.57142857142856</v>
      </c>
      <c r="K24" s="110">
        <f t="shared" si="0"/>
        <v>737.14285714285711</v>
      </c>
      <c r="L24" s="107">
        <f t="shared" si="1"/>
        <v>368.57142857142856</v>
      </c>
      <c r="M24" s="183">
        <v>550</v>
      </c>
      <c r="N24" s="129">
        <f t="shared" si="2"/>
        <v>187.14285714285711</v>
      </c>
    </row>
    <row r="25" spans="1:14" ht="19.5" hidden="1" customHeight="1" x14ac:dyDescent="0.3">
      <c r="A25" s="1109"/>
      <c r="B25" s="70" t="s">
        <v>484</v>
      </c>
      <c r="C25" s="78" t="s">
        <v>435</v>
      </c>
      <c r="D25" s="23" t="s">
        <v>509</v>
      </c>
      <c r="E25" s="43" t="s">
        <v>495</v>
      </c>
      <c r="F25" s="90" t="s">
        <v>436</v>
      </c>
      <c r="G25" s="117" t="s">
        <v>484</v>
      </c>
      <c r="H25" s="120" t="s">
        <v>435</v>
      </c>
      <c r="I25" s="98">
        <v>185.71428571428572</v>
      </c>
      <c r="K25" s="110">
        <f t="shared" si="0"/>
        <v>371.42857142857144</v>
      </c>
      <c r="L25" s="107">
        <f t="shared" si="1"/>
        <v>185.71428571428572</v>
      </c>
      <c r="M25" s="183">
        <v>735</v>
      </c>
      <c r="N25" s="129">
        <f t="shared" si="2"/>
        <v>-363.57142857142856</v>
      </c>
    </row>
    <row r="26" spans="1:14" ht="19.5" customHeight="1" x14ac:dyDescent="0.3">
      <c r="A26" s="1109"/>
      <c r="B26" s="70" t="s">
        <v>464</v>
      </c>
      <c r="C26" s="32" t="s">
        <v>27</v>
      </c>
      <c r="D26" s="24" t="s">
        <v>509</v>
      </c>
      <c r="E26" s="32" t="s">
        <v>501</v>
      </c>
      <c r="F26" s="90" t="s">
        <v>28</v>
      </c>
      <c r="G26" s="117" t="s">
        <v>464</v>
      </c>
      <c r="H26" s="117" t="s">
        <v>27</v>
      </c>
      <c r="I26" s="93">
        <v>1107.7142857142858</v>
      </c>
      <c r="K26" s="110">
        <f t="shared" si="0"/>
        <v>2215.4285714285716</v>
      </c>
      <c r="L26" s="107">
        <f t="shared" si="1"/>
        <v>1107.7142857142858</v>
      </c>
      <c r="M26" s="183">
        <v>500</v>
      </c>
      <c r="N26" s="129">
        <f t="shared" si="2"/>
        <v>1715.4285714285716</v>
      </c>
    </row>
    <row r="27" spans="1:14" ht="19.5" customHeight="1" x14ac:dyDescent="0.3">
      <c r="A27" s="1109"/>
      <c r="B27" s="70" t="s">
        <v>464</v>
      </c>
      <c r="C27" s="32" t="s">
        <v>35</v>
      </c>
      <c r="D27" s="24" t="s">
        <v>509</v>
      </c>
      <c r="E27" s="32" t="s">
        <v>501</v>
      </c>
      <c r="F27" s="90" t="s">
        <v>36</v>
      </c>
      <c r="G27" s="117" t="s">
        <v>464</v>
      </c>
      <c r="H27" s="117" t="s">
        <v>35</v>
      </c>
      <c r="I27" s="98">
        <v>1563.4285714285713</v>
      </c>
      <c r="K27" s="110">
        <f t="shared" si="0"/>
        <v>3126.8571428571427</v>
      </c>
      <c r="L27" s="107">
        <f t="shared" si="1"/>
        <v>1563.4285714285713</v>
      </c>
      <c r="M27" s="183">
        <v>100</v>
      </c>
      <c r="N27" s="129">
        <f t="shared" si="2"/>
        <v>3026.8571428571427</v>
      </c>
    </row>
    <row r="28" spans="1:14" ht="19.5" customHeight="1" x14ac:dyDescent="0.3">
      <c r="A28" s="1109"/>
      <c r="B28" s="70" t="s">
        <v>464</v>
      </c>
      <c r="C28" s="32" t="s">
        <v>41</v>
      </c>
      <c r="D28" s="24" t="s">
        <v>509</v>
      </c>
      <c r="E28" s="32" t="s">
        <v>501</v>
      </c>
      <c r="F28" s="90" t="s">
        <v>42</v>
      </c>
      <c r="G28" s="117" t="s">
        <v>464</v>
      </c>
      <c r="H28" s="117" t="s">
        <v>41</v>
      </c>
      <c r="I28" s="98">
        <v>3252</v>
      </c>
      <c r="K28" s="50">
        <f t="shared" si="0"/>
        <v>6504</v>
      </c>
      <c r="L28" s="107">
        <f t="shared" si="1"/>
        <v>3252</v>
      </c>
      <c r="M28" s="183">
        <v>1569</v>
      </c>
      <c r="N28" s="129">
        <f t="shared" si="2"/>
        <v>4935</v>
      </c>
    </row>
    <row r="29" spans="1:14" ht="19.5" customHeight="1" x14ac:dyDescent="0.3">
      <c r="A29" s="1109"/>
      <c r="B29" s="70" t="s">
        <v>464</v>
      </c>
      <c r="C29" s="32" t="s">
        <v>43</v>
      </c>
      <c r="D29" s="24" t="s">
        <v>509</v>
      </c>
      <c r="E29" s="32" t="s">
        <v>501</v>
      </c>
      <c r="F29" s="90" t="s">
        <v>44</v>
      </c>
      <c r="G29" s="117" t="s">
        <v>464</v>
      </c>
      <c r="H29" s="117" t="s">
        <v>43</v>
      </c>
      <c r="I29" s="93">
        <v>594.85714285714289</v>
      </c>
      <c r="K29" s="110">
        <f t="shared" si="0"/>
        <v>1189.7142857142858</v>
      </c>
      <c r="L29" s="107">
        <f t="shared" si="1"/>
        <v>594.85714285714289</v>
      </c>
      <c r="M29" s="183">
        <v>400</v>
      </c>
      <c r="N29" s="129">
        <f t="shared" si="2"/>
        <v>789.71428571428578</v>
      </c>
    </row>
    <row r="30" spans="1:14" ht="19.5" hidden="1" customHeight="1" x14ac:dyDescent="0.3">
      <c r="A30" s="1109"/>
      <c r="B30" s="70" t="s">
        <v>483</v>
      </c>
      <c r="C30" s="79" t="s">
        <v>373</v>
      </c>
      <c r="D30" s="23" t="s">
        <v>509</v>
      </c>
      <c r="E30" s="43" t="s">
        <v>340</v>
      </c>
      <c r="F30" s="90" t="s">
        <v>378</v>
      </c>
      <c r="G30" s="117" t="s">
        <v>483</v>
      </c>
      <c r="H30" s="121" t="s">
        <v>373</v>
      </c>
      <c r="I30" s="100">
        <v>147</v>
      </c>
      <c r="K30" s="50"/>
      <c r="L30" s="107"/>
      <c r="M30" s="183"/>
      <c r="N30" s="129"/>
    </row>
    <row r="31" spans="1:14" ht="19.5" hidden="1" customHeight="1" x14ac:dyDescent="0.3">
      <c r="A31" s="1109"/>
      <c r="B31" s="70" t="s">
        <v>483</v>
      </c>
      <c r="C31" s="32" t="s">
        <v>374</v>
      </c>
      <c r="D31" s="23" t="s">
        <v>509</v>
      </c>
      <c r="E31" s="43" t="s">
        <v>340</v>
      </c>
      <c r="F31" s="90" t="s">
        <v>379</v>
      </c>
      <c r="G31" s="117" t="s">
        <v>483</v>
      </c>
      <c r="H31" s="117" t="s">
        <v>374</v>
      </c>
      <c r="I31" s="98">
        <v>478.28571428571428</v>
      </c>
      <c r="K31" s="110"/>
      <c r="L31" s="107"/>
      <c r="M31" s="183"/>
      <c r="N31" s="129"/>
    </row>
    <row r="32" spans="1:14" ht="19.5" hidden="1" customHeight="1" x14ac:dyDescent="0.3">
      <c r="A32" s="1109"/>
      <c r="B32" s="70" t="s">
        <v>483</v>
      </c>
      <c r="C32" s="79" t="s">
        <v>375</v>
      </c>
      <c r="D32" s="23" t="s">
        <v>509</v>
      </c>
      <c r="E32" s="43" t="s">
        <v>340</v>
      </c>
      <c r="F32" s="90" t="s">
        <v>380</v>
      </c>
      <c r="G32" s="117" t="s">
        <v>483</v>
      </c>
      <c r="H32" s="121" t="s">
        <v>375</v>
      </c>
      <c r="I32" s="93">
        <v>237</v>
      </c>
      <c r="K32" s="50"/>
      <c r="L32" s="107"/>
      <c r="M32" s="183"/>
      <c r="N32" s="129"/>
    </row>
    <row r="33" spans="1:14" ht="19.5" hidden="1" customHeight="1" x14ac:dyDescent="0.3">
      <c r="A33" s="1109"/>
      <c r="B33" s="70" t="s">
        <v>483</v>
      </c>
      <c r="C33" s="32" t="s">
        <v>228</v>
      </c>
      <c r="D33" s="23" t="s">
        <v>509</v>
      </c>
      <c r="E33" s="43" t="s">
        <v>340</v>
      </c>
      <c r="F33" s="90" t="s">
        <v>229</v>
      </c>
      <c r="G33" s="117" t="s">
        <v>483</v>
      </c>
      <c r="H33" s="117" t="s">
        <v>228</v>
      </c>
      <c r="I33" s="93">
        <v>103.71428571428571</v>
      </c>
      <c r="K33" s="110"/>
      <c r="L33" s="107"/>
      <c r="M33" s="183"/>
      <c r="N33" s="129"/>
    </row>
    <row r="34" spans="1:14" ht="19.5" hidden="1" customHeight="1" x14ac:dyDescent="0.3">
      <c r="A34" s="1109"/>
      <c r="B34" s="70" t="s">
        <v>483</v>
      </c>
      <c r="C34" s="79" t="s">
        <v>383</v>
      </c>
      <c r="D34" s="23" t="s">
        <v>509</v>
      </c>
      <c r="E34" s="43" t="s">
        <v>340</v>
      </c>
      <c r="F34" s="90" t="s">
        <v>391</v>
      </c>
      <c r="G34" s="117" t="s">
        <v>483</v>
      </c>
      <c r="H34" s="121" t="s">
        <v>383</v>
      </c>
      <c r="I34" s="93">
        <v>51</v>
      </c>
      <c r="K34" s="50"/>
      <c r="L34" s="107"/>
      <c r="M34" s="183"/>
      <c r="N34" s="129"/>
    </row>
    <row r="35" spans="1:14" ht="19.5" hidden="1" customHeight="1" x14ac:dyDescent="0.3">
      <c r="A35" s="1109"/>
      <c r="B35" s="70" t="s">
        <v>483</v>
      </c>
      <c r="C35" s="32" t="s">
        <v>230</v>
      </c>
      <c r="D35" s="23" t="s">
        <v>509</v>
      </c>
      <c r="E35" s="43" t="s">
        <v>340</v>
      </c>
      <c r="F35" s="90" t="s">
        <v>231</v>
      </c>
      <c r="G35" s="117" t="s">
        <v>483</v>
      </c>
      <c r="H35" s="117" t="s">
        <v>230</v>
      </c>
      <c r="I35" s="93">
        <v>958.28571428571433</v>
      </c>
      <c r="K35" s="50"/>
      <c r="L35" s="107"/>
      <c r="M35" s="183"/>
      <c r="N35" s="129"/>
    </row>
    <row r="36" spans="1:14" ht="19.5" hidden="1" customHeight="1" x14ac:dyDescent="0.3">
      <c r="A36" s="1109"/>
      <c r="B36" s="70" t="s">
        <v>483</v>
      </c>
      <c r="C36" s="32" t="s">
        <v>232</v>
      </c>
      <c r="D36" s="23" t="s">
        <v>509</v>
      </c>
      <c r="E36" s="43" t="s">
        <v>340</v>
      </c>
      <c r="F36" s="90" t="s">
        <v>233</v>
      </c>
      <c r="G36" s="117" t="s">
        <v>483</v>
      </c>
      <c r="H36" s="117" t="s">
        <v>232</v>
      </c>
      <c r="I36" s="93">
        <v>1150.2857142857142</v>
      </c>
      <c r="K36" s="50"/>
      <c r="L36" s="107"/>
      <c r="M36" s="183"/>
      <c r="N36" s="129"/>
    </row>
    <row r="37" spans="1:14" ht="19.5" hidden="1" customHeight="1" x14ac:dyDescent="0.3">
      <c r="A37" s="1109"/>
      <c r="B37" s="70" t="s">
        <v>483</v>
      </c>
      <c r="C37" s="32" t="s">
        <v>234</v>
      </c>
      <c r="D37" s="23" t="s">
        <v>509</v>
      </c>
      <c r="E37" s="43" t="s">
        <v>340</v>
      </c>
      <c r="F37" s="90" t="s">
        <v>235</v>
      </c>
      <c r="G37" s="117" t="s">
        <v>483</v>
      </c>
      <c r="H37" s="117" t="s">
        <v>234</v>
      </c>
      <c r="I37" s="93">
        <v>82.285714285714292</v>
      </c>
      <c r="K37" s="110"/>
      <c r="L37" s="107"/>
      <c r="M37" s="183"/>
      <c r="N37" s="129"/>
    </row>
    <row r="38" spans="1:14" ht="19.5" hidden="1" customHeight="1" x14ac:dyDescent="0.3">
      <c r="A38" s="1109"/>
      <c r="B38" s="70" t="s">
        <v>483</v>
      </c>
      <c r="C38" s="32" t="s">
        <v>236</v>
      </c>
      <c r="D38" s="23" t="s">
        <v>509</v>
      </c>
      <c r="E38" s="43" t="s">
        <v>340</v>
      </c>
      <c r="F38" s="90" t="s">
        <v>237</v>
      </c>
      <c r="G38" s="117" t="s">
        <v>483</v>
      </c>
      <c r="H38" s="117" t="s">
        <v>236</v>
      </c>
      <c r="I38" s="93">
        <v>0</v>
      </c>
      <c r="K38" s="50"/>
      <c r="L38" s="107"/>
      <c r="M38" s="183"/>
      <c r="N38" s="129"/>
    </row>
    <row r="39" spans="1:14" ht="19.5" hidden="1" customHeight="1" x14ac:dyDescent="0.3">
      <c r="A39" s="1109"/>
      <c r="B39" s="70" t="s">
        <v>483</v>
      </c>
      <c r="C39" s="32">
        <v>36</v>
      </c>
      <c r="D39" s="23" t="s">
        <v>511</v>
      </c>
      <c r="E39" s="43" t="s">
        <v>340</v>
      </c>
      <c r="F39" s="90" t="s">
        <v>40</v>
      </c>
      <c r="G39" s="117" t="s">
        <v>483</v>
      </c>
      <c r="H39" s="117">
        <v>36</v>
      </c>
      <c r="I39" s="93">
        <v>384</v>
      </c>
      <c r="K39" s="50"/>
      <c r="L39" s="107"/>
      <c r="M39" s="183"/>
      <c r="N39" s="129"/>
    </row>
    <row r="40" spans="1:14" ht="19.5" hidden="1" customHeight="1" x14ac:dyDescent="0.3">
      <c r="A40" s="1109"/>
      <c r="B40" s="70" t="s">
        <v>483</v>
      </c>
      <c r="C40" s="32"/>
      <c r="D40" s="23" t="s">
        <v>509</v>
      </c>
      <c r="E40" s="43" t="s">
        <v>340</v>
      </c>
      <c r="F40" s="90"/>
      <c r="G40" s="117" t="s">
        <v>483</v>
      </c>
      <c r="H40" s="117"/>
      <c r="I40" s="101">
        <f>SUM(I30:I39)</f>
        <v>3591.8571428571427</v>
      </c>
      <c r="K40" s="110">
        <f t="shared" si="0"/>
        <v>7183.7142857142853</v>
      </c>
      <c r="L40" s="107">
        <f t="shared" si="1"/>
        <v>3591.8571428571427</v>
      </c>
      <c r="M40" s="183">
        <v>48000</v>
      </c>
      <c r="N40" s="129">
        <f t="shared" si="2"/>
        <v>-40816.285714285717</v>
      </c>
    </row>
    <row r="41" spans="1:14" ht="19.5" customHeight="1" x14ac:dyDescent="0.3">
      <c r="A41" s="1109"/>
      <c r="B41" s="70" t="s">
        <v>483</v>
      </c>
      <c r="C41" s="32" t="s">
        <v>29</v>
      </c>
      <c r="D41" s="24" t="s">
        <v>509</v>
      </c>
      <c r="E41" s="32" t="s">
        <v>501</v>
      </c>
      <c r="F41" s="90" t="s">
        <v>30</v>
      </c>
      <c r="G41" s="117" t="s">
        <v>483</v>
      </c>
      <c r="H41" s="117" t="s">
        <v>29</v>
      </c>
      <c r="I41" s="93">
        <v>2828.5714285714284</v>
      </c>
      <c r="K41" s="110">
        <f t="shared" si="0"/>
        <v>5657.1428571428569</v>
      </c>
      <c r="L41" s="107">
        <f t="shared" si="1"/>
        <v>2828.5714285714284</v>
      </c>
      <c r="M41" s="183">
        <v>4000</v>
      </c>
      <c r="N41" s="129">
        <f t="shared" si="2"/>
        <v>1657.1428571428569</v>
      </c>
    </row>
    <row r="42" spans="1:14" ht="19.5" customHeight="1" x14ac:dyDescent="0.3">
      <c r="A42" s="1109"/>
      <c r="B42" s="70" t="s">
        <v>483</v>
      </c>
      <c r="C42" s="32" t="s">
        <v>155</v>
      </c>
      <c r="D42" s="24" t="s">
        <v>452</v>
      </c>
      <c r="E42" s="32" t="s">
        <v>501</v>
      </c>
      <c r="F42" s="90" t="s">
        <v>156</v>
      </c>
      <c r="G42" s="117" t="s">
        <v>483</v>
      </c>
      <c r="H42" s="117" t="s">
        <v>155</v>
      </c>
      <c r="I42" s="98">
        <v>288</v>
      </c>
      <c r="K42" s="50">
        <f t="shared" si="0"/>
        <v>576</v>
      </c>
      <c r="L42" s="107">
        <f t="shared" si="1"/>
        <v>288</v>
      </c>
      <c r="M42" s="183"/>
      <c r="N42" s="129">
        <f t="shared" si="2"/>
        <v>576</v>
      </c>
    </row>
    <row r="43" spans="1:14" ht="19.5" hidden="1" customHeight="1" x14ac:dyDescent="0.3">
      <c r="A43" s="1109"/>
      <c r="B43" s="70" t="s">
        <v>459</v>
      </c>
      <c r="C43" s="32" t="s">
        <v>358</v>
      </c>
      <c r="D43" s="23" t="s">
        <v>509</v>
      </c>
      <c r="E43" s="43" t="s">
        <v>496</v>
      </c>
      <c r="F43" s="125" t="s">
        <v>360</v>
      </c>
      <c r="G43" s="117" t="s">
        <v>459</v>
      </c>
      <c r="H43" s="117" t="s">
        <v>358</v>
      </c>
      <c r="I43" s="98">
        <v>102</v>
      </c>
      <c r="K43" s="50">
        <f t="shared" si="0"/>
        <v>204</v>
      </c>
      <c r="L43" s="107">
        <f t="shared" si="1"/>
        <v>102</v>
      </c>
      <c r="M43" s="183"/>
      <c r="N43" s="129"/>
    </row>
    <row r="44" spans="1:14" ht="19.5" hidden="1" customHeight="1" x14ac:dyDescent="0.3">
      <c r="A44" s="1109"/>
      <c r="B44" s="70" t="s">
        <v>459</v>
      </c>
      <c r="C44" s="78" t="s">
        <v>362</v>
      </c>
      <c r="D44" s="23" t="s">
        <v>509</v>
      </c>
      <c r="E44" s="43" t="s">
        <v>497</v>
      </c>
      <c r="F44" s="125" t="s">
        <v>368</v>
      </c>
      <c r="G44" s="117" t="s">
        <v>459</v>
      </c>
      <c r="H44" s="120" t="s">
        <v>362</v>
      </c>
      <c r="I44" s="98">
        <v>209.14285714285714</v>
      </c>
      <c r="K44" s="110">
        <f t="shared" si="0"/>
        <v>418.28571428571428</v>
      </c>
      <c r="L44" s="107">
        <f t="shared" si="1"/>
        <v>209.14285714285714</v>
      </c>
      <c r="M44" s="183"/>
      <c r="N44" s="129"/>
    </row>
    <row r="45" spans="1:14" ht="19.5" hidden="1" customHeight="1" x14ac:dyDescent="0.3">
      <c r="A45" s="1109"/>
      <c r="B45" s="70" t="s">
        <v>459</v>
      </c>
      <c r="C45" s="32" t="s">
        <v>390</v>
      </c>
      <c r="D45" s="23" t="s">
        <v>509</v>
      </c>
      <c r="E45" s="43" t="s">
        <v>496</v>
      </c>
      <c r="F45" s="125" t="s">
        <v>398</v>
      </c>
      <c r="G45" s="117" t="s">
        <v>459</v>
      </c>
      <c r="H45" s="117" t="s">
        <v>390</v>
      </c>
      <c r="I45" s="98">
        <v>155.14285714285714</v>
      </c>
      <c r="K45" s="110">
        <f t="shared" si="0"/>
        <v>310.28571428571428</v>
      </c>
      <c r="L45" s="107">
        <f t="shared" si="1"/>
        <v>155.14285714285714</v>
      </c>
      <c r="M45" s="183"/>
      <c r="N45" s="129"/>
    </row>
    <row r="46" spans="1:14" ht="19.5" hidden="1" customHeight="1" x14ac:dyDescent="0.3">
      <c r="A46" s="1109"/>
      <c r="B46" s="70" t="s">
        <v>459</v>
      </c>
      <c r="C46" s="32" t="s">
        <v>338</v>
      </c>
      <c r="D46" s="23" t="s">
        <v>509</v>
      </c>
      <c r="E46" s="43" t="s">
        <v>496</v>
      </c>
      <c r="F46" s="125" t="s">
        <v>400</v>
      </c>
      <c r="G46" s="117" t="s">
        <v>459</v>
      </c>
      <c r="H46" s="117" t="s">
        <v>338</v>
      </c>
      <c r="I46" s="98">
        <v>1129.7142857142858</v>
      </c>
      <c r="K46" s="110">
        <f t="shared" si="0"/>
        <v>2259.4285714285716</v>
      </c>
      <c r="L46" s="107">
        <f t="shared" si="1"/>
        <v>1129.7142857142858</v>
      </c>
      <c r="M46" s="183"/>
      <c r="N46" s="129"/>
    </row>
    <row r="47" spans="1:14" ht="19.5" hidden="1" customHeight="1" x14ac:dyDescent="0.3">
      <c r="A47" s="1109"/>
      <c r="B47" s="70" t="s">
        <v>459</v>
      </c>
      <c r="C47" s="32" t="s">
        <v>410</v>
      </c>
      <c r="D47" s="23" t="s">
        <v>509</v>
      </c>
      <c r="E47" s="43" t="s">
        <v>496</v>
      </c>
      <c r="F47" s="125" t="s">
        <v>411</v>
      </c>
      <c r="G47" s="117" t="s">
        <v>459</v>
      </c>
      <c r="H47" s="117" t="s">
        <v>410</v>
      </c>
      <c r="I47" s="98">
        <v>848.57142857142856</v>
      </c>
      <c r="K47" s="110">
        <f t="shared" si="0"/>
        <v>1697.1428571428571</v>
      </c>
      <c r="L47" s="107">
        <f t="shared" si="1"/>
        <v>848.57142857142856</v>
      </c>
      <c r="M47" s="183"/>
      <c r="N47" s="129"/>
    </row>
    <row r="48" spans="1:14" ht="19.5" hidden="1" customHeight="1" x14ac:dyDescent="0.3">
      <c r="A48" s="1109"/>
      <c r="B48" s="70" t="s">
        <v>494</v>
      </c>
      <c r="C48" s="32" t="s">
        <v>63</v>
      </c>
      <c r="D48" s="23" t="s">
        <v>509</v>
      </c>
      <c r="E48" s="43" t="s">
        <v>341</v>
      </c>
      <c r="F48" s="1119" t="s">
        <v>64</v>
      </c>
      <c r="G48" s="117" t="s">
        <v>494</v>
      </c>
      <c r="H48" s="1114" t="s">
        <v>63</v>
      </c>
      <c r="I48" s="98">
        <v>22355.285714285714</v>
      </c>
      <c r="K48" s="1116">
        <f>+I48</f>
        <v>22355.285714285714</v>
      </c>
      <c r="L48" s="107">
        <f>+K48/2</f>
        <v>11177.642857142857</v>
      </c>
      <c r="M48" s="1118">
        <v>8436</v>
      </c>
      <c r="N48" s="1107">
        <v>-70.571428571428442</v>
      </c>
    </row>
    <row r="49" spans="1:14" ht="19.5" hidden="1" customHeight="1" x14ac:dyDescent="0.3">
      <c r="A49" s="1109"/>
      <c r="B49" s="70" t="s">
        <v>491</v>
      </c>
      <c r="C49" s="32" t="s">
        <v>63</v>
      </c>
      <c r="D49" s="23" t="s">
        <v>509</v>
      </c>
      <c r="E49" s="43" t="s">
        <v>341</v>
      </c>
      <c r="F49" s="1120"/>
      <c r="G49" s="117" t="s">
        <v>491</v>
      </c>
      <c r="H49" s="1115"/>
      <c r="I49" s="98">
        <v>22355.285714285714</v>
      </c>
      <c r="K49" s="1117"/>
      <c r="L49" s="107">
        <f>+K49/2</f>
        <v>0</v>
      </c>
      <c r="M49" s="1113"/>
      <c r="N49" s="1106"/>
    </row>
    <row r="50" spans="1:14" ht="19.5" hidden="1" customHeight="1" x14ac:dyDescent="0.3">
      <c r="A50" s="1109"/>
      <c r="B50" s="70" t="s">
        <v>466</v>
      </c>
      <c r="C50" s="32" t="s">
        <v>91</v>
      </c>
      <c r="D50" s="23" t="s">
        <v>509</v>
      </c>
      <c r="E50" s="43" t="s">
        <v>495</v>
      </c>
      <c r="F50" s="90" t="s">
        <v>92</v>
      </c>
      <c r="G50" s="117" t="s">
        <v>466</v>
      </c>
      <c r="H50" s="117" t="s">
        <v>91</v>
      </c>
      <c r="I50" s="98">
        <v>459.42857142857144</v>
      </c>
      <c r="K50" s="110">
        <f t="shared" si="0"/>
        <v>918.85714285714289</v>
      </c>
      <c r="L50" s="107">
        <f t="shared" si="1"/>
        <v>459.42857142857144</v>
      </c>
      <c r="M50" s="183">
        <v>3950</v>
      </c>
      <c r="N50" s="129">
        <f t="shared" ref="N50:N113" si="3">+K50-M50</f>
        <v>-3031.1428571428569</v>
      </c>
    </row>
    <row r="51" spans="1:14" ht="19.5" hidden="1" customHeight="1" x14ac:dyDescent="0.3">
      <c r="A51" s="1109"/>
      <c r="B51" s="70" t="s">
        <v>466</v>
      </c>
      <c r="C51" s="32" t="s">
        <v>89</v>
      </c>
      <c r="D51" s="23" t="s">
        <v>509</v>
      </c>
      <c r="E51" s="43" t="s">
        <v>495</v>
      </c>
      <c r="F51" s="90" t="s">
        <v>90</v>
      </c>
      <c r="G51" s="117" t="s">
        <v>466</v>
      </c>
      <c r="H51" s="117" t="s">
        <v>89</v>
      </c>
      <c r="I51" s="98">
        <v>456</v>
      </c>
      <c r="K51" s="50">
        <f t="shared" si="0"/>
        <v>912</v>
      </c>
      <c r="L51" s="107">
        <f t="shared" si="1"/>
        <v>456</v>
      </c>
      <c r="M51" s="183">
        <v>1000</v>
      </c>
      <c r="N51" s="129">
        <f t="shared" si="3"/>
        <v>-88</v>
      </c>
    </row>
    <row r="52" spans="1:14" ht="19.5" hidden="1" customHeight="1" x14ac:dyDescent="0.3">
      <c r="A52" s="1109"/>
      <c r="B52" s="70" t="s">
        <v>466</v>
      </c>
      <c r="C52" s="32" t="s">
        <v>97</v>
      </c>
      <c r="D52" s="23" t="s">
        <v>509</v>
      </c>
      <c r="E52" s="43" t="s">
        <v>495</v>
      </c>
      <c r="F52" s="90" t="s">
        <v>98</v>
      </c>
      <c r="G52" s="117" t="s">
        <v>466</v>
      </c>
      <c r="H52" s="117" t="s">
        <v>97</v>
      </c>
      <c r="I52" s="98">
        <v>264</v>
      </c>
      <c r="K52" s="50">
        <f t="shared" si="0"/>
        <v>528</v>
      </c>
      <c r="L52" s="107">
        <f t="shared" si="1"/>
        <v>264</v>
      </c>
      <c r="M52" s="183">
        <v>1000</v>
      </c>
      <c r="N52" s="129">
        <f t="shared" si="3"/>
        <v>-472</v>
      </c>
    </row>
    <row r="53" spans="1:14" ht="19.5" hidden="1" customHeight="1" x14ac:dyDescent="0.3">
      <c r="A53" s="1109"/>
      <c r="B53" s="70" t="s">
        <v>476</v>
      </c>
      <c r="C53" s="32" t="s">
        <v>21</v>
      </c>
      <c r="D53" s="24" t="s">
        <v>509</v>
      </c>
      <c r="E53" s="32" t="s">
        <v>501</v>
      </c>
      <c r="F53" s="90" t="s">
        <v>22</v>
      </c>
      <c r="G53" s="117" t="s">
        <v>476</v>
      </c>
      <c r="H53" s="117" t="s">
        <v>21</v>
      </c>
      <c r="I53" s="98">
        <v>2629.7142857142858</v>
      </c>
      <c r="K53" s="110">
        <f t="shared" si="0"/>
        <v>5259.4285714285716</v>
      </c>
      <c r="L53" s="107">
        <f t="shared" si="1"/>
        <v>2629.7142857142858</v>
      </c>
      <c r="M53" s="183">
        <v>5330</v>
      </c>
      <c r="N53" s="129">
        <f t="shared" si="3"/>
        <v>-70.571428571428442</v>
      </c>
    </row>
    <row r="54" spans="1:14" ht="19.5" hidden="1" customHeight="1" x14ac:dyDescent="0.3">
      <c r="A54" s="1109"/>
      <c r="B54" s="70" t="s">
        <v>476</v>
      </c>
      <c r="C54" s="32" t="s">
        <v>23</v>
      </c>
      <c r="D54" s="24" t="s">
        <v>509</v>
      </c>
      <c r="E54" s="32" t="s">
        <v>501</v>
      </c>
      <c r="F54" s="90" t="s">
        <v>24</v>
      </c>
      <c r="G54" s="117" t="s">
        <v>476</v>
      </c>
      <c r="H54" s="117" t="s">
        <v>23</v>
      </c>
      <c r="I54" s="98">
        <v>4687.2857142857147</v>
      </c>
      <c r="K54" s="110">
        <f t="shared" si="0"/>
        <v>9374.5714285714294</v>
      </c>
      <c r="L54" s="107">
        <f t="shared" si="1"/>
        <v>4687.2857142857147</v>
      </c>
      <c r="M54" s="183">
        <v>13260</v>
      </c>
      <c r="N54" s="129">
        <f t="shared" si="3"/>
        <v>-3885.4285714285706</v>
      </c>
    </row>
    <row r="55" spans="1:14" ht="19.5" hidden="1" customHeight="1" x14ac:dyDescent="0.3">
      <c r="A55" s="1109"/>
      <c r="B55" s="70" t="s">
        <v>476</v>
      </c>
      <c r="C55" s="32" t="s">
        <v>25</v>
      </c>
      <c r="D55" s="24" t="s">
        <v>509</v>
      </c>
      <c r="E55" s="32" t="s">
        <v>501</v>
      </c>
      <c r="F55" s="90" t="s">
        <v>26</v>
      </c>
      <c r="G55" s="117" t="s">
        <v>476</v>
      </c>
      <c r="H55" s="117" t="s">
        <v>25</v>
      </c>
      <c r="I55" s="98">
        <v>6627.4285714285716</v>
      </c>
      <c r="K55" s="110">
        <f t="shared" si="0"/>
        <v>13254.857142857143</v>
      </c>
      <c r="L55" s="107">
        <f t="shared" si="1"/>
        <v>6627.4285714285716</v>
      </c>
      <c r="M55" s="183">
        <v>13500</v>
      </c>
      <c r="N55" s="129">
        <f t="shared" si="3"/>
        <v>-245.14285714285688</v>
      </c>
    </row>
    <row r="56" spans="1:14" ht="19.5" hidden="1" customHeight="1" x14ac:dyDescent="0.3">
      <c r="A56" s="1109"/>
      <c r="B56" s="70" t="s">
        <v>476</v>
      </c>
      <c r="C56" s="32" t="s">
        <v>151</v>
      </c>
      <c r="D56" s="24" t="s">
        <v>452</v>
      </c>
      <c r="E56" s="32" t="s">
        <v>501</v>
      </c>
      <c r="F56" s="90" t="s">
        <v>152</v>
      </c>
      <c r="G56" s="117" t="s">
        <v>476</v>
      </c>
      <c r="H56" s="117" t="s">
        <v>151</v>
      </c>
      <c r="I56" s="98">
        <v>0</v>
      </c>
      <c r="K56" s="50">
        <f t="shared" si="0"/>
        <v>0</v>
      </c>
      <c r="L56" s="107">
        <f t="shared" si="1"/>
        <v>0</v>
      </c>
      <c r="M56" s="183"/>
      <c r="N56" s="129"/>
    </row>
    <row r="57" spans="1:14" ht="19.5" hidden="1" customHeight="1" x14ac:dyDescent="0.3">
      <c r="A57" s="1109"/>
      <c r="B57" s="70" t="s">
        <v>488</v>
      </c>
      <c r="C57" s="32" t="s">
        <v>53</v>
      </c>
      <c r="D57" s="23" t="s">
        <v>509</v>
      </c>
      <c r="E57" s="43" t="s">
        <v>495</v>
      </c>
      <c r="F57" s="90" t="s">
        <v>54</v>
      </c>
      <c r="G57" s="117" t="s">
        <v>488</v>
      </c>
      <c r="H57" s="117" t="s">
        <v>53</v>
      </c>
      <c r="I57" s="98">
        <v>450.85714285714283</v>
      </c>
      <c r="K57" s="110">
        <f t="shared" si="0"/>
        <v>901.71428571428567</v>
      </c>
      <c r="L57" s="107">
        <f t="shared" si="1"/>
        <v>450.85714285714283</v>
      </c>
      <c r="M57" s="183">
        <v>9600</v>
      </c>
      <c r="N57" s="129">
        <f t="shared" si="3"/>
        <v>-8698.2857142857138</v>
      </c>
    </row>
    <row r="58" spans="1:14" ht="19.5" hidden="1" customHeight="1" x14ac:dyDescent="0.3">
      <c r="A58" s="1109"/>
      <c r="B58" s="70" t="s">
        <v>465</v>
      </c>
      <c r="C58" s="32" t="s">
        <v>414</v>
      </c>
      <c r="D58" s="23" t="s">
        <v>509</v>
      </c>
      <c r="E58" s="43" t="s">
        <v>498</v>
      </c>
      <c r="F58" s="125" t="s">
        <v>416</v>
      </c>
      <c r="G58" s="117" t="s">
        <v>465</v>
      </c>
      <c r="H58" s="117" t="s">
        <v>414</v>
      </c>
      <c r="I58" s="98">
        <v>190.28571428571428</v>
      </c>
      <c r="K58" s="110">
        <f t="shared" si="0"/>
        <v>380.57142857142856</v>
      </c>
      <c r="L58" s="107">
        <f t="shared" si="1"/>
        <v>190.28571428571428</v>
      </c>
      <c r="M58" s="183"/>
      <c r="N58" s="129"/>
    </row>
    <row r="59" spans="1:14" ht="19.5" hidden="1" customHeight="1" x14ac:dyDescent="0.3">
      <c r="A59" s="1109"/>
      <c r="B59" s="70" t="s">
        <v>465</v>
      </c>
      <c r="C59" s="32" t="s">
        <v>415</v>
      </c>
      <c r="D59" s="23" t="s">
        <v>509</v>
      </c>
      <c r="E59" s="43" t="s">
        <v>498</v>
      </c>
      <c r="F59" s="125" t="s">
        <v>417</v>
      </c>
      <c r="G59" s="117" t="s">
        <v>465</v>
      </c>
      <c r="H59" s="117" t="s">
        <v>415</v>
      </c>
      <c r="I59" s="98">
        <v>48</v>
      </c>
      <c r="K59" s="50">
        <f t="shared" si="0"/>
        <v>96</v>
      </c>
      <c r="L59" s="107">
        <f t="shared" si="1"/>
        <v>48</v>
      </c>
      <c r="M59" s="183"/>
      <c r="N59" s="129"/>
    </row>
    <row r="60" spans="1:14" ht="19.5" hidden="1" customHeight="1" x14ac:dyDescent="0.3">
      <c r="A60" s="1109"/>
      <c r="B60" s="70" t="s">
        <v>465</v>
      </c>
      <c r="C60" s="32" t="s">
        <v>339</v>
      </c>
      <c r="D60" s="23" t="s">
        <v>509</v>
      </c>
      <c r="E60" s="43" t="s">
        <v>496</v>
      </c>
      <c r="F60" s="125" t="s">
        <v>418</v>
      </c>
      <c r="G60" s="117" t="s">
        <v>465</v>
      </c>
      <c r="H60" s="117" t="s">
        <v>339</v>
      </c>
      <c r="I60" s="98">
        <v>768</v>
      </c>
      <c r="K60" s="50">
        <f t="shared" si="0"/>
        <v>1536</v>
      </c>
      <c r="L60" s="107">
        <f t="shared" si="1"/>
        <v>768</v>
      </c>
      <c r="M60" s="183"/>
      <c r="N60" s="129"/>
    </row>
    <row r="61" spans="1:14" ht="19.5" hidden="1" customHeight="1" x14ac:dyDescent="0.3">
      <c r="A61" s="1109"/>
      <c r="B61" s="70" t="s">
        <v>465</v>
      </c>
      <c r="C61" s="79" t="s">
        <v>420</v>
      </c>
      <c r="D61" s="23" t="s">
        <v>509</v>
      </c>
      <c r="E61" s="43" t="s">
        <v>497</v>
      </c>
      <c r="F61" s="125" t="s">
        <v>422</v>
      </c>
      <c r="G61" s="117" t="s">
        <v>465</v>
      </c>
      <c r="H61" s="121" t="s">
        <v>420</v>
      </c>
      <c r="I61" s="98">
        <v>148</v>
      </c>
      <c r="K61" s="50">
        <f t="shared" si="0"/>
        <v>296</v>
      </c>
      <c r="L61" s="107">
        <f t="shared" si="1"/>
        <v>148</v>
      </c>
      <c r="M61" s="183"/>
      <c r="N61" s="129"/>
    </row>
    <row r="62" spans="1:14" ht="19.5" hidden="1" customHeight="1" x14ac:dyDescent="0.3">
      <c r="A62" s="1109"/>
      <c r="B62" s="70" t="s">
        <v>465</v>
      </c>
      <c r="C62" s="32" t="s">
        <v>427</v>
      </c>
      <c r="D62" s="23" t="s">
        <v>509</v>
      </c>
      <c r="E62" s="43" t="s">
        <v>499</v>
      </c>
      <c r="F62" s="125" t="s">
        <v>428</v>
      </c>
      <c r="G62" s="117" t="s">
        <v>465</v>
      </c>
      <c r="H62" s="117" t="s">
        <v>427</v>
      </c>
      <c r="I62" s="98">
        <v>305.14285714285717</v>
      </c>
      <c r="K62" s="110">
        <f t="shared" si="0"/>
        <v>610.28571428571433</v>
      </c>
      <c r="L62" s="107">
        <f t="shared" si="1"/>
        <v>305.14285714285717</v>
      </c>
      <c r="M62" s="183"/>
      <c r="N62" s="129"/>
    </row>
    <row r="63" spans="1:14" ht="19.5" customHeight="1" x14ac:dyDescent="0.3">
      <c r="A63" s="1109"/>
      <c r="B63" s="70" t="s">
        <v>470</v>
      </c>
      <c r="C63" s="32" t="s">
        <v>73</v>
      </c>
      <c r="D63" s="23" t="s">
        <v>509</v>
      </c>
      <c r="E63" s="43" t="s">
        <v>495</v>
      </c>
      <c r="F63" s="90" t="s">
        <v>74</v>
      </c>
      <c r="G63" s="117" t="s">
        <v>470</v>
      </c>
      <c r="H63" s="117" t="s">
        <v>73</v>
      </c>
      <c r="I63" s="93">
        <v>17541.714285714286</v>
      </c>
      <c r="K63" s="110">
        <f t="shared" si="0"/>
        <v>35083.428571428572</v>
      </c>
      <c r="L63" s="107">
        <f t="shared" si="1"/>
        <v>17541.714285714286</v>
      </c>
      <c r="M63" s="183">
        <v>5500</v>
      </c>
      <c r="N63" s="129">
        <f t="shared" si="3"/>
        <v>29583.428571428572</v>
      </c>
    </row>
    <row r="64" spans="1:14" ht="19.5" hidden="1" customHeight="1" x14ac:dyDescent="0.3">
      <c r="A64" s="1109"/>
      <c r="B64" s="70" t="s">
        <v>469</v>
      </c>
      <c r="C64" s="32" t="s">
        <v>83</v>
      </c>
      <c r="D64" s="23" t="s">
        <v>509</v>
      </c>
      <c r="E64" s="43" t="s">
        <v>495</v>
      </c>
      <c r="F64" s="90" t="s">
        <v>84</v>
      </c>
      <c r="G64" s="117" t="s">
        <v>469</v>
      </c>
      <c r="H64" s="117" t="s">
        <v>83</v>
      </c>
      <c r="I64" s="98">
        <v>133.71428571428572</v>
      </c>
      <c r="K64" s="110">
        <f t="shared" si="0"/>
        <v>267.42857142857144</v>
      </c>
      <c r="L64" s="107">
        <f t="shared" si="1"/>
        <v>133.71428571428572</v>
      </c>
      <c r="M64" s="183">
        <v>1000</v>
      </c>
      <c r="N64" s="129">
        <f t="shared" si="3"/>
        <v>-732.57142857142856</v>
      </c>
    </row>
    <row r="65" spans="1:14" ht="19.5" hidden="1" customHeight="1" x14ac:dyDescent="0.3">
      <c r="A65" s="1109"/>
      <c r="B65" s="70" t="s">
        <v>469</v>
      </c>
      <c r="C65" s="32" t="s">
        <v>85</v>
      </c>
      <c r="D65" s="23" t="s">
        <v>509</v>
      </c>
      <c r="E65" s="43" t="s">
        <v>495</v>
      </c>
      <c r="F65" s="90" t="s">
        <v>86</v>
      </c>
      <c r="G65" s="117" t="s">
        <v>469</v>
      </c>
      <c r="H65" s="117" t="s">
        <v>85</v>
      </c>
      <c r="I65" s="98">
        <v>1556.5714285714287</v>
      </c>
      <c r="K65" s="110">
        <f t="shared" si="0"/>
        <v>3113.1428571428573</v>
      </c>
      <c r="L65" s="107">
        <f t="shared" si="1"/>
        <v>1556.5714285714287</v>
      </c>
      <c r="M65" s="183">
        <v>600</v>
      </c>
      <c r="N65" s="129">
        <f t="shared" si="3"/>
        <v>2513.1428571428573</v>
      </c>
    </row>
    <row r="66" spans="1:14" ht="19.5" hidden="1" customHeight="1" x14ac:dyDescent="0.3">
      <c r="A66" s="1109"/>
      <c r="B66" s="70" t="s">
        <v>469</v>
      </c>
      <c r="C66" s="32" t="s">
        <v>87</v>
      </c>
      <c r="D66" s="23" t="s">
        <v>509</v>
      </c>
      <c r="E66" s="43" t="s">
        <v>495</v>
      </c>
      <c r="F66" s="90" t="s">
        <v>88</v>
      </c>
      <c r="G66" s="117" t="s">
        <v>469</v>
      </c>
      <c r="H66" s="117" t="s">
        <v>87</v>
      </c>
      <c r="I66" s="98">
        <v>92</v>
      </c>
      <c r="K66" s="50">
        <f t="shared" si="0"/>
        <v>184</v>
      </c>
      <c r="L66" s="107">
        <f t="shared" si="1"/>
        <v>92</v>
      </c>
      <c r="M66" s="183">
        <v>5000</v>
      </c>
      <c r="N66" s="129">
        <f t="shared" si="3"/>
        <v>-4816</v>
      </c>
    </row>
    <row r="67" spans="1:14" ht="19.5" hidden="1" customHeight="1" x14ac:dyDescent="0.3">
      <c r="A67" s="1109"/>
      <c r="B67" s="70" t="s">
        <v>474</v>
      </c>
      <c r="C67" s="32" t="s">
        <v>139</v>
      </c>
      <c r="D67" s="23" t="s">
        <v>509</v>
      </c>
      <c r="E67" s="43" t="s">
        <v>495</v>
      </c>
      <c r="F67" s="90" t="s">
        <v>140</v>
      </c>
      <c r="G67" s="117" t="s">
        <v>474</v>
      </c>
      <c r="H67" s="117" t="s">
        <v>139</v>
      </c>
      <c r="I67" s="98">
        <v>336</v>
      </c>
      <c r="K67" s="50">
        <f t="shared" si="0"/>
        <v>672</v>
      </c>
      <c r="L67" s="107">
        <f t="shared" si="1"/>
        <v>336</v>
      </c>
      <c r="M67" s="183">
        <v>1600</v>
      </c>
      <c r="N67" s="129">
        <f>+K67-M67</f>
        <v>-928</v>
      </c>
    </row>
    <row r="68" spans="1:14" ht="19.5" hidden="1" customHeight="1" x14ac:dyDescent="0.3">
      <c r="A68" s="1109"/>
      <c r="B68" s="70" t="s">
        <v>474</v>
      </c>
      <c r="C68" s="32" t="s">
        <v>141</v>
      </c>
      <c r="D68" s="23" t="s">
        <v>509</v>
      </c>
      <c r="E68" s="43" t="s">
        <v>495</v>
      </c>
      <c r="F68" s="90" t="s">
        <v>142</v>
      </c>
      <c r="G68" s="117" t="s">
        <v>474</v>
      </c>
      <c r="H68" s="117" t="s">
        <v>141</v>
      </c>
      <c r="I68" s="98">
        <v>222.85714285714286</v>
      </c>
      <c r="K68" s="110">
        <f t="shared" si="0"/>
        <v>445.71428571428572</v>
      </c>
      <c r="L68" s="107">
        <f t="shared" si="1"/>
        <v>222.85714285714286</v>
      </c>
      <c r="M68" s="183">
        <v>1100</v>
      </c>
      <c r="N68" s="129">
        <f t="shared" si="3"/>
        <v>-654.28571428571422</v>
      </c>
    </row>
    <row r="69" spans="1:14" ht="19.5" customHeight="1" x14ac:dyDescent="0.3">
      <c r="A69" s="1109"/>
      <c r="B69" s="70" t="s">
        <v>474</v>
      </c>
      <c r="C69" s="32" t="s">
        <v>137</v>
      </c>
      <c r="D69" s="23" t="s">
        <v>509</v>
      </c>
      <c r="E69" s="43" t="s">
        <v>495</v>
      </c>
      <c r="F69" s="90" t="s">
        <v>138</v>
      </c>
      <c r="G69" s="117" t="s">
        <v>474</v>
      </c>
      <c r="H69" s="117" t="s">
        <v>137</v>
      </c>
      <c r="I69" s="98">
        <v>378.85714285714283</v>
      </c>
      <c r="K69" s="110">
        <f>+L69*2</f>
        <v>757.71428571428567</v>
      </c>
      <c r="L69" s="107">
        <f>+I69</f>
        <v>378.85714285714283</v>
      </c>
      <c r="M69" s="183">
        <v>100</v>
      </c>
      <c r="N69" s="129">
        <f t="shared" si="3"/>
        <v>657.71428571428567</v>
      </c>
    </row>
    <row r="70" spans="1:14" ht="19.5" customHeight="1" x14ac:dyDescent="0.3">
      <c r="A70" s="1109"/>
      <c r="B70" s="70" t="s">
        <v>480</v>
      </c>
      <c r="C70" s="32" t="s">
        <v>125</v>
      </c>
      <c r="D70" s="23" t="s">
        <v>509</v>
      </c>
      <c r="E70" s="43" t="s">
        <v>495</v>
      </c>
      <c r="F70" s="90" t="s">
        <v>126</v>
      </c>
      <c r="G70" s="117" t="s">
        <v>480</v>
      </c>
      <c r="H70" s="117" t="s">
        <v>125</v>
      </c>
      <c r="I70" s="98">
        <v>399.42857142857144</v>
      </c>
      <c r="K70" s="110">
        <f>+L70*2</f>
        <v>798.85714285714289</v>
      </c>
      <c r="L70" s="107">
        <f>+I70</f>
        <v>399.42857142857144</v>
      </c>
      <c r="M70" s="183">
        <v>0</v>
      </c>
      <c r="N70" s="129">
        <f t="shared" si="3"/>
        <v>798.85714285714289</v>
      </c>
    </row>
    <row r="71" spans="1:14" ht="19.5" customHeight="1" x14ac:dyDescent="0.3">
      <c r="A71" s="1109"/>
      <c r="B71" s="70" t="s">
        <v>480</v>
      </c>
      <c r="C71" s="32" t="s">
        <v>131</v>
      </c>
      <c r="D71" s="23" t="s">
        <v>509</v>
      </c>
      <c r="E71" s="43" t="s">
        <v>495</v>
      </c>
      <c r="F71" s="90" t="s">
        <v>132</v>
      </c>
      <c r="G71" s="117" t="s">
        <v>480</v>
      </c>
      <c r="H71" s="117" t="s">
        <v>131</v>
      </c>
      <c r="I71" s="98">
        <v>399.42857142857144</v>
      </c>
      <c r="K71" s="110">
        <f>+L71*2</f>
        <v>798.85714285714289</v>
      </c>
      <c r="L71" s="107">
        <f>+I71</f>
        <v>399.42857142857144</v>
      </c>
      <c r="M71" s="183">
        <v>600</v>
      </c>
      <c r="N71" s="129">
        <f>+K71-M71</f>
        <v>198.85714285714289</v>
      </c>
    </row>
    <row r="72" spans="1:14" ht="19.5" hidden="1" customHeight="1" x14ac:dyDescent="0.3">
      <c r="A72" s="1109"/>
      <c r="B72" s="70" t="s">
        <v>480</v>
      </c>
      <c r="C72" s="78" t="s">
        <v>361</v>
      </c>
      <c r="D72" s="23" t="s">
        <v>509</v>
      </c>
      <c r="E72" s="43" t="s">
        <v>495</v>
      </c>
      <c r="F72" s="90" t="s">
        <v>367</v>
      </c>
      <c r="G72" s="117" t="s">
        <v>480</v>
      </c>
      <c r="H72" s="120" t="s">
        <v>361</v>
      </c>
      <c r="I72" s="98">
        <v>140.57142857142858</v>
      </c>
      <c r="K72" s="110">
        <f>+L72*2</f>
        <v>281.14285714285717</v>
      </c>
      <c r="L72" s="107">
        <f>+I72</f>
        <v>140.57142857142858</v>
      </c>
      <c r="M72" s="183">
        <v>0</v>
      </c>
      <c r="N72" s="129">
        <f t="shared" si="3"/>
        <v>281.14285714285717</v>
      </c>
    </row>
    <row r="73" spans="1:14" ht="19.5" hidden="1" customHeight="1" x14ac:dyDescent="0.3">
      <c r="A73" s="1109"/>
      <c r="B73" s="70" t="s">
        <v>480</v>
      </c>
      <c r="C73" s="78" t="s">
        <v>389</v>
      </c>
      <c r="D73" s="23" t="s">
        <v>509</v>
      </c>
      <c r="E73" s="43" t="s">
        <v>495</v>
      </c>
      <c r="F73" s="90" t="s">
        <v>397</v>
      </c>
      <c r="G73" s="117" t="s">
        <v>480</v>
      </c>
      <c r="H73" s="120" t="s">
        <v>389</v>
      </c>
      <c r="I73" s="98">
        <v>240</v>
      </c>
      <c r="K73" s="50">
        <f>+L73*2</f>
        <v>480</v>
      </c>
      <c r="L73" s="107">
        <f>+I73</f>
        <v>240</v>
      </c>
      <c r="M73" s="183">
        <v>2250</v>
      </c>
      <c r="N73" s="129">
        <f t="shared" si="3"/>
        <v>-1770</v>
      </c>
    </row>
    <row r="74" spans="1:14" ht="19.5" hidden="1" customHeight="1" x14ac:dyDescent="0.3">
      <c r="A74" s="1109"/>
      <c r="B74" s="70" t="s">
        <v>480</v>
      </c>
      <c r="C74" s="32">
        <v>37</v>
      </c>
      <c r="D74" s="24" t="s">
        <v>509</v>
      </c>
      <c r="E74" s="32" t="s">
        <v>502</v>
      </c>
      <c r="F74" s="90" t="s">
        <v>143</v>
      </c>
      <c r="G74" s="117" t="s">
        <v>480</v>
      </c>
      <c r="H74" s="117">
        <v>37</v>
      </c>
      <c r="I74" s="93">
        <v>243.42857142857142</v>
      </c>
      <c r="K74" s="50"/>
      <c r="L74" s="107"/>
      <c r="M74" s="183"/>
      <c r="N74" s="129">
        <f t="shared" si="3"/>
        <v>0</v>
      </c>
    </row>
    <row r="75" spans="1:14" ht="19.5" hidden="1" customHeight="1" x14ac:dyDescent="0.3">
      <c r="A75" s="1109"/>
      <c r="B75" s="70" t="s">
        <v>480</v>
      </c>
      <c r="C75" s="32">
        <v>38</v>
      </c>
      <c r="D75" s="24" t="s">
        <v>509</v>
      </c>
      <c r="E75" s="32" t="s">
        <v>502</v>
      </c>
      <c r="F75" s="90" t="s">
        <v>144</v>
      </c>
      <c r="G75" s="117" t="s">
        <v>480</v>
      </c>
      <c r="H75" s="117">
        <v>38</v>
      </c>
      <c r="I75" s="93">
        <v>308.57142857142856</v>
      </c>
      <c r="K75" s="50"/>
      <c r="L75" s="107"/>
      <c r="M75" s="183"/>
      <c r="N75" s="129">
        <f t="shared" si="3"/>
        <v>0</v>
      </c>
    </row>
    <row r="76" spans="1:14" ht="19.5" hidden="1" customHeight="1" x14ac:dyDescent="0.3">
      <c r="A76" s="1109"/>
      <c r="B76" s="70" t="s">
        <v>480</v>
      </c>
      <c r="C76" s="32">
        <v>40</v>
      </c>
      <c r="D76" s="24" t="s">
        <v>509</v>
      </c>
      <c r="E76" s="32" t="s">
        <v>502</v>
      </c>
      <c r="F76" s="90" t="s">
        <v>145</v>
      </c>
      <c r="G76" s="117" t="s">
        <v>480</v>
      </c>
      <c r="H76" s="117">
        <v>40</v>
      </c>
      <c r="I76" s="93">
        <v>100</v>
      </c>
      <c r="K76" s="50"/>
      <c r="L76" s="107"/>
      <c r="M76" s="183"/>
      <c r="N76" s="129">
        <f t="shared" si="3"/>
        <v>0</v>
      </c>
    </row>
    <row r="77" spans="1:14" ht="19.5" hidden="1" customHeight="1" x14ac:dyDescent="0.3">
      <c r="A77" s="1109"/>
      <c r="B77" s="70" t="s">
        <v>480</v>
      </c>
      <c r="C77" s="32">
        <v>41</v>
      </c>
      <c r="D77" s="24" t="s">
        <v>509</v>
      </c>
      <c r="E77" s="32" t="s">
        <v>502</v>
      </c>
      <c r="F77" s="90" t="s">
        <v>146</v>
      </c>
      <c r="G77" s="117" t="s">
        <v>480</v>
      </c>
      <c r="H77" s="117">
        <v>41</v>
      </c>
      <c r="I77" s="93">
        <v>370.28571428571428</v>
      </c>
      <c r="K77" s="50"/>
      <c r="L77" s="107"/>
      <c r="M77" s="183"/>
      <c r="N77" s="129">
        <f t="shared" si="3"/>
        <v>0</v>
      </c>
    </row>
    <row r="78" spans="1:14" ht="19.5" hidden="1" customHeight="1" x14ac:dyDescent="0.3">
      <c r="A78" s="1109"/>
      <c r="B78" s="70" t="s">
        <v>480</v>
      </c>
      <c r="C78" s="32">
        <v>42</v>
      </c>
      <c r="D78" s="24" t="s">
        <v>509</v>
      </c>
      <c r="E78" s="32" t="s">
        <v>502</v>
      </c>
      <c r="F78" s="90" t="s">
        <v>147</v>
      </c>
      <c r="G78" s="117" t="s">
        <v>480</v>
      </c>
      <c r="H78" s="117">
        <v>42</v>
      </c>
      <c r="I78" s="93">
        <v>60</v>
      </c>
      <c r="K78" s="50"/>
      <c r="L78" s="107"/>
      <c r="M78" s="183"/>
      <c r="N78" s="129">
        <f t="shared" si="3"/>
        <v>0</v>
      </c>
    </row>
    <row r="79" spans="1:14" ht="19.5" hidden="1" customHeight="1" x14ac:dyDescent="0.3">
      <c r="A79" s="1109"/>
      <c r="B79" s="70" t="s">
        <v>480</v>
      </c>
      <c r="C79" s="32">
        <v>43</v>
      </c>
      <c r="D79" s="24" t="s">
        <v>509</v>
      </c>
      <c r="E79" s="32" t="s">
        <v>502</v>
      </c>
      <c r="F79" s="90" t="s">
        <v>148</v>
      </c>
      <c r="G79" s="117" t="s">
        <v>480</v>
      </c>
      <c r="H79" s="117">
        <v>43</v>
      </c>
      <c r="I79" s="93">
        <v>418.28571428571428</v>
      </c>
      <c r="K79" s="50"/>
      <c r="L79" s="107"/>
      <c r="M79" s="183"/>
      <c r="N79" s="129">
        <f t="shared" si="3"/>
        <v>0</v>
      </c>
    </row>
    <row r="80" spans="1:14" ht="19.5" hidden="1" customHeight="1" x14ac:dyDescent="0.3">
      <c r="A80" s="1109"/>
      <c r="B80" s="70" t="s">
        <v>480</v>
      </c>
      <c r="C80" s="32">
        <v>50</v>
      </c>
      <c r="D80" s="24" t="s">
        <v>509</v>
      </c>
      <c r="E80" s="32" t="s">
        <v>502</v>
      </c>
      <c r="F80" s="90" t="s">
        <v>149</v>
      </c>
      <c r="G80" s="117" t="s">
        <v>480</v>
      </c>
      <c r="H80" s="117">
        <v>50</v>
      </c>
      <c r="I80" s="98">
        <v>126.85714285714286</v>
      </c>
      <c r="K80" s="50"/>
      <c r="L80" s="107"/>
      <c r="M80" s="183"/>
      <c r="N80" s="129">
        <f t="shared" si="3"/>
        <v>0</v>
      </c>
    </row>
    <row r="81" spans="1:14" ht="19.5" hidden="1" customHeight="1" x14ac:dyDescent="0.3">
      <c r="A81" s="1109"/>
      <c r="B81" s="70" t="s">
        <v>480</v>
      </c>
      <c r="C81" s="32">
        <v>51</v>
      </c>
      <c r="D81" s="24" t="s">
        <v>509</v>
      </c>
      <c r="E81" s="32" t="s">
        <v>502</v>
      </c>
      <c r="F81" s="90" t="s">
        <v>150</v>
      </c>
      <c r="G81" s="117" t="s">
        <v>480</v>
      </c>
      <c r="H81" s="117">
        <v>51</v>
      </c>
      <c r="I81" s="98">
        <v>132</v>
      </c>
      <c r="K81" s="50"/>
      <c r="L81" s="107"/>
      <c r="M81" s="183"/>
      <c r="N81" s="129">
        <f t="shared" si="3"/>
        <v>0</v>
      </c>
    </row>
    <row r="82" spans="1:14" ht="19.5" hidden="1" customHeight="1" x14ac:dyDescent="0.3">
      <c r="A82" s="1109"/>
      <c r="B82" s="70" t="s">
        <v>480</v>
      </c>
      <c r="C82" s="32" t="s">
        <v>157</v>
      </c>
      <c r="D82" s="24" t="s">
        <v>509</v>
      </c>
      <c r="E82" s="32" t="s">
        <v>502</v>
      </c>
      <c r="F82" s="90" t="s">
        <v>158</v>
      </c>
      <c r="G82" s="117" t="s">
        <v>480</v>
      </c>
      <c r="H82" s="117" t="s">
        <v>157</v>
      </c>
      <c r="I82" s="93">
        <v>150</v>
      </c>
      <c r="K82" s="50"/>
      <c r="L82" s="107"/>
      <c r="M82" s="183"/>
      <c r="N82" s="129">
        <f t="shared" si="3"/>
        <v>0</v>
      </c>
    </row>
    <row r="83" spans="1:14" ht="19.5" hidden="1" customHeight="1" x14ac:dyDescent="0.3">
      <c r="A83" s="1109"/>
      <c r="B83" s="70" t="s">
        <v>480</v>
      </c>
      <c r="C83" s="32" t="s">
        <v>159</v>
      </c>
      <c r="D83" s="24" t="s">
        <v>509</v>
      </c>
      <c r="E83" s="32" t="s">
        <v>502</v>
      </c>
      <c r="F83" s="90" t="s">
        <v>160</v>
      </c>
      <c r="G83" s="117" t="s">
        <v>480</v>
      </c>
      <c r="H83" s="117" t="s">
        <v>159</v>
      </c>
      <c r="I83" s="93">
        <v>354</v>
      </c>
      <c r="K83" s="50"/>
      <c r="L83" s="107"/>
      <c r="M83" s="183"/>
      <c r="N83" s="129">
        <f t="shared" si="3"/>
        <v>0</v>
      </c>
    </row>
    <row r="84" spans="1:14" ht="19.5" hidden="1" customHeight="1" x14ac:dyDescent="0.3">
      <c r="A84" s="1109"/>
      <c r="B84" s="70" t="s">
        <v>480</v>
      </c>
      <c r="C84" s="32" t="s">
        <v>161</v>
      </c>
      <c r="D84" s="24" t="s">
        <v>509</v>
      </c>
      <c r="E84" s="32" t="s">
        <v>502</v>
      </c>
      <c r="F84" s="90" t="s">
        <v>162</v>
      </c>
      <c r="G84" s="117" t="s">
        <v>480</v>
      </c>
      <c r="H84" s="117" t="s">
        <v>161</v>
      </c>
      <c r="I84" s="93">
        <v>168</v>
      </c>
      <c r="K84" s="50"/>
      <c r="L84" s="107"/>
      <c r="M84" s="183"/>
      <c r="N84" s="129">
        <f t="shared" si="3"/>
        <v>0</v>
      </c>
    </row>
    <row r="85" spans="1:14" ht="19.5" hidden="1" customHeight="1" x14ac:dyDescent="0.3">
      <c r="A85" s="1109"/>
      <c r="B85" s="70" t="s">
        <v>480</v>
      </c>
      <c r="C85" s="32" t="s">
        <v>163</v>
      </c>
      <c r="D85" s="24" t="s">
        <v>509</v>
      </c>
      <c r="E85" s="32" t="s">
        <v>502</v>
      </c>
      <c r="F85" s="90" t="s">
        <v>164</v>
      </c>
      <c r="G85" s="117" t="s">
        <v>480</v>
      </c>
      <c r="H85" s="117" t="s">
        <v>163</v>
      </c>
      <c r="I85" s="93">
        <v>38.5</v>
      </c>
      <c r="K85" s="50"/>
      <c r="L85" s="107"/>
      <c r="M85" s="183"/>
      <c r="N85" s="129">
        <f t="shared" si="3"/>
        <v>0</v>
      </c>
    </row>
    <row r="86" spans="1:14" ht="19.5" hidden="1" customHeight="1" x14ac:dyDescent="0.3">
      <c r="A86" s="1109"/>
      <c r="B86" s="70" t="s">
        <v>480</v>
      </c>
      <c r="C86" s="32" t="s">
        <v>165</v>
      </c>
      <c r="D86" s="24" t="s">
        <v>509</v>
      </c>
      <c r="E86" s="32" t="s">
        <v>502</v>
      </c>
      <c r="F86" s="90" t="s">
        <v>166</v>
      </c>
      <c r="G86" s="117" t="s">
        <v>480</v>
      </c>
      <c r="H86" s="117" t="s">
        <v>165</v>
      </c>
      <c r="I86" s="93">
        <v>113.14285714285714</v>
      </c>
      <c r="K86" s="50"/>
      <c r="L86" s="107"/>
      <c r="M86" s="183"/>
      <c r="N86" s="129">
        <f t="shared" si="3"/>
        <v>0</v>
      </c>
    </row>
    <row r="87" spans="1:14" ht="19.5" hidden="1" customHeight="1" x14ac:dyDescent="0.3">
      <c r="A87" s="1109"/>
      <c r="B87" s="70" t="s">
        <v>480</v>
      </c>
      <c r="C87" s="32" t="s">
        <v>167</v>
      </c>
      <c r="D87" s="24" t="s">
        <v>509</v>
      </c>
      <c r="E87" s="32" t="s">
        <v>502</v>
      </c>
      <c r="F87" s="90" t="s">
        <v>168</v>
      </c>
      <c r="G87" s="117" t="s">
        <v>480</v>
      </c>
      <c r="H87" s="117" t="s">
        <v>167</v>
      </c>
      <c r="I87" s="93">
        <v>72</v>
      </c>
      <c r="K87" s="50"/>
      <c r="L87" s="107"/>
      <c r="M87" s="183"/>
      <c r="N87" s="129">
        <f t="shared" si="3"/>
        <v>0</v>
      </c>
    </row>
    <row r="88" spans="1:14" ht="19.5" hidden="1" customHeight="1" x14ac:dyDescent="0.3">
      <c r="A88" s="1109"/>
      <c r="B88" s="70" t="s">
        <v>480</v>
      </c>
      <c r="C88" s="32" t="s">
        <v>169</v>
      </c>
      <c r="D88" s="24" t="s">
        <v>509</v>
      </c>
      <c r="E88" s="32" t="s">
        <v>502</v>
      </c>
      <c r="F88" s="90" t="s">
        <v>170</v>
      </c>
      <c r="G88" s="117" t="s">
        <v>480</v>
      </c>
      <c r="H88" s="117" t="s">
        <v>169</v>
      </c>
      <c r="I88" s="93">
        <v>464.57142857142856</v>
      </c>
      <c r="K88" s="50"/>
      <c r="L88" s="107"/>
      <c r="M88" s="183"/>
      <c r="N88" s="129">
        <f t="shared" si="3"/>
        <v>0</v>
      </c>
    </row>
    <row r="89" spans="1:14" ht="19.5" hidden="1" customHeight="1" x14ac:dyDescent="0.3">
      <c r="A89" s="1109"/>
      <c r="B89" s="70" t="s">
        <v>480</v>
      </c>
      <c r="C89" s="32" t="s">
        <v>171</v>
      </c>
      <c r="D89" s="24" t="s">
        <v>509</v>
      </c>
      <c r="E89" s="32" t="s">
        <v>502</v>
      </c>
      <c r="F89" s="90" t="s">
        <v>172</v>
      </c>
      <c r="G89" s="117" t="s">
        <v>480</v>
      </c>
      <c r="H89" s="117" t="s">
        <v>171</v>
      </c>
      <c r="I89" s="93">
        <v>279.42857142857144</v>
      </c>
      <c r="K89" s="50"/>
      <c r="L89" s="107"/>
      <c r="M89" s="183"/>
      <c r="N89" s="129">
        <f t="shared" si="3"/>
        <v>0</v>
      </c>
    </row>
    <row r="90" spans="1:14" ht="19.5" hidden="1" customHeight="1" x14ac:dyDescent="0.3">
      <c r="A90" s="1109"/>
      <c r="B90" s="70" t="s">
        <v>480</v>
      </c>
      <c r="C90" s="32" t="s">
        <v>173</v>
      </c>
      <c r="D90" s="24" t="s">
        <v>509</v>
      </c>
      <c r="E90" s="32" t="s">
        <v>502</v>
      </c>
      <c r="F90" s="90" t="s">
        <v>174</v>
      </c>
      <c r="G90" s="117" t="s">
        <v>480</v>
      </c>
      <c r="H90" s="117" t="s">
        <v>173</v>
      </c>
      <c r="I90" s="93">
        <v>786.85714285714289</v>
      </c>
      <c r="K90" s="50"/>
      <c r="L90" s="107"/>
      <c r="M90" s="183"/>
      <c r="N90" s="129">
        <f t="shared" si="3"/>
        <v>0</v>
      </c>
    </row>
    <row r="91" spans="1:14" ht="19.5" hidden="1" customHeight="1" x14ac:dyDescent="0.3">
      <c r="A91" s="1109"/>
      <c r="B91" s="70" t="s">
        <v>480</v>
      </c>
      <c r="C91" s="32" t="s">
        <v>175</v>
      </c>
      <c r="D91" s="24" t="s">
        <v>509</v>
      </c>
      <c r="E91" s="32" t="s">
        <v>502</v>
      </c>
      <c r="F91" s="90" t="s">
        <v>176</v>
      </c>
      <c r="G91" s="117" t="s">
        <v>480</v>
      </c>
      <c r="H91" s="117" t="s">
        <v>175</v>
      </c>
      <c r="I91" s="93">
        <v>257.14285714285717</v>
      </c>
      <c r="K91" s="50"/>
      <c r="L91" s="107"/>
      <c r="M91" s="183"/>
      <c r="N91" s="129">
        <f t="shared" si="3"/>
        <v>0</v>
      </c>
    </row>
    <row r="92" spans="1:14" ht="19.5" hidden="1" customHeight="1" x14ac:dyDescent="0.3">
      <c r="A92" s="1109"/>
      <c r="B92" s="70" t="s">
        <v>480</v>
      </c>
      <c r="C92" s="32" t="s">
        <v>177</v>
      </c>
      <c r="D92" s="24" t="s">
        <v>509</v>
      </c>
      <c r="E92" s="32" t="s">
        <v>502</v>
      </c>
      <c r="F92" s="90" t="s">
        <v>178</v>
      </c>
      <c r="G92" s="117" t="s">
        <v>480</v>
      </c>
      <c r="H92" s="117" t="s">
        <v>177</v>
      </c>
      <c r="I92" s="93">
        <v>714.85714285714289</v>
      </c>
      <c r="K92" s="50"/>
      <c r="L92" s="107"/>
      <c r="M92" s="183"/>
      <c r="N92" s="129">
        <f t="shared" si="3"/>
        <v>0</v>
      </c>
    </row>
    <row r="93" spans="1:14" ht="19.5" hidden="1" customHeight="1" x14ac:dyDescent="0.3">
      <c r="A93" s="1109"/>
      <c r="B93" s="70" t="s">
        <v>480</v>
      </c>
      <c r="C93" s="32" t="s">
        <v>179</v>
      </c>
      <c r="D93" s="24" t="s">
        <v>509</v>
      </c>
      <c r="E93" s="32" t="s">
        <v>502</v>
      </c>
      <c r="F93" s="90" t="s">
        <v>180</v>
      </c>
      <c r="G93" s="117" t="s">
        <v>480</v>
      </c>
      <c r="H93" s="117" t="s">
        <v>179</v>
      </c>
      <c r="I93" s="93">
        <v>0</v>
      </c>
      <c r="K93" s="50"/>
      <c r="L93" s="107"/>
      <c r="M93" s="183"/>
      <c r="N93" s="129">
        <f t="shared" si="3"/>
        <v>0</v>
      </c>
    </row>
    <row r="94" spans="1:14" ht="19.5" hidden="1" customHeight="1" x14ac:dyDescent="0.3">
      <c r="A94" s="1109"/>
      <c r="B94" s="70" t="s">
        <v>480</v>
      </c>
      <c r="C94" s="32" t="s">
        <v>183</v>
      </c>
      <c r="D94" s="24" t="s">
        <v>509</v>
      </c>
      <c r="E94" s="32" t="s">
        <v>502</v>
      </c>
      <c r="F94" s="90" t="s">
        <v>184</v>
      </c>
      <c r="G94" s="117" t="s">
        <v>480</v>
      </c>
      <c r="H94" s="117" t="s">
        <v>183</v>
      </c>
      <c r="I94" s="98">
        <v>77.142857142857139</v>
      </c>
      <c r="K94" s="50"/>
      <c r="L94" s="107"/>
      <c r="M94" s="183"/>
      <c r="N94" s="129">
        <f t="shared" si="3"/>
        <v>0</v>
      </c>
    </row>
    <row r="95" spans="1:14" ht="19.5" hidden="1" customHeight="1" x14ac:dyDescent="0.3">
      <c r="A95" s="1109"/>
      <c r="B95" s="70" t="s">
        <v>480</v>
      </c>
      <c r="C95" s="32" t="s">
        <v>185</v>
      </c>
      <c r="D95" s="24" t="s">
        <v>509</v>
      </c>
      <c r="E95" s="32" t="s">
        <v>502</v>
      </c>
      <c r="F95" s="90" t="s">
        <v>186</v>
      </c>
      <c r="G95" s="117" t="s">
        <v>480</v>
      </c>
      <c r="H95" s="117" t="s">
        <v>185</v>
      </c>
      <c r="I95" s="98">
        <v>84</v>
      </c>
      <c r="K95" s="50"/>
      <c r="L95" s="107"/>
      <c r="M95" s="183"/>
      <c r="N95" s="129">
        <f t="shared" si="3"/>
        <v>0</v>
      </c>
    </row>
    <row r="96" spans="1:14" ht="19.5" hidden="1" customHeight="1" x14ac:dyDescent="0.3">
      <c r="A96" s="1109"/>
      <c r="B96" s="70" t="s">
        <v>480</v>
      </c>
      <c r="C96" s="32" t="s">
        <v>187</v>
      </c>
      <c r="D96" s="24" t="s">
        <v>509</v>
      </c>
      <c r="E96" s="32" t="s">
        <v>502</v>
      </c>
      <c r="F96" s="90" t="s">
        <v>188</v>
      </c>
      <c r="G96" s="117" t="s">
        <v>480</v>
      </c>
      <c r="H96" s="117" t="s">
        <v>187</v>
      </c>
      <c r="I96" s="98">
        <v>120</v>
      </c>
      <c r="K96" s="50"/>
      <c r="L96" s="107"/>
      <c r="M96" s="183"/>
      <c r="N96" s="129">
        <f t="shared" si="3"/>
        <v>0</v>
      </c>
    </row>
    <row r="97" spans="1:14" ht="19.5" hidden="1" customHeight="1" x14ac:dyDescent="0.3">
      <c r="A97" s="1109"/>
      <c r="B97" s="70" t="s">
        <v>480</v>
      </c>
      <c r="C97" s="32" t="s">
        <v>189</v>
      </c>
      <c r="D97" s="24" t="s">
        <v>509</v>
      </c>
      <c r="E97" s="32" t="s">
        <v>502</v>
      </c>
      <c r="F97" s="90" t="s">
        <v>190</v>
      </c>
      <c r="G97" s="117" t="s">
        <v>480</v>
      </c>
      <c r="H97" s="117" t="s">
        <v>189</v>
      </c>
      <c r="I97" s="93">
        <v>186.85714285714286</v>
      </c>
      <c r="K97" s="50"/>
      <c r="L97" s="107"/>
      <c r="M97" s="183"/>
      <c r="N97" s="129">
        <f t="shared" si="3"/>
        <v>0</v>
      </c>
    </row>
    <row r="98" spans="1:14" ht="19.5" hidden="1" customHeight="1" x14ac:dyDescent="0.3">
      <c r="A98" s="1109"/>
      <c r="B98" s="70" t="s">
        <v>480</v>
      </c>
      <c r="C98" s="32" t="s">
        <v>191</v>
      </c>
      <c r="D98" s="24" t="s">
        <v>509</v>
      </c>
      <c r="E98" s="32" t="s">
        <v>502</v>
      </c>
      <c r="F98" s="90" t="s">
        <v>192</v>
      </c>
      <c r="G98" s="117" t="s">
        <v>480</v>
      </c>
      <c r="H98" s="117" t="s">
        <v>191</v>
      </c>
      <c r="I98" s="93">
        <v>456</v>
      </c>
      <c r="K98" s="50"/>
      <c r="L98" s="107"/>
      <c r="M98" s="183"/>
      <c r="N98" s="129">
        <f t="shared" si="3"/>
        <v>0</v>
      </c>
    </row>
    <row r="99" spans="1:14" ht="19.5" hidden="1" customHeight="1" x14ac:dyDescent="0.3">
      <c r="A99" s="1109"/>
      <c r="B99" s="70" t="s">
        <v>480</v>
      </c>
      <c r="C99" s="32" t="s">
        <v>193</v>
      </c>
      <c r="D99" s="24" t="s">
        <v>509</v>
      </c>
      <c r="E99" s="32" t="s">
        <v>502</v>
      </c>
      <c r="F99" s="90" t="s">
        <v>194</v>
      </c>
      <c r="G99" s="117" t="s">
        <v>480</v>
      </c>
      <c r="H99" s="117" t="s">
        <v>193</v>
      </c>
      <c r="I99" s="93">
        <v>531.42857142857144</v>
      </c>
      <c r="K99" s="50"/>
      <c r="L99" s="107"/>
      <c r="M99" s="183"/>
      <c r="N99" s="129">
        <f t="shared" si="3"/>
        <v>0</v>
      </c>
    </row>
    <row r="100" spans="1:14" ht="19.5" hidden="1" customHeight="1" x14ac:dyDescent="0.3">
      <c r="A100" s="1109"/>
      <c r="B100" s="70" t="s">
        <v>480</v>
      </c>
      <c r="C100" s="32" t="s">
        <v>195</v>
      </c>
      <c r="D100" s="24" t="s">
        <v>509</v>
      </c>
      <c r="E100" s="32" t="s">
        <v>502</v>
      </c>
      <c r="F100" s="90" t="s">
        <v>196</v>
      </c>
      <c r="G100" s="117" t="s">
        <v>480</v>
      </c>
      <c r="H100" s="117" t="s">
        <v>195</v>
      </c>
      <c r="I100" s="93">
        <v>156</v>
      </c>
      <c r="K100" s="50"/>
      <c r="L100" s="107"/>
      <c r="M100" s="183"/>
      <c r="N100" s="129">
        <f t="shared" si="3"/>
        <v>0</v>
      </c>
    </row>
    <row r="101" spans="1:14" ht="19.5" hidden="1" customHeight="1" x14ac:dyDescent="0.3">
      <c r="A101" s="1109"/>
      <c r="B101" s="70" t="s">
        <v>480</v>
      </c>
      <c r="C101" s="32" t="s">
        <v>197</v>
      </c>
      <c r="D101" s="24" t="s">
        <v>509</v>
      </c>
      <c r="E101" s="32" t="s">
        <v>502</v>
      </c>
      <c r="F101" s="90" t="s">
        <v>198</v>
      </c>
      <c r="G101" s="117" t="s">
        <v>480</v>
      </c>
      <c r="H101" s="117" t="s">
        <v>197</v>
      </c>
      <c r="I101" s="93">
        <v>64</v>
      </c>
      <c r="K101" s="50"/>
      <c r="L101" s="107"/>
      <c r="M101" s="183"/>
      <c r="N101" s="129">
        <f t="shared" si="3"/>
        <v>0</v>
      </c>
    </row>
    <row r="102" spans="1:14" ht="19.5" hidden="1" customHeight="1" x14ac:dyDescent="0.3">
      <c r="A102" s="1109"/>
      <c r="B102" s="70" t="s">
        <v>480</v>
      </c>
      <c r="C102" s="32" t="s">
        <v>199</v>
      </c>
      <c r="D102" s="24" t="s">
        <v>509</v>
      </c>
      <c r="E102" s="32" t="s">
        <v>502</v>
      </c>
      <c r="F102" s="90" t="s">
        <v>200</v>
      </c>
      <c r="G102" s="117" t="s">
        <v>480</v>
      </c>
      <c r="H102" s="117" t="s">
        <v>199</v>
      </c>
      <c r="I102" s="93">
        <v>478.28571428571428</v>
      </c>
      <c r="K102" s="50"/>
      <c r="L102" s="107"/>
      <c r="M102" s="183"/>
      <c r="N102" s="129">
        <f t="shared" si="3"/>
        <v>0</v>
      </c>
    </row>
    <row r="103" spans="1:14" ht="19.5" hidden="1" customHeight="1" x14ac:dyDescent="0.3">
      <c r="A103" s="1109"/>
      <c r="B103" s="70" t="s">
        <v>480</v>
      </c>
      <c r="C103" s="32" t="s">
        <v>201</v>
      </c>
      <c r="D103" s="24" t="s">
        <v>509</v>
      </c>
      <c r="E103" s="32" t="s">
        <v>502</v>
      </c>
      <c r="F103" s="90" t="s">
        <v>202</v>
      </c>
      <c r="G103" s="117" t="s">
        <v>480</v>
      </c>
      <c r="H103" s="117" t="s">
        <v>201</v>
      </c>
      <c r="I103" s="93">
        <v>40</v>
      </c>
      <c r="K103" s="50"/>
      <c r="L103" s="107"/>
      <c r="M103" s="183"/>
      <c r="N103" s="129">
        <f t="shared" si="3"/>
        <v>0</v>
      </c>
    </row>
    <row r="104" spans="1:14" ht="19.5" hidden="1" customHeight="1" x14ac:dyDescent="0.3">
      <c r="A104" s="1109"/>
      <c r="B104" s="70" t="s">
        <v>480</v>
      </c>
      <c r="C104" s="32" t="s">
        <v>203</v>
      </c>
      <c r="D104" s="24" t="s">
        <v>509</v>
      </c>
      <c r="E104" s="32" t="s">
        <v>502</v>
      </c>
      <c r="F104" s="90" t="s">
        <v>204</v>
      </c>
      <c r="G104" s="117" t="s">
        <v>480</v>
      </c>
      <c r="H104" s="117" t="s">
        <v>203</v>
      </c>
      <c r="I104" s="93">
        <v>96</v>
      </c>
      <c r="K104" s="50"/>
      <c r="L104" s="107"/>
      <c r="M104" s="183"/>
      <c r="N104" s="129">
        <f t="shared" si="3"/>
        <v>0</v>
      </c>
    </row>
    <row r="105" spans="1:14" ht="19.5" hidden="1" customHeight="1" x14ac:dyDescent="0.3">
      <c r="A105" s="1109"/>
      <c r="B105" s="70" t="s">
        <v>480</v>
      </c>
      <c r="C105" s="79" t="s">
        <v>404</v>
      </c>
      <c r="D105" s="24" t="s">
        <v>509</v>
      </c>
      <c r="E105" s="32" t="s">
        <v>502</v>
      </c>
      <c r="F105" s="90" t="s">
        <v>406</v>
      </c>
      <c r="G105" s="117" t="s">
        <v>480</v>
      </c>
      <c r="H105" s="121" t="s">
        <v>404</v>
      </c>
      <c r="I105" s="93">
        <v>42</v>
      </c>
      <c r="K105" s="50"/>
      <c r="L105" s="107"/>
      <c r="M105" s="183"/>
      <c r="N105" s="129">
        <f t="shared" si="3"/>
        <v>0</v>
      </c>
    </row>
    <row r="106" spans="1:14" ht="19.5" hidden="1" customHeight="1" x14ac:dyDescent="0.3">
      <c r="A106" s="1109"/>
      <c r="B106" s="70" t="s">
        <v>480</v>
      </c>
      <c r="C106" s="32" t="s">
        <v>405</v>
      </c>
      <c r="D106" s="24" t="s">
        <v>509</v>
      </c>
      <c r="E106" s="32" t="s">
        <v>502</v>
      </c>
      <c r="F106" s="90" t="s">
        <v>407</v>
      </c>
      <c r="G106" s="117" t="s">
        <v>480</v>
      </c>
      <c r="H106" s="117" t="s">
        <v>405</v>
      </c>
      <c r="I106" s="93">
        <v>110.4</v>
      </c>
      <c r="K106" s="50"/>
      <c r="L106" s="107"/>
      <c r="M106" s="183"/>
      <c r="N106" s="129">
        <f t="shared" si="3"/>
        <v>0</v>
      </c>
    </row>
    <row r="107" spans="1:14" ht="19.5" hidden="1" customHeight="1" x14ac:dyDescent="0.3">
      <c r="A107" s="1109"/>
      <c r="B107" s="70" t="s">
        <v>480</v>
      </c>
      <c r="C107" s="32" t="s">
        <v>205</v>
      </c>
      <c r="D107" s="24" t="s">
        <v>509</v>
      </c>
      <c r="E107" s="32" t="s">
        <v>502</v>
      </c>
      <c r="F107" s="90" t="s">
        <v>206</v>
      </c>
      <c r="G107" s="117" t="s">
        <v>480</v>
      </c>
      <c r="H107" s="117" t="s">
        <v>205</v>
      </c>
      <c r="I107" s="93">
        <v>209.14285714285714</v>
      </c>
      <c r="K107" s="50"/>
      <c r="L107" s="107"/>
      <c r="M107" s="183"/>
      <c r="N107" s="129">
        <f t="shared" si="3"/>
        <v>0</v>
      </c>
    </row>
    <row r="108" spans="1:14" ht="19.5" hidden="1" customHeight="1" x14ac:dyDescent="0.3">
      <c r="A108" s="1109"/>
      <c r="B108" s="70" t="s">
        <v>480</v>
      </c>
      <c r="C108" s="32" t="s">
        <v>207</v>
      </c>
      <c r="D108" s="24" t="s">
        <v>509</v>
      </c>
      <c r="E108" s="32" t="s">
        <v>502</v>
      </c>
      <c r="F108" s="90" t="s">
        <v>208</v>
      </c>
      <c r="G108" s="117" t="s">
        <v>480</v>
      </c>
      <c r="H108" s="117" t="s">
        <v>207</v>
      </c>
      <c r="I108" s="93">
        <v>233.14285714285714</v>
      </c>
      <c r="K108" s="50"/>
      <c r="L108" s="107"/>
      <c r="M108" s="183"/>
      <c r="N108" s="129">
        <f t="shared" si="3"/>
        <v>0</v>
      </c>
    </row>
    <row r="109" spans="1:14" ht="19.5" hidden="1" customHeight="1" x14ac:dyDescent="0.3">
      <c r="A109" s="1109"/>
      <c r="B109" s="70" t="s">
        <v>480</v>
      </c>
      <c r="C109" s="32" t="s">
        <v>209</v>
      </c>
      <c r="D109" s="24" t="s">
        <v>509</v>
      </c>
      <c r="E109" s="32" t="s">
        <v>502</v>
      </c>
      <c r="F109" s="90" t="s">
        <v>210</v>
      </c>
      <c r="G109" s="117" t="s">
        <v>480</v>
      </c>
      <c r="H109" s="117" t="s">
        <v>209</v>
      </c>
      <c r="I109" s="93">
        <v>493.71428571428572</v>
      </c>
      <c r="K109" s="50"/>
      <c r="L109" s="107"/>
      <c r="M109" s="183"/>
      <c r="N109" s="129">
        <f t="shared" si="3"/>
        <v>0</v>
      </c>
    </row>
    <row r="110" spans="1:14" ht="19.5" hidden="1" customHeight="1" x14ac:dyDescent="0.3">
      <c r="A110" s="1109"/>
      <c r="B110" s="70" t="s">
        <v>480</v>
      </c>
      <c r="C110" s="32" t="s">
        <v>211</v>
      </c>
      <c r="D110" s="24" t="s">
        <v>509</v>
      </c>
      <c r="E110" s="32" t="s">
        <v>502</v>
      </c>
      <c r="F110" s="90" t="s">
        <v>212</v>
      </c>
      <c r="G110" s="117" t="s">
        <v>480</v>
      </c>
      <c r="H110" s="117" t="s">
        <v>211</v>
      </c>
      <c r="I110" s="93">
        <v>482.28571428571428</v>
      </c>
      <c r="K110" s="50"/>
      <c r="L110" s="107"/>
      <c r="M110" s="183"/>
      <c r="N110" s="129">
        <f t="shared" si="3"/>
        <v>0</v>
      </c>
    </row>
    <row r="111" spans="1:14" ht="19.5" hidden="1" customHeight="1" x14ac:dyDescent="0.3">
      <c r="A111" s="1109"/>
      <c r="B111" s="70" t="s">
        <v>480</v>
      </c>
      <c r="C111" s="32" t="s">
        <v>213</v>
      </c>
      <c r="D111" s="24" t="s">
        <v>509</v>
      </c>
      <c r="E111" s="32" t="s">
        <v>502</v>
      </c>
      <c r="F111" s="90" t="s">
        <v>212</v>
      </c>
      <c r="G111" s="117" t="s">
        <v>480</v>
      </c>
      <c r="H111" s="117" t="s">
        <v>213</v>
      </c>
      <c r="I111" s="93">
        <v>0</v>
      </c>
      <c r="K111" s="50"/>
      <c r="L111" s="107"/>
      <c r="M111" s="183"/>
      <c r="N111" s="129">
        <f t="shared" si="3"/>
        <v>0</v>
      </c>
    </row>
    <row r="112" spans="1:14" ht="19.5" hidden="1" customHeight="1" x14ac:dyDescent="0.3">
      <c r="A112" s="1109"/>
      <c r="B112" s="70" t="s">
        <v>480</v>
      </c>
      <c r="C112" s="32" t="s">
        <v>214</v>
      </c>
      <c r="D112" s="24" t="s">
        <v>509</v>
      </c>
      <c r="E112" s="32" t="s">
        <v>502</v>
      </c>
      <c r="F112" s="90" t="s">
        <v>215</v>
      </c>
      <c r="G112" s="117" t="s">
        <v>480</v>
      </c>
      <c r="H112" s="117" t="s">
        <v>214</v>
      </c>
      <c r="I112" s="93">
        <v>473.14285714285717</v>
      </c>
      <c r="K112" s="50"/>
      <c r="L112" s="107"/>
      <c r="M112" s="183"/>
      <c r="N112" s="129">
        <f t="shared" si="3"/>
        <v>0</v>
      </c>
    </row>
    <row r="113" spans="1:14" ht="19.5" hidden="1" customHeight="1" x14ac:dyDescent="0.3">
      <c r="A113" s="1109"/>
      <c r="B113" s="70" t="s">
        <v>480</v>
      </c>
      <c r="C113" s="32" t="s">
        <v>216</v>
      </c>
      <c r="D113" s="24" t="s">
        <v>509</v>
      </c>
      <c r="E113" s="32" t="s">
        <v>502</v>
      </c>
      <c r="F113" s="90" t="s">
        <v>217</v>
      </c>
      <c r="G113" s="117" t="s">
        <v>480</v>
      </c>
      <c r="H113" s="117" t="s">
        <v>216</v>
      </c>
      <c r="I113" s="93">
        <v>85.714285714285708</v>
      </c>
      <c r="K113" s="50"/>
      <c r="L113" s="107"/>
      <c r="M113" s="183"/>
      <c r="N113" s="129">
        <f t="shared" si="3"/>
        <v>0</v>
      </c>
    </row>
    <row r="114" spans="1:14" ht="19.5" hidden="1" customHeight="1" x14ac:dyDescent="0.3">
      <c r="A114" s="1109"/>
      <c r="B114" s="70" t="s">
        <v>480</v>
      </c>
      <c r="C114" s="32" t="s">
        <v>218</v>
      </c>
      <c r="D114" s="24" t="s">
        <v>509</v>
      </c>
      <c r="E114" s="32" t="s">
        <v>502</v>
      </c>
      <c r="F114" s="90" t="s">
        <v>219</v>
      </c>
      <c r="G114" s="117" t="s">
        <v>480</v>
      </c>
      <c r="H114" s="117" t="s">
        <v>218</v>
      </c>
      <c r="I114" s="98">
        <v>145.71428571428572</v>
      </c>
      <c r="K114" s="50"/>
      <c r="L114" s="107"/>
      <c r="M114" s="183"/>
      <c r="N114" s="129">
        <f t="shared" ref="N114:N182" si="4">+K114-M114</f>
        <v>0</v>
      </c>
    </row>
    <row r="115" spans="1:14" ht="19.5" hidden="1" customHeight="1" x14ac:dyDescent="0.3">
      <c r="A115" s="1109"/>
      <c r="B115" s="70" t="s">
        <v>480</v>
      </c>
      <c r="C115" s="32" t="s">
        <v>220</v>
      </c>
      <c r="D115" s="24" t="s">
        <v>509</v>
      </c>
      <c r="E115" s="32" t="s">
        <v>502</v>
      </c>
      <c r="F115" s="90" t="s">
        <v>221</v>
      </c>
      <c r="G115" s="117" t="s">
        <v>480</v>
      </c>
      <c r="H115" s="117" t="s">
        <v>220</v>
      </c>
      <c r="I115" s="93">
        <v>72</v>
      </c>
      <c r="K115" s="50"/>
      <c r="L115" s="107"/>
      <c r="M115" s="183"/>
      <c r="N115" s="129">
        <f t="shared" si="4"/>
        <v>0</v>
      </c>
    </row>
    <row r="116" spans="1:14" ht="19.5" hidden="1" customHeight="1" x14ac:dyDescent="0.3">
      <c r="A116" s="1109"/>
      <c r="B116" s="70" t="s">
        <v>480</v>
      </c>
      <c r="C116" s="32" t="s">
        <v>222</v>
      </c>
      <c r="D116" s="24" t="s">
        <v>509</v>
      </c>
      <c r="E116" s="32" t="s">
        <v>502</v>
      </c>
      <c r="F116" s="90" t="s">
        <v>223</v>
      </c>
      <c r="G116" s="117" t="s">
        <v>480</v>
      </c>
      <c r="H116" s="117" t="s">
        <v>222</v>
      </c>
      <c r="I116" s="93">
        <v>855.42857142857144</v>
      </c>
      <c r="K116" s="50"/>
      <c r="L116" s="107"/>
      <c r="M116" s="183"/>
      <c r="N116" s="129">
        <f t="shared" si="4"/>
        <v>0</v>
      </c>
    </row>
    <row r="117" spans="1:14" ht="19.5" hidden="1" customHeight="1" x14ac:dyDescent="0.3">
      <c r="A117" s="1109"/>
      <c r="B117" s="70" t="s">
        <v>480</v>
      </c>
      <c r="C117" s="78" t="s">
        <v>419</v>
      </c>
      <c r="D117" s="24" t="s">
        <v>509</v>
      </c>
      <c r="E117" s="32" t="s">
        <v>502</v>
      </c>
      <c r="F117" s="90" t="s">
        <v>421</v>
      </c>
      <c r="G117" s="117" t="s">
        <v>480</v>
      </c>
      <c r="H117" s="120" t="s">
        <v>419</v>
      </c>
      <c r="I117" s="93">
        <v>317.14285714285717</v>
      </c>
      <c r="K117" s="50"/>
      <c r="L117" s="107"/>
      <c r="M117" s="183"/>
      <c r="N117" s="129">
        <f t="shared" si="4"/>
        <v>0</v>
      </c>
    </row>
    <row r="118" spans="1:14" ht="19.5" hidden="1" customHeight="1" x14ac:dyDescent="0.3">
      <c r="A118" s="1109"/>
      <c r="B118" s="70" t="s">
        <v>480</v>
      </c>
      <c r="C118" s="32" t="s">
        <v>224</v>
      </c>
      <c r="D118" s="24" t="s">
        <v>509</v>
      </c>
      <c r="E118" s="32" t="s">
        <v>502</v>
      </c>
      <c r="F118" s="90" t="s">
        <v>145</v>
      </c>
      <c r="G118" s="117" t="s">
        <v>480</v>
      </c>
      <c r="H118" s="117" t="s">
        <v>224</v>
      </c>
      <c r="I118" s="93">
        <v>169.71428571428572</v>
      </c>
      <c r="K118" s="50"/>
      <c r="L118" s="107"/>
      <c r="M118" s="183"/>
      <c r="N118" s="129">
        <f t="shared" si="4"/>
        <v>0</v>
      </c>
    </row>
    <row r="119" spans="1:14" ht="19.5" hidden="1" customHeight="1" x14ac:dyDescent="0.3">
      <c r="A119" s="1109"/>
      <c r="B119" s="70" t="s">
        <v>480</v>
      </c>
      <c r="C119" s="32" t="s">
        <v>225</v>
      </c>
      <c r="D119" s="24" t="s">
        <v>509</v>
      </c>
      <c r="E119" s="32" t="s">
        <v>502</v>
      </c>
      <c r="F119" s="90" t="s">
        <v>226</v>
      </c>
      <c r="G119" s="117" t="s">
        <v>480</v>
      </c>
      <c r="H119" s="117" t="s">
        <v>225</v>
      </c>
      <c r="I119" s="93">
        <v>248.57142857142858</v>
      </c>
      <c r="K119" s="50"/>
      <c r="L119" s="107"/>
      <c r="M119" s="183"/>
      <c r="N119" s="129">
        <f t="shared" si="4"/>
        <v>0</v>
      </c>
    </row>
    <row r="120" spans="1:14" ht="19.5" hidden="1" customHeight="1" x14ac:dyDescent="0.3">
      <c r="A120" s="1109"/>
      <c r="B120" s="70" t="s">
        <v>480</v>
      </c>
      <c r="C120" s="32" t="s">
        <v>443</v>
      </c>
      <c r="D120" s="24" t="s">
        <v>509</v>
      </c>
      <c r="E120" s="32" t="s">
        <v>502</v>
      </c>
      <c r="F120" s="90" t="s">
        <v>448</v>
      </c>
      <c r="G120" s="117" t="s">
        <v>480</v>
      </c>
      <c r="H120" s="117" t="s">
        <v>443</v>
      </c>
      <c r="I120" s="93">
        <v>0</v>
      </c>
      <c r="K120" s="50"/>
      <c r="L120" s="107"/>
      <c r="M120" s="183"/>
      <c r="N120" s="129">
        <f t="shared" si="4"/>
        <v>0</v>
      </c>
    </row>
    <row r="121" spans="1:14" ht="19.5" customHeight="1" x14ac:dyDescent="0.3">
      <c r="A121" s="1109"/>
      <c r="B121" s="70" t="s">
        <v>480</v>
      </c>
      <c r="C121" s="32"/>
      <c r="D121" s="24" t="s">
        <v>509</v>
      </c>
      <c r="E121" s="32" t="s">
        <v>502</v>
      </c>
      <c r="F121" s="90"/>
      <c r="G121" s="117" t="s">
        <v>480</v>
      </c>
      <c r="H121" s="117"/>
      <c r="I121" s="101">
        <f>SUM(I74:I120)</f>
        <v>11385.757142857143</v>
      </c>
      <c r="K121" s="110">
        <f t="shared" ref="K121:K132" si="5">+L121*2</f>
        <v>22771.514285714286</v>
      </c>
      <c r="L121" s="107">
        <f t="shared" ref="L121:L132" si="6">+I121</f>
        <v>11385.757142857143</v>
      </c>
      <c r="M121" s="183">
        <v>14750</v>
      </c>
      <c r="N121" s="129">
        <f t="shared" si="4"/>
        <v>8021.5142857142855</v>
      </c>
    </row>
    <row r="122" spans="1:14" ht="19.5" hidden="1" customHeight="1" x14ac:dyDescent="0.3">
      <c r="A122" s="1109"/>
      <c r="B122" s="70" t="s">
        <v>493</v>
      </c>
      <c r="C122" s="78" t="s">
        <v>388</v>
      </c>
      <c r="D122" s="23" t="s">
        <v>509</v>
      </c>
      <c r="E122" s="43" t="s">
        <v>495</v>
      </c>
      <c r="F122" s="90" t="s">
        <v>396</v>
      </c>
      <c r="G122" s="117" t="s">
        <v>493</v>
      </c>
      <c r="H122" s="120" t="s">
        <v>388</v>
      </c>
      <c r="I122" s="98">
        <v>390.85714285714283</v>
      </c>
      <c r="K122" s="110">
        <f t="shared" si="5"/>
        <v>781.71428571428567</v>
      </c>
      <c r="L122" s="107">
        <f t="shared" si="6"/>
        <v>390.85714285714283</v>
      </c>
      <c r="M122" s="183">
        <v>1000</v>
      </c>
      <c r="N122" s="129">
        <f t="shared" si="4"/>
        <v>-218.28571428571433</v>
      </c>
    </row>
    <row r="123" spans="1:14" ht="19.5" hidden="1" customHeight="1" x14ac:dyDescent="0.3">
      <c r="A123" s="1109"/>
      <c r="B123" s="70" t="s">
        <v>493</v>
      </c>
      <c r="C123" s="78" t="s">
        <v>432</v>
      </c>
      <c r="D123" s="23" t="s">
        <v>509</v>
      </c>
      <c r="E123" s="43" t="s">
        <v>500</v>
      </c>
      <c r="F123" s="125" t="s">
        <v>434</v>
      </c>
      <c r="G123" s="117" t="s">
        <v>493</v>
      </c>
      <c r="H123" s="120" t="s">
        <v>432</v>
      </c>
      <c r="I123" s="98">
        <v>165.14285714285714</v>
      </c>
      <c r="K123" s="110">
        <f t="shared" si="5"/>
        <v>330.28571428571428</v>
      </c>
      <c r="L123" s="107">
        <f t="shared" si="6"/>
        <v>165.14285714285714</v>
      </c>
      <c r="M123" s="183"/>
      <c r="N123" s="129"/>
    </row>
    <row r="124" spans="1:14" ht="19.5" hidden="1" customHeight="1" x14ac:dyDescent="0.3">
      <c r="A124" s="1109"/>
      <c r="B124" s="70" t="s">
        <v>493</v>
      </c>
      <c r="C124" s="79" t="s">
        <v>437</v>
      </c>
      <c r="D124" s="23" t="s">
        <v>509</v>
      </c>
      <c r="E124" s="43" t="s">
        <v>497</v>
      </c>
      <c r="F124" s="125" t="s">
        <v>438</v>
      </c>
      <c r="G124" s="117" t="s">
        <v>493</v>
      </c>
      <c r="H124" s="121" t="s">
        <v>437</v>
      </c>
      <c r="I124" s="98">
        <f>76+198</f>
        <v>274</v>
      </c>
      <c r="K124" s="50">
        <f t="shared" si="5"/>
        <v>548</v>
      </c>
      <c r="L124" s="107">
        <f t="shared" si="6"/>
        <v>274</v>
      </c>
      <c r="M124" s="183"/>
      <c r="N124" s="129"/>
    </row>
    <row r="125" spans="1:14" ht="19.5" hidden="1" customHeight="1" x14ac:dyDescent="0.3">
      <c r="A125" s="1109"/>
      <c r="B125" s="70" t="s">
        <v>493</v>
      </c>
      <c r="C125" s="32" t="s">
        <v>153</v>
      </c>
      <c r="D125" s="24" t="s">
        <v>509</v>
      </c>
      <c r="E125" s="32" t="s">
        <v>501</v>
      </c>
      <c r="F125" s="90" t="s">
        <v>154</v>
      </c>
      <c r="G125" s="117" t="s">
        <v>493</v>
      </c>
      <c r="H125" s="117" t="s">
        <v>153</v>
      </c>
      <c r="I125" s="93">
        <v>562.28571428571433</v>
      </c>
      <c r="K125" s="110">
        <f t="shared" si="5"/>
        <v>1124.5714285714287</v>
      </c>
      <c r="L125" s="107">
        <f t="shared" si="6"/>
        <v>562.28571428571433</v>
      </c>
      <c r="M125" s="183">
        <v>2250</v>
      </c>
      <c r="N125" s="129">
        <f t="shared" si="4"/>
        <v>-1125.4285714285713</v>
      </c>
    </row>
    <row r="126" spans="1:14" ht="19.5" customHeight="1" x14ac:dyDescent="0.3">
      <c r="A126" s="1109"/>
      <c r="B126" s="70" t="s">
        <v>493</v>
      </c>
      <c r="C126" s="32" t="s">
        <v>181</v>
      </c>
      <c r="D126" s="24" t="s">
        <v>509</v>
      </c>
      <c r="E126" s="32" t="s">
        <v>501</v>
      </c>
      <c r="F126" s="90" t="s">
        <v>182</v>
      </c>
      <c r="G126" s="117" t="s">
        <v>493</v>
      </c>
      <c r="H126" s="117" t="s">
        <v>181</v>
      </c>
      <c r="I126" s="93">
        <v>1524</v>
      </c>
      <c r="K126" s="50">
        <f t="shared" si="5"/>
        <v>3048</v>
      </c>
      <c r="L126" s="107">
        <f t="shared" si="6"/>
        <v>1524</v>
      </c>
      <c r="M126" s="183">
        <v>0</v>
      </c>
      <c r="N126" s="129">
        <f t="shared" si="4"/>
        <v>3048</v>
      </c>
    </row>
    <row r="127" spans="1:14" ht="19.5" customHeight="1" x14ac:dyDescent="0.3">
      <c r="A127" s="1109"/>
      <c r="B127" s="70" t="s">
        <v>468</v>
      </c>
      <c r="C127" s="32" t="s">
        <v>61</v>
      </c>
      <c r="D127" s="23" t="s">
        <v>509</v>
      </c>
      <c r="E127" s="43" t="s">
        <v>495</v>
      </c>
      <c r="F127" s="90" t="s">
        <v>62</v>
      </c>
      <c r="G127" s="117" t="s">
        <v>468</v>
      </c>
      <c r="H127" s="117" t="s">
        <v>61</v>
      </c>
      <c r="I127" s="98">
        <f>30089.1428571429+999</f>
        <v>31088.142857142899</v>
      </c>
      <c r="K127" s="110">
        <f t="shared" si="5"/>
        <v>62176.285714285797</v>
      </c>
      <c r="L127" s="107">
        <f t="shared" si="6"/>
        <v>31088.142857142899</v>
      </c>
      <c r="M127" s="183">
        <v>10000</v>
      </c>
      <c r="N127" s="129">
        <f t="shared" si="4"/>
        <v>52176.285714285797</v>
      </c>
    </row>
    <row r="128" spans="1:14" ht="19.5" hidden="1" customHeight="1" x14ac:dyDescent="0.3">
      <c r="A128" s="1109"/>
      <c r="B128" s="70" t="s">
        <v>467</v>
      </c>
      <c r="C128" s="32" t="s">
        <v>79</v>
      </c>
      <c r="D128" s="23" t="s">
        <v>509</v>
      </c>
      <c r="E128" s="43" t="s">
        <v>495</v>
      </c>
      <c r="F128" s="90" t="s">
        <v>80</v>
      </c>
      <c r="G128" s="117" t="s">
        <v>467</v>
      </c>
      <c r="H128" s="117" t="s">
        <v>79</v>
      </c>
      <c r="I128" s="98">
        <v>1808.5714285714287</v>
      </c>
      <c r="K128" s="110">
        <f t="shared" si="5"/>
        <v>3617.1428571428573</v>
      </c>
      <c r="L128" s="107">
        <f t="shared" si="6"/>
        <v>1808.5714285714287</v>
      </c>
      <c r="M128" s="183">
        <v>3000</v>
      </c>
      <c r="N128" s="129">
        <f t="shared" si="4"/>
        <v>617.14285714285734</v>
      </c>
    </row>
    <row r="129" spans="1:14" ht="19.5" customHeight="1" x14ac:dyDescent="0.3">
      <c r="A129" s="1109"/>
      <c r="B129" s="70" t="s">
        <v>467</v>
      </c>
      <c r="C129" s="32" t="s">
        <v>81</v>
      </c>
      <c r="D129" s="23" t="s">
        <v>509</v>
      </c>
      <c r="E129" s="43" t="s">
        <v>495</v>
      </c>
      <c r="F129" s="90" t="s">
        <v>82</v>
      </c>
      <c r="G129" s="117" t="s">
        <v>467</v>
      </c>
      <c r="H129" s="117" t="s">
        <v>81</v>
      </c>
      <c r="I129" s="98">
        <f>2022.85714285714+162</f>
        <v>2184.8571428571399</v>
      </c>
      <c r="K129" s="110">
        <f t="shared" si="5"/>
        <v>4369.7142857142799</v>
      </c>
      <c r="L129" s="107">
        <f t="shared" si="6"/>
        <v>2184.8571428571399</v>
      </c>
      <c r="M129" s="183">
        <v>2000</v>
      </c>
      <c r="N129" s="129">
        <f t="shared" si="4"/>
        <v>2369.7142857142799</v>
      </c>
    </row>
    <row r="130" spans="1:14" ht="19.5" hidden="1" customHeight="1" x14ac:dyDescent="0.3">
      <c r="A130" s="1109"/>
      <c r="B130" s="70" t="s">
        <v>467</v>
      </c>
      <c r="C130" s="32" t="s">
        <v>93</v>
      </c>
      <c r="D130" s="23" t="s">
        <v>509</v>
      </c>
      <c r="E130" s="43" t="s">
        <v>495</v>
      </c>
      <c r="F130" s="90" t="s">
        <v>94</v>
      </c>
      <c r="G130" s="117" t="s">
        <v>467</v>
      </c>
      <c r="H130" s="117" t="s">
        <v>93</v>
      </c>
      <c r="I130" s="98">
        <v>2994.8571428571427</v>
      </c>
      <c r="K130" s="110">
        <f t="shared" si="5"/>
        <v>5989.7142857142853</v>
      </c>
      <c r="L130" s="107">
        <f t="shared" si="6"/>
        <v>2994.8571428571427</v>
      </c>
      <c r="M130" s="183">
        <v>3000</v>
      </c>
      <c r="N130" s="129">
        <f t="shared" si="4"/>
        <v>2989.7142857142853</v>
      </c>
    </row>
    <row r="131" spans="1:14" ht="19.5" hidden="1" customHeight="1" x14ac:dyDescent="0.3">
      <c r="A131" s="1109"/>
      <c r="B131" s="70" t="s">
        <v>467</v>
      </c>
      <c r="C131" s="32" t="s">
        <v>95</v>
      </c>
      <c r="D131" s="23" t="s">
        <v>509</v>
      </c>
      <c r="E131" s="43" t="s">
        <v>495</v>
      </c>
      <c r="F131" s="90" t="s">
        <v>96</v>
      </c>
      <c r="G131" s="117" t="s">
        <v>467</v>
      </c>
      <c r="H131" s="117" t="s">
        <v>95</v>
      </c>
      <c r="I131" s="98">
        <v>912</v>
      </c>
      <c r="K131" s="50">
        <f t="shared" si="5"/>
        <v>1824</v>
      </c>
      <c r="L131" s="107">
        <f t="shared" si="6"/>
        <v>912</v>
      </c>
      <c r="M131" s="183">
        <v>2200</v>
      </c>
      <c r="N131" s="129">
        <f t="shared" si="4"/>
        <v>-376</v>
      </c>
    </row>
    <row r="132" spans="1:14" ht="19.5" hidden="1" customHeight="1" x14ac:dyDescent="0.3">
      <c r="A132" s="1109"/>
      <c r="B132" s="70" t="s">
        <v>471</v>
      </c>
      <c r="C132" s="32" t="s">
        <v>119</v>
      </c>
      <c r="D132" s="23" t="s">
        <v>509</v>
      </c>
      <c r="E132" s="43" t="s">
        <v>495</v>
      </c>
      <c r="F132" s="90" t="s">
        <v>120</v>
      </c>
      <c r="G132" s="117" t="s">
        <v>471</v>
      </c>
      <c r="H132" s="117" t="s">
        <v>119</v>
      </c>
      <c r="I132" s="98">
        <v>1486.8571428571429</v>
      </c>
      <c r="K132" s="110">
        <f t="shared" si="5"/>
        <v>2973.7142857142858</v>
      </c>
      <c r="L132" s="107">
        <f t="shared" si="6"/>
        <v>1486.8571428571429</v>
      </c>
      <c r="M132" s="183">
        <v>5930</v>
      </c>
      <c r="N132" s="129">
        <f t="shared" si="4"/>
        <v>-2956.2857142857142</v>
      </c>
    </row>
    <row r="133" spans="1:14" ht="19.5" hidden="1" customHeight="1" x14ac:dyDescent="0.3">
      <c r="A133" s="1109"/>
      <c r="B133" s="70" t="s">
        <v>471</v>
      </c>
      <c r="C133" s="32" t="s">
        <v>117</v>
      </c>
      <c r="D133" s="23" t="s">
        <v>509</v>
      </c>
      <c r="E133" s="43" t="s">
        <v>495</v>
      </c>
      <c r="F133" s="90" t="s">
        <v>118</v>
      </c>
      <c r="G133" s="117" t="s">
        <v>471</v>
      </c>
      <c r="H133" s="117" t="s">
        <v>117</v>
      </c>
      <c r="I133" s="98">
        <v>373.71428571428572</v>
      </c>
      <c r="K133" s="110">
        <f t="shared" ref="K133:K190" si="7">+L133*2</f>
        <v>747.42857142857144</v>
      </c>
      <c r="L133" s="107">
        <f t="shared" ref="L133:L190" si="8">+I133</f>
        <v>373.71428571428572</v>
      </c>
      <c r="M133" s="183">
        <v>200</v>
      </c>
      <c r="N133" s="129">
        <f t="shared" si="4"/>
        <v>547.42857142857144</v>
      </c>
    </row>
    <row r="134" spans="1:14" ht="19.5" hidden="1" customHeight="1" x14ac:dyDescent="0.3">
      <c r="A134" s="1109"/>
      <c r="B134" s="70" t="s">
        <v>471</v>
      </c>
      <c r="C134" s="32" t="s">
        <v>121</v>
      </c>
      <c r="D134" s="23" t="s">
        <v>509</v>
      </c>
      <c r="E134" s="43" t="s">
        <v>495</v>
      </c>
      <c r="F134" s="90" t="s">
        <v>122</v>
      </c>
      <c r="G134" s="117" t="s">
        <v>471</v>
      </c>
      <c r="H134" s="117" t="s">
        <v>121</v>
      </c>
      <c r="I134" s="98">
        <v>409.71428571428572</v>
      </c>
      <c r="K134" s="110">
        <f t="shared" si="7"/>
        <v>819.42857142857144</v>
      </c>
      <c r="L134" s="107">
        <f t="shared" si="8"/>
        <v>409.71428571428572</v>
      </c>
      <c r="M134" s="183">
        <v>430</v>
      </c>
      <c r="N134" s="129">
        <f t="shared" si="4"/>
        <v>389.42857142857144</v>
      </c>
    </row>
    <row r="135" spans="1:14" ht="19.5" customHeight="1" x14ac:dyDescent="0.3">
      <c r="A135" s="1109"/>
      <c r="B135" s="70" t="s">
        <v>471</v>
      </c>
      <c r="C135" s="32" t="s">
        <v>123</v>
      </c>
      <c r="D135" s="23" t="s">
        <v>509</v>
      </c>
      <c r="E135" s="43" t="s">
        <v>495</v>
      </c>
      <c r="F135" s="90" t="s">
        <v>124</v>
      </c>
      <c r="G135" s="117" t="s">
        <v>471</v>
      </c>
      <c r="H135" s="117" t="s">
        <v>123</v>
      </c>
      <c r="I135" s="98">
        <v>524.57142857142856</v>
      </c>
      <c r="K135" s="110">
        <f t="shared" si="7"/>
        <v>1049.1428571428571</v>
      </c>
      <c r="L135" s="107">
        <f t="shared" si="8"/>
        <v>524.57142857142856</v>
      </c>
      <c r="M135" s="183">
        <v>0</v>
      </c>
      <c r="N135" s="129">
        <f t="shared" si="4"/>
        <v>1049.1428571428571</v>
      </c>
    </row>
    <row r="136" spans="1:14" ht="19.5" hidden="1" customHeight="1" x14ac:dyDescent="0.3">
      <c r="A136" s="1109"/>
      <c r="B136" s="70" t="s">
        <v>489</v>
      </c>
      <c r="C136" s="32" t="s">
        <v>127</v>
      </c>
      <c r="D136" s="23" t="s">
        <v>509</v>
      </c>
      <c r="E136" s="43" t="s">
        <v>495</v>
      </c>
      <c r="F136" s="90" t="s">
        <v>128</v>
      </c>
      <c r="G136" s="117" t="s">
        <v>489</v>
      </c>
      <c r="H136" s="117" t="s">
        <v>127</v>
      </c>
      <c r="I136" s="98">
        <v>1217.1428571428571</v>
      </c>
      <c r="K136" s="110">
        <f t="shared" si="7"/>
        <v>2434.2857142857142</v>
      </c>
      <c r="L136" s="107">
        <f t="shared" si="8"/>
        <v>1217.1428571428571</v>
      </c>
      <c r="M136" s="183">
        <v>4500</v>
      </c>
      <c r="N136" s="129">
        <f t="shared" si="4"/>
        <v>-2065.7142857142858</v>
      </c>
    </row>
    <row r="137" spans="1:14" ht="19.5" hidden="1" customHeight="1" x14ac:dyDescent="0.3">
      <c r="A137" s="1109"/>
      <c r="B137" s="70" t="s">
        <v>489</v>
      </c>
      <c r="C137" s="32" t="s">
        <v>129</v>
      </c>
      <c r="D137" s="23" t="s">
        <v>509</v>
      </c>
      <c r="E137" s="43" t="s">
        <v>495</v>
      </c>
      <c r="F137" s="90" t="s">
        <v>130</v>
      </c>
      <c r="G137" s="117" t="s">
        <v>489</v>
      </c>
      <c r="H137" s="117" t="s">
        <v>129</v>
      </c>
      <c r="I137" s="98">
        <v>293.14285714285717</v>
      </c>
      <c r="K137" s="110">
        <f t="shared" si="7"/>
        <v>586.28571428571433</v>
      </c>
      <c r="L137" s="107">
        <f t="shared" si="8"/>
        <v>293.14285714285717</v>
      </c>
      <c r="M137" s="183">
        <v>1500</v>
      </c>
      <c r="N137" s="129">
        <f t="shared" si="4"/>
        <v>-913.71428571428567</v>
      </c>
    </row>
    <row r="138" spans="1:14" ht="19.5" customHeight="1" x14ac:dyDescent="0.3">
      <c r="A138" s="1109"/>
      <c r="B138" s="70" t="s">
        <v>489</v>
      </c>
      <c r="C138" s="32" t="s">
        <v>133</v>
      </c>
      <c r="D138" s="23" t="s">
        <v>509</v>
      </c>
      <c r="E138" s="43" t="s">
        <v>495</v>
      </c>
      <c r="F138" s="90" t="s">
        <v>134</v>
      </c>
      <c r="G138" s="117" t="s">
        <v>489</v>
      </c>
      <c r="H138" s="117" t="s">
        <v>133</v>
      </c>
      <c r="I138" s="98">
        <v>1393.7142857142858</v>
      </c>
      <c r="K138" s="110">
        <f t="shared" si="7"/>
        <v>2787.4285714285716</v>
      </c>
      <c r="L138" s="107">
        <f t="shared" si="8"/>
        <v>1393.7142857142858</v>
      </c>
      <c r="M138" s="183">
        <v>857</v>
      </c>
      <c r="N138" s="129">
        <f t="shared" si="4"/>
        <v>1930.4285714285716</v>
      </c>
    </row>
    <row r="139" spans="1:14" ht="19.5" customHeight="1" x14ac:dyDescent="0.3">
      <c r="A139" s="1109"/>
      <c r="B139" s="70" t="s">
        <v>482</v>
      </c>
      <c r="C139" s="32" t="s">
        <v>59</v>
      </c>
      <c r="D139" s="23" t="s">
        <v>509</v>
      </c>
      <c r="E139" s="43" t="s">
        <v>495</v>
      </c>
      <c r="F139" s="90" t="s">
        <v>60</v>
      </c>
      <c r="G139" s="117" t="s">
        <v>482</v>
      </c>
      <c r="H139" s="117" t="s">
        <v>59</v>
      </c>
      <c r="I139" s="98">
        <v>6783.333333333333</v>
      </c>
      <c r="K139" s="110">
        <f t="shared" si="7"/>
        <v>13566.666666666666</v>
      </c>
      <c r="L139" s="107">
        <f t="shared" si="8"/>
        <v>6783.333333333333</v>
      </c>
      <c r="M139" s="183">
        <v>10000</v>
      </c>
      <c r="N139" s="129">
        <f t="shared" si="4"/>
        <v>3566.6666666666661</v>
      </c>
    </row>
    <row r="140" spans="1:14" ht="19.5" customHeight="1" x14ac:dyDescent="0.3">
      <c r="A140" s="1109"/>
      <c r="B140" s="70" t="s">
        <v>482</v>
      </c>
      <c r="C140" s="32" t="s">
        <v>135</v>
      </c>
      <c r="D140" s="23" t="s">
        <v>509</v>
      </c>
      <c r="E140" s="43" t="s">
        <v>495</v>
      </c>
      <c r="F140" s="90" t="s">
        <v>136</v>
      </c>
      <c r="G140" s="117" t="s">
        <v>482</v>
      </c>
      <c r="H140" s="117" t="s">
        <v>135</v>
      </c>
      <c r="I140" s="98">
        <f>3519.42857142857+608</f>
        <v>4127.4285714285706</v>
      </c>
      <c r="K140" s="110">
        <f t="shared" si="7"/>
        <v>8254.8571428571413</v>
      </c>
      <c r="L140" s="107">
        <f t="shared" si="8"/>
        <v>4127.4285714285706</v>
      </c>
      <c r="M140" s="183">
        <v>5000</v>
      </c>
      <c r="N140" s="129">
        <f t="shared" si="4"/>
        <v>3254.8571428571413</v>
      </c>
    </row>
    <row r="141" spans="1:14" ht="19.5" hidden="1" customHeight="1" x14ac:dyDescent="0.3">
      <c r="A141" s="1109"/>
      <c r="B141" s="70" t="s">
        <v>461</v>
      </c>
      <c r="C141" s="32" t="s">
        <v>75</v>
      </c>
      <c r="D141" s="23" t="s">
        <v>509</v>
      </c>
      <c r="E141" s="43" t="s">
        <v>495</v>
      </c>
      <c r="F141" s="90" t="s">
        <v>76</v>
      </c>
      <c r="G141" s="117" t="s">
        <v>461</v>
      </c>
      <c r="H141" s="117" t="s">
        <v>75</v>
      </c>
      <c r="I141" s="98">
        <v>185.14285714285714</v>
      </c>
      <c r="K141" s="110">
        <f t="shared" si="7"/>
        <v>370.28571428571428</v>
      </c>
      <c r="L141" s="107">
        <f t="shared" si="8"/>
        <v>185.14285714285714</v>
      </c>
      <c r="M141" s="183">
        <v>850</v>
      </c>
      <c r="N141" s="129">
        <f t="shared" si="4"/>
        <v>-479.71428571428572</v>
      </c>
    </row>
    <row r="142" spans="1:14" ht="19.5" customHeight="1" x14ac:dyDescent="0.3">
      <c r="A142" s="1109"/>
      <c r="B142" s="70" t="s">
        <v>461</v>
      </c>
      <c r="C142" s="32" t="s">
        <v>77</v>
      </c>
      <c r="D142" s="23" t="s">
        <v>509</v>
      </c>
      <c r="E142" s="43" t="s">
        <v>495</v>
      </c>
      <c r="F142" s="90" t="s">
        <v>78</v>
      </c>
      <c r="G142" s="117" t="s">
        <v>461</v>
      </c>
      <c r="H142" s="117" t="s">
        <v>77</v>
      </c>
      <c r="I142" s="98">
        <v>2977.7142857142858</v>
      </c>
      <c r="K142" s="110">
        <f t="shared" si="7"/>
        <v>5955.4285714285716</v>
      </c>
      <c r="L142" s="107">
        <f t="shared" si="8"/>
        <v>2977.7142857142858</v>
      </c>
      <c r="M142" s="183">
        <v>5100</v>
      </c>
      <c r="N142" s="129">
        <f t="shared" si="4"/>
        <v>855.42857142857156</v>
      </c>
    </row>
    <row r="143" spans="1:14" ht="19.5" hidden="1" customHeight="1" x14ac:dyDescent="0.3">
      <c r="A143" s="1109"/>
      <c r="B143" s="70" t="s">
        <v>461</v>
      </c>
      <c r="C143" s="78" t="s">
        <v>429</v>
      </c>
      <c r="D143" s="23" t="s">
        <v>509</v>
      </c>
      <c r="E143" s="43" t="s">
        <v>495</v>
      </c>
      <c r="F143" s="90" t="s">
        <v>430</v>
      </c>
      <c r="G143" s="117" t="s">
        <v>461</v>
      </c>
      <c r="H143" s="120" t="s">
        <v>429</v>
      </c>
      <c r="I143" s="98">
        <v>106.28571428571429</v>
      </c>
      <c r="K143" s="110">
        <f t="shared" si="7"/>
        <v>212.57142857142858</v>
      </c>
      <c r="L143" s="107">
        <f t="shared" si="8"/>
        <v>106.28571428571429</v>
      </c>
      <c r="M143" s="183">
        <v>1350</v>
      </c>
      <c r="N143" s="129">
        <f t="shared" si="4"/>
        <v>-1137.4285714285713</v>
      </c>
    </row>
    <row r="144" spans="1:14" ht="19.5" hidden="1" customHeight="1" x14ac:dyDescent="0.3">
      <c r="A144" s="1109"/>
      <c r="B144" s="70" t="s">
        <v>472</v>
      </c>
      <c r="C144" s="32" t="s">
        <v>111</v>
      </c>
      <c r="D144" s="23" t="s">
        <v>509</v>
      </c>
      <c r="E144" s="43" t="s">
        <v>495</v>
      </c>
      <c r="F144" s="90" t="s">
        <v>112</v>
      </c>
      <c r="G144" s="117" t="s">
        <v>472</v>
      </c>
      <c r="H144" s="117" t="s">
        <v>111</v>
      </c>
      <c r="I144" s="98">
        <v>305.14285714285717</v>
      </c>
      <c r="K144" s="110">
        <f t="shared" si="7"/>
        <v>610.28571428571433</v>
      </c>
      <c r="L144" s="107">
        <f t="shared" si="8"/>
        <v>305.14285714285717</v>
      </c>
      <c r="M144" s="183">
        <v>500</v>
      </c>
      <c r="N144" s="129">
        <f t="shared" si="4"/>
        <v>110.28571428571433</v>
      </c>
    </row>
    <row r="145" spans="1:14" ht="19.5" hidden="1" customHeight="1" x14ac:dyDescent="0.3">
      <c r="A145" s="1109"/>
      <c r="B145" s="70" t="s">
        <v>472</v>
      </c>
      <c r="C145" s="32" t="s">
        <v>113</v>
      </c>
      <c r="D145" s="23" t="s">
        <v>509</v>
      </c>
      <c r="E145" s="43" t="s">
        <v>495</v>
      </c>
      <c r="F145" s="90" t="s">
        <v>114</v>
      </c>
      <c r="G145" s="117" t="s">
        <v>472</v>
      </c>
      <c r="H145" s="117" t="s">
        <v>113</v>
      </c>
      <c r="I145" s="98">
        <v>678.85714285714289</v>
      </c>
      <c r="K145" s="110">
        <f t="shared" si="7"/>
        <v>1357.7142857142858</v>
      </c>
      <c r="L145" s="107">
        <f t="shared" si="8"/>
        <v>678.85714285714289</v>
      </c>
      <c r="M145" s="183">
        <v>1306</v>
      </c>
      <c r="N145" s="129">
        <f t="shared" si="4"/>
        <v>51.714285714285779</v>
      </c>
    </row>
    <row r="146" spans="1:14" ht="19.5" hidden="1" customHeight="1" x14ac:dyDescent="0.3">
      <c r="A146" s="1109"/>
      <c r="B146" s="70" t="s">
        <v>472</v>
      </c>
      <c r="C146" s="32" t="s">
        <v>115</v>
      </c>
      <c r="D146" s="23" t="s">
        <v>509</v>
      </c>
      <c r="E146" s="43" t="s">
        <v>495</v>
      </c>
      <c r="F146" s="90" t="s">
        <v>116</v>
      </c>
      <c r="G146" s="117" t="s">
        <v>472</v>
      </c>
      <c r="H146" s="117" t="s">
        <v>115</v>
      </c>
      <c r="I146" s="98">
        <v>474.85714285714283</v>
      </c>
      <c r="K146" s="110">
        <f t="shared" si="7"/>
        <v>949.71428571428567</v>
      </c>
      <c r="L146" s="107">
        <f t="shared" si="8"/>
        <v>474.85714285714283</v>
      </c>
      <c r="M146" s="183">
        <v>1500</v>
      </c>
      <c r="N146" s="129">
        <f t="shared" si="4"/>
        <v>-550.28571428571433</v>
      </c>
    </row>
    <row r="147" spans="1:14" ht="19.5" hidden="1" customHeight="1" x14ac:dyDescent="0.3">
      <c r="A147" s="1109"/>
      <c r="B147" s="70" t="s">
        <v>472</v>
      </c>
      <c r="C147" s="32" t="s">
        <v>109</v>
      </c>
      <c r="D147" s="23" t="s">
        <v>509</v>
      </c>
      <c r="E147" s="43" t="s">
        <v>495</v>
      </c>
      <c r="F147" s="90" t="s">
        <v>110</v>
      </c>
      <c r="G147" s="117" t="s">
        <v>472</v>
      </c>
      <c r="H147" s="117" t="s">
        <v>109</v>
      </c>
      <c r="I147" s="98">
        <v>46.285714285714285</v>
      </c>
      <c r="K147" s="110">
        <f t="shared" si="7"/>
        <v>92.571428571428569</v>
      </c>
      <c r="L147" s="107">
        <f t="shared" si="8"/>
        <v>46.285714285714285</v>
      </c>
      <c r="M147" s="183">
        <v>5000</v>
      </c>
      <c r="N147" s="129">
        <f t="shared" si="4"/>
        <v>-4907.4285714285716</v>
      </c>
    </row>
    <row r="148" spans="1:14" ht="19.5" customHeight="1" x14ac:dyDescent="0.3">
      <c r="A148" s="1109"/>
      <c r="B148" s="70" t="s">
        <v>481</v>
      </c>
      <c r="C148" s="32" t="s">
        <v>47</v>
      </c>
      <c r="D148" s="23" t="s">
        <v>509</v>
      </c>
      <c r="E148" s="43" t="s">
        <v>495</v>
      </c>
      <c r="F148" s="90" t="s">
        <v>48</v>
      </c>
      <c r="G148" s="117" t="s">
        <v>481</v>
      </c>
      <c r="H148" s="117" t="s">
        <v>47</v>
      </c>
      <c r="I148" s="98">
        <v>70.285714285714292</v>
      </c>
      <c r="K148" s="110">
        <f t="shared" si="7"/>
        <v>140.57142857142858</v>
      </c>
      <c r="L148" s="107">
        <f t="shared" si="8"/>
        <v>70.285714285714292</v>
      </c>
      <c r="M148" s="183">
        <v>0</v>
      </c>
      <c r="N148" s="129">
        <f t="shared" si="4"/>
        <v>140.57142857142858</v>
      </c>
    </row>
    <row r="149" spans="1:14" ht="19.5" hidden="1" customHeight="1" x14ac:dyDescent="0.3">
      <c r="A149" s="1109"/>
      <c r="B149" s="70" t="s">
        <v>481</v>
      </c>
      <c r="C149" s="32" t="s">
        <v>39</v>
      </c>
      <c r="D149" s="23" t="s">
        <v>509</v>
      </c>
      <c r="E149" s="43" t="s">
        <v>495</v>
      </c>
      <c r="F149" s="90" t="s">
        <v>40</v>
      </c>
      <c r="G149" s="117" t="s">
        <v>481</v>
      </c>
      <c r="H149" s="117" t="s">
        <v>39</v>
      </c>
      <c r="I149" s="98">
        <v>5170.2857142857147</v>
      </c>
      <c r="K149" s="110">
        <f t="shared" si="7"/>
        <v>10340.571428571429</v>
      </c>
      <c r="L149" s="107">
        <f t="shared" si="8"/>
        <v>5170.2857142857147</v>
      </c>
      <c r="M149" s="183">
        <v>16500</v>
      </c>
      <c r="N149" s="129">
        <f t="shared" si="4"/>
        <v>-6159.4285714285706</v>
      </c>
    </row>
    <row r="150" spans="1:14" ht="19.5" hidden="1" customHeight="1" x14ac:dyDescent="0.3">
      <c r="A150" s="1109"/>
      <c r="B150" s="70" t="s">
        <v>481</v>
      </c>
      <c r="C150" s="32" t="s">
        <v>45</v>
      </c>
      <c r="D150" s="23" t="s">
        <v>509</v>
      </c>
      <c r="E150" s="43" t="s">
        <v>495</v>
      </c>
      <c r="F150" s="90" t="s">
        <v>46</v>
      </c>
      <c r="G150" s="117" t="s">
        <v>481</v>
      </c>
      <c r="H150" s="117" t="s">
        <v>45</v>
      </c>
      <c r="I150" s="98">
        <v>584.57142857142856</v>
      </c>
      <c r="K150" s="110">
        <f t="shared" si="7"/>
        <v>1169.1428571428571</v>
      </c>
      <c r="L150" s="107">
        <f t="shared" si="8"/>
        <v>584.57142857142856</v>
      </c>
      <c r="M150" s="183">
        <v>0</v>
      </c>
      <c r="N150" s="129">
        <f t="shared" si="4"/>
        <v>1169.1428571428571</v>
      </c>
    </row>
    <row r="151" spans="1:14" ht="19.5" hidden="1" customHeight="1" x14ac:dyDescent="0.3">
      <c r="A151" s="1109"/>
      <c r="B151" s="70" t="s">
        <v>481</v>
      </c>
      <c r="C151" s="32" t="s">
        <v>37</v>
      </c>
      <c r="D151" s="23" t="s">
        <v>509</v>
      </c>
      <c r="E151" s="43" t="s">
        <v>495</v>
      </c>
      <c r="F151" s="90" t="s">
        <v>38</v>
      </c>
      <c r="G151" s="117" t="s">
        <v>481</v>
      </c>
      <c r="H151" s="117" t="s">
        <v>37</v>
      </c>
      <c r="I151" s="98">
        <v>594.85714285714289</v>
      </c>
      <c r="K151" s="110">
        <f t="shared" si="7"/>
        <v>1189.7142857142858</v>
      </c>
      <c r="L151" s="107">
        <f t="shared" si="8"/>
        <v>594.85714285714289</v>
      </c>
      <c r="M151" s="183">
        <v>4360</v>
      </c>
      <c r="N151" s="129">
        <f t="shared" si="4"/>
        <v>-3170.2857142857142</v>
      </c>
    </row>
    <row r="152" spans="1:14" ht="19.5" customHeight="1" x14ac:dyDescent="0.3">
      <c r="A152" s="1109"/>
      <c r="B152" s="70" t="s">
        <v>473</v>
      </c>
      <c r="C152" s="32" t="s">
        <v>55</v>
      </c>
      <c r="D152" s="23" t="s">
        <v>509</v>
      </c>
      <c r="E152" s="43" t="s">
        <v>495</v>
      </c>
      <c r="F152" s="90" t="s">
        <v>56</v>
      </c>
      <c r="G152" s="117" t="s">
        <v>473</v>
      </c>
      <c r="H152" s="117" t="s">
        <v>55</v>
      </c>
      <c r="I152" s="98">
        <v>6708.1428571428569</v>
      </c>
      <c r="K152" s="110">
        <f t="shared" si="7"/>
        <v>13416.285714285714</v>
      </c>
      <c r="L152" s="107">
        <f t="shared" si="8"/>
        <v>6708.1428571428569</v>
      </c>
      <c r="M152" s="183">
        <v>13400</v>
      </c>
      <c r="N152" s="129">
        <f t="shared" si="4"/>
        <v>16.285714285713766</v>
      </c>
    </row>
    <row r="153" spans="1:14" ht="19.5" hidden="1" customHeight="1" x14ac:dyDescent="0.3">
      <c r="A153" s="1109"/>
      <c r="B153" s="70" t="s">
        <v>473</v>
      </c>
      <c r="C153" s="32" t="s">
        <v>71</v>
      </c>
      <c r="D153" s="23" t="s">
        <v>509</v>
      </c>
      <c r="E153" s="43" t="s">
        <v>495</v>
      </c>
      <c r="F153" s="90" t="s">
        <v>72</v>
      </c>
      <c r="G153" s="117" t="s">
        <v>473</v>
      </c>
      <c r="H153" s="117" t="s">
        <v>71</v>
      </c>
      <c r="I153" s="98">
        <v>598.28571428571433</v>
      </c>
      <c r="K153" s="110">
        <f t="shared" si="7"/>
        <v>1196.5714285714287</v>
      </c>
      <c r="L153" s="107">
        <f t="shared" si="8"/>
        <v>598.28571428571433</v>
      </c>
      <c r="M153" s="183">
        <v>7000</v>
      </c>
      <c r="N153" s="129">
        <f t="shared" si="4"/>
        <v>-5803.4285714285716</v>
      </c>
    </row>
    <row r="154" spans="1:14" ht="19.5" hidden="1" customHeight="1" x14ac:dyDescent="0.3">
      <c r="A154" s="1109"/>
      <c r="B154" s="70" t="s">
        <v>473</v>
      </c>
      <c r="C154" s="32" t="s">
        <v>57</v>
      </c>
      <c r="D154" s="23" t="s">
        <v>509</v>
      </c>
      <c r="E154" s="43" t="s">
        <v>495</v>
      </c>
      <c r="F154" s="90" t="s">
        <v>58</v>
      </c>
      <c r="G154" s="117" t="s">
        <v>473</v>
      </c>
      <c r="H154" s="117" t="s">
        <v>57</v>
      </c>
      <c r="I154" s="98">
        <f>7913.14285714286+612</f>
        <v>8525.1428571428587</v>
      </c>
      <c r="K154" s="110">
        <f t="shared" si="7"/>
        <v>17050.285714285717</v>
      </c>
      <c r="L154" s="107">
        <f t="shared" si="8"/>
        <v>8525.1428571428587</v>
      </c>
      <c r="M154" s="183">
        <v>7000</v>
      </c>
      <c r="N154" s="129">
        <f t="shared" si="4"/>
        <v>10050.285714285717</v>
      </c>
    </row>
    <row r="155" spans="1:14" ht="19.5" hidden="1" customHeight="1" x14ac:dyDescent="0.3">
      <c r="A155" s="1109"/>
      <c r="B155" s="70" t="s">
        <v>475</v>
      </c>
      <c r="C155" s="32" t="s">
        <v>67</v>
      </c>
      <c r="D155" s="23" t="s">
        <v>509</v>
      </c>
      <c r="E155" s="43" t="s">
        <v>495</v>
      </c>
      <c r="F155" s="90" t="s">
        <v>68</v>
      </c>
      <c r="G155" s="117" t="s">
        <v>475</v>
      </c>
      <c r="H155" s="117" t="s">
        <v>67</v>
      </c>
      <c r="I155" s="98">
        <v>925.71428571428567</v>
      </c>
      <c r="K155" s="110">
        <f t="shared" si="7"/>
        <v>1851.4285714285713</v>
      </c>
      <c r="L155" s="107">
        <f t="shared" si="8"/>
        <v>925.71428571428567</v>
      </c>
      <c r="M155" s="183">
        <v>0</v>
      </c>
      <c r="N155" s="129">
        <f t="shared" si="4"/>
        <v>1851.4285714285713</v>
      </c>
    </row>
    <row r="156" spans="1:14" ht="19.5" hidden="1" customHeight="1" x14ac:dyDescent="0.3">
      <c r="A156" s="1109"/>
      <c r="B156" s="70" t="s">
        <v>475</v>
      </c>
      <c r="C156" s="32" t="s">
        <v>65</v>
      </c>
      <c r="D156" s="23" t="s">
        <v>509</v>
      </c>
      <c r="E156" s="43" t="s">
        <v>495</v>
      </c>
      <c r="F156" s="90" t="s">
        <v>66</v>
      </c>
      <c r="G156" s="117" t="s">
        <v>475</v>
      </c>
      <c r="H156" s="117" t="s">
        <v>65</v>
      </c>
      <c r="I156" s="98">
        <v>627.42857142857144</v>
      </c>
      <c r="K156" s="110">
        <f t="shared" si="7"/>
        <v>1254.8571428571429</v>
      </c>
      <c r="L156" s="107">
        <f t="shared" si="8"/>
        <v>627.42857142857144</v>
      </c>
      <c r="M156" s="183">
        <v>1100</v>
      </c>
      <c r="N156" s="129">
        <f t="shared" si="4"/>
        <v>154.85714285714289</v>
      </c>
    </row>
    <row r="157" spans="1:14" ht="19.5" hidden="1" customHeight="1" x14ac:dyDescent="0.3">
      <c r="A157" s="1109"/>
      <c r="B157" s="70" t="s">
        <v>475</v>
      </c>
      <c r="C157" s="32" t="s">
        <v>69</v>
      </c>
      <c r="D157" s="23" t="s">
        <v>509</v>
      </c>
      <c r="E157" s="43" t="s">
        <v>495</v>
      </c>
      <c r="F157" s="90" t="s">
        <v>70</v>
      </c>
      <c r="G157" s="117" t="s">
        <v>475</v>
      </c>
      <c r="H157" s="117" t="s">
        <v>69</v>
      </c>
      <c r="I157" s="98">
        <v>913.71428571428567</v>
      </c>
      <c r="K157" s="110">
        <f t="shared" si="7"/>
        <v>1827.4285714285713</v>
      </c>
      <c r="L157" s="107">
        <f t="shared" si="8"/>
        <v>913.71428571428567</v>
      </c>
      <c r="M157" s="183">
        <v>0</v>
      </c>
      <c r="N157" s="129">
        <f t="shared" si="4"/>
        <v>1827.4285714285713</v>
      </c>
    </row>
    <row r="158" spans="1:14" ht="19.5" hidden="1" customHeight="1" x14ac:dyDescent="0.3">
      <c r="A158" s="1109"/>
      <c r="B158" s="70" t="s">
        <v>463</v>
      </c>
      <c r="C158" s="32" t="s">
        <v>33</v>
      </c>
      <c r="D158" s="23" t="s">
        <v>509</v>
      </c>
      <c r="E158" s="43" t="s">
        <v>495</v>
      </c>
      <c r="F158" s="90" t="s">
        <v>34</v>
      </c>
      <c r="G158" s="117" t="s">
        <v>463</v>
      </c>
      <c r="H158" s="117" t="s">
        <v>33</v>
      </c>
      <c r="I158" s="98">
        <v>618.85714285714289</v>
      </c>
      <c r="K158" s="110">
        <f t="shared" si="7"/>
        <v>1237.7142857142858</v>
      </c>
      <c r="L158" s="107">
        <f t="shared" si="8"/>
        <v>618.85714285714289</v>
      </c>
      <c r="M158" s="183">
        <v>300</v>
      </c>
      <c r="N158" s="129">
        <f t="shared" si="4"/>
        <v>937.71428571428578</v>
      </c>
    </row>
    <row r="159" spans="1:14" ht="19.5" hidden="1" customHeight="1" x14ac:dyDescent="0.3">
      <c r="A159" s="1109"/>
      <c r="B159" s="70" t="s">
        <v>463</v>
      </c>
      <c r="C159" s="32" t="s">
        <v>31</v>
      </c>
      <c r="D159" s="23" t="s">
        <v>509</v>
      </c>
      <c r="E159" s="43" t="s">
        <v>495</v>
      </c>
      <c r="F159" s="90" t="s">
        <v>32</v>
      </c>
      <c r="G159" s="117" t="s">
        <v>463</v>
      </c>
      <c r="H159" s="117" t="s">
        <v>31</v>
      </c>
      <c r="I159" s="98">
        <v>406.28571428571428</v>
      </c>
      <c r="K159" s="110">
        <f t="shared" si="7"/>
        <v>812.57142857142856</v>
      </c>
      <c r="L159" s="107">
        <f t="shared" si="8"/>
        <v>406.28571428571428</v>
      </c>
      <c r="M159" s="183">
        <v>0</v>
      </c>
      <c r="N159" s="129">
        <f t="shared" si="4"/>
        <v>812.57142857142856</v>
      </c>
    </row>
    <row r="160" spans="1:14" ht="19.5" hidden="1" customHeight="1" x14ac:dyDescent="0.3">
      <c r="A160" s="1109"/>
      <c r="B160" s="70" t="s">
        <v>463</v>
      </c>
      <c r="C160" s="32" t="s">
        <v>49</v>
      </c>
      <c r="D160" s="23" t="s">
        <v>509</v>
      </c>
      <c r="E160" s="43" t="s">
        <v>495</v>
      </c>
      <c r="F160" s="90" t="s">
        <v>50</v>
      </c>
      <c r="G160" s="117" t="s">
        <v>463</v>
      </c>
      <c r="H160" s="117" t="s">
        <v>49</v>
      </c>
      <c r="I160" s="98">
        <v>38.4</v>
      </c>
      <c r="K160" s="110">
        <f t="shared" si="7"/>
        <v>76.8</v>
      </c>
      <c r="L160" s="107">
        <f t="shared" si="8"/>
        <v>38.4</v>
      </c>
      <c r="M160" s="183">
        <v>1665</v>
      </c>
      <c r="N160" s="129">
        <f t="shared" si="4"/>
        <v>-1588.2</v>
      </c>
    </row>
    <row r="161" spans="1:14" ht="19.5" hidden="1" customHeight="1" x14ac:dyDescent="0.3">
      <c r="A161" s="1109"/>
      <c r="B161" s="70" t="s">
        <v>463</v>
      </c>
      <c r="C161" s="32" t="s">
        <v>51</v>
      </c>
      <c r="D161" s="23" t="s">
        <v>509</v>
      </c>
      <c r="E161" s="43" t="s">
        <v>495</v>
      </c>
      <c r="F161" s="90" t="s">
        <v>52</v>
      </c>
      <c r="G161" s="117" t="s">
        <v>463</v>
      </c>
      <c r="H161" s="117" t="s">
        <v>51</v>
      </c>
      <c r="I161" s="98">
        <v>692.57142857142856</v>
      </c>
      <c r="K161" s="110">
        <f t="shared" si="7"/>
        <v>1385.1428571428571</v>
      </c>
      <c r="L161" s="107">
        <f t="shared" si="8"/>
        <v>692.57142857142856</v>
      </c>
      <c r="M161" s="183">
        <v>1000</v>
      </c>
      <c r="N161" s="129">
        <f t="shared" si="4"/>
        <v>385.14285714285711</v>
      </c>
    </row>
    <row r="162" spans="1:14" ht="19.5" customHeight="1" x14ac:dyDescent="0.3">
      <c r="A162" s="1109"/>
      <c r="B162" s="70" t="s">
        <v>479</v>
      </c>
      <c r="C162" s="32" t="s">
        <v>105</v>
      </c>
      <c r="D162" s="23" t="s">
        <v>509</v>
      </c>
      <c r="E162" s="43" t="s">
        <v>495</v>
      </c>
      <c r="F162" s="90" t="s">
        <v>106</v>
      </c>
      <c r="G162" s="117" t="s">
        <v>479</v>
      </c>
      <c r="H162" s="117" t="s">
        <v>105</v>
      </c>
      <c r="I162" s="98">
        <f>7470.85714285714+400</f>
        <v>7870.8571428571404</v>
      </c>
      <c r="K162" s="110">
        <f t="shared" si="7"/>
        <v>15741.714285714281</v>
      </c>
      <c r="L162" s="107">
        <f t="shared" si="8"/>
        <v>7870.8571428571404</v>
      </c>
      <c r="M162" s="183">
        <v>6000</v>
      </c>
      <c r="N162" s="129">
        <f t="shared" si="4"/>
        <v>9741.7142857142808</v>
      </c>
    </row>
    <row r="163" spans="1:14" ht="19.5" customHeight="1" x14ac:dyDescent="0.3">
      <c r="A163" s="1109"/>
      <c r="B163" s="70" t="s">
        <v>479</v>
      </c>
      <c r="C163" s="32" t="s">
        <v>107</v>
      </c>
      <c r="D163" s="28" t="s">
        <v>509</v>
      </c>
      <c r="E163" s="60" t="s">
        <v>495</v>
      </c>
      <c r="F163" s="88" t="s">
        <v>108</v>
      </c>
      <c r="G163" s="118" t="s">
        <v>479</v>
      </c>
      <c r="H163" s="118" t="s">
        <v>107</v>
      </c>
      <c r="I163" s="96">
        <f>5576+296</f>
        <v>5872</v>
      </c>
      <c r="K163" s="59">
        <f t="shared" si="7"/>
        <v>11744</v>
      </c>
      <c r="L163" s="191">
        <f t="shared" si="8"/>
        <v>5872</v>
      </c>
      <c r="M163" s="186">
        <v>3000</v>
      </c>
      <c r="N163" s="192">
        <f t="shared" si="4"/>
        <v>8744</v>
      </c>
    </row>
    <row r="164" spans="1:14" ht="19.5" hidden="1" customHeight="1" x14ac:dyDescent="0.3">
      <c r="A164" s="1109"/>
      <c r="B164" s="70" t="s">
        <v>458</v>
      </c>
      <c r="C164" s="90">
        <v>17</v>
      </c>
      <c r="D164" s="198" t="s">
        <v>511</v>
      </c>
      <c r="E164" s="46" t="s">
        <v>495</v>
      </c>
      <c r="F164" s="89" t="s">
        <v>355</v>
      </c>
      <c r="G164" s="116" t="s">
        <v>458</v>
      </c>
      <c r="H164" s="116">
        <v>17</v>
      </c>
      <c r="I164" s="95">
        <v>106.28571428571429</v>
      </c>
      <c r="J164" s="199"/>
      <c r="K164" s="124">
        <f t="shared" si="7"/>
        <v>212.57142857142858</v>
      </c>
      <c r="L164" s="106">
        <f t="shared" si="8"/>
        <v>106.28571428571429</v>
      </c>
      <c r="M164" s="200">
        <v>3000</v>
      </c>
      <c r="N164" s="201">
        <f t="shared" si="4"/>
        <v>-2787.4285714285716</v>
      </c>
    </row>
    <row r="165" spans="1:14" ht="19.5" hidden="1" customHeight="1" x14ac:dyDescent="0.3">
      <c r="A165" s="1109"/>
      <c r="B165" s="70" t="s">
        <v>458</v>
      </c>
      <c r="C165" s="90">
        <v>18</v>
      </c>
      <c r="D165" s="202" t="s">
        <v>511</v>
      </c>
      <c r="E165" s="43" t="s">
        <v>495</v>
      </c>
      <c r="F165" s="90" t="s">
        <v>90</v>
      </c>
      <c r="G165" s="117" t="s">
        <v>458</v>
      </c>
      <c r="H165" s="117">
        <v>18</v>
      </c>
      <c r="I165" s="98">
        <v>48</v>
      </c>
      <c r="K165" s="50">
        <f t="shared" si="7"/>
        <v>96</v>
      </c>
      <c r="L165" s="107">
        <f t="shared" si="8"/>
        <v>48</v>
      </c>
      <c r="M165" s="183">
        <v>1100</v>
      </c>
      <c r="N165" s="129">
        <f t="shared" si="4"/>
        <v>-1004</v>
      </c>
    </row>
    <row r="166" spans="1:14" ht="19.5" hidden="1" customHeight="1" x14ac:dyDescent="0.3">
      <c r="A166" s="1109"/>
      <c r="B166" s="70" t="s">
        <v>457</v>
      </c>
      <c r="C166" s="90">
        <v>14</v>
      </c>
      <c r="D166" s="202" t="s">
        <v>511</v>
      </c>
      <c r="E166" s="43" t="s">
        <v>495</v>
      </c>
      <c r="F166" s="90" t="s">
        <v>353</v>
      </c>
      <c r="G166" s="117" t="s">
        <v>457</v>
      </c>
      <c r="H166" s="117">
        <v>14</v>
      </c>
      <c r="I166" s="98">
        <v>72</v>
      </c>
      <c r="K166" s="50">
        <f t="shared" si="7"/>
        <v>144</v>
      </c>
      <c r="L166" s="107">
        <f t="shared" si="8"/>
        <v>72</v>
      </c>
      <c r="M166" s="183">
        <v>5250</v>
      </c>
      <c r="N166" s="129">
        <f t="shared" si="4"/>
        <v>-5106</v>
      </c>
    </row>
    <row r="167" spans="1:14" ht="19.5" hidden="1" customHeight="1" x14ac:dyDescent="0.3">
      <c r="A167" s="1109"/>
      <c r="B167" s="70" t="s">
        <v>457</v>
      </c>
      <c r="C167" s="90">
        <v>15</v>
      </c>
      <c r="D167" s="202" t="s">
        <v>511</v>
      </c>
      <c r="E167" s="43" t="s">
        <v>495</v>
      </c>
      <c r="F167" s="90" t="s">
        <v>354</v>
      </c>
      <c r="G167" s="117" t="s">
        <v>457</v>
      </c>
      <c r="H167" s="117">
        <v>15</v>
      </c>
      <c r="I167" s="98">
        <v>216</v>
      </c>
      <c r="K167" s="50">
        <f t="shared" si="7"/>
        <v>432</v>
      </c>
      <c r="L167" s="107">
        <f t="shared" si="8"/>
        <v>216</v>
      </c>
      <c r="M167" s="183">
        <v>1250</v>
      </c>
      <c r="N167" s="129">
        <f t="shared" si="4"/>
        <v>-818</v>
      </c>
    </row>
    <row r="168" spans="1:14" ht="19.5" hidden="1" customHeight="1" x14ac:dyDescent="0.3">
      <c r="A168" s="1109"/>
      <c r="B168" s="70" t="s">
        <v>456</v>
      </c>
      <c r="C168" s="90">
        <v>12</v>
      </c>
      <c r="D168" s="202" t="s">
        <v>511</v>
      </c>
      <c r="E168" s="43" t="s">
        <v>495</v>
      </c>
      <c r="F168" s="90" t="s">
        <v>351</v>
      </c>
      <c r="G168" s="117" t="s">
        <v>456</v>
      </c>
      <c r="H168" s="117">
        <v>12</v>
      </c>
      <c r="I168" s="98">
        <v>30</v>
      </c>
      <c r="K168" s="50">
        <f t="shared" si="7"/>
        <v>60</v>
      </c>
      <c r="L168" s="107">
        <f t="shared" si="8"/>
        <v>30</v>
      </c>
      <c r="M168" s="183">
        <v>4500</v>
      </c>
      <c r="N168" s="129">
        <f t="shared" si="4"/>
        <v>-4440</v>
      </c>
    </row>
    <row r="169" spans="1:14" ht="19.5" hidden="1" customHeight="1" x14ac:dyDescent="0.3">
      <c r="A169" s="1109"/>
      <c r="B169" s="70" t="s">
        <v>456</v>
      </c>
      <c r="C169" s="90">
        <v>13</v>
      </c>
      <c r="D169" s="202" t="s">
        <v>511</v>
      </c>
      <c r="E169" s="43" t="s">
        <v>495</v>
      </c>
      <c r="F169" s="90" t="s">
        <v>352</v>
      </c>
      <c r="G169" s="117" t="s">
        <v>456</v>
      </c>
      <c r="H169" s="117">
        <v>13</v>
      </c>
      <c r="I169" s="98">
        <v>16</v>
      </c>
      <c r="K169" s="50">
        <f t="shared" si="7"/>
        <v>32</v>
      </c>
      <c r="L169" s="107">
        <f t="shared" si="8"/>
        <v>16</v>
      </c>
      <c r="M169" s="183">
        <v>3500</v>
      </c>
      <c r="N169" s="129">
        <f t="shared" si="4"/>
        <v>-3468</v>
      </c>
    </row>
    <row r="170" spans="1:14" ht="19.5" customHeight="1" x14ac:dyDescent="0.3">
      <c r="A170" s="1109"/>
      <c r="B170" s="70" t="s">
        <v>456</v>
      </c>
      <c r="C170" s="90">
        <v>11</v>
      </c>
      <c r="D170" s="202" t="s">
        <v>511</v>
      </c>
      <c r="E170" s="43" t="s">
        <v>495</v>
      </c>
      <c r="F170" s="90" t="s">
        <v>350</v>
      </c>
      <c r="G170" s="117" t="s">
        <v>456</v>
      </c>
      <c r="H170" s="117">
        <v>11</v>
      </c>
      <c r="I170" s="98">
        <v>349.71428571428572</v>
      </c>
      <c r="K170" s="110">
        <f t="shared" si="7"/>
        <v>699.42857142857144</v>
      </c>
      <c r="L170" s="107">
        <f t="shared" si="8"/>
        <v>349.71428571428572</v>
      </c>
      <c r="M170" s="183">
        <v>0</v>
      </c>
      <c r="N170" s="129">
        <f t="shared" si="4"/>
        <v>699.42857142857144</v>
      </c>
    </row>
    <row r="171" spans="1:14" ht="19.5" hidden="1" customHeight="1" x14ac:dyDescent="0.3">
      <c r="A171" s="1109"/>
      <c r="B171" s="70" t="s">
        <v>455</v>
      </c>
      <c r="C171" s="90">
        <v>6</v>
      </c>
      <c r="D171" s="202" t="s">
        <v>511</v>
      </c>
      <c r="E171" s="43" t="s">
        <v>495</v>
      </c>
      <c r="F171" s="90" t="s">
        <v>347</v>
      </c>
      <c r="G171" s="117" t="s">
        <v>455</v>
      </c>
      <c r="H171" s="117">
        <v>6</v>
      </c>
      <c r="I171" s="98">
        <v>30</v>
      </c>
      <c r="K171" s="50">
        <f t="shared" si="7"/>
        <v>60</v>
      </c>
      <c r="L171" s="107">
        <f t="shared" si="8"/>
        <v>30</v>
      </c>
      <c r="M171" s="183">
        <v>1200</v>
      </c>
      <c r="N171" s="129">
        <f t="shared" si="4"/>
        <v>-1140</v>
      </c>
    </row>
    <row r="172" spans="1:14" ht="19.5" hidden="1" customHeight="1" x14ac:dyDescent="0.3">
      <c r="A172" s="1109"/>
      <c r="B172" s="70" t="s">
        <v>455</v>
      </c>
      <c r="C172" s="90">
        <v>7</v>
      </c>
      <c r="D172" s="202" t="s">
        <v>511</v>
      </c>
      <c r="E172" s="43" t="s">
        <v>495</v>
      </c>
      <c r="F172" s="90" t="s">
        <v>348</v>
      </c>
      <c r="G172" s="117" t="s">
        <v>455</v>
      </c>
      <c r="H172" s="117">
        <v>7</v>
      </c>
      <c r="I172" s="98">
        <v>36</v>
      </c>
      <c r="K172" s="50">
        <f t="shared" si="7"/>
        <v>72</v>
      </c>
      <c r="L172" s="107">
        <f t="shared" si="8"/>
        <v>36</v>
      </c>
      <c r="M172" s="183">
        <v>1000</v>
      </c>
      <c r="N172" s="129">
        <f t="shared" si="4"/>
        <v>-928</v>
      </c>
    </row>
    <row r="173" spans="1:14" ht="19.5" hidden="1" customHeight="1" x14ac:dyDescent="0.3">
      <c r="A173" s="1109"/>
      <c r="B173" s="70" t="s">
        <v>455</v>
      </c>
      <c r="C173" s="90">
        <v>8</v>
      </c>
      <c r="D173" s="202" t="s">
        <v>511</v>
      </c>
      <c r="E173" s="43" t="s">
        <v>495</v>
      </c>
      <c r="F173" s="90" t="s">
        <v>349</v>
      </c>
      <c r="G173" s="117" t="s">
        <v>455</v>
      </c>
      <c r="H173" s="117">
        <v>8</v>
      </c>
      <c r="I173" s="98">
        <v>109.71428571428571</v>
      </c>
      <c r="K173" s="110">
        <f t="shared" si="7"/>
        <v>219.42857142857142</v>
      </c>
      <c r="L173" s="107">
        <f t="shared" si="8"/>
        <v>109.71428571428571</v>
      </c>
      <c r="M173" s="183">
        <v>1500</v>
      </c>
      <c r="N173" s="129">
        <f t="shared" si="4"/>
        <v>-1280.5714285714287</v>
      </c>
    </row>
    <row r="174" spans="1:14" ht="19.5" hidden="1" customHeight="1" x14ac:dyDescent="0.3">
      <c r="A174" s="1109"/>
      <c r="B174" s="70" t="s">
        <v>454</v>
      </c>
      <c r="C174" s="90">
        <v>1</v>
      </c>
      <c r="D174" s="202" t="s">
        <v>511</v>
      </c>
      <c r="E174" s="43" t="s">
        <v>495</v>
      </c>
      <c r="F174" s="90" t="s">
        <v>342</v>
      </c>
      <c r="G174" s="117" t="s">
        <v>454</v>
      </c>
      <c r="H174" s="117">
        <v>1</v>
      </c>
      <c r="I174" s="98">
        <v>828</v>
      </c>
      <c r="K174" s="50">
        <f t="shared" si="7"/>
        <v>1656</v>
      </c>
      <c r="L174" s="107">
        <f t="shared" si="8"/>
        <v>828</v>
      </c>
      <c r="M174" s="183">
        <v>2000</v>
      </c>
      <c r="N174" s="129">
        <f t="shared" si="4"/>
        <v>-344</v>
      </c>
    </row>
    <row r="175" spans="1:14" ht="19.5" hidden="1" customHeight="1" x14ac:dyDescent="0.3">
      <c r="A175" s="1109"/>
      <c r="B175" s="70" t="s">
        <v>454</v>
      </c>
      <c r="C175" s="90">
        <v>2</v>
      </c>
      <c r="D175" s="202" t="s">
        <v>511</v>
      </c>
      <c r="E175" s="43" t="s">
        <v>495</v>
      </c>
      <c r="F175" s="90" t="s">
        <v>343</v>
      </c>
      <c r="G175" s="117" t="s">
        <v>454</v>
      </c>
      <c r="H175" s="117">
        <v>2</v>
      </c>
      <c r="I175" s="98">
        <v>98</v>
      </c>
      <c r="K175" s="50">
        <f t="shared" si="7"/>
        <v>196</v>
      </c>
      <c r="L175" s="107">
        <f t="shared" si="8"/>
        <v>98</v>
      </c>
      <c r="M175" s="183">
        <v>750</v>
      </c>
      <c r="N175" s="129">
        <f t="shared" si="4"/>
        <v>-554</v>
      </c>
    </row>
    <row r="176" spans="1:14" ht="19.5" hidden="1" customHeight="1" x14ac:dyDescent="0.3">
      <c r="A176" s="1109"/>
      <c r="B176" s="70" t="s">
        <v>454</v>
      </c>
      <c r="C176" s="90">
        <v>3</v>
      </c>
      <c r="D176" s="202" t="s">
        <v>511</v>
      </c>
      <c r="E176" s="43" t="s">
        <v>495</v>
      </c>
      <c r="F176" s="90" t="s">
        <v>344</v>
      </c>
      <c r="G176" s="117" t="s">
        <v>454</v>
      </c>
      <c r="H176" s="117">
        <v>3</v>
      </c>
      <c r="I176" s="98">
        <v>76</v>
      </c>
      <c r="K176" s="50">
        <f t="shared" si="7"/>
        <v>152</v>
      </c>
      <c r="L176" s="107">
        <f t="shared" si="8"/>
        <v>76</v>
      </c>
      <c r="M176" s="183">
        <v>7500</v>
      </c>
      <c r="N176" s="129">
        <f t="shared" si="4"/>
        <v>-7348</v>
      </c>
    </row>
    <row r="177" spans="1:14" ht="19.5" hidden="1" customHeight="1" x14ac:dyDescent="0.3">
      <c r="A177" s="1109"/>
      <c r="B177" s="70" t="s">
        <v>454</v>
      </c>
      <c r="C177" s="90">
        <v>4</v>
      </c>
      <c r="D177" s="202" t="s">
        <v>511</v>
      </c>
      <c r="E177" s="43" t="s">
        <v>495</v>
      </c>
      <c r="F177" s="90" t="s">
        <v>345</v>
      </c>
      <c r="G177" s="117" t="s">
        <v>454</v>
      </c>
      <c r="H177" s="117">
        <v>4</v>
      </c>
      <c r="I177" s="98">
        <v>182.4</v>
      </c>
      <c r="K177" s="110">
        <f t="shared" si="7"/>
        <v>364.8</v>
      </c>
      <c r="L177" s="107">
        <f t="shared" si="8"/>
        <v>182.4</v>
      </c>
      <c r="M177" s="183">
        <v>2500</v>
      </c>
      <c r="N177" s="129">
        <f t="shared" si="4"/>
        <v>-2135.1999999999998</v>
      </c>
    </row>
    <row r="178" spans="1:14" ht="19.5" hidden="1" customHeight="1" thickBot="1" x14ac:dyDescent="0.35">
      <c r="A178" s="1109"/>
      <c r="B178" s="70" t="s">
        <v>454</v>
      </c>
      <c r="C178" s="90">
        <v>5</v>
      </c>
      <c r="D178" s="203" t="s">
        <v>511</v>
      </c>
      <c r="E178" s="57" t="s">
        <v>495</v>
      </c>
      <c r="F178" s="113" t="s">
        <v>346</v>
      </c>
      <c r="G178" s="122" t="s">
        <v>454</v>
      </c>
      <c r="H178" s="122">
        <v>5</v>
      </c>
      <c r="I178" s="102">
        <v>70.285714285714292</v>
      </c>
      <c r="J178" s="204"/>
      <c r="K178" s="205">
        <f t="shared" si="7"/>
        <v>140.57142857142858</v>
      </c>
      <c r="L178" s="108">
        <f t="shared" si="8"/>
        <v>70.285714285714292</v>
      </c>
      <c r="M178" s="184">
        <v>5000</v>
      </c>
      <c r="N178" s="206">
        <f t="shared" si="4"/>
        <v>-4859.4285714285716</v>
      </c>
    </row>
    <row r="179" spans="1:14" ht="19.5" hidden="1" customHeight="1" x14ac:dyDescent="0.3">
      <c r="A179" s="1109"/>
      <c r="B179" s="70" t="s">
        <v>485</v>
      </c>
      <c r="C179" s="90" t="s">
        <v>363</v>
      </c>
      <c r="D179" s="198" t="s">
        <v>452</v>
      </c>
      <c r="E179" s="46" t="s">
        <v>478</v>
      </c>
      <c r="F179" s="89" t="s">
        <v>369</v>
      </c>
      <c r="G179" s="116" t="s">
        <v>485</v>
      </c>
      <c r="H179" s="116" t="s">
        <v>363</v>
      </c>
      <c r="I179" s="95">
        <v>685.71428571428567</v>
      </c>
      <c r="J179" s="199"/>
      <c r="K179" s="124">
        <f t="shared" si="7"/>
        <v>1371.4285714285713</v>
      </c>
      <c r="L179" s="106">
        <f t="shared" si="8"/>
        <v>685.71428571428567</v>
      </c>
      <c r="M179" s="200">
        <v>3600</v>
      </c>
      <c r="N179" s="201">
        <f t="shared" si="4"/>
        <v>-2228.5714285714284</v>
      </c>
    </row>
    <row r="180" spans="1:14" ht="19.5" hidden="1" customHeight="1" x14ac:dyDescent="0.3">
      <c r="A180" s="1109"/>
      <c r="B180" s="70" t="s">
        <v>486</v>
      </c>
      <c r="C180" s="90" t="s">
        <v>364</v>
      </c>
      <c r="D180" s="202" t="s">
        <v>452</v>
      </c>
      <c r="E180" s="43" t="s">
        <v>478</v>
      </c>
      <c r="F180" s="90" t="s">
        <v>370</v>
      </c>
      <c r="G180" s="117" t="s">
        <v>486</v>
      </c>
      <c r="H180" s="117" t="s">
        <v>364</v>
      </c>
      <c r="I180" s="98">
        <v>0</v>
      </c>
      <c r="K180" s="50">
        <f t="shared" si="7"/>
        <v>0</v>
      </c>
      <c r="L180" s="107">
        <f t="shared" si="8"/>
        <v>0</v>
      </c>
      <c r="M180" s="183">
        <v>18000</v>
      </c>
      <c r="N180" s="129">
        <f t="shared" si="4"/>
        <v>-18000</v>
      </c>
    </row>
    <row r="181" spans="1:14" ht="19.5" hidden="1" customHeight="1" x14ac:dyDescent="0.3">
      <c r="A181" s="1109"/>
      <c r="B181" s="70" t="s">
        <v>487</v>
      </c>
      <c r="C181" s="90" t="s">
        <v>365</v>
      </c>
      <c r="D181" s="202" t="s">
        <v>452</v>
      </c>
      <c r="E181" s="43" t="s">
        <v>478</v>
      </c>
      <c r="F181" s="90" t="s">
        <v>371</v>
      </c>
      <c r="G181" s="117" t="s">
        <v>487</v>
      </c>
      <c r="H181" s="117" t="s">
        <v>365</v>
      </c>
      <c r="I181" s="98">
        <v>258</v>
      </c>
      <c r="K181" s="50">
        <f t="shared" si="7"/>
        <v>516</v>
      </c>
      <c r="L181" s="107">
        <f t="shared" si="8"/>
        <v>258</v>
      </c>
      <c r="M181" s="183">
        <v>2400</v>
      </c>
      <c r="N181" s="129">
        <f t="shared" si="4"/>
        <v>-1884</v>
      </c>
    </row>
    <row r="182" spans="1:14" ht="19.5" hidden="1" customHeight="1" thickBot="1" x14ac:dyDescent="0.35">
      <c r="A182" s="1109"/>
      <c r="B182" s="70" t="s">
        <v>490</v>
      </c>
      <c r="C182" s="90" t="s">
        <v>366</v>
      </c>
      <c r="D182" s="203" t="s">
        <v>452</v>
      </c>
      <c r="E182" s="57" t="s">
        <v>341</v>
      </c>
      <c r="F182" s="113" t="s">
        <v>372</v>
      </c>
      <c r="G182" s="122" t="s">
        <v>490</v>
      </c>
      <c r="H182" s="122" t="s">
        <v>366</v>
      </c>
      <c r="I182" s="102">
        <v>459.42857142857144</v>
      </c>
      <c r="J182" s="204"/>
      <c r="K182" s="205">
        <f t="shared" si="7"/>
        <v>918.85714285714289</v>
      </c>
      <c r="L182" s="108">
        <f t="shared" si="8"/>
        <v>459.42857142857144</v>
      </c>
      <c r="M182" s="184">
        <v>4000</v>
      </c>
      <c r="N182" s="206">
        <f t="shared" si="4"/>
        <v>-3081.1428571428569</v>
      </c>
    </row>
    <row r="183" spans="1:14" ht="19.5" hidden="1" customHeight="1" x14ac:dyDescent="0.3">
      <c r="A183" s="1109"/>
      <c r="B183" s="70"/>
      <c r="C183" s="32" t="s">
        <v>399</v>
      </c>
      <c r="D183" s="25" t="s">
        <v>509</v>
      </c>
      <c r="E183" s="193" t="s">
        <v>492</v>
      </c>
      <c r="F183" s="194" t="s">
        <v>401</v>
      </c>
      <c r="G183" s="195"/>
      <c r="H183" s="188" t="s">
        <v>399</v>
      </c>
      <c r="I183" s="196">
        <v>492</v>
      </c>
      <c r="K183" s="58">
        <f t="shared" si="7"/>
        <v>984</v>
      </c>
      <c r="L183" s="197">
        <f t="shared" si="8"/>
        <v>492</v>
      </c>
      <c r="M183" s="187"/>
      <c r="N183" s="185"/>
    </row>
    <row r="184" spans="1:14" ht="19.5" hidden="1" customHeight="1" x14ac:dyDescent="0.3">
      <c r="A184" s="1109"/>
      <c r="B184" s="70"/>
      <c r="C184" s="79" t="s">
        <v>376</v>
      </c>
      <c r="D184" s="23" t="s">
        <v>509</v>
      </c>
      <c r="E184" s="43" t="s">
        <v>450</v>
      </c>
      <c r="F184" s="90" t="s">
        <v>381</v>
      </c>
      <c r="G184" s="115"/>
      <c r="H184" s="121" t="s">
        <v>376</v>
      </c>
      <c r="I184" s="98">
        <v>44</v>
      </c>
      <c r="K184" s="50">
        <f t="shared" si="7"/>
        <v>88</v>
      </c>
      <c r="L184" s="107">
        <f t="shared" si="8"/>
        <v>44</v>
      </c>
      <c r="M184" s="183"/>
      <c r="N184" s="128"/>
    </row>
    <row r="185" spans="1:14" ht="19.5" hidden="1" customHeight="1" x14ac:dyDescent="0.3">
      <c r="A185" s="1109"/>
      <c r="B185" s="70"/>
      <c r="C185" s="79" t="s">
        <v>377</v>
      </c>
      <c r="D185" s="23" t="s">
        <v>509</v>
      </c>
      <c r="E185" s="43" t="s">
        <v>450</v>
      </c>
      <c r="F185" s="90" t="s">
        <v>382</v>
      </c>
      <c r="G185" s="115"/>
      <c r="H185" s="121" t="s">
        <v>377</v>
      </c>
      <c r="I185" s="98">
        <v>12</v>
      </c>
      <c r="K185" s="50">
        <f t="shared" si="7"/>
        <v>24</v>
      </c>
      <c r="L185" s="107">
        <f t="shared" si="8"/>
        <v>12</v>
      </c>
      <c r="M185" s="183"/>
      <c r="N185" s="128"/>
    </row>
    <row r="186" spans="1:14" ht="19.5" hidden="1" customHeight="1" x14ac:dyDescent="0.3">
      <c r="A186" s="1109"/>
      <c r="B186" s="70"/>
      <c r="C186" s="32" t="s">
        <v>384</v>
      </c>
      <c r="D186" s="23" t="s">
        <v>509</v>
      </c>
      <c r="E186" s="43" t="s">
        <v>450</v>
      </c>
      <c r="F186" s="90" t="s">
        <v>392</v>
      </c>
      <c r="G186" s="115"/>
      <c r="H186" s="117" t="s">
        <v>384</v>
      </c>
      <c r="I186" s="98">
        <v>48</v>
      </c>
      <c r="K186" s="50">
        <f t="shared" si="7"/>
        <v>96</v>
      </c>
      <c r="L186" s="107">
        <f t="shared" si="8"/>
        <v>48</v>
      </c>
      <c r="M186" s="183"/>
      <c r="N186" s="128"/>
    </row>
    <row r="187" spans="1:14" ht="19.5" hidden="1" customHeight="1" x14ac:dyDescent="0.3">
      <c r="A187" s="1109"/>
      <c r="B187" s="70"/>
      <c r="C187" s="32" t="s">
        <v>385</v>
      </c>
      <c r="D187" s="23" t="s">
        <v>509</v>
      </c>
      <c r="E187" s="43" t="s">
        <v>450</v>
      </c>
      <c r="F187" s="90" t="s">
        <v>393</v>
      </c>
      <c r="G187" s="115"/>
      <c r="H187" s="117" t="s">
        <v>385</v>
      </c>
      <c r="I187" s="98">
        <v>180</v>
      </c>
      <c r="K187" s="50">
        <f t="shared" si="7"/>
        <v>360</v>
      </c>
      <c r="L187" s="107">
        <f t="shared" si="8"/>
        <v>180</v>
      </c>
      <c r="M187" s="183"/>
      <c r="N187" s="128"/>
    </row>
    <row r="188" spans="1:14" ht="19.5" hidden="1" customHeight="1" x14ac:dyDescent="0.3">
      <c r="A188" s="1109"/>
      <c r="B188" s="70"/>
      <c r="C188" s="32" t="s">
        <v>386</v>
      </c>
      <c r="D188" s="23" t="s">
        <v>509</v>
      </c>
      <c r="E188" s="43" t="s">
        <v>450</v>
      </c>
      <c r="F188" s="90" t="s">
        <v>394</v>
      </c>
      <c r="G188" s="115"/>
      <c r="H188" s="117" t="s">
        <v>386</v>
      </c>
      <c r="I188" s="98">
        <v>138.85714285714286</v>
      </c>
      <c r="K188" s="110">
        <f t="shared" si="7"/>
        <v>277.71428571428572</v>
      </c>
      <c r="L188" s="107">
        <f t="shared" si="8"/>
        <v>138.85714285714286</v>
      </c>
      <c r="M188" s="183"/>
      <c r="N188" s="128"/>
    </row>
    <row r="189" spans="1:14" ht="19.5" hidden="1" customHeight="1" x14ac:dyDescent="0.3">
      <c r="A189" s="1109"/>
      <c r="B189" s="70"/>
      <c r="C189" s="78" t="s">
        <v>387</v>
      </c>
      <c r="D189" s="23" t="s">
        <v>509</v>
      </c>
      <c r="E189" s="43" t="s">
        <v>450</v>
      </c>
      <c r="F189" s="90" t="s">
        <v>395</v>
      </c>
      <c r="G189" s="115"/>
      <c r="H189" s="120" t="s">
        <v>387</v>
      </c>
      <c r="I189" s="98">
        <v>0</v>
      </c>
      <c r="K189" s="50">
        <f t="shared" si="7"/>
        <v>0</v>
      </c>
      <c r="L189" s="107">
        <f t="shared" si="8"/>
        <v>0</v>
      </c>
      <c r="M189" s="183"/>
      <c r="N189" s="128"/>
    </row>
    <row r="190" spans="1:14" ht="19.5" hidden="1" customHeight="1" thickBot="1" x14ac:dyDescent="0.35">
      <c r="A190" s="1110"/>
      <c r="B190" s="71"/>
      <c r="C190" s="37" t="s">
        <v>412</v>
      </c>
      <c r="D190" s="29" t="s">
        <v>509</v>
      </c>
      <c r="E190" s="57" t="s">
        <v>450</v>
      </c>
      <c r="F190" s="113" t="s">
        <v>413</v>
      </c>
      <c r="G190" s="104"/>
      <c r="H190" s="122" t="s">
        <v>412</v>
      </c>
      <c r="I190" s="102">
        <v>483</v>
      </c>
      <c r="K190" s="56">
        <f t="shared" si="7"/>
        <v>966</v>
      </c>
      <c r="L190" s="108">
        <f t="shared" si="8"/>
        <v>483</v>
      </c>
      <c r="M190" s="184"/>
      <c r="N190" s="130"/>
    </row>
    <row r="191" spans="1:14" ht="19.5" hidden="1" customHeight="1" x14ac:dyDescent="0.3">
      <c r="A191" s="1098" t="s">
        <v>506</v>
      </c>
      <c r="B191" s="81"/>
      <c r="C191" s="33" t="s">
        <v>439</v>
      </c>
      <c r="D191" s="27" t="s">
        <v>509</v>
      </c>
      <c r="E191" s="46" t="s">
        <v>477</v>
      </c>
      <c r="F191" s="89" t="s">
        <v>444</v>
      </c>
      <c r="G191" s="114"/>
      <c r="H191" s="116" t="s">
        <v>439</v>
      </c>
      <c r="I191" s="95">
        <v>90</v>
      </c>
      <c r="L191" s="67"/>
    </row>
    <row r="192" spans="1:14" ht="19.5" hidden="1" customHeight="1" x14ac:dyDescent="0.3">
      <c r="A192" s="1099"/>
      <c r="B192" s="82"/>
      <c r="C192" s="32" t="s">
        <v>440</v>
      </c>
      <c r="D192" s="23" t="s">
        <v>509</v>
      </c>
      <c r="E192" s="43" t="s">
        <v>477</v>
      </c>
      <c r="F192" s="90" t="s">
        <v>445</v>
      </c>
      <c r="G192" s="115"/>
      <c r="H192" s="117" t="s">
        <v>440</v>
      </c>
      <c r="I192" s="98">
        <v>124</v>
      </c>
      <c r="L192" s="67"/>
    </row>
    <row r="193" spans="1:12" ht="19.5" hidden="1" customHeight="1" x14ac:dyDescent="0.3">
      <c r="A193" s="1099"/>
      <c r="B193" s="82"/>
      <c r="C193" s="32" t="s">
        <v>441</v>
      </c>
      <c r="D193" s="23" t="s">
        <v>509</v>
      </c>
      <c r="E193" s="43" t="s">
        <v>477</v>
      </c>
      <c r="F193" s="90" t="s">
        <v>446</v>
      </c>
      <c r="G193" s="115"/>
      <c r="H193" s="117" t="s">
        <v>441</v>
      </c>
      <c r="I193" s="98">
        <v>236.57142857142858</v>
      </c>
      <c r="K193" s="111"/>
      <c r="L193" s="67"/>
    </row>
    <row r="194" spans="1:12" ht="19.5" hidden="1" customHeight="1" thickBot="1" x14ac:dyDescent="0.35">
      <c r="A194" s="1100"/>
      <c r="B194" s="83"/>
      <c r="C194" s="84" t="s">
        <v>442</v>
      </c>
      <c r="D194" s="29" t="s">
        <v>509</v>
      </c>
      <c r="E194" s="57" t="s">
        <v>477</v>
      </c>
      <c r="F194" s="113" t="s">
        <v>447</v>
      </c>
      <c r="G194" s="104"/>
      <c r="H194" s="123" t="s">
        <v>442</v>
      </c>
      <c r="I194" s="102">
        <v>86.571428571428569</v>
      </c>
      <c r="K194" s="111"/>
      <c r="L194" s="67"/>
    </row>
    <row r="195" spans="1:12" x14ac:dyDescent="0.3">
      <c r="C195"/>
      <c r="F195" s="31"/>
      <c r="G195" s="8"/>
      <c r="H195" s="8"/>
      <c r="I195" s="31"/>
    </row>
    <row r="196" spans="1:12" x14ac:dyDescent="0.3">
      <c r="C196"/>
      <c r="F196" s="31"/>
      <c r="G196" s="8"/>
      <c r="H196" s="8"/>
      <c r="I196" s="31"/>
    </row>
    <row r="197" spans="1:12" x14ac:dyDescent="0.3">
      <c r="C197"/>
      <c r="F197" s="31"/>
      <c r="G197" s="8"/>
      <c r="H197" s="8"/>
      <c r="I197" s="31"/>
    </row>
    <row r="198" spans="1:12" x14ac:dyDescent="0.3">
      <c r="C198"/>
      <c r="F198" s="31"/>
      <c r="G198" s="8"/>
      <c r="H198" s="8"/>
      <c r="I198" s="31"/>
    </row>
    <row r="199" spans="1:12" x14ac:dyDescent="0.3">
      <c r="C199"/>
      <c r="F199" s="31"/>
      <c r="G199" s="8"/>
      <c r="H199" s="8"/>
      <c r="I199" s="31"/>
    </row>
    <row r="200" spans="1:12" x14ac:dyDescent="0.3">
      <c r="C200"/>
      <c r="F200" s="31"/>
      <c r="G200" s="8"/>
      <c r="H200" s="8"/>
    </row>
    <row r="201" spans="1:12" x14ac:dyDescent="0.3">
      <c r="C201"/>
      <c r="F201" s="31"/>
      <c r="G201" s="8"/>
      <c r="H201" s="8"/>
    </row>
    <row r="202" spans="1:12" x14ac:dyDescent="0.3">
      <c r="C202"/>
      <c r="F202" s="31"/>
      <c r="G202" s="8"/>
      <c r="H202" s="8"/>
    </row>
    <row r="203" spans="1:12" x14ac:dyDescent="0.3">
      <c r="C203"/>
      <c r="F203" s="31"/>
      <c r="G203" s="8"/>
      <c r="H203" s="8"/>
    </row>
    <row r="204" spans="1:12" x14ac:dyDescent="0.3">
      <c r="C204"/>
      <c r="F204" s="31"/>
      <c r="G204" s="8"/>
      <c r="H204" s="8"/>
    </row>
    <row r="205" spans="1:12" x14ac:dyDescent="0.3">
      <c r="C205"/>
      <c r="F205" s="31"/>
      <c r="G205" s="8"/>
      <c r="H205" s="8"/>
    </row>
    <row r="206" spans="1:12" x14ac:dyDescent="0.3">
      <c r="C206"/>
      <c r="F206" s="31"/>
      <c r="G206" s="8"/>
      <c r="H206" s="8"/>
    </row>
    <row r="207" spans="1:12" x14ac:dyDescent="0.3">
      <c r="C207"/>
      <c r="F207" s="31"/>
      <c r="G207" s="8"/>
      <c r="H207" s="8"/>
    </row>
    <row r="208" spans="1:12" x14ac:dyDescent="0.3">
      <c r="C208"/>
      <c r="F208" s="31"/>
      <c r="G208" s="8"/>
      <c r="H208" s="8"/>
    </row>
    <row r="209" spans="3:8" x14ac:dyDescent="0.3">
      <c r="C209"/>
      <c r="F209" s="31"/>
      <c r="G209" s="8"/>
      <c r="H209" s="8"/>
    </row>
    <row r="210" spans="3:8" x14ac:dyDescent="0.3">
      <c r="C210"/>
      <c r="F210" s="31"/>
      <c r="G210" s="8"/>
      <c r="H210" s="8"/>
    </row>
    <row r="211" spans="3:8" x14ac:dyDescent="0.3">
      <c r="C211"/>
      <c r="F211" s="31"/>
      <c r="G211" s="8"/>
      <c r="H211" s="8"/>
    </row>
    <row r="212" spans="3:8" x14ac:dyDescent="0.3">
      <c r="C212"/>
      <c r="F212" s="31"/>
      <c r="G212" s="8"/>
      <c r="H212" s="8"/>
    </row>
    <row r="213" spans="3:8" x14ac:dyDescent="0.3">
      <c r="C213"/>
      <c r="F213" s="31"/>
      <c r="G213" s="8"/>
      <c r="H213" s="8"/>
    </row>
    <row r="214" spans="3:8" x14ac:dyDescent="0.3">
      <c r="C214"/>
      <c r="F214" s="31"/>
      <c r="G214" s="8"/>
      <c r="H214" s="8"/>
    </row>
    <row r="215" spans="3:8" x14ac:dyDescent="0.3">
      <c r="C215"/>
      <c r="F215" s="31"/>
      <c r="G215" s="8"/>
      <c r="H215" s="8"/>
    </row>
    <row r="216" spans="3:8" x14ac:dyDescent="0.3">
      <c r="C216"/>
      <c r="F216" s="31"/>
      <c r="G216" s="8"/>
      <c r="H216" s="8"/>
    </row>
    <row r="217" spans="3:8" x14ac:dyDescent="0.3">
      <c r="C217"/>
      <c r="F217" s="31"/>
      <c r="G217" s="8"/>
      <c r="H217" s="8"/>
    </row>
    <row r="218" spans="3:8" x14ac:dyDescent="0.3">
      <c r="C218"/>
      <c r="F218" s="31"/>
      <c r="G218" s="8"/>
      <c r="H218" s="8"/>
    </row>
    <row r="219" spans="3:8" x14ac:dyDescent="0.3">
      <c r="C219"/>
      <c r="F219" s="31"/>
      <c r="G219" s="8"/>
      <c r="H219" s="8"/>
    </row>
    <row r="220" spans="3:8" x14ac:dyDescent="0.3">
      <c r="C220"/>
      <c r="F220" s="31"/>
      <c r="G220" s="8"/>
      <c r="H220" s="8"/>
    </row>
    <row r="221" spans="3:8" x14ac:dyDescent="0.3">
      <c r="C221"/>
      <c r="F221" s="31"/>
      <c r="G221" s="8"/>
      <c r="H221" s="8"/>
    </row>
    <row r="222" spans="3:8" x14ac:dyDescent="0.3">
      <c r="C222"/>
      <c r="F222" s="31"/>
      <c r="G222" s="8"/>
      <c r="H222" s="8"/>
    </row>
    <row r="223" spans="3:8" x14ac:dyDescent="0.3">
      <c r="C223"/>
      <c r="F223" s="31"/>
      <c r="G223" s="8"/>
      <c r="H223" s="8"/>
    </row>
    <row r="224" spans="3:8" x14ac:dyDescent="0.3">
      <c r="C224"/>
      <c r="F224" s="31"/>
      <c r="G224" s="8"/>
      <c r="H224" s="8"/>
    </row>
    <row r="225" spans="3:8" x14ac:dyDescent="0.3">
      <c r="C225"/>
      <c r="F225" s="31"/>
      <c r="G225" s="8"/>
      <c r="H225" s="8"/>
    </row>
    <row r="226" spans="3:8" x14ac:dyDescent="0.3">
      <c r="C226"/>
      <c r="F226" s="31"/>
      <c r="G226" s="8"/>
      <c r="H226" s="8"/>
    </row>
    <row r="227" spans="3:8" x14ac:dyDescent="0.3">
      <c r="C227"/>
      <c r="F227" s="31"/>
      <c r="G227" s="8"/>
      <c r="H227" s="8"/>
    </row>
    <row r="228" spans="3:8" x14ac:dyDescent="0.3">
      <c r="C228"/>
      <c r="F228" s="31"/>
      <c r="G228" s="8"/>
      <c r="H228" s="8"/>
    </row>
    <row r="229" spans="3:8" x14ac:dyDescent="0.3">
      <c r="C229"/>
      <c r="F229" s="31"/>
      <c r="G229" s="8"/>
      <c r="H229" s="8"/>
    </row>
    <row r="230" spans="3:8" x14ac:dyDescent="0.3">
      <c r="C230"/>
      <c r="F230" s="31"/>
      <c r="G230" s="8"/>
      <c r="H230" s="8"/>
    </row>
    <row r="231" spans="3:8" x14ac:dyDescent="0.3">
      <c r="C231"/>
      <c r="F231" s="31"/>
      <c r="G231" s="8"/>
      <c r="H231" s="8"/>
    </row>
    <row r="232" spans="3:8" x14ac:dyDescent="0.3">
      <c r="C232"/>
      <c r="F232" s="31"/>
      <c r="G232" s="8"/>
      <c r="H232" s="8"/>
    </row>
    <row r="233" spans="3:8" x14ac:dyDescent="0.3">
      <c r="C233"/>
      <c r="F233" s="31"/>
      <c r="G233" s="8"/>
      <c r="H233" s="8"/>
    </row>
    <row r="234" spans="3:8" x14ac:dyDescent="0.3">
      <c r="C234"/>
      <c r="F234" s="31"/>
      <c r="G234" s="8"/>
      <c r="H234" s="8"/>
    </row>
    <row r="235" spans="3:8" x14ac:dyDescent="0.3">
      <c r="C235"/>
      <c r="F235" s="31"/>
      <c r="G235" s="8"/>
      <c r="H235" s="8"/>
    </row>
    <row r="236" spans="3:8" x14ac:dyDescent="0.3">
      <c r="C236"/>
      <c r="F236" s="31"/>
      <c r="G236" s="8"/>
      <c r="H236" s="8"/>
    </row>
    <row r="237" spans="3:8" x14ac:dyDescent="0.3">
      <c r="C237"/>
      <c r="F237" s="31"/>
      <c r="G237" s="8"/>
      <c r="H237" s="8"/>
    </row>
    <row r="238" spans="3:8" x14ac:dyDescent="0.3">
      <c r="C238"/>
      <c r="F238" s="31"/>
      <c r="G238" s="8"/>
      <c r="H238" s="8"/>
    </row>
    <row r="239" spans="3:8" x14ac:dyDescent="0.3">
      <c r="C239"/>
      <c r="F239" s="31"/>
      <c r="G239" s="8"/>
      <c r="H239" s="8"/>
    </row>
    <row r="240" spans="3:8" x14ac:dyDescent="0.3">
      <c r="C240"/>
      <c r="F240" s="31"/>
      <c r="G240" s="8"/>
      <c r="H240" s="8"/>
    </row>
    <row r="241" spans="3:8" x14ac:dyDescent="0.3">
      <c r="C241"/>
      <c r="F241" s="31"/>
      <c r="G241" s="8"/>
      <c r="H241" s="8"/>
    </row>
    <row r="242" spans="3:8" x14ac:dyDescent="0.3">
      <c r="C242"/>
      <c r="F242" s="31"/>
      <c r="G242" s="8"/>
      <c r="H242" s="8"/>
    </row>
    <row r="243" spans="3:8" x14ac:dyDescent="0.3">
      <c r="C243"/>
      <c r="F243" s="31"/>
      <c r="G243" s="8"/>
      <c r="H243" s="8"/>
    </row>
    <row r="244" spans="3:8" x14ac:dyDescent="0.3">
      <c r="C244"/>
      <c r="F244" s="31"/>
      <c r="G244" s="8"/>
      <c r="H244" s="8"/>
    </row>
    <row r="245" spans="3:8" x14ac:dyDescent="0.3">
      <c r="C245"/>
      <c r="F245" s="31"/>
      <c r="G245" s="8"/>
      <c r="H245" s="8"/>
    </row>
    <row r="246" spans="3:8" x14ac:dyDescent="0.3">
      <c r="C246"/>
      <c r="F246" s="31"/>
      <c r="G246" s="8"/>
      <c r="H246" s="8"/>
    </row>
    <row r="247" spans="3:8" x14ac:dyDescent="0.3">
      <c r="C247"/>
      <c r="F247" s="31"/>
      <c r="G247" s="8"/>
      <c r="H247" s="8"/>
    </row>
    <row r="248" spans="3:8" x14ac:dyDescent="0.3">
      <c r="C248"/>
      <c r="F248" s="31"/>
      <c r="G248" s="8"/>
      <c r="H248" s="8"/>
    </row>
    <row r="249" spans="3:8" x14ac:dyDescent="0.3">
      <c r="C249"/>
      <c r="F249" s="31"/>
      <c r="G249" s="8"/>
      <c r="H249" s="8"/>
    </row>
    <row r="250" spans="3:8" x14ac:dyDescent="0.3">
      <c r="C250"/>
      <c r="F250" s="31"/>
      <c r="G250" s="8"/>
      <c r="H250" s="8"/>
    </row>
    <row r="251" spans="3:8" x14ac:dyDescent="0.3">
      <c r="C251"/>
      <c r="F251" s="31"/>
      <c r="G251" s="8"/>
      <c r="H251" s="8"/>
    </row>
    <row r="252" spans="3:8" x14ac:dyDescent="0.3">
      <c r="C252"/>
      <c r="F252" s="31"/>
      <c r="G252" s="8"/>
      <c r="H252" s="8"/>
    </row>
    <row r="253" spans="3:8" x14ac:dyDescent="0.3">
      <c r="C253"/>
      <c r="F253" s="31"/>
      <c r="G253" s="8"/>
      <c r="H253" s="8"/>
    </row>
    <row r="254" spans="3:8" x14ac:dyDescent="0.3">
      <c r="C254"/>
      <c r="F254" s="31"/>
      <c r="G254" s="8"/>
      <c r="H254" s="8"/>
    </row>
    <row r="255" spans="3:8" x14ac:dyDescent="0.3">
      <c r="C255"/>
      <c r="F255" s="31"/>
      <c r="G255" s="8"/>
      <c r="H255" s="8"/>
    </row>
    <row r="256" spans="3:8" x14ac:dyDescent="0.3">
      <c r="C256"/>
      <c r="F256" s="31"/>
      <c r="G256" s="8"/>
      <c r="H256" s="8"/>
    </row>
    <row r="257" spans="3:8" x14ac:dyDescent="0.3">
      <c r="C257"/>
      <c r="F257" s="31"/>
      <c r="G257" s="8"/>
      <c r="H257" s="8"/>
    </row>
    <row r="258" spans="3:8" x14ac:dyDescent="0.3">
      <c r="C258"/>
      <c r="F258" s="31"/>
      <c r="G258" s="8"/>
      <c r="H258" s="8"/>
    </row>
    <row r="259" spans="3:8" x14ac:dyDescent="0.3">
      <c r="C259"/>
      <c r="F259" s="31"/>
      <c r="G259" s="8"/>
      <c r="H259" s="8"/>
    </row>
    <row r="260" spans="3:8" x14ac:dyDescent="0.3">
      <c r="C260"/>
      <c r="F260" s="31"/>
      <c r="G260" s="8"/>
      <c r="H260" s="8"/>
    </row>
    <row r="261" spans="3:8" x14ac:dyDescent="0.3">
      <c r="C261"/>
      <c r="F261" s="31"/>
      <c r="G261" s="8"/>
      <c r="H261" s="8"/>
    </row>
    <row r="262" spans="3:8" x14ac:dyDescent="0.3">
      <c r="C262"/>
      <c r="F262" s="31"/>
      <c r="G262" s="8"/>
      <c r="H262" s="8"/>
    </row>
    <row r="263" spans="3:8" x14ac:dyDescent="0.3">
      <c r="C263"/>
      <c r="F263" s="31"/>
      <c r="G263" s="8"/>
      <c r="H263" s="8"/>
    </row>
    <row r="264" spans="3:8" x14ac:dyDescent="0.3">
      <c r="C264"/>
      <c r="F264" s="31"/>
      <c r="G264" s="8"/>
      <c r="H264" s="8"/>
    </row>
    <row r="265" spans="3:8" x14ac:dyDescent="0.3">
      <c r="C265"/>
      <c r="F265" s="31"/>
      <c r="G265" s="8"/>
      <c r="H265" s="8"/>
    </row>
    <row r="266" spans="3:8" x14ac:dyDescent="0.3">
      <c r="C266"/>
      <c r="F266" s="31"/>
      <c r="G266" s="8"/>
      <c r="H266" s="8"/>
    </row>
    <row r="267" spans="3:8" x14ac:dyDescent="0.3">
      <c r="C267"/>
      <c r="F267" s="31"/>
      <c r="G267" s="8"/>
      <c r="H267" s="8"/>
    </row>
    <row r="268" spans="3:8" x14ac:dyDescent="0.3">
      <c r="C268"/>
      <c r="F268" s="31"/>
      <c r="G268" s="8"/>
      <c r="H268" s="8"/>
    </row>
    <row r="269" spans="3:8" x14ac:dyDescent="0.3">
      <c r="C269"/>
      <c r="F269" s="31"/>
      <c r="G269" s="8"/>
      <c r="H269" s="8"/>
    </row>
    <row r="270" spans="3:8" x14ac:dyDescent="0.3">
      <c r="C270"/>
      <c r="F270" s="31"/>
      <c r="G270" s="8"/>
      <c r="H270" s="8"/>
    </row>
    <row r="271" spans="3:8" x14ac:dyDescent="0.3">
      <c r="C271"/>
      <c r="F271" s="31"/>
      <c r="G271" s="8"/>
      <c r="H271" s="8"/>
    </row>
    <row r="272" spans="3:8" x14ac:dyDescent="0.3">
      <c r="C272"/>
      <c r="F272" s="31"/>
      <c r="G272" s="8"/>
      <c r="H272" s="8"/>
    </row>
    <row r="273" spans="3:8" x14ac:dyDescent="0.3">
      <c r="C273"/>
      <c r="F273" s="31"/>
      <c r="G273" s="8"/>
      <c r="H273" s="8"/>
    </row>
    <row r="274" spans="3:8" x14ac:dyDescent="0.3">
      <c r="C274"/>
      <c r="F274" s="31"/>
      <c r="G274" s="8"/>
      <c r="H274" s="8"/>
    </row>
    <row r="275" spans="3:8" x14ac:dyDescent="0.3">
      <c r="C275"/>
      <c r="F275" s="31"/>
      <c r="G275" s="8"/>
      <c r="H275" s="8"/>
    </row>
    <row r="276" spans="3:8" x14ac:dyDescent="0.3">
      <c r="C276"/>
      <c r="F276" s="31"/>
      <c r="G276" s="8"/>
      <c r="H276" s="8"/>
    </row>
    <row r="277" spans="3:8" x14ac:dyDescent="0.3">
      <c r="C277"/>
      <c r="F277" s="31"/>
      <c r="G277" s="8"/>
      <c r="H277" s="8"/>
    </row>
    <row r="278" spans="3:8" x14ac:dyDescent="0.3">
      <c r="C278"/>
      <c r="F278" s="31"/>
      <c r="G278" s="8"/>
      <c r="H278" s="8"/>
    </row>
    <row r="279" spans="3:8" x14ac:dyDescent="0.3">
      <c r="C279"/>
      <c r="F279" s="31"/>
      <c r="G279" s="8"/>
      <c r="H279" s="8"/>
    </row>
    <row r="280" spans="3:8" x14ac:dyDescent="0.3">
      <c r="C280"/>
      <c r="F280" s="31"/>
      <c r="G280" s="8"/>
      <c r="H280" s="8"/>
    </row>
    <row r="281" spans="3:8" x14ac:dyDescent="0.3">
      <c r="C281"/>
      <c r="F281" s="31"/>
      <c r="G281" s="8"/>
      <c r="H281" s="8"/>
    </row>
    <row r="282" spans="3:8" x14ac:dyDescent="0.3">
      <c r="C282"/>
      <c r="F282" s="31"/>
      <c r="G282" s="8"/>
      <c r="H282" s="8"/>
    </row>
    <row r="283" spans="3:8" x14ac:dyDescent="0.3">
      <c r="C283"/>
      <c r="F283" s="31"/>
      <c r="G283" s="8"/>
      <c r="H283" s="8"/>
    </row>
    <row r="284" spans="3:8" x14ac:dyDescent="0.3">
      <c r="C284"/>
      <c r="F284" s="31"/>
      <c r="G284" s="8"/>
      <c r="H284" s="8"/>
    </row>
    <row r="285" spans="3:8" x14ac:dyDescent="0.3">
      <c r="C285"/>
      <c r="F285" s="31"/>
      <c r="G285" s="8"/>
      <c r="H285" s="8"/>
    </row>
    <row r="286" spans="3:8" x14ac:dyDescent="0.3">
      <c r="C286"/>
      <c r="F286" s="31"/>
      <c r="G286" s="8"/>
      <c r="H286" s="8"/>
    </row>
    <row r="287" spans="3:8" x14ac:dyDescent="0.3">
      <c r="C287"/>
      <c r="F287" s="31"/>
      <c r="G287" s="8"/>
      <c r="H287" s="8"/>
    </row>
    <row r="288" spans="3:8" x14ac:dyDescent="0.3">
      <c r="C288"/>
      <c r="F288" s="31"/>
      <c r="G288" s="8"/>
      <c r="H288" s="8"/>
    </row>
    <row r="289" spans="3:8" x14ac:dyDescent="0.3">
      <c r="C289"/>
      <c r="F289" s="31"/>
      <c r="G289" s="8"/>
      <c r="H289" s="8"/>
    </row>
    <row r="290" spans="3:8" x14ac:dyDescent="0.3">
      <c r="C290"/>
      <c r="F290" s="31"/>
      <c r="G290" s="8"/>
      <c r="H290" s="8"/>
    </row>
    <row r="291" spans="3:8" x14ac:dyDescent="0.3">
      <c r="C291"/>
      <c r="F291" s="31"/>
      <c r="G291" s="8"/>
      <c r="H291" s="8"/>
    </row>
    <row r="292" spans="3:8" x14ac:dyDescent="0.3">
      <c r="C292"/>
      <c r="F292" s="31"/>
      <c r="G292" s="8"/>
      <c r="H292" s="8"/>
    </row>
    <row r="293" spans="3:8" x14ac:dyDescent="0.3">
      <c r="C293"/>
      <c r="F293" s="31"/>
      <c r="G293" s="8"/>
      <c r="H293" s="8"/>
    </row>
    <row r="294" spans="3:8" x14ac:dyDescent="0.3">
      <c r="C294"/>
      <c r="F294" s="31"/>
      <c r="G294" s="8"/>
      <c r="H294" s="8"/>
    </row>
    <row r="295" spans="3:8" x14ac:dyDescent="0.3">
      <c r="C295"/>
      <c r="F295" s="31"/>
      <c r="G295" s="8"/>
      <c r="H295" s="8"/>
    </row>
    <row r="296" spans="3:8" x14ac:dyDescent="0.3">
      <c r="C296"/>
      <c r="F296" s="31"/>
      <c r="G296" s="8"/>
      <c r="H296" s="8"/>
    </row>
    <row r="297" spans="3:8" x14ac:dyDescent="0.3">
      <c r="C297"/>
      <c r="F297" s="31"/>
      <c r="G297" s="8"/>
      <c r="H297" s="8"/>
    </row>
    <row r="298" spans="3:8" x14ac:dyDescent="0.3">
      <c r="C298"/>
      <c r="F298" s="31"/>
      <c r="G298" s="8"/>
      <c r="H298" s="8"/>
    </row>
    <row r="299" spans="3:8" x14ac:dyDescent="0.3">
      <c r="C299"/>
      <c r="F299" s="31"/>
      <c r="G299" s="8"/>
      <c r="H299" s="8"/>
    </row>
    <row r="300" spans="3:8" x14ac:dyDescent="0.3">
      <c r="C300"/>
      <c r="F300" s="31"/>
      <c r="G300" s="8"/>
      <c r="H300" s="8"/>
    </row>
    <row r="301" spans="3:8" x14ac:dyDescent="0.3">
      <c r="C301"/>
      <c r="F301" s="31"/>
      <c r="G301" s="8"/>
      <c r="H301" s="8"/>
    </row>
    <row r="302" spans="3:8" x14ac:dyDescent="0.3">
      <c r="C302"/>
      <c r="F302" s="31"/>
      <c r="G302" s="8"/>
      <c r="H302" s="8"/>
    </row>
    <row r="303" spans="3:8" x14ac:dyDescent="0.3">
      <c r="C303"/>
      <c r="F303" s="31"/>
      <c r="G303" s="8"/>
      <c r="H303" s="8"/>
    </row>
    <row r="304" spans="3:8" x14ac:dyDescent="0.3">
      <c r="C304"/>
      <c r="F304" s="31"/>
      <c r="G304" s="8"/>
      <c r="H304" s="8"/>
    </row>
    <row r="305" spans="3:8" x14ac:dyDescent="0.3">
      <c r="C305"/>
      <c r="F305" s="31"/>
      <c r="G305" s="8"/>
      <c r="H305" s="8"/>
    </row>
    <row r="306" spans="3:8" x14ac:dyDescent="0.3">
      <c r="C306"/>
      <c r="F306" s="31"/>
      <c r="G306" s="8"/>
      <c r="H306" s="8"/>
    </row>
    <row r="307" spans="3:8" x14ac:dyDescent="0.3">
      <c r="C307"/>
      <c r="F307" s="31"/>
      <c r="G307" s="8"/>
      <c r="H307" s="8"/>
    </row>
    <row r="308" spans="3:8" x14ac:dyDescent="0.3">
      <c r="C308"/>
      <c r="F308" s="31"/>
      <c r="G308" s="8"/>
      <c r="H308" s="8"/>
    </row>
    <row r="309" spans="3:8" x14ac:dyDescent="0.3">
      <c r="C309"/>
      <c r="F309" s="31"/>
      <c r="G309" s="8"/>
      <c r="H309" s="8"/>
    </row>
    <row r="310" spans="3:8" x14ac:dyDescent="0.3">
      <c r="C310"/>
      <c r="F310" s="31"/>
      <c r="G310" s="8"/>
      <c r="H310" s="8"/>
    </row>
    <row r="311" spans="3:8" x14ac:dyDescent="0.3">
      <c r="C311"/>
      <c r="F311" s="31"/>
      <c r="G311" s="8"/>
      <c r="H311" s="8"/>
    </row>
    <row r="312" spans="3:8" x14ac:dyDescent="0.3">
      <c r="C312"/>
      <c r="F312" s="31"/>
      <c r="G312" s="8"/>
      <c r="H312" s="8"/>
    </row>
    <row r="313" spans="3:8" x14ac:dyDescent="0.3">
      <c r="C313"/>
      <c r="F313" s="31"/>
      <c r="G313" s="8"/>
      <c r="H313" s="8"/>
    </row>
    <row r="314" spans="3:8" x14ac:dyDescent="0.3">
      <c r="C314"/>
      <c r="F314" s="31"/>
      <c r="G314" s="8"/>
      <c r="H314" s="8"/>
    </row>
    <row r="315" spans="3:8" x14ac:dyDescent="0.3">
      <c r="C315"/>
      <c r="F315" s="31"/>
      <c r="G315" s="8"/>
      <c r="H315" s="8"/>
    </row>
    <row r="316" spans="3:8" x14ac:dyDescent="0.3">
      <c r="C316"/>
      <c r="F316" s="31"/>
      <c r="G316" s="8"/>
      <c r="H316" s="8"/>
    </row>
    <row r="317" spans="3:8" x14ac:dyDescent="0.3">
      <c r="C317"/>
      <c r="F317" s="31"/>
      <c r="G317" s="8"/>
      <c r="H317" s="8"/>
    </row>
    <row r="318" spans="3:8" x14ac:dyDescent="0.3">
      <c r="C318"/>
      <c r="F318" s="31"/>
      <c r="G318" s="8"/>
      <c r="H318" s="8"/>
    </row>
    <row r="319" spans="3:8" x14ac:dyDescent="0.3">
      <c r="C319"/>
      <c r="F319" s="31"/>
      <c r="G319" s="8"/>
      <c r="H319" s="8"/>
    </row>
    <row r="320" spans="3:8" x14ac:dyDescent="0.3">
      <c r="C320"/>
      <c r="F320" s="31"/>
      <c r="G320" s="8"/>
      <c r="H320" s="8"/>
    </row>
    <row r="321" spans="3:8" x14ac:dyDescent="0.3">
      <c r="C321"/>
      <c r="F321" s="31"/>
      <c r="G321" s="8"/>
      <c r="H321" s="8"/>
    </row>
    <row r="322" spans="3:8" x14ac:dyDescent="0.3">
      <c r="C322"/>
      <c r="F322" s="31"/>
      <c r="G322" s="8"/>
      <c r="H322" s="8"/>
    </row>
    <row r="323" spans="3:8" x14ac:dyDescent="0.3">
      <c r="C323"/>
      <c r="F323" s="31"/>
      <c r="G323" s="8"/>
      <c r="H323" s="8"/>
    </row>
    <row r="324" spans="3:8" x14ac:dyDescent="0.3">
      <c r="C324"/>
      <c r="F324" s="31"/>
      <c r="G324" s="8"/>
      <c r="H324" s="8"/>
    </row>
    <row r="325" spans="3:8" x14ac:dyDescent="0.3">
      <c r="C325"/>
      <c r="F325" s="31"/>
      <c r="G325" s="8"/>
      <c r="H325" s="8"/>
    </row>
    <row r="326" spans="3:8" x14ac:dyDescent="0.3">
      <c r="C326"/>
      <c r="F326" s="31"/>
      <c r="G326" s="8"/>
      <c r="H326" s="8"/>
    </row>
    <row r="327" spans="3:8" x14ac:dyDescent="0.3">
      <c r="C327"/>
      <c r="F327" s="31"/>
      <c r="G327" s="8"/>
      <c r="H327" s="8"/>
    </row>
  </sheetData>
  <autoFilter ref="A2:N194" xr:uid="{00000000-0009-0000-0000-000001000000}">
    <filterColumn colId="7">
      <filters blank="1">
        <filter val="029D"/>
        <filter val="030D"/>
        <filter val="030M"/>
        <filter val="031D"/>
        <filter val="11"/>
        <filter val="225D"/>
        <filter val="315D"/>
        <filter val="325D"/>
        <filter val="333D"/>
        <filter val="396D"/>
        <filter val="501D"/>
        <filter val="504D"/>
        <filter val="505D"/>
        <filter val="513D"/>
        <filter val="519D"/>
        <filter val="521D"/>
        <filter val="543D"/>
        <filter val="544D"/>
        <filter val="546D"/>
        <filter val="565D"/>
        <filter val="570D"/>
        <filter val="578D"/>
        <filter val="579D"/>
        <filter val="586D"/>
        <filter val="594D"/>
      </filters>
    </filterColumn>
    <filterColumn colId="13">
      <filters>
        <filter val="10050"/>
        <filter val="1049"/>
        <filter val="110"/>
        <filter val="1169"/>
        <filter val="12390"/>
        <filter val="141"/>
        <filter val="155"/>
        <filter val="16"/>
        <filter val="1657"/>
        <filter val="1715"/>
        <filter val="1827"/>
        <filter val="1851"/>
        <filter val="187"/>
        <filter val="1930"/>
        <filter val="199"/>
        <filter val="2513"/>
        <filter val="281"/>
        <filter val="29583"/>
        <filter val="2990"/>
        <filter val="3027"/>
        <filter val="3048"/>
        <filter val="3255"/>
        <filter val="3567"/>
        <filter val="385"/>
        <filter val="389"/>
        <filter val="416"/>
        <filter val="4370"/>
        <filter val="4935"/>
        <filter val="52"/>
        <filter val="52176"/>
        <filter val="547"/>
        <filter val="576"/>
        <filter val="617"/>
        <filter val="658"/>
        <filter val="699"/>
        <filter val="790"/>
        <filter val="799"/>
        <filter val="8022"/>
        <filter val="813"/>
        <filter val="855"/>
        <filter val="8744"/>
        <filter val="938"/>
        <filter val="9742"/>
      </filters>
    </filterColumn>
  </autoFilter>
  <mergeCells count="12">
    <mergeCell ref="A191:A194"/>
    <mergeCell ref="M3:M6"/>
    <mergeCell ref="H48:H49"/>
    <mergeCell ref="K48:K49"/>
    <mergeCell ref="M48:M49"/>
    <mergeCell ref="F48:F49"/>
    <mergeCell ref="N3:N6"/>
    <mergeCell ref="N48:N49"/>
    <mergeCell ref="A1:I1"/>
    <mergeCell ref="K1:M1"/>
    <mergeCell ref="A3:A6"/>
    <mergeCell ref="A7:A190"/>
  </mergeCells>
  <printOptions horizontalCentered="1" verticalCentered="1"/>
  <pageMargins left="0.31496062992125984" right="0.31496062992125984" top="0.59055118110236227" bottom="0.59055118110236227" header="0.31496062992125984" footer="0.31496062992125984"/>
  <pageSetup paperSize="9" scale="90" fitToHeight="0" orientation="portrait" r:id="rId1"/>
  <headerFooter>
    <oddHeader>&amp;R&amp;D</oddHeader>
    <oddFooter>&amp;C\\servidor\Documentos Compartidos\AAA Planimetria\Cartones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7"/>
  <sheetViews>
    <sheetView workbookViewId="0">
      <selection activeCell="E39" sqref="E39:E40"/>
    </sheetView>
  </sheetViews>
  <sheetFormatPr baseColWidth="10" defaultRowHeight="14.4" x14ac:dyDescent="0.3"/>
  <cols>
    <col min="1" max="1" width="15.44140625" customWidth="1"/>
    <col min="2" max="2" width="5.44140625" customWidth="1"/>
    <col min="3" max="3" width="23" customWidth="1"/>
    <col min="4" max="4" width="10" customWidth="1"/>
    <col min="5" max="6" width="10.5546875" customWidth="1"/>
    <col min="7" max="7" width="10.44140625" customWidth="1"/>
    <col min="8" max="8" width="10.33203125" customWidth="1"/>
    <col min="9" max="9" width="10.44140625" customWidth="1"/>
    <col min="10" max="10" width="10.109375" customWidth="1"/>
    <col min="11" max="11" width="10.5546875" customWidth="1"/>
    <col min="12" max="12" width="30.88671875" bestFit="1" customWidth="1"/>
  </cols>
  <sheetData>
    <row r="1" spans="1:13" ht="26.25" customHeight="1" x14ac:dyDescent="0.5">
      <c r="A1" s="1161" t="s">
        <v>1679</v>
      </c>
      <c r="B1" s="1162"/>
      <c r="C1" s="1163"/>
      <c r="D1" s="1123" t="s">
        <v>1680</v>
      </c>
      <c r="E1" s="1124"/>
      <c r="F1" s="1124"/>
      <c r="G1" s="1125"/>
    </row>
    <row r="2" spans="1:13" ht="21" customHeight="1" x14ac:dyDescent="0.4">
      <c r="A2" s="1137" t="s">
        <v>1681</v>
      </c>
      <c r="B2" s="1138"/>
      <c r="C2" s="568" t="s">
        <v>1682</v>
      </c>
      <c r="D2" s="1126"/>
      <c r="E2" s="1127"/>
      <c r="F2" s="1127"/>
      <c r="G2" s="1128"/>
    </row>
    <row r="3" spans="1:13" ht="21.75" customHeight="1" thickBot="1" x14ac:dyDescent="0.45">
      <c r="A3" s="1137" t="s">
        <v>1683</v>
      </c>
      <c r="B3" s="1138"/>
      <c r="C3" s="568" t="s">
        <v>1684</v>
      </c>
      <c r="D3" s="1129"/>
      <c r="E3" s="1130"/>
      <c r="F3" s="1130"/>
      <c r="G3" s="1131"/>
      <c r="I3" s="294"/>
      <c r="J3" s="127"/>
      <c r="K3" s="299"/>
      <c r="L3" s="453"/>
      <c r="M3" s="631"/>
    </row>
    <row r="4" spans="1:13" ht="21" customHeight="1" x14ac:dyDescent="0.4">
      <c r="A4" s="1137" t="s">
        <v>1685</v>
      </c>
      <c r="B4" s="1138"/>
      <c r="C4" s="299" t="s">
        <v>1686</v>
      </c>
      <c r="D4" s="1164" t="s">
        <v>1687</v>
      </c>
      <c r="E4" s="1165"/>
      <c r="F4" s="1157">
        <f ca="1">+TODAY()</f>
        <v>46052</v>
      </c>
      <c r="G4" s="1158"/>
      <c r="I4" s="294"/>
      <c r="J4" s="127"/>
      <c r="K4" s="299"/>
      <c r="L4" s="453"/>
      <c r="M4" s="631"/>
    </row>
    <row r="5" spans="1:13" ht="21.6" thickBot="1" x14ac:dyDescent="0.45">
      <c r="A5" s="1144" t="s">
        <v>1688</v>
      </c>
      <c r="B5" s="1145"/>
      <c r="C5" s="577" t="s">
        <v>1689</v>
      </c>
      <c r="D5" s="1166"/>
      <c r="E5" s="1167"/>
      <c r="F5" s="1159"/>
      <c r="G5" s="1160"/>
      <c r="I5" s="294"/>
      <c r="J5" s="127"/>
      <c r="K5" s="299"/>
      <c r="L5" s="453"/>
      <c r="M5" s="631"/>
    </row>
    <row r="6" spans="1:13" ht="7.2" customHeight="1" thickBot="1" x14ac:dyDescent="0.45">
      <c r="A6" s="567"/>
      <c r="B6" s="567"/>
      <c r="I6" s="294"/>
      <c r="J6" s="127"/>
      <c r="K6" s="299"/>
      <c r="L6" s="453"/>
      <c r="M6" s="631"/>
    </row>
    <row r="7" spans="1:13" s="31" customFormat="1" ht="40.5" customHeight="1" thickBot="1" x14ac:dyDescent="0.4">
      <c r="A7" s="1149" t="s">
        <v>1690</v>
      </c>
      <c r="B7" s="1169"/>
      <c r="C7" s="579" t="s">
        <v>1702</v>
      </c>
      <c r="D7" s="569" t="s">
        <v>1691</v>
      </c>
      <c r="E7" s="570">
        <v>3847</v>
      </c>
      <c r="I7" s="294"/>
      <c r="J7" s="127"/>
      <c r="K7" s="299"/>
      <c r="L7" s="453"/>
      <c r="M7" s="631"/>
    </row>
    <row r="8" spans="1:13" ht="7.2" customHeight="1" thickBot="1" x14ac:dyDescent="0.45">
      <c r="A8" s="567"/>
      <c r="B8" s="567"/>
      <c r="I8" s="294"/>
      <c r="J8" s="127"/>
      <c r="K8" s="299"/>
      <c r="L8" s="453"/>
      <c r="M8" s="631"/>
    </row>
    <row r="9" spans="1:13" ht="21.6" thickBot="1" x14ac:dyDescent="0.45">
      <c r="A9" s="1151" t="s">
        <v>1692</v>
      </c>
      <c r="B9" s="1168"/>
      <c r="C9" s="580" t="s">
        <v>1684</v>
      </c>
    </row>
    <row r="10" spans="1:13" ht="7.5" customHeight="1" thickBot="1" x14ac:dyDescent="0.45">
      <c r="A10" s="567"/>
      <c r="B10" s="567"/>
    </row>
    <row r="11" spans="1:13" ht="26.4" thickBot="1" x14ac:dyDescent="0.35">
      <c r="A11" s="1146" t="s">
        <v>1693</v>
      </c>
      <c r="B11" s="1147"/>
      <c r="C11" s="1147"/>
      <c r="D11" s="1147"/>
      <c r="E11" s="1147"/>
      <c r="F11" s="1147"/>
      <c r="G11" s="1148"/>
      <c r="H11" s="589"/>
      <c r="I11" s="589"/>
    </row>
    <row r="12" spans="1:13" ht="54.6" thickBot="1" x14ac:dyDescent="0.35">
      <c r="A12" s="312" t="s">
        <v>1293</v>
      </c>
      <c r="B12" s="313" t="s">
        <v>1675</v>
      </c>
      <c r="C12" s="581" t="s">
        <v>1391</v>
      </c>
      <c r="D12" s="321" t="s">
        <v>1526</v>
      </c>
      <c r="E12" s="321" t="s">
        <v>1585</v>
      </c>
      <c r="F12" s="313" t="s">
        <v>1676</v>
      </c>
      <c r="G12" s="313" t="s">
        <v>1677</v>
      </c>
      <c r="H12" s="313" t="s">
        <v>1676</v>
      </c>
      <c r="I12" s="313" t="s">
        <v>1677</v>
      </c>
      <c r="J12" s="313" t="s">
        <v>1676</v>
      </c>
      <c r="K12" s="321" t="s">
        <v>1677</v>
      </c>
    </row>
    <row r="13" spans="1:13" ht="21" customHeight="1" x14ac:dyDescent="0.3">
      <c r="A13" s="1121">
        <v>6005600</v>
      </c>
      <c r="B13" s="1136"/>
      <c r="C13" s="1132" t="s">
        <v>1458</v>
      </c>
      <c r="D13" s="257">
        <v>5400</v>
      </c>
      <c r="E13" s="374"/>
      <c r="F13" s="27"/>
      <c r="G13" s="27"/>
      <c r="H13" s="27"/>
      <c r="I13" s="27"/>
      <c r="J13" s="27"/>
      <c r="K13" s="447"/>
    </row>
    <row r="14" spans="1:13" ht="21" customHeight="1" thickBot="1" x14ac:dyDescent="0.35">
      <c r="A14" s="1122"/>
      <c r="B14" s="1134"/>
      <c r="C14" s="1133"/>
      <c r="D14" s="258"/>
      <c r="E14" s="373"/>
      <c r="F14" s="29"/>
      <c r="G14" s="29"/>
      <c r="H14" s="29"/>
      <c r="I14" s="29"/>
      <c r="J14" s="29"/>
      <c r="K14" s="444"/>
    </row>
    <row r="15" spans="1:13" ht="21" customHeight="1" x14ac:dyDescent="0.3">
      <c r="A15" s="1122">
        <v>6010600</v>
      </c>
      <c r="B15" s="1134"/>
      <c r="C15" s="1133" t="s">
        <v>1456</v>
      </c>
      <c r="D15" s="257">
        <v>4800</v>
      </c>
      <c r="E15" s="374"/>
      <c r="F15" s="27"/>
      <c r="G15" s="27"/>
      <c r="H15" s="27"/>
      <c r="I15" s="27"/>
      <c r="J15" s="27"/>
      <c r="K15" s="447"/>
    </row>
    <row r="16" spans="1:13" ht="21" customHeight="1" thickBot="1" x14ac:dyDescent="0.35">
      <c r="A16" s="1122"/>
      <c r="B16" s="1134"/>
      <c r="C16" s="1133"/>
      <c r="D16" s="258"/>
      <c r="E16" s="373"/>
      <c r="F16" s="29"/>
      <c r="G16" s="29"/>
      <c r="H16" s="29"/>
      <c r="I16" s="29"/>
      <c r="J16" s="29"/>
      <c r="K16" s="444"/>
    </row>
    <row r="17" spans="1:11" ht="21" customHeight="1" x14ac:dyDescent="0.3">
      <c r="A17" s="1122">
        <v>6015600</v>
      </c>
      <c r="B17" s="1134"/>
      <c r="C17" s="1133" t="s">
        <v>1487</v>
      </c>
      <c r="D17" s="257">
        <v>400</v>
      </c>
      <c r="E17" s="374"/>
      <c r="F17" s="27"/>
      <c r="G17" s="27"/>
      <c r="H17" s="27"/>
      <c r="I17" s="27"/>
      <c r="J17" s="27"/>
      <c r="K17" s="447"/>
    </row>
    <row r="18" spans="1:11" ht="21" customHeight="1" thickBot="1" x14ac:dyDescent="0.35">
      <c r="A18" s="1140"/>
      <c r="B18" s="1135"/>
      <c r="C18" s="1139"/>
      <c r="D18" s="258"/>
      <c r="E18" s="373"/>
      <c r="F18" s="29"/>
      <c r="G18" s="29"/>
      <c r="H18" s="29"/>
      <c r="I18" s="29"/>
      <c r="J18" s="29"/>
      <c r="K18" s="444"/>
    </row>
    <row r="19" spans="1:11" ht="15" thickBot="1" x14ac:dyDescent="0.35"/>
    <row r="20" spans="1:11" ht="26.25" customHeight="1" x14ac:dyDescent="0.55000000000000004">
      <c r="A20" s="1141" t="s">
        <v>1695</v>
      </c>
      <c r="B20" s="1142"/>
      <c r="C20" s="1143"/>
      <c r="D20" s="1123" t="s">
        <v>1680</v>
      </c>
      <c r="E20" s="1124"/>
      <c r="F20" s="1124"/>
      <c r="G20" s="1125"/>
    </row>
    <row r="21" spans="1:11" ht="21" customHeight="1" x14ac:dyDescent="0.4">
      <c r="A21" s="1137" t="s">
        <v>1681</v>
      </c>
      <c r="B21" s="1138"/>
      <c r="C21" s="568" t="s">
        <v>1696</v>
      </c>
      <c r="D21" s="1126"/>
      <c r="E21" s="1127"/>
      <c r="F21" s="1127"/>
      <c r="G21" s="1128"/>
    </row>
    <row r="22" spans="1:11" ht="21.75" customHeight="1" thickBot="1" x14ac:dyDescent="0.45">
      <c r="A22" s="1137" t="s">
        <v>1683</v>
      </c>
      <c r="B22" s="1138"/>
      <c r="C22" s="568" t="s">
        <v>1697</v>
      </c>
      <c r="D22" s="1129"/>
      <c r="E22" s="1130"/>
      <c r="F22" s="1130"/>
      <c r="G22" s="1131"/>
    </row>
    <row r="23" spans="1:11" ht="21" x14ac:dyDescent="0.4">
      <c r="A23" s="1137" t="s">
        <v>1685</v>
      </c>
      <c r="B23" s="1138"/>
      <c r="C23" s="299" t="s">
        <v>1686</v>
      </c>
      <c r="D23" s="1153" t="s">
        <v>1687</v>
      </c>
      <c r="E23" s="1154"/>
      <c r="F23" s="1157">
        <f ca="1">+TODAY()</f>
        <v>46052</v>
      </c>
      <c r="G23" s="1158"/>
    </row>
    <row r="24" spans="1:11" ht="21.6" thickBot="1" x14ac:dyDescent="0.45">
      <c r="A24" s="1144" t="s">
        <v>1688</v>
      </c>
      <c r="B24" s="1145"/>
      <c r="C24" s="577" t="s">
        <v>1689</v>
      </c>
      <c r="D24" s="1155"/>
      <c r="E24" s="1156"/>
      <c r="F24" s="1159"/>
      <c r="G24" s="1160"/>
    </row>
    <row r="25" spans="1:11" ht="7.5" customHeight="1" thickBot="1" x14ac:dyDescent="0.45">
      <c r="A25" s="587"/>
      <c r="B25" s="587"/>
      <c r="C25" s="568"/>
    </row>
    <row r="26" spans="1:11" s="31" customFormat="1" ht="40.5" customHeight="1" thickBot="1" x14ac:dyDescent="0.35">
      <c r="A26" s="1149" t="s">
        <v>1690</v>
      </c>
      <c r="B26" s="1150"/>
      <c r="C26" s="578" t="s">
        <v>1702</v>
      </c>
      <c r="D26" s="569" t="s">
        <v>1691</v>
      </c>
      <c r="E26" s="570">
        <v>3724</v>
      </c>
    </row>
    <row r="27" spans="1:11" ht="7.5" customHeight="1" thickBot="1" x14ac:dyDescent="0.45">
      <c r="A27" s="587"/>
      <c r="B27" s="587"/>
      <c r="C27" s="568"/>
    </row>
    <row r="28" spans="1:11" ht="21.6" thickBot="1" x14ac:dyDescent="0.45">
      <c r="A28" s="1151" t="s">
        <v>1692</v>
      </c>
      <c r="B28" s="1152"/>
      <c r="C28" s="586" t="s">
        <v>1684</v>
      </c>
      <c r="D28" s="585"/>
      <c r="E28" s="585"/>
    </row>
    <row r="29" spans="1:11" ht="7.5" customHeight="1" thickBot="1" x14ac:dyDescent="0.45">
      <c r="A29" s="567"/>
      <c r="B29" s="567"/>
      <c r="C29" s="568"/>
    </row>
    <row r="30" spans="1:11" ht="26.4" thickBot="1" x14ac:dyDescent="0.35">
      <c r="A30" s="1146" t="s">
        <v>1693</v>
      </c>
      <c r="B30" s="1147"/>
      <c r="C30" s="1147"/>
      <c r="D30" s="1147"/>
      <c r="E30" s="1147"/>
      <c r="F30" s="1147"/>
      <c r="G30" s="1148"/>
      <c r="H30" s="589"/>
      <c r="I30" s="589"/>
    </row>
    <row r="31" spans="1:11" ht="54.6" thickBot="1" x14ac:dyDescent="0.35">
      <c r="A31" s="312" t="s">
        <v>1293</v>
      </c>
      <c r="B31" s="321" t="s">
        <v>1675</v>
      </c>
      <c r="C31" s="582" t="s">
        <v>1391</v>
      </c>
      <c r="D31" s="321" t="s">
        <v>1526</v>
      </c>
      <c r="E31" s="321" t="s">
        <v>1585</v>
      </c>
      <c r="F31" s="313" t="s">
        <v>1676</v>
      </c>
      <c r="G31" s="313" t="s">
        <v>1677</v>
      </c>
      <c r="H31" s="296" t="s">
        <v>1676</v>
      </c>
      <c r="I31" s="291" t="s">
        <v>1677</v>
      </c>
      <c r="J31" s="313" t="s">
        <v>1676</v>
      </c>
      <c r="K31" s="321" t="s">
        <v>1677</v>
      </c>
    </row>
    <row r="32" spans="1:11" ht="21" customHeight="1" x14ac:dyDescent="0.3">
      <c r="A32" s="1121">
        <v>5150600</v>
      </c>
      <c r="B32" s="1136"/>
      <c r="C32" s="1132" t="s">
        <v>1459</v>
      </c>
      <c r="D32" s="257">
        <v>1600</v>
      </c>
      <c r="E32" s="374"/>
      <c r="F32" s="27"/>
      <c r="G32" s="27"/>
      <c r="H32" s="27"/>
      <c r="I32" s="27"/>
      <c r="J32" s="27"/>
      <c r="K32" s="447"/>
    </row>
    <row r="33" spans="1:11" ht="21" customHeight="1" thickBot="1" x14ac:dyDescent="0.35">
      <c r="A33" s="1122"/>
      <c r="B33" s="1134"/>
      <c r="C33" s="1133"/>
      <c r="D33" s="258"/>
      <c r="E33" s="373"/>
      <c r="F33" s="29"/>
      <c r="G33" s="29"/>
      <c r="H33" s="29"/>
      <c r="I33" s="29"/>
      <c r="J33" s="29"/>
      <c r="K33" s="444"/>
    </row>
    <row r="34" spans="1:11" ht="21" customHeight="1" x14ac:dyDescent="0.3">
      <c r="A34" s="1122">
        <v>5154600</v>
      </c>
      <c r="B34" s="1134"/>
      <c r="C34" s="1133" t="s">
        <v>1457</v>
      </c>
      <c r="D34" s="257">
        <v>1200</v>
      </c>
      <c r="E34" s="374"/>
      <c r="F34" s="27"/>
      <c r="G34" s="27"/>
      <c r="H34" s="27"/>
      <c r="I34" s="27"/>
      <c r="J34" s="27"/>
      <c r="K34" s="447"/>
    </row>
    <row r="35" spans="1:11" ht="21" customHeight="1" thickBot="1" x14ac:dyDescent="0.35">
      <c r="A35" s="1122"/>
      <c r="B35" s="1134"/>
      <c r="C35" s="1133"/>
      <c r="D35" s="258"/>
      <c r="E35" s="373"/>
      <c r="F35" s="29"/>
      <c r="G35" s="29"/>
      <c r="H35" s="29"/>
      <c r="I35" s="29"/>
      <c r="J35" s="29"/>
      <c r="K35" s="444"/>
    </row>
    <row r="36" spans="1:11" ht="21" customHeight="1" x14ac:dyDescent="0.3">
      <c r="A36" s="1122">
        <v>5157600</v>
      </c>
      <c r="B36" s="1134"/>
      <c r="C36" s="1133" t="s">
        <v>1488</v>
      </c>
      <c r="D36" s="257">
        <v>200</v>
      </c>
      <c r="E36" s="374"/>
      <c r="F36" s="27"/>
      <c r="G36" s="27"/>
      <c r="H36" s="27"/>
      <c r="I36" s="27"/>
      <c r="J36" s="27"/>
      <c r="K36" s="447"/>
    </row>
    <row r="37" spans="1:11" ht="21" customHeight="1" thickBot="1" x14ac:dyDescent="0.35">
      <c r="A37" s="1140"/>
      <c r="B37" s="1135"/>
      <c r="C37" s="1139"/>
      <c r="D37" s="588"/>
      <c r="E37" s="373"/>
      <c r="F37" s="29"/>
      <c r="G37" s="29"/>
      <c r="H37" s="29"/>
      <c r="I37" s="29"/>
      <c r="J37" s="29"/>
      <c r="K37" s="444"/>
    </row>
  </sheetData>
  <mergeCells count="40">
    <mergeCell ref="D23:E24"/>
    <mergeCell ref="F23:G24"/>
    <mergeCell ref="A1:C1"/>
    <mergeCell ref="D1:G3"/>
    <mergeCell ref="D4:E5"/>
    <mergeCell ref="F4:G5"/>
    <mergeCell ref="A11:G11"/>
    <mergeCell ref="A9:B9"/>
    <mergeCell ref="A2:B2"/>
    <mergeCell ref="A3:B3"/>
    <mergeCell ref="A4:B4"/>
    <mergeCell ref="A5:B5"/>
    <mergeCell ref="A7:B7"/>
    <mergeCell ref="C15:C16"/>
    <mergeCell ref="A17:A18"/>
    <mergeCell ref="C17:C18"/>
    <mergeCell ref="C36:C37"/>
    <mergeCell ref="A36:A37"/>
    <mergeCell ref="A32:A33"/>
    <mergeCell ref="C32:C33"/>
    <mergeCell ref="A20:C20"/>
    <mergeCell ref="A34:A35"/>
    <mergeCell ref="C34:C35"/>
    <mergeCell ref="B34:B35"/>
    <mergeCell ref="B36:B37"/>
    <mergeCell ref="B32:B33"/>
    <mergeCell ref="A22:B22"/>
    <mergeCell ref="A23:B23"/>
    <mergeCell ref="A24:B24"/>
    <mergeCell ref="A30:G30"/>
    <mergeCell ref="A26:B26"/>
    <mergeCell ref="A28:B28"/>
    <mergeCell ref="A13:A14"/>
    <mergeCell ref="D20:G22"/>
    <mergeCell ref="C13:C14"/>
    <mergeCell ref="B15:B16"/>
    <mergeCell ref="B17:B18"/>
    <mergeCell ref="B13:B14"/>
    <mergeCell ref="A21:B21"/>
    <mergeCell ref="A15:A16"/>
  </mergeCells>
  <pageMargins left="0.25" right="0.25" top="0.75" bottom="0.75" header="0.3" footer="0.3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230E-1546-4C8E-9C22-6810140A7F6E}">
  <sheetPr>
    <pageSetUpPr fitToPage="1"/>
  </sheetPr>
  <dimension ref="A1:O73"/>
  <sheetViews>
    <sheetView zoomScale="85" zoomScaleNormal="85" workbookViewId="0">
      <selection activeCell="M17" sqref="A1:M17"/>
    </sheetView>
  </sheetViews>
  <sheetFormatPr baseColWidth="10" defaultColWidth="11.5546875" defaultRowHeight="13.2" x14ac:dyDescent="0.25"/>
  <cols>
    <col min="1" max="1" width="11.44140625" style="1021" customWidth="1"/>
    <col min="2" max="2" width="6.109375" style="1021" customWidth="1"/>
    <col min="3" max="3" width="22" style="1021" customWidth="1"/>
    <col min="4" max="4" width="9.33203125" style="1021" customWidth="1"/>
    <col min="5" max="5" width="8.33203125" style="1021" customWidth="1"/>
    <col min="6" max="6" width="8.6640625" style="1021" customWidth="1"/>
    <col min="7" max="7" width="9.6640625" style="1021" customWidth="1"/>
    <col min="8" max="8" width="7.33203125" style="1021" customWidth="1"/>
    <col min="9" max="9" width="7.5546875" style="1021" customWidth="1"/>
    <col min="10" max="10" width="7.6640625" style="1021" customWidth="1"/>
    <col min="11" max="11" width="7" style="1021" customWidth="1"/>
    <col min="12" max="12" width="7.6640625" style="1021" customWidth="1"/>
    <col min="13" max="13" width="7" style="1021" customWidth="1"/>
    <col min="14" max="256" width="11.5546875" style="1021"/>
    <col min="257" max="257" width="11.44140625" style="1021" customWidth="1"/>
    <col min="258" max="258" width="6.109375" style="1021" customWidth="1"/>
    <col min="259" max="259" width="22" style="1021" customWidth="1"/>
    <col min="260" max="260" width="9.33203125" style="1021" customWidth="1"/>
    <col min="261" max="261" width="8.33203125" style="1021" customWidth="1"/>
    <col min="262" max="262" width="7.6640625" style="1021" customWidth="1"/>
    <col min="263" max="263" width="9.6640625" style="1021" customWidth="1"/>
    <col min="264" max="264" width="7.33203125" style="1021" customWidth="1"/>
    <col min="265" max="265" width="7.5546875" style="1021" customWidth="1"/>
    <col min="266" max="266" width="7.6640625" style="1021" customWidth="1"/>
    <col min="267" max="267" width="7" style="1021" customWidth="1"/>
    <col min="268" max="268" width="7.6640625" style="1021" customWidth="1"/>
    <col min="269" max="269" width="7" style="1021" customWidth="1"/>
    <col min="270" max="512" width="11.5546875" style="1021"/>
    <col min="513" max="513" width="11.44140625" style="1021" customWidth="1"/>
    <col min="514" max="514" width="6.109375" style="1021" customWidth="1"/>
    <col min="515" max="515" width="22" style="1021" customWidth="1"/>
    <col min="516" max="516" width="9.33203125" style="1021" customWidth="1"/>
    <col min="517" max="517" width="8.33203125" style="1021" customWidth="1"/>
    <col min="518" max="518" width="7.6640625" style="1021" customWidth="1"/>
    <col min="519" max="519" width="9.6640625" style="1021" customWidth="1"/>
    <col min="520" max="520" width="7.33203125" style="1021" customWidth="1"/>
    <col min="521" max="521" width="7.5546875" style="1021" customWidth="1"/>
    <col min="522" max="522" width="7.6640625" style="1021" customWidth="1"/>
    <col min="523" max="523" width="7" style="1021" customWidth="1"/>
    <col min="524" max="524" width="7.6640625" style="1021" customWidth="1"/>
    <col min="525" max="525" width="7" style="1021" customWidth="1"/>
    <col min="526" max="768" width="11.5546875" style="1021"/>
    <col min="769" max="769" width="11.44140625" style="1021" customWidth="1"/>
    <col min="770" max="770" width="6.109375" style="1021" customWidth="1"/>
    <col min="771" max="771" width="22" style="1021" customWidth="1"/>
    <col min="772" max="772" width="9.33203125" style="1021" customWidth="1"/>
    <col min="773" max="773" width="8.33203125" style="1021" customWidth="1"/>
    <col min="774" max="774" width="7.6640625" style="1021" customWidth="1"/>
    <col min="775" max="775" width="9.6640625" style="1021" customWidth="1"/>
    <col min="776" max="776" width="7.33203125" style="1021" customWidth="1"/>
    <col min="777" max="777" width="7.5546875" style="1021" customWidth="1"/>
    <col min="778" max="778" width="7.6640625" style="1021" customWidth="1"/>
    <col min="779" max="779" width="7" style="1021" customWidth="1"/>
    <col min="780" max="780" width="7.6640625" style="1021" customWidth="1"/>
    <col min="781" max="781" width="7" style="1021" customWidth="1"/>
    <col min="782" max="1024" width="11.5546875" style="1021"/>
    <col min="1025" max="1025" width="11.44140625" style="1021" customWidth="1"/>
    <col min="1026" max="1026" width="6.109375" style="1021" customWidth="1"/>
    <col min="1027" max="1027" width="22" style="1021" customWidth="1"/>
    <col min="1028" max="1028" width="9.33203125" style="1021" customWidth="1"/>
    <col min="1029" max="1029" width="8.33203125" style="1021" customWidth="1"/>
    <col min="1030" max="1030" width="7.6640625" style="1021" customWidth="1"/>
    <col min="1031" max="1031" width="9.6640625" style="1021" customWidth="1"/>
    <col min="1032" max="1032" width="7.33203125" style="1021" customWidth="1"/>
    <col min="1033" max="1033" width="7.5546875" style="1021" customWidth="1"/>
    <col min="1034" max="1034" width="7.6640625" style="1021" customWidth="1"/>
    <col min="1035" max="1035" width="7" style="1021" customWidth="1"/>
    <col min="1036" max="1036" width="7.6640625" style="1021" customWidth="1"/>
    <col min="1037" max="1037" width="7" style="1021" customWidth="1"/>
    <col min="1038" max="1280" width="11.5546875" style="1021"/>
    <col min="1281" max="1281" width="11.44140625" style="1021" customWidth="1"/>
    <col min="1282" max="1282" width="6.109375" style="1021" customWidth="1"/>
    <col min="1283" max="1283" width="22" style="1021" customWidth="1"/>
    <col min="1284" max="1284" width="9.33203125" style="1021" customWidth="1"/>
    <col min="1285" max="1285" width="8.33203125" style="1021" customWidth="1"/>
    <col min="1286" max="1286" width="7.6640625" style="1021" customWidth="1"/>
    <col min="1287" max="1287" width="9.6640625" style="1021" customWidth="1"/>
    <col min="1288" max="1288" width="7.33203125" style="1021" customWidth="1"/>
    <col min="1289" max="1289" width="7.5546875" style="1021" customWidth="1"/>
    <col min="1290" max="1290" width="7.6640625" style="1021" customWidth="1"/>
    <col min="1291" max="1291" width="7" style="1021" customWidth="1"/>
    <col min="1292" max="1292" width="7.6640625" style="1021" customWidth="1"/>
    <col min="1293" max="1293" width="7" style="1021" customWidth="1"/>
    <col min="1294" max="1536" width="11.5546875" style="1021"/>
    <col min="1537" max="1537" width="11.44140625" style="1021" customWidth="1"/>
    <col min="1538" max="1538" width="6.109375" style="1021" customWidth="1"/>
    <col min="1539" max="1539" width="22" style="1021" customWidth="1"/>
    <col min="1540" max="1540" width="9.33203125" style="1021" customWidth="1"/>
    <col min="1541" max="1541" width="8.33203125" style="1021" customWidth="1"/>
    <col min="1542" max="1542" width="7.6640625" style="1021" customWidth="1"/>
    <col min="1543" max="1543" width="9.6640625" style="1021" customWidth="1"/>
    <col min="1544" max="1544" width="7.33203125" style="1021" customWidth="1"/>
    <col min="1545" max="1545" width="7.5546875" style="1021" customWidth="1"/>
    <col min="1546" max="1546" width="7.6640625" style="1021" customWidth="1"/>
    <col min="1547" max="1547" width="7" style="1021" customWidth="1"/>
    <col min="1548" max="1548" width="7.6640625" style="1021" customWidth="1"/>
    <col min="1549" max="1549" width="7" style="1021" customWidth="1"/>
    <col min="1550" max="1792" width="11.5546875" style="1021"/>
    <col min="1793" max="1793" width="11.44140625" style="1021" customWidth="1"/>
    <col min="1794" max="1794" width="6.109375" style="1021" customWidth="1"/>
    <col min="1795" max="1795" width="22" style="1021" customWidth="1"/>
    <col min="1796" max="1796" width="9.33203125" style="1021" customWidth="1"/>
    <col min="1797" max="1797" width="8.33203125" style="1021" customWidth="1"/>
    <col min="1798" max="1798" width="7.6640625" style="1021" customWidth="1"/>
    <col min="1799" max="1799" width="9.6640625" style="1021" customWidth="1"/>
    <col min="1800" max="1800" width="7.33203125" style="1021" customWidth="1"/>
    <col min="1801" max="1801" width="7.5546875" style="1021" customWidth="1"/>
    <col min="1802" max="1802" width="7.6640625" style="1021" customWidth="1"/>
    <col min="1803" max="1803" width="7" style="1021" customWidth="1"/>
    <col min="1804" max="1804" width="7.6640625" style="1021" customWidth="1"/>
    <col min="1805" max="1805" width="7" style="1021" customWidth="1"/>
    <col min="1806" max="2048" width="11.5546875" style="1021"/>
    <col min="2049" max="2049" width="11.44140625" style="1021" customWidth="1"/>
    <col min="2050" max="2050" width="6.109375" style="1021" customWidth="1"/>
    <col min="2051" max="2051" width="22" style="1021" customWidth="1"/>
    <col min="2052" max="2052" width="9.33203125" style="1021" customWidth="1"/>
    <col min="2053" max="2053" width="8.33203125" style="1021" customWidth="1"/>
    <col min="2054" max="2054" width="7.6640625" style="1021" customWidth="1"/>
    <col min="2055" max="2055" width="9.6640625" style="1021" customWidth="1"/>
    <col min="2056" max="2056" width="7.33203125" style="1021" customWidth="1"/>
    <col min="2057" max="2057" width="7.5546875" style="1021" customWidth="1"/>
    <col min="2058" max="2058" width="7.6640625" style="1021" customWidth="1"/>
    <col min="2059" max="2059" width="7" style="1021" customWidth="1"/>
    <col min="2060" max="2060" width="7.6640625" style="1021" customWidth="1"/>
    <col min="2061" max="2061" width="7" style="1021" customWidth="1"/>
    <col min="2062" max="2304" width="11.5546875" style="1021"/>
    <col min="2305" max="2305" width="11.44140625" style="1021" customWidth="1"/>
    <col min="2306" max="2306" width="6.109375" style="1021" customWidth="1"/>
    <col min="2307" max="2307" width="22" style="1021" customWidth="1"/>
    <col min="2308" max="2308" width="9.33203125" style="1021" customWidth="1"/>
    <col min="2309" max="2309" width="8.33203125" style="1021" customWidth="1"/>
    <col min="2310" max="2310" width="7.6640625" style="1021" customWidth="1"/>
    <col min="2311" max="2311" width="9.6640625" style="1021" customWidth="1"/>
    <col min="2312" max="2312" width="7.33203125" style="1021" customWidth="1"/>
    <col min="2313" max="2313" width="7.5546875" style="1021" customWidth="1"/>
    <col min="2314" max="2314" width="7.6640625" style="1021" customWidth="1"/>
    <col min="2315" max="2315" width="7" style="1021" customWidth="1"/>
    <col min="2316" max="2316" width="7.6640625" style="1021" customWidth="1"/>
    <col min="2317" max="2317" width="7" style="1021" customWidth="1"/>
    <col min="2318" max="2560" width="11.5546875" style="1021"/>
    <col min="2561" max="2561" width="11.44140625" style="1021" customWidth="1"/>
    <col min="2562" max="2562" width="6.109375" style="1021" customWidth="1"/>
    <col min="2563" max="2563" width="22" style="1021" customWidth="1"/>
    <col min="2564" max="2564" width="9.33203125" style="1021" customWidth="1"/>
    <col min="2565" max="2565" width="8.33203125" style="1021" customWidth="1"/>
    <col min="2566" max="2566" width="7.6640625" style="1021" customWidth="1"/>
    <col min="2567" max="2567" width="9.6640625" style="1021" customWidth="1"/>
    <col min="2568" max="2568" width="7.33203125" style="1021" customWidth="1"/>
    <col min="2569" max="2569" width="7.5546875" style="1021" customWidth="1"/>
    <col min="2570" max="2570" width="7.6640625" style="1021" customWidth="1"/>
    <col min="2571" max="2571" width="7" style="1021" customWidth="1"/>
    <col min="2572" max="2572" width="7.6640625" style="1021" customWidth="1"/>
    <col min="2573" max="2573" width="7" style="1021" customWidth="1"/>
    <col min="2574" max="2816" width="11.5546875" style="1021"/>
    <col min="2817" max="2817" width="11.44140625" style="1021" customWidth="1"/>
    <col min="2818" max="2818" width="6.109375" style="1021" customWidth="1"/>
    <col min="2819" max="2819" width="22" style="1021" customWidth="1"/>
    <col min="2820" max="2820" width="9.33203125" style="1021" customWidth="1"/>
    <col min="2821" max="2821" width="8.33203125" style="1021" customWidth="1"/>
    <col min="2822" max="2822" width="7.6640625" style="1021" customWidth="1"/>
    <col min="2823" max="2823" width="9.6640625" style="1021" customWidth="1"/>
    <col min="2824" max="2824" width="7.33203125" style="1021" customWidth="1"/>
    <col min="2825" max="2825" width="7.5546875" style="1021" customWidth="1"/>
    <col min="2826" max="2826" width="7.6640625" style="1021" customWidth="1"/>
    <col min="2827" max="2827" width="7" style="1021" customWidth="1"/>
    <col min="2828" max="2828" width="7.6640625" style="1021" customWidth="1"/>
    <col min="2829" max="2829" width="7" style="1021" customWidth="1"/>
    <col min="2830" max="3072" width="11.5546875" style="1021"/>
    <col min="3073" max="3073" width="11.44140625" style="1021" customWidth="1"/>
    <col min="3074" max="3074" width="6.109375" style="1021" customWidth="1"/>
    <col min="3075" max="3075" width="22" style="1021" customWidth="1"/>
    <col min="3076" max="3076" width="9.33203125" style="1021" customWidth="1"/>
    <col min="3077" max="3077" width="8.33203125" style="1021" customWidth="1"/>
    <col min="3078" max="3078" width="7.6640625" style="1021" customWidth="1"/>
    <col min="3079" max="3079" width="9.6640625" style="1021" customWidth="1"/>
    <col min="3080" max="3080" width="7.33203125" style="1021" customWidth="1"/>
    <col min="3081" max="3081" width="7.5546875" style="1021" customWidth="1"/>
    <col min="3082" max="3082" width="7.6640625" style="1021" customWidth="1"/>
    <col min="3083" max="3083" width="7" style="1021" customWidth="1"/>
    <col min="3084" max="3084" width="7.6640625" style="1021" customWidth="1"/>
    <col min="3085" max="3085" width="7" style="1021" customWidth="1"/>
    <col min="3086" max="3328" width="11.5546875" style="1021"/>
    <col min="3329" max="3329" width="11.44140625" style="1021" customWidth="1"/>
    <col min="3330" max="3330" width="6.109375" style="1021" customWidth="1"/>
    <col min="3331" max="3331" width="22" style="1021" customWidth="1"/>
    <col min="3332" max="3332" width="9.33203125" style="1021" customWidth="1"/>
    <col min="3333" max="3333" width="8.33203125" style="1021" customWidth="1"/>
    <col min="3334" max="3334" width="7.6640625" style="1021" customWidth="1"/>
    <col min="3335" max="3335" width="9.6640625" style="1021" customWidth="1"/>
    <col min="3336" max="3336" width="7.33203125" style="1021" customWidth="1"/>
    <col min="3337" max="3337" width="7.5546875" style="1021" customWidth="1"/>
    <col min="3338" max="3338" width="7.6640625" style="1021" customWidth="1"/>
    <col min="3339" max="3339" width="7" style="1021" customWidth="1"/>
    <col min="3340" max="3340" width="7.6640625" style="1021" customWidth="1"/>
    <col min="3341" max="3341" width="7" style="1021" customWidth="1"/>
    <col min="3342" max="3584" width="11.5546875" style="1021"/>
    <col min="3585" max="3585" width="11.44140625" style="1021" customWidth="1"/>
    <col min="3586" max="3586" width="6.109375" style="1021" customWidth="1"/>
    <col min="3587" max="3587" width="22" style="1021" customWidth="1"/>
    <col min="3588" max="3588" width="9.33203125" style="1021" customWidth="1"/>
    <col min="3589" max="3589" width="8.33203125" style="1021" customWidth="1"/>
    <col min="3590" max="3590" width="7.6640625" style="1021" customWidth="1"/>
    <col min="3591" max="3591" width="9.6640625" style="1021" customWidth="1"/>
    <col min="3592" max="3592" width="7.33203125" style="1021" customWidth="1"/>
    <col min="3593" max="3593" width="7.5546875" style="1021" customWidth="1"/>
    <col min="3594" max="3594" width="7.6640625" style="1021" customWidth="1"/>
    <col min="3595" max="3595" width="7" style="1021" customWidth="1"/>
    <col min="3596" max="3596" width="7.6640625" style="1021" customWidth="1"/>
    <col min="3597" max="3597" width="7" style="1021" customWidth="1"/>
    <col min="3598" max="3840" width="11.5546875" style="1021"/>
    <col min="3841" max="3841" width="11.44140625" style="1021" customWidth="1"/>
    <col min="3842" max="3842" width="6.109375" style="1021" customWidth="1"/>
    <col min="3843" max="3843" width="22" style="1021" customWidth="1"/>
    <col min="3844" max="3844" width="9.33203125" style="1021" customWidth="1"/>
    <col min="3845" max="3845" width="8.33203125" style="1021" customWidth="1"/>
    <col min="3846" max="3846" width="7.6640625" style="1021" customWidth="1"/>
    <col min="3847" max="3847" width="9.6640625" style="1021" customWidth="1"/>
    <col min="3848" max="3848" width="7.33203125" style="1021" customWidth="1"/>
    <col min="3849" max="3849" width="7.5546875" style="1021" customWidth="1"/>
    <col min="3850" max="3850" width="7.6640625" style="1021" customWidth="1"/>
    <col min="3851" max="3851" width="7" style="1021" customWidth="1"/>
    <col min="3852" max="3852" width="7.6640625" style="1021" customWidth="1"/>
    <col min="3853" max="3853" width="7" style="1021" customWidth="1"/>
    <col min="3854" max="4096" width="11.5546875" style="1021"/>
    <col min="4097" max="4097" width="11.44140625" style="1021" customWidth="1"/>
    <col min="4098" max="4098" width="6.109375" style="1021" customWidth="1"/>
    <col min="4099" max="4099" width="22" style="1021" customWidth="1"/>
    <col min="4100" max="4100" width="9.33203125" style="1021" customWidth="1"/>
    <col min="4101" max="4101" width="8.33203125" style="1021" customWidth="1"/>
    <col min="4102" max="4102" width="7.6640625" style="1021" customWidth="1"/>
    <col min="4103" max="4103" width="9.6640625" style="1021" customWidth="1"/>
    <col min="4104" max="4104" width="7.33203125" style="1021" customWidth="1"/>
    <col min="4105" max="4105" width="7.5546875" style="1021" customWidth="1"/>
    <col min="4106" max="4106" width="7.6640625" style="1021" customWidth="1"/>
    <col min="4107" max="4107" width="7" style="1021" customWidth="1"/>
    <col min="4108" max="4108" width="7.6640625" style="1021" customWidth="1"/>
    <col min="4109" max="4109" width="7" style="1021" customWidth="1"/>
    <col min="4110" max="4352" width="11.5546875" style="1021"/>
    <col min="4353" max="4353" width="11.44140625" style="1021" customWidth="1"/>
    <col min="4354" max="4354" width="6.109375" style="1021" customWidth="1"/>
    <col min="4355" max="4355" width="22" style="1021" customWidth="1"/>
    <col min="4356" max="4356" width="9.33203125" style="1021" customWidth="1"/>
    <col min="4357" max="4357" width="8.33203125" style="1021" customWidth="1"/>
    <col min="4358" max="4358" width="7.6640625" style="1021" customWidth="1"/>
    <col min="4359" max="4359" width="9.6640625" style="1021" customWidth="1"/>
    <col min="4360" max="4360" width="7.33203125" style="1021" customWidth="1"/>
    <col min="4361" max="4361" width="7.5546875" style="1021" customWidth="1"/>
    <col min="4362" max="4362" width="7.6640625" style="1021" customWidth="1"/>
    <col min="4363" max="4363" width="7" style="1021" customWidth="1"/>
    <col min="4364" max="4364" width="7.6640625" style="1021" customWidth="1"/>
    <col min="4365" max="4365" width="7" style="1021" customWidth="1"/>
    <col min="4366" max="4608" width="11.5546875" style="1021"/>
    <col min="4609" max="4609" width="11.44140625" style="1021" customWidth="1"/>
    <col min="4610" max="4610" width="6.109375" style="1021" customWidth="1"/>
    <col min="4611" max="4611" width="22" style="1021" customWidth="1"/>
    <col min="4612" max="4612" width="9.33203125" style="1021" customWidth="1"/>
    <col min="4613" max="4613" width="8.33203125" style="1021" customWidth="1"/>
    <col min="4614" max="4614" width="7.6640625" style="1021" customWidth="1"/>
    <col min="4615" max="4615" width="9.6640625" style="1021" customWidth="1"/>
    <col min="4616" max="4616" width="7.33203125" style="1021" customWidth="1"/>
    <col min="4617" max="4617" width="7.5546875" style="1021" customWidth="1"/>
    <col min="4618" max="4618" width="7.6640625" style="1021" customWidth="1"/>
    <col min="4619" max="4619" width="7" style="1021" customWidth="1"/>
    <col min="4620" max="4620" width="7.6640625" style="1021" customWidth="1"/>
    <col min="4621" max="4621" width="7" style="1021" customWidth="1"/>
    <col min="4622" max="4864" width="11.5546875" style="1021"/>
    <col min="4865" max="4865" width="11.44140625" style="1021" customWidth="1"/>
    <col min="4866" max="4866" width="6.109375" style="1021" customWidth="1"/>
    <col min="4867" max="4867" width="22" style="1021" customWidth="1"/>
    <col min="4868" max="4868" width="9.33203125" style="1021" customWidth="1"/>
    <col min="4869" max="4869" width="8.33203125" style="1021" customWidth="1"/>
    <col min="4870" max="4870" width="7.6640625" style="1021" customWidth="1"/>
    <col min="4871" max="4871" width="9.6640625" style="1021" customWidth="1"/>
    <col min="4872" max="4872" width="7.33203125" style="1021" customWidth="1"/>
    <col min="4873" max="4873" width="7.5546875" style="1021" customWidth="1"/>
    <col min="4874" max="4874" width="7.6640625" style="1021" customWidth="1"/>
    <col min="4875" max="4875" width="7" style="1021" customWidth="1"/>
    <col min="4876" max="4876" width="7.6640625" style="1021" customWidth="1"/>
    <col min="4877" max="4877" width="7" style="1021" customWidth="1"/>
    <col min="4878" max="5120" width="11.5546875" style="1021"/>
    <col min="5121" max="5121" width="11.44140625" style="1021" customWidth="1"/>
    <col min="5122" max="5122" width="6.109375" style="1021" customWidth="1"/>
    <col min="5123" max="5123" width="22" style="1021" customWidth="1"/>
    <col min="5124" max="5124" width="9.33203125" style="1021" customWidth="1"/>
    <col min="5125" max="5125" width="8.33203125" style="1021" customWidth="1"/>
    <col min="5126" max="5126" width="7.6640625" style="1021" customWidth="1"/>
    <col min="5127" max="5127" width="9.6640625" style="1021" customWidth="1"/>
    <col min="5128" max="5128" width="7.33203125" style="1021" customWidth="1"/>
    <col min="5129" max="5129" width="7.5546875" style="1021" customWidth="1"/>
    <col min="5130" max="5130" width="7.6640625" style="1021" customWidth="1"/>
    <col min="5131" max="5131" width="7" style="1021" customWidth="1"/>
    <col min="5132" max="5132" width="7.6640625" style="1021" customWidth="1"/>
    <col min="5133" max="5133" width="7" style="1021" customWidth="1"/>
    <col min="5134" max="5376" width="11.5546875" style="1021"/>
    <col min="5377" max="5377" width="11.44140625" style="1021" customWidth="1"/>
    <col min="5378" max="5378" width="6.109375" style="1021" customWidth="1"/>
    <col min="5379" max="5379" width="22" style="1021" customWidth="1"/>
    <col min="5380" max="5380" width="9.33203125" style="1021" customWidth="1"/>
    <col min="5381" max="5381" width="8.33203125" style="1021" customWidth="1"/>
    <col min="5382" max="5382" width="7.6640625" style="1021" customWidth="1"/>
    <col min="5383" max="5383" width="9.6640625" style="1021" customWidth="1"/>
    <col min="5384" max="5384" width="7.33203125" style="1021" customWidth="1"/>
    <col min="5385" max="5385" width="7.5546875" style="1021" customWidth="1"/>
    <col min="5386" max="5386" width="7.6640625" style="1021" customWidth="1"/>
    <col min="5387" max="5387" width="7" style="1021" customWidth="1"/>
    <col min="5388" max="5388" width="7.6640625" style="1021" customWidth="1"/>
    <col min="5389" max="5389" width="7" style="1021" customWidth="1"/>
    <col min="5390" max="5632" width="11.5546875" style="1021"/>
    <col min="5633" max="5633" width="11.44140625" style="1021" customWidth="1"/>
    <col min="5634" max="5634" width="6.109375" style="1021" customWidth="1"/>
    <col min="5635" max="5635" width="22" style="1021" customWidth="1"/>
    <col min="5636" max="5636" width="9.33203125" style="1021" customWidth="1"/>
    <col min="5637" max="5637" width="8.33203125" style="1021" customWidth="1"/>
    <col min="5638" max="5638" width="7.6640625" style="1021" customWidth="1"/>
    <col min="5639" max="5639" width="9.6640625" style="1021" customWidth="1"/>
    <col min="5640" max="5640" width="7.33203125" style="1021" customWidth="1"/>
    <col min="5641" max="5641" width="7.5546875" style="1021" customWidth="1"/>
    <col min="5642" max="5642" width="7.6640625" style="1021" customWidth="1"/>
    <col min="5643" max="5643" width="7" style="1021" customWidth="1"/>
    <col min="5644" max="5644" width="7.6640625" style="1021" customWidth="1"/>
    <col min="5645" max="5645" width="7" style="1021" customWidth="1"/>
    <col min="5646" max="5888" width="11.5546875" style="1021"/>
    <col min="5889" max="5889" width="11.44140625" style="1021" customWidth="1"/>
    <col min="5890" max="5890" width="6.109375" style="1021" customWidth="1"/>
    <col min="5891" max="5891" width="22" style="1021" customWidth="1"/>
    <col min="5892" max="5892" width="9.33203125" style="1021" customWidth="1"/>
    <col min="5893" max="5893" width="8.33203125" style="1021" customWidth="1"/>
    <col min="5894" max="5894" width="7.6640625" style="1021" customWidth="1"/>
    <col min="5895" max="5895" width="9.6640625" style="1021" customWidth="1"/>
    <col min="5896" max="5896" width="7.33203125" style="1021" customWidth="1"/>
    <col min="5897" max="5897" width="7.5546875" style="1021" customWidth="1"/>
    <col min="5898" max="5898" width="7.6640625" style="1021" customWidth="1"/>
    <col min="5899" max="5899" width="7" style="1021" customWidth="1"/>
    <col min="5900" max="5900" width="7.6640625" style="1021" customWidth="1"/>
    <col min="5901" max="5901" width="7" style="1021" customWidth="1"/>
    <col min="5902" max="6144" width="11.5546875" style="1021"/>
    <col min="6145" max="6145" width="11.44140625" style="1021" customWidth="1"/>
    <col min="6146" max="6146" width="6.109375" style="1021" customWidth="1"/>
    <col min="6147" max="6147" width="22" style="1021" customWidth="1"/>
    <col min="6148" max="6148" width="9.33203125" style="1021" customWidth="1"/>
    <col min="6149" max="6149" width="8.33203125" style="1021" customWidth="1"/>
    <col min="6150" max="6150" width="7.6640625" style="1021" customWidth="1"/>
    <col min="6151" max="6151" width="9.6640625" style="1021" customWidth="1"/>
    <col min="6152" max="6152" width="7.33203125" style="1021" customWidth="1"/>
    <col min="6153" max="6153" width="7.5546875" style="1021" customWidth="1"/>
    <col min="6154" max="6154" width="7.6640625" style="1021" customWidth="1"/>
    <col min="6155" max="6155" width="7" style="1021" customWidth="1"/>
    <col min="6156" max="6156" width="7.6640625" style="1021" customWidth="1"/>
    <col min="6157" max="6157" width="7" style="1021" customWidth="1"/>
    <col min="6158" max="6400" width="11.5546875" style="1021"/>
    <col min="6401" max="6401" width="11.44140625" style="1021" customWidth="1"/>
    <col min="6402" max="6402" width="6.109375" style="1021" customWidth="1"/>
    <col min="6403" max="6403" width="22" style="1021" customWidth="1"/>
    <col min="6404" max="6404" width="9.33203125" style="1021" customWidth="1"/>
    <col min="6405" max="6405" width="8.33203125" style="1021" customWidth="1"/>
    <col min="6406" max="6406" width="7.6640625" style="1021" customWidth="1"/>
    <col min="6407" max="6407" width="9.6640625" style="1021" customWidth="1"/>
    <col min="6408" max="6408" width="7.33203125" style="1021" customWidth="1"/>
    <col min="6409" max="6409" width="7.5546875" style="1021" customWidth="1"/>
    <col min="6410" max="6410" width="7.6640625" style="1021" customWidth="1"/>
    <col min="6411" max="6411" width="7" style="1021" customWidth="1"/>
    <col min="6412" max="6412" width="7.6640625" style="1021" customWidth="1"/>
    <col min="6413" max="6413" width="7" style="1021" customWidth="1"/>
    <col min="6414" max="6656" width="11.5546875" style="1021"/>
    <col min="6657" max="6657" width="11.44140625" style="1021" customWidth="1"/>
    <col min="6658" max="6658" width="6.109375" style="1021" customWidth="1"/>
    <col min="6659" max="6659" width="22" style="1021" customWidth="1"/>
    <col min="6660" max="6660" width="9.33203125" style="1021" customWidth="1"/>
    <col min="6661" max="6661" width="8.33203125" style="1021" customWidth="1"/>
    <col min="6662" max="6662" width="7.6640625" style="1021" customWidth="1"/>
    <col min="6663" max="6663" width="9.6640625" style="1021" customWidth="1"/>
    <col min="6664" max="6664" width="7.33203125" style="1021" customWidth="1"/>
    <col min="6665" max="6665" width="7.5546875" style="1021" customWidth="1"/>
    <col min="6666" max="6666" width="7.6640625" style="1021" customWidth="1"/>
    <col min="6667" max="6667" width="7" style="1021" customWidth="1"/>
    <col min="6668" max="6668" width="7.6640625" style="1021" customWidth="1"/>
    <col min="6669" max="6669" width="7" style="1021" customWidth="1"/>
    <col min="6670" max="6912" width="11.5546875" style="1021"/>
    <col min="6913" max="6913" width="11.44140625" style="1021" customWidth="1"/>
    <col min="6914" max="6914" width="6.109375" style="1021" customWidth="1"/>
    <col min="6915" max="6915" width="22" style="1021" customWidth="1"/>
    <col min="6916" max="6916" width="9.33203125" style="1021" customWidth="1"/>
    <col min="6917" max="6917" width="8.33203125" style="1021" customWidth="1"/>
    <col min="6918" max="6918" width="7.6640625" style="1021" customWidth="1"/>
    <col min="6919" max="6919" width="9.6640625" style="1021" customWidth="1"/>
    <col min="6920" max="6920" width="7.33203125" style="1021" customWidth="1"/>
    <col min="6921" max="6921" width="7.5546875" style="1021" customWidth="1"/>
    <col min="6922" max="6922" width="7.6640625" style="1021" customWidth="1"/>
    <col min="6923" max="6923" width="7" style="1021" customWidth="1"/>
    <col min="6924" max="6924" width="7.6640625" style="1021" customWidth="1"/>
    <col min="6925" max="6925" width="7" style="1021" customWidth="1"/>
    <col min="6926" max="7168" width="11.5546875" style="1021"/>
    <col min="7169" max="7169" width="11.44140625" style="1021" customWidth="1"/>
    <col min="7170" max="7170" width="6.109375" style="1021" customWidth="1"/>
    <col min="7171" max="7171" width="22" style="1021" customWidth="1"/>
    <col min="7172" max="7172" width="9.33203125" style="1021" customWidth="1"/>
    <col min="7173" max="7173" width="8.33203125" style="1021" customWidth="1"/>
    <col min="7174" max="7174" width="7.6640625" style="1021" customWidth="1"/>
    <col min="7175" max="7175" width="9.6640625" style="1021" customWidth="1"/>
    <col min="7176" max="7176" width="7.33203125" style="1021" customWidth="1"/>
    <col min="7177" max="7177" width="7.5546875" style="1021" customWidth="1"/>
    <col min="7178" max="7178" width="7.6640625" style="1021" customWidth="1"/>
    <col min="7179" max="7179" width="7" style="1021" customWidth="1"/>
    <col min="7180" max="7180" width="7.6640625" style="1021" customWidth="1"/>
    <col min="7181" max="7181" width="7" style="1021" customWidth="1"/>
    <col min="7182" max="7424" width="11.5546875" style="1021"/>
    <col min="7425" max="7425" width="11.44140625" style="1021" customWidth="1"/>
    <col min="7426" max="7426" width="6.109375" style="1021" customWidth="1"/>
    <col min="7427" max="7427" width="22" style="1021" customWidth="1"/>
    <col min="7428" max="7428" width="9.33203125" style="1021" customWidth="1"/>
    <col min="7429" max="7429" width="8.33203125" style="1021" customWidth="1"/>
    <col min="7430" max="7430" width="7.6640625" style="1021" customWidth="1"/>
    <col min="7431" max="7431" width="9.6640625" style="1021" customWidth="1"/>
    <col min="7432" max="7432" width="7.33203125" style="1021" customWidth="1"/>
    <col min="7433" max="7433" width="7.5546875" style="1021" customWidth="1"/>
    <col min="7434" max="7434" width="7.6640625" style="1021" customWidth="1"/>
    <col min="7435" max="7435" width="7" style="1021" customWidth="1"/>
    <col min="7436" max="7436" width="7.6640625" style="1021" customWidth="1"/>
    <col min="7437" max="7437" width="7" style="1021" customWidth="1"/>
    <col min="7438" max="7680" width="11.5546875" style="1021"/>
    <col min="7681" max="7681" width="11.44140625" style="1021" customWidth="1"/>
    <col min="7682" max="7682" width="6.109375" style="1021" customWidth="1"/>
    <col min="7683" max="7683" width="22" style="1021" customWidth="1"/>
    <col min="7684" max="7684" width="9.33203125" style="1021" customWidth="1"/>
    <col min="7685" max="7685" width="8.33203125" style="1021" customWidth="1"/>
    <col min="7686" max="7686" width="7.6640625" style="1021" customWidth="1"/>
    <col min="7687" max="7687" width="9.6640625" style="1021" customWidth="1"/>
    <col min="7688" max="7688" width="7.33203125" style="1021" customWidth="1"/>
    <col min="7689" max="7689" width="7.5546875" style="1021" customWidth="1"/>
    <col min="7690" max="7690" width="7.6640625" style="1021" customWidth="1"/>
    <col min="7691" max="7691" width="7" style="1021" customWidth="1"/>
    <col min="7692" max="7692" width="7.6640625" style="1021" customWidth="1"/>
    <col min="7693" max="7693" width="7" style="1021" customWidth="1"/>
    <col min="7694" max="7936" width="11.5546875" style="1021"/>
    <col min="7937" max="7937" width="11.44140625" style="1021" customWidth="1"/>
    <col min="7938" max="7938" width="6.109375" style="1021" customWidth="1"/>
    <col min="7939" max="7939" width="22" style="1021" customWidth="1"/>
    <col min="7940" max="7940" width="9.33203125" style="1021" customWidth="1"/>
    <col min="7941" max="7941" width="8.33203125" style="1021" customWidth="1"/>
    <col min="7942" max="7942" width="7.6640625" style="1021" customWidth="1"/>
    <col min="7943" max="7943" width="9.6640625" style="1021" customWidth="1"/>
    <col min="7944" max="7944" width="7.33203125" style="1021" customWidth="1"/>
    <col min="7945" max="7945" width="7.5546875" style="1021" customWidth="1"/>
    <col min="7946" max="7946" width="7.6640625" style="1021" customWidth="1"/>
    <col min="7947" max="7947" width="7" style="1021" customWidth="1"/>
    <col min="7948" max="7948" width="7.6640625" style="1021" customWidth="1"/>
    <col min="7949" max="7949" width="7" style="1021" customWidth="1"/>
    <col min="7950" max="8192" width="11.5546875" style="1021"/>
    <col min="8193" max="8193" width="11.44140625" style="1021" customWidth="1"/>
    <col min="8194" max="8194" width="6.109375" style="1021" customWidth="1"/>
    <col min="8195" max="8195" width="22" style="1021" customWidth="1"/>
    <col min="8196" max="8196" width="9.33203125" style="1021" customWidth="1"/>
    <col min="8197" max="8197" width="8.33203125" style="1021" customWidth="1"/>
    <col min="8198" max="8198" width="7.6640625" style="1021" customWidth="1"/>
    <col min="8199" max="8199" width="9.6640625" style="1021" customWidth="1"/>
    <col min="8200" max="8200" width="7.33203125" style="1021" customWidth="1"/>
    <col min="8201" max="8201" width="7.5546875" style="1021" customWidth="1"/>
    <col min="8202" max="8202" width="7.6640625" style="1021" customWidth="1"/>
    <col min="8203" max="8203" width="7" style="1021" customWidth="1"/>
    <col min="8204" max="8204" width="7.6640625" style="1021" customWidth="1"/>
    <col min="8205" max="8205" width="7" style="1021" customWidth="1"/>
    <col min="8206" max="8448" width="11.5546875" style="1021"/>
    <col min="8449" max="8449" width="11.44140625" style="1021" customWidth="1"/>
    <col min="8450" max="8450" width="6.109375" style="1021" customWidth="1"/>
    <col min="8451" max="8451" width="22" style="1021" customWidth="1"/>
    <col min="8452" max="8452" width="9.33203125" style="1021" customWidth="1"/>
    <col min="8453" max="8453" width="8.33203125" style="1021" customWidth="1"/>
    <col min="8454" max="8454" width="7.6640625" style="1021" customWidth="1"/>
    <col min="8455" max="8455" width="9.6640625" style="1021" customWidth="1"/>
    <col min="8456" max="8456" width="7.33203125" style="1021" customWidth="1"/>
    <col min="8457" max="8457" width="7.5546875" style="1021" customWidth="1"/>
    <col min="8458" max="8458" width="7.6640625" style="1021" customWidth="1"/>
    <col min="8459" max="8459" width="7" style="1021" customWidth="1"/>
    <col min="8460" max="8460" width="7.6640625" style="1021" customWidth="1"/>
    <col min="8461" max="8461" width="7" style="1021" customWidth="1"/>
    <col min="8462" max="8704" width="11.5546875" style="1021"/>
    <col min="8705" max="8705" width="11.44140625" style="1021" customWidth="1"/>
    <col min="8706" max="8706" width="6.109375" style="1021" customWidth="1"/>
    <col min="8707" max="8707" width="22" style="1021" customWidth="1"/>
    <col min="8708" max="8708" width="9.33203125" style="1021" customWidth="1"/>
    <col min="8709" max="8709" width="8.33203125" style="1021" customWidth="1"/>
    <col min="8710" max="8710" width="7.6640625" style="1021" customWidth="1"/>
    <col min="8711" max="8711" width="9.6640625" style="1021" customWidth="1"/>
    <col min="8712" max="8712" width="7.33203125" style="1021" customWidth="1"/>
    <col min="8713" max="8713" width="7.5546875" style="1021" customWidth="1"/>
    <col min="8714" max="8714" width="7.6640625" style="1021" customWidth="1"/>
    <col min="8715" max="8715" width="7" style="1021" customWidth="1"/>
    <col min="8716" max="8716" width="7.6640625" style="1021" customWidth="1"/>
    <col min="8717" max="8717" width="7" style="1021" customWidth="1"/>
    <col min="8718" max="8960" width="11.5546875" style="1021"/>
    <col min="8961" max="8961" width="11.44140625" style="1021" customWidth="1"/>
    <col min="8962" max="8962" width="6.109375" style="1021" customWidth="1"/>
    <col min="8963" max="8963" width="22" style="1021" customWidth="1"/>
    <col min="8964" max="8964" width="9.33203125" style="1021" customWidth="1"/>
    <col min="8965" max="8965" width="8.33203125" style="1021" customWidth="1"/>
    <col min="8966" max="8966" width="7.6640625" style="1021" customWidth="1"/>
    <col min="8967" max="8967" width="9.6640625" style="1021" customWidth="1"/>
    <col min="8968" max="8968" width="7.33203125" style="1021" customWidth="1"/>
    <col min="8969" max="8969" width="7.5546875" style="1021" customWidth="1"/>
    <col min="8970" max="8970" width="7.6640625" style="1021" customWidth="1"/>
    <col min="8971" max="8971" width="7" style="1021" customWidth="1"/>
    <col min="8972" max="8972" width="7.6640625" style="1021" customWidth="1"/>
    <col min="8973" max="8973" width="7" style="1021" customWidth="1"/>
    <col min="8974" max="9216" width="11.5546875" style="1021"/>
    <col min="9217" max="9217" width="11.44140625" style="1021" customWidth="1"/>
    <col min="9218" max="9218" width="6.109375" style="1021" customWidth="1"/>
    <col min="9219" max="9219" width="22" style="1021" customWidth="1"/>
    <col min="9220" max="9220" width="9.33203125" style="1021" customWidth="1"/>
    <col min="9221" max="9221" width="8.33203125" style="1021" customWidth="1"/>
    <col min="9222" max="9222" width="7.6640625" style="1021" customWidth="1"/>
    <col min="9223" max="9223" width="9.6640625" style="1021" customWidth="1"/>
    <col min="9224" max="9224" width="7.33203125" style="1021" customWidth="1"/>
    <col min="9225" max="9225" width="7.5546875" style="1021" customWidth="1"/>
    <col min="9226" max="9226" width="7.6640625" style="1021" customWidth="1"/>
    <col min="9227" max="9227" width="7" style="1021" customWidth="1"/>
    <col min="9228" max="9228" width="7.6640625" style="1021" customWidth="1"/>
    <col min="9229" max="9229" width="7" style="1021" customWidth="1"/>
    <col min="9230" max="9472" width="11.5546875" style="1021"/>
    <col min="9473" max="9473" width="11.44140625" style="1021" customWidth="1"/>
    <col min="9474" max="9474" width="6.109375" style="1021" customWidth="1"/>
    <col min="9475" max="9475" width="22" style="1021" customWidth="1"/>
    <col min="9476" max="9476" width="9.33203125" style="1021" customWidth="1"/>
    <col min="9477" max="9477" width="8.33203125" style="1021" customWidth="1"/>
    <col min="9478" max="9478" width="7.6640625" style="1021" customWidth="1"/>
    <col min="9479" max="9479" width="9.6640625" style="1021" customWidth="1"/>
    <col min="9480" max="9480" width="7.33203125" style="1021" customWidth="1"/>
    <col min="9481" max="9481" width="7.5546875" style="1021" customWidth="1"/>
    <col min="9482" max="9482" width="7.6640625" style="1021" customWidth="1"/>
    <col min="9483" max="9483" width="7" style="1021" customWidth="1"/>
    <col min="9484" max="9484" width="7.6640625" style="1021" customWidth="1"/>
    <col min="9485" max="9485" width="7" style="1021" customWidth="1"/>
    <col min="9486" max="9728" width="11.5546875" style="1021"/>
    <col min="9729" max="9729" width="11.44140625" style="1021" customWidth="1"/>
    <col min="9730" max="9730" width="6.109375" style="1021" customWidth="1"/>
    <col min="9731" max="9731" width="22" style="1021" customWidth="1"/>
    <col min="9732" max="9732" width="9.33203125" style="1021" customWidth="1"/>
    <col min="9733" max="9733" width="8.33203125" style="1021" customWidth="1"/>
    <col min="9734" max="9734" width="7.6640625" style="1021" customWidth="1"/>
    <col min="9735" max="9735" width="9.6640625" style="1021" customWidth="1"/>
    <col min="9736" max="9736" width="7.33203125" style="1021" customWidth="1"/>
    <col min="9737" max="9737" width="7.5546875" style="1021" customWidth="1"/>
    <col min="9738" max="9738" width="7.6640625" style="1021" customWidth="1"/>
    <col min="9739" max="9739" width="7" style="1021" customWidth="1"/>
    <col min="9740" max="9740" width="7.6640625" style="1021" customWidth="1"/>
    <col min="9741" max="9741" width="7" style="1021" customWidth="1"/>
    <col min="9742" max="9984" width="11.5546875" style="1021"/>
    <col min="9985" max="9985" width="11.44140625" style="1021" customWidth="1"/>
    <col min="9986" max="9986" width="6.109375" style="1021" customWidth="1"/>
    <col min="9987" max="9987" width="22" style="1021" customWidth="1"/>
    <col min="9988" max="9988" width="9.33203125" style="1021" customWidth="1"/>
    <col min="9989" max="9989" width="8.33203125" style="1021" customWidth="1"/>
    <col min="9990" max="9990" width="7.6640625" style="1021" customWidth="1"/>
    <col min="9991" max="9991" width="9.6640625" style="1021" customWidth="1"/>
    <col min="9992" max="9992" width="7.33203125" style="1021" customWidth="1"/>
    <col min="9993" max="9993" width="7.5546875" style="1021" customWidth="1"/>
    <col min="9994" max="9994" width="7.6640625" style="1021" customWidth="1"/>
    <col min="9995" max="9995" width="7" style="1021" customWidth="1"/>
    <col min="9996" max="9996" width="7.6640625" style="1021" customWidth="1"/>
    <col min="9997" max="9997" width="7" style="1021" customWidth="1"/>
    <col min="9998" max="10240" width="11.5546875" style="1021"/>
    <col min="10241" max="10241" width="11.44140625" style="1021" customWidth="1"/>
    <col min="10242" max="10242" width="6.109375" style="1021" customWidth="1"/>
    <col min="10243" max="10243" width="22" style="1021" customWidth="1"/>
    <col min="10244" max="10244" width="9.33203125" style="1021" customWidth="1"/>
    <col min="10245" max="10245" width="8.33203125" style="1021" customWidth="1"/>
    <col min="10246" max="10246" width="7.6640625" style="1021" customWidth="1"/>
    <col min="10247" max="10247" width="9.6640625" style="1021" customWidth="1"/>
    <col min="10248" max="10248" width="7.33203125" style="1021" customWidth="1"/>
    <col min="10249" max="10249" width="7.5546875" style="1021" customWidth="1"/>
    <col min="10250" max="10250" width="7.6640625" style="1021" customWidth="1"/>
    <col min="10251" max="10251" width="7" style="1021" customWidth="1"/>
    <col min="10252" max="10252" width="7.6640625" style="1021" customWidth="1"/>
    <col min="10253" max="10253" width="7" style="1021" customWidth="1"/>
    <col min="10254" max="10496" width="11.5546875" style="1021"/>
    <col min="10497" max="10497" width="11.44140625" style="1021" customWidth="1"/>
    <col min="10498" max="10498" width="6.109375" style="1021" customWidth="1"/>
    <col min="10499" max="10499" width="22" style="1021" customWidth="1"/>
    <col min="10500" max="10500" width="9.33203125" style="1021" customWidth="1"/>
    <col min="10501" max="10501" width="8.33203125" style="1021" customWidth="1"/>
    <col min="10502" max="10502" width="7.6640625" style="1021" customWidth="1"/>
    <col min="10503" max="10503" width="9.6640625" style="1021" customWidth="1"/>
    <col min="10504" max="10504" width="7.33203125" style="1021" customWidth="1"/>
    <col min="10505" max="10505" width="7.5546875" style="1021" customWidth="1"/>
    <col min="10506" max="10506" width="7.6640625" style="1021" customWidth="1"/>
    <col min="10507" max="10507" width="7" style="1021" customWidth="1"/>
    <col min="10508" max="10508" width="7.6640625" style="1021" customWidth="1"/>
    <col min="10509" max="10509" width="7" style="1021" customWidth="1"/>
    <col min="10510" max="10752" width="11.5546875" style="1021"/>
    <col min="10753" max="10753" width="11.44140625" style="1021" customWidth="1"/>
    <col min="10754" max="10754" width="6.109375" style="1021" customWidth="1"/>
    <col min="10755" max="10755" width="22" style="1021" customWidth="1"/>
    <col min="10756" max="10756" width="9.33203125" style="1021" customWidth="1"/>
    <col min="10757" max="10757" width="8.33203125" style="1021" customWidth="1"/>
    <col min="10758" max="10758" width="7.6640625" style="1021" customWidth="1"/>
    <col min="10759" max="10759" width="9.6640625" style="1021" customWidth="1"/>
    <col min="10760" max="10760" width="7.33203125" style="1021" customWidth="1"/>
    <col min="10761" max="10761" width="7.5546875" style="1021" customWidth="1"/>
    <col min="10762" max="10762" width="7.6640625" style="1021" customWidth="1"/>
    <col min="10763" max="10763" width="7" style="1021" customWidth="1"/>
    <col min="10764" max="10764" width="7.6640625" style="1021" customWidth="1"/>
    <col min="10765" max="10765" width="7" style="1021" customWidth="1"/>
    <col min="10766" max="11008" width="11.5546875" style="1021"/>
    <col min="11009" max="11009" width="11.44140625" style="1021" customWidth="1"/>
    <col min="11010" max="11010" width="6.109375" style="1021" customWidth="1"/>
    <col min="11011" max="11011" width="22" style="1021" customWidth="1"/>
    <col min="11012" max="11012" width="9.33203125" style="1021" customWidth="1"/>
    <col min="11013" max="11013" width="8.33203125" style="1021" customWidth="1"/>
    <col min="11014" max="11014" width="7.6640625" style="1021" customWidth="1"/>
    <col min="11015" max="11015" width="9.6640625" style="1021" customWidth="1"/>
    <col min="11016" max="11016" width="7.33203125" style="1021" customWidth="1"/>
    <col min="11017" max="11017" width="7.5546875" style="1021" customWidth="1"/>
    <col min="11018" max="11018" width="7.6640625" style="1021" customWidth="1"/>
    <col min="11019" max="11019" width="7" style="1021" customWidth="1"/>
    <col min="11020" max="11020" width="7.6640625" style="1021" customWidth="1"/>
    <col min="11021" max="11021" width="7" style="1021" customWidth="1"/>
    <col min="11022" max="11264" width="11.5546875" style="1021"/>
    <col min="11265" max="11265" width="11.44140625" style="1021" customWidth="1"/>
    <col min="11266" max="11266" width="6.109375" style="1021" customWidth="1"/>
    <col min="11267" max="11267" width="22" style="1021" customWidth="1"/>
    <col min="11268" max="11268" width="9.33203125" style="1021" customWidth="1"/>
    <col min="11269" max="11269" width="8.33203125" style="1021" customWidth="1"/>
    <col min="11270" max="11270" width="7.6640625" style="1021" customWidth="1"/>
    <col min="11271" max="11271" width="9.6640625" style="1021" customWidth="1"/>
    <col min="11272" max="11272" width="7.33203125" style="1021" customWidth="1"/>
    <col min="11273" max="11273" width="7.5546875" style="1021" customWidth="1"/>
    <col min="11274" max="11274" width="7.6640625" style="1021" customWidth="1"/>
    <col min="11275" max="11275" width="7" style="1021" customWidth="1"/>
    <col min="11276" max="11276" width="7.6640625" style="1021" customWidth="1"/>
    <col min="11277" max="11277" width="7" style="1021" customWidth="1"/>
    <col min="11278" max="11520" width="11.5546875" style="1021"/>
    <col min="11521" max="11521" width="11.44140625" style="1021" customWidth="1"/>
    <col min="11522" max="11522" width="6.109375" style="1021" customWidth="1"/>
    <col min="11523" max="11523" width="22" style="1021" customWidth="1"/>
    <col min="11524" max="11524" width="9.33203125" style="1021" customWidth="1"/>
    <col min="11525" max="11525" width="8.33203125" style="1021" customWidth="1"/>
    <col min="11526" max="11526" width="7.6640625" style="1021" customWidth="1"/>
    <col min="11527" max="11527" width="9.6640625" style="1021" customWidth="1"/>
    <col min="11528" max="11528" width="7.33203125" style="1021" customWidth="1"/>
    <col min="11529" max="11529" width="7.5546875" style="1021" customWidth="1"/>
    <col min="11530" max="11530" width="7.6640625" style="1021" customWidth="1"/>
    <col min="11531" max="11531" width="7" style="1021" customWidth="1"/>
    <col min="11532" max="11532" width="7.6640625" style="1021" customWidth="1"/>
    <col min="11533" max="11533" width="7" style="1021" customWidth="1"/>
    <col min="11534" max="11776" width="11.5546875" style="1021"/>
    <col min="11777" max="11777" width="11.44140625" style="1021" customWidth="1"/>
    <col min="11778" max="11778" width="6.109375" style="1021" customWidth="1"/>
    <col min="11779" max="11779" width="22" style="1021" customWidth="1"/>
    <col min="11780" max="11780" width="9.33203125" style="1021" customWidth="1"/>
    <col min="11781" max="11781" width="8.33203125" style="1021" customWidth="1"/>
    <col min="11782" max="11782" width="7.6640625" style="1021" customWidth="1"/>
    <col min="11783" max="11783" width="9.6640625" style="1021" customWidth="1"/>
    <col min="11784" max="11784" width="7.33203125" style="1021" customWidth="1"/>
    <col min="11785" max="11785" width="7.5546875" style="1021" customWidth="1"/>
    <col min="11786" max="11786" width="7.6640625" style="1021" customWidth="1"/>
    <col min="11787" max="11787" width="7" style="1021" customWidth="1"/>
    <col min="11788" max="11788" width="7.6640625" style="1021" customWidth="1"/>
    <col min="11789" max="11789" width="7" style="1021" customWidth="1"/>
    <col min="11790" max="12032" width="11.5546875" style="1021"/>
    <col min="12033" max="12033" width="11.44140625" style="1021" customWidth="1"/>
    <col min="12034" max="12034" width="6.109375" style="1021" customWidth="1"/>
    <col min="12035" max="12035" width="22" style="1021" customWidth="1"/>
    <col min="12036" max="12036" width="9.33203125" style="1021" customWidth="1"/>
    <col min="12037" max="12037" width="8.33203125" style="1021" customWidth="1"/>
    <col min="12038" max="12038" width="7.6640625" style="1021" customWidth="1"/>
    <col min="12039" max="12039" width="9.6640625" style="1021" customWidth="1"/>
    <col min="12040" max="12040" width="7.33203125" style="1021" customWidth="1"/>
    <col min="12041" max="12041" width="7.5546875" style="1021" customWidth="1"/>
    <col min="12042" max="12042" width="7.6640625" style="1021" customWidth="1"/>
    <col min="12043" max="12043" width="7" style="1021" customWidth="1"/>
    <col min="12044" max="12044" width="7.6640625" style="1021" customWidth="1"/>
    <col min="12045" max="12045" width="7" style="1021" customWidth="1"/>
    <col min="12046" max="12288" width="11.5546875" style="1021"/>
    <col min="12289" max="12289" width="11.44140625" style="1021" customWidth="1"/>
    <col min="12290" max="12290" width="6.109375" style="1021" customWidth="1"/>
    <col min="12291" max="12291" width="22" style="1021" customWidth="1"/>
    <col min="12292" max="12292" width="9.33203125" style="1021" customWidth="1"/>
    <col min="12293" max="12293" width="8.33203125" style="1021" customWidth="1"/>
    <col min="12294" max="12294" width="7.6640625" style="1021" customWidth="1"/>
    <col min="12295" max="12295" width="9.6640625" style="1021" customWidth="1"/>
    <col min="12296" max="12296" width="7.33203125" style="1021" customWidth="1"/>
    <col min="12297" max="12297" width="7.5546875" style="1021" customWidth="1"/>
    <col min="12298" max="12298" width="7.6640625" style="1021" customWidth="1"/>
    <col min="12299" max="12299" width="7" style="1021" customWidth="1"/>
    <col min="12300" max="12300" width="7.6640625" style="1021" customWidth="1"/>
    <col min="12301" max="12301" width="7" style="1021" customWidth="1"/>
    <col min="12302" max="12544" width="11.5546875" style="1021"/>
    <col min="12545" max="12545" width="11.44140625" style="1021" customWidth="1"/>
    <col min="12546" max="12546" width="6.109375" style="1021" customWidth="1"/>
    <col min="12547" max="12547" width="22" style="1021" customWidth="1"/>
    <col min="12548" max="12548" width="9.33203125" style="1021" customWidth="1"/>
    <col min="12549" max="12549" width="8.33203125" style="1021" customWidth="1"/>
    <col min="12550" max="12550" width="7.6640625" style="1021" customWidth="1"/>
    <col min="12551" max="12551" width="9.6640625" style="1021" customWidth="1"/>
    <col min="12552" max="12552" width="7.33203125" style="1021" customWidth="1"/>
    <col min="12553" max="12553" width="7.5546875" style="1021" customWidth="1"/>
    <col min="12554" max="12554" width="7.6640625" style="1021" customWidth="1"/>
    <col min="12555" max="12555" width="7" style="1021" customWidth="1"/>
    <col min="12556" max="12556" width="7.6640625" style="1021" customWidth="1"/>
    <col min="12557" max="12557" width="7" style="1021" customWidth="1"/>
    <col min="12558" max="12800" width="11.5546875" style="1021"/>
    <col min="12801" max="12801" width="11.44140625" style="1021" customWidth="1"/>
    <col min="12802" max="12802" width="6.109375" style="1021" customWidth="1"/>
    <col min="12803" max="12803" width="22" style="1021" customWidth="1"/>
    <col min="12804" max="12804" width="9.33203125" style="1021" customWidth="1"/>
    <col min="12805" max="12805" width="8.33203125" style="1021" customWidth="1"/>
    <col min="12806" max="12806" width="7.6640625" style="1021" customWidth="1"/>
    <col min="12807" max="12807" width="9.6640625" style="1021" customWidth="1"/>
    <col min="12808" max="12808" width="7.33203125" style="1021" customWidth="1"/>
    <col min="12809" max="12809" width="7.5546875" style="1021" customWidth="1"/>
    <col min="12810" max="12810" width="7.6640625" style="1021" customWidth="1"/>
    <col min="12811" max="12811" width="7" style="1021" customWidth="1"/>
    <col min="12812" max="12812" width="7.6640625" style="1021" customWidth="1"/>
    <col min="12813" max="12813" width="7" style="1021" customWidth="1"/>
    <col min="12814" max="13056" width="11.5546875" style="1021"/>
    <col min="13057" max="13057" width="11.44140625" style="1021" customWidth="1"/>
    <col min="13058" max="13058" width="6.109375" style="1021" customWidth="1"/>
    <col min="13059" max="13059" width="22" style="1021" customWidth="1"/>
    <col min="13060" max="13060" width="9.33203125" style="1021" customWidth="1"/>
    <col min="13061" max="13061" width="8.33203125" style="1021" customWidth="1"/>
    <col min="13062" max="13062" width="7.6640625" style="1021" customWidth="1"/>
    <col min="13063" max="13063" width="9.6640625" style="1021" customWidth="1"/>
    <col min="13064" max="13064" width="7.33203125" style="1021" customWidth="1"/>
    <col min="13065" max="13065" width="7.5546875" style="1021" customWidth="1"/>
    <col min="13066" max="13066" width="7.6640625" style="1021" customWidth="1"/>
    <col min="13067" max="13067" width="7" style="1021" customWidth="1"/>
    <col min="13068" max="13068" width="7.6640625" style="1021" customWidth="1"/>
    <col min="13069" max="13069" width="7" style="1021" customWidth="1"/>
    <col min="13070" max="13312" width="11.5546875" style="1021"/>
    <col min="13313" max="13313" width="11.44140625" style="1021" customWidth="1"/>
    <col min="13314" max="13314" width="6.109375" style="1021" customWidth="1"/>
    <col min="13315" max="13315" width="22" style="1021" customWidth="1"/>
    <col min="13316" max="13316" width="9.33203125" style="1021" customWidth="1"/>
    <col min="13317" max="13317" width="8.33203125" style="1021" customWidth="1"/>
    <col min="13318" max="13318" width="7.6640625" style="1021" customWidth="1"/>
    <col min="13319" max="13319" width="9.6640625" style="1021" customWidth="1"/>
    <col min="13320" max="13320" width="7.33203125" style="1021" customWidth="1"/>
    <col min="13321" max="13321" width="7.5546875" style="1021" customWidth="1"/>
    <col min="13322" max="13322" width="7.6640625" style="1021" customWidth="1"/>
    <col min="13323" max="13323" width="7" style="1021" customWidth="1"/>
    <col min="13324" max="13324" width="7.6640625" style="1021" customWidth="1"/>
    <col min="13325" max="13325" width="7" style="1021" customWidth="1"/>
    <col min="13326" max="13568" width="11.5546875" style="1021"/>
    <col min="13569" max="13569" width="11.44140625" style="1021" customWidth="1"/>
    <col min="13570" max="13570" width="6.109375" style="1021" customWidth="1"/>
    <col min="13571" max="13571" width="22" style="1021" customWidth="1"/>
    <col min="13572" max="13572" width="9.33203125" style="1021" customWidth="1"/>
    <col min="13573" max="13573" width="8.33203125" style="1021" customWidth="1"/>
    <col min="13574" max="13574" width="7.6640625" style="1021" customWidth="1"/>
    <col min="13575" max="13575" width="9.6640625" style="1021" customWidth="1"/>
    <col min="13576" max="13576" width="7.33203125" style="1021" customWidth="1"/>
    <col min="13577" max="13577" width="7.5546875" style="1021" customWidth="1"/>
    <col min="13578" max="13578" width="7.6640625" style="1021" customWidth="1"/>
    <col min="13579" max="13579" width="7" style="1021" customWidth="1"/>
    <col min="13580" max="13580" width="7.6640625" style="1021" customWidth="1"/>
    <col min="13581" max="13581" width="7" style="1021" customWidth="1"/>
    <col min="13582" max="13824" width="11.5546875" style="1021"/>
    <col min="13825" max="13825" width="11.44140625" style="1021" customWidth="1"/>
    <col min="13826" max="13826" width="6.109375" style="1021" customWidth="1"/>
    <col min="13827" max="13827" width="22" style="1021" customWidth="1"/>
    <col min="13828" max="13828" width="9.33203125" style="1021" customWidth="1"/>
    <col min="13829" max="13829" width="8.33203125" style="1021" customWidth="1"/>
    <col min="13830" max="13830" width="7.6640625" style="1021" customWidth="1"/>
    <col min="13831" max="13831" width="9.6640625" style="1021" customWidth="1"/>
    <col min="13832" max="13832" width="7.33203125" style="1021" customWidth="1"/>
    <col min="13833" max="13833" width="7.5546875" style="1021" customWidth="1"/>
    <col min="13834" max="13834" width="7.6640625" style="1021" customWidth="1"/>
    <col min="13835" max="13835" width="7" style="1021" customWidth="1"/>
    <col min="13836" max="13836" width="7.6640625" style="1021" customWidth="1"/>
    <col min="13837" max="13837" width="7" style="1021" customWidth="1"/>
    <col min="13838" max="14080" width="11.5546875" style="1021"/>
    <col min="14081" max="14081" width="11.44140625" style="1021" customWidth="1"/>
    <col min="14082" max="14082" width="6.109375" style="1021" customWidth="1"/>
    <col min="14083" max="14083" width="22" style="1021" customWidth="1"/>
    <col min="14084" max="14084" width="9.33203125" style="1021" customWidth="1"/>
    <col min="14085" max="14085" width="8.33203125" style="1021" customWidth="1"/>
    <col min="14086" max="14086" width="7.6640625" style="1021" customWidth="1"/>
    <col min="14087" max="14087" width="9.6640625" style="1021" customWidth="1"/>
    <col min="14088" max="14088" width="7.33203125" style="1021" customWidth="1"/>
    <col min="14089" max="14089" width="7.5546875" style="1021" customWidth="1"/>
    <col min="14090" max="14090" width="7.6640625" style="1021" customWidth="1"/>
    <col min="14091" max="14091" width="7" style="1021" customWidth="1"/>
    <col min="14092" max="14092" width="7.6640625" style="1021" customWidth="1"/>
    <col min="14093" max="14093" width="7" style="1021" customWidth="1"/>
    <col min="14094" max="14336" width="11.5546875" style="1021"/>
    <col min="14337" max="14337" width="11.44140625" style="1021" customWidth="1"/>
    <col min="14338" max="14338" width="6.109375" style="1021" customWidth="1"/>
    <col min="14339" max="14339" width="22" style="1021" customWidth="1"/>
    <col min="14340" max="14340" width="9.33203125" style="1021" customWidth="1"/>
    <col min="14341" max="14341" width="8.33203125" style="1021" customWidth="1"/>
    <col min="14342" max="14342" width="7.6640625" style="1021" customWidth="1"/>
    <col min="14343" max="14343" width="9.6640625" style="1021" customWidth="1"/>
    <col min="14344" max="14344" width="7.33203125" style="1021" customWidth="1"/>
    <col min="14345" max="14345" width="7.5546875" style="1021" customWidth="1"/>
    <col min="14346" max="14346" width="7.6640625" style="1021" customWidth="1"/>
    <col min="14347" max="14347" width="7" style="1021" customWidth="1"/>
    <col min="14348" max="14348" width="7.6640625" style="1021" customWidth="1"/>
    <col min="14349" max="14349" width="7" style="1021" customWidth="1"/>
    <col min="14350" max="14592" width="11.5546875" style="1021"/>
    <col min="14593" max="14593" width="11.44140625" style="1021" customWidth="1"/>
    <col min="14594" max="14594" width="6.109375" style="1021" customWidth="1"/>
    <col min="14595" max="14595" width="22" style="1021" customWidth="1"/>
    <col min="14596" max="14596" width="9.33203125" style="1021" customWidth="1"/>
    <col min="14597" max="14597" width="8.33203125" style="1021" customWidth="1"/>
    <col min="14598" max="14598" width="7.6640625" style="1021" customWidth="1"/>
    <col min="14599" max="14599" width="9.6640625" style="1021" customWidth="1"/>
    <col min="14600" max="14600" width="7.33203125" style="1021" customWidth="1"/>
    <col min="14601" max="14601" width="7.5546875" style="1021" customWidth="1"/>
    <col min="14602" max="14602" width="7.6640625" style="1021" customWidth="1"/>
    <col min="14603" max="14603" width="7" style="1021" customWidth="1"/>
    <col min="14604" max="14604" width="7.6640625" style="1021" customWidth="1"/>
    <col min="14605" max="14605" width="7" style="1021" customWidth="1"/>
    <col min="14606" max="14848" width="11.5546875" style="1021"/>
    <col min="14849" max="14849" width="11.44140625" style="1021" customWidth="1"/>
    <col min="14850" max="14850" width="6.109375" style="1021" customWidth="1"/>
    <col min="14851" max="14851" width="22" style="1021" customWidth="1"/>
    <col min="14852" max="14852" width="9.33203125" style="1021" customWidth="1"/>
    <col min="14853" max="14853" width="8.33203125" style="1021" customWidth="1"/>
    <col min="14854" max="14854" width="7.6640625" style="1021" customWidth="1"/>
    <col min="14855" max="14855" width="9.6640625" style="1021" customWidth="1"/>
    <col min="14856" max="14856" width="7.33203125" style="1021" customWidth="1"/>
    <col min="14857" max="14857" width="7.5546875" style="1021" customWidth="1"/>
    <col min="14858" max="14858" width="7.6640625" style="1021" customWidth="1"/>
    <col min="14859" max="14859" width="7" style="1021" customWidth="1"/>
    <col min="14860" max="14860" width="7.6640625" style="1021" customWidth="1"/>
    <col min="14861" max="14861" width="7" style="1021" customWidth="1"/>
    <col min="14862" max="15104" width="11.5546875" style="1021"/>
    <col min="15105" max="15105" width="11.44140625" style="1021" customWidth="1"/>
    <col min="15106" max="15106" width="6.109375" style="1021" customWidth="1"/>
    <col min="15107" max="15107" width="22" style="1021" customWidth="1"/>
    <col min="15108" max="15108" width="9.33203125" style="1021" customWidth="1"/>
    <col min="15109" max="15109" width="8.33203125" style="1021" customWidth="1"/>
    <col min="15110" max="15110" width="7.6640625" style="1021" customWidth="1"/>
    <col min="15111" max="15111" width="9.6640625" style="1021" customWidth="1"/>
    <col min="15112" max="15112" width="7.33203125" style="1021" customWidth="1"/>
    <col min="15113" max="15113" width="7.5546875" style="1021" customWidth="1"/>
    <col min="15114" max="15114" width="7.6640625" style="1021" customWidth="1"/>
    <col min="15115" max="15115" width="7" style="1021" customWidth="1"/>
    <col min="15116" max="15116" width="7.6640625" style="1021" customWidth="1"/>
    <col min="15117" max="15117" width="7" style="1021" customWidth="1"/>
    <col min="15118" max="15360" width="11.5546875" style="1021"/>
    <col min="15361" max="15361" width="11.44140625" style="1021" customWidth="1"/>
    <col min="15362" max="15362" width="6.109375" style="1021" customWidth="1"/>
    <col min="15363" max="15363" width="22" style="1021" customWidth="1"/>
    <col min="15364" max="15364" width="9.33203125" style="1021" customWidth="1"/>
    <col min="15365" max="15365" width="8.33203125" style="1021" customWidth="1"/>
    <col min="15366" max="15366" width="7.6640625" style="1021" customWidth="1"/>
    <col min="15367" max="15367" width="9.6640625" style="1021" customWidth="1"/>
    <col min="15368" max="15368" width="7.33203125" style="1021" customWidth="1"/>
    <col min="15369" max="15369" width="7.5546875" style="1021" customWidth="1"/>
    <col min="15370" max="15370" width="7.6640625" style="1021" customWidth="1"/>
    <col min="15371" max="15371" width="7" style="1021" customWidth="1"/>
    <col min="15372" max="15372" width="7.6640625" style="1021" customWidth="1"/>
    <col min="15373" max="15373" width="7" style="1021" customWidth="1"/>
    <col min="15374" max="15616" width="11.5546875" style="1021"/>
    <col min="15617" max="15617" width="11.44140625" style="1021" customWidth="1"/>
    <col min="15618" max="15618" width="6.109375" style="1021" customWidth="1"/>
    <col min="15619" max="15619" width="22" style="1021" customWidth="1"/>
    <col min="15620" max="15620" width="9.33203125" style="1021" customWidth="1"/>
    <col min="15621" max="15621" width="8.33203125" style="1021" customWidth="1"/>
    <col min="15622" max="15622" width="7.6640625" style="1021" customWidth="1"/>
    <col min="15623" max="15623" width="9.6640625" style="1021" customWidth="1"/>
    <col min="15624" max="15624" width="7.33203125" style="1021" customWidth="1"/>
    <col min="15625" max="15625" width="7.5546875" style="1021" customWidth="1"/>
    <col min="15626" max="15626" width="7.6640625" style="1021" customWidth="1"/>
    <col min="15627" max="15627" width="7" style="1021" customWidth="1"/>
    <col min="15628" max="15628" width="7.6640625" style="1021" customWidth="1"/>
    <col min="15629" max="15629" width="7" style="1021" customWidth="1"/>
    <col min="15630" max="15872" width="11.5546875" style="1021"/>
    <col min="15873" max="15873" width="11.44140625" style="1021" customWidth="1"/>
    <col min="15874" max="15874" width="6.109375" style="1021" customWidth="1"/>
    <col min="15875" max="15875" width="22" style="1021" customWidth="1"/>
    <col min="15876" max="15876" width="9.33203125" style="1021" customWidth="1"/>
    <col min="15877" max="15877" width="8.33203125" style="1021" customWidth="1"/>
    <col min="15878" max="15878" width="7.6640625" style="1021" customWidth="1"/>
    <col min="15879" max="15879" width="9.6640625" style="1021" customWidth="1"/>
    <col min="15880" max="15880" width="7.33203125" style="1021" customWidth="1"/>
    <col min="15881" max="15881" width="7.5546875" style="1021" customWidth="1"/>
    <col min="15882" max="15882" width="7.6640625" style="1021" customWidth="1"/>
    <col min="15883" max="15883" width="7" style="1021" customWidth="1"/>
    <col min="15884" max="15884" width="7.6640625" style="1021" customWidth="1"/>
    <col min="15885" max="15885" width="7" style="1021" customWidth="1"/>
    <col min="15886" max="16128" width="11.5546875" style="1021"/>
    <col min="16129" max="16129" width="11.44140625" style="1021" customWidth="1"/>
    <col min="16130" max="16130" width="6.109375" style="1021" customWidth="1"/>
    <col min="16131" max="16131" width="22" style="1021" customWidth="1"/>
    <col min="16132" max="16132" width="9.33203125" style="1021" customWidth="1"/>
    <col min="16133" max="16133" width="8.33203125" style="1021" customWidth="1"/>
    <col min="16134" max="16134" width="7.6640625" style="1021" customWidth="1"/>
    <col min="16135" max="16135" width="9.6640625" style="1021" customWidth="1"/>
    <col min="16136" max="16136" width="7.33203125" style="1021" customWidth="1"/>
    <col min="16137" max="16137" width="7.5546875" style="1021" customWidth="1"/>
    <col min="16138" max="16138" width="7.6640625" style="1021" customWidth="1"/>
    <col min="16139" max="16139" width="7" style="1021" customWidth="1"/>
    <col min="16140" max="16140" width="7.6640625" style="1021" customWidth="1"/>
    <col min="16141" max="16141" width="7" style="1021" customWidth="1"/>
    <col min="16142" max="16384" width="11.5546875" style="1021"/>
  </cols>
  <sheetData>
    <row r="1" spans="1:15" ht="26.25" customHeight="1" x14ac:dyDescent="0.5">
      <c r="A1" s="1183" t="s">
        <v>1679</v>
      </c>
      <c r="B1" s="1184"/>
      <c r="C1" s="1185"/>
      <c r="F1" s="1186" t="s">
        <v>1811</v>
      </c>
      <c r="G1" s="1187"/>
      <c r="H1" s="1187"/>
      <c r="I1" s="1187"/>
      <c r="J1" s="1187"/>
      <c r="K1" s="1187"/>
      <c r="L1" s="1188"/>
    </row>
    <row r="2" spans="1:15" ht="21" customHeight="1" x14ac:dyDescent="0.4">
      <c r="A2" s="1189" t="s">
        <v>1681</v>
      </c>
      <c r="B2" s="1190"/>
      <c r="C2" s="1023" t="s">
        <v>1682</v>
      </c>
      <c r="F2" s="1189" t="s">
        <v>1681</v>
      </c>
      <c r="G2" s="1190"/>
      <c r="H2" s="1191" t="s">
        <v>1696</v>
      </c>
      <c r="I2" s="1191"/>
      <c r="J2" s="1191"/>
      <c r="K2" s="1191"/>
      <c r="L2" s="1192"/>
    </row>
    <row r="3" spans="1:15" ht="21.75" customHeight="1" x14ac:dyDescent="0.4">
      <c r="A3" s="1189" t="s">
        <v>1683</v>
      </c>
      <c r="B3" s="1190"/>
      <c r="C3" s="1023" t="s">
        <v>1684</v>
      </c>
      <c r="F3" s="1189" t="s">
        <v>1683</v>
      </c>
      <c r="G3" s="1190"/>
      <c r="H3" s="1191" t="s">
        <v>1697</v>
      </c>
      <c r="I3" s="1191"/>
      <c r="J3" s="1191"/>
      <c r="K3" s="1191"/>
      <c r="L3" s="1192"/>
    </row>
    <row r="4" spans="1:15" ht="21.6" thickBot="1" x14ac:dyDescent="0.45">
      <c r="A4" s="1170" t="s">
        <v>1685</v>
      </c>
      <c r="B4" s="1171"/>
      <c r="C4" s="1024" t="s">
        <v>1686</v>
      </c>
      <c r="F4" s="1170" t="s">
        <v>1685</v>
      </c>
      <c r="G4" s="1171"/>
      <c r="H4" s="1172" t="s">
        <v>1812</v>
      </c>
      <c r="I4" s="1172"/>
      <c r="J4" s="1172"/>
      <c r="K4" s="1172"/>
      <c r="L4" s="1173"/>
    </row>
    <row r="5" spans="1:15" ht="7.5" customHeight="1" thickBot="1" x14ac:dyDescent="0.45">
      <c r="A5" s="1022"/>
      <c r="C5" s="1022"/>
    </row>
    <row r="6" spans="1:15" ht="35.4" customHeight="1" thickBot="1" x14ac:dyDescent="0.3">
      <c r="A6" s="1174" t="s">
        <v>1680</v>
      </c>
      <c r="B6" s="1175"/>
      <c r="C6" s="1176"/>
      <c r="F6" s="1177" t="s">
        <v>1687</v>
      </c>
      <c r="G6" s="1178"/>
      <c r="H6" s="1179"/>
      <c r="I6" s="1180">
        <f ca="1">+TODAY()</f>
        <v>46052</v>
      </c>
      <c r="J6" s="1181"/>
      <c r="K6" s="1181"/>
      <c r="L6" s="1181"/>
      <c r="M6" s="1182"/>
    </row>
    <row r="7" spans="1:15" ht="7.5" customHeight="1" thickBot="1" x14ac:dyDescent="0.45">
      <c r="A7" s="1022"/>
      <c r="C7" s="1022"/>
    </row>
    <row r="8" spans="1:15" ht="42.75" customHeight="1" thickBot="1" x14ac:dyDescent="0.3">
      <c r="A8" s="1193" t="s">
        <v>1690</v>
      </c>
      <c r="B8" s="1193"/>
      <c r="C8" s="1026" t="s">
        <v>1818</v>
      </c>
      <c r="D8" s="1025" t="s">
        <v>1691</v>
      </c>
      <c r="E8" s="1027"/>
      <c r="F8" s="1193" t="s">
        <v>1692</v>
      </c>
      <c r="G8" s="1193"/>
      <c r="H8" s="1193"/>
      <c r="I8" s="1194" t="s">
        <v>1684</v>
      </c>
      <c r="J8" s="1195"/>
      <c r="K8" s="1195"/>
      <c r="L8" s="1195"/>
      <c r="M8" s="1196"/>
    </row>
    <row r="9" spans="1:15" ht="7.5" customHeight="1" thickBot="1" x14ac:dyDescent="0.45">
      <c r="A9" s="1022"/>
      <c r="C9" s="1022"/>
    </row>
    <row r="10" spans="1:15" ht="39.6" customHeight="1" thickBot="1" x14ac:dyDescent="0.3">
      <c r="A10" s="1197" t="s">
        <v>1813</v>
      </c>
      <c r="B10" s="1198"/>
      <c r="C10" s="1198"/>
      <c r="D10" s="1198"/>
      <c r="E10" s="1198"/>
      <c r="F10" s="1198"/>
      <c r="G10" s="1198"/>
      <c r="H10" s="1198"/>
      <c r="I10" s="1198"/>
      <c r="J10" s="1198"/>
      <c r="K10" s="1198"/>
      <c r="L10" s="1198"/>
      <c r="M10" s="1199"/>
    </row>
    <row r="11" spans="1:15" ht="6" customHeight="1" thickBot="1" x14ac:dyDescent="0.45">
      <c r="A11" s="1022"/>
      <c r="C11" s="1022"/>
    </row>
    <row r="12" spans="1:15" ht="26.4" thickBot="1" x14ac:dyDescent="0.3">
      <c r="A12" s="1200" t="s">
        <v>1693</v>
      </c>
      <c r="B12" s="1201"/>
      <c r="C12" s="1201"/>
      <c r="D12" s="1201"/>
      <c r="E12" s="1201"/>
      <c r="F12" s="1201"/>
      <c r="G12" s="1201"/>
      <c r="H12" s="1201"/>
      <c r="I12" s="1201"/>
      <c r="J12" s="1201"/>
      <c r="K12" s="1201"/>
      <c r="L12" s="1201"/>
      <c r="M12" s="1202"/>
    </row>
    <row r="13" spans="1:15" ht="36.6" thickBot="1" x14ac:dyDescent="0.3">
      <c r="A13" s="1028" t="s">
        <v>1293</v>
      </c>
      <c r="B13" s="1029" t="s">
        <v>1675</v>
      </c>
      <c r="C13" s="1030" t="s">
        <v>1814</v>
      </c>
      <c r="D13" s="1031" t="s">
        <v>1821</v>
      </c>
      <c r="E13" s="1032" t="s">
        <v>1815</v>
      </c>
      <c r="F13" s="1032" t="s">
        <v>1824</v>
      </c>
      <c r="G13" s="1029" t="s">
        <v>1816</v>
      </c>
      <c r="H13" s="1029" t="s">
        <v>1817</v>
      </c>
      <c r="I13" s="1029" t="s">
        <v>1825</v>
      </c>
      <c r="J13" s="1029" t="s">
        <v>1817</v>
      </c>
      <c r="K13" s="1029" t="s">
        <v>1825</v>
      </c>
      <c r="L13" s="1029" t="s">
        <v>1817</v>
      </c>
      <c r="M13" s="1029" t="s">
        <v>1825</v>
      </c>
    </row>
    <row r="14" spans="1:15" ht="33.6" customHeight="1" x14ac:dyDescent="0.3">
      <c r="A14" s="1203" t="str" cm="1">
        <f t="array" ref="A14">+IFERROR(INDEX('Pedido VACIO'!$C:$C,MATCH(1,('Pedido VACIO'!$I:$I=$B14)*('Pedido VACIO'!$A:$A="Cia Integral Etiquetas"),0)),"")</f>
        <v/>
      </c>
      <c r="B14" s="1205">
        <v>1</v>
      </c>
      <c r="C14" s="1207" t="str" cm="1">
        <f t="array" ref="C14">+IFERROR(INDEX('Pedido VACIO'!$G:$G,MATCH(1,('Pedido VACIO'!$I:$I=$B14)*('Pedido VACIO'!$A:$A="Cia Integral Etiquetas"),0)),"")</f>
        <v/>
      </c>
      <c r="D14" s="1207" t="str" cm="1">
        <f t="array" ref="D14">+IFERROR(INDEX('Pedido VACIO'!$H:$H,MATCH(1,('Pedido VACIO'!$I:$I=$B14)*('Pedido VACIO'!$A:$A="Cia Integral Etiquetas"),0)),"")</f>
        <v/>
      </c>
      <c r="E14" s="1033" t="str">
        <f>+IF(E13="LK","CH",IF(D14="","",IF(D14&gt;0,"LK","CH")))</f>
        <v/>
      </c>
      <c r="F14" s="1033" t="str">
        <f>+IF(OR(E14="LK"),ROUNDUP(D14*(VLOOKUP(B14,'Pedido VACIO'!$I:$AM,31,0)/1000),0)*10,IF(E14="CH",D13-F13,""))</f>
        <v/>
      </c>
      <c r="G14" s="1205"/>
      <c r="H14" s="1034"/>
      <c r="I14" s="1035"/>
      <c r="J14" s="1034"/>
      <c r="K14" s="1035"/>
      <c r="L14" s="1034"/>
      <c r="M14" s="1036"/>
      <c r="O14" s="1037"/>
    </row>
    <row r="15" spans="1:15" ht="33.6" customHeight="1" x14ac:dyDescent="0.3">
      <c r="A15" s="1204"/>
      <c r="B15" s="1206"/>
      <c r="C15" s="1208"/>
      <c r="D15" s="1208"/>
      <c r="E15" s="1038" t="str">
        <f t="shared" ref="E15:E19" si="0">+IF(E14="LK","CH",IF(D15="","",IF(D15&gt;0,"LK","CH")))</f>
        <v/>
      </c>
      <c r="F15" s="1038" t="str">
        <f>+IF(OR(E15="LK"),ROUNDUP(D15*(VLOOKUP(B15,'Pedido VACIO'!$I:$AM,31,0)/1000),0)*10,IF(E15="CH",D14-F14,""))</f>
        <v/>
      </c>
      <c r="G15" s="1206"/>
      <c r="H15" s="1039"/>
      <c r="I15" s="1040"/>
      <c r="J15" s="1039"/>
      <c r="K15" s="1040"/>
      <c r="L15" s="1039"/>
      <c r="M15" s="1041"/>
    </row>
    <row r="16" spans="1:15" ht="33.6" customHeight="1" x14ac:dyDescent="0.3">
      <c r="A16" s="1209" t="str" cm="1">
        <f t="array" ref="A16">+IFERROR(INDEX('Pedido VACIO'!$C:$C,MATCH(1,('Pedido VACIO'!$I:$I=$B16)*('Pedido VACIO'!$A:$A="Cia Integral Etiquetas"),0)),"")</f>
        <v/>
      </c>
      <c r="B16" s="1206">
        <f>+B14+1</f>
        <v>2</v>
      </c>
      <c r="C16" s="1208" t="str" cm="1">
        <f t="array" ref="C16">+IFERROR(INDEX('Pedido VACIO'!$G:$G,MATCH(1,('Pedido VACIO'!$I:$I=$B16)*('Pedido VACIO'!$A:$A="Cia Integral Etiquetas"),0)),"")</f>
        <v/>
      </c>
      <c r="D16" s="1210" t="str" cm="1">
        <f t="array" ref="D16">+IFERROR(INDEX('Pedido VACIO'!$H:$H,MATCH(1,('Pedido VACIO'!$I:$I=$B16)*('Pedido VACIO'!$A:$A="Cia Integral Etiquetas"),0)),"")</f>
        <v/>
      </c>
      <c r="E16" s="1038" t="str">
        <f t="shared" si="0"/>
        <v/>
      </c>
      <c r="F16" s="1038" t="str">
        <f>+IF(OR(E16="LK"),ROUNDUP(D16*(VLOOKUP(B16,'Pedido VACIO'!$I:$AM,31,0)/1000),0)*10,IF(E16="CH",D15-F15,""))</f>
        <v/>
      </c>
      <c r="G16" s="1038"/>
      <c r="H16" s="1040"/>
      <c r="I16" s="1040"/>
      <c r="J16" s="1040"/>
      <c r="K16" s="1040"/>
      <c r="L16" s="1040"/>
      <c r="M16" s="1041"/>
    </row>
    <row r="17" spans="1:13" ht="33.6" customHeight="1" x14ac:dyDescent="0.3">
      <c r="A17" s="1209"/>
      <c r="B17" s="1206"/>
      <c r="C17" s="1208"/>
      <c r="D17" s="1210"/>
      <c r="E17" s="1038" t="str">
        <f t="shared" si="0"/>
        <v/>
      </c>
      <c r="F17" s="1038" t="str">
        <f>+IF(OR(E17="LK"),ROUNDUP(D17*(VLOOKUP(B17,'Pedido VACIO'!$I:$AM,31,0)/1000),0)*10,IF(E17="CH",D16-F16,""))</f>
        <v/>
      </c>
      <c r="G17" s="1038"/>
      <c r="H17" s="1040"/>
      <c r="I17" s="1040"/>
      <c r="J17" s="1040"/>
      <c r="K17" s="1040"/>
      <c r="L17" s="1040"/>
      <c r="M17" s="1041"/>
    </row>
    <row r="18" spans="1:13" ht="33.6" customHeight="1" x14ac:dyDescent="0.3">
      <c r="A18" s="1209" t="str" cm="1">
        <f t="array" ref="A18">+IFERROR(INDEX('Pedido VACIO'!$C:$C,MATCH(1,('Pedido VACIO'!$I:$I=$B18)*('Pedido VACIO'!$A:$A="Cia Integral Etiquetas"),0)),"")</f>
        <v/>
      </c>
      <c r="B18" s="1206">
        <f>+B16+1</f>
        <v>3</v>
      </c>
      <c r="C18" s="1208" t="str" cm="1">
        <f t="array" ref="C18">+IFERROR(INDEX('Pedido VACIO'!$G:$G,MATCH(1,('Pedido VACIO'!$I:$I=$B18)*('Pedido VACIO'!$A:$A="Cia Integral Etiquetas"),0)),"")</f>
        <v/>
      </c>
      <c r="D18" s="1206" t="str" cm="1">
        <f t="array" ref="D18">+IFERROR(INDEX('Pedido VACIO'!$H:$H,MATCH(1,('Pedido VACIO'!$I:$I=$B18)*('Pedido VACIO'!$A:$A="Cia Integral Etiquetas"),0)),"")</f>
        <v/>
      </c>
      <c r="E18" s="1038" t="str">
        <f t="shared" si="0"/>
        <v/>
      </c>
      <c r="F18" s="1038" t="str">
        <f>+IF(OR(E18="LK"),ROUNDUP(D18*(VLOOKUP(B18,'Pedido VACIO'!$I:$AM,31,0)/1000),0)*10,IF(E18="CH",D17-F17,""))</f>
        <v/>
      </c>
      <c r="G18" s="1206"/>
      <c r="H18" s="1040"/>
      <c r="I18" s="1040"/>
      <c r="J18" s="1040"/>
      <c r="K18" s="1040"/>
      <c r="L18" s="1040"/>
      <c r="M18" s="1041"/>
    </row>
    <row r="19" spans="1:13" ht="33.6" customHeight="1" x14ac:dyDescent="0.3">
      <c r="A19" s="1209"/>
      <c r="B19" s="1206"/>
      <c r="C19" s="1208"/>
      <c r="D19" s="1206"/>
      <c r="E19" s="1038" t="str">
        <f t="shared" si="0"/>
        <v/>
      </c>
      <c r="F19" s="1038" t="str">
        <f>+IF(OR(E19="LK"),ROUNDUP(D19*(VLOOKUP(B19,'Pedido VACIO'!$I:$AM,31,0)/1000),0)*10,IF(E19="CH",D18-F18,""))</f>
        <v/>
      </c>
      <c r="G19" s="1206"/>
      <c r="H19" s="1040"/>
      <c r="I19" s="1040"/>
      <c r="J19" s="1040"/>
      <c r="K19" s="1040"/>
      <c r="L19" s="1040"/>
      <c r="M19" s="1041"/>
    </row>
    <row r="20" spans="1:13" ht="33.6" customHeight="1" x14ac:dyDescent="0.3">
      <c r="A20" s="1209" t="str" cm="1">
        <f t="array" ref="A20">+IFERROR(INDEX('Pedido VACIO'!$C:$C,MATCH(1,('Pedido VACIO'!$I:$I=$B20)*('Pedido VACIO'!$A:$A="Cia Integral Etiquetas"),0)),"")</f>
        <v/>
      </c>
      <c r="B20" s="1206">
        <f>+B18+1</f>
        <v>4</v>
      </c>
      <c r="C20" s="1208" t="str" cm="1">
        <f t="array" ref="C20">+IFERROR(INDEX('Pedido VACIO'!$G:$G,MATCH(1,('Pedido VACIO'!$I:$I=$B20)*('Pedido VACIO'!$A:$A="Cia Integral Etiquetas"),0)),"")</f>
        <v/>
      </c>
      <c r="D20" s="1206" t="str" cm="1">
        <f t="array" ref="D20">+IFERROR(INDEX('Pedido VACIO'!$H:$H,MATCH(1,('Pedido VACIO'!$I:$I=$B20)*('Pedido VACIO'!$A:$A="Cia Integral Etiquetas"),0)),"")</f>
        <v/>
      </c>
      <c r="E20" s="1038" t="str">
        <f>+IF(E19="LK","CH",IF(D20="","",IF(D20&gt;0,"LK","CH")))</f>
        <v/>
      </c>
      <c r="F20" s="1038" t="str">
        <f>+IF(OR(E20="LK"),ROUNDUP(D20*(VLOOKUP(B20,'Pedido VACIO'!$I:$AM,31,0)/1000),0)*10,IF(E20="CH",D19-F19,""))</f>
        <v/>
      </c>
      <c r="G20" s="1038"/>
      <c r="H20" s="1040"/>
      <c r="I20" s="1040"/>
      <c r="J20" s="1040"/>
      <c r="K20" s="1040"/>
      <c r="L20" s="1040"/>
      <c r="M20" s="1041"/>
    </row>
    <row r="21" spans="1:13" ht="33.6" customHeight="1" x14ac:dyDescent="0.3">
      <c r="A21" s="1209"/>
      <c r="B21" s="1206"/>
      <c r="C21" s="1208"/>
      <c r="D21" s="1206"/>
      <c r="E21" s="1038" t="str">
        <f t="shared" ref="E21" si="1">+IF(E20="LK","CH",IF(D21="","",IF(D21&gt;0,"LK","CH")))</f>
        <v/>
      </c>
      <c r="F21" s="1038" t="str">
        <f>+IF(OR(E21="LK"),ROUNDUP(D21*(VLOOKUP(B21,'Pedido VACIO'!$I:$AM,31,0)/1000),0)*10,IF(E21="CH",D20-F20,""))</f>
        <v/>
      </c>
      <c r="G21" s="1038"/>
      <c r="H21" s="1040"/>
      <c r="I21" s="1040"/>
      <c r="J21" s="1040"/>
      <c r="K21" s="1040"/>
      <c r="L21" s="1040"/>
      <c r="M21" s="1041"/>
    </row>
    <row r="22" spans="1:13" ht="33.6" customHeight="1" x14ac:dyDescent="0.3">
      <c r="A22" s="1209" t="str" cm="1">
        <f t="array" ref="A22">+IFERROR(INDEX('Pedido VACIO'!$C:$C,MATCH(1,('Pedido VACIO'!$I:$I=$B22)*('Pedido VACIO'!$A:$A="Cia Integral Etiquetas"),0)),"")</f>
        <v/>
      </c>
      <c r="B22" s="1206">
        <f>+B20+1</f>
        <v>5</v>
      </c>
      <c r="C22" s="1208" t="str" cm="1">
        <f t="array" ref="C22">+IFERROR(INDEX('Pedido VACIO'!$G:$G,MATCH(1,('Pedido VACIO'!$I:$I=$B22)*('Pedido VACIO'!$A:$A="Cia Integral Etiquetas"),0)),"")</f>
        <v/>
      </c>
      <c r="D22" s="1206" t="str" cm="1">
        <f t="array" ref="D22">+IFERROR(INDEX('Pedido VACIO'!$H:$H,MATCH(1,('Pedido VACIO'!$I:$I=$B22)*('Pedido VACIO'!$A:$A="Cia Integral Etiquetas"),0)),"")</f>
        <v/>
      </c>
      <c r="E22" s="1038" t="str">
        <f>+IF(E21="LK","CH",IF(D22="","",IF(D22&gt;0,"LK","CH")))</f>
        <v/>
      </c>
      <c r="F22" s="1038" t="str">
        <f>+IF(OR(E22="LK"),ROUNDUP(D22*(VLOOKUP(B22,'Pedido VACIO'!$I:$AM,31,0)/1000),0)*10,IF(E22="CH",D21-F21,""))</f>
        <v/>
      </c>
      <c r="G22" s="1206"/>
      <c r="H22" s="1040"/>
      <c r="I22" s="1040"/>
      <c r="J22" s="1040"/>
      <c r="K22" s="1040"/>
      <c r="L22" s="1040"/>
      <c r="M22" s="1041"/>
    </row>
    <row r="23" spans="1:13" ht="33.6" customHeight="1" x14ac:dyDescent="0.3">
      <c r="A23" s="1209"/>
      <c r="B23" s="1206"/>
      <c r="C23" s="1208"/>
      <c r="D23" s="1206"/>
      <c r="E23" s="1038" t="str">
        <f t="shared" ref="E23" si="2">+IF(E22="LK","CH",IF(D23="","",IF(D23&gt;0,"LK","CH")))</f>
        <v/>
      </c>
      <c r="F23" s="1038" t="str">
        <f>+IF(OR(E23="LK"),ROUNDUP(D23*(VLOOKUP(B23,'Pedido VACIO'!$I:$AM,31,0)/1000),0)*10,IF(E23="CH",D22-F22,""))</f>
        <v/>
      </c>
      <c r="G23" s="1206"/>
      <c r="H23" s="1040"/>
      <c r="I23" s="1040"/>
      <c r="J23" s="1040"/>
      <c r="K23" s="1040"/>
      <c r="L23" s="1040"/>
      <c r="M23" s="1041"/>
    </row>
    <row r="24" spans="1:13" ht="33.6" customHeight="1" x14ac:dyDescent="0.3">
      <c r="A24" s="1209" t="str" cm="1">
        <f t="array" ref="A24">+IFERROR(INDEX('Pedido VACIO'!$C:$C,MATCH(1,('Pedido VACIO'!$I:$I=$B24)*('Pedido VACIO'!$A:$A="Cia Integral Etiquetas"),0)),"")</f>
        <v/>
      </c>
      <c r="B24" s="1206">
        <f>+B22+1</f>
        <v>6</v>
      </c>
      <c r="C24" s="1208" t="str" cm="1">
        <f t="array" ref="C24">+IFERROR(INDEX('Pedido VACIO'!$G:$G,MATCH(1,('Pedido VACIO'!$I:$I=$B24)*('Pedido VACIO'!$A:$A="Cia Integral Etiquetas"),0)),"")</f>
        <v/>
      </c>
      <c r="D24" s="1206" t="str" cm="1">
        <f t="array" ref="D24">+IFERROR(INDEX('Pedido VACIO'!$H:$H,MATCH(1,('Pedido VACIO'!$I:$I=$B24)*('Pedido VACIO'!$A:$A="Cia Integral Etiquetas"),0)),"")</f>
        <v/>
      </c>
      <c r="E24" s="1038" t="str">
        <f>+IF(E23="LK","CH",IF(D24="","",IF(D24&gt;0,"LK","CH")))</f>
        <v/>
      </c>
      <c r="F24" s="1038" t="str">
        <f>+IF(OR(E24="LK"),ROUNDUP(D24*(VLOOKUP(B24,'Pedido VACIO'!$I:$AM,31,0)/1000),0)*10,IF(E24="CH",D23-F23,""))</f>
        <v/>
      </c>
      <c r="G24" s="1206"/>
      <c r="H24" s="1040"/>
      <c r="I24" s="1040"/>
      <c r="J24" s="1040"/>
      <c r="K24" s="1040"/>
      <c r="L24" s="1040"/>
      <c r="M24" s="1041"/>
    </row>
    <row r="25" spans="1:13" ht="33.6" customHeight="1" x14ac:dyDescent="0.3">
      <c r="A25" s="1209"/>
      <c r="B25" s="1206"/>
      <c r="C25" s="1208"/>
      <c r="D25" s="1206"/>
      <c r="E25" s="1038" t="str">
        <f>+IF(E24="LK","CH",IF(D25="","",IF(D25&gt;0,"LK","CH")))</f>
        <v/>
      </c>
      <c r="F25" s="1038" t="str">
        <f>+IF(OR(E25="LK"),ROUNDUP(D25*(VLOOKUP(B25,'Pedido VACIO'!$I:$AM,31,0)/1000),0)*10,IF(E25="CH",D24-F24,""))</f>
        <v/>
      </c>
      <c r="G25" s="1206"/>
      <c r="H25" s="1040"/>
      <c r="I25" s="1040"/>
      <c r="J25" s="1040"/>
      <c r="K25" s="1040"/>
      <c r="L25" s="1040"/>
      <c r="M25" s="1041"/>
    </row>
    <row r="26" spans="1:13" ht="33.6" customHeight="1" x14ac:dyDescent="0.3">
      <c r="A26" s="1209" t="str" cm="1">
        <f t="array" ref="A26">+IFERROR(INDEX('Pedido VACIO'!$C:$C,MATCH(1,('Pedido VACIO'!$I:$I=$B26)*('Pedido VACIO'!$A:$A="Cia Integral Etiquetas"),0)),"")</f>
        <v/>
      </c>
      <c r="B26" s="1206">
        <f>+B24+1</f>
        <v>7</v>
      </c>
      <c r="C26" s="1208" t="str" cm="1">
        <f t="array" ref="C26">+IFERROR(INDEX('Pedido VACIO'!$G:$G,MATCH(1,('Pedido VACIO'!$I:$I=$B26)*('Pedido VACIO'!$A:$A="Cia Integral Etiquetas"),0)),"")</f>
        <v/>
      </c>
      <c r="D26" s="1206" t="str" cm="1">
        <f t="array" ref="D26">+IFERROR(INDEX('Pedido VACIO'!$H:$H,MATCH(1,('Pedido VACIO'!$I:$I=$B26)*('Pedido VACIO'!$A:$A="Cia Integral Etiquetas"),0)),"")</f>
        <v/>
      </c>
      <c r="E26" s="1038" t="str">
        <f t="shared" ref="E26:E59" si="3">+IF(E25="LK","CH",IF(D26="","",IF(D26&gt;0,"LK","CH")))</f>
        <v/>
      </c>
      <c r="F26" s="1038" t="str">
        <f>+IF(OR(E26="LK"),ROUNDUP(D26*(VLOOKUP(B26,'Pedido VACIO'!$I:$AM,31,0)/1000),0)*10,IF(E26="CH",D25-F25,""))</f>
        <v/>
      </c>
      <c r="G26" s="1206"/>
      <c r="H26" s="1040"/>
      <c r="I26" s="1040"/>
      <c r="J26" s="1040"/>
      <c r="K26" s="1040"/>
      <c r="L26" s="1040"/>
      <c r="M26" s="1041"/>
    </row>
    <row r="27" spans="1:13" ht="33.6" customHeight="1" x14ac:dyDescent="0.3">
      <c r="A27" s="1209"/>
      <c r="B27" s="1206"/>
      <c r="C27" s="1208"/>
      <c r="D27" s="1206"/>
      <c r="E27" s="1038" t="str">
        <f t="shared" si="3"/>
        <v/>
      </c>
      <c r="F27" s="1038" t="str">
        <f>+IF(OR(E27="LK"),ROUNDUP(D27*(VLOOKUP(B27,'Pedido VACIO'!$I:$AM,31,0)/1000),0)*10,IF(E27="CH",D26-F26,""))</f>
        <v/>
      </c>
      <c r="G27" s="1206"/>
      <c r="H27" s="1040"/>
      <c r="I27" s="1040"/>
      <c r="J27" s="1040"/>
      <c r="K27" s="1040"/>
      <c r="L27" s="1040"/>
      <c r="M27" s="1041"/>
    </row>
    <row r="28" spans="1:13" ht="33.6" customHeight="1" x14ac:dyDescent="0.3">
      <c r="A28" s="1209" t="str" cm="1">
        <f t="array" ref="A28">+IFERROR(INDEX('Pedido VACIO'!$C:$C,MATCH(1,('Pedido VACIO'!$I:$I=$B28)*('Pedido VACIO'!$A:$A="Cia Integral Etiquetas"),0)),"")</f>
        <v/>
      </c>
      <c r="B28" s="1206">
        <f>+B26+1</f>
        <v>8</v>
      </c>
      <c r="C28" s="1208" t="str" cm="1">
        <f t="array" ref="C28">+IFERROR(INDEX('Pedido VACIO'!$G:$G,MATCH(1,('Pedido VACIO'!$I:$I=$B28)*('Pedido VACIO'!$A:$A="Cia Integral Etiquetas"),0)),"")</f>
        <v/>
      </c>
      <c r="D28" s="1206" t="str" cm="1">
        <f t="array" ref="D28">+IFERROR(INDEX('Pedido VACIO'!$H:$H,MATCH(1,('Pedido VACIO'!$I:$I=$B28)*('Pedido VACIO'!$A:$A="Cia Integral Etiquetas"),0)),"")</f>
        <v/>
      </c>
      <c r="E28" s="1038" t="str">
        <f t="shared" si="3"/>
        <v/>
      </c>
      <c r="F28" s="1038" t="str">
        <f>+IF(OR(E28="LK"),ROUNDUP(D28*(VLOOKUP(B28,'Pedido VACIO'!$I:$AM,31,0)/1000),0)*10,IF(E28="CH",D27-F27,""))</f>
        <v/>
      </c>
      <c r="G28" s="1206"/>
      <c r="H28" s="1040"/>
      <c r="I28" s="1040"/>
      <c r="J28" s="1040"/>
      <c r="K28" s="1040"/>
      <c r="L28" s="1040"/>
      <c r="M28" s="1041"/>
    </row>
    <row r="29" spans="1:13" ht="33.6" customHeight="1" x14ac:dyDescent="0.3">
      <c r="A29" s="1209"/>
      <c r="B29" s="1206"/>
      <c r="C29" s="1208"/>
      <c r="D29" s="1206"/>
      <c r="E29" s="1038" t="str">
        <f t="shared" si="3"/>
        <v/>
      </c>
      <c r="F29" s="1038" t="str">
        <f>+IF(OR(E29="LK"),ROUNDUP(D29*(VLOOKUP(B29,'Pedido VACIO'!$I:$AM,31,0)/1000),0)*10,IF(E29="CH",D28-F28,""))</f>
        <v/>
      </c>
      <c r="G29" s="1206"/>
      <c r="H29" s="1040"/>
      <c r="I29" s="1040"/>
      <c r="J29" s="1040"/>
      <c r="K29" s="1040"/>
      <c r="L29" s="1040"/>
      <c r="M29" s="1041"/>
    </row>
    <row r="30" spans="1:13" ht="33.6" customHeight="1" x14ac:dyDescent="0.3">
      <c r="A30" s="1209" t="str" cm="1">
        <f t="array" ref="A30">+IFERROR(INDEX('Pedido VACIO'!$C:$C,MATCH(1,('Pedido VACIO'!$I:$I=$B30)*('Pedido VACIO'!$A:$A="Cia Integral Etiquetas"),0)),"")</f>
        <v/>
      </c>
      <c r="B30" s="1206">
        <f>+B28+1</f>
        <v>9</v>
      </c>
      <c r="C30" s="1208" t="str" cm="1">
        <f t="array" ref="C30">+IFERROR(INDEX('Pedido VACIO'!$G:$G,MATCH(1,('Pedido VACIO'!$I:$I=$B30)*('Pedido VACIO'!$A:$A="Cia Integral Etiquetas"),0)),"")</f>
        <v/>
      </c>
      <c r="D30" s="1206" t="str" cm="1">
        <f t="array" ref="D30">+IFERROR(INDEX('Pedido VACIO'!$H:$H,MATCH(1,('Pedido VACIO'!$I:$I=$B30)*('Pedido VACIO'!$A:$A="Cia Integral Etiquetas"),0)),"")</f>
        <v/>
      </c>
      <c r="E30" s="1038" t="str">
        <f t="shared" si="3"/>
        <v/>
      </c>
      <c r="F30" s="1038" t="str">
        <f>+IF(OR(E30="LK"),ROUNDUP(D30*(VLOOKUP(B30,'Pedido VACIO'!$I:$AM,31,0)/1000),0)*10,IF(E30="CH",D29-F29,""))</f>
        <v/>
      </c>
      <c r="G30" s="1206"/>
      <c r="H30" s="1040"/>
      <c r="I30" s="1040"/>
      <c r="J30" s="1040"/>
      <c r="K30" s="1040"/>
      <c r="L30" s="1040"/>
      <c r="M30" s="1041"/>
    </row>
    <row r="31" spans="1:13" ht="33.6" customHeight="1" x14ac:dyDescent="0.3">
      <c r="A31" s="1209"/>
      <c r="B31" s="1206"/>
      <c r="C31" s="1208"/>
      <c r="D31" s="1206"/>
      <c r="E31" s="1038" t="str">
        <f t="shared" si="3"/>
        <v/>
      </c>
      <c r="F31" s="1038" t="str">
        <f>+IF(OR(E31="LK"),ROUNDUP(D31*(VLOOKUP(B31,'Pedido VACIO'!$I:$AM,31,0)/1000),0)*10,IF(E31="CH",D30-F30,""))</f>
        <v/>
      </c>
      <c r="G31" s="1206"/>
      <c r="H31" s="1040"/>
      <c r="I31" s="1040"/>
      <c r="J31" s="1040"/>
      <c r="K31" s="1040"/>
      <c r="L31" s="1040"/>
      <c r="M31" s="1041"/>
    </row>
    <row r="32" spans="1:13" ht="33.6" customHeight="1" x14ac:dyDescent="0.3">
      <c r="A32" s="1209" t="str" cm="1">
        <f t="array" ref="A32">+IFERROR(INDEX('Pedido VACIO'!$C:$C,MATCH(1,('Pedido VACIO'!$I:$I=$B32)*('Pedido VACIO'!$A:$A="Cia Integral Etiquetas"),0)),"")</f>
        <v/>
      </c>
      <c r="B32" s="1206">
        <f>+B30+1</f>
        <v>10</v>
      </c>
      <c r="C32" s="1208" t="str" cm="1">
        <f t="array" ref="C32">+IFERROR(INDEX('Pedido VACIO'!$G:$G,MATCH(1,('Pedido VACIO'!$I:$I=$B32)*('Pedido VACIO'!$A:$A="Cia Integral Etiquetas"),0)),"")</f>
        <v/>
      </c>
      <c r="D32" s="1206" t="str" cm="1">
        <f t="array" ref="D32">+IFERROR(INDEX('Pedido VACIO'!$H:$H,MATCH(1,('Pedido VACIO'!$I:$I=$B32)*('Pedido VACIO'!$A:$A="Cia Integral Etiquetas"),0)),"")</f>
        <v/>
      </c>
      <c r="E32" s="1038" t="str">
        <f t="shared" si="3"/>
        <v/>
      </c>
      <c r="F32" s="1038" t="str">
        <f>+IF(OR(E32="LK"),ROUNDUP(D32*(VLOOKUP(B32,'Pedido VACIO'!$I:$AM,31,0)/1000),0)*10,IF(E32="CH",D31-F31,""))</f>
        <v/>
      </c>
      <c r="G32" s="1206"/>
      <c r="H32" s="1040"/>
      <c r="I32" s="1040"/>
      <c r="J32" s="1040"/>
      <c r="K32" s="1040"/>
      <c r="L32" s="1040"/>
      <c r="M32" s="1041"/>
    </row>
    <row r="33" spans="1:13" ht="33.6" customHeight="1" x14ac:dyDescent="0.3">
      <c r="A33" s="1209"/>
      <c r="B33" s="1206"/>
      <c r="C33" s="1208"/>
      <c r="D33" s="1206"/>
      <c r="E33" s="1038" t="str">
        <f t="shared" si="3"/>
        <v/>
      </c>
      <c r="F33" s="1038" t="str">
        <f>+IF(OR(E33="LK"),ROUNDUP(D33*(VLOOKUP(B33,'Pedido VACIO'!$I:$AM,31,0)/1000),0)*10,IF(E33="CH",D32-F32,""))</f>
        <v/>
      </c>
      <c r="G33" s="1206"/>
      <c r="H33" s="1040"/>
      <c r="I33" s="1040"/>
      <c r="J33" s="1040"/>
      <c r="K33" s="1040"/>
      <c r="L33" s="1040"/>
      <c r="M33" s="1041"/>
    </row>
    <row r="34" spans="1:13" ht="33.6" customHeight="1" x14ac:dyDescent="0.3">
      <c r="A34" s="1209" t="str" cm="1">
        <f t="array" ref="A34">+IFERROR(INDEX('Pedido VACIO'!$C:$C,MATCH(1,('Pedido VACIO'!$I:$I=$B34)*('Pedido VACIO'!$A:$A="Cia Integral Etiquetas"),0)),"")</f>
        <v/>
      </c>
      <c r="B34" s="1206">
        <f>+B32+1</f>
        <v>11</v>
      </c>
      <c r="C34" s="1208" t="str" cm="1">
        <f t="array" ref="C34">+IFERROR(INDEX('Pedido VACIO'!$G:$G,MATCH(1,('Pedido VACIO'!$I:$I=$B34)*('Pedido VACIO'!$A:$A="Cia Integral Etiquetas"),0)),"")</f>
        <v/>
      </c>
      <c r="D34" s="1206" t="str" cm="1">
        <f t="array" ref="D34">+IFERROR(INDEX('Pedido VACIO'!$H:$H,MATCH(1,('Pedido VACIO'!$I:$I=$B34)*('Pedido VACIO'!$A:$A="Cia Integral Etiquetas"),0)),"")</f>
        <v/>
      </c>
      <c r="E34" s="1038" t="str">
        <f t="shared" si="3"/>
        <v/>
      </c>
      <c r="F34" s="1038" t="str">
        <f>+IF(OR(E34="LK"),ROUNDUP(D34*(VLOOKUP(B34,'Pedido VACIO'!$I:$AM,31,0)/1000),0)*10,IF(E34="CH",D33-F33,""))</f>
        <v/>
      </c>
      <c r="G34" s="1206"/>
      <c r="H34" s="1040"/>
      <c r="I34" s="1040"/>
      <c r="J34" s="1040"/>
      <c r="K34" s="1040"/>
      <c r="L34" s="1040"/>
      <c r="M34" s="1041"/>
    </row>
    <row r="35" spans="1:13" ht="33.6" customHeight="1" x14ac:dyDescent="0.3">
      <c r="A35" s="1209"/>
      <c r="B35" s="1206"/>
      <c r="C35" s="1208"/>
      <c r="D35" s="1206"/>
      <c r="E35" s="1038" t="str">
        <f t="shared" si="3"/>
        <v/>
      </c>
      <c r="F35" s="1038" t="str">
        <f>+IF(OR(E35="LK"),ROUNDUP(D35*(VLOOKUP(B35,'Pedido VACIO'!$I:$AM,31,0)/1000),0)*10,IF(E35="CH",D34-F34,""))</f>
        <v/>
      </c>
      <c r="G35" s="1206"/>
      <c r="H35" s="1040"/>
      <c r="I35" s="1040"/>
      <c r="J35" s="1040"/>
      <c r="K35" s="1040"/>
      <c r="L35" s="1040"/>
      <c r="M35" s="1041"/>
    </row>
    <row r="36" spans="1:13" ht="33.6" customHeight="1" x14ac:dyDescent="0.3">
      <c r="A36" s="1209" t="str" cm="1">
        <f t="array" ref="A36">+IFERROR(INDEX('Pedido VACIO'!$C:$C,MATCH(1,('Pedido VACIO'!$I:$I=$B36)*('Pedido VACIO'!$A:$A="Cia Integral Etiquetas"),0)),"")</f>
        <v/>
      </c>
      <c r="B36" s="1206">
        <f>+B34+1</f>
        <v>12</v>
      </c>
      <c r="C36" s="1208" t="str" cm="1">
        <f t="array" ref="C36">+IFERROR(INDEX('Pedido VACIO'!$G:$G,MATCH(1,('Pedido VACIO'!$I:$I=$B36)*('Pedido VACIO'!$A:$A="Cia Integral Etiquetas"),0)),"")</f>
        <v/>
      </c>
      <c r="D36" s="1206" t="str" cm="1">
        <f t="array" ref="D36">+IFERROR(INDEX('Pedido VACIO'!$H:$H,MATCH(1,('Pedido VACIO'!$I:$I=$B36)*('Pedido VACIO'!$A:$A="Cia Integral Etiquetas"),0)),"")</f>
        <v/>
      </c>
      <c r="E36" s="1038" t="str">
        <f t="shared" si="3"/>
        <v/>
      </c>
      <c r="F36" s="1038" t="str">
        <f>+IF(OR(E36="LK"),ROUNDUP(D36*(VLOOKUP(B36,'Pedido VACIO'!$I:$AM,31,0)/1000),0)*10,IF(E36="CH",D35-F35,""))</f>
        <v/>
      </c>
      <c r="G36" s="1206"/>
      <c r="H36" s="1040"/>
      <c r="I36" s="1040"/>
      <c r="J36" s="1040"/>
      <c r="K36" s="1040"/>
      <c r="L36" s="1040"/>
      <c r="M36" s="1041"/>
    </row>
    <row r="37" spans="1:13" ht="33.6" customHeight="1" x14ac:dyDescent="0.3">
      <c r="A37" s="1209"/>
      <c r="B37" s="1206"/>
      <c r="C37" s="1208"/>
      <c r="D37" s="1206"/>
      <c r="E37" s="1038" t="str">
        <f t="shared" si="3"/>
        <v/>
      </c>
      <c r="F37" s="1038" t="str">
        <f>+IF(OR(E37="LK"),ROUNDUP(D37*(VLOOKUP(B37,'Pedido VACIO'!$I:$AM,31,0)/1000),0)*10,IF(E37="CH",D36-F36,""))</f>
        <v/>
      </c>
      <c r="G37" s="1206"/>
      <c r="H37" s="1040"/>
      <c r="I37" s="1040"/>
      <c r="J37" s="1040"/>
      <c r="K37" s="1040"/>
      <c r="L37" s="1040"/>
      <c r="M37" s="1041"/>
    </row>
    <row r="38" spans="1:13" ht="33.6" customHeight="1" x14ac:dyDescent="0.3">
      <c r="A38" s="1209" t="str" cm="1">
        <f t="array" ref="A38">+IFERROR(INDEX('Pedido VACIO'!$C:$C,MATCH(1,('Pedido VACIO'!$I:$I=$B38)*('Pedido VACIO'!$A:$A="Cia Integral Etiquetas"),0)),"")</f>
        <v/>
      </c>
      <c r="B38" s="1206">
        <f>+B36+1</f>
        <v>13</v>
      </c>
      <c r="C38" s="1208" t="str" cm="1">
        <f t="array" ref="C38">+IFERROR(INDEX('Pedido VACIO'!$G:$G,MATCH(1,('Pedido VACIO'!$I:$I=$B38)*('Pedido VACIO'!$A:$A="Cia Integral Etiquetas"),0)),"")</f>
        <v/>
      </c>
      <c r="D38" s="1206" t="str" cm="1">
        <f t="array" ref="D38">+IFERROR(INDEX('Pedido VACIO'!$H:$H,MATCH(1,('Pedido VACIO'!$I:$I=$B38)*('Pedido VACIO'!$A:$A="Cia Integral Etiquetas"),0)),"")</f>
        <v/>
      </c>
      <c r="E38" s="1038" t="str">
        <f t="shared" si="3"/>
        <v/>
      </c>
      <c r="F38" s="1038" t="str">
        <f>+IF(OR(E38="LK"),ROUNDUP(D38*(VLOOKUP(B38,'Pedido VACIO'!$I:$AM,31,0)/1000),0)*10,IF(E38="CH",D37-F37,""))</f>
        <v/>
      </c>
      <c r="G38" s="1206"/>
      <c r="H38" s="1040"/>
      <c r="I38" s="1040"/>
      <c r="J38" s="1040"/>
      <c r="K38" s="1040"/>
      <c r="L38" s="1040"/>
      <c r="M38" s="1041"/>
    </row>
    <row r="39" spans="1:13" ht="33.6" customHeight="1" x14ac:dyDescent="0.3">
      <c r="A39" s="1209"/>
      <c r="B39" s="1206"/>
      <c r="C39" s="1208"/>
      <c r="D39" s="1206"/>
      <c r="E39" s="1038" t="str">
        <f t="shared" si="3"/>
        <v/>
      </c>
      <c r="F39" s="1038" t="str">
        <f>+IF(OR(E39="LK"),ROUNDUP(D39*(VLOOKUP(B39,'Pedido VACIO'!$I:$AM,31,0)/1000),0)*10,IF(E39="CH",D38-F38,""))</f>
        <v/>
      </c>
      <c r="G39" s="1206"/>
      <c r="H39" s="1040"/>
      <c r="I39" s="1040"/>
      <c r="J39" s="1040"/>
      <c r="K39" s="1040"/>
      <c r="L39" s="1040"/>
      <c r="M39" s="1041"/>
    </row>
    <row r="40" spans="1:13" ht="33.6" customHeight="1" x14ac:dyDescent="0.3">
      <c r="A40" s="1209" t="str" cm="1">
        <f t="array" ref="A40">+IFERROR(INDEX('Pedido VACIO'!$C:$C,MATCH(1,('Pedido VACIO'!$I:$I=$B40)*('Pedido VACIO'!$A:$A="Cia Integral Etiquetas"),0)),"")</f>
        <v/>
      </c>
      <c r="B40" s="1206">
        <f>+B38+1</f>
        <v>14</v>
      </c>
      <c r="C40" s="1208" t="str" cm="1">
        <f t="array" ref="C40">+IFERROR(INDEX('Pedido VACIO'!$G:$G,MATCH(1,('Pedido VACIO'!$I:$I=$B40)*('Pedido VACIO'!$A:$A="Cia Integral Etiquetas"),0)),"")</f>
        <v/>
      </c>
      <c r="D40" s="1206" t="str" cm="1">
        <f t="array" ref="D40">+IFERROR(INDEX('Pedido VACIO'!$H:$H,MATCH(1,('Pedido VACIO'!$I:$I=$B40)*('Pedido VACIO'!$A:$A="Cia Integral Etiquetas"),0)),"")</f>
        <v/>
      </c>
      <c r="E40" s="1038" t="str">
        <f t="shared" si="3"/>
        <v/>
      </c>
      <c r="F40" s="1038" t="str">
        <f>+IF(OR(E40="LK"),ROUNDUP(D40*(VLOOKUP(B40,'Pedido VACIO'!$I:$AM,31,0)/1000),0)*10,IF(E40="CH",D39-F39,""))</f>
        <v/>
      </c>
      <c r="G40" s="1206"/>
      <c r="H40" s="1040"/>
      <c r="I40" s="1040"/>
      <c r="J40" s="1040"/>
      <c r="K40" s="1040"/>
      <c r="L40" s="1040"/>
      <c r="M40" s="1041"/>
    </row>
    <row r="41" spans="1:13" ht="33.6" customHeight="1" x14ac:dyDescent="0.3">
      <c r="A41" s="1209"/>
      <c r="B41" s="1206"/>
      <c r="C41" s="1208"/>
      <c r="D41" s="1206"/>
      <c r="E41" s="1038" t="str">
        <f t="shared" si="3"/>
        <v/>
      </c>
      <c r="F41" s="1038" t="str">
        <f>+IF(OR(E41="LK"),ROUNDUP(D41*(VLOOKUP(B41,'Pedido VACIO'!$I:$AM,31,0)/1000),0)*10,IF(E41="CH",D40-F40,""))</f>
        <v/>
      </c>
      <c r="G41" s="1206"/>
      <c r="H41" s="1040"/>
      <c r="I41" s="1040"/>
      <c r="J41" s="1040"/>
      <c r="K41" s="1040"/>
      <c r="L41" s="1040"/>
      <c r="M41" s="1041"/>
    </row>
    <row r="42" spans="1:13" ht="33.6" customHeight="1" x14ac:dyDescent="0.3">
      <c r="A42" s="1209" t="str" cm="1">
        <f t="array" ref="A42">+IFERROR(INDEX('Pedido VACIO'!$C:$C,MATCH(1,('Pedido VACIO'!$I:$I=$B42)*('Pedido VACIO'!$A:$A="Cia Integral Etiquetas"),0)),"")</f>
        <v/>
      </c>
      <c r="B42" s="1206">
        <f>+B40+1</f>
        <v>15</v>
      </c>
      <c r="C42" s="1208" t="str" cm="1">
        <f t="array" ref="C42">+IFERROR(INDEX('Pedido VACIO'!$G:$G,MATCH(1,('Pedido VACIO'!$I:$I=$B42)*('Pedido VACIO'!$A:$A="Cia Integral Etiquetas"),0)),"")</f>
        <v/>
      </c>
      <c r="D42" s="1206" t="str" cm="1">
        <f t="array" ref="D42">+IFERROR(INDEX('Pedido VACIO'!$H:$H,MATCH(1,('Pedido VACIO'!$I:$I=$B42)*('Pedido VACIO'!$A:$A="Cia Integral Etiquetas"),0)),"")</f>
        <v/>
      </c>
      <c r="E42" s="1038" t="str">
        <f t="shared" si="3"/>
        <v/>
      </c>
      <c r="F42" s="1038" t="str">
        <f>+IF(OR(E42="LK"),ROUNDUP(D42*(VLOOKUP(B42,'Pedido VACIO'!$I:$AM,31,0)/1000),0)*10,IF(E42="CH",D41-F41,""))</f>
        <v/>
      </c>
      <c r="G42" s="1206"/>
      <c r="H42" s="1040"/>
      <c r="I42" s="1040"/>
      <c r="J42" s="1040"/>
      <c r="K42" s="1040"/>
      <c r="L42" s="1040"/>
      <c r="M42" s="1041"/>
    </row>
    <row r="43" spans="1:13" ht="33.6" customHeight="1" x14ac:dyDescent="0.3">
      <c r="A43" s="1209"/>
      <c r="B43" s="1206"/>
      <c r="C43" s="1208"/>
      <c r="D43" s="1206"/>
      <c r="E43" s="1038" t="str">
        <f t="shared" si="3"/>
        <v/>
      </c>
      <c r="F43" s="1038" t="str">
        <f>+IF(OR(E43="LK"),ROUNDUP(D43*(VLOOKUP(B43,'Pedido VACIO'!$I:$AM,31,0)/1000),0)*10,IF(E43="CH",D42-F42,""))</f>
        <v/>
      </c>
      <c r="G43" s="1206"/>
      <c r="H43" s="1040"/>
      <c r="I43" s="1040"/>
      <c r="J43" s="1040"/>
      <c r="K43" s="1040"/>
      <c r="L43" s="1040"/>
      <c r="M43" s="1041"/>
    </row>
    <row r="44" spans="1:13" ht="18" x14ac:dyDescent="0.3">
      <c r="A44" s="1209" t="str" cm="1">
        <f t="array" ref="A44">+IFERROR(INDEX('Pedido VACIO'!$C:$C,MATCH(1,('Pedido VACIO'!$I:$I=$B44)*('Pedido VACIO'!$A:$A="Cia Integral Etiquetas"),0)),"")</f>
        <v/>
      </c>
      <c r="B44" s="1206">
        <f>+B42+1</f>
        <v>16</v>
      </c>
      <c r="C44" s="1208" t="str" cm="1">
        <f t="array" ref="C44">+IFERROR(INDEX('Pedido VACIO'!$G:$G,MATCH(1,('Pedido VACIO'!$I:$I=$B44)*('Pedido VACIO'!$A:$A="Cia Integral Etiquetas"),0)),"")</f>
        <v/>
      </c>
      <c r="D44" s="1206" t="str" cm="1">
        <f t="array" ref="D44">+IFERROR(INDEX('Pedido VACIO'!$H:$H,MATCH(1,('Pedido VACIO'!$I:$I=$B44)*('Pedido VACIO'!$A:$A="Cia Integral Etiquetas"),0)),"")</f>
        <v/>
      </c>
      <c r="E44" s="1038" t="str">
        <f t="shared" si="3"/>
        <v/>
      </c>
      <c r="F44" s="1038" t="str">
        <f>+IF(OR(E44="LK"),ROUNDUP(D44*(VLOOKUP(B44,'Pedido VACIO'!$I:$AM,31,0)/1000),0)*10,IF(E44="CH",D43-F43,""))</f>
        <v/>
      </c>
      <c r="G44" s="1206"/>
      <c r="H44" s="1040"/>
      <c r="I44" s="1040"/>
      <c r="J44" s="1040"/>
      <c r="K44" s="1040"/>
      <c r="L44" s="1040"/>
      <c r="M44" s="1041"/>
    </row>
    <row r="45" spans="1:13" ht="18" x14ac:dyDescent="0.3">
      <c r="A45" s="1209"/>
      <c r="B45" s="1206"/>
      <c r="C45" s="1208"/>
      <c r="D45" s="1206"/>
      <c r="E45" s="1038" t="str">
        <f t="shared" si="3"/>
        <v/>
      </c>
      <c r="F45" s="1038" t="str">
        <f>+IF(OR(E45="LK"),ROUNDUP(D45*(VLOOKUP(B45,'Pedido VACIO'!$I:$AM,31,0)/1000),0)*10,IF(E45="CH",D44-F44,""))</f>
        <v/>
      </c>
      <c r="G45" s="1206"/>
      <c r="H45" s="1040"/>
      <c r="I45" s="1040"/>
      <c r="J45" s="1040"/>
      <c r="K45" s="1040"/>
      <c r="L45" s="1040"/>
      <c r="M45" s="1041"/>
    </row>
    <row r="46" spans="1:13" ht="18" x14ac:dyDescent="0.3">
      <c r="A46" s="1209" t="str" cm="1">
        <f t="array" ref="A46">+IFERROR(INDEX('Pedido VACIO'!$C:$C,MATCH(1,('Pedido VACIO'!$I:$I=$B46)*('Pedido VACIO'!$A:$A="Cia Integral Etiquetas"),0)),"")</f>
        <v/>
      </c>
      <c r="B46" s="1206">
        <f>+B44+1</f>
        <v>17</v>
      </c>
      <c r="C46" s="1208" t="str" cm="1">
        <f t="array" ref="C46">+IFERROR(INDEX('Pedido VACIO'!$G:$G,MATCH(1,('Pedido VACIO'!$I:$I=$B46)*('Pedido VACIO'!$A:$A="Cia Integral Etiquetas"),0)),"")</f>
        <v/>
      </c>
      <c r="D46" s="1206" t="str" cm="1">
        <f t="array" ref="D46">+IFERROR(INDEX('Pedido VACIO'!$H:$H,MATCH(1,('Pedido VACIO'!$I:$I=$B46)*('Pedido VACIO'!$A:$A="Cia Integral Etiquetas"),0)),"")</f>
        <v/>
      </c>
      <c r="E46" s="1038" t="str">
        <f t="shared" si="3"/>
        <v/>
      </c>
      <c r="F46" s="1038" t="str">
        <f>+IF(OR(E46="LK"),ROUNDUP(D46*(VLOOKUP(B46,'Pedido VACIO'!$I:$AM,31,0)/1000),0)*10,IF(E46="CH",D45-F45,""))</f>
        <v/>
      </c>
      <c r="G46" s="1206"/>
      <c r="H46" s="1040"/>
      <c r="I46" s="1040"/>
      <c r="J46" s="1040"/>
      <c r="K46" s="1040"/>
      <c r="L46" s="1040"/>
      <c r="M46" s="1041"/>
    </row>
    <row r="47" spans="1:13" ht="18" x14ac:dyDescent="0.3">
      <c r="A47" s="1209"/>
      <c r="B47" s="1206"/>
      <c r="C47" s="1208"/>
      <c r="D47" s="1206"/>
      <c r="E47" s="1038" t="str">
        <f t="shared" si="3"/>
        <v/>
      </c>
      <c r="F47" s="1038" t="str">
        <f>+IF(OR(E47="LK"),ROUNDUP(D47*(VLOOKUP(B47,'Pedido VACIO'!$I:$AM,31,0)/1000),0)*10,IF(E47="CH",D46-F46,""))</f>
        <v/>
      </c>
      <c r="G47" s="1206"/>
      <c r="H47" s="1040"/>
      <c r="I47" s="1040"/>
      <c r="J47" s="1040"/>
      <c r="K47" s="1040"/>
      <c r="L47" s="1040"/>
      <c r="M47" s="1041"/>
    </row>
    <row r="48" spans="1:13" ht="18" x14ac:dyDescent="0.3">
      <c r="A48" s="1209" t="str" cm="1">
        <f t="array" ref="A48">+IFERROR(INDEX('Pedido VACIO'!$C:$C,MATCH(1,('Pedido VACIO'!$I:$I=$B48)*('Pedido VACIO'!$A:$A="Cia Integral Etiquetas"),0)),"")</f>
        <v/>
      </c>
      <c r="B48" s="1206">
        <f>+B46+1</f>
        <v>18</v>
      </c>
      <c r="C48" s="1208" t="str" cm="1">
        <f t="array" ref="C48">+IFERROR(INDEX('Pedido VACIO'!$G:$G,MATCH(1,('Pedido VACIO'!$I:$I=$B48)*('Pedido VACIO'!$A:$A="Cia Integral Etiquetas"),0)),"")</f>
        <v/>
      </c>
      <c r="D48" s="1206" t="str" cm="1">
        <f t="array" ref="D48">+IFERROR(INDEX('Pedido VACIO'!$H:$H,MATCH(1,('Pedido VACIO'!$I:$I=$B48)*('Pedido VACIO'!$A:$A="Cia Integral Etiquetas"),0)),"")</f>
        <v/>
      </c>
      <c r="E48" s="1038" t="str">
        <f t="shared" si="3"/>
        <v/>
      </c>
      <c r="F48" s="1038" t="str">
        <f>+IF(OR(E48="LK"),ROUNDUP(D48*(VLOOKUP(B48,'Pedido VACIO'!$I:$AM,31,0)/1000),0)*10,IF(E48="CH",D47-F47,""))</f>
        <v/>
      </c>
      <c r="G48" s="1206"/>
      <c r="H48" s="1040"/>
      <c r="I48" s="1040"/>
      <c r="J48" s="1040"/>
      <c r="K48" s="1040"/>
      <c r="L48" s="1040"/>
      <c r="M48" s="1041"/>
    </row>
    <row r="49" spans="1:13" ht="18" x14ac:dyDescent="0.3">
      <c r="A49" s="1209"/>
      <c r="B49" s="1206"/>
      <c r="C49" s="1208"/>
      <c r="D49" s="1206"/>
      <c r="E49" s="1038" t="str">
        <f t="shared" si="3"/>
        <v/>
      </c>
      <c r="F49" s="1038" t="str">
        <f>+IF(OR(E49="LK"),ROUNDUP(D49*(VLOOKUP(B49,'Pedido VACIO'!$I:$AM,31,0)/1000),0)*10,IF(E49="CH",D48-F48,""))</f>
        <v/>
      </c>
      <c r="G49" s="1206"/>
      <c r="H49" s="1040"/>
      <c r="I49" s="1040"/>
      <c r="J49" s="1040"/>
      <c r="K49" s="1040"/>
      <c r="L49" s="1040"/>
      <c r="M49" s="1041"/>
    </row>
    <row r="50" spans="1:13" ht="18" x14ac:dyDescent="0.3">
      <c r="A50" s="1209" t="str" cm="1">
        <f t="array" ref="A50">+IFERROR(INDEX('Pedido VACIO'!$C:$C,MATCH(1,('Pedido VACIO'!$I:$I=$B50)*('Pedido VACIO'!$A:$A="Cia Integral Etiquetas"),0)),"")</f>
        <v/>
      </c>
      <c r="B50" s="1206">
        <f>+B48+1</f>
        <v>19</v>
      </c>
      <c r="C50" s="1208" t="str" cm="1">
        <f t="array" ref="C50">+IFERROR(INDEX('Pedido VACIO'!$G:$G,MATCH(1,('Pedido VACIO'!$I:$I=$B50)*('Pedido VACIO'!$A:$A="Cia Integral Etiquetas"),0)),"")</f>
        <v/>
      </c>
      <c r="D50" s="1206" t="str" cm="1">
        <f t="array" ref="D50">+IFERROR(INDEX('Pedido VACIO'!$H:$H,MATCH(1,('Pedido VACIO'!$I:$I=$B50)*('Pedido VACIO'!$A:$A="Cia Integral Etiquetas"),0)),"")</f>
        <v/>
      </c>
      <c r="E50" s="1038" t="str">
        <f t="shared" si="3"/>
        <v/>
      </c>
      <c r="F50" s="1038" t="str">
        <f>+IF(OR(E50="LK"),ROUNDUP(D50*(VLOOKUP(B50,'Pedido VACIO'!$I:$AM,31,0)/1000),0)*10,IF(E50="CH",D49-F49,""))</f>
        <v/>
      </c>
      <c r="G50" s="1206"/>
      <c r="H50" s="1040"/>
      <c r="I50" s="1040"/>
      <c r="J50" s="1040"/>
      <c r="K50" s="1040"/>
      <c r="L50" s="1040"/>
      <c r="M50" s="1041"/>
    </row>
    <row r="51" spans="1:13" ht="18" x14ac:dyDescent="0.3">
      <c r="A51" s="1209"/>
      <c r="B51" s="1206"/>
      <c r="C51" s="1208"/>
      <c r="D51" s="1206"/>
      <c r="E51" s="1038" t="str">
        <f t="shared" si="3"/>
        <v/>
      </c>
      <c r="F51" s="1038" t="str">
        <f>+IF(OR(E51="LK"),ROUNDUP(D51*(VLOOKUP(B51,'Pedido VACIO'!$I:$AM,31,0)/1000),0)*10,IF(E51="CH",D50-F50,""))</f>
        <v/>
      </c>
      <c r="G51" s="1206"/>
      <c r="H51" s="1040"/>
      <c r="I51" s="1040"/>
      <c r="J51" s="1040"/>
      <c r="K51" s="1040"/>
      <c r="L51" s="1040"/>
      <c r="M51" s="1041"/>
    </row>
    <row r="52" spans="1:13" ht="18" x14ac:dyDescent="0.3">
      <c r="A52" s="1209" t="str" cm="1">
        <f t="array" ref="A52">+IFERROR(INDEX('Pedido VACIO'!$C:$C,MATCH(1,('Pedido VACIO'!$I:$I=$B52)*('Pedido VACIO'!$A:$A="Cia Integral Etiquetas"),0)),"")</f>
        <v/>
      </c>
      <c r="B52" s="1206">
        <f>+B50+1</f>
        <v>20</v>
      </c>
      <c r="C52" s="1208" t="str" cm="1">
        <f t="array" ref="C52">+IFERROR(INDEX('Pedido VACIO'!$G:$G,MATCH(1,('Pedido VACIO'!$I:$I=$B52)*('Pedido VACIO'!$A:$A="Cia Integral Etiquetas"),0)),"")</f>
        <v/>
      </c>
      <c r="D52" s="1206" t="str" cm="1">
        <f t="array" ref="D52">+IFERROR(INDEX('Pedido VACIO'!$H:$H,MATCH(1,('Pedido VACIO'!$I:$I=$B52)*('Pedido VACIO'!$A:$A="Cia Integral Etiquetas"),0)),"")</f>
        <v/>
      </c>
      <c r="E52" s="1038" t="str">
        <f t="shared" si="3"/>
        <v/>
      </c>
      <c r="F52" s="1038" t="str">
        <f>+IF(OR(E52="LK"),ROUNDUP(D52*(VLOOKUP(B52,'Pedido VACIO'!$I:$AM,31,0)/1000),0)*10,IF(E52="CH",D51-F51,""))</f>
        <v/>
      </c>
      <c r="G52" s="1206"/>
      <c r="H52" s="1040"/>
      <c r="I52" s="1040"/>
      <c r="J52" s="1040"/>
      <c r="K52" s="1040"/>
      <c r="L52" s="1040"/>
      <c r="M52" s="1041"/>
    </row>
    <row r="53" spans="1:13" ht="18" x14ac:dyDescent="0.3">
      <c r="A53" s="1209"/>
      <c r="B53" s="1206"/>
      <c r="C53" s="1208"/>
      <c r="D53" s="1206"/>
      <c r="E53" s="1038" t="str">
        <f t="shared" si="3"/>
        <v/>
      </c>
      <c r="F53" s="1038" t="str">
        <f>+IF(OR(E53="LK"),ROUNDUP(D53*(VLOOKUP(B53,'Pedido VACIO'!$I:$AM,31,0)/1000),0)*10,IF(E53="CH",D52-F52,""))</f>
        <v/>
      </c>
      <c r="G53" s="1206"/>
      <c r="H53" s="1040"/>
      <c r="I53" s="1040"/>
      <c r="J53" s="1040"/>
      <c r="K53" s="1040"/>
      <c r="L53" s="1040"/>
      <c r="M53" s="1041"/>
    </row>
    <row r="54" spans="1:13" ht="18" x14ac:dyDescent="0.3">
      <c r="A54" s="1209" t="str" cm="1">
        <f t="array" ref="A54">+IFERROR(INDEX('Pedido VACIO'!$C:$C,MATCH(1,('Pedido VACIO'!$I:$I=$B54)*('Pedido VACIO'!$A:$A="Cia Integral Etiquetas"),0)),"")</f>
        <v/>
      </c>
      <c r="B54" s="1206">
        <f>+B52+1</f>
        <v>21</v>
      </c>
      <c r="C54" s="1208" t="str" cm="1">
        <f t="array" ref="C54">+IFERROR(INDEX('Pedido VACIO'!$G:$G,MATCH(1,('Pedido VACIO'!$I:$I=$B54)*('Pedido VACIO'!$A:$A="Cia Integral Etiquetas"),0)),"")</f>
        <v/>
      </c>
      <c r="D54" s="1206" t="str" cm="1">
        <f t="array" ref="D54">+IFERROR(INDEX('Pedido VACIO'!$H:$H,MATCH(1,('Pedido VACIO'!$I:$I=$B54)*('Pedido VACIO'!$A:$A="Cia Integral Etiquetas"),0)),"")</f>
        <v/>
      </c>
      <c r="E54" s="1038" t="str">
        <f t="shared" si="3"/>
        <v/>
      </c>
      <c r="F54" s="1038" t="str">
        <f>+IF(OR(E54="LK"),ROUNDUP(D54*(VLOOKUP(B54,'Pedido VACIO'!$I:$AM,31,0)/1000),0)*10,IF(E54="CH",D53-F53,""))</f>
        <v/>
      </c>
      <c r="G54" s="1206"/>
      <c r="H54" s="1040"/>
      <c r="I54" s="1040"/>
      <c r="J54" s="1040"/>
      <c r="K54" s="1040"/>
      <c r="L54" s="1040"/>
      <c r="M54" s="1041"/>
    </row>
    <row r="55" spans="1:13" ht="18" x14ac:dyDescent="0.3">
      <c r="A55" s="1209"/>
      <c r="B55" s="1206"/>
      <c r="C55" s="1208"/>
      <c r="D55" s="1206"/>
      <c r="E55" s="1038" t="str">
        <f t="shared" si="3"/>
        <v/>
      </c>
      <c r="F55" s="1038" t="str">
        <f>+IF(OR(E55="LK"),ROUNDUP(D55*(VLOOKUP(B55,'Pedido VACIO'!$I:$AM,31,0)/1000),0)*10,IF(E55="CH",D54-F54,""))</f>
        <v/>
      </c>
      <c r="G55" s="1206"/>
      <c r="H55" s="1040"/>
      <c r="I55" s="1040"/>
      <c r="J55" s="1040"/>
      <c r="K55" s="1040"/>
      <c r="L55" s="1040"/>
      <c r="M55" s="1041"/>
    </row>
    <row r="56" spans="1:13" ht="18" x14ac:dyDescent="0.3">
      <c r="A56" s="1209" t="str" cm="1">
        <f t="array" ref="A56">+IFERROR(INDEX('Pedido VACIO'!$C:$C,MATCH(1,('Pedido VACIO'!$I:$I=$B56)*('Pedido VACIO'!$A:$A="Cia Integral Etiquetas"),0)),"")</f>
        <v/>
      </c>
      <c r="B56" s="1206">
        <f>+B54+1</f>
        <v>22</v>
      </c>
      <c r="C56" s="1208" t="str" cm="1">
        <f t="array" ref="C56">+IFERROR(INDEX('Pedido VACIO'!$G:$G,MATCH(1,('Pedido VACIO'!$I:$I=$B56)*('Pedido VACIO'!$A:$A="Cia Integral Etiquetas"),0)),"")</f>
        <v/>
      </c>
      <c r="D56" s="1206" t="str" cm="1">
        <f t="array" ref="D56">+IFERROR(INDEX('Pedido VACIO'!$H:$H,MATCH(1,('Pedido VACIO'!$I:$I=$B56)*('Pedido VACIO'!$A:$A="Cia Integral Etiquetas"),0)),"")</f>
        <v/>
      </c>
      <c r="E56" s="1038" t="str">
        <f t="shared" si="3"/>
        <v/>
      </c>
      <c r="F56" s="1038" t="str">
        <f>+IF(OR(E56="LK"),ROUNDUP(D56*(VLOOKUP(B56,'Pedido VACIO'!$I:$AM,31,0)/1000),0)*10,IF(E56="CH",D55-F55,""))</f>
        <v/>
      </c>
      <c r="G56" s="1206"/>
      <c r="H56" s="1040"/>
      <c r="I56" s="1040"/>
      <c r="J56" s="1040"/>
      <c r="K56" s="1040"/>
      <c r="L56" s="1040"/>
      <c r="M56" s="1041"/>
    </row>
    <row r="57" spans="1:13" ht="18" x14ac:dyDescent="0.3">
      <c r="A57" s="1209"/>
      <c r="B57" s="1206"/>
      <c r="C57" s="1208"/>
      <c r="D57" s="1206"/>
      <c r="E57" s="1038" t="str">
        <f t="shared" si="3"/>
        <v/>
      </c>
      <c r="F57" s="1038" t="str">
        <f>+IF(OR(E57="LK"),ROUNDUP(D57*(VLOOKUP(B57,'Pedido VACIO'!$I:$AM,31,0)/1000),0)*10,IF(E57="CH",D56-F56,""))</f>
        <v/>
      </c>
      <c r="G57" s="1206"/>
      <c r="H57" s="1040"/>
      <c r="I57" s="1040"/>
      <c r="J57" s="1040"/>
      <c r="K57" s="1040"/>
      <c r="L57" s="1040"/>
      <c r="M57" s="1041"/>
    </row>
    <row r="58" spans="1:13" ht="18" x14ac:dyDescent="0.3">
      <c r="A58" s="1209" t="str" cm="1">
        <f t="array" ref="A58">+IFERROR(INDEX('Pedido VACIO'!$C:$C,MATCH(1,('Pedido VACIO'!$I:$I=$B58)*('Pedido VACIO'!$A:$A="Cia Integral Etiquetas"),0)),"")</f>
        <v/>
      </c>
      <c r="B58" s="1206">
        <f>+B56+1</f>
        <v>23</v>
      </c>
      <c r="C58" s="1208" t="str" cm="1">
        <f t="array" ref="C58">+IFERROR(INDEX('Pedido VACIO'!$G:$G,MATCH(1,('Pedido VACIO'!$I:$I=$B58)*('Pedido VACIO'!$A:$A="Cia Integral Etiquetas"),0)),"")</f>
        <v/>
      </c>
      <c r="D58" s="1206" t="str" cm="1">
        <f t="array" ref="D58">+IFERROR(INDEX('Pedido VACIO'!$H:$H,MATCH(1,('Pedido VACIO'!$I:$I=$B58)*('Pedido VACIO'!$A:$A="Cia Integral Etiquetas"),0)),"")</f>
        <v/>
      </c>
      <c r="E58" s="1038" t="str">
        <f t="shared" si="3"/>
        <v/>
      </c>
      <c r="F58" s="1038" t="str">
        <f>+IF(OR(E58="LK"),ROUNDUP(D58*(VLOOKUP(B58,'Pedido VACIO'!$I:$AM,31,0)/1000),0)*10,IF(E58="CH",D57-F57,""))</f>
        <v/>
      </c>
      <c r="G58" s="1206"/>
      <c r="H58" s="1040"/>
      <c r="I58" s="1040"/>
      <c r="J58" s="1040"/>
      <c r="K58" s="1040"/>
      <c r="L58" s="1040"/>
      <c r="M58" s="1041"/>
    </row>
    <row r="59" spans="1:13" ht="18" x14ac:dyDescent="0.3">
      <c r="A59" s="1209"/>
      <c r="B59" s="1206"/>
      <c r="C59" s="1208"/>
      <c r="D59" s="1206"/>
      <c r="E59" s="1038" t="str">
        <f t="shared" si="3"/>
        <v/>
      </c>
      <c r="F59" s="1038" t="str">
        <f>+IF(OR(E59="LK"),ROUNDUP(D59*(VLOOKUP(B59,'Pedido VACIO'!$I:$AM,31,0)/1000),0)*10,IF(E59="CH",D58-F58,""))</f>
        <v/>
      </c>
      <c r="G59" s="1206"/>
      <c r="H59" s="1040"/>
      <c r="I59" s="1040"/>
      <c r="J59" s="1040"/>
      <c r="K59" s="1040"/>
      <c r="L59" s="1040"/>
      <c r="M59" s="1041"/>
    </row>
    <row r="60" spans="1:13" ht="18" x14ac:dyDescent="0.3">
      <c r="A60" s="1209" t="str" cm="1">
        <f t="array" ref="A60">+IFERROR(INDEX('Pedido VACIO'!$C:$C,MATCH(1,('Pedido VACIO'!$I:$I=$B60)*('Pedido VACIO'!$A:$A="Cia Integral Etiquetas"),0)),"")</f>
        <v/>
      </c>
      <c r="B60" s="1206">
        <f>+B58+1</f>
        <v>24</v>
      </c>
      <c r="C60" s="1208" t="str" cm="1">
        <f t="array" ref="C60">+IFERROR(INDEX('Pedido VACIO'!$G:$G,MATCH(1,('Pedido VACIO'!$I:$I=$B60)*('Pedido VACIO'!$A:$A="Cia Integral Etiquetas"),0)),"")</f>
        <v/>
      </c>
      <c r="D60" s="1206" t="str" cm="1">
        <f t="array" ref="D60">+IFERROR(INDEX('Pedido VACIO'!$H:$H,MATCH(1,('Pedido VACIO'!$I:$I=$B60)*('Pedido VACIO'!$A:$A="Cia Integral Etiquetas"),0)),"")</f>
        <v/>
      </c>
      <c r="E60" s="1038" t="str">
        <f>+IF(E59="LK","CH",IF(D60="","",IF(D60&gt;0,"LK","CH")))</f>
        <v/>
      </c>
      <c r="F60" s="1038" t="str">
        <f>+IF(OR(E60="LK"),ROUNDUP(D60*(VLOOKUP(B60,'Pedido VACIO'!$I:$AM,31,0)/1000),0)*10,IF(E60="CH",D59-F59,""))</f>
        <v/>
      </c>
      <c r="G60" s="1206"/>
      <c r="H60" s="1040"/>
      <c r="I60" s="1040"/>
      <c r="J60" s="1040"/>
      <c r="K60" s="1040"/>
      <c r="L60" s="1040"/>
      <c r="M60" s="1041"/>
    </row>
    <row r="61" spans="1:13" ht="18" x14ac:dyDescent="0.3">
      <c r="A61" s="1209"/>
      <c r="B61" s="1206"/>
      <c r="C61" s="1208"/>
      <c r="D61" s="1206"/>
      <c r="E61" s="1038" t="str">
        <f t="shared" ref="E61:E73" si="4">+IF(E60="LK","CH",IF(D61="","",IF(D61&gt;0,"LK","CH")))</f>
        <v/>
      </c>
      <c r="F61" s="1038" t="str">
        <f>+IF(OR(E61="LK"),ROUNDUP(D61*(VLOOKUP(B61,'Pedido VACIO'!$I:$AM,31,0)/1000),0)*10,IF(E61="CH",D60-F60,""))</f>
        <v/>
      </c>
      <c r="G61" s="1206"/>
      <c r="H61" s="1040"/>
      <c r="I61" s="1040"/>
      <c r="J61" s="1040"/>
      <c r="K61" s="1040"/>
      <c r="L61" s="1040"/>
      <c r="M61" s="1041"/>
    </row>
    <row r="62" spans="1:13" ht="18" x14ac:dyDescent="0.3">
      <c r="A62" s="1209" t="str" cm="1">
        <f t="array" ref="A62">+IFERROR(INDEX('Pedido VACIO'!$C:$C,MATCH(1,('Pedido VACIO'!$I:$I=$B62)*('Pedido VACIO'!$A:$A="Cia Integral Etiquetas"),0)),"")</f>
        <v/>
      </c>
      <c r="B62" s="1206">
        <f>+B60+1</f>
        <v>25</v>
      </c>
      <c r="C62" s="1208" t="str" cm="1">
        <f t="array" ref="C62">+IFERROR(INDEX('Pedido VACIO'!$G:$G,MATCH(1,('Pedido VACIO'!$I:$I=$B62)*('Pedido VACIO'!$A:$A="Cia Integral Etiquetas"),0)),"")</f>
        <v/>
      </c>
      <c r="D62" s="1206" t="str" cm="1">
        <f t="array" ref="D62">+IFERROR(INDEX('Pedido VACIO'!$H:$H,MATCH(1,('Pedido VACIO'!$I:$I=$B62)*('Pedido VACIO'!$A:$A="Cia Integral Etiquetas"),0)),"")</f>
        <v/>
      </c>
      <c r="E62" s="1038" t="str">
        <f t="shared" si="4"/>
        <v/>
      </c>
      <c r="F62" s="1038" t="str">
        <f>+IF(OR(E62="LK"),ROUNDUP(D62*(VLOOKUP(B62,'Pedido VACIO'!$I:$AM,31,0)/1000),0)*10,IF(E62="CH",D61-F61,""))</f>
        <v/>
      </c>
      <c r="G62" s="1206"/>
      <c r="H62" s="1040"/>
      <c r="I62" s="1040"/>
      <c r="J62" s="1040"/>
      <c r="K62" s="1040"/>
      <c r="L62" s="1040"/>
      <c r="M62" s="1041"/>
    </row>
    <row r="63" spans="1:13" ht="18" x14ac:dyDescent="0.3">
      <c r="A63" s="1209"/>
      <c r="B63" s="1206"/>
      <c r="C63" s="1208"/>
      <c r="D63" s="1206"/>
      <c r="E63" s="1038" t="str">
        <f t="shared" si="4"/>
        <v/>
      </c>
      <c r="F63" s="1038" t="str">
        <f>+IF(OR(E63="LK"),ROUNDUP(D63*(VLOOKUP(B63,'Pedido VACIO'!$I:$AM,31,0)/1000),0)*10,IF(E63="CH",D62-F62,""))</f>
        <v/>
      </c>
      <c r="G63" s="1206"/>
      <c r="H63" s="1040"/>
      <c r="I63" s="1040"/>
      <c r="J63" s="1040"/>
      <c r="K63" s="1040"/>
      <c r="L63" s="1040"/>
      <c r="M63" s="1041"/>
    </row>
    <row r="64" spans="1:13" ht="18" x14ac:dyDescent="0.3">
      <c r="A64" s="1209" t="str" cm="1">
        <f t="array" ref="A64">+IFERROR(INDEX('Pedido VACIO'!$C:$C,MATCH(1,('Pedido VACIO'!$I:$I=$B64)*('Pedido VACIO'!$A:$A="Cia Integral Etiquetas"),0)),"")</f>
        <v/>
      </c>
      <c r="B64" s="1206">
        <f>+B62+1</f>
        <v>26</v>
      </c>
      <c r="C64" s="1208" t="str" cm="1">
        <f t="array" ref="C64">+IFERROR(INDEX('Pedido VACIO'!$G:$G,MATCH(1,('Pedido VACIO'!$I:$I=$B64)*('Pedido VACIO'!$A:$A="Cia Integral Etiquetas"),0)),"")</f>
        <v/>
      </c>
      <c r="D64" s="1206" t="str" cm="1">
        <f t="array" ref="D64">+IFERROR(INDEX('Pedido VACIO'!$H:$H,MATCH(1,('Pedido VACIO'!$I:$I=$B64)*('Pedido VACIO'!$A:$A="Cia Integral Etiquetas"),0)),"")</f>
        <v/>
      </c>
      <c r="E64" s="1038" t="str">
        <f t="shared" si="4"/>
        <v/>
      </c>
      <c r="F64" s="1038" t="str">
        <f>+IF(OR(E64="LK"),ROUNDUP(D64*(VLOOKUP(B64,'Pedido VACIO'!$I:$AM,31,0)/1000),0)*10,IF(E64="CH",D63-F63,""))</f>
        <v/>
      </c>
      <c r="G64" s="1206"/>
      <c r="H64" s="1040"/>
      <c r="I64" s="1040"/>
      <c r="J64" s="1040"/>
      <c r="K64" s="1040"/>
      <c r="L64" s="1040"/>
      <c r="M64" s="1041"/>
    </row>
    <row r="65" spans="1:13" ht="18" x14ac:dyDescent="0.3">
      <c r="A65" s="1209"/>
      <c r="B65" s="1206"/>
      <c r="C65" s="1208"/>
      <c r="D65" s="1206"/>
      <c r="E65" s="1038" t="str">
        <f t="shared" si="4"/>
        <v/>
      </c>
      <c r="F65" s="1038" t="str">
        <f>+IF(OR(E65="LK"),ROUNDUP(D65*(VLOOKUP(B65,'Pedido VACIO'!$I:$AM,31,0)/1000),0)*10,IF(E65="CH",D64-F64,""))</f>
        <v/>
      </c>
      <c r="G65" s="1206"/>
      <c r="H65" s="1040"/>
      <c r="I65" s="1040"/>
      <c r="J65" s="1040"/>
      <c r="K65" s="1040"/>
      <c r="L65" s="1040"/>
      <c r="M65" s="1041"/>
    </row>
    <row r="66" spans="1:13" ht="18" x14ac:dyDescent="0.3">
      <c r="A66" s="1209" t="str" cm="1">
        <f t="array" ref="A66">+IFERROR(INDEX('Pedido VACIO'!$C:$C,MATCH(1,('Pedido VACIO'!$I:$I=$B66)*('Pedido VACIO'!$A:$A="Cia Integral Etiquetas"),0)),"")</f>
        <v/>
      </c>
      <c r="B66" s="1206">
        <f>+B64+1</f>
        <v>27</v>
      </c>
      <c r="C66" s="1208" t="str" cm="1">
        <f t="array" ref="C66">+IFERROR(INDEX('Pedido VACIO'!$G:$G,MATCH(1,('Pedido VACIO'!$I:$I=$B66)*('Pedido VACIO'!$A:$A="Cia Integral Etiquetas"),0)),"")</f>
        <v/>
      </c>
      <c r="D66" s="1206" t="str" cm="1">
        <f t="array" ref="D66">+IFERROR(INDEX('Pedido VACIO'!$H:$H,MATCH(1,('Pedido VACIO'!$I:$I=$B66)*('Pedido VACIO'!$A:$A="Cia Integral Etiquetas"),0)),"")</f>
        <v/>
      </c>
      <c r="E66" s="1038" t="str">
        <f t="shared" si="4"/>
        <v/>
      </c>
      <c r="F66" s="1038" t="str">
        <f>+IF(OR(E66="LK"),ROUNDUP(D66*(VLOOKUP(B66,'Pedido VACIO'!$I:$AM,31,0)/1000),0)*10,IF(E66="CH",D65-F65,""))</f>
        <v/>
      </c>
      <c r="G66" s="1206"/>
      <c r="H66" s="1040"/>
      <c r="I66" s="1040"/>
      <c r="J66" s="1040"/>
      <c r="K66" s="1040"/>
      <c r="L66" s="1040"/>
      <c r="M66" s="1041"/>
    </row>
    <row r="67" spans="1:13" ht="18" x14ac:dyDescent="0.3">
      <c r="A67" s="1209"/>
      <c r="B67" s="1206"/>
      <c r="C67" s="1208"/>
      <c r="D67" s="1206"/>
      <c r="E67" s="1038" t="str">
        <f t="shared" si="4"/>
        <v/>
      </c>
      <c r="F67" s="1038" t="str">
        <f>+IF(OR(E67="LK"),ROUNDUP(D67*(VLOOKUP(B67,'Pedido VACIO'!$I:$AM,31,0)/1000),0)*10,IF(E67="CH",D66-F66,""))</f>
        <v/>
      </c>
      <c r="G67" s="1206"/>
      <c r="H67" s="1040"/>
      <c r="I67" s="1040"/>
      <c r="J67" s="1040"/>
      <c r="K67" s="1040"/>
      <c r="L67" s="1040"/>
      <c r="M67" s="1041"/>
    </row>
    <row r="68" spans="1:13" ht="18" x14ac:dyDescent="0.3">
      <c r="A68" s="1209" t="str" cm="1">
        <f t="array" ref="A68">+IFERROR(INDEX('Pedido VACIO'!$C:$C,MATCH(1,('Pedido VACIO'!$I:$I=$B68)*('Pedido VACIO'!$A:$A="Cia Integral Etiquetas"),0)),"")</f>
        <v/>
      </c>
      <c r="B68" s="1206">
        <f>+B66+1</f>
        <v>28</v>
      </c>
      <c r="C68" s="1208" t="str" cm="1">
        <f t="array" ref="C68">+IFERROR(INDEX('Pedido VACIO'!$G:$G,MATCH(1,('Pedido VACIO'!$I:$I=$B68)*('Pedido VACIO'!$A:$A="Cia Integral Etiquetas"),0)),"")</f>
        <v/>
      </c>
      <c r="D68" s="1206" t="str" cm="1">
        <f t="array" ref="D68">+IFERROR(INDEX('Pedido VACIO'!$H:$H,MATCH(1,('Pedido VACIO'!$I:$I=$B68)*('Pedido VACIO'!$A:$A="Cia Integral Etiquetas"),0)),"")</f>
        <v/>
      </c>
      <c r="E68" s="1038" t="str">
        <f t="shared" si="4"/>
        <v/>
      </c>
      <c r="F68" s="1038" t="str">
        <f>+IF(OR(E68="LK"),ROUNDUP(D68*(VLOOKUP(B68,'Pedido VACIO'!$I:$AM,31,0)/1000),0)*10,IF(E68="CH",D67-F67,""))</f>
        <v/>
      </c>
      <c r="G68" s="1206"/>
      <c r="H68" s="1040"/>
      <c r="I68" s="1040"/>
      <c r="J68" s="1040"/>
      <c r="K68" s="1040"/>
      <c r="L68" s="1040"/>
      <c r="M68" s="1041"/>
    </row>
    <row r="69" spans="1:13" ht="18" x14ac:dyDescent="0.3">
      <c r="A69" s="1209"/>
      <c r="B69" s="1206"/>
      <c r="C69" s="1208"/>
      <c r="D69" s="1206"/>
      <c r="E69" s="1038" t="str">
        <f t="shared" si="4"/>
        <v/>
      </c>
      <c r="F69" s="1038" t="str">
        <f>+IF(OR(E69="LK"),ROUNDUP(D69*(VLOOKUP(B69,'Pedido VACIO'!$I:$AM,31,0)/1000),0)*10,IF(E69="CH",D68-F68,""))</f>
        <v/>
      </c>
      <c r="G69" s="1206"/>
      <c r="H69" s="1040"/>
      <c r="I69" s="1040"/>
      <c r="J69" s="1040"/>
      <c r="K69" s="1040"/>
      <c r="L69" s="1040"/>
      <c r="M69" s="1041"/>
    </row>
    <row r="70" spans="1:13" ht="18" x14ac:dyDescent="0.3">
      <c r="A70" s="1209" t="str" cm="1">
        <f t="array" ref="A70">+IFERROR(INDEX('Pedido VACIO'!$C:$C,MATCH(1,('Pedido VACIO'!$I:$I=$B70)*('Pedido VACIO'!$A:$A="Cia Integral Etiquetas"),0)),"")</f>
        <v/>
      </c>
      <c r="B70" s="1206">
        <f>+B68+1</f>
        <v>29</v>
      </c>
      <c r="C70" s="1208" t="str" cm="1">
        <f t="array" ref="C70">+IFERROR(INDEX('Pedido VACIO'!$G:$G,MATCH(1,('Pedido VACIO'!$I:$I=$B70)*('Pedido VACIO'!$A:$A="Cia Integral Etiquetas"),0)),"")</f>
        <v/>
      </c>
      <c r="D70" s="1206" t="str" cm="1">
        <f t="array" ref="D70">+IFERROR(INDEX('Pedido VACIO'!$H:$H,MATCH(1,('Pedido VACIO'!$I:$I=$B70)*('Pedido VACIO'!$A:$A="Cia Integral Etiquetas"),0)),"")</f>
        <v/>
      </c>
      <c r="E70" s="1038" t="str">
        <f t="shared" si="4"/>
        <v/>
      </c>
      <c r="F70" s="1038" t="str">
        <f>+IF(OR(E70="LK"),ROUNDUP(D70*(VLOOKUP(B70,'Pedido VACIO'!$I:$AM,31,0)/1000),0)*10,IF(E70="CH",D69-F69,""))</f>
        <v/>
      </c>
      <c r="G70" s="1206"/>
      <c r="H70" s="1040"/>
      <c r="I70" s="1040"/>
      <c r="J70" s="1040"/>
      <c r="K70" s="1040"/>
      <c r="L70" s="1040"/>
      <c r="M70" s="1041"/>
    </row>
    <row r="71" spans="1:13" ht="18" x14ac:dyDescent="0.3">
      <c r="A71" s="1209"/>
      <c r="B71" s="1206"/>
      <c r="C71" s="1208"/>
      <c r="D71" s="1206"/>
      <c r="E71" s="1038" t="str">
        <f t="shared" si="4"/>
        <v/>
      </c>
      <c r="F71" s="1038" t="str">
        <f>+IF(OR(E71="LK"),ROUNDUP(D71*(VLOOKUP(B71,'Pedido VACIO'!$I:$AM,31,0)/1000),0)*10,IF(E71="CH",D70-F70,""))</f>
        <v/>
      </c>
      <c r="G71" s="1206"/>
      <c r="H71" s="1040"/>
      <c r="I71" s="1040"/>
      <c r="J71" s="1040"/>
      <c r="K71" s="1040"/>
      <c r="L71" s="1040"/>
      <c r="M71" s="1041"/>
    </row>
    <row r="72" spans="1:13" ht="18" x14ac:dyDescent="0.3">
      <c r="A72" s="1209" t="str" cm="1">
        <f t="array" ref="A72">+IFERROR(INDEX('Pedido VACIO'!$C:$C,MATCH(1,('Pedido VACIO'!$I:$I=$B72)*('Pedido VACIO'!$A:$A="Cia Integral Etiquetas"),0)),"")</f>
        <v/>
      </c>
      <c r="B72" s="1206">
        <f>+B70+1</f>
        <v>30</v>
      </c>
      <c r="C72" s="1208" t="str" cm="1">
        <f t="array" ref="C72">+IFERROR(INDEX('Pedido VACIO'!$G:$G,MATCH(1,('Pedido VACIO'!$I:$I=$B72)*('Pedido VACIO'!$A:$A="Cia Integral Etiquetas"),0)),"")</f>
        <v/>
      </c>
      <c r="D72" s="1206" t="str" cm="1">
        <f t="array" ref="D72">+IFERROR(INDEX('Pedido VACIO'!$H:$H,MATCH(1,('Pedido VACIO'!$I:$I=$B72)*('Pedido VACIO'!$A:$A="Cia Integral Etiquetas"),0)),"")</f>
        <v/>
      </c>
      <c r="E72" s="1038" t="str">
        <f t="shared" si="4"/>
        <v/>
      </c>
      <c r="F72" s="1038" t="str">
        <f>+IF(OR(E72="LK"),ROUNDUP(D72*(VLOOKUP(B72,'Pedido VACIO'!$I:$AM,31,0)/1000),0)*10,IF(E72="CH",D71-F71,""))</f>
        <v/>
      </c>
      <c r="G72" s="1206"/>
      <c r="H72" s="1040"/>
      <c r="I72" s="1040"/>
      <c r="J72" s="1040"/>
      <c r="K72" s="1040"/>
      <c r="L72" s="1040"/>
      <c r="M72" s="1041"/>
    </row>
    <row r="73" spans="1:13" ht="18.600000000000001" thickBot="1" x14ac:dyDescent="0.35">
      <c r="A73" s="1211"/>
      <c r="B73" s="1212"/>
      <c r="C73" s="1213"/>
      <c r="D73" s="1212"/>
      <c r="E73" s="1042" t="str">
        <f t="shared" si="4"/>
        <v/>
      </c>
      <c r="F73" s="1042" t="str">
        <f>+IF(OR(E73="LK"),ROUNDUP(D73*(VLOOKUP(B73,'Pedido VACIO'!$I:$AM,31,0)/1000),0)*10,IF(E73="CH",D72-F72,""))</f>
        <v/>
      </c>
      <c r="G73" s="1212"/>
      <c r="H73" s="1043"/>
      <c r="I73" s="1043"/>
      <c r="J73" s="1043"/>
      <c r="K73" s="1043"/>
      <c r="L73" s="1043"/>
      <c r="M73" s="1044"/>
    </row>
  </sheetData>
  <mergeCells count="167">
    <mergeCell ref="A72:A73"/>
    <mergeCell ref="B72:B73"/>
    <mergeCell ref="C72:C73"/>
    <mergeCell ref="D72:D73"/>
    <mergeCell ref="G72:G73"/>
    <mergeCell ref="A68:A69"/>
    <mergeCell ref="B68:B69"/>
    <mergeCell ref="C68:C69"/>
    <mergeCell ref="D68:D69"/>
    <mergeCell ref="G68:G69"/>
    <mergeCell ref="A70:A71"/>
    <mergeCell ref="B70:B71"/>
    <mergeCell ref="C70:C71"/>
    <mergeCell ref="D70:D71"/>
    <mergeCell ref="G70:G71"/>
    <mergeCell ref="A64:A65"/>
    <mergeCell ref="B64:B65"/>
    <mergeCell ref="C64:C65"/>
    <mergeCell ref="D64:D65"/>
    <mergeCell ref="G64:G65"/>
    <mergeCell ref="A66:A67"/>
    <mergeCell ref="B66:B67"/>
    <mergeCell ref="C66:C67"/>
    <mergeCell ref="D66:D67"/>
    <mergeCell ref="G66:G67"/>
    <mergeCell ref="A60:A61"/>
    <mergeCell ref="B60:B61"/>
    <mergeCell ref="C60:C61"/>
    <mergeCell ref="D60:D61"/>
    <mergeCell ref="G60:G61"/>
    <mergeCell ref="A62:A63"/>
    <mergeCell ref="B62:B63"/>
    <mergeCell ref="C62:C63"/>
    <mergeCell ref="D62:D63"/>
    <mergeCell ref="G62:G63"/>
    <mergeCell ref="A56:A57"/>
    <mergeCell ref="B56:B57"/>
    <mergeCell ref="C56:C57"/>
    <mergeCell ref="D56:D57"/>
    <mergeCell ref="G56:G57"/>
    <mergeCell ref="A58:A59"/>
    <mergeCell ref="B58:B59"/>
    <mergeCell ref="C58:C59"/>
    <mergeCell ref="D58:D59"/>
    <mergeCell ref="G58:G59"/>
    <mergeCell ref="A52:A53"/>
    <mergeCell ref="B52:B53"/>
    <mergeCell ref="C52:C53"/>
    <mergeCell ref="D52:D53"/>
    <mergeCell ref="G52:G53"/>
    <mergeCell ref="A54:A55"/>
    <mergeCell ref="B54:B55"/>
    <mergeCell ref="C54:C55"/>
    <mergeCell ref="D54:D55"/>
    <mergeCell ref="G54:G55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G18:G19"/>
    <mergeCell ref="A20:A21"/>
    <mergeCell ref="B20:B21"/>
    <mergeCell ref="C20:C21"/>
    <mergeCell ref="D20:D21"/>
    <mergeCell ref="A22:A23"/>
    <mergeCell ref="B22:B23"/>
    <mergeCell ref="C22:C23"/>
    <mergeCell ref="D22:D23"/>
    <mergeCell ref="G22:G23"/>
    <mergeCell ref="A16:A17"/>
    <mergeCell ref="B16:B17"/>
    <mergeCell ref="C16:C17"/>
    <mergeCell ref="D16:D17"/>
    <mergeCell ref="A18:A19"/>
    <mergeCell ref="B18:B19"/>
    <mergeCell ref="C18:C19"/>
    <mergeCell ref="D18:D19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</mergeCells>
  <printOptions horizontalCentered="1"/>
  <pageMargins left="0" right="0" top="0" bottom="0" header="0" footer="0"/>
  <pageSetup paperSize="9" scale="8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45"/>
  <sheetViews>
    <sheetView topLeftCell="A11" workbookViewId="0">
      <selection activeCell="D36" sqref="A36:XFD46"/>
    </sheetView>
  </sheetViews>
  <sheetFormatPr baseColWidth="10" defaultRowHeight="14.4" x14ac:dyDescent="0.3"/>
  <cols>
    <col min="1" max="1" width="11.88671875" customWidth="1"/>
    <col min="2" max="2" width="5.6640625" customWidth="1"/>
    <col min="3" max="3" width="24.44140625" customWidth="1"/>
    <col min="4" max="4" width="10.33203125" customWidth="1"/>
    <col min="5" max="5" width="11.33203125" customWidth="1"/>
    <col min="6" max="6" width="10" customWidth="1"/>
    <col min="7" max="7" width="10.33203125" customWidth="1"/>
    <col min="8" max="8" width="10.109375" customWidth="1"/>
    <col min="9" max="10" width="10.44140625" customWidth="1"/>
    <col min="11" max="11" width="10.88671875" customWidth="1"/>
  </cols>
  <sheetData>
    <row r="1" spans="1:11" ht="26.25" customHeight="1" x14ac:dyDescent="0.5">
      <c r="A1" s="1216" t="s">
        <v>1679</v>
      </c>
      <c r="B1" s="1217"/>
      <c r="C1" s="1218"/>
      <c r="D1" s="1123" t="s">
        <v>1680</v>
      </c>
      <c r="E1" s="1124"/>
      <c r="F1" s="1124"/>
      <c r="G1" s="1125"/>
    </row>
    <row r="2" spans="1:11" ht="21" customHeight="1" x14ac:dyDescent="0.4">
      <c r="A2" s="1137" t="s">
        <v>1681</v>
      </c>
      <c r="B2" s="1138"/>
      <c r="C2" s="568" t="s">
        <v>1682</v>
      </c>
      <c r="D2" s="1126"/>
      <c r="E2" s="1127"/>
      <c r="F2" s="1127"/>
      <c r="G2" s="1128"/>
    </row>
    <row r="3" spans="1:11" ht="21.75" customHeight="1" thickBot="1" x14ac:dyDescent="0.45">
      <c r="A3" s="1137" t="s">
        <v>1683</v>
      </c>
      <c r="B3" s="1138"/>
      <c r="C3" s="568" t="s">
        <v>1684</v>
      </c>
      <c r="D3" s="1129"/>
      <c r="E3" s="1130"/>
      <c r="F3" s="1130"/>
      <c r="G3" s="1131"/>
    </row>
    <row r="4" spans="1:11" ht="21" customHeight="1" x14ac:dyDescent="0.4">
      <c r="A4" s="1137" t="s">
        <v>1685</v>
      </c>
      <c r="B4" s="1138"/>
      <c r="C4" s="568" t="s">
        <v>1686</v>
      </c>
      <c r="D4" s="1164" t="s">
        <v>1687</v>
      </c>
      <c r="E4" s="1165"/>
      <c r="F4" s="1157">
        <f ca="1">+TODAY()</f>
        <v>46052</v>
      </c>
      <c r="G4" s="1158"/>
    </row>
    <row r="5" spans="1:11" ht="21.6" thickBot="1" x14ac:dyDescent="0.45">
      <c r="A5" s="1144" t="s">
        <v>1688</v>
      </c>
      <c r="B5" s="1145"/>
      <c r="C5" s="577" t="s">
        <v>1689</v>
      </c>
      <c r="D5" s="1166"/>
      <c r="E5" s="1167"/>
      <c r="F5" s="1159"/>
      <c r="G5" s="1160"/>
    </row>
    <row r="6" spans="1:11" ht="7.5" customHeight="1" thickBot="1" x14ac:dyDescent="0.45">
      <c r="A6" s="567"/>
      <c r="B6" s="567"/>
    </row>
    <row r="7" spans="1:11" s="31" customFormat="1" ht="40.5" customHeight="1" thickBot="1" x14ac:dyDescent="0.35">
      <c r="A7" s="1149" t="s">
        <v>1690</v>
      </c>
      <c r="B7" s="1169"/>
      <c r="C7" s="579" t="s">
        <v>1699</v>
      </c>
      <c r="D7" s="569" t="s">
        <v>1691</v>
      </c>
      <c r="E7" s="570">
        <v>2119</v>
      </c>
    </row>
    <row r="8" spans="1:11" ht="7.5" customHeight="1" thickBot="1" x14ac:dyDescent="0.45">
      <c r="A8" s="567"/>
      <c r="B8" s="567"/>
    </row>
    <row r="9" spans="1:11" ht="21.6" thickBot="1" x14ac:dyDescent="0.45">
      <c r="A9" s="1214" t="s">
        <v>1692</v>
      </c>
      <c r="B9" s="1215"/>
      <c r="C9" s="580" t="s">
        <v>1684</v>
      </c>
    </row>
    <row r="10" spans="1:11" ht="7.5" customHeight="1" thickBot="1" x14ac:dyDescent="0.45">
      <c r="A10" s="567"/>
      <c r="B10" s="567"/>
    </row>
    <row r="11" spans="1:11" s="31" customFormat="1" ht="24" customHeight="1" thickBot="1" x14ac:dyDescent="0.35">
      <c r="A11" s="1146" t="s">
        <v>1693</v>
      </c>
      <c r="B11" s="1147"/>
      <c r="C11" s="1147"/>
      <c r="D11" s="1147"/>
      <c r="E11" s="1147"/>
      <c r="F11" s="1147"/>
      <c r="G11" s="1148"/>
      <c r="H11" s="589"/>
    </row>
    <row r="12" spans="1:11" ht="54.6" thickBot="1" x14ac:dyDescent="0.35">
      <c r="A12" s="312" t="s">
        <v>1293</v>
      </c>
      <c r="B12" s="313" t="s">
        <v>1675</v>
      </c>
      <c r="C12" s="581" t="s">
        <v>1391</v>
      </c>
      <c r="D12" s="321" t="s">
        <v>1700</v>
      </c>
      <c r="E12" s="321" t="s">
        <v>1585</v>
      </c>
      <c r="F12" s="313" t="s">
        <v>1701</v>
      </c>
      <c r="G12" s="313" t="s">
        <v>1677</v>
      </c>
      <c r="H12" s="291" t="s">
        <v>1701</v>
      </c>
      <c r="I12" s="313" t="s">
        <v>1677</v>
      </c>
      <c r="J12" s="313" t="s">
        <v>1701</v>
      </c>
      <c r="K12" s="321" t="s">
        <v>1677</v>
      </c>
    </row>
    <row r="13" spans="1:11" ht="18" x14ac:dyDescent="0.3">
      <c r="A13" s="1219">
        <v>1256700</v>
      </c>
      <c r="B13" s="1223"/>
      <c r="C13" s="1221" t="s">
        <v>1307</v>
      </c>
      <c r="D13" s="566"/>
      <c r="E13" s="356"/>
      <c r="F13" s="27"/>
      <c r="G13" s="27"/>
      <c r="H13" s="27"/>
      <c r="I13" s="27"/>
      <c r="J13" s="27"/>
      <c r="K13" s="447"/>
    </row>
    <row r="14" spans="1:11" ht="18.600000000000001" thickBot="1" x14ac:dyDescent="0.35">
      <c r="A14" s="1220"/>
      <c r="B14" s="1224"/>
      <c r="C14" s="1222"/>
      <c r="D14" s="584"/>
      <c r="E14" s="357"/>
      <c r="F14" s="29"/>
      <c r="G14" s="29"/>
      <c r="H14" s="29"/>
      <c r="I14" s="29"/>
      <c r="J14" s="29"/>
      <c r="K14" s="444"/>
    </row>
    <row r="15" spans="1:11" ht="18" x14ac:dyDescent="0.3">
      <c r="A15" s="1219">
        <v>1255700</v>
      </c>
      <c r="B15" s="1223"/>
      <c r="C15" s="1221" t="s">
        <v>1308</v>
      </c>
      <c r="D15" s="583"/>
      <c r="E15" s="356"/>
      <c r="F15" s="27"/>
      <c r="G15" s="27"/>
      <c r="H15" s="27"/>
      <c r="I15" s="27"/>
      <c r="J15" s="27"/>
      <c r="K15" s="447"/>
    </row>
    <row r="16" spans="1:11" ht="18.600000000000001" thickBot="1" x14ac:dyDescent="0.35">
      <c r="A16" s="1220"/>
      <c r="B16" s="1224"/>
      <c r="C16" s="1222"/>
      <c r="D16" s="584"/>
      <c r="E16" s="357"/>
      <c r="F16" s="29"/>
      <c r="G16" s="29"/>
      <c r="H16" s="29"/>
      <c r="I16" s="29"/>
      <c r="J16" s="29"/>
      <c r="K16" s="444"/>
    </row>
    <row r="17" spans="1:11" ht="18" x14ac:dyDescent="0.3">
      <c r="A17" s="1219">
        <v>1258700</v>
      </c>
      <c r="B17" s="1223"/>
      <c r="C17" s="1221" t="s">
        <v>1309</v>
      </c>
      <c r="D17" s="583"/>
      <c r="E17" s="356"/>
      <c r="F17" s="27"/>
      <c r="G17" s="27"/>
      <c r="H17" s="27"/>
      <c r="I17" s="27"/>
      <c r="J17" s="27"/>
      <c r="K17" s="447"/>
    </row>
    <row r="18" spans="1:11" ht="18.600000000000001" thickBot="1" x14ac:dyDescent="0.35">
      <c r="A18" s="1220"/>
      <c r="B18" s="1224"/>
      <c r="C18" s="1222"/>
      <c r="D18" s="584"/>
      <c r="E18" s="357"/>
      <c r="F18" s="29"/>
      <c r="G18" s="29"/>
      <c r="H18" s="29"/>
      <c r="I18" s="29"/>
      <c r="J18" s="29"/>
      <c r="K18" s="444"/>
    </row>
    <row r="19" spans="1:11" ht="18" x14ac:dyDescent="0.3">
      <c r="A19" s="1219">
        <v>1257700</v>
      </c>
      <c r="B19" s="1223"/>
      <c r="C19" s="1221" t="s">
        <v>1316</v>
      </c>
      <c r="D19" s="583"/>
      <c r="E19" s="356"/>
      <c r="F19" s="27"/>
      <c r="G19" s="27"/>
      <c r="H19" s="27"/>
      <c r="I19" s="27"/>
      <c r="J19" s="27"/>
      <c r="K19" s="447"/>
    </row>
    <row r="20" spans="1:11" ht="18.600000000000001" thickBot="1" x14ac:dyDescent="0.35">
      <c r="A20" s="1220"/>
      <c r="B20" s="1224"/>
      <c r="C20" s="1222"/>
      <c r="D20" s="584"/>
      <c r="E20" s="357"/>
      <c r="F20" s="29"/>
      <c r="G20" s="29"/>
      <c r="H20" s="29"/>
      <c r="I20" s="29"/>
      <c r="J20" s="29"/>
      <c r="K20" s="444"/>
    </row>
    <row r="21" spans="1:11" ht="18" x14ac:dyDescent="0.3">
      <c r="A21" s="1219">
        <v>1254700</v>
      </c>
      <c r="B21" s="1223"/>
      <c r="C21" s="1221" t="s">
        <v>1317</v>
      </c>
      <c r="D21" s="583"/>
      <c r="E21" s="356"/>
      <c r="F21" s="27"/>
      <c r="G21" s="27"/>
      <c r="H21" s="27"/>
      <c r="I21" s="27"/>
      <c r="J21" s="27"/>
      <c r="K21" s="447"/>
    </row>
    <row r="22" spans="1:11" ht="18.600000000000001" thickBot="1" x14ac:dyDescent="0.35">
      <c r="A22" s="1220"/>
      <c r="B22" s="1224"/>
      <c r="C22" s="1222"/>
      <c r="D22" s="584"/>
      <c r="E22" s="357"/>
      <c r="F22" s="29"/>
      <c r="G22" s="29"/>
      <c r="H22" s="29"/>
      <c r="I22" s="29"/>
      <c r="J22" s="29"/>
      <c r="K22" s="444"/>
    </row>
    <row r="23" spans="1:11" ht="15" thickBot="1" x14ac:dyDescent="0.35"/>
    <row r="24" spans="1:11" ht="26.25" customHeight="1" x14ac:dyDescent="0.55000000000000004">
      <c r="A24" s="1141" t="s">
        <v>1695</v>
      </c>
      <c r="B24" s="1142"/>
      <c r="C24" s="1143"/>
      <c r="D24" s="1123" t="s">
        <v>1680</v>
      </c>
      <c r="E24" s="1124"/>
      <c r="F24" s="1124"/>
      <c r="G24" s="1125"/>
    </row>
    <row r="25" spans="1:11" ht="21" customHeight="1" x14ac:dyDescent="0.4">
      <c r="A25" s="1137" t="s">
        <v>1681</v>
      </c>
      <c r="B25" s="1138"/>
      <c r="C25" s="568" t="s">
        <v>1696</v>
      </c>
      <c r="D25" s="1126"/>
      <c r="E25" s="1127"/>
      <c r="F25" s="1127"/>
      <c r="G25" s="1128"/>
    </row>
    <row r="26" spans="1:11" ht="21.75" customHeight="1" thickBot="1" x14ac:dyDescent="0.45">
      <c r="A26" s="1137" t="s">
        <v>1683</v>
      </c>
      <c r="B26" s="1138"/>
      <c r="C26" s="568" t="s">
        <v>1697</v>
      </c>
      <c r="D26" s="1129"/>
      <c r="E26" s="1130"/>
      <c r="F26" s="1130"/>
      <c r="G26" s="1131"/>
    </row>
    <row r="27" spans="1:11" ht="21" x14ac:dyDescent="0.4">
      <c r="A27" s="1137" t="s">
        <v>1685</v>
      </c>
      <c r="B27" s="1138"/>
      <c r="C27" s="568" t="s">
        <v>1686</v>
      </c>
      <c r="D27" s="1153" t="s">
        <v>1687</v>
      </c>
      <c r="E27" s="1154"/>
      <c r="F27" s="1157">
        <f ca="1">+TODAY()</f>
        <v>46052</v>
      </c>
      <c r="G27" s="1158"/>
    </row>
    <row r="28" spans="1:11" ht="21.6" thickBot="1" x14ac:dyDescent="0.45">
      <c r="A28" s="1144" t="s">
        <v>1688</v>
      </c>
      <c r="B28" s="1145"/>
      <c r="C28" s="577" t="s">
        <v>1689</v>
      </c>
      <c r="D28" s="1155"/>
      <c r="E28" s="1156"/>
      <c r="F28" s="1159"/>
      <c r="G28" s="1160"/>
    </row>
    <row r="29" spans="1:11" ht="7.5" customHeight="1" thickBot="1" x14ac:dyDescent="0.45">
      <c r="A29" s="567"/>
      <c r="B29" s="567"/>
      <c r="C29" s="568"/>
    </row>
    <row r="30" spans="1:11" s="31" customFormat="1" ht="40.5" customHeight="1" thickBot="1" x14ac:dyDescent="0.35">
      <c r="A30" s="1149" t="s">
        <v>1690</v>
      </c>
      <c r="B30" s="1150"/>
      <c r="C30" s="578" t="s">
        <v>1699</v>
      </c>
      <c r="D30" s="569" t="s">
        <v>1691</v>
      </c>
      <c r="E30" s="570">
        <v>1575</v>
      </c>
    </row>
    <row r="31" spans="1:11" ht="7.5" customHeight="1" thickBot="1" x14ac:dyDescent="0.45">
      <c r="A31" s="567"/>
      <c r="B31" s="567"/>
      <c r="C31" s="568"/>
    </row>
    <row r="32" spans="1:11" ht="21.6" thickBot="1" x14ac:dyDescent="0.45">
      <c r="A32" s="1214" t="s">
        <v>1692</v>
      </c>
      <c r="B32" s="1215"/>
      <c r="C32" s="580" t="s">
        <v>1684</v>
      </c>
    </row>
    <row r="33" spans="1:11" ht="7.5" customHeight="1" thickBot="1" x14ac:dyDescent="0.45">
      <c r="A33" s="567"/>
      <c r="B33" s="567"/>
      <c r="C33" s="568"/>
    </row>
    <row r="34" spans="1:11" s="31" customFormat="1" ht="24" customHeight="1" thickBot="1" x14ac:dyDescent="0.35">
      <c r="A34" s="1146" t="s">
        <v>1693</v>
      </c>
      <c r="B34" s="1147"/>
      <c r="C34" s="1147"/>
      <c r="D34" s="1147"/>
      <c r="E34" s="1147"/>
      <c r="F34" s="1147"/>
      <c r="G34" s="1148"/>
      <c r="H34" s="589"/>
    </row>
    <row r="35" spans="1:11" ht="54.6" thickBot="1" x14ac:dyDescent="0.35">
      <c r="A35" s="312" t="s">
        <v>1293</v>
      </c>
      <c r="B35" s="313" t="s">
        <v>1675</v>
      </c>
      <c r="C35" s="581" t="s">
        <v>1391</v>
      </c>
      <c r="D35" s="321" t="s">
        <v>1700</v>
      </c>
      <c r="E35" s="321" t="s">
        <v>1585</v>
      </c>
      <c r="F35" s="313" t="s">
        <v>1701</v>
      </c>
      <c r="G35" s="313" t="s">
        <v>1677</v>
      </c>
      <c r="H35" s="313" t="s">
        <v>1701</v>
      </c>
      <c r="I35" s="313" t="s">
        <v>1677</v>
      </c>
      <c r="J35" s="313" t="s">
        <v>1701</v>
      </c>
      <c r="K35" s="321" t="s">
        <v>1677</v>
      </c>
    </row>
    <row r="36" spans="1:11" ht="18" x14ac:dyDescent="0.3">
      <c r="A36" s="1219">
        <v>2335700</v>
      </c>
      <c r="B36" s="1223"/>
      <c r="C36" s="1221" t="s">
        <v>1307</v>
      </c>
      <c r="D36" s="566"/>
      <c r="E36" s="356"/>
      <c r="F36" s="27"/>
      <c r="G36" s="27"/>
      <c r="H36" s="27"/>
      <c r="I36" s="27"/>
      <c r="J36" s="27"/>
      <c r="K36" s="447"/>
    </row>
    <row r="37" spans="1:11" ht="18.600000000000001" thickBot="1" x14ac:dyDescent="0.35">
      <c r="A37" s="1220"/>
      <c r="B37" s="1224"/>
      <c r="C37" s="1222"/>
      <c r="D37" s="584"/>
      <c r="E37" s="357"/>
      <c r="F37" s="29"/>
      <c r="G37" s="29"/>
      <c r="H37" s="29"/>
      <c r="I37" s="29"/>
      <c r="J37" s="29"/>
      <c r="K37" s="444"/>
    </row>
    <row r="38" spans="1:11" ht="18" x14ac:dyDescent="0.3">
      <c r="A38" s="1219">
        <v>2338700</v>
      </c>
      <c r="B38" s="1223"/>
      <c r="C38" s="1221" t="s">
        <v>1308</v>
      </c>
      <c r="D38" s="583"/>
      <c r="E38" s="356"/>
      <c r="F38" s="27"/>
      <c r="G38" s="27"/>
      <c r="H38" s="27"/>
      <c r="I38" s="27"/>
      <c r="J38" s="27"/>
      <c r="K38" s="447"/>
    </row>
    <row r="39" spans="1:11" ht="18.600000000000001" thickBot="1" x14ac:dyDescent="0.35">
      <c r="A39" s="1220"/>
      <c r="B39" s="1224"/>
      <c r="C39" s="1222"/>
      <c r="D39" s="584"/>
      <c r="E39" s="357"/>
      <c r="F39" s="29"/>
      <c r="G39" s="29"/>
      <c r="H39" s="29"/>
      <c r="I39" s="29"/>
      <c r="J39" s="29"/>
      <c r="K39" s="444"/>
    </row>
    <row r="40" spans="1:11" ht="18" x14ac:dyDescent="0.3">
      <c r="A40" s="1219">
        <v>2336700</v>
      </c>
      <c r="B40" s="1223"/>
      <c r="C40" s="1221" t="s">
        <v>1309</v>
      </c>
      <c r="D40" s="583"/>
      <c r="E40" s="356"/>
      <c r="F40" s="27"/>
      <c r="G40" s="27"/>
      <c r="H40" s="27"/>
      <c r="I40" s="27"/>
      <c r="J40" s="27"/>
      <c r="K40" s="447"/>
    </row>
    <row r="41" spans="1:11" ht="18.600000000000001" thickBot="1" x14ac:dyDescent="0.35">
      <c r="A41" s="1220"/>
      <c r="B41" s="1224"/>
      <c r="C41" s="1222"/>
      <c r="D41" s="584"/>
      <c r="E41" s="357"/>
      <c r="F41" s="29"/>
      <c r="G41" s="29"/>
      <c r="H41" s="29"/>
      <c r="I41" s="29"/>
      <c r="J41" s="29"/>
      <c r="K41" s="444"/>
    </row>
    <row r="42" spans="1:11" ht="18" x14ac:dyDescent="0.3">
      <c r="A42" s="1219">
        <v>2333700</v>
      </c>
      <c r="B42" s="1223"/>
      <c r="C42" s="1221" t="s">
        <v>1316</v>
      </c>
      <c r="D42" s="583"/>
      <c r="E42" s="356"/>
      <c r="F42" s="27"/>
      <c r="G42" s="27"/>
      <c r="H42" s="27"/>
      <c r="I42" s="27"/>
      <c r="J42" s="27"/>
      <c r="K42" s="447"/>
    </row>
    <row r="43" spans="1:11" ht="18.600000000000001" thickBot="1" x14ac:dyDescent="0.35">
      <c r="A43" s="1220"/>
      <c r="B43" s="1224"/>
      <c r="C43" s="1222"/>
      <c r="D43" s="584"/>
      <c r="E43" s="357"/>
      <c r="F43" s="29"/>
      <c r="G43" s="29"/>
      <c r="H43" s="29"/>
      <c r="I43" s="29"/>
      <c r="J43" s="29"/>
      <c r="K43" s="444"/>
    </row>
    <row r="44" spans="1:11" ht="18" x14ac:dyDescent="0.3">
      <c r="A44" s="1219">
        <v>2334700</v>
      </c>
      <c r="B44" s="1223"/>
      <c r="C44" s="1221" t="s">
        <v>1317</v>
      </c>
      <c r="D44" s="583"/>
      <c r="E44" s="356"/>
      <c r="F44" s="27"/>
      <c r="G44" s="27"/>
      <c r="H44" s="27"/>
      <c r="I44" s="27"/>
      <c r="J44" s="27"/>
      <c r="K44" s="447"/>
    </row>
    <row r="45" spans="1:11" ht="18.600000000000001" thickBot="1" x14ac:dyDescent="0.35">
      <c r="A45" s="1220"/>
      <c r="B45" s="1224"/>
      <c r="C45" s="1222"/>
      <c r="D45" s="584"/>
      <c r="E45" s="357"/>
      <c r="F45" s="29"/>
      <c r="G45" s="29"/>
      <c r="H45" s="29"/>
      <c r="I45" s="29"/>
      <c r="J45" s="29"/>
      <c r="K45" s="444"/>
    </row>
  </sheetData>
  <mergeCells count="52">
    <mergeCell ref="B36:B37"/>
    <mergeCell ref="B38:B39"/>
    <mergeCell ref="B40:B41"/>
    <mergeCell ref="B42:B43"/>
    <mergeCell ref="B44:B45"/>
    <mergeCell ref="B19:B20"/>
    <mergeCell ref="A25:B25"/>
    <mergeCell ref="A26:B26"/>
    <mergeCell ref="A27:B27"/>
    <mergeCell ref="A28:B28"/>
    <mergeCell ref="B21:B22"/>
    <mergeCell ref="A21:A22"/>
    <mergeCell ref="C38:C39"/>
    <mergeCell ref="C36:C37"/>
    <mergeCell ref="C17:C18"/>
    <mergeCell ref="C15:C16"/>
    <mergeCell ref="C21:C22"/>
    <mergeCell ref="C19:C20"/>
    <mergeCell ref="A34:G34"/>
    <mergeCell ref="A36:A37"/>
    <mergeCell ref="A38:A39"/>
    <mergeCell ref="D24:G26"/>
    <mergeCell ref="D27:E28"/>
    <mergeCell ref="A24:C24"/>
    <mergeCell ref="A30:B30"/>
    <mergeCell ref="A32:B32"/>
    <mergeCell ref="F27:G28"/>
    <mergeCell ref="A19:A20"/>
    <mergeCell ref="A42:A43"/>
    <mergeCell ref="C42:C43"/>
    <mergeCell ref="A44:A45"/>
    <mergeCell ref="C44:C45"/>
    <mergeCell ref="C40:C41"/>
    <mergeCell ref="A40:A41"/>
    <mergeCell ref="A15:A16"/>
    <mergeCell ref="A17:A18"/>
    <mergeCell ref="A13:A14"/>
    <mergeCell ref="C13:C14"/>
    <mergeCell ref="B13:B14"/>
    <mergeCell ref="B15:B16"/>
    <mergeCell ref="B17:B18"/>
    <mergeCell ref="A7:B7"/>
    <mergeCell ref="A9:B9"/>
    <mergeCell ref="A11:G11"/>
    <mergeCell ref="A1:C1"/>
    <mergeCell ref="D4:E5"/>
    <mergeCell ref="D1:G3"/>
    <mergeCell ref="F4:G5"/>
    <mergeCell ref="A2:B2"/>
    <mergeCell ref="A3:B3"/>
    <mergeCell ref="A4:B4"/>
    <mergeCell ref="A5:B5"/>
  </mergeCells>
  <pageMargins left="0.25" right="0.25" top="0.75" bottom="0.75" header="0.3" footer="0.3"/>
  <pageSetup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5"/>
  <sheetViews>
    <sheetView workbookViewId="0"/>
  </sheetViews>
  <sheetFormatPr baseColWidth="10" defaultRowHeight="14.4" x14ac:dyDescent="0.3"/>
  <cols>
    <col min="2" max="2" width="6" customWidth="1"/>
    <col min="3" max="3" width="4.33203125" customWidth="1"/>
    <col min="4" max="4" width="33.88671875" customWidth="1"/>
    <col min="6" max="6" width="13.6640625" customWidth="1"/>
    <col min="7" max="7" width="1" customWidth="1"/>
    <col min="9" max="9" width="1" customWidth="1"/>
  </cols>
  <sheetData>
    <row r="1" spans="1:12" ht="18.600000000000001" thickBot="1" x14ac:dyDescent="0.35">
      <c r="A1" s="348"/>
      <c r="B1" s="294"/>
      <c r="C1" s="294"/>
      <c r="D1" s="457" t="s">
        <v>1496</v>
      </c>
      <c r="E1" s="457"/>
      <c r="F1" s="457"/>
    </row>
    <row r="2" spans="1:12" ht="24" thickBot="1" x14ac:dyDescent="0.4">
      <c r="A2" s="348"/>
      <c r="B2" s="294"/>
      <c r="C2" s="294"/>
      <c r="D2" s="455" t="s">
        <v>1472</v>
      </c>
      <c r="E2" s="456" t="s">
        <v>1497</v>
      </c>
      <c r="F2" s="515">
        <f ca="1">+TODAY()</f>
        <v>46052</v>
      </c>
    </row>
    <row r="3" spans="1:12" ht="54" x14ac:dyDescent="0.3">
      <c r="A3" s="312" t="s">
        <v>1293</v>
      </c>
      <c r="B3" s="1225" t="s">
        <v>748</v>
      </c>
      <c r="C3" s="1226"/>
      <c r="D3" s="328" t="s">
        <v>1417</v>
      </c>
      <c r="E3" s="321" t="s">
        <v>1624</v>
      </c>
      <c r="F3" s="321" t="s">
        <v>1515</v>
      </c>
      <c r="H3" s="321" t="s">
        <v>1585</v>
      </c>
      <c r="J3" s="513" t="s">
        <v>1586</v>
      </c>
      <c r="K3" s="513" t="s">
        <v>1586</v>
      </c>
      <c r="L3" s="514" t="s">
        <v>1586</v>
      </c>
    </row>
    <row r="4" spans="1:12" ht="18" hidden="1" x14ac:dyDescent="0.3">
      <c r="A4" s="418">
        <v>1251700</v>
      </c>
      <c r="B4" s="1227" t="s">
        <v>869</v>
      </c>
      <c r="C4" s="1227"/>
      <c r="D4" s="356" t="s">
        <v>1476</v>
      </c>
      <c r="E4" s="261"/>
      <c r="F4" s="476"/>
      <c r="H4" s="510"/>
      <c r="J4" s="198"/>
      <c r="K4" s="27"/>
      <c r="L4" s="447"/>
    </row>
    <row r="5" spans="1:12" ht="18.600000000000001" thickBot="1" x14ac:dyDescent="0.35">
      <c r="A5" s="500">
        <v>1252700</v>
      </c>
      <c r="B5" s="1228" t="s">
        <v>869</v>
      </c>
      <c r="C5" s="1228"/>
      <c r="D5" s="357" t="s">
        <v>1312</v>
      </c>
      <c r="E5" s="262">
        <v>10</v>
      </c>
      <c r="F5" s="478"/>
      <c r="H5" s="512"/>
      <c r="J5" s="203"/>
      <c r="K5" s="29"/>
      <c r="L5" s="444"/>
    </row>
  </sheetData>
  <mergeCells count="3">
    <mergeCell ref="B3:C3"/>
    <mergeCell ref="B4:C4"/>
    <mergeCell ref="B5:C5"/>
  </mergeCells>
  <pageMargins left="0.16" right="0.22" top="0.74803149606299213" bottom="0.74803149606299213" header="0.31496062992125984" footer="0.31496062992125984"/>
  <pageSetup scale="8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45"/>
  <sheetViews>
    <sheetView zoomScale="70" zoomScaleNormal="70" workbookViewId="0">
      <selection activeCell="P26" sqref="P26"/>
    </sheetView>
  </sheetViews>
  <sheetFormatPr baseColWidth="10" defaultRowHeight="14.4" x14ac:dyDescent="0.3"/>
  <cols>
    <col min="1" max="1" width="16.88671875" customWidth="1"/>
    <col min="2" max="2" width="6.88671875" customWidth="1"/>
    <col min="3" max="3" width="16.88671875" customWidth="1"/>
    <col min="4" max="4" width="11.33203125" customWidth="1"/>
    <col min="5" max="5" width="11.88671875" customWidth="1"/>
    <col min="6" max="6" width="10.6640625" customWidth="1"/>
    <col min="7" max="7" width="10.33203125" customWidth="1"/>
    <col min="8" max="8" width="10.6640625" customWidth="1"/>
    <col min="9" max="9" width="10" customWidth="1"/>
    <col min="10" max="10" width="10.33203125" customWidth="1"/>
    <col min="11" max="11" width="10.6640625" customWidth="1"/>
  </cols>
  <sheetData>
    <row r="1" spans="1:11" ht="26.25" customHeight="1" x14ac:dyDescent="0.5">
      <c r="A1" s="1216" t="s">
        <v>1679</v>
      </c>
      <c r="B1" s="1217"/>
      <c r="C1" s="1218"/>
      <c r="D1" s="1123" t="s">
        <v>1680</v>
      </c>
      <c r="E1" s="1124"/>
      <c r="F1" s="1124"/>
      <c r="G1" s="1125"/>
    </row>
    <row r="2" spans="1:11" ht="21" customHeight="1" x14ac:dyDescent="0.4">
      <c r="A2" s="574" t="s">
        <v>1681</v>
      </c>
      <c r="B2" s="1237" t="s">
        <v>1682</v>
      </c>
      <c r="C2" s="1238"/>
      <c r="D2" s="1126"/>
      <c r="E2" s="1127"/>
      <c r="F2" s="1127"/>
      <c r="G2" s="1128"/>
    </row>
    <row r="3" spans="1:11" ht="21.75" customHeight="1" thickBot="1" x14ac:dyDescent="0.45">
      <c r="A3" s="574" t="s">
        <v>1683</v>
      </c>
      <c r="B3" s="1237" t="s">
        <v>1684</v>
      </c>
      <c r="C3" s="1238"/>
      <c r="D3" s="1129"/>
      <c r="E3" s="1130"/>
      <c r="F3" s="1130"/>
      <c r="G3" s="1131"/>
    </row>
    <row r="4" spans="1:11" ht="21" x14ac:dyDescent="0.4">
      <c r="A4" s="574" t="s">
        <v>1685</v>
      </c>
      <c r="B4" s="1237" t="s">
        <v>1686</v>
      </c>
      <c r="C4" s="1238"/>
      <c r="D4" s="1239" t="s">
        <v>1687</v>
      </c>
      <c r="E4" s="1165"/>
      <c r="F4" s="1233">
        <f ca="1">+TODAY()</f>
        <v>46052</v>
      </c>
      <c r="G4" s="1234"/>
    </row>
    <row r="5" spans="1:11" ht="21.6" thickBot="1" x14ac:dyDescent="0.45">
      <c r="A5" s="575" t="s">
        <v>1688</v>
      </c>
      <c r="B5" s="1241" t="s">
        <v>1689</v>
      </c>
      <c r="C5" s="1242"/>
      <c r="D5" s="1240"/>
      <c r="E5" s="1167"/>
      <c r="F5" s="1235"/>
      <c r="G5" s="1236"/>
    </row>
    <row r="6" spans="1:11" ht="7.5" customHeight="1" thickBot="1" x14ac:dyDescent="0.45">
      <c r="A6" s="567"/>
      <c r="B6" s="568"/>
    </row>
    <row r="7" spans="1:11" s="31" customFormat="1" ht="40.5" customHeight="1" thickBot="1" x14ac:dyDescent="0.35">
      <c r="A7" s="569" t="s">
        <v>1690</v>
      </c>
      <c r="B7" s="1229" t="s">
        <v>1698</v>
      </c>
      <c r="C7" s="1230"/>
      <c r="D7" s="569" t="s">
        <v>1691</v>
      </c>
      <c r="E7" s="570">
        <v>4227</v>
      </c>
    </row>
    <row r="8" spans="1:11" ht="7.5" customHeight="1" thickBot="1" x14ac:dyDescent="0.45">
      <c r="A8" s="567"/>
      <c r="B8" s="568"/>
    </row>
    <row r="9" spans="1:11" ht="21.6" thickBot="1" x14ac:dyDescent="0.45">
      <c r="A9" s="576" t="s">
        <v>1692</v>
      </c>
      <c r="B9" s="1231" t="s">
        <v>1684</v>
      </c>
      <c r="C9" s="1232"/>
    </row>
    <row r="10" spans="1:11" ht="7.5" customHeight="1" thickBot="1" x14ac:dyDescent="0.45">
      <c r="A10" s="567"/>
      <c r="B10" s="568"/>
    </row>
    <row r="11" spans="1:11" s="31" customFormat="1" ht="24" customHeight="1" thickBot="1" x14ac:dyDescent="0.35">
      <c r="A11" s="1146" t="s">
        <v>1693</v>
      </c>
      <c r="B11" s="1147"/>
      <c r="C11" s="1147"/>
      <c r="D11" s="1147"/>
      <c r="E11" s="1147"/>
      <c r="F11" s="1147"/>
      <c r="G11" s="1148"/>
    </row>
    <row r="12" spans="1:11" ht="54.6" thickBot="1" x14ac:dyDescent="0.35">
      <c r="A12" s="312" t="s">
        <v>1293</v>
      </c>
      <c r="B12" s="313" t="s">
        <v>1675</v>
      </c>
      <c r="C12" s="581" t="s">
        <v>1391</v>
      </c>
      <c r="D12" s="321" t="s">
        <v>1526</v>
      </c>
      <c r="E12" s="321" t="s">
        <v>1585</v>
      </c>
      <c r="F12" s="313" t="s">
        <v>1676</v>
      </c>
      <c r="G12" s="313" t="s">
        <v>1677</v>
      </c>
      <c r="H12" s="313" t="s">
        <v>1676</v>
      </c>
      <c r="I12" s="313" t="s">
        <v>1677</v>
      </c>
      <c r="J12" s="313" t="s">
        <v>1676</v>
      </c>
      <c r="K12" s="321" t="s">
        <v>1677</v>
      </c>
    </row>
    <row r="13" spans="1:11" ht="18" x14ac:dyDescent="0.3">
      <c r="A13" s="1243">
        <v>1249700</v>
      </c>
      <c r="B13" s="1247"/>
      <c r="C13" s="1245" t="s">
        <v>1703</v>
      </c>
      <c r="D13" s="1077">
        <f>50000*0.7</f>
        <v>35000</v>
      </c>
      <c r="E13" s="447"/>
      <c r="F13" s="198"/>
      <c r="G13" s="447"/>
      <c r="H13" s="559"/>
      <c r="I13" s="560"/>
      <c r="J13" s="198"/>
      <c r="K13" s="447"/>
    </row>
    <row r="14" spans="1:11" ht="18.600000000000001" thickBot="1" x14ac:dyDescent="0.35">
      <c r="A14" s="1244"/>
      <c r="B14" s="1248"/>
      <c r="C14" s="1246"/>
      <c r="D14" s="1078"/>
      <c r="E14" s="444"/>
      <c r="F14" s="563"/>
      <c r="G14" s="564"/>
      <c r="H14" s="562"/>
      <c r="I14" s="561"/>
      <c r="J14" s="203"/>
      <c r="K14" s="444"/>
    </row>
    <row r="15" spans="1:11" ht="18" x14ac:dyDescent="0.3">
      <c r="A15" s="1243">
        <v>1247700</v>
      </c>
      <c r="B15" s="1247"/>
      <c r="C15" s="1245" t="s">
        <v>1704</v>
      </c>
      <c r="D15" s="1077">
        <f>20000*0.7</f>
        <v>14000</v>
      </c>
      <c r="E15" s="447"/>
      <c r="F15" s="198"/>
      <c r="G15" s="447"/>
      <c r="H15" s="559"/>
      <c r="I15" s="560"/>
      <c r="J15" s="198"/>
      <c r="K15" s="447"/>
    </row>
    <row r="16" spans="1:11" ht="18.600000000000001" thickBot="1" x14ac:dyDescent="0.35">
      <c r="A16" s="1244"/>
      <c r="B16" s="1248"/>
      <c r="C16" s="1246"/>
      <c r="D16" s="1078"/>
      <c r="E16" s="444"/>
      <c r="F16" s="563"/>
      <c r="G16" s="564"/>
      <c r="H16" s="562"/>
      <c r="I16" s="561"/>
      <c r="J16" s="203"/>
      <c r="K16" s="444"/>
    </row>
    <row r="17" spans="1:11" ht="18" x14ac:dyDescent="0.3">
      <c r="A17" s="1243">
        <v>1248700</v>
      </c>
      <c r="B17" s="1247"/>
      <c r="C17" s="1245" t="s">
        <v>1705</v>
      </c>
      <c r="D17" s="1077">
        <f>150000*0.7</f>
        <v>105000</v>
      </c>
      <c r="E17" s="447"/>
      <c r="F17" s="198"/>
      <c r="G17" s="447"/>
      <c r="H17" s="559"/>
      <c r="I17" s="560"/>
      <c r="J17" s="198"/>
      <c r="K17" s="447"/>
    </row>
    <row r="18" spans="1:11" ht="18.600000000000001" thickBot="1" x14ac:dyDescent="0.35">
      <c r="A18" s="1244"/>
      <c r="B18" s="1248"/>
      <c r="C18" s="1246"/>
      <c r="D18" s="1078"/>
      <c r="E18" s="444"/>
      <c r="F18" s="563"/>
      <c r="G18" s="564"/>
      <c r="H18" s="562"/>
      <c r="I18" s="561"/>
      <c r="J18" s="203"/>
      <c r="K18" s="444"/>
    </row>
    <row r="19" spans="1:11" ht="18" x14ac:dyDescent="0.3">
      <c r="A19" s="1243">
        <v>1246700</v>
      </c>
      <c r="B19" s="1247"/>
      <c r="C19" s="1245" t="s">
        <v>1706</v>
      </c>
      <c r="D19" s="1077">
        <f>10000*0.7</f>
        <v>7000</v>
      </c>
      <c r="E19" s="447"/>
      <c r="F19" s="198"/>
      <c r="G19" s="447"/>
      <c r="H19" s="559"/>
      <c r="I19" s="560"/>
      <c r="J19" s="198"/>
      <c r="K19" s="447"/>
    </row>
    <row r="20" spans="1:11" ht="18.600000000000001" thickBot="1" x14ac:dyDescent="0.35">
      <c r="A20" s="1244"/>
      <c r="B20" s="1248"/>
      <c r="C20" s="1246"/>
      <c r="D20" s="1078"/>
      <c r="E20" s="444"/>
      <c r="F20" s="563"/>
      <c r="G20" s="564"/>
      <c r="H20" s="562"/>
      <c r="I20" s="561"/>
      <c r="J20" s="203"/>
      <c r="K20" s="444"/>
    </row>
    <row r="21" spans="1:11" ht="18" x14ac:dyDescent="0.3">
      <c r="A21" s="1243">
        <v>1284700</v>
      </c>
      <c r="B21" s="1247"/>
      <c r="C21" s="1245" t="s">
        <v>1707</v>
      </c>
      <c r="D21" s="1077">
        <f>10000*0.7</f>
        <v>7000</v>
      </c>
      <c r="E21" s="447"/>
      <c r="F21" s="198"/>
      <c r="G21" s="447"/>
      <c r="H21" s="559"/>
      <c r="I21" s="560"/>
      <c r="J21" s="198"/>
      <c r="K21" s="447"/>
    </row>
    <row r="22" spans="1:11" ht="18.600000000000001" thickBot="1" x14ac:dyDescent="0.35">
      <c r="A22" s="1244"/>
      <c r="B22" s="1248"/>
      <c r="C22" s="1246"/>
      <c r="D22" s="468"/>
      <c r="E22" s="444"/>
      <c r="F22" s="563"/>
      <c r="G22" s="564"/>
      <c r="H22" s="562"/>
      <c r="I22" s="561"/>
      <c r="J22" s="203"/>
      <c r="K22" s="444"/>
    </row>
    <row r="23" spans="1:11" ht="15" thickBot="1" x14ac:dyDescent="0.35"/>
    <row r="24" spans="1:11" ht="26.25" customHeight="1" x14ac:dyDescent="0.55000000000000004">
      <c r="A24" s="1141" t="s">
        <v>1695</v>
      </c>
      <c r="B24" s="1142"/>
      <c r="C24" s="1143"/>
      <c r="D24" s="1123" t="s">
        <v>1680</v>
      </c>
      <c r="E24" s="1124"/>
      <c r="F24" s="1124"/>
      <c r="G24" s="1125"/>
    </row>
    <row r="25" spans="1:11" ht="21" customHeight="1" x14ac:dyDescent="0.4">
      <c r="A25" s="571" t="s">
        <v>1681</v>
      </c>
      <c r="B25" s="1237" t="s">
        <v>1696</v>
      </c>
      <c r="C25" s="1238"/>
      <c r="D25" s="1126"/>
      <c r="E25" s="1127"/>
      <c r="F25" s="1127"/>
      <c r="G25" s="1128"/>
    </row>
    <row r="26" spans="1:11" ht="21.75" customHeight="1" thickBot="1" x14ac:dyDescent="0.45">
      <c r="A26" s="571" t="s">
        <v>1683</v>
      </c>
      <c r="B26" s="1237" t="s">
        <v>1697</v>
      </c>
      <c r="C26" s="1238"/>
      <c r="D26" s="1129"/>
      <c r="E26" s="1130"/>
      <c r="F26" s="1130"/>
      <c r="G26" s="1131"/>
    </row>
    <row r="27" spans="1:11" ht="21" x14ac:dyDescent="0.4">
      <c r="A27" s="571" t="s">
        <v>1685</v>
      </c>
      <c r="B27" s="1237" t="s">
        <v>1686</v>
      </c>
      <c r="C27" s="1238"/>
      <c r="D27" s="1153" t="s">
        <v>1687</v>
      </c>
      <c r="E27" s="1154"/>
      <c r="F27" s="1157">
        <f ca="1">+TODAY()</f>
        <v>46052</v>
      </c>
      <c r="G27" s="1158"/>
    </row>
    <row r="28" spans="1:11" ht="21.6" thickBot="1" x14ac:dyDescent="0.45">
      <c r="A28" s="572" t="s">
        <v>1688</v>
      </c>
      <c r="B28" s="1241" t="s">
        <v>1689</v>
      </c>
      <c r="C28" s="1242"/>
      <c r="D28" s="1155"/>
      <c r="E28" s="1156"/>
      <c r="F28" s="1159"/>
      <c r="G28" s="1160"/>
    </row>
    <row r="29" spans="1:11" ht="7.5" customHeight="1" thickBot="1" x14ac:dyDescent="0.45">
      <c r="A29" s="567"/>
      <c r="B29" s="568"/>
    </row>
    <row r="30" spans="1:11" s="31" customFormat="1" ht="40.5" customHeight="1" thickBot="1" x14ac:dyDescent="0.35">
      <c r="A30" s="569" t="s">
        <v>1690</v>
      </c>
      <c r="B30" s="1229" t="s">
        <v>1698</v>
      </c>
      <c r="C30" s="1230"/>
      <c r="D30" s="569" t="s">
        <v>1691</v>
      </c>
      <c r="E30" s="570">
        <v>3921</v>
      </c>
    </row>
    <row r="31" spans="1:11" ht="7.5" customHeight="1" thickBot="1" x14ac:dyDescent="0.45">
      <c r="A31" s="567"/>
      <c r="B31" s="568"/>
    </row>
    <row r="32" spans="1:11" ht="21.6" thickBot="1" x14ac:dyDescent="0.45">
      <c r="A32" s="576" t="s">
        <v>1692</v>
      </c>
      <c r="B32" s="1231" t="s">
        <v>1684</v>
      </c>
      <c r="C32" s="1232"/>
    </row>
    <row r="33" spans="1:11" ht="7.5" customHeight="1" thickBot="1" x14ac:dyDescent="0.45">
      <c r="A33" s="567"/>
      <c r="B33" s="568"/>
    </row>
    <row r="34" spans="1:11" ht="26.4" thickBot="1" x14ac:dyDescent="0.35">
      <c r="A34" s="1146" t="s">
        <v>1693</v>
      </c>
      <c r="B34" s="1147"/>
      <c r="C34" s="1147"/>
      <c r="D34" s="1147"/>
      <c r="E34" s="1147"/>
      <c r="F34" s="1147"/>
      <c r="G34" s="1148"/>
    </row>
    <row r="35" spans="1:11" ht="54.6" thickBot="1" x14ac:dyDescent="0.35">
      <c r="A35" s="312" t="s">
        <v>1293</v>
      </c>
      <c r="B35" s="313" t="s">
        <v>1675</v>
      </c>
      <c r="C35" s="581" t="s">
        <v>1391</v>
      </c>
      <c r="D35" s="321" t="s">
        <v>1526</v>
      </c>
      <c r="E35" s="321" t="s">
        <v>1585</v>
      </c>
      <c r="F35" s="313" t="s">
        <v>1676</v>
      </c>
      <c r="G35" s="313" t="s">
        <v>1677</v>
      </c>
      <c r="H35" s="313" t="s">
        <v>1676</v>
      </c>
      <c r="I35" s="313" t="s">
        <v>1677</v>
      </c>
      <c r="J35" s="313" t="s">
        <v>1676</v>
      </c>
      <c r="K35" s="321" t="s">
        <v>1677</v>
      </c>
    </row>
    <row r="36" spans="1:11" ht="18.75" customHeight="1" x14ac:dyDescent="0.3">
      <c r="A36" s="1243">
        <v>2350700</v>
      </c>
      <c r="B36" s="1247"/>
      <c r="C36" s="1245" t="s">
        <v>1703</v>
      </c>
      <c r="D36" s="1077">
        <f>50000*0.3</f>
        <v>15000</v>
      </c>
      <c r="E36" s="447"/>
      <c r="F36" s="198"/>
      <c r="G36" s="447"/>
      <c r="H36" s="559"/>
      <c r="I36" s="560"/>
      <c r="J36" s="198"/>
      <c r="K36" s="447"/>
    </row>
    <row r="37" spans="1:11" ht="18.600000000000001" thickBot="1" x14ac:dyDescent="0.35">
      <c r="A37" s="1244"/>
      <c r="B37" s="1248"/>
      <c r="C37" s="1246"/>
      <c r="D37" s="1078"/>
      <c r="E37" s="444"/>
      <c r="F37" s="563"/>
      <c r="G37" s="564"/>
      <c r="H37" s="562"/>
      <c r="I37" s="561"/>
      <c r="J37" s="203"/>
      <c r="K37" s="444"/>
    </row>
    <row r="38" spans="1:11" ht="18.75" customHeight="1" x14ac:dyDescent="0.3">
      <c r="A38" s="1243">
        <v>2329700</v>
      </c>
      <c r="B38" s="1247"/>
      <c r="C38" s="1245" t="s">
        <v>1704</v>
      </c>
      <c r="D38" s="1077">
        <f>20000*0.3</f>
        <v>6000</v>
      </c>
      <c r="E38" s="447"/>
      <c r="F38" s="198"/>
      <c r="G38" s="447"/>
      <c r="H38" s="559"/>
      <c r="I38" s="560"/>
      <c r="J38" s="198"/>
      <c r="K38" s="447"/>
    </row>
    <row r="39" spans="1:11" ht="18.600000000000001" thickBot="1" x14ac:dyDescent="0.35">
      <c r="A39" s="1244"/>
      <c r="B39" s="1248"/>
      <c r="C39" s="1246"/>
      <c r="D39" s="1078"/>
      <c r="E39" s="444"/>
      <c r="F39" s="563"/>
      <c r="G39" s="564"/>
      <c r="H39" s="562"/>
      <c r="I39" s="561"/>
      <c r="J39" s="203"/>
      <c r="K39" s="444"/>
    </row>
    <row r="40" spans="1:11" ht="18.75" customHeight="1" x14ac:dyDescent="0.3">
      <c r="A40" s="1243">
        <v>2328700</v>
      </c>
      <c r="B40" s="1247"/>
      <c r="C40" s="1245" t="s">
        <v>1705</v>
      </c>
      <c r="D40" s="1077">
        <f>150000*0.3</f>
        <v>45000</v>
      </c>
      <c r="E40" s="447"/>
      <c r="F40" s="198"/>
      <c r="G40" s="447"/>
      <c r="H40" s="559"/>
      <c r="I40" s="560"/>
      <c r="J40" s="198"/>
      <c r="K40" s="447"/>
    </row>
    <row r="41" spans="1:11" ht="18.600000000000001" thickBot="1" x14ac:dyDescent="0.35">
      <c r="A41" s="1244"/>
      <c r="B41" s="1248"/>
      <c r="C41" s="1246"/>
      <c r="D41" s="1078"/>
      <c r="E41" s="444"/>
      <c r="F41" s="563"/>
      <c r="G41" s="564"/>
      <c r="H41" s="562"/>
      <c r="I41" s="561"/>
      <c r="J41" s="203"/>
      <c r="K41" s="444"/>
    </row>
    <row r="42" spans="1:11" ht="18.75" customHeight="1" x14ac:dyDescent="0.3">
      <c r="A42" s="1243">
        <v>2330700</v>
      </c>
      <c r="B42" s="1247"/>
      <c r="C42" s="1245" t="s">
        <v>1706</v>
      </c>
      <c r="D42" s="1077">
        <f>10000*0.3</f>
        <v>3000</v>
      </c>
      <c r="E42" s="447"/>
      <c r="F42" s="198"/>
      <c r="G42" s="447"/>
      <c r="H42" s="559"/>
      <c r="I42" s="560"/>
      <c r="J42" s="198"/>
      <c r="K42" s="447"/>
    </row>
    <row r="43" spans="1:11" ht="18.600000000000001" thickBot="1" x14ac:dyDescent="0.35">
      <c r="A43" s="1244"/>
      <c r="B43" s="1248"/>
      <c r="C43" s="1246"/>
      <c r="D43" s="1078"/>
      <c r="E43" s="444"/>
      <c r="F43" s="563"/>
      <c r="G43" s="564"/>
      <c r="H43" s="562"/>
      <c r="I43" s="561"/>
      <c r="J43" s="203"/>
      <c r="K43" s="444"/>
    </row>
    <row r="44" spans="1:11" ht="18.75" customHeight="1" x14ac:dyDescent="0.3">
      <c r="A44" s="1243">
        <v>2400700</v>
      </c>
      <c r="B44" s="1247"/>
      <c r="C44" s="1245" t="s">
        <v>1707</v>
      </c>
      <c r="D44" s="1077">
        <f>10000*0.3</f>
        <v>3000</v>
      </c>
      <c r="E44" s="447"/>
      <c r="F44" s="198"/>
      <c r="G44" s="447"/>
      <c r="H44" s="559"/>
      <c r="I44" s="560"/>
      <c r="J44" s="198"/>
      <c r="K44" s="447"/>
    </row>
    <row r="45" spans="1:11" ht="18.600000000000001" thickBot="1" x14ac:dyDescent="0.35">
      <c r="A45" s="1244"/>
      <c r="B45" s="1248"/>
      <c r="C45" s="1246"/>
      <c r="D45" s="468"/>
      <c r="E45" s="444"/>
      <c r="F45" s="563"/>
      <c r="G45" s="564"/>
      <c r="H45" s="562"/>
      <c r="I45" s="561"/>
      <c r="J45" s="203"/>
      <c r="K45" s="444"/>
    </row>
  </sheetData>
  <mergeCells count="52">
    <mergeCell ref="A44:A45"/>
    <mergeCell ref="B44:B45"/>
    <mergeCell ref="C44:C45"/>
    <mergeCell ref="A38:A39"/>
    <mergeCell ref="B38:B39"/>
    <mergeCell ref="C38:C39"/>
    <mergeCell ref="A42:A43"/>
    <mergeCell ref="B42:B43"/>
    <mergeCell ref="C42:C43"/>
    <mergeCell ref="A36:A37"/>
    <mergeCell ref="B36:B37"/>
    <mergeCell ref="C36:C37"/>
    <mergeCell ref="A40:A41"/>
    <mergeCell ref="B40:B41"/>
    <mergeCell ref="C40:C41"/>
    <mergeCell ref="B30:C30"/>
    <mergeCell ref="B32:C32"/>
    <mergeCell ref="A34:G34"/>
    <mergeCell ref="A24:C24"/>
    <mergeCell ref="D24:G26"/>
    <mergeCell ref="B25:C25"/>
    <mergeCell ref="B26:C26"/>
    <mergeCell ref="B27:C27"/>
    <mergeCell ref="D27:E28"/>
    <mergeCell ref="F27:G28"/>
    <mergeCell ref="B28:C28"/>
    <mergeCell ref="A21:A22"/>
    <mergeCell ref="C21:C22"/>
    <mergeCell ref="B13:B14"/>
    <mergeCell ref="B17:B18"/>
    <mergeCell ref="B15:B16"/>
    <mergeCell ref="B19:B20"/>
    <mergeCell ref="B21:B22"/>
    <mergeCell ref="A15:A16"/>
    <mergeCell ref="C15:C16"/>
    <mergeCell ref="A19:A20"/>
    <mergeCell ref="C19:C20"/>
    <mergeCell ref="A13:A14"/>
    <mergeCell ref="C13:C14"/>
    <mergeCell ref="A17:A18"/>
    <mergeCell ref="C17:C18"/>
    <mergeCell ref="B7:C7"/>
    <mergeCell ref="B9:C9"/>
    <mergeCell ref="D1:G3"/>
    <mergeCell ref="F4:G5"/>
    <mergeCell ref="A11:G11"/>
    <mergeCell ref="A1:C1"/>
    <mergeCell ref="B2:C2"/>
    <mergeCell ref="B3:C3"/>
    <mergeCell ref="B4:C4"/>
    <mergeCell ref="D4:E5"/>
    <mergeCell ref="B5:C5"/>
  </mergeCells>
  <pageMargins left="0.25" right="0.25" top="0.75" bottom="0.75" header="0.3" footer="0.3"/>
  <pageSetup paperSize="9"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workbookViewId="0">
      <selection sqref="A1:L9"/>
    </sheetView>
  </sheetViews>
  <sheetFormatPr baseColWidth="10" defaultRowHeight="14.4" x14ac:dyDescent="0.3"/>
  <cols>
    <col min="2" max="2" width="8.33203125" customWidth="1"/>
    <col min="3" max="3" width="8.5546875" customWidth="1"/>
    <col min="4" max="4" width="24.33203125" customWidth="1"/>
    <col min="5" max="5" width="10" customWidth="1"/>
    <col min="6" max="6" width="13.88671875" customWidth="1"/>
    <col min="7" max="7" width="1.6640625" customWidth="1"/>
    <col min="9" max="9" width="1.6640625" customWidth="1"/>
  </cols>
  <sheetData>
    <row r="1" spans="1:12" ht="29.4" thickBot="1" x14ac:dyDescent="0.35">
      <c r="A1" s="208"/>
      <c r="B1" s="371"/>
      <c r="C1" s="371"/>
      <c r="D1" s="457" t="s">
        <v>1496</v>
      </c>
      <c r="E1" s="457"/>
      <c r="F1" s="457"/>
    </row>
    <row r="2" spans="1:12" ht="29.4" thickBot="1" x14ac:dyDescent="0.4">
      <c r="A2" s="208"/>
      <c r="B2" s="371"/>
      <c r="C2" s="371"/>
      <c r="D2" s="455" t="s">
        <v>1471</v>
      </c>
      <c r="E2" s="456" t="s">
        <v>1497</v>
      </c>
      <c r="F2" s="515">
        <f ca="1">+TODAY()</f>
        <v>46052</v>
      </c>
    </row>
    <row r="3" spans="1:12" ht="36.6" thickBot="1" x14ac:dyDescent="0.35">
      <c r="A3" s="312" t="s">
        <v>1293</v>
      </c>
      <c r="B3" s="312" t="s">
        <v>748</v>
      </c>
      <c r="C3" s="312" t="s">
        <v>1018</v>
      </c>
      <c r="D3" s="328" t="s">
        <v>1207</v>
      </c>
      <c r="E3" s="321" t="s">
        <v>1500</v>
      </c>
      <c r="F3" s="321" t="s">
        <v>1515</v>
      </c>
      <c r="H3" s="321" t="s">
        <v>1585</v>
      </c>
      <c r="J3" s="513" t="s">
        <v>1586</v>
      </c>
      <c r="K3" s="513" t="s">
        <v>1586</v>
      </c>
      <c r="L3" s="514" t="s">
        <v>1586</v>
      </c>
    </row>
    <row r="4" spans="1:12" ht="18" x14ac:dyDescent="0.35">
      <c r="A4" s="297">
        <v>1203700</v>
      </c>
      <c r="B4" s="438">
        <v>31</v>
      </c>
      <c r="C4" s="323" t="s">
        <v>746</v>
      </c>
      <c r="D4" s="356" t="s">
        <v>1208</v>
      </c>
      <c r="E4" s="632">
        <v>30000</v>
      </c>
      <c r="F4" s="476"/>
      <c r="H4" s="510"/>
      <c r="J4" s="198"/>
      <c r="K4" s="27"/>
      <c r="L4" s="447"/>
    </row>
    <row r="5" spans="1:12" ht="18" hidden="1" x14ac:dyDescent="0.35">
      <c r="A5" s="419">
        <v>2314700</v>
      </c>
      <c r="B5" s="439">
        <v>836</v>
      </c>
      <c r="C5" s="322" t="s">
        <v>746</v>
      </c>
      <c r="D5" s="329" t="s">
        <v>1210</v>
      </c>
      <c r="E5" s="329"/>
      <c r="F5" s="477"/>
      <c r="H5" s="511"/>
      <c r="J5" s="202"/>
      <c r="K5" s="23"/>
      <c r="L5" s="442"/>
    </row>
    <row r="6" spans="1:12" ht="18.600000000000001" hidden="1" thickBot="1" x14ac:dyDescent="0.4">
      <c r="A6" s="298">
        <v>1204700</v>
      </c>
      <c r="B6" s="449">
        <v>715</v>
      </c>
      <c r="C6" s="324" t="s">
        <v>1041</v>
      </c>
      <c r="D6" s="373" t="s">
        <v>1495</v>
      </c>
      <c r="E6" s="373"/>
      <c r="F6" s="481"/>
      <c r="H6" s="512"/>
      <c r="J6" s="203"/>
      <c r="K6" s="29"/>
      <c r="L6" s="44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/>
  </sheetViews>
  <sheetFormatPr baseColWidth="10" defaultRowHeight="14.4" x14ac:dyDescent="0.3"/>
  <cols>
    <col min="2" max="2" width="8.6640625" customWidth="1"/>
    <col min="3" max="3" width="7.33203125" customWidth="1"/>
    <col min="4" max="4" width="32.33203125" customWidth="1"/>
    <col min="6" max="6" width="13.6640625" customWidth="1"/>
    <col min="7" max="7" width="1.109375" customWidth="1"/>
    <col min="9" max="9" width="1.109375" customWidth="1"/>
  </cols>
  <sheetData>
    <row r="1" spans="1:12" ht="29.4" thickBot="1" x14ac:dyDescent="0.35">
      <c r="A1" s="208"/>
      <c r="B1" s="371"/>
      <c r="C1" s="371"/>
      <c r="D1" s="457" t="s">
        <v>1496</v>
      </c>
      <c r="E1" s="457"/>
      <c r="F1" s="457"/>
    </row>
    <row r="2" spans="1:12" ht="29.4" thickBot="1" x14ac:dyDescent="0.35">
      <c r="A2" s="208"/>
      <c r="B2" s="371"/>
      <c r="C2" s="371"/>
      <c r="D2" s="455" t="s">
        <v>1485</v>
      </c>
      <c r="E2" s="466" t="s">
        <v>1497</v>
      </c>
      <c r="F2" s="515">
        <f ca="1">+TODAY()</f>
        <v>46052</v>
      </c>
    </row>
    <row r="3" spans="1:12" ht="36.6" thickBot="1" x14ac:dyDescent="0.35">
      <c r="A3" s="312" t="s">
        <v>1293</v>
      </c>
      <c r="B3" s="312" t="s">
        <v>748</v>
      </c>
      <c r="C3" s="312" t="s">
        <v>1018</v>
      </c>
      <c r="D3" s="328" t="s">
        <v>1207</v>
      </c>
      <c r="E3" s="321" t="s">
        <v>1500</v>
      </c>
      <c r="F3" s="321" t="s">
        <v>1515</v>
      </c>
      <c r="H3" s="321" t="s">
        <v>1585</v>
      </c>
      <c r="J3" s="513" t="s">
        <v>1586</v>
      </c>
      <c r="K3" s="513" t="s">
        <v>1586</v>
      </c>
      <c r="L3" s="514" t="s">
        <v>1586</v>
      </c>
    </row>
    <row r="4" spans="1:12" ht="18" x14ac:dyDescent="0.35">
      <c r="A4" s="467" t="s">
        <v>1514</v>
      </c>
      <c r="B4" s="499">
        <v>34</v>
      </c>
      <c r="C4" s="323" t="s">
        <v>746</v>
      </c>
      <c r="D4" s="356" t="s">
        <v>1209</v>
      </c>
      <c r="E4" s="356"/>
      <c r="F4" s="476"/>
      <c r="H4" s="510"/>
      <c r="J4" s="198"/>
      <c r="K4" s="27"/>
      <c r="L4" s="447"/>
    </row>
    <row r="5" spans="1:12" ht="18.600000000000001" thickBot="1" x14ac:dyDescent="0.4">
      <c r="A5" s="298"/>
      <c r="B5" s="449">
        <v>867</v>
      </c>
      <c r="C5" s="324" t="s">
        <v>1041</v>
      </c>
      <c r="D5" s="373" t="s">
        <v>1211</v>
      </c>
      <c r="E5" s="373"/>
      <c r="F5" s="481"/>
      <c r="H5" s="512"/>
      <c r="J5" s="203"/>
      <c r="K5" s="29"/>
      <c r="L5" s="444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/>
  </sheetViews>
  <sheetFormatPr baseColWidth="10" defaultRowHeight="14.4" x14ac:dyDescent="0.3"/>
  <cols>
    <col min="2" max="2" width="9.33203125" customWidth="1"/>
    <col min="3" max="3" width="7.33203125" customWidth="1"/>
    <col min="4" max="4" width="28.88671875" customWidth="1"/>
    <col min="6" max="6" width="13.33203125" customWidth="1"/>
    <col min="7" max="7" width="1.33203125" customWidth="1"/>
    <col min="9" max="9" width="1.33203125" customWidth="1"/>
  </cols>
  <sheetData>
    <row r="1" spans="1:12" ht="16.2" thickBot="1" x14ac:dyDescent="0.35">
      <c r="B1" s="292"/>
      <c r="C1" s="292"/>
      <c r="D1" s="457" t="s">
        <v>1496</v>
      </c>
      <c r="E1" s="457"/>
      <c r="F1" s="457"/>
    </row>
    <row r="2" spans="1:12" ht="24" thickBot="1" x14ac:dyDescent="0.4">
      <c r="B2" s="292"/>
      <c r="C2" s="292"/>
      <c r="D2" s="455" t="s">
        <v>1498</v>
      </c>
      <c r="E2" s="456" t="s">
        <v>1497</v>
      </c>
      <c r="F2" s="515">
        <f ca="1">+TODAY()</f>
        <v>46052</v>
      </c>
    </row>
    <row r="3" spans="1:12" ht="36.6" thickBot="1" x14ac:dyDescent="0.35">
      <c r="A3" s="312" t="s">
        <v>1293</v>
      </c>
      <c r="B3" s="312" t="s">
        <v>748</v>
      </c>
      <c r="C3" s="312" t="s">
        <v>1018</v>
      </c>
      <c r="D3" s="420" t="s">
        <v>1400</v>
      </c>
      <c r="E3" s="321" t="s">
        <v>1500</v>
      </c>
      <c r="F3" s="321" t="s">
        <v>1515</v>
      </c>
      <c r="H3" s="321" t="s">
        <v>1585</v>
      </c>
      <c r="J3" s="513" t="s">
        <v>1586</v>
      </c>
      <c r="K3" s="513" t="s">
        <v>1586</v>
      </c>
      <c r="L3" s="514" t="s">
        <v>1586</v>
      </c>
    </row>
    <row r="4" spans="1:12" ht="18" x14ac:dyDescent="0.35">
      <c r="A4" s="297">
        <v>1259700</v>
      </c>
      <c r="B4" s="438">
        <v>500</v>
      </c>
      <c r="C4" s="323" t="s">
        <v>746</v>
      </c>
      <c r="D4" s="356" t="s">
        <v>1395</v>
      </c>
      <c r="E4" s="356"/>
      <c r="F4" s="476"/>
      <c r="H4" s="510"/>
      <c r="J4" s="198"/>
      <c r="K4" s="27"/>
      <c r="L4" s="447"/>
    </row>
    <row r="5" spans="1:12" ht="18" x14ac:dyDescent="0.35">
      <c r="A5" s="302">
        <v>1260700</v>
      </c>
      <c r="B5" s="439">
        <v>506</v>
      </c>
      <c r="C5" s="322" t="s">
        <v>746</v>
      </c>
      <c r="D5" s="329" t="s">
        <v>1396</v>
      </c>
      <c r="E5" s="329"/>
      <c r="F5" s="477"/>
      <c r="H5" s="511"/>
      <c r="J5" s="202"/>
      <c r="K5" s="23"/>
      <c r="L5" s="442"/>
    </row>
    <row r="6" spans="1:12" ht="18" x14ac:dyDescent="0.35">
      <c r="A6" s="302">
        <v>1279700</v>
      </c>
      <c r="B6" s="439">
        <v>510</v>
      </c>
      <c r="C6" s="322" t="s">
        <v>746</v>
      </c>
      <c r="D6" s="329" t="s">
        <v>1397</v>
      </c>
      <c r="E6" s="329"/>
      <c r="F6" s="477"/>
      <c r="H6" s="511"/>
      <c r="J6" s="202"/>
      <c r="K6" s="23"/>
      <c r="L6" s="442"/>
    </row>
    <row r="7" spans="1:12" ht="18" x14ac:dyDescent="0.35">
      <c r="A7" s="302">
        <v>2326700</v>
      </c>
      <c r="B7" s="439">
        <v>706</v>
      </c>
      <c r="C7" s="322" t="s">
        <v>1041</v>
      </c>
      <c r="D7" s="329" t="s">
        <v>1406</v>
      </c>
      <c r="E7" s="329"/>
      <c r="F7" s="477"/>
      <c r="H7" s="511"/>
      <c r="J7" s="202"/>
      <c r="K7" s="23"/>
      <c r="L7" s="442"/>
    </row>
    <row r="8" spans="1:12" ht="18" x14ac:dyDescent="0.35">
      <c r="A8" s="302">
        <v>1262700</v>
      </c>
      <c r="B8" s="439">
        <v>555</v>
      </c>
      <c r="C8" s="322" t="s">
        <v>746</v>
      </c>
      <c r="D8" s="421" t="s">
        <v>1407</v>
      </c>
      <c r="E8" s="421"/>
      <c r="F8" s="490"/>
      <c r="H8" s="511"/>
      <c r="J8" s="202"/>
      <c r="K8" s="23"/>
      <c r="L8" s="442"/>
    </row>
    <row r="9" spans="1:12" ht="18" x14ac:dyDescent="0.35">
      <c r="A9" s="302">
        <v>1262700</v>
      </c>
      <c r="B9" s="439">
        <v>557</v>
      </c>
      <c r="C9" s="322" t="s">
        <v>746</v>
      </c>
      <c r="D9" s="421" t="s">
        <v>1408</v>
      </c>
      <c r="E9" s="421"/>
      <c r="F9" s="490"/>
      <c r="H9" s="511"/>
      <c r="J9" s="202"/>
      <c r="K9" s="23"/>
      <c r="L9" s="442"/>
    </row>
    <row r="10" spans="1:12" ht="18" x14ac:dyDescent="0.35">
      <c r="A10" s="302">
        <v>1262700</v>
      </c>
      <c r="B10" s="439">
        <v>558</v>
      </c>
      <c r="C10" s="322" t="s">
        <v>746</v>
      </c>
      <c r="D10" s="421" t="s">
        <v>1409</v>
      </c>
      <c r="E10" s="421"/>
      <c r="F10" s="490"/>
      <c r="H10" s="511"/>
      <c r="J10" s="202"/>
      <c r="K10" s="23"/>
      <c r="L10" s="442"/>
    </row>
    <row r="11" spans="1:12" ht="18" x14ac:dyDescent="0.35">
      <c r="A11" s="302">
        <v>1262700</v>
      </c>
      <c r="B11" s="439">
        <v>654</v>
      </c>
      <c r="C11" s="322" t="s">
        <v>746</v>
      </c>
      <c r="D11" s="421" t="s">
        <v>1410</v>
      </c>
      <c r="E11" s="421"/>
      <c r="F11" s="490"/>
      <c r="H11" s="511"/>
      <c r="J11" s="202"/>
      <c r="K11" s="23"/>
      <c r="L11" s="442"/>
    </row>
    <row r="12" spans="1:12" ht="18.600000000000001" thickBot="1" x14ac:dyDescent="0.4">
      <c r="A12" s="298">
        <v>2326700</v>
      </c>
      <c r="B12" s="449" t="s">
        <v>869</v>
      </c>
      <c r="C12" s="324" t="s">
        <v>1041</v>
      </c>
      <c r="D12" s="422" t="s">
        <v>1411</v>
      </c>
      <c r="E12" s="422"/>
      <c r="F12" s="491"/>
      <c r="H12" s="512"/>
      <c r="J12" s="203"/>
      <c r="K12" s="29"/>
      <c r="L12" s="44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61"/>
  <sheetViews>
    <sheetView zoomScale="85" zoomScaleNormal="85" workbookViewId="0">
      <selection activeCell="E1" sqref="E1:H5"/>
    </sheetView>
  </sheetViews>
  <sheetFormatPr baseColWidth="10" defaultRowHeight="14.4" x14ac:dyDescent="0.3"/>
  <cols>
    <col min="1" max="1" width="16" customWidth="1"/>
    <col min="2" max="2" width="7.5546875" customWidth="1"/>
    <col min="3" max="3" width="5.33203125" customWidth="1"/>
    <col min="4" max="4" width="21" customWidth="1"/>
    <col min="5" max="5" width="9.88671875" style="292" customWidth="1"/>
    <col min="6" max="6" width="9.6640625" customWidth="1"/>
    <col min="7" max="7" width="10.33203125" customWidth="1"/>
    <col min="8" max="8" width="10.109375" customWidth="1"/>
    <col min="9" max="9" width="9.88671875" customWidth="1"/>
    <col min="10" max="11" width="10" customWidth="1"/>
    <col min="12" max="12" width="10.33203125" customWidth="1"/>
  </cols>
  <sheetData>
    <row r="1" spans="1:12" ht="26.25" customHeight="1" x14ac:dyDescent="0.5">
      <c r="A1" s="1216" t="s">
        <v>1679</v>
      </c>
      <c r="B1" s="1217"/>
      <c r="C1" s="1217"/>
      <c r="D1" s="1218"/>
      <c r="E1" s="1123" t="s">
        <v>1680</v>
      </c>
      <c r="F1" s="1124"/>
      <c r="G1" s="1124"/>
      <c r="H1" s="1125"/>
    </row>
    <row r="2" spans="1:12" ht="21" customHeight="1" x14ac:dyDescent="0.4">
      <c r="A2" s="574" t="s">
        <v>1681</v>
      </c>
      <c r="B2" s="1237" t="s">
        <v>1682</v>
      </c>
      <c r="C2" s="1237"/>
      <c r="D2" s="1238"/>
      <c r="E2" s="1126"/>
      <c r="F2" s="1127"/>
      <c r="G2" s="1127"/>
      <c r="H2" s="1128"/>
    </row>
    <row r="3" spans="1:12" ht="21.75" customHeight="1" thickBot="1" x14ac:dyDescent="0.45">
      <c r="A3" s="574" t="s">
        <v>1683</v>
      </c>
      <c r="B3" s="1237" t="s">
        <v>1684</v>
      </c>
      <c r="C3" s="1237"/>
      <c r="D3" s="1238"/>
      <c r="E3" s="1129"/>
      <c r="F3" s="1130"/>
      <c r="G3" s="1130"/>
      <c r="H3" s="1131"/>
    </row>
    <row r="4" spans="1:12" ht="21" x14ac:dyDescent="0.4">
      <c r="A4" s="574" t="s">
        <v>1685</v>
      </c>
      <c r="B4" s="1237" t="s">
        <v>1686</v>
      </c>
      <c r="C4" s="1237"/>
      <c r="D4" s="1238"/>
      <c r="E4" s="1257" t="s">
        <v>1687</v>
      </c>
      <c r="F4" s="1258"/>
      <c r="G4" s="1157">
        <f ca="1">+TODAY()</f>
        <v>46052</v>
      </c>
      <c r="H4" s="1158"/>
    </row>
    <row r="5" spans="1:12" ht="21.6" thickBot="1" x14ac:dyDescent="0.45">
      <c r="A5" s="575" t="s">
        <v>1688</v>
      </c>
      <c r="B5" s="1241" t="s">
        <v>1689</v>
      </c>
      <c r="C5" s="1241"/>
      <c r="D5" s="1242"/>
      <c r="E5" s="1240"/>
      <c r="F5" s="1167"/>
      <c r="G5" s="1159"/>
      <c r="H5" s="1160"/>
    </row>
    <row r="6" spans="1:12" ht="7.5" customHeight="1" thickBot="1" x14ac:dyDescent="0.45">
      <c r="A6" s="567"/>
      <c r="B6" s="568"/>
      <c r="E6"/>
    </row>
    <row r="7" spans="1:12" s="31" customFormat="1" ht="40.5" customHeight="1" thickBot="1" x14ac:dyDescent="0.35">
      <c r="A7" s="569" t="s">
        <v>1690</v>
      </c>
      <c r="B7" s="1229" t="s">
        <v>1694</v>
      </c>
      <c r="C7" s="1256"/>
      <c r="D7" s="1230"/>
      <c r="E7" s="569" t="s">
        <v>1691</v>
      </c>
      <c r="F7" s="570">
        <v>2147</v>
      </c>
    </row>
    <row r="8" spans="1:12" ht="7.5" customHeight="1" thickBot="1" x14ac:dyDescent="0.45">
      <c r="A8" s="567"/>
      <c r="B8" s="568"/>
      <c r="E8"/>
    </row>
    <row r="9" spans="1:12" ht="21.6" thickBot="1" x14ac:dyDescent="0.45">
      <c r="A9" s="576" t="s">
        <v>1692</v>
      </c>
      <c r="B9" s="1231" t="s">
        <v>1684</v>
      </c>
      <c r="C9" s="1255"/>
      <c r="D9" s="1232"/>
      <c r="E9"/>
    </row>
    <row r="10" spans="1:12" ht="7.5" customHeight="1" thickBot="1" x14ac:dyDescent="0.45">
      <c r="A10" s="567"/>
      <c r="B10" s="568"/>
      <c r="E10"/>
    </row>
    <row r="11" spans="1:12" s="31" customFormat="1" ht="24" customHeight="1" thickBot="1" x14ac:dyDescent="0.35">
      <c r="A11" s="1146" t="s">
        <v>1693</v>
      </c>
      <c r="B11" s="1147"/>
      <c r="C11" s="1147"/>
      <c r="D11" s="1147"/>
      <c r="E11" s="1147"/>
      <c r="F11" s="1147"/>
      <c r="G11" s="1147"/>
      <c r="H11" s="1148"/>
    </row>
    <row r="12" spans="1:12" ht="54.6" thickBot="1" x14ac:dyDescent="0.35">
      <c r="A12" s="312" t="s">
        <v>1293</v>
      </c>
      <c r="B12" s="312" t="s">
        <v>748</v>
      </c>
      <c r="C12" s="291" t="s">
        <v>1675</v>
      </c>
      <c r="D12" s="312" t="s">
        <v>749</v>
      </c>
      <c r="E12" s="321" t="s">
        <v>1526</v>
      </c>
      <c r="F12" s="321" t="s">
        <v>1585</v>
      </c>
      <c r="G12" s="313" t="s">
        <v>1676</v>
      </c>
      <c r="H12" s="313" t="s">
        <v>1677</v>
      </c>
      <c r="I12" s="313" t="s">
        <v>1676</v>
      </c>
      <c r="J12" s="313" t="s">
        <v>1677</v>
      </c>
      <c r="K12" s="313" t="s">
        <v>1676</v>
      </c>
      <c r="L12" s="291" t="s">
        <v>1677</v>
      </c>
    </row>
    <row r="13" spans="1:12" ht="18" x14ac:dyDescent="0.3">
      <c r="A13" s="1251">
        <v>1208700</v>
      </c>
      <c r="B13" s="1253">
        <v>280</v>
      </c>
      <c r="C13" s="1249"/>
      <c r="D13" s="1245" t="s">
        <v>1331</v>
      </c>
      <c r="E13" s="566"/>
      <c r="F13" s="447"/>
      <c r="G13" s="198"/>
      <c r="H13" s="447"/>
      <c r="I13" s="559"/>
      <c r="J13" s="560"/>
      <c r="K13" s="198"/>
      <c r="L13" s="447"/>
    </row>
    <row r="14" spans="1:12" ht="18.600000000000001" thickBot="1" x14ac:dyDescent="0.35">
      <c r="A14" s="1252"/>
      <c r="B14" s="1254"/>
      <c r="C14" s="1250"/>
      <c r="D14" s="1246"/>
      <c r="E14" s="468"/>
      <c r="F14" s="444"/>
      <c r="G14" s="563"/>
      <c r="H14" s="564"/>
      <c r="I14" s="562"/>
      <c r="J14" s="561"/>
      <c r="K14" s="203"/>
      <c r="L14" s="444"/>
    </row>
    <row r="15" spans="1:12" ht="18" x14ac:dyDescent="0.3">
      <c r="A15" s="1251">
        <v>1206700</v>
      </c>
      <c r="B15" s="1253">
        <v>512</v>
      </c>
      <c r="C15" s="1249"/>
      <c r="D15" s="1245" t="s">
        <v>1337</v>
      </c>
      <c r="E15" s="566"/>
      <c r="F15" s="447"/>
      <c r="G15" s="198"/>
      <c r="H15" s="447"/>
      <c r="I15" s="559"/>
      <c r="J15" s="560"/>
      <c r="K15" s="198"/>
      <c r="L15" s="447"/>
    </row>
    <row r="16" spans="1:12" ht="18.600000000000001" thickBot="1" x14ac:dyDescent="0.35">
      <c r="A16" s="1252"/>
      <c r="B16" s="1254"/>
      <c r="C16" s="1250"/>
      <c r="D16" s="1246"/>
      <c r="E16" s="468"/>
      <c r="F16" s="444"/>
      <c r="G16" s="563"/>
      <c r="H16" s="564"/>
      <c r="I16" s="562"/>
      <c r="J16" s="561"/>
      <c r="K16" s="203"/>
      <c r="L16" s="444"/>
    </row>
    <row r="17" spans="1:12" ht="18" x14ac:dyDescent="0.3">
      <c r="A17" s="1251">
        <v>1206700</v>
      </c>
      <c r="B17" s="1253">
        <v>501</v>
      </c>
      <c r="C17" s="1249"/>
      <c r="D17" s="1245" t="s">
        <v>1189</v>
      </c>
      <c r="E17" s="566"/>
      <c r="F17" s="447"/>
      <c r="G17" s="198"/>
      <c r="H17" s="447"/>
      <c r="I17" s="559"/>
      <c r="J17" s="560"/>
      <c r="K17" s="198"/>
      <c r="L17" s="447"/>
    </row>
    <row r="18" spans="1:12" ht="18.600000000000001" thickBot="1" x14ac:dyDescent="0.35">
      <c r="A18" s="1252"/>
      <c r="B18" s="1254"/>
      <c r="C18" s="1250"/>
      <c r="D18" s="1246"/>
      <c r="E18" s="468"/>
      <c r="F18" s="444"/>
      <c r="G18" s="563"/>
      <c r="H18" s="564"/>
      <c r="I18" s="562"/>
      <c r="J18" s="561"/>
      <c r="K18" s="203"/>
      <c r="L18" s="444"/>
    </row>
    <row r="19" spans="1:12" ht="18" x14ac:dyDescent="0.3">
      <c r="A19" s="1251">
        <v>1206700</v>
      </c>
      <c r="B19" s="1253">
        <v>502</v>
      </c>
      <c r="C19" s="1249"/>
      <c r="D19" s="1245" t="s">
        <v>1318</v>
      </c>
      <c r="E19" s="566"/>
      <c r="F19" s="447"/>
      <c r="G19" s="198"/>
      <c r="H19" s="447"/>
      <c r="I19" s="559"/>
      <c r="J19" s="560"/>
      <c r="K19" s="198"/>
      <c r="L19" s="447"/>
    </row>
    <row r="20" spans="1:12" ht="18.600000000000001" thickBot="1" x14ac:dyDescent="0.35">
      <c r="A20" s="1252"/>
      <c r="B20" s="1254"/>
      <c r="C20" s="1250"/>
      <c r="D20" s="1246"/>
      <c r="E20" s="468"/>
      <c r="F20" s="444"/>
      <c r="G20" s="563"/>
      <c r="H20" s="564"/>
      <c r="I20" s="562"/>
      <c r="J20" s="561"/>
      <c r="K20" s="203"/>
      <c r="L20" s="444"/>
    </row>
    <row r="21" spans="1:12" ht="18" x14ac:dyDescent="0.3">
      <c r="A21" s="1251">
        <v>1217700</v>
      </c>
      <c r="B21" s="1253">
        <v>222</v>
      </c>
      <c r="C21" s="1249"/>
      <c r="D21" s="1245" t="s">
        <v>1347</v>
      </c>
      <c r="E21" s="566"/>
      <c r="F21" s="447"/>
      <c r="G21" s="198"/>
      <c r="H21" s="447"/>
      <c r="I21" s="559"/>
      <c r="J21" s="560"/>
      <c r="K21" s="198"/>
      <c r="L21" s="447"/>
    </row>
    <row r="22" spans="1:12" ht="18.600000000000001" thickBot="1" x14ac:dyDescent="0.35">
      <c r="A22" s="1252"/>
      <c r="B22" s="1254"/>
      <c r="C22" s="1250"/>
      <c r="D22" s="1246"/>
      <c r="E22" s="468"/>
      <c r="F22" s="444"/>
      <c r="G22" s="563"/>
      <c r="H22" s="564"/>
      <c r="I22" s="562"/>
      <c r="J22" s="561"/>
      <c r="K22" s="203"/>
      <c r="L22" s="444"/>
    </row>
    <row r="23" spans="1:12" ht="18" x14ac:dyDescent="0.3">
      <c r="A23" s="1251">
        <v>1206700</v>
      </c>
      <c r="B23" s="1253">
        <v>395</v>
      </c>
      <c r="C23" s="1249"/>
      <c r="D23" s="1245" t="s">
        <v>786</v>
      </c>
      <c r="E23" s="566"/>
      <c r="F23" s="447"/>
      <c r="G23" s="198"/>
      <c r="H23" s="447"/>
      <c r="I23" s="559"/>
      <c r="J23" s="560"/>
      <c r="K23" s="198"/>
      <c r="L23" s="447"/>
    </row>
    <row r="24" spans="1:12" ht="18.600000000000001" thickBot="1" x14ac:dyDescent="0.35">
      <c r="A24" s="1252"/>
      <c r="B24" s="1254"/>
      <c r="C24" s="1250"/>
      <c r="D24" s="1246"/>
      <c r="E24" s="468"/>
      <c r="F24" s="444"/>
      <c r="G24" s="563"/>
      <c r="H24" s="564"/>
      <c r="I24" s="562"/>
      <c r="J24" s="561"/>
      <c r="K24" s="203"/>
      <c r="L24" s="444"/>
    </row>
    <row r="25" spans="1:12" ht="18" x14ac:dyDescent="0.3">
      <c r="A25" s="1251">
        <v>1206700</v>
      </c>
      <c r="B25" s="1253">
        <v>570</v>
      </c>
      <c r="C25" s="1249"/>
      <c r="D25" s="1245" t="s">
        <v>1185</v>
      </c>
      <c r="E25" s="566"/>
      <c r="F25" s="447"/>
      <c r="G25" s="198"/>
      <c r="H25" s="447"/>
      <c r="I25" s="559"/>
      <c r="J25" s="560"/>
      <c r="K25" s="198"/>
      <c r="L25" s="447"/>
    </row>
    <row r="26" spans="1:12" ht="18.600000000000001" thickBot="1" x14ac:dyDescent="0.35">
      <c r="A26" s="1252"/>
      <c r="B26" s="1254"/>
      <c r="C26" s="1250"/>
      <c r="D26" s="1246"/>
      <c r="E26" s="468"/>
      <c r="F26" s="444"/>
      <c r="G26" s="563"/>
      <c r="H26" s="564"/>
      <c r="I26" s="562"/>
      <c r="J26" s="561"/>
      <c r="K26" s="203"/>
      <c r="L26" s="444"/>
    </row>
    <row r="27" spans="1:12" ht="18" x14ac:dyDescent="0.3">
      <c r="A27" s="1251">
        <v>1206700</v>
      </c>
      <c r="B27" s="1253">
        <v>559</v>
      </c>
      <c r="C27" s="1249"/>
      <c r="D27" s="1245" t="s">
        <v>1334</v>
      </c>
      <c r="E27" s="566"/>
      <c r="F27" s="447"/>
      <c r="G27" s="198"/>
      <c r="H27" s="447"/>
      <c r="I27" s="559"/>
      <c r="J27" s="560"/>
      <c r="K27" s="198"/>
      <c r="L27" s="447"/>
    </row>
    <row r="28" spans="1:12" ht="18.600000000000001" thickBot="1" x14ac:dyDescent="0.35">
      <c r="A28" s="1252"/>
      <c r="B28" s="1254"/>
      <c r="C28" s="1250"/>
      <c r="D28" s="1246"/>
      <c r="E28" s="468"/>
      <c r="F28" s="444"/>
      <c r="G28" s="563"/>
      <c r="H28" s="564"/>
      <c r="I28" s="562"/>
      <c r="J28" s="561"/>
      <c r="K28" s="203"/>
      <c r="L28" s="444"/>
    </row>
    <row r="29" spans="1:12" ht="18" x14ac:dyDescent="0.3">
      <c r="A29" s="1251">
        <v>1206700</v>
      </c>
      <c r="B29" s="1253">
        <v>562</v>
      </c>
      <c r="C29" s="1249"/>
      <c r="D29" s="1245" t="s">
        <v>1398</v>
      </c>
      <c r="E29" s="566"/>
      <c r="F29" s="447"/>
      <c r="G29" s="198"/>
      <c r="H29" s="447"/>
      <c r="I29" s="559"/>
      <c r="J29" s="560"/>
      <c r="K29" s="198"/>
      <c r="L29" s="447"/>
    </row>
    <row r="30" spans="1:12" ht="18.600000000000001" thickBot="1" x14ac:dyDescent="0.35">
      <c r="A30" s="1252"/>
      <c r="B30" s="1254"/>
      <c r="C30" s="1250"/>
      <c r="D30" s="1246"/>
      <c r="E30" s="468"/>
      <c r="F30" s="444"/>
      <c r="G30" s="563"/>
      <c r="H30" s="564"/>
      <c r="I30" s="562"/>
      <c r="J30" s="561"/>
      <c r="K30" s="203"/>
      <c r="L30" s="444"/>
    </row>
    <row r="31" spans="1:12" ht="18" x14ac:dyDescent="0.3">
      <c r="A31" s="1251">
        <v>1206700</v>
      </c>
      <c r="B31" s="1253">
        <v>548</v>
      </c>
      <c r="C31" s="1249"/>
      <c r="D31" s="1245" t="s">
        <v>1187</v>
      </c>
      <c r="E31" s="566"/>
      <c r="F31" s="447"/>
      <c r="G31" s="198"/>
      <c r="H31" s="447"/>
      <c r="I31" s="559"/>
      <c r="J31" s="560"/>
      <c r="K31" s="198"/>
      <c r="L31" s="447"/>
    </row>
    <row r="32" spans="1:12" ht="18.600000000000001" thickBot="1" x14ac:dyDescent="0.35">
      <c r="A32" s="1252"/>
      <c r="B32" s="1254"/>
      <c r="C32" s="1250"/>
      <c r="D32" s="1246"/>
      <c r="E32" s="468"/>
      <c r="F32" s="444"/>
      <c r="G32" s="563"/>
      <c r="H32" s="564"/>
      <c r="I32" s="562"/>
      <c r="J32" s="561"/>
      <c r="K32" s="203"/>
      <c r="L32" s="444"/>
    </row>
    <row r="33" spans="1:12" ht="18" x14ac:dyDescent="0.3">
      <c r="A33" s="1251">
        <v>1214700</v>
      </c>
      <c r="B33" s="1253">
        <v>575</v>
      </c>
      <c r="C33" s="1249"/>
      <c r="D33" s="1245" t="s">
        <v>1328</v>
      </c>
      <c r="E33" s="566"/>
      <c r="F33" s="447"/>
      <c r="G33" s="198"/>
      <c r="H33" s="447"/>
      <c r="I33" s="559"/>
      <c r="J33" s="560"/>
      <c r="K33" s="198"/>
      <c r="L33" s="447"/>
    </row>
    <row r="34" spans="1:12" ht="18.600000000000001" thickBot="1" x14ac:dyDescent="0.35">
      <c r="A34" s="1252"/>
      <c r="B34" s="1254"/>
      <c r="C34" s="1250"/>
      <c r="D34" s="1246"/>
      <c r="E34" s="468"/>
      <c r="F34" s="444"/>
      <c r="G34" s="563"/>
      <c r="H34" s="564"/>
      <c r="I34" s="562"/>
      <c r="J34" s="561"/>
      <c r="K34" s="203"/>
      <c r="L34" s="444"/>
    </row>
    <row r="35" spans="1:12" ht="18" x14ac:dyDescent="0.3">
      <c r="A35" s="1251">
        <v>1217700</v>
      </c>
      <c r="B35" s="1253">
        <v>312</v>
      </c>
      <c r="C35" s="1249"/>
      <c r="D35" s="1245" t="s">
        <v>1342</v>
      </c>
      <c r="E35" s="566"/>
      <c r="F35" s="447"/>
      <c r="G35" s="198"/>
      <c r="H35" s="447"/>
      <c r="I35" s="559"/>
      <c r="J35" s="560"/>
      <c r="K35" s="198"/>
      <c r="L35" s="447"/>
    </row>
    <row r="36" spans="1:12" ht="18.600000000000001" thickBot="1" x14ac:dyDescent="0.35">
      <c r="A36" s="1252"/>
      <c r="B36" s="1254"/>
      <c r="C36" s="1250"/>
      <c r="D36" s="1246"/>
      <c r="E36" s="468"/>
      <c r="F36" s="444"/>
      <c r="G36" s="563"/>
      <c r="H36" s="564"/>
      <c r="I36" s="562"/>
      <c r="J36" s="561"/>
      <c r="K36" s="203"/>
      <c r="L36" s="444"/>
    </row>
    <row r="37" spans="1:12" ht="18" x14ac:dyDescent="0.3">
      <c r="A37" s="1251">
        <v>1271700</v>
      </c>
      <c r="B37" s="1253">
        <v>577</v>
      </c>
      <c r="C37" s="1249"/>
      <c r="D37" s="1245" t="s">
        <v>1329</v>
      </c>
      <c r="E37" s="566"/>
      <c r="F37" s="447"/>
      <c r="G37" s="198"/>
      <c r="H37" s="447"/>
      <c r="I37" s="559"/>
      <c r="J37" s="560"/>
      <c r="K37" s="198"/>
      <c r="L37" s="447"/>
    </row>
    <row r="38" spans="1:12" ht="18.600000000000001" thickBot="1" x14ac:dyDescent="0.35">
      <c r="A38" s="1252"/>
      <c r="B38" s="1254"/>
      <c r="C38" s="1250"/>
      <c r="D38" s="1246"/>
      <c r="E38" s="468"/>
      <c r="F38" s="444"/>
      <c r="G38" s="563"/>
      <c r="H38" s="564"/>
      <c r="I38" s="562"/>
      <c r="J38" s="561"/>
      <c r="K38" s="203"/>
      <c r="L38" s="444"/>
    </row>
    <row r="39" spans="1:12" ht="18" x14ac:dyDescent="0.3">
      <c r="A39" s="1251">
        <v>1217700</v>
      </c>
      <c r="B39" s="1253">
        <v>315</v>
      </c>
      <c r="C39" s="1249"/>
      <c r="D39" s="1245" t="s">
        <v>766</v>
      </c>
      <c r="E39" s="566"/>
      <c r="F39" s="447"/>
      <c r="G39" s="198"/>
      <c r="H39" s="447"/>
      <c r="I39" s="559"/>
      <c r="J39" s="560"/>
      <c r="K39" s="198"/>
      <c r="L39" s="447"/>
    </row>
    <row r="40" spans="1:12" ht="18.600000000000001" thickBot="1" x14ac:dyDescent="0.35">
      <c r="A40" s="1252"/>
      <c r="B40" s="1254"/>
      <c r="C40" s="1250"/>
      <c r="D40" s="1246"/>
      <c r="E40" s="468"/>
      <c r="F40" s="444"/>
      <c r="G40" s="563"/>
      <c r="H40" s="564"/>
      <c r="I40" s="562"/>
      <c r="J40" s="561"/>
      <c r="K40" s="203"/>
      <c r="L40" s="444"/>
    </row>
    <row r="41" spans="1:12" ht="18" x14ac:dyDescent="0.3">
      <c r="A41" s="1251">
        <v>1207700</v>
      </c>
      <c r="B41" s="1253">
        <v>513</v>
      </c>
      <c r="C41" s="1249"/>
      <c r="D41" s="1245" t="s">
        <v>1183</v>
      </c>
      <c r="E41" s="566"/>
      <c r="F41" s="447"/>
      <c r="G41" s="198"/>
      <c r="H41" s="447"/>
      <c r="I41" s="559"/>
      <c r="J41" s="560"/>
      <c r="K41" s="198"/>
      <c r="L41" s="447"/>
    </row>
    <row r="42" spans="1:12" ht="18.600000000000001" thickBot="1" x14ac:dyDescent="0.35">
      <c r="A42" s="1252"/>
      <c r="B42" s="1254"/>
      <c r="C42" s="1250"/>
      <c r="D42" s="1246"/>
      <c r="E42" s="468"/>
      <c r="F42" s="444"/>
      <c r="G42" s="563"/>
      <c r="H42" s="564"/>
      <c r="I42" s="562"/>
      <c r="J42" s="561"/>
      <c r="K42" s="203"/>
      <c r="L42" s="444"/>
    </row>
    <row r="43" spans="1:12" ht="18" x14ac:dyDescent="0.3">
      <c r="A43" s="1251">
        <v>1207700</v>
      </c>
      <c r="B43" s="1253">
        <v>587</v>
      </c>
      <c r="C43" s="1249"/>
      <c r="D43" s="1245" t="s">
        <v>1322</v>
      </c>
      <c r="E43" s="566"/>
      <c r="F43" s="447"/>
      <c r="G43" s="198"/>
      <c r="H43" s="447"/>
      <c r="I43" s="559"/>
      <c r="J43" s="560"/>
      <c r="K43" s="198"/>
      <c r="L43" s="447"/>
    </row>
    <row r="44" spans="1:12" ht="18.600000000000001" thickBot="1" x14ac:dyDescent="0.35">
      <c r="A44" s="1252"/>
      <c r="B44" s="1254"/>
      <c r="C44" s="1250"/>
      <c r="D44" s="1246"/>
      <c r="E44" s="468"/>
      <c r="F44" s="444"/>
      <c r="G44" s="563"/>
      <c r="H44" s="564"/>
      <c r="I44" s="562"/>
      <c r="J44" s="561"/>
      <c r="K44" s="203"/>
      <c r="L44" s="444"/>
    </row>
    <row r="45" spans="1:12" ht="18" x14ac:dyDescent="0.3">
      <c r="A45" s="1251">
        <v>1207700</v>
      </c>
      <c r="B45" s="1253">
        <v>505</v>
      </c>
      <c r="C45" s="1249"/>
      <c r="D45" s="1245" t="s">
        <v>1186</v>
      </c>
      <c r="E45" s="566"/>
      <c r="F45" s="447"/>
      <c r="G45" s="198"/>
      <c r="H45" s="447"/>
      <c r="I45" s="559"/>
      <c r="J45" s="560"/>
      <c r="K45" s="198"/>
      <c r="L45" s="447"/>
    </row>
    <row r="46" spans="1:12" ht="18.600000000000001" thickBot="1" x14ac:dyDescent="0.35">
      <c r="A46" s="1252"/>
      <c r="B46" s="1254"/>
      <c r="C46" s="1250"/>
      <c r="D46" s="1246"/>
      <c r="E46" s="468"/>
      <c r="F46" s="444"/>
      <c r="G46" s="563"/>
      <c r="H46" s="564"/>
      <c r="I46" s="562"/>
      <c r="J46" s="561"/>
      <c r="K46" s="203"/>
      <c r="L46" s="444"/>
    </row>
    <row r="47" spans="1:12" ht="18" x14ac:dyDescent="0.3">
      <c r="A47" s="1251">
        <v>1207700</v>
      </c>
      <c r="B47" s="1253">
        <v>586</v>
      </c>
      <c r="C47" s="1249"/>
      <c r="D47" s="1245" t="s">
        <v>1509</v>
      </c>
      <c r="E47" s="566"/>
      <c r="F47" s="447"/>
      <c r="G47" s="198"/>
      <c r="H47" s="447"/>
      <c r="I47" s="559"/>
      <c r="J47" s="560"/>
      <c r="K47" s="198"/>
      <c r="L47" s="447"/>
    </row>
    <row r="48" spans="1:12" ht="18.600000000000001" thickBot="1" x14ac:dyDescent="0.35">
      <c r="A48" s="1252"/>
      <c r="B48" s="1254"/>
      <c r="C48" s="1250"/>
      <c r="D48" s="1246"/>
      <c r="E48" s="468"/>
      <c r="F48" s="444"/>
      <c r="G48" s="563"/>
      <c r="H48" s="564"/>
      <c r="I48" s="562"/>
      <c r="J48" s="561"/>
      <c r="K48" s="203"/>
      <c r="L48" s="444"/>
    </row>
    <row r="49" spans="1:12" ht="18" x14ac:dyDescent="0.3">
      <c r="A49" s="1251">
        <v>1206700</v>
      </c>
      <c r="B49" s="1253">
        <v>208</v>
      </c>
      <c r="C49" s="1249"/>
      <c r="D49" s="1245" t="s">
        <v>1710</v>
      </c>
      <c r="E49" s="566"/>
      <c r="F49" s="447"/>
      <c r="G49" s="198"/>
      <c r="H49" s="447"/>
      <c r="I49" s="559"/>
      <c r="J49" s="560"/>
      <c r="K49" s="198"/>
      <c r="L49" s="447"/>
    </row>
    <row r="50" spans="1:12" ht="18.600000000000001" thickBot="1" x14ac:dyDescent="0.35">
      <c r="A50" s="1252"/>
      <c r="B50" s="1254"/>
      <c r="C50" s="1250"/>
      <c r="D50" s="1246"/>
      <c r="E50" s="468"/>
      <c r="F50" s="444"/>
      <c r="G50" s="563"/>
      <c r="H50" s="564"/>
      <c r="I50" s="562"/>
      <c r="J50" s="561"/>
      <c r="K50" s="203"/>
      <c r="L50" s="444"/>
    </row>
    <row r="51" spans="1:12" ht="18" x14ac:dyDescent="0.3">
      <c r="A51" s="1251">
        <v>1206700</v>
      </c>
      <c r="B51" s="1253">
        <v>498</v>
      </c>
      <c r="C51" s="1249"/>
      <c r="D51" s="1245" t="s">
        <v>1711</v>
      </c>
      <c r="E51" s="566"/>
      <c r="F51" s="447"/>
      <c r="G51" s="198"/>
      <c r="H51" s="447"/>
      <c r="I51" s="559"/>
      <c r="J51" s="560"/>
      <c r="K51" s="198"/>
      <c r="L51" s="447"/>
    </row>
    <row r="52" spans="1:12" ht="18.600000000000001" thickBot="1" x14ac:dyDescent="0.35">
      <c r="A52" s="1252"/>
      <c r="B52" s="1254"/>
      <c r="C52" s="1250"/>
      <c r="D52" s="1246"/>
      <c r="E52" s="468"/>
      <c r="F52" s="444"/>
      <c r="G52" s="563"/>
      <c r="H52" s="564"/>
      <c r="I52" s="562"/>
      <c r="J52" s="561"/>
      <c r="K52" s="203"/>
      <c r="L52" s="444"/>
    </row>
    <row r="53" spans="1:12" ht="18" x14ac:dyDescent="0.3">
      <c r="A53" s="1251">
        <v>1266700</v>
      </c>
      <c r="B53" s="1253">
        <v>560</v>
      </c>
      <c r="C53" s="1249"/>
      <c r="D53" s="1245" t="s">
        <v>1335</v>
      </c>
      <c r="E53" s="566"/>
      <c r="F53" s="447"/>
      <c r="G53" s="198"/>
      <c r="H53" s="447"/>
      <c r="I53" s="559"/>
      <c r="J53" s="560"/>
      <c r="K53" s="198"/>
      <c r="L53" s="447"/>
    </row>
    <row r="54" spans="1:12" ht="18.600000000000001" thickBot="1" x14ac:dyDescent="0.35">
      <c r="A54" s="1252"/>
      <c r="B54" s="1254"/>
      <c r="C54" s="1250"/>
      <c r="D54" s="1246"/>
      <c r="E54" s="468"/>
      <c r="F54" s="444"/>
      <c r="G54" s="563"/>
      <c r="H54" s="564"/>
      <c r="I54" s="562"/>
      <c r="J54" s="561"/>
      <c r="K54" s="203"/>
      <c r="L54" s="444"/>
    </row>
    <row r="55" spans="1:12" ht="18" x14ac:dyDescent="0.3">
      <c r="A55" s="1251">
        <v>1268700</v>
      </c>
      <c r="B55" s="1253">
        <v>507</v>
      </c>
      <c r="C55" s="1249"/>
      <c r="D55" s="1245" t="s">
        <v>243</v>
      </c>
      <c r="E55" s="566"/>
      <c r="F55" s="447"/>
      <c r="G55" s="198"/>
      <c r="H55" s="447"/>
      <c r="I55" s="559"/>
      <c r="J55" s="560"/>
      <c r="K55" s="198"/>
      <c r="L55" s="447"/>
    </row>
    <row r="56" spans="1:12" ht="18.600000000000001" thickBot="1" x14ac:dyDescent="0.35">
      <c r="A56" s="1252"/>
      <c r="B56" s="1254"/>
      <c r="C56" s="1250"/>
      <c r="D56" s="1246"/>
      <c r="E56" s="468"/>
      <c r="F56" s="444"/>
      <c r="G56" s="563"/>
      <c r="H56" s="564"/>
      <c r="I56" s="562"/>
      <c r="J56" s="561"/>
      <c r="K56" s="203"/>
      <c r="L56" s="444"/>
    </row>
    <row r="57" spans="1:12" ht="18" x14ac:dyDescent="0.3">
      <c r="A57" s="1251">
        <v>1206700</v>
      </c>
      <c r="B57" s="1253">
        <v>58</v>
      </c>
      <c r="C57" s="1249"/>
      <c r="D57" s="1245" t="s">
        <v>1364</v>
      </c>
      <c r="E57" s="566"/>
      <c r="F57" s="447"/>
      <c r="G57" s="198"/>
      <c r="H57" s="447"/>
      <c r="I57" s="559"/>
      <c r="J57" s="560"/>
      <c r="K57" s="198"/>
      <c r="L57" s="447"/>
    </row>
    <row r="58" spans="1:12" ht="18.600000000000001" thickBot="1" x14ac:dyDescent="0.35">
      <c r="A58" s="1252"/>
      <c r="B58" s="1254"/>
      <c r="C58" s="1250"/>
      <c r="D58" s="1246"/>
      <c r="E58" s="468"/>
      <c r="F58" s="444"/>
      <c r="G58" s="563"/>
      <c r="H58" s="564"/>
      <c r="I58" s="562"/>
      <c r="J58" s="561"/>
      <c r="K58" s="203"/>
      <c r="L58" s="444"/>
    </row>
    <row r="59" spans="1:12" ht="18" x14ac:dyDescent="0.3">
      <c r="A59" s="1251">
        <v>1269700</v>
      </c>
      <c r="B59" s="1253">
        <v>511</v>
      </c>
      <c r="C59" s="1249"/>
      <c r="D59" s="1245" t="s">
        <v>1338</v>
      </c>
      <c r="E59" s="566"/>
      <c r="F59" s="447"/>
      <c r="G59" s="198"/>
      <c r="H59" s="447"/>
      <c r="I59" s="559"/>
      <c r="J59" s="560"/>
      <c r="K59" s="198"/>
      <c r="L59" s="447"/>
    </row>
    <row r="60" spans="1:12" ht="18.600000000000001" thickBot="1" x14ac:dyDescent="0.35">
      <c r="A60" s="1252"/>
      <c r="B60" s="1254"/>
      <c r="C60" s="1250"/>
      <c r="D60" s="1246"/>
      <c r="E60" s="468"/>
      <c r="F60" s="444"/>
      <c r="G60" s="563"/>
      <c r="H60" s="564"/>
      <c r="I60" s="562"/>
      <c r="J60" s="561"/>
      <c r="K60" s="203"/>
      <c r="L60" s="444"/>
    </row>
    <row r="61" spans="1:12" ht="18" x14ac:dyDescent="0.3">
      <c r="A61" s="1251">
        <v>2374700</v>
      </c>
      <c r="B61" s="1253">
        <v>550</v>
      </c>
      <c r="C61" s="1249"/>
      <c r="D61" s="1245" t="s">
        <v>1319</v>
      </c>
      <c r="E61" s="566"/>
      <c r="F61" s="447"/>
      <c r="G61" s="198"/>
      <c r="H61" s="447"/>
      <c r="I61" s="559"/>
      <c r="J61" s="560"/>
      <c r="K61" s="198"/>
      <c r="L61" s="447"/>
    </row>
    <row r="62" spans="1:12" ht="18.600000000000001" thickBot="1" x14ac:dyDescent="0.35">
      <c r="A62" s="1252"/>
      <c r="B62" s="1254"/>
      <c r="C62" s="1250"/>
      <c r="D62" s="1246"/>
      <c r="E62" s="468"/>
      <c r="F62" s="444"/>
      <c r="G62" s="563"/>
      <c r="H62" s="564"/>
      <c r="I62" s="562"/>
      <c r="J62" s="561"/>
      <c r="K62" s="203"/>
      <c r="L62" s="444"/>
    </row>
    <row r="63" spans="1:12" ht="18" x14ac:dyDescent="0.3">
      <c r="A63" s="1251">
        <v>1206700</v>
      </c>
      <c r="B63" s="1253">
        <v>564</v>
      </c>
      <c r="C63" s="1249"/>
      <c r="D63" s="1245" t="s">
        <v>1341</v>
      </c>
      <c r="E63" s="566"/>
      <c r="F63" s="447"/>
      <c r="G63" s="198"/>
      <c r="H63" s="447"/>
      <c r="I63" s="559"/>
      <c r="J63" s="560"/>
      <c r="K63" s="198"/>
      <c r="L63" s="447"/>
    </row>
    <row r="64" spans="1:12" ht="18.600000000000001" thickBot="1" x14ac:dyDescent="0.35">
      <c r="A64" s="1252"/>
      <c r="B64" s="1254"/>
      <c r="C64" s="1250"/>
      <c r="D64" s="1246"/>
      <c r="E64" s="468"/>
      <c r="F64" s="444"/>
      <c r="G64" s="563"/>
      <c r="H64" s="564"/>
      <c r="I64" s="562"/>
      <c r="J64" s="561"/>
      <c r="K64" s="203"/>
      <c r="L64" s="444"/>
    </row>
    <row r="65" spans="1:12" ht="18" x14ac:dyDescent="0.3">
      <c r="A65" s="1251">
        <v>1261700</v>
      </c>
      <c r="B65" s="1253">
        <v>521</v>
      </c>
      <c r="C65" s="1249"/>
      <c r="D65" s="1245" t="s">
        <v>803</v>
      </c>
      <c r="E65" s="566"/>
      <c r="F65" s="447"/>
      <c r="G65" s="198"/>
      <c r="H65" s="447"/>
      <c r="I65" s="559"/>
      <c r="J65" s="560"/>
      <c r="K65" s="198"/>
      <c r="L65" s="447"/>
    </row>
    <row r="66" spans="1:12" ht="18.600000000000001" thickBot="1" x14ac:dyDescent="0.35">
      <c r="A66" s="1252"/>
      <c r="B66" s="1254"/>
      <c r="C66" s="1250"/>
      <c r="D66" s="1246"/>
      <c r="E66" s="468"/>
      <c r="F66" s="444"/>
      <c r="G66" s="563"/>
      <c r="H66" s="564"/>
      <c r="I66" s="562"/>
      <c r="J66" s="561"/>
      <c r="K66" s="203"/>
      <c r="L66" s="444"/>
    </row>
    <row r="67" spans="1:12" ht="18" x14ac:dyDescent="0.3">
      <c r="A67" s="1251">
        <v>1261700</v>
      </c>
      <c r="B67" s="1253">
        <v>520</v>
      </c>
      <c r="C67" s="1249"/>
      <c r="D67" s="1245" t="s">
        <v>802</v>
      </c>
      <c r="E67" s="566"/>
      <c r="F67" s="447"/>
      <c r="G67" s="198"/>
      <c r="H67" s="447"/>
      <c r="I67" s="559"/>
      <c r="J67" s="560"/>
      <c r="K67" s="198"/>
      <c r="L67" s="447"/>
    </row>
    <row r="68" spans="1:12" ht="18.600000000000001" thickBot="1" x14ac:dyDescent="0.35">
      <c r="A68" s="1252"/>
      <c r="B68" s="1254"/>
      <c r="C68" s="1250"/>
      <c r="D68" s="1246"/>
      <c r="E68" s="468"/>
      <c r="F68" s="444"/>
      <c r="G68" s="563"/>
      <c r="H68" s="564"/>
      <c r="I68" s="562"/>
      <c r="J68" s="561"/>
      <c r="K68" s="203"/>
      <c r="L68" s="444"/>
    </row>
    <row r="69" spans="1:12" ht="18" x14ac:dyDescent="0.3">
      <c r="A69" s="1251">
        <v>1261700</v>
      </c>
      <c r="B69" s="1253">
        <v>525</v>
      </c>
      <c r="C69" s="1249"/>
      <c r="D69" s="1245" t="s">
        <v>805</v>
      </c>
      <c r="E69" s="566"/>
      <c r="F69" s="447"/>
      <c r="G69" s="198"/>
      <c r="H69" s="447"/>
      <c r="I69" s="559"/>
      <c r="J69" s="560"/>
      <c r="K69" s="198"/>
      <c r="L69" s="447"/>
    </row>
    <row r="70" spans="1:12" ht="18.600000000000001" thickBot="1" x14ac:dyDescent="0.35">
      <c r="A70" s="1252"/>
      <c r="B70" s="1254"/>
      <c r="C70" s="1250"/>
      <c r="D70" s="1246"/>
      <c r="E70" s="468"/>
      <c r="F70" s="444"/>
      <c r="G70" s="563"/>
      <c r="H70" s="564"/>
      <c r="I70" s="562"/>
      <c r="J70" s="561"/>
      <c r="K70" s="203"/>
      <c r="L70" s="444"/>
    </row>
    <row r="71" spans="1:12" ht="18" x14ac:dyDescent="0.3">
      <c r="A71" s="1251">
        <v>1273700</v>
      </c>
      <c r="B71" s="1253">
        <v>504</v>
      </c>
      <c r="C71" s="1249"/>
      <c r="D71" s="1245" t="s">
        <v>1194</v>
      </c>
      <c r="E71" s="566"/>
      <c r="F71" s="447"/>
      <c r="G71" s="198"/>
      <c r="H71" s="447"/>
      <c r="I71" s="559"/>
      <c r="J71" s="560"/>
      <c r="K71" s="198"/>
      <c r="L71" s="447"/>
    </row>
    <row r="72" spans="1:12" ht="18.600000000000001" thickBot="1" x14ac:dyDescent="0.35">
      <c r="A72" s="1252"/>
      <c r="B72" s="1254"/>
      <c r="C72" s="1250"/>
      <c r="D72" s="1246"/>
      <c r="E72" s="468"/>
      <c r="F72" s="444"/>
      <c r="G72" s="563"/>
      <c r="H72" s="564"/>
      <c r="I72" s="562"/>
      <c r="J72" s="561"/>
      <c r="K72" s="203"/>
      <c r="L72" s="444"/>
    </row>
    <row r="73" spans="1:12" ht="18" x14ac:dyDescent="0.3">
      <c r="A73" s="1251">
        <v>1206700</v>
      </c>
      <c r="B73" s="1253">
        <v>57</v>
      </c>
      <c r="C73" s="1249"/>
      <c r="D73" s="1245" t="s">
        <v>1365</v>
      </c>
      <c r="E73" s="566"/>
      <c r="F73" s="447"/>
      <c r="G73" s="198"/>
      <c r="H73" s="447"/>
      <c r="I73" s="559"/>
      <c r="J73" s="560"/>
      <c r="K73" s="198"/>
      <c r="L73" s="447"/>
    </row>
    <row r="74" spans="1:12" ht="18.600000000000001" thickBot="1" x14ac:dyDescent="0.35">
      <c r="A74" s="1252"/>
      <c r="B74" s="1254"/>
      <c r="C74" s="1250"/>
      <c r="D74" s="1246"/>
      <c r="E74" s="468"/>
      <c r="F74" s="444"/>
      <c r="G74" s="563"/>
      <c r="H74" s="564"/>
      <c r="I74" s="562"/>
      <c r="J74" s="561"/>
      <c r="K74" s="203"/>
      <c r="L74" s="444"/>
    </row>
    <row r="75" spans="1:12" ht="18" x14ac:dyDescent="0.3">
      <c r="A75" s="1251">
        <v>1206700</v>
      </c>
      <c r="B75" s="1253">
        <v>499</v>
      </c>
      <c r="C75" s="1249"/>
      <c r="D75" s="1245" t="s">
        <v>1339</v>
      </c>
      <c r="E75" s="566"/>
      <c r="F75" s="447"/>
      <c r="G75" s="198"/>
      <c r="H75" s="447"/>
      <c r="I75" s="559"/>
      <c r="J75" s="560"/>
      <c r="K75" s="198"/>
      <c r="L75" s="447"/>
    </row>
    <row r="76" spans="1:12" ht="18.600000000000001" thickBot="1" x14ac:dyDescent="0.35">
      <c r="A76" s="1252"/>
      <c r="B76" s="1254"/>
      <c r="C76" s="1250"/>
      <c r="D76" s="1246"/>
      <c r="E76" s="468"/>
      <c r="F76" s="444"/>
      <c r="G76" s="563"/>
      <c r="H76" s="564"/>
      <c r="I76" s="562"/>
      <c r="J76" s="561"/>
      <c r="K76" s="203"/>
      <c r="L76" s="444"/>
    </row>
    <row r="77" spans="1:12" ht="18" x14ac:dyDescent="0.3">
      <c r="A77" s="1251">
        <v>1206700</v>
      </c>
      <c r="B77" s="1253">
        <v>594</v>
      </c>
      <c r="C77" s="1249"/>
      <c r="D77" s="1245" t="s">
        <v>1508</v>
      </c>
      <c r="E77" s="566"/>
      <c r="F77" s="447"/>
      <c r="G77" s="198"/>
      <c r="H77" s="447"/>
      <c r="I77" s="559"/>
      <c r="J77" s="560"/>
      <c r="K77" s="198"/>
      <c r="L77" s="447"/>
    </row>
    <row r="78" spans="1:12" ht="18.600000000000001" thickBot="1" x14ac:dyDescent="0.35">
      <c r="A78" s="1252"/>
      <c r="B78" s="1254"/>
      <c r="C78" s="1250"/>
      <c r="D78" s="1246"/>
      <c r="E78" s="468"/>
      <c r="F78" s="444"/>
      <c r="G78" s="563"/>
      <c r="H78" s="564"/>
      <c r="I78" s="562"/>
      <c r="J78" s="561"/>
      <c r="K78" s="203"/>
      <c r="L78" s="444"/>
    </row>
    <row r="79" spans="1:12" ht="18" x14ac:dyDescent="0.3">
      <c r="A79" s="1251">
        <v>1206700</v>
      </c>
      <c r="B79" s="1253">
        <v>596</v>
      </c>
      <c r="C79" s="1249"/>
      <c r="D79" s="1245" t="s">
        <v>1506</v>
      </c>
      <c r="E79" s="566"/>
      <c r="F79" s="447"/>
      <c r="G79" s="198"/>
      <c r="H79" s="447"/>
      <c r="I79" s="559"/>
      <c r="J79" s="560"/>
      <c r="K79" s="198"/>
      <c r="L79" s="447"/>
    </row>
    <row r="80" spans="1:12" ht="18.600000000000001" thickBot="1" x14ac:dyDescent="0.35">
      <c r="A80" s="1252"/>
      <c r="B80" s="1254"/>
      <c r="C80" s="1250"/>
      <c r="D80" s="1246"/>
      <c r="E80" s="468"/>
      <c r="F80" s="444"/>
      <c r="G80" s="563"/>
      <c r="H80" s="564"/>
      <c r="I80" s="562"/>
      <c r="J80" s="561"/>
      <c r="K80" s="203"/>
      <c r="L80" s="444"/>
    </row>
    <row r="81" spans="1:12" ht="18" x14ac:dyDescent="0.3">
      <c r="A81" s="1251">
        <v>1206700</v>
      </c>
      <c r="B81" s="1253">
        <v>508</v>
      </c>
      <c r="C81" s="1249"/>
      <c r="D81" s="1245" t="s">
        <v>1190</v>
      </c>
      <c r="E81" s="566"/>
      <c r="F81" s="447"/>
      <c r="G81" s="198"/>
      <c r="H81" s="447"/>
      <c r="I81" s="559"/>
      <c r="J81" s="560"/>
      <c r="K81" s="198"/>
      <c r="L81" s="447"/>
    </row>
    <row r="82" spans="1:12" ht="18.600000000000001" thickBot="1" x14ac:dyDescent="0.35">
      <c r="A82" s="1252"/>
      <c r="B82" s="1254"/>
      <c r="C82" s="1250"/>
      <c r="D82" s="1246"/>
      <c r="E82" s="468"/>
      <c r="F82" s="444"/>
      <c r="G82" s="563"/>
      <c r="H82" s="564"/>
      <c r="I82" s="562"/>
      <c r="J82" s="561"/>
      <c r="K82" s="203"/>
      <c r="L82" s="444"/>
    </row>
    <row r="83" spans="1:12" ht="18" x14ac:dyDescent="0.3">
      <c r="A83" s="1251">
        <v>1206700</v>
      </c>
      <c r="B83" s="1253">
        <v>518</v>
      </c>
      <c r="C83" s="1249"/>
      <c r="D83" s="1245" t="s">
        <v>1343</v>
      </c>
      <c r="E83" s="566"/>
      <c r="F83" s="447"/>
      <c r="G83" s="198"/>
      <c r="H83" s="447"/>
      <c r="I83" s="559"/>
      <c r="J83" s="560"/>
      <c r="K83" s="198"/>
      <c r="L83" s="447"/>
    </row>
    <row r="84" spans="1:12" ht="18.600000000000001" thickBot="1" x14ac:dyDescent="0.35">
      <c r="A84" s="1252"/>
      <c r="B84" s="1254"/>
      <c r="C84" s="1250"/>
      <c r="D84" s="1246"/>
      <c r="E84" s="468"/>
      <c r="F84" s="444"/>
      <c r="G84" s="563"/>
      <c r="H84" s="564"/>
      <c r="I84" s="562"/>
      <c r="J84" s="561"/>
      <c r="K84" s="203"/>
      <c r="L84" s="444"/>
    </row>
    <row r="85" spans="1:12" ht="18" x14ac:dyDescent="0.3">
      <c r="A85" s="1251">
        <v>1270700</v>
      </c>
      <c r="B85" s="1253">
        <v>229</v>
      </c>
      <c r="C85" s="1249"/>
      <c r="D85" s="1245" t="s">
        <v>1191</v>
      </c>
      <c r="E85" s="566"/>
      <c r="F85" s="447"/>
      <c r="G85" s="198"/>
      <c r="H85" s="447"/>
      <c r="I85" s="559"/>
      <c r="J85" s="560"/>
      <c r="K85" s="198"/>
      <c r="L85" s="447"/>
    </row>
    <row r="86" spans="1:12" ht="18.600000000000001" thickBot="1" x14ac:dyDescent="0.35">
      <c r="A86" s="1252"/>
      <c r="B86" s="1254"/>
      <c r="C86" s="1250"/>
      <c r="D86" s="1246"/>
      <c r="E86" s="468"/>
      <c r="F86" s="444"/>
      <c r="G86" s="563"/>
      <c r="H86" s="564"/>
      <c r="I86" s="562"/>
      <c r="J86" s="561"/>
      <c r="K86" s="203"/>
      <c r="L86" s="444"/>
    </row>
    <row r="87" spans="1:12" ht="18" x14ac:dyDescent="0.3">
      <c r="A87" s="1251">
        <v>1261700</v>
      </c>
      <c r="B87" s="1253">
        <v>531</v>
      </c>
      <c r="C87" s="1249"/>
      <c r="D87" s="1245" t="s">
        <v>1199</v>
      </c>
      <c r="E87" s="566"/>
      <c r="F87" s="447"/>
      <c r="G87" s="198"/>
      <c r="H87" s="447"/>
      <c r="I87" s="559"/>
      <c r="J87" s="560"/>
      <c r="K87" s="198"/>
      <c r="L87" s="447"/>
    </row>
    <row r="88" spans="1:12" ht="18.600000000000001" thickBot="1" x14ac:dyDescent="0.35">
      <c r="A88" s="1252"/>
      <c r="B88" s="1254"/>
      <c r="C88" s="1250"/>
      <c r="D88" s="1246"/>
      <c r="E88" s="468"/>
      <c r="F88" s="444"/>
      <c r="G88" s="563"/>
      <c r="H88" s="564"/>
      <c r="I88" s="562"/>
      <c r="J88" s="561"/>
      <c r="K88" s="203"/>
      <c r="L88" s="444"/>
    </row>
    <row r="89" spans="1:12" ht="18" x14ac:dyDescent="0.3">
      <c r="A89" s="1251">
        <v>1261700</v>
      </c>
      <c r="B89" s="1253">
        <v>581</v>
      </c>
      <c r="C89" s="1249"/>
      <c r="D89" s="1245" t="s">
        <v>1321</v>
      </c>
      <c r="E89" s="566"/>
      <c r="F89" s="447"/>
      <c r="G89" s="198"/>
      <c r="H89" s="447"/>
      <c r="I89" s="559"/>
      <c r="J89" s="560"/>
      <c r="K89" s="198"/>
      <c r="L89" s="447"/>
    </row>
    <row r="90" spans="1:12" ht="18.600000000000001" thickBot="1" x14ac:dyDescent="0.35">
      <c r="A90" s="1252"/>
      <c r="B90" s="1254"/>
      <c r="C90" s="1250"/>
      <c r="D90" s="1246"/>
      <c r="E90" s="468"/>
      <c r="F90" s="444"/>
      <c r="G90" s="563"/>
      <c r="H90" s="564"/>
      <c r="I90" s="562"/>
      <c r="J90" s="561"/>
      <c r="K90" s="203"/>
      <c r="L90" s="444"/>
    </row>
    <row r="91" spans="1:12" ht="18" x14ac:dyDescent="0.3">
      <c r="A91" s="1251">
        <v>1261700</v>
      </c>
      <c r="B91" s="1253">
        <v>530</v>
      </c>
      <c r="C91" s="1249"/>
      <c r="D91" s="1245" t="s">
        <v>1223</v>
      </c>
      <c r="E91" s="566"/>
      <c r="F91" s="447"/>
      <c r="G91" s="198"/>
      <c r="H91" s="447"/>
      <c r="I91" s="559"/>
      <c r="J91" s="560"/>
      <c r="K91" s="198"/>
      <c r="L91" s="447"/>
    </row>
    <row r="92" spans="1:12" ht="18.600000000000001" thickBot="1" x14ac:dyDescent="0.35">
      <c r="A92" s="1252"/>
      <c r="B92" s="1254"/>
      <c r="C92" s="1250"/>
      <c r="D92" s="1246"/>
      <c r="E92" s="468"/>
      <c r="F92" s="444"/>
      <c r="G92" s="563"/>
      <c r="H92" s="564"/>
      <c r="I92" s="562"/>
      <c r="J92" s="561"/>
      <c r="K92" s="203"/>
      <c r="L92" s="444"/>
    </row>
    <row r="93" spans="1:12" ht="18" x14ac:dyDescent="0.3">
      <c r="A93" s="1251">
        <v>1261700</v>
      </c>
      <c r="B93" s="1253">
        <v>523</v>
      </c>
      <c r="C93" s="1249"/>
      <c r="D93" s="1245" t="s">
        <v>1325</v>
      </c>
      <c r="E93" s="566"/>
      <c r="F93" s="447"/>
      <c r="G93" s="198"/>
      <c r="H93" s="447"/>
      <c r="I93" s="559"/>
      <c r="J93" s="560"/>
      <c r="K93" s="198"/>
      <c r="L93" s="447"/>
    </row>
    <row r="94" spans="1:12" ht="18.600000000000001" thickBot="1" x14ac:dyDescent="0.35">
      <c r="A94" s="1252"/>
      <c r="B94" s="1254"/>
      <c r="C94" s="1250"/>
      <c r="D94" s="1246"/>
      <c r="E94" s="468"/>
      <c r="F94" s="444"/>
      <c r="G94" s="563"/>
      <c r="H94" s="564"/>
      <c r="I94" s="562"/>
      <c r="J94" s="561"/>
      <c r="K94" s="203"/>
      <c r="L94" s="444"/>
    </row>
    <row r="95" spans="1:12" ht="18" x14ac:dyDescent="0.3">
      <c r="A95" s="1251">
        <v>1206700</v>
      </c>
      <c r="B95" s="1253">
        <v>66</v>
      </c>
      <c r="C95" s="1249"/>
      <c r="D95" s="1245" t="s">
        <v>1265</v>
      </c>
      <c r="E95" s="566"/>
      <c r="F95" s="447"/>
      <c r="G95" s="198"/>
      <c r="H95" s="447"/>
      <c r="I95" s="559"/>
      <c r="J95" s="560"/>
      <c r="K95" s="198"/>
      <c r="L95" s="447"/>
    </row>
    <row r="96" spans="1:12" ht="18.600000000000001" thickBot="1" x14ac:dyDescent="0.35">
      <c r="A96" s="1252"/>
      <c r="B96" s="1254"/>
      <c r="C96" s="1250"/>
      <c r="D96" s="1246"/>
      <c r="E96" s="468"/>
      <c r="F96" s="444"/>
      <c r="G96" s="563"/>
      <c r="H96" s="564"/>
      <c r="I96" s="562"/>
      <c r="J96" s="561"/>
      <c r="K96" s="203"/>
      <c r="L96" s="444"/>
    </row>
    <row r="97" spans="1:12" ht="18" x14ac:dyDescent="0.3">
      <c r="A97" s="1251">
        <v>1206700</v>
      </c>
      <c r="B97" s="1253">
        <v>546</v>
      </c>
      <c r="C97" s="1249"/>
      <c r="D97" s="1245" t="s">
        <v>1340</v>
      </c>
      <c r="E97" s="566"/>
      <c r="F97" s="447"/>
      <c r="G97" s="198"/>
      <c r="H97" s="447"/>
      <c r="I97" s="559"/>
      <c r="J97" s="560"/>
      <c r="K97" s="198"/>
      <c r="L97" s="447"/>
    </row>
    <row r="98" spans="1:12" ht="18.600000000000001" thickBot="1" x14ac:dyDescent="0.35">
      <c r="A98" s="1252"/>
      <c r="B98" s="1254"/>
      <c r="C98" s="1250"/>
      <c r="D98" s="1246"/>
      <c r="E98" s="468"/>
      <c r="F98" s="444"/>
      <c r="G98" s="563"/>
      <c r="H98" s="564"/>
      <c r="I98" s="562"/>
      <c r="J98" s="561"/>
      <c r="K98" s="203"/>
      <c r="L98" s="444"/>
    </row>
    <row r="99" spans="1:12" ht="18" x14ac:dyDescent="0.3">
      <c r="A99" s="1251">
        <v>1206700</v>
      </c>
      <c r="B99" s="1253">
        <v>544</v>
      </c>
      <c r="C99" s="1249"/>
      <c r="D99" s="1245" t="s">
        <v>1193</v>
      </c>
      <c r="E99" s="566"/>
      <c r="F99" s="447"/>
      <c r="G99" s="198"/>
      <c r="H99" s="447"/>
      <c r="I99" s="559"/>
      <c r="J99" s="560"/>
      <c r="K99" s="198"/>
      <c r="L99" s="447"/>
    </row>
    <row r="100" spans="1:12" ht="18.600000000000001" thickBot="1" x14ac:dyDescent="0.35">
      <c r="A100" s="1252"/>
      <c r="B100" s="1254"/>
      <c r="C100" s="1250"/>
      <c r="D100" s="1246"/>
      <c r="E100" s="468"/>
      <c r="F100" s="444"/>
      <c r="G100" s="563"/>
      <c r="H100" s="564"/>
      <c r="I100" s="562"/>
      <c r="J100" s="561"/>
      <c r="K100" s="203"/>
      <c r="L100" s="444"/>
    </row>
    <row r="101" spans="1:12" ht="18" x14ac:dyDescent="0.3">
      <c r="A101" s="1251">
        <v>1217700</v>
      </c>
      <c r="B101" s="1253" t="s">
        <v>869</v>
      </c>
      <c r="C101" s="1249"/>
      <c r="D101" s="1245" t="s">
        <v>1502</v>
      </c>
      <c r="E101" s="566"/>
      <c r="F101" s="447"/>
      <c r="G101" s="198"/>
      <c r="H101" s="447"/>
      <c r="I101" s="559"/>
      <c r="J101" s="560"/>
      <c r="K101" s="198"/>
      <c r="L101" s="447"/>
    </row>
    <row r="102" spans="1:12" ht="18.600000000000001" thickBot="1" x14ac:dyDescent="0.35">
      <c r="A102" s="1252"/>
      <c r="B102" s="1254"/>
      <c r="C102" s="1250"/>
      <c r="D102" s="1246"/>
      <c r="E102" s="468"/>
      <c r="F102" s="444"/>
      <c r="G102" s="563"/>
      <c r="H102" s="564"/>
      <c r="I102" s="562"/>
      <c r="J102" s="561"/>
      <c r="K102" s="203"/>
      <c r="L102" s="444"/>
    </row>
    <row r="103" spans="1:12" ht="18" x14ac:dyDescent="0.3">
      <c r="A103" s="1251">
        <v>1217700</v>
      </c>
      <c r="B103" s="1253">
        <v>248</v>
      </c>
      <c r="C103" s="1249"/>
      <c r="D103" s="1245" t="s">
        <v>1320</v>
      </c>
      <c r="E103" s="566"/>
      <c r="F103" s="447"/>
      <c r="G103" s="198"/>
      <c r="H103" s="447"/>
      <c r="I103" s="559"/>
      <c r="J103" s="560"/>
      <c r="K103" s="198"/>
      <c r="L103" s="447"/>
    </row>
    <row r="104" spans="1:12" ht="18.600000000000001" thickBot="1" x14ac:dyDescent="0.35">
      <c r="A104" s="1252"/>
      <c r="B104" s="1254"/>
      <c r="C104" s="1250"/>
      <c r="D104" s="1246"/>
      <c r="E104" s="468"/>
      <c r="F104" s="444"/>
      <c r="G104" s="563"/>
      <c r="H104" s="564"/>
      <c r="I104" s="562"/>
      <c r="J104" s="561"/>
      <c r="K104" s="203"/>
      <c r="L104" s="444"/>
    </row>
    <row r="105" spans="1:12" ht="18" x14ac:dyDescent="0.3">
      <c r="A105" s="1251">
        <v>1217700</v>
      </c>
      <c r="B105" s="1253">
        <v>29</v>
      </c>
      <c r="C105" s="1249"/>
      <c r="D105" s="1245" t="s">
        <v>1323</v>
      </c>
      <c r="E105" s="566"/>
      <c r="F105" s="447"/>
      <c r="G105" s="198"/>
      <c r="H105" s="447"/>
      <c r="I105" s="559"/>
      <c r="J105" s="560"/>
      <c r="K105" s="198"/>
      <c r="L105" s="447"/>
    </row>
    <row r="106" spans="1:12" ht="18.600000000000001" thickBot="1" x14ac:dyDescent="0.35">
      <c r="A106" s="1252"/>
      <c r="B106" s="1254"/>
      <c r="C106" s="1250"/>
      <c r="D106" s="1246"/>
      <c r="E106" s="468"/>
      <c r="F106" s="444"/>
      <c r="G106" s="563"/>
      <c r="H106" s="564"/>
      <c r="I106" s="562"/>
      <c r="J106" s="561"/>
      <c r="K106" s="203"/>
      <c r="L106" s="444"/>
    </row>
    <row r="107" spans="1:12" ht="18" x14ac:dyDescent="0.3">
      <c r="A107" s="1251">
        <v>1217700</v>
      </c>
      <c r="B107" s="1253">
        <v>333</v>
      </c>
      <c r="C107" s="1249"/>
      <c r="D107" s="1245" t="s">
        <v>1181</v>
      </c>
      <c r="E107" s="566"/>
      <c r="F107" s="447"/>
      <c r="G107" s="198"/>
      <c r="H107" s="447"/>
      <c r="I107" s="559"/>
      <c r="J107" s="560"/>
      <c r="K107" s="198"/>
      <c r="L107" s="447"/>
    </row>
    <row r="108" spans="1:12" ht="18.600000000000001" thickBot="1" x14ac:dyDescent="0.35">
      <c r="A108" s="1252"/>
      <c r="B108" s="1254"/>
      <c r="C108" s="1250"/>
      <c r="D108" s="1246"/>
      <c r="E108" s="468"/>
      <c r="F108" s="444"/>
      <c r="G108" s="563"/>
      <c r="H108" s="564"/>
      <c r="I108" s="562"/>
      <c r="J108" s="561"/>
      <c r="K108" s="203"/>
      <c r="L108" s="444"/>
    </row>
    <row r="109" spans="1:12" ht="18" x14ac:dyDescent="0.3">
      <c r="A109" s="1251">
        <v>1217700</v>
      </c>
      <c r="B109" s="1253">
        <v>30</v>
      </c>
      <c r="C109" s="1249"/>
      <c r="D109" s="1245" t="s">
        <v>1361</v>
      </c>
      <c r="E109" s="566"/>
      <c r="F109" s="447"/>
      <c r="G109" s="198"/>
      <c r="H109" s="447"/>
      <c r="I109" s="559"/>
      <c r="J109" s="560"/>
      <c r="K109" s="198"/>
      <c r="L109" s="447"/>
    </row>
    <row r="110" spans="1:12" ht="18.600000000000001" thickBot="1" x14ac:dyDescent="0.35">
      <c r="A110" s="1252"/>
      <c r="B110" s="1254"/>
      <c r="C110" s="1250"/>
      <c r="D110" s="1246"/>
      <c r="E110" s="468"/>
      <c r="F110" s="444"/>
      <c r="G110" s="563"/>
      <c r="H110" s="564"/>
      <c r="I110" s="562"/>
      <c r="J110" s="561"/>
      <c r="K110" s="203"/>
      <c r="L110" s="444"/>
    </row>
    <row r="111" spans="1:12" ht="18" x14ac:dyDescent="0.3">
      <c r="A111" s="1251">
        <v>1217700</v>
      </c>
      <c r="B111" s="1253">
        <v>26</v>
      </c>
      <c r="C111" s="1249"/>
      <c r="D111" s="1245" t="s">
        <v>1362</v>
      </c>
      <c r="E111" s="566"/>
      <c r="F111" s="447"/>
      <c r="G111" s="198"/>
      <c r="H111" s="447"/>
      <c r="I111" s="559"/>
      <c r="J111" s="560"/>
      <c r="K111" s="198"/>
      <c r="L111" s="447"/>
    </row>
    <row r="112" spans="1:12" ht="18.600000000000001" thickBot="1" x14ac:dyDescent="0.35">
      <c r="A112" s="1252"/>
      <c r="B112" s="1254"/>
      <c r="C112" s="1250"/>
      <c r="D112" s="1246"/>
      <c r="E112" s="468"/>
      <c r="F112" s="444"/>
      <c r="G112" s="563"/>
      <c r="H112" s="564"/>
      <c r="I112" s="562"/>
      <c r="J112" s="561"/>
      <c r="K112" s="203"/>
      <c r="L112" s="444"/>
    </row>
    <row r="113" spans="1:12" ht="18" x14ac:dyDescent="0.3">
      <c r="A113" s="1251">
        <v>1217700</v>
      </c>
      <c r="B113" s="1253">
        <v>27</v>
      </c>
      <c r="C113" s="1249"/>
      <c r="D113" s="1245" t="s">
        <v>1363</v>
      </c>
      <c r="E113" s="566"/>
      <c r="F113" s="447"/>
      <c r="G113" s="198"/>
      <c r="H113" s="447"/>
      <c r="I113" s="559"/>
      <c r="J113" s="560"/>
      <c r="K113" s="198"/>
      <c r="L113" s="447"/>
    </row>
    <row r="114" spans="1:12" ht="18.600000000000001" thickBot="1" x14ac:dyDescent="0.35">
      <c r="A114" s="1252"/>
      <c r="B114" s="1254"/>
      <c r="C114" s="1250"/>
      <c r="D114" s="1246"/>
      <c r="E114" s="468"/>
      <c r="F114" s="444"/>
      <c r="G114" s="563"/>
      <c r="H114" s="564"/>
      <c r="I114" s="562"/>
      <c r="J114" s="561"/>
      <c r="K114" s="203"/>
      <c r="L114" s="444"/>
    </row>
    <row r="115" spans="1:12" ht="18" x14ac:dyDescent="0.3">
      <c r="A115" s="1251">
        <v>1217700</v>
      </c>
      <c r="B115" s="1253">
        <v>225</v>
      </c>
      <c r="C115" s="1249"/>
      <c r="D115" s="1245" t="s">
        <v>1326</v>
      </c>
      <c r="E115" s="566"/>
      <c r="F115" s="447"/>
      <c r="G115" s="198"/>
      <c r="H115" s="447"/>
      <c r="I115" s="559"/>
      <c r="J115" s="560"/>
      <c r="K115" s="198"/>
      <c r="L115" s="447"/>
    </row>
    <row r="116" spans="1:12" ht="18.600000000000001" thickBot="1" x14ac:dyDescent="0.35">
      <c r="A116" s="1252"/>
      <c r="B116" s="1254"/>
      <c r="C116" s="1250"/>
      <c r="D116" s="1246"/>
      <c r="E116" s="468"/>
      <c r="F116" s="444"/>
      <c r="G116" s="563"/>
      <c r="H116" s="564"/>
      <c r="I116" s="562"/>
      <c r="J116" s="561"/>
      <c r="K116" s="203"/>
      <c r="L116" s="444"/>
    </row>
    <row r="117" spans="1:12" ht="18" x14ac:dyDescent="0.3">
      <c r="A117" s="1251">
        <v>1217700</v>
      </c>
      <c r="B117" s="1253">
        <v>332</v>
      </c>
      <c r="C117" s="1249"/>
      <c r="D117" s="1245" t="s">
        <v>1353</v>
      </c>
      <c r="E117" s="566"/>
      <c r="F117" s="447"/>
      <c r="G117" s="198"/>
      <c r="H117" s="447"/>
      <c r="I117" s="559"/>
      <c r="J117" s="560"/>
      <c r="K117" s="198"/>
      <c r="L117" s="447"/>
    </row>
    <row r="118" spans="1:12" ht="18.600000000000001" thickBot="1" x14ac:dyDescent="0.35">
      <c r="A118" s="1252"/>
      <c r="B118" s="1254"/>
      <c r="C118" s="1250"/>
      <c r="D118" s="1246"/>
      <c r="E118" s="468"/>
      <c r="F118" s="444"/>
      <c r="G118" s="563"/>
      <c r="H118" s="564"/>
      <c r="I118" s="562"/>
      <c r="J118" s="561"/>
      <c r="K118" s="203"/>
      <c r="L118" s="444"/>
    </row>
    <row r="119" spans="1:12" ht="18" x14ac:dyDescent="0.3">
      <c r="A119" s="1251">
        <v>1217700</v>
      </c>
      <c r="B119" s="1253">
        <v>334</v>
      </c>
      <c r="C119" s="1249"/>
      <c r="D119" s="1245" t="s">
        <v>1354</v>
      </c>
      <c r="E119" s="566"/>
      <c r="F119" s="447"/>
      <c r="G119" s="198"/>
      <c r="H119" s="447"/>
      <c r="I119" s="559"/>
      <c r="J119" s="560"/>
      <c r="K119" s="198"/>
      <c r="L119" s="447"/>
    </row>
    <row r="120" spans="1:12" ht="18.600000000000001" thickBot="1" x14ac:dyDescent="0.35">
      <c r="A120" s="1252"/>
      <c r="B120" s="1254"/>
      <c r="C120" s="1250"/>
      <c r="D120" s="1246"/>
      <c r="E120" s="468"/>
      <c r="F120" s="444"/>
      <c r="G120" s="563"/>
      <c r="H120" s="564"/>
      <c r="I120" s="562"/>
      <c r="J120" s="561"/>
      <c r="K120" s="203"/>
      <c r="L120" s="444"/>
    </row>
    <row r="121" spans="1:12" ht="18" x14ac:dyDescent="0.3">
      <c r="A121" s="1251">
        <v>1217700</v>
      </c>
      <c r="B121" s="1253">
        <v>335</v>
      </c>
      <c r="C121" s="1249"/>
      <c r="D121" s="1245" t="s">
        <v>1355</v>
      </c>
      <c r="E121" s="566"/>
      <c r="F121" s="447"/>
      <c r="G121" s="198"/>
      <c r="H121" s="447"/>
      <c r="I121" s="559"/>
      <c r="J121" s="560"/>
      <c r="K121" s="198"/>
      <c r="L121" s="447"/>
    </row>
    <row r="122" spans="1:12" ht="18.600000000000001" thickBot="1" x14ac:dyDescent="0.35">
      <c r="A122" s="1252"/>
      <c r="B122" s="1254"/>
      <c r="C122" s="1250"/>
      <c r="D122" s="1246"/>
      <c r="E122" s="468"/>
      <c r="F122" s="444"/>
      <c r="G122" s="563"/>
      <c r="H122" s="564"/>
      <c r="I122" s="562"/>
      <c r="J122" s="561"/>
      <c r="K122" s="203"/>
      <c r="L122" s="444"/>
    </row>
    <row r="123" spans="1:12" ht="18" x14ac:dyDescent="0.3">
      <c r="A123" s="1251">
        <v>1217700</v>
      </c>
      <c r="B123" s="1253">
        <v>336</v>
      </c>
      <c r="C123" s="1249"/>
      <c r="D123" s="1245" t="s">
        <v>1356</v>
      </c>
      <c r="E123" s="566"/>
      <c r="F123" s="447"/>
      <c r="G123" s="198"/>
      <c r="H123" s="447"/>
      <c r="I123" s="559"/>
      <c r="J123" s="560"/>
      <c r="K123" s="198"/>
      <c r="L123" s="447"/>
    </row>
    <row r="124" spans="1:12" ht="18.600000000000001" thickBot="1" x14ac:dyDescent="0.35">
      <c r="A124" s="1252"/>
      <c r="B124" s="1254"/>
      <c r="C124" s="1250"/>
      <c r="D124" s="1246"/>
      <c r="E124" s="468"/>
      <c r="F124" s="444"/>
      <c r="G124" s="563"/>
      <c r="H124" s="564"/>
      <c r="I124" s="562"/>
      <c r="J124" s="561"/>
      <c r="K124" s="203"/>
      <c r="L124" s="444"/>
    </row>
    <row r="125" spans="1:12" ht="18" x14ac:dyDescent="0.3">
      <c r="A125" s="1251">
        <v>1217700</v>
      </c>
      <c r="B125" s="1253">
        <v>337</v>
      </c>
      <c r="C125" s="1249"/>
      <c r="D125" s="1245" t="s">
        <v>1357</v>
      </c>
      <c r="E125" s="566"/>
      <c r="F125" s="447"/>
      <c r="G125" s="198"/>
      <c r="H125" s="447"/>
      <c r="I125" s="559"/>
      <c r="J125" s="560"/>
      <c r="K125" s="198"/>
      <c r="L125" s="447"/>
    </row>
    <row r="126" spans="1:12" ht="18.600000000000001" thickBot="1" x14ac:dyDescent="0.35">
      <c r="A126" s="1252"/>
      <c r="B126" s="1254"/>
      <c r="C126" s="1250"/>
      <c r="D126" s="1246"/>
      <c r="E126" s="468"/>
      <c r="F126" s="444"/>
      <c r="G126" s="563"/>
      <c r="H126" s="564"/>
      <c r="I126" s="562"/>
      <c r="J126" s="561"/>
      <c r="K126" s="203"/>
      <c r="L126" s="444"/>
    </row>
    <row r="127" spans="1:12" ht="18" x14ac:dyDescent="0.3">
      <c r="A127" s="1251">
        <v>1217700</v>
      </c>
      <c r="B127" s="1253">
        <v>338</v>
      </c>
      <c r="C127" s="1249"/>
      <c r="D127" s="1245" t="s">
        <v>1358</v>
      </c>
      <c r="E127" s="566"/>
      <c r="F127" s="447"/>
      <c r="G127" s="198"/>
      <c r="H127" s="447"/>
      <c r="I127" s="559"/>
      <c r="J127" s="560"/>
      <c r="K127" s="198"/>
      <c r="L127" s="447"/>
    </row>
    <row r="128" spans="1:12" ht="18.600000000000001" thickBot="1" x14ac:dyDescent="0.35">
      <c r="A128" s="1252"/>
      <c r="B128" s="1254"/>
      <c r="C128" s="1250"/>
      <c r="D128" s="1246"/>
      <c r="E128" s="468"/>
      <c r="F128" s="444"/>
      <c r="G128" s="563"/>
      <c r="H128" s="564"/>
      <c r="I128" s="562"/>
      <c r="J128" s="561"/>
      <c r="K128" s="203"/>
      <c r="L128" s="444"/>
    </row>
    <row r="129" spans="1:12" ht="18" x14ac:dyDescent="0.3">
      <c r="A129" s="1251">
        <v>1217700</v>
      </c>
      <c r="B129" s="1253">
        <v>389</v>
      </c>
      <c r="C129" s="1249"/>
      <c r="D129" s="1245" t="s">
        <v>1368</v>
      </c>
      <c r="E129" s="566"/>
      <c r="F129" s="447"/>
      <c r="G129" s="198"/>
      <c r="H129" s="447"/>
      <c r="I129" s="559"/>
      <c r="J129" s="560"/>
      <c r="K129" s="198"/>
      <c r="L129" s="447"/>
    </row>
    <row r="130" spans="1:12" ht="18.600000000000001" thickBot="1" x14ac:dyDescent="0.35">
      <c r="A130" s="1252"/>
      <c r="B130" s="1254"/>
      <c r="C130" s="1250"/>
      <c r="D130" s="1246"/>
      <c r="E130" s="468"/>
      <c r="F130" s="444"/>
      <c r="G130" s="563"/>
      <c r="H130" s="564"/>
      <c r="I130" s="562"/>
      <c r="J130" s="561"/>
      <c r="K130" s="203"/>
      <c r="L130" s="444"/>
    </row>
    <row r="131" spans="1:12" ht="18" x14ac:dyDescent="0.3">
      <c r="A131" s="1251">
        <v>1217700</v>
      </c>
      <c r="B131" s="1253">
        <v>390</v>
      </c>
      <c r="C131" s="1249"/>
      <c r="D131" s="1245" t="s">
        <v>1359</v>
      </c>
      <c r="E131" s="566"/>
      <c r="F131" s="447"/>
      <c r="G131" s="198"/>
      <c r="H131" s="447"/>
      <c r="I131" s="559"/>
      <c r="J131" s="560"/>
      <c r="K131" s="198"/>
      <c r="L131" s="447"/>
    </row>
    <row r="132" spans="1:12" ht="18.600000000000001" thickBot="1" x14ac:dyDescent="0.35">
      <c r="A132" s="1252"/>
      <c r="B132" s="1254"/>
      <c r="C132" s="1250"/>
      <c r="D132" s="1246"/>
      <c r="E132" s="468"/>
      <c r="F132" s="444"/>
      <c r="G132" s="563"/>
      <c r="H132" s="564"/>
      <c r="I132" s="562"/>
      <c r="J132" s="561"/>
      <c r="K132" s="203"/>
      <c r="L132" s="444"/>
    </row>
    <row r="133" spans="1:12" ht="18" x14ac:dyDescent="0.3">
      <c r="A133" s="1251">
        <v>1217700</v>
      </c>
      <c r="B133" s="1253">
        <v>355</v>
      </c>
      <c r="C133" s="1249"/>
      <c r="D133" s="1245" t="s">
        <v>1360</v>
      </c>
      <c r="E133" s="566"/>
      <c r="F133" s="447"/>
      <c r="G133" s="198"/>
      <c r="H133" s="447"/>
      <c r="I133" s="559"/>
      <c r="J133" s="560"/>
      <c r="K133" s="198"/>
      <c r="L133" s="447"/>
    </row>
    <row r="134" spans="1:12" ht="18.600000000000001" thickBot="1" x14ac:dyDescent="0.35">
      <c r="A134" s="1252"/>
      <c r="B134" s="1254"/>
      <c r="C134" s="1250"/>
      <c r="D134" s="1246"/>
      <c r="E134" s="468"/>
      <c r="F134" s="444"/>
      <c r="G134" s="563"/>
      <c r="H134" s="564"/>
      <c r="I134" s="562"/>
      <c r="J134" s="561"/>
      <c r="K134" s="203"/>
      <c r="L134" s="444"/>
    </row>
    <row r="135" spans="1:12" ht="18" x14ac:dyDescent="0.3">
      <c r="A135" s="1251">
        <v>1217700</v>
      </c>
      <c r="B135" s="1253">
        <v>223</v>
      </c>
      <c r="C135" s="1249"/>
      <c r="D135" s="1245" t="s">
        <v>1346</v>
      </c>
      <c r="E135" s="566"/>
      <c r="F135" s="447"/>
      <c r="G135" s="198"/>
      <c r="H135" s="447"/>
      <c r="I135" s="559"/>
      <c r="J135" s="560"/>
      <c r="K135" s="198"/>
      <c r="L135" s="447"/>
    </row>
    <row r="136" spans="1:12" ht="18.600000000000001" thickBot="1" x14ac:dyDescent="0.35">
      <c r="A136" s="1252"/>
      <c r="B136" s="1254"/>
      <c r="C136" s="1250"/>
      <c r="D136" s="1246"/>
      <c r="E136" s="468"/>
      <c r="F136" s="444"/>
      <c r="G136" s="563"/>
      <c r="H136" s="564"/>
      <c r="I136" s="562"/>
      <c r="J136" s="561"/>
      <c r="K136" s="203"/>
      <c r="L136" s="444"/>
    </row>
    <row r="137" spans="1:12" ht="18" x14ac:dyDescent="0.3">
      <c r="A137" s="1251">
        <v>1217700</v>
      </c>
      <c r="B137" s="1253">
        <v>221</v>
      </c>
      <c r="C137" s="1249"/>
      <c r="D137" s="1245" t="s">
        <v>1348</v>
      </c>
      <c r="E137" s="566"/>
      <c r="F137" s="447"/>
      <c r="G137" s="198"/>
      <c r="H137" s="447"/>
      <c r="I137" s="559"/>
      <c r="J137" s="560"/>
      <c r="K137" s="198"/>
      <c r="L137" s="447"/>
    </row>
    <row r="138" spans="1:12" ht="18.600000000000001" thickBot="1" x14ac:dyDescent="0.35">
      <c r="A138" s="1252"/>
      <c r="B138" s="1254"/>
      <c r="C138" s="1250"/>
      <c r="D138" s="1246"/>
      <c r="E138" s="468"/>
      <c r="F138" s="444"/>
      <c r="G138" s="563"/>
      <c r="H138" s="564"/>
      <c r="I138" s="562"/>
      <c r="J138" s="561"/>
      <c r="K138" s="203"/>
      <c r="L138" s="444"/>
    </row>
    <row r="139" spans="1:12" ht="18" x14ac:dyDescent="0.3">
      <c r="A139" s="1251">
        <v>1217700</v>
      </c>
      <c r="B139" s="1253">
        <v>224</v>
      </c>
      <c r="C139" s="1249"/>
      <c r="D139" s="1245" t="s">
        <v>1349</v>
      </c>
      <c r="E139" s="566"/>
      <c r="F139" s="447"/>
      <c r="G139" s="198"/>
      <c r="H139" s="447"/>
      <c r="I139" s="559"/>
      <c r="J139" s="560"/>
      <c r="K139" s="198"/>
      <c r="L139" s="447"/>
    </row>
    <row r="140" spans="1:12" ht="18.600000000000001" thickBot="1" x14ac:dyDescent="0.35">
      <c r="A140" s="1252"/>
      <c r="B140" s="1254"/>
      <c r="C140" s="1250"/>
      <c r="D140" s="1246"/>
      <c r="E140" s="468"/>
      <c r="F140" s="444"/>
      <c r="G140" s="563"/>
      <c r="H140" s="564"/>
      <c r="I140" s="562"/>
      <c r="J140" s="561"/>
      <c r="K140" s="203"/>
      <c r="L140" s="444"/>
    </row>
    <row r="141" spans="1:12" ht="18" x14ac:dyDescent="0.3">
      <c r="A141" s="1251">
        <v>1217700</v>
      </c>
      <c r="B141" s="1253">
        <v>220</v>
      </c>
      <c r="C141" s="1249"/>
      <c r="D141" s="1245" t="s">
        <v>1345</v>
      </c>
      <c r="E141" s="566"/>
      <c r="F141" s="447"/>
      <c r="G141" s="198"/>
      <c r="H141" s="447"/>
      <c r="I141" s="559"/>
      <c r="J141" s="560"/>
      <c r="K141" s="198"/>
      <c r="L141" s="447"/>
    </row>
    <row r="142" spans="1:12" ht="18.600000000000001" thickBot="1" x14ac:dyDescent="0.35">
      <c r="A142" s="1252"/>
      <c r="B142" s="1254"/>
      <c r="C142" s="1250"/>
      <c r="D142" s="1246"/>
      <c r="E142" s="468"/>
      <c r="F142" s="444"/>
      <c r="G142" s="563"/>
      <c r="H142" s="564"/>
      <c r="I142" s="562"/>
      <c r="J142" s="561"/>
      <c r="K142" s="203"/>
      <c r="L142" s="444"/>
    </row>
    <row r="143" spans="1:12" ht="18" x14ac:dyDescent="0.3">
      <c r="A143" s="1251">
        <v>1217700</v>
      </c>
      <c r="B143" s="1253">
        <v>392</v>
      </c>
      <c r="C143" s="1249"/>
      <c r="D143" s="1245" t="s">
        <v>1350</v>
      </c>
      <c r="E143" s="566"/>
      <c r="F143" s="447"/>
      <c r="G143" s="198"/>
      <c r="H143" s="447"/>
      <c r="I143" s="559"/>
      <c r="J143" s="560"/>
      <c r="K143" s="198"/>
      <c r="L143" s="447"/>
    </row>
    <row r="144" spans="1:12" ht="18.600000000000001" thickBot="1" x14ac:dyDescent="0.35">
      <c r="A144" s="1252"/>
      <c r="B144" s="1254"/>
      <c r="C144" s="1250"/>
      <c r="D144" s="1246"/>
      <c r="E144" s="468"/>
      <c r="F144" s="444"/>
      <c r="G144" s="563"/>
      <c r="H144" s="564"/>
      <c r="I144" s="562"/>
      <c r="J144" s="561"/>
      <c r="K144" s="203"/>
      <c r="L144" s="444"/>
    </row>
    <row r="145" spans="1:12" ht="18" x14ac:dyDescent="0.3">
      <c r="A145" s="1251">
        <v>1217700</v>
      </c>
      <c r="B145" s="1253">
        <v>394</v>
      </c>
      <c r="C145" s="1249"/>
      <c r="D145" s="1245" t="s">
        <v>785</v>
      </c>
      <c r="E145" s="566"/>
      <c r="F145" s="447"/>
      <c r="G145" s="198"/>
      <c r="H145" s="447"/>
      <c r="I145" s="559"/>
      <c r="J145" s="560"/>
      <c r="K145" s="198"/>
      <c r="L145" s="447"/>
    </row>
    <row r="146" spans="1:12" ht="18.600000000000001" thickBot="1" x14ac:dyDescent="0.35">
      <c r="A146" s="1252"/>
      <c r="B146" s="1254"/>
      <c r="C146" s="1250"/>
      <c r="D146" s="1246"/>
      <c r="E146" s="468"/>
      <c r="F146" s="444"/>
      <c r="G146" s="563"/>
      <c r="H146" s="564"/>
      <c r="I146" s="562"/>
      <c r="J146" s="561"/>
      <c r="K146" s="203"/>
      <c r="L146" s="444"/>
    </row>
    <row r="147" spans="1:12" ht="18" x14ac:dyDescent="0.3">
      <c r="A147" s="1251">
        <v>1217700</v>
      </c>
      <c r="B147" s="1253">
        <v>391</v>
      </c>
      <c r="C147" s="1249"/>
      <c r="D147" s="1245" t="s">
        <v>1351</v>
      </c>
      <c r="E147" s="566"/>
      <c r="F147" s="447"/>
      <c r="G147" s="198"/>
      <c r="H147" s="447"/>
      <c r="I147" s="559"/>
      <c r="J147" s="560"/>
      <c r="K147" s="198"/>
      <c r="L147" s="447"/>
    </row>
    <row r="148" spans="1:12" ht="18.600000000000001" thickBot="1" x14ac:dyDescent="0.35">
      <c r="A148" s="1252"/>
      <c r="B148" s="1254"/>
      <c r="C148" s="1250"/>
      <c r="D148" s="1246"/>
      <c r="E148" s="468"/>
      <c r="F148" s="444"/>
      <c r="G148" s="563"/>
      <c r="H148" s="564"/>
      <c r="I148" s="562"/>
      <c r="J148" s="561"/>
      <c r="K148" s="203"/>
      <c r="L148" s="444"/>
    </row>
    <row r="149" spans="1:12" ht="18" x14ac:dyDescent="0.3">
      <c r="A149" s="1251">
        <v>1217700</v>
      </c>
      <c r="B149" s="1253">
        <v>393</v>
      </c>
      <c r="C149" s="1249"/>
      <c r="D149" s="1245" t="s">
        <v>1352</v>
      </c>
      <c r="E149" s="566"/>
      <c r="F149" s="447"/>
      <c r="G149" s="198"/>
      <c r="H149" s="447"/>
      <c r="I149" s="559"/>
      <c r="J149" s="560"/>
      <c r="K149" s="198"/>
      <c r="L149" s="447"/>
    </row>
    <row r="150" spans="1:12" ht="18.600000000000001" thickBot="1" x14ac:dyDescent="0.35">
      <c r="A150" s="1252"/>
      <c r="B150" s="1254"/>
      <c r="C150" s="1250"/>
      <c r="D150" s="1246"/>
      <c r="E150" s="468"/>
      <c r="F150" s="444"/>
      <c r="G150" s="563"/>
      <c r="H150" s="564"/>
      <c r="I150" s="562"/>
      <c r="J150" s="561"/>
      <c r="K150" s="203"/>
      <c r="L150" s="444"/>
    </row>
    <row r="151" spans="1:12" ht="18" x14ac:dyDescent="0.3">
      <c r="A151" s="1251">
        <v>1217700</v>
      </c>
      <c r="B151" s="1253">
        <v>325</v>
      </c>
      <c r="C151" s="1249"/>
      <c r="D151" s="1245" t="s">
        <v>771</v>
      </c>
      <c r="E151" s="566"/>
      <c r="F151" s="447"/>
      <c r="G151" s="198"/>
      <c r="H151" s="447"/>
      <c r="I151" s="559"/>
      <c r="J151" s="560"/>
      <c r="K151" s="198"/>
      <c r="L151" s="447"/>
    </row>
    <row r="152" spans="1:12" ht="18.600000000000001" thickBot="1" x14ac:dyDescent="0.35">
      <c r="A152" s="1252"/>
      <c r="B152" s="1254"/>
      <c r="C152" s="1250"/>
      <c r="D152" s="1246"/>
      <c r="E152" s="468"/>
      <c r="F152" s="444"/>
      <c r="G152" s="563"/>
      <c r="H152" s="564"/>
      <c r="I152" s="562"/>
      <c r="J152" s="561"/>
      <c r="K152" s="203"/>
      <c r="L152" s="444"/>
    </row>
    <row r="153" spans="1:12" ht="18" x14ac:dyDescent="0.3">
      <c r="A153" s="1251">
        <v>1281700</v>
      </c>
      <c r="B153" s="1253">
        <v>551</v>
      </c>
      <c r="C153" s="1249"/>
      <c r="D153" s="1245" t="s">
        <v>1344</v>
      </c>
      <c r="E153" s="566"/>
      <c r="F153" s="447"/>
      <c r="G153" s="198"/>
      <c r="H153" s="447"/>
      <c r="I153" s="559"/>
      <c r="J153" s="560"/>
      <c r="K153" s="198"/>
      <c r="L153" s="447"/>
    </row>
    <row r="154" spans="1:12" ht="18.600000000000001" thickBot="1" x14ac:dyDescent="0.35">
      <c r="A154" s="1252"/>
      <c r="B154" s="1254"/>
      <c r="C154" s="1250"/>
      <c r="D154" s="1246"/>
      <c r="E154" s="468"/>
      <c r="F154" s="444"/>
      <c r="G154" s="563"/>
      <c r="H154" s="564"/>
      <c r="I154" s="562"/>
      <c r="J154" s="561"/>
      <c r="K154" s="203"/>
      <c r="L154" s="444"/>
    </row>
    <row r="155" spans="1:12" ht="18" x14ac:dyDescent="0.3">
      <c r="A155" s="1251">
        <v>1281700</v>
      </c>
      <c r="B155" s="1253">
        <v>519</v>
      </c>
      <c r="C155" s="1249"/>
      <c r="D155" s="1245" t="s">
        <v>1332</v>
      </c>
      <c r="E155" s="566"/>
      <c r="F155" s="447"/>
      <c r="G155" s="198"/>
      <c r="H155" s="447"/>
      <c r="I155" s="559"/>
      <c r="J155" s="560"/>
      <c r="K155" s="198"/>
      <c r="L155" s="447"/>
    </row>
    <row r="156" spans="1:12" ht="18.600000000000001" thickBot="1" x14ac:dyDescent="0.35">
      <c r="A156" s="1252"/>
      <c r="B156" s="1254"/>
      <c r="C156" s="1250"/>
      <c r="D156" s="1246"/>
      <c r="E156" s="468"/>
      <c r="F156" s="444"/>
      <c r="G156" s="563"/>
      <c r="H156" s="564"/>
      <c r="I156" s="562"/>
      <c r="J156" s="561"/>
      <c r="K156" s="203"/>
      <c r="L156" s="444"/>
    </row>
    <row r="157" spans="1:12" ht="18" x14ac:dyDescent="0.3">
      <c r="A157" s="1251">
        <v>2395700</v>
      </c>
      <c r="B157" s="1253">
        <v>321</v>
      </c>
      <c r="C157" s="1249"/>
      <c r="D157" s="1245" t="s">
        <v>1336</v>
      </c>
      <c r="E157" s="566"/>
      <c r="F157" s="447"/>
      <c r="G157" s="198"/>
      <c r="H157" s="447"/>
      <c r="I157" s="559"/>
      <c r="J157" s="560"/>
      <c r="K157" s="198"/>
      <c r="L157" s="447"/>
    </row>
    <row r="158" spans="1:12" ht="18.600000000000001" thickBot="1" x14ac:dyDescent="0.35">
      <c r="A158" s="1252"/>
      <c r="B158" s="1254"/>
      <c r="C158" s="1250"/>
      <c r="D158" s="1246"/>
      <c r="E158" s="468"/>
      <c r="F158" s="444"/>
      <c r="G158" s="563"/>
      <c r="H158" s="564"/>
      <c r="I158" s="562"/>
      <c r="J158" s="561"/>
      <c r="K158" s="203"/>
      <c r="L158" s="444"/>
    </row>
    <row r="159" spans="1:12" ht="18" x14ac:dyDescent="0.3">
      <c r="A159" s="1251">
        <v>1272700</v>
      </c>
      <c r="B159" s="1253">
        <v>579</v>
      </c>
      <c r="C159" s="1249"/>
      <c r="D159" s="1245" t="s">
        <v>1330</v>
      </c>
      <c r="E159" s="566"/>
      <c r="F159" s="447"/>
      <c r="G159" s="198"/>
      <c r="H159" s="447"/>
      <c r="I159" s="559"/>
      <c r="J159" s="560"/>
      <c r="K159" s="198"/>
      <c r="L159" s="447"/>
    </row>
    <row r="160" spans="1:12" ht="18.600000000000001" thickBot="1" x14ac:dyDescent="0.35">
      <c r="A160" s="1252"/>
      <c r="B160" s="1254"/>
      <c r="C160" s="1250"/>
      <c r="D160" s="1246"/>
      <c r="E160" s="468"/>
      <c r="F160" s="444"/>
      <c r="G160" s="563"/>
      <c r="H160" s="564"/>
      <c r="I160" s="562"/>
      <c r="J160" s="561"/>
      <c r="K160" s="203"/>
      <c r="L160" s="444"/>
    </row>
    <row r="161" spans="1:12" ht="18" x14ac:dyDescent="0.3">
      <c r="A161" s="1251">
        <v>1206700</v>
      </c>
      <c r="B161" s="1253">
        <v>542</v>
      </c>
      <c r="C161" s="1249"/>
      <c r="D161" s="1245" t="s">
        <v>1179</v>
      </c>
      <c r="E161" s="566"/>
      <c r="F161" s="447"/>
      <c r="G161" s="198"/>
      <c r="H161" s="447"/>
      <c r="I161" s="559"/>
      <c r="J161" s="560"/>
      <c r="K161" s="198"/>
      <c r="L161" s="447"/>
    </row>
    <row r="162" spans="1:12" ht="18.600000000000001" thickBot="1" x14ac:dyDescent="0.35">
      <c r="A162" s="1252"/>
      <c r="B162" s="1254"/>
      <c r="C162" s="1250"/>
      <c r="D162" s="1246"/>
      <c r="E162" s="468"/>
      <c r="F162" s="444"/>
      <c r="G162" s="563"/>
      <c r="H162" s="564"/>
      <c r="I162" s="562"/>
      <c r="J162" s="561"/>
      <c r="K162" s="203"/>
      <c r="L162" s="444"/>
    </row>
    <row r="163" spans="1:12" ht="18" x14ac:dyDescent="0.3">
      <c r="A163" s="1251">
        <v>1206700</v>
      </c>
      <c r="B163" s="1253">
        <v>543</v>
      </c>
      <c r="C163" s="1249"/>
      <c r="D163" s="1245" t="s">
        <v>1180</v>
      </c>
      <c r="E163" s="566"/>
      <c r="F163" s="447"/>
      <c r="G163" s="198"/>
      <c r="H163" s="447"/>
      <c r="I163" s="559"/>
      <c r="J163" s="560"/>
      <c r="K163" s="198"/>
      <c r="L163" s="447"/>
    </row>
    <row r="164" spans="1:12" ht="18.600000000000001" thickBot="1" x14ac:dyDescent="0.35">
      <c r="A164" s="1252"/>
      <c r="B164" s="1254"/>
      <c r="C164" s="1250"/>
      <c r="D164" s="1246"/>
      <c r="E164" s="468"/>
      <c r="F164" s="444"/>
      <c r="G164" s="563"/>
      <c r="H164" s="564"/>
      <c r="I164" s="562"/>
      <c r="J164" s="561"/>
      <c r="K164" s="203"/>
      <c r="L164" s="444"/>
    </row>
    <row r="165" spans="1:12" ht="18" x14ac:dyDescent="0.3">
      <c r="A165" s="1251">
        <v>1263700</v>
      </c>
      <c r="B165" s="1253">
        <v>532</v>
      </c>
      <c r="C165" s="1249"/>
      <c r="D165" s="1245" t="s">
        <v>1182</v>
      </c>
      <c r="E165" s="566"/>
      <c r="F165" s="447"/>
      <c r="G165" s="198"/>
      <c r="H165" s="447"/>
      <c r="I165" s="559"/>
      <c r="J165" s="560"/>
      <c r="K165" s="198"/>
      <c r="L165" s="447"/>
    </row>
    <row r="166" spans="1:12" ht="18.600000000000001" thickBot="1" x14ac:dyDescent="0.35">
      <c r="A166" s="1252"/>
      <c r="B166" s="1254"/>
      <c r="C166" s="1250"/>
      <c r="D166" s="1246"/>
      <c r="E166" s="468"/>
      <c r="F166" s="444"/>
      <c r="G166" s="563"/>
      <c r="H166" s="564"/>
      <c r="I166" s="562"/>
      <c r="J166" s="561"/>
      <c r="K166" s="203"/>
      <c r="L166" s="444"/>
    </row>
    <row r="167" spans="1:12" ht="18" x14ac:dyDescent="0.3">
      <c r="A167" s="1251">
        <v>1206700</v>
      </c>
      <c r="B167" s="1253">
        <v>595</v>
      </c>
      <c r="C167" s="1249"/>
      <c r="D167" s="1245" t="s">
        <v>1507</v>
      </c>
      <c r="E167" s="566"/>
      <c r="F167" s="447"/>
      <c r="G167" s="198"/>
      <c r="H167" s="447"/>
      <c r="I167" s="559"/>
      <c r="J167" s="560"/>
      <c r="K167" s="198"/>
      <c r="L167" s="447"/>
    </row>
    <row r="168" spans="1:12" ht="18.600000000000001" thickBot="1" x14ac:dyDescent="0.35">
      <c r="A168" s="1252"/>
      <c r="B168" s="1254"/>
      <c r="C168" s="1250"/>
      <c r="D168" s="1246"/>
      <c r="E168" s="468"/>
      <c r="F168" s="444"/>
      <c r="G168" s="563"/>
      <c r="H168" s="564"/>
      <c r="I168" s="562"/>
      <c r="J168" s="561"/>
      <c r="K168" s="203"/>
      <c r="L168" s="444"/>
    </row>
    <row r="169" spans="1:12" ht="18" x14ac:dyDescent="0.3">
      <c r="A169" s="1251">
        <v>1206700</v>
      </c>
      <c r="B169" s="1253">
        <v>562</v>
      </c>
      <c r="C169" s="1249"/>
      <c r="D169" s="1245" t="s">
        <v>1398</v>
      </c>
      <c r="E169" s="566"/>
      <c r="F169" s="447"/>
      <c r="G169" s="198"/>
      <c r="H169" s="447"/>
      <c r="I169" s="559"/>
      <c r="J169" s="560"/>
      <c r="K169" s="198"/>
      <c r="L169" s="447"/>
    </row>
    <row r="170" spans="1:12" ht="18.600000000000001" thickBot="1" x14ac:dyDescent="0.35">
      <c r="A170" s="1252"/>
      <c r="B170" s="1254"/>
      <c r="C170" s="1250"/>
      <c r="D170" s="1246"/>
      <c r="E170" s="468"/>
      <c r="F170" s="444"/>
      <c r="G170" s="563"/>
      <c r="H170" s="564"/>
      <c r="I170" s="562"/>
      <c r="J170" s="561"/>
      <c r="K170" s="203"/>
      <c r="L170" s="444"/>
    </row>
    <row r="171" spans="1:12" ht="18" x14ac:dyDescent="0.3">
      <c r="A171" s="1251">
        <v>1206700</v>
      </c>
      <c r="B171" s="1253">
        <v>565</v>
      </c>
      <c r="C171" s="1249"/>
      <c r="D171" s="1245" t="s">
        <v>1327</v>
      </c>
      <c r="E171" s="566"/>
      <c r="F171" s="447"/>
      <c r="G171" s="198"/>
      <c r="H171" s="447"/>
      <c r="I171" s="559"/>
      <c r="J171" s="560"/>
      <c r="K171" s="198"/>
      <c r="L171" s="447"/>
    </row>
    <row r="172" spans="1:12" ht="18.600000000000001" thickBot="1" x14ac:dyDescent="0.35">
      <c r="A172" s="1252"/>
      <c r="B172" s="1254"/>
      <c r="C172" s="1250"/>
      <c r="D172" s="1246"/>
      <c r="E172" s="468"/>
      <c r="F172" s="444"/>
      <c r="G172" s="563"/>
      <c r="H172" s="564"/>
      <c r="I172" s="562"/>
      <c r="J172" s="561"/>
      <c r="K172" s="203"/>
      <c r="L172" s="444"/>
    </row>
    <row r="173" spans="1:12" ht="18" x14ac:dyDescent="0.3">
      <c r="A173" s="1251">
        <v>1207700</v>
      </c>
      <c r="B173" s="1253">
        <v>569</v>
      </c>
      <c r="C173" s="1249"/>
      <c r="D173" s="1245" t="s">
        <v>1333</v>
      </c>
      <c r="E173" s="566"/>
      <c r="F173" s="447"/>
      <c r="G173" s="198"/>
      <c r="H173" s="447"/>
      <c r="I173" s="559"/>
      <c r="J173" s="560"/>
      <c r="K173" s="198"/>
      <c r="L173" s="447"/>
    </row>
    <row r="174" spans="1:12" ht="18.600000000000001" thickBot="1" x14ac:dyDescent="0.35">
      <c r="A174" s="1252"/>
      <c r="B174" s="1254"/>
      <c r="C174" s="1250"/>
      <c r="D174" s="1246"/>
      <c r="E174" s="468"/>
      <c r="F174" s="444"/>
      <c r="G174" s="563"/>
      <c r="H174" s="564"/>
      <c r="I174" s="562"/>
      <c r="J174" s="561"/>
      <c r="K174" s="203"/>
      <c r="L174" s="444"/>
    </row>
    <row r="175" spans="1:12" ht="18" x14ac:dyDescent="0.3">
      <c r="A175" s="1251">
        <v>1206700</v>
      </c>
      <c r="B175" s="1253">
        <v>547</v>
      </c>
      <c r="C175" s="1249"/>
      <c r="D175" s="1245" t="s">
        <v>1188</v>
      </c>
      <c r="E175" s="566"/>
      <c r="F175" s="447"/>
      <c r="G175" s="198"/>
      <c r="H175" s="447"/>
      <c r="I175" s="559"/>
      <c r="J175" s="560"/>
      <c r="K175" s="198"/>
      <c r="L175" s="447"/>
    </row>
    <row r="176" spans="1:12" ht="18.600000000000001" thickBot="1" x14ac:dyDescent="0.35">
      <c r="A176" s="1252"/>
      <c r="B176" s="1254"/>
      <c r="C176" s="1250"/>
      <c r="D176" s="1246"/>
      <c r="E176" s="468"/>
      <c r="F176" s="444"/>
      <c r="G176" s="563"/>
      <c r="H176" s="564"/>
      <c r="I176" s="562"/>
      <c r="J176" s="561"/>
      <c r="K176" s="203"/>
      <c r="L176" s="444"/>
    </row>
    <row r="177" spans="1:12" ht="18" x14ac:dyDescent="0.3">
      <c r="A177" s="1251">
        <v>1206700</v>
      </c>
      <c r="B177" s="1253">
        <v>299</v>
      </c>
      <c r="C177" s="1249"/>
      <c r="D177" s="1245" t="s">
        <v>1324</v>
      </c>
      <c r="E177" s="566"/>
      <c r="F177" s="447"/>
      <c r="G177" s="198"/>
      <c r="H177" s="447"/>
      <c r="I177" s="559"/>
      <c r="J177" s="560"/>
      <c r="K177" s="198"/>
      <c r="L177" s="447"/>
    </row>
    <row r="178" spans="1:12" ht="18.600000000000001" thickBot="1" x14ac:dyDescent="0.35">
      <c r="A178" s="1252"/>
      <c r="B178" s="1254"/>
      <c r="C178" s="1250"/>
      <c r="D178" s="1246"/>
      <c r="E178" s="468"/>
      <c r="F178" s="444"/>
      <c r="G178" s="563"/>
      <c r="H178" s="564"/>
      <c r="I178" s="562"/>
      <c r="J178" s="561"/>
      <c r="K178" s="203"/>
      <c r="L178" s="444"/>
    </row>
    <row r="179" spans="1:12" ht="18" x14ac:dyDescent="0.3">
      <c r="A179" s="1251">
        <v>1267700</v>
      </c>
      <c r="B179" s="1253">
        <v>517</v>
      </c>
      <c r="C179" s="1249"/>
      <c r="D179" s="1245" t="s">
        <v>1367</v>
      </c>
      <c r="E179" s="566"/>
      <c r="F179" s="447"/>
      <c r="G179" s="198"/>
      <c r="H179" s="447"/>
      <c r="I179" s="559"/>
      <c r="J179" s="560"/>
      <c r="K179" s="198"/>
      <c r="L179" s="447"/>
    </row>
    <row r="180" spans="1:12" ht="18.600000000000001" thickBot="1" x14ac:dyDescent="0.35">
      <c r="A180" s="1252"/>
      <c r="B180" s="1254"/>
      <c r="C180" s="1250"/>
      <c r="D180" s="1246"/>
      <c r="E180" s="468"/>
      <c r="F180" s="444"/>
      <c r="G180" s="563"/>
      <c r="H180" s="564"/>
      <c r="I180" s="562"/>
      <c r="J180" s="561"/>
      <c r="K180" s="203"/>
      <c r="L180" s="444"/>
    </row>
    <row r="181" spans="1:12" ht="18" x14ac:dyDescent="0.3">
      <c r="A181" s="1251">
        <v>1216700</v>
      </c>
      <c r="B181" s="1253" t="s">
        <v>869</v>
      </c>
      <c r="C181" s="1249"/>
      <c r="D181" s="1245" t="s">
        <v>1454</v>
      </c>
      <c r="E181" s="566"/>
      <c r="F181" s="447"/>
      <c r="G181" s="198"/>
      <c r="H181" s="447"/>
      <c r="I181" s="559"/>
      <c r="J181" s="560"/>
      <c r="K181" s="198"/>
      <c r="L181" s="447"/>
    </row>
    <row r="182" spans="1:12" ht="18.600000000000001" thickBot="1" x14ac:dyDescent="0.35">
      <c r="A182" s="1252"/>
      <c r="B182" s="1254"/>
      <c r="C182" s="1250"/>
      <c r="D182" s="1246"/>
      <c r="E182" s="468"/>
      <c r="F182" s="444"/>
      <c r="G182" s="563"/>
      <c r="H182" s="564"/>
      <c r="I182" s="562"/>
      <c r="J182" s="561"/>
      <c r="K182" s="203"/>
      <c r="L182" s="444"/>
    </row>
    <row r="183" spans="1:12" ht="18" x14ac:dyDescent="0.3">
      <c r="A183" s="1251"/>
      <c r="B183" s="1253">
        <v>515</v>
      </c>
      <c r="C183" s="1249"/>
      <c r="D183" s="1245" t="s">
        <v>799</v>
      </c>
      <c r="E183" s="566"/>
      <c r="F183" s="447"/>
      <c r="G183" s="198"/>
      <c r="H183" s="447"/>
      <c r="I183" s="559"/>
      <c r="J183" s="560"/>
      <c r="K183" s="198"/>
      <c r="L183" s="447"/>
    </row>
    <row r="184" spans="1:12" ht="18.600000000000001" thickBot="1" x14ac:dyDescent="0.35">
      <c r="A184" s="1252"/>
      <c r="B184" s="1254"/>
      <c r="C184" s="1250"/>
      <c r="D184" s="1246"/>
      <c r="E184" s="468"/>
      <c r="F184" s="444"/>
      <c r="G184" s="563"/>
      <c r="H184" s="564"/>
      <c r="I184" s="562"/>
      <c r="J184" s="561"/>
      <c r="K184" s="203"/>
      <c r="L184" s="444"/>
    </row>
    <row r="185" spans="1:12" ht="52.8" thickBot="1" x14ac:dyDescent="0.35">
      <c r="A185" s="558" t="s">
        <v>1293</v>
      </c>
      <c r="B185" s="558" t="s">
        <v>748</v>
      </c>
      <c r="C185" s="291" t="s">
        <v>1675</v>
      </c>
      <c r="D185" s="565" t="s">
        <v>1401</v>
      </c>
      <c r="E185" s="590" t="s">
        <v>1712</v>
      </c>
      <c r="F185" s="291" t="s">
        <v>1585</v>
      </c>
      <c r="G185" s="591" t="s">
        <v>1713</v>
      </c>
      <c r="H185" s="296" t="s">
        <v>1677</v>
      </c>
      <c r="I185" s="591" t="s">
        <v>1713</v>
      </c>
      <c r="J185" s="296" t="s">
        <v>1677</v>
      </c>
      <c r="K185" s="591" t="s">
        <v>1713</v>
      </c>
      <c r="L185" s="291" t="s">
        <v>1677</v>
      </c>
    </row>
    <row r="186" spans="1:12" ht="18.600000000000001" hidden="1" thickBot="1" x14ac:dyDescent="0.35">
      <c r="A186" s="1251">
        <v>1259700</v>
      </c>
      <c r="B186" s="1253">
        <v>500</v>
      </c>
      <c r="C186" s="1249"/>
      <c r="D186" s="1245" t="s">
        <v>1412</v>
      </c>
      <c r="E186" s="566"/>
      <c r="F186" s="447"/>
      <c r="G186" s="198"/>
      <c r="H186" s="447"/>
      <c r="I186" s="559"/>
      <c r="J186" s="560"/>
      <c r="K186" s="198"/>
      <c r="L186" s="447"/>
    </row>
    <row r="187" spans="1:12" ht="18.600000000000001" hidden="1" thickBot="1" x14ac:dyDescent="0.35">
      <c r="A187" s="1252"/>
      <c r="B187" s="1254"/>
      <c r="C187" s="1250"/>
      <c r="D187" s="1246"/>
      <c r="E187" s="468"/>
      <c r="F187" s="444"/>
      <c r="G187" s="563"/>
      <c r="H187" s="564"/>
      <c r="I187" s="562"/>
      <c r="J187" s="561"/>
      <c r="K187" s="203"/>
      <c r="L187" s="444"/>
    </row>
    <row r="188" spans="1:12" ht="18" x14ac:dyDescent="0.3">
      <c r="A188" s="1251">
        <v>1260700</v>
      </c>
      <c r="B188" s="1253">
        <v>506</v>
      </c>
      <c r="C188" s="1249"/>
      <c r="D188" s="1245" t="s">
        <v>1413</v>
      </c>
      <c r="E188" s="566"/>
      <c r="F188" s="447"/>
      <c r="G188" s="198"/>
      <c r="H188" s="447"/>
      <c r="I188" s="559"/>
      <c r="J188" s="560"/>
      <c r="K188" s="198"/>
      <c r="L188" s="447"/>
    </row>
    <row r="189" spans="1:12" ht="18.600000000000001" thickBot="1" x14ac:dyDescent="0.35">
      <c r="A189" s="1252"/>
      <c r="B189" s="1254"/>
      <c r="C189" s="1250"/>
      <c r="D189" s="1246"/>
      <c r="E189" s="468"/>
      <c r="F189" s="444"/>
      <c r="G189" s="563"/>
      <c r="H189" s="564"/>
      <c r="I189" s="562"/>
      <c r="J189" s="561"/>
      <c r="K189" s="203"/>
      <c r="L189" s="444"/>
    </row>
    <row r="190" spans="1:12" ht="18" x14ac:dyDescent="0.3">
      <c r="A190" s="1251">
        <v>1279700</v>
      </c>
      <c r="B190" s="1253">
        <v>510</v>
      </c>
      <c r="C190" s="1249"/>
      <c r="D190" s="1245" t="s">
        <v>1414</v>
      </c>
      <c r="E190" s="566"/>
      <c r="F190" s="447"/>
      <c r="G190" s="198"/>
      <c r="H190" s="447"/>
      <c r="I190" s="559"/>
      <c r="J190" s="560"/>
      <c r="K190" s="198"/>
      <c r="L190" s="447"/>
    </row>
    <row r="191" spans="1:12" ht="18.600000000000001" thickBot="1" x14ac:dyDescent="0.35">
      <c r="A191" s="1252"/>
      <c r="B191" s="1254"/>
      <c r="C191" s="1250"/>
      <c r="D191" s="1246"/>
      <c r="E191" s="468"/>
      <c r="F191" s="444"/>
      <c r="G191" s="563"/>
      <c r="H191" s="564"/>
      <c r="I191" s="562"/>
      <c r="J191" s="561"/>
      <c r="K191" s="203"/>
      <c r="L191" s="444"/>
    </row>
    <row r="192" spans="1:12" ht="18" hidden="1" x14ac:dyDescent="0.3">
      <c r="A192" s="1251">
        <v>1262700</v>
      </c>
      <c r="B192" s="1253">
        <v>555</v>
      </c>
      <c r="C192" s="1249"/>
      <c r="D192" s="1245" t="s">
        <v>1407</v>
      </c>
      <c r="E192" s="566"/>
      <c r="F192" s="447"/>
      <c r="G192" s="198"/>
      <c r="H192" s="447"/>
      <c r="I192" s="559"/>
      <c r="J192" s="560"/>
      <c r="K192" s="198"/>
      <c r="L192" s="447"/>
    </row>
    <row r="193" spans="1:12" ht="18.600000000000001" hidden="1" thickBot="1" x14ac:dyDescent="0.35">
      <c r="A193" s="1252"/>
      <c r="B193" s="1254"/>
      <c r="C193" s="1250"/>
      <c r="D193" s="1246"/>
      <c r="E193" s="468"/>
      <c r="F193" s="444"/>
      <c r="G193" s="563"/>
      <c r="H193" s="564"/>
      <c r="I193" s="562"/>
      <c r="J193" s="561"/>
      <c r="K193" s="203"/>
      <c r="L193" s="444"/>
    </row>
    <row r="194" spans="1:12" ht="18" hidden="1" x14ac:dyDescent="0.3">
      <c r="A194" s="1251">
        <v>1262700</v>
      </c>
      <c r="B194" s="1253">
        <v>557</v>
      </c>
      <c r="C194" s="1249"/>
      <c r="D194" s="1245" t="s">
        <v>1408</v>
      </c>
      <c r="E194" s="566"/>
      <c r="F194" s="447"/>
      <c r="G194" s="198"/>
      <c r="H194" s="447"/>
      <c r="I194" s="559"/>
      <c r="J194" s="560"/>
      <c r="K194" s="198"/>
      <c r="L194" s="447"/>
    </row>
    <row r="195" spans="1:12" ht="18.600000000000001" hidden="1" thickBot="1" x14ac:dyDescent="0.35">
      <c r="A195" s="1252"/>
      <c r="B195" s="1254"/>
      <c r="C195" s="1250"/>
      <c r="D195" s="1246"/>
      <c r="E195" s="468"/>
      <c r="F195" s="444"/>
      <c r="G195" s="563"/>
      <c r="H195" s="564"/>
      <c r="I195" s="562"/>
      <c r="J195" s="561"/>
      <c r="K195" s="203"/>
      <c r="L195" s="444"/>
    </row>
    <row r="196" spans="1:12" ht="18" hidden="1" x14ac:dyDescent="0.3">
      <c r="A196" s="1251">
        <v>1262700</v>
      </c>
      <c r="B196" s="1253">
        <v>558</v>
      </c>
      <c r="C196" s="1249"/>
      <c r="D196" s="1245" t="s">
        <v>1409</v>
      </c>
      <c r="E196" s="566"/>
      <c r="F196" s="447"/>
      <c r="G196" s="198"/>
      <c r="H196" s="447"/>
      <c r="I196" s="559"/>
      <c r="J196" s="560"/>
      <c r="K196" s="198"/>
      <c r="L196" s="447"/>
    </row>
    <row r="197" spans="1:12" ht="18.600000000000001" hidden="1" thickBot="1" x14ac:dyDescent="0.35">
      <c r="A197" s="1252"/>
      <c r="B197" s="1254"/>
      <c r="C197" s="1250"/>
      <c r="D197" s="1246"/>
      <c r="E197" s="468"/>
      <c r="F197" s="444"/>
      <c r="G197" s="563"/>
      <c r="H197" s="564"/>
      <c r="I197" s="562"/>
      <c r="J197" s="561"/>
      <c r="K197" s="203"/>
      <c r="L197" s="444"/>
    </row>
    <row r="198" spans="1:12" ht="18" hidden="1" x14ac:dyDescent="0.3">
      <c r="A198" s="1251">
        <v>1262700</v>
      </c>
      <c r="B198" s="1253">
        <v>654</v>
      </c>
      <c r="C198" s="1249"/>
      <c r="D198" s="1245" t="s">
        <v>1410</v>
      </c>
      <c r="E198" s="566"/>
      <c r="F198" s="447"/>
      <c r="G198" s="198"/>
      <c r="H198" s="447"/>
      <c r="I198" s="559"/>
      <c r="J198" s="560"/>
      <c r="K198" s="198"/>
      <c r="L198" s="447"/>
    </row>
    <row r="199" spans="1:12" ht="18.600000000000001" hidden="1" thickBot="1" x14ac:dyDescent="0.35">
      <c r="A199" s="1252"/>
      <c r="B199" s="1254"/>
      <c r="C199" s="1250"/>
      <c r="D199" s="1246"/>
      <c r="E199" s="468"/>
      <c r="F199" s="444"/>
      <c r="G199" s="563"/>
      <c r="H199" s="564"/>
      <c r="I199" s="562"/>
      <c r="J199" s="561"/>
      <c r="K199" s="203"/>
      <c r="L199" s="444"/>
    </row>
    <row r="200" spans="1:12" ht="15" thickBot="1" x14ac:dyDescent="0.35"/>
    <row r="201" spans="1:12" ht="26.25" customHeight="1" x14ac:dyDescent="0.55000000000000004">
      <c r="A201" s="1141" t="s">
        <v>1695</v>
      </c>
      <c r="B201" s="1142"/>
      <c r="C201" s="1142"/>
      <c r="D201" s="1143"/>
      <c r="E201" s="1123" t="s">
        <v>1680</v>
      </c>
      <c r="F201" s="1124"/>
      <c r="G201" s="1124"/>
      <c r="H201" s="1125"/>
    </row>
    <row r="202" spans="1:12" ht="21" customHeight="1" x14ac:dyDescent="0.4">
      <c r="A202" s="571" t="s">
        <v>1681</v>
      </c>
      <c r="B202" s="1237" t="s">
        <v>1696</v>
      </c>
      <c r="C202" s="1237"/>
      <c r="D202" s="1238"/>
      <c r="E202" s="1126"/>
      <c r="F202" s="1127"/>
      <c r="G202" s="1127"/>
      <c r="H202" s="1128"/>
    </row>
    <row r="203" spans="1:12" ht="21.75" customHeight="1" thickBot="1" x14ac:dyDescent="0.45">
      <c r="A203" s="571" t="s">
        <v>1683</v>
      </c>
      <c r="B203" s="1237" t="s">
        <v>1697</v>
      </c>
      <c r="C203" s="1237"/>
      <c r="D203" s="1238"/>
      <c r="E203" s="1129"/>
      <c r="F203" s="1130"/>
      <c r="G203" s="1130"/>
      <c r="H203" s="1131"/>
    </row>
    <row r="204" spans="1:12" ht="21" x14ac:dyDescent="0.4">
      <c r="A204" s="571" t="s">
        <v>1685</v>
      </c>
      <c r="B204" s="1237" t="s">
        <v>1686</v>
      </c>
      <c r="C204" s="1237"/>
      <c r="D204" s="1238"/>
      <c r="E204" s="1153" t="s">
        <v>1687</v>
      </c>
      <c r="F204" s="1154"/>
      <c r="G204" s="1157">
        <f ca="1">+TODAY()</f>
        <v>46052</v>
      </c>
      <c r="H204" s="1158"/>
    </row>
    <row r="205" spans="1:12" ht="21.6" thickBot="1" x14ac:dyDescent="0.45">
      <c r="A205" s="572" t="s">
        <v>1688</v>
      </c>
      <c r="B205" s="1241" t="s">
        <v>1689</v>
      </c>
      <c r="C205" s="1241"/>
      <c r="D205" s="1242"/>
      <c r="E205" s="1155"/>
      <c r="F205" s="1156"/>
      <c r="G205" s="1159"/>
      <c r="H205" s="1160"/>
    </row>
    <row r="206" spans="1:12" ht="7.5" customHeight="1" thickBot="1" x14ac:dyDescent="0.45">
      <c r="A206" s="567"/>
      <c r="B206" s="568"/>
      <c r="E206"/>
    </row>
    <row r="207" spans="1:12" s="31" customFormat="1" ht="40.5" customHeight="1" thickBot="1" x14ac:dyDescent="0.35">
      <c r="A207" s="569" t="s">
        <v>1690</v>
      </c>
      <c r="B207" s="1229" t="s">
        <v>1694</v>
      </c>
      <c r="C207" s="1256"/>
      <c r="D207" s="1230"/>
      <c r="E207" s="569" t="s">
        <v>1691</v>
      </c>
      <c r="F207" s="570">
        <v>1583</v>
      </c>
    </row>
    <row r="208" spans="1:12" ht="7.5" customHeight="1" thickBot="1" x14ac:dyDescent="0.45">
      <c r="A208" s="567"/>
      <c r="B208" s="568"/>
      <c r="E208"/>
    </row>
    <row r="209" spans="1:12" ht="21.6" thickBot="1" x14ac:dyDescent="0.45">
      <c r="A209" s="573" t="s">
        <v>1692</v>
      </c>
      <c r="B209" s="1231" t="s">
        <v>1684</v>
      </c>
      <c r="C209" s="1255"/>
      <c r="D209" s="1232"/>
      <c r="E209"/>
    </row>
    <row r="210" spans="1:12" ht="7.5" customHeight="1" thickBot="1" x14ac:dyDescent="0.45">
      <c r="A210" s="567"/>
      <c r="B210" s="568"/>
      <c r="E210"/>
    </row>
    <row r="211" spans="1:12" ht="26.4" thickBot="1" x14ac:dyDescent="0.35">
      <c r="A211" s="1146" t="s">
        <v>1693</v>
      </c>
      <c r="B211" s="1147"/>
      <c r="C211" s="1147"/>
      <c r="D211" s="1147"/>
      <c r="E211" s="1147"/>
      <c r="F211" s="1147"/>
      <c r="G211" s="1147"/>
      <c r="H211" s="1148"/>
    </row>
    <row r="212" spans="1:12" ht="7.5" customHeight="1" thickBot="1" x14ac:dyDescent="0.45">
      <c r="A212" s="567"/>
      <c r="B212" s="568"/>
      <c r="E212"/>
    </row>
    <row r="213" spans="1:12" ht="54.6" thickBot="1" x14ac:dyDescent="0.35">
      <c r="A213" s="312" t="s">
        <v>1293</v>
      </c>
      <c r="B213" s="312" t="s">
        <v>748</v>
      </c>
      <c r="C213" s="291" t="s">
        <v>1675</v>
      </c>
      <c r="D213" s="312" t="s">
        <v>749</v>
      </c>
      <c r="E213" s="321" t="s">
        <v>1526</v>
      </c>
      <c r="F213" s="321" t="s">
        <v>1585</v>
      </c>
      <c r="G213" s="313" t="s">
        <v>1676</v>
      </c>
      <c r="H213" s="313" t="s">
        <v>1677</v>
      </c>
      <c r="I213" s="313" t="s">
        <v>1676</v>
      </c>
      <c r="J213" s="313" t="s">
        <v>1677</v>
      </c>
      <c r="K213" s="313" t="s">
        <v>1676</v>
      </c>
      <c r="L213" s="291" t="s">
        <v>1677</v>
      </c>
    </row>
    <row r="214" spans="1:12" ht="18" x14ac:dyDescent="0.3">
      <c r="A214" s="1251">
        <v>2321700</v>
      </c>
      <c r="B214" s="1253" t="s">
        <v>869</v>
      </c>
      <c r="C214" s="1249"/>
      <c r="D214" s="1245" t="s">
        <v>1708</v>
      </c>
      <c r="E214" s="566"/>
      <c r="F214" s="447"/>
      <c r="G214" s="198"/>
      <c r="H214" s="447"/>
      <c r="I214" s="559"/>
      <c r="J214" s="560"/>
      <c r="K214" s="198"/>
      <c r="L214" s="447"/>
    </row>
    <row r="215" spans="1:12" ht="18.600000000000001" thickBot="1" x14ac:dyDescent="0.35">
      <c r="A215" s="1252"/>
      <c r="B215" s="1254"/>
      <c r="C215" s="1250"/>
      <c r="D215" s="1246"/>
      <c r="E215" s="468"/>
      <c r="F215" s="444"/>
      <c r="G215" s="563"/>
      <c r="H215" s="564"/>
      <c r="I215" s="562"/>
      <c r="J215" s="561"/>
      <c r="K215" s="203"/>
      <c r="L215" s="444"/>
    </row>
    <row r="216" spans="1:12" ht="18" x14ac:dyDescent="0.3">
      <c r="A216" s="1251">
        <v>2315700</v>
      </c>
      <c r="B216" s="1253">
        <v>99</v>
      </c>
      <c r="C216" s="1249"/>
      <c r="D216" s="1245" t="s">
        <v>1709</v>
      </c>
      <c r="E216" s="566"/>
      <c r="F216" s="447"/>
      <c r="G216" s="198"/>
      <c r="H216" s="447"/>
      <c r="I216" s="559"/>
      <c r="J216" s="560"/>
      <c r="K216" s="198"/>
      <c r="L216" s="447"/>
    </row>
    <row r="217" spans="1:12" ht="18.600000000000001" thickBot="1" x14ac:dyDescent="0.35">
      <c r="A217" s="1252"/>
      <c r="B217" s="1254"/>
      <c r="C217" s="1250"/>
      <c r="D217" s="1246"/>
      <c r="E217" s="468"/>
      <c r="F217" s="444"/>
      <c r="G217" s="563"/>
      <c r="H217" s="564"/>
      <c r="I217" s="562"/>
      <c r="J217" s="561"/>
      <c r="K217" s="203"/>
      <c r="L217" s="444"/>
    </row>
    <row r="218" spans="1:12" ht="18" x14ac:dyDescent="0.3">
      <c r="A218" s="1251">
        <v>2320700</v>
      </c>
      <c r="B218" s="1253">
        <v>713</v>
      </c>
      <c r="C218" s="1249"/>
      <c r="D218" s="1245" t="s">
        <v>1183</v>
      </c>
      <c r="E218" s="566"/>
      <c r="F218" s="447"/>
      <c r="G218" s="198"/>
      <c r="H218" s="447"/>
      <c r="I218" s="559"/>
      <c r="J218" s="560"/>
      <c r="K218" s="198"/>
      <c r="L218" s="447"/>
    </row>
    <row r="219" spans="1:12" ht="18.600000000000001" thickBot="1" x14ac:dyDescent="0.35">
      <c r="A219" s="1252"/>
      <c r="B219" s="1254"/>
      <c r="C219" s="1250"/>
      <c r="D219" s="1246"/>
      <c r="E219" s="468"/>
      <c r="F219" s="444"/>
      <c r="G219" s="563"/>
      <c r="H219" s="564"/>
      <c r="I219" s="562"/>
      <c r="J219" s="561"/>
      <c r="K219" s="203"/>
      <c r="L219" s="444"/>
    </row>
    <row r="220" spans="1:12" ht="18" x14ac:dyDescent="0.3">
      <c r="A220" s="1251">
        <v>2320700</v>
      </c>
      <c r="B220" s="1253">
        <v>731</v>
      </c>
      <c r="C220" s="1249"/>
      <c r="D220" s="1245" t="s">
        <v>1199</v>
      </c>
      <c r="E220" s="566"/>
      <c r="F220" s="447"/>
      <c r="G220" s="198"/>
      <c r="H220" s="447"/>
      <c r="I220" s="559"/>
      <c r="J220" s="560"/>
      <c r="K220" s="198"/>
      <c r="L220" s="447"/>
    </row>
    <row r="221" spans="1:12" ht="18.600000000000001" thickBot="1" x14ac:dyDescent="0.35">
      <c r="A221" s="1252"/>
      <c r="B221" s="1254"/>
      <c r="C221" s="1250"/>
      <c r="D221" s="1246"/>
      <c r="E221" s="468"/>
      <c r="F221" s="444"/>
      <c r="G221" s="563"/>
      <c r="H221" s="564"/>
      <c r="I221" s="562"/>
      <c r="J221" s="561"/>
      <c r="K221" s="203"/>
      <c r="L221" s="444"/>
    </row>
    <row r="222" spans="1:12" ht="18" x14ac:dyDescent="0.3">
      <c r="A222" s="1251">
        <v>2319700</v>
      </c>
      <c r="B222" s="1253">
        <v>809</v>
      </c>
      <c r="C222" s="1249"/>
      <c r="D222" s="1245" t="s">
        <v>1505</v>
      </c>
      <c r="E222" s="566"/>
      <c r="F222" s="447"/>
      <c r="G222" s="198"/>
      <c r="H222" s="447"/>
      <c r="I222" s="559"/>
      <c r="J222" s="560"/>
      <c r="K222" s="198"/>
      <c r="L222" s="447"/>
    </row>
    <row r="223" spans="1:12" ht="18.600000000000001" thickBot="1" x14ac:dyDescent="0.35">
      <c r="A223" s="1252"/>
      <c r="B223" s="1254"/>
      <c r="C223" s="1250"/>
      <c r="D223" s="1246"/>
      <c r="E223" s="468"/>
      <c r="F223" s="444"/>
      <c r="G223" s="563"/>
      <c r="H223" s="564"/>
      <c r="I223" s="562"/>
      <c r="J223" s="561"/>
      <c r="K223" s="203"/>
      <c r="L223" s="444"/>
    </row>
    <row r="224" spans="1:12" ht="18" x14ac:dyDescent="0.3">
      <c r="A224" s="1251">
        <v>2320700</v>
      </c>
      <c r="B224" s="1253">
        <v>730</v>
      </c>
      <c r="C224" s="1249"/>
      <c r="D224" s="1245" t="s">
        <v>1223</v>
      </c>
      <c r="E224" s="566"/>
      <c r="F224" s="447"/>
      <c r="G224" s="198"/>
      <c r="H224" s="447"/>
      <c r="I224" s="559"/>
      <c r="J224" s="560"/>
      <c r="K224" s="198"/>
      <c r="L224" s="447"/>
    </row>
    <row r="225" spans="1:12" ht="18.600000000000001" thickBot="1" x14ac:dyDescent="0.35">
      <c r="A225" s="1252"/>
      <c r="B225" s="1254"/>
      <c r="C225" s="1250"/>
      <c r="D225" s="1246"/>
      <c r="E225" s="468"/>
      <c r="F225" s="444"/>
      <c r="G225" s="563"/>
      <c r="H225" s="564"/>
      <c r="I225" s="562"/>
      <c r="J225" s="561"/>
      <c r="K225" s="203"/>
      <c r="L225" s="444"/>
    </row>
    <row r="226" spans="1:12" ht="18" x14ac:dyDescent="0.3">
      <c r="A226" s="1251">
        <v>2315700</v>
      </c>
      <c r="B226" s="1253">
        <v>43</v>
      </c>
      <c r="C226" s="1249"/>
      <c r="D226" s="1245" t="s">
        <v>1338</v>
      </c>
      <c r="E226" s="566"/>
      <c r="F226" s="447"/>
      <c r="G226" s="198"/>
      <c r="H226" s="447"/>
      <c r="I226" s="559"/>
      <c r="J226" s="560"/>
      <c r="K226" s="198"/>
      <c r="L226" s="447"/>
    </row>
    <row r="227" spans="1:12" ht="18.600000000000001" thickBot="1" x14ac:dyDescent="0.35">
      <c r="A227" s="1252"/>
      <c r="B227" s="1254"/>
      <c r="C227" s="1250"/>
      <c r="D227" s="1246"/>
      <c r="E227" s="468"/>
      <c r="F227" s="444"/>
      <c r="G227" s="563"/>
      <c r="H227" s="564"/>
      <c r="I227" s="562"/>
      <c r="J227" s="561"/>
      <c r="K227" s="203"/>
      <c r="L227" s="444"/>
    </row>
    <row r="228" spans="1:12" ht="18" x14ac:dyDescent="0.3">
      <c r="A228" s="1251">
        <v>2319700</v>
      </c>
      <c r="B228" s="1253">
        <v>701</v>
      </c>
      <c r="C228" s="1249"/>
      <c r="D228" s="1245" t="s">
        <v>1189</v>
      </c>
      <c r="E228" s="566"/>
      <c r="F228" s="447"/>
      <c r="G228" s="198"/>
      <c r="H228" s="447"/>
      <c r="I228" s="559"/>
      <c r="J228" s="560"/>
      <c r="K228" s="198"/>
      <c r="L228" s="447"/>
    </row>
    <row r="229" spans="1:12" ht="18.600000000000001" thickBot="1" x14ac:dyDescent="0.35">
      <c r="A229" s="1252"/>
      <c r="B229" s="1254"/>
      <c r="C229" s="1250"/>
      <c r="D229" s="1246"/>
      <c r="E229" s="468"/>
      <c r="F229" s="444"/>
      <c r="G229" s="563"/>
      <c r="H229" s="564"/>
      <c r="I229" s="562"/>
      <c r="J229" s="561"/>
      <c r="K229" s="203"/>
      <c r="L229" s="444"/>
    </row>
    <row r="230" spans="1:12" ht="20.25" customHeight="1" x14ac:dyDescent="0.3">
      <c r="A230" s="1251">
        <v>2320700</v>
      </c>
      <c r="B230" s="1253">
        <v>735</v>
      </c>
      <c r="C230" s="1249"/>
      <c r="D230" s="1245" t="s">
        <v>1379</v>
      </c>
      <c r="E230" s="566"/>
      <c r="F230" s="447"/>
      <c r="G230" s="198"/>
      <c r="H230" s="447"/>
      <c r="I230" s="559"/>
      <c r="J230" s="560"/>
      <c r="K230" s="198"/>
      <c r="L230" s="447"/>
    </row>
    <row r="231" spans="1:12" ht="18.600000000000001" thickBot="1" x14ac:dyDescent="0.35">
      <c r="A231" s="1252"/>
      <c r="B231" s="1254"/>
      <c r="C231" s="1250"/>
      <c r="D231" s="1246"/>
      <c r="E231" s="468"/>
      <c r="F231" s="444"/>
      <c r="G231" s="563"/>
      <c r="H231" s="564"/>
      <c r="I231" s="562"/>
      <c r="J231" s="561"/>
      <c r="K231" s="203"/>
      <c r="L231" s="444"/>
    </row>
    <row r="232" spans="1:12" ht="18" x14ac:dyDescent="0.3">
      <c r="A232" s="1251">
        <v>2315700</v>
      </c>
      <c r="B232" s="1253">
        <v>862</v>
      </c>
      <c r="C232" s="1249"/>
      <c r="D232" s="1245" t="s">
        <v>1276</v>
      </c>
      <c r="E232" s="566"/>
      <c r="F232" s="447"/>
      <c r="G232" s="198"/>
      <c r="H232" s="447"/>
      <c r="I232" s="559"/>
      <c r="J232" s="560"/>
      <c r="K232" s="198"/>
      <c r="L232" s="447"/>
    </row>
    <row r="233" spans="1:12" ht="18.600000000000001" thickBot="1" x14ac:dyDescent="0.35">
      <c r="A233" s="1252"/>
      <c r="B233" s="1254"/>
      <c r="C233" s="1250"/>
      <c r="D233" s="1246"/>
      <c r="E233" s="468"/>
      <c r="F233" s="444"/>
      <c r="G233" s="563"/>
      <c r="H233" s="564"/>
      <c r="I233" s="562"/>
      <c r="J233" s="561"/>
      <c r="K233" s="203"/>
      <c r="L233" s="444"/>
    </row>
    <row r="234" spans="1:12" ht="18" x14ac:dyDescent="0.3">
      <c r="A234" s="1251">
        <v>2315700</v>
      </c>
      <c r="B234" s="1253">
        <v>859</v>
      </c>
      <c r="C234" s="1249"/>
      <c r="D234" s="1245" t="s">
        <v>1369</v>
      </c>
      <c r="E234" s="566"/>
      <c r="F234" s="447"/>
      <c r="G234" s="198"/>
      <c r="H234" s="447"/>
      <c r="I234" s="559"/>
      <c r="J234" s="560"/>
      <c r="K234" s="198"/>
      <c r="L234" s="447"/>
    </row>
    <row r="235" spans="1:12" ht="18.600000000000001" thickBot="1" x14ac:dyDescent="0.35">
      <c r="A235" s="1252"/>
      <c r="B235" s="1254"/>
      <c r="C235" s="1250"/>
      <c r="D235" s="1246"/>
      <c r="E235" s="468"/>
      <c r="F235" s="444"/>
      <c r="G235" s="563"/>
      <c r="H235" s="564"/>
      <c r="I235" s="562"/>
      <c r="J235" s="561"/>
      <c r="K235" s="203"/>
      <c r="L235" s="444"/>
    </row>
    <row r="236" spans="1:12" ht="18" x14ac:dyDescent="0.3">
      <c r="A236" s="1251">
        <v>2315700</v>
      </c>
      <c r="B236" s="1253">
        <v>720</v>
      </c>
      <c r="C236" s="1249"/>
      <c r="D236" s="1245" t="s">
        <v>1179</v>
      </c>
      <c r="E236" s="566"/>
      <c r="F236" s="447"/>
      <c r="G236" s="198"/>
      <c r="H236" s="447"/>
      <c r="I236" s="559"/>
      <c r="J236" s="560"/>
      <c r="K236" s="198"/>
      <c r="L236" s="447"/>
    </row>
    <row r="237" spans="1:12" ht="18.600000000000001" thickBot="1" x14ac:dyDescent="0.35">
      <c r="A237" s="1252"/>
      <c r="B237" s="1254"/>
      <c r="C237" s="1250"/>
      <c r="D237" s="1246"/>
      <c r="E237" s="468"/>
      <c r="F237" s="444"/>
      <c r="G237" s="563"/>
      <c r="H237" s="564"/>
      <c r="I237" s="562"/>
      <c r="J237" s="561"/>
      <c r="K237" s="203"/>
      <c r="L237" s="444"/>
    </row>
    <row r="238" spans="1:12" ht="18" x14ac:dyDescent="0.3">
      <c r="A238" s="1251">
        <v>2315700</v>
      </c>
      <c r="B238" s="1253">
        <v>722</v>
      </c>
      <c r="C238" s="1249"/>
      <c r="D238" s="1245" t="s">
        <v>1180</v>
      </c>
      <c r="E238" s="566"/>
      <c r="F238" s="447"/>
      <c r="G238" s="198"/>
      <c r="H238" s="447"/>
      <c r="I238" s="559"/>
      <c r="J238" s="560"/>
      <c r="K238" s="198"/>
      <c r="L238" s="447"/>
    </row>
    <row r="239" spans="1:12" ht="18.600000000000001" thickBot="1" x14ac:dyDescent="0.35">
      <c r="A239" s="1252"/>
      <c r="B239" s="1254"/>
      <c r="C239" s="1250"/>
      <c r="D239" s="1246"/>
      <c r="E239" s="468"/>
      <c r="F239" s="444"/>
      <c r="G239" s="563"/>
      <c r="H239" s="564"/>
      <c r="I239" s="562"/>
      <c r="J239" s="561"/>
      <c r="K239" s="203"/>
      <c r="L239" s="444"/>
    </row>
    <row r="240" spans="1:12" ht="18" x14ac:dyDescent="0.3">
      <c r="A240" s="1251">
        <v>2315700</v>
      </c>
      <c r="B240" s="1253">
        <v>864</v>
      </c>
      <c r="C240" s="1249"/>
      <c r="D240" s="1245" t="s">
        <v>1187</v>
      </c>
      <c r="E240" s="566"/>
      <c r="F240" s="447"/>
      <c r="G240" s="198"/>
      <c r="H240" s="447"/>
      <c r="I240" s="559"/>
      <c r="J240" s="560"/>
      <c r="K240" s="198"/>
      <c r="L240" s="447"/>
    </row>
    <row r="241" spans="1:12" ht="18.600000000000001" thickBot="1" x14ac:dyDescent="0.35">
      <c r="A241" s="1252"/>
      <c r="B241" s="1254"/>
      <c r="C241" s="1250"/>
      <c r="D241" s="1246"/>
      <c r="E241" s="468"/>
      <c r="F241" s="444"/>
      <c r="G241" s="563"/>
      <c r="H241" s="564"/>
      <c r="I241" s="562"/>
      <c r="J241" s="561"/>
      <c r="K241" s="203"/>
      <c r="L241" s="444"/>
    </row>
    <row r="242" spans="1:12" ht="18" x14ac:dyDescent="0.3">
      <c r="A242" s="1251">
        <v>2315700</v>
      </c>
      <c r="B242" s="1253">
        <v>802</v>
      </c>
      <c r="C242" s="1249"/>
      <c r="D242" s="1245" t="s">
        <v>1193</v>
      </c>
      <c r="E242" s="566"/>
      <c r="F242" s="447"/>
      <c r="G242" s="198"/>
      <c r="H242" s="447"/>
      <c r="I242" s="559"/>
      <c r="J242" s="560"/>
      <c r="K242" s="198"/>
      <c r="L242" s="447"/>
    </row>
    <row r="243" spans="1:12" ht="18.600000000000001" thickBot="1" x14ac:dyDescent="0.35">
      <c r="A243" s="1252"/>
      <c r="B243" s="1254"/>
      <c r="C243" s="1250"/>
      <c r="D243" s="1246"/>
      <c r="E243" s="468"/>
      <c r="F243" s="444"/>
      <c r="G243" s="563"/>
      <c r="H243" s="564"/>
      <c r="I243" s="562"/>
      <c r="J243" s="561"/>
      <c r="K243" s="203"/>
      <c r="L243" s="444"/>
    </row>
    <row r="244" spans="1:12" ht="18" x14ac:dyDescent="0.3">
      <c r="A244" s="1251">
        <v>2315700</v>
      </c>
      <c r="B244" s="1253">
        <v>615</v>
      </c>
      <c r="C244" s="1249"/>
      <c r="D244" s="1245" t="s">
        <v>1195</v>
      </c>
      <c r="E244" s="566"/>
      <c r="F244" s="447"/>
      <c r="G244" s="198"/>
      <c r="H244" s="447"/>
      <c r="I244" s="559"/>
      <c r="J244" s="560"/>
      <c r="K244" s="198"/>
      <c r="L244" s="447"/>
    </row>
    <row r="245" spans="1:12" ht="18.600000000000001" thickBot="1" x14ac:dyDescent="0.35">
      <c r="A245" s="1252"/>
      <c r="B245" s="1254"/>
      <c r="C245" s="1250"/>
      <c r="D245" s="1246"/>
      <c r="E245" s="468"/>
      <c r="F245" s="444"/>
      <c r="G245" s="563"/>
      <c r="H245" s="564"/>
      <c r="I245" s="562"/>
      <c r="J245" s="561"/>
      <c r="K245" s="203"/>
      <c r="L245" s="444"/>
    </row>
    <row r="246" spans="1:12" ht="18" x14ac:dyDescent="0.3">
      <c r="A246" s="1251">
        <v>2315700</v>
      </c>
      <c r="B246" s="1253">
        <v>857</v>
      </c>
      <c r="C246" s="1249"/>
      <c r="D246" s="1245" t="s">
        <v>1374</v>
      </c>
      <c r="E246" s="566"/>
      <c r="F246" s="447"/>
      <c r="G246" s="198"/>
      <c r="H246" s="447"/>
      <c r="I246" s="559"/>
      <c r="J246" s="560"/>
      <c r="K246" s="198"/>
      <c r="L246" s="447"/>
    </row>
    <row r="247" spans="1:12" ht="18.600000000000001" thickBot="1" x14ac:dyDescent="0.35">
      <c r="A247" s="1252"/>
      <c r="B247" s="1254"/>
      <c r="C247" s="1250"/>
      <c r="D247" s="1246"/>
      <c r="E247" s="468"/>
      <c r="F247" s="444"/>
      <c r="G247" s="563"/>
      <c r="H247" s="564"/>
      <c r="I247" s="562"/>
      <c r="J247" s="561"/>
      <c r="K247" s="203"/>
      <c r="L247" s="444"/>
    </row>
    <row r="248" spans="1:12" ht="18" x14ac:dyDescent="0.3">
      <c r="A248" s="1251">
        <v>2315700</v>
      </c>
      <c r="B248" s="1253">
        <v>856</v>
      </c>
      <c r="C248" s="1249"/>
      <c r="D248" s="1245" t="s">
        <v>1342</v>
      </c>
      <c r="E248" s="566"/>
      <c r="F248" s="447"/>
      <c r="G248" s="198"/>
      <c r="H248" s="447"/>
      <c r="I248" s="559"/>
      <c r="J248" s="560"/>
      <c r="K248" s="198"/>
      <c r="L248" s="447"/>
    </row>
    <row r="249" spans="1:12" ht="18.600000000000001" thickBot="1" x14ac:dyDescent="0.35">
      <c r="A249" s="1252"/>
      <c r="B249" s="1254"/>
      <c r="C249" s="1250"/>
      <c r="D249" s="1246"/>
      <c r="E249" s="468"/>
      <c r="F249" s="444"/>
      <c r="G249" s="563"/>
      <c r="H249" s="564"/>
      <c r="I249" s="562"/>
      <c r="J249" s="561"/>
      <c r="K249" s="203"/>
      <c r="L249" s="444"/>
    </row>
    <row r="250" spans="1:12" ht="18" x14ac:dyDescent="0.3">
      <c r="A250" s="1251">
        <v>2315700</v>
      </c>
      <c r="B250" s="1253">
        <v>709</v>
      </c>
      <c r="C250" s="1249"/>
      <c r="D250" s="1245" t="s">
        <v>786</v>
      </c>
      <c r="E250" s="566"/>
      <c r="F250" s="447"/>
      <c r="G250" s="198"/>
      <c r="H250" s="447"/>
      <c r="I250" s="559"/>
      <c r="J250" s="560"/>
      <c r="K250" s="198"/>
      <c r="L250" s="447"/>
    </row>
    <row r="251" spans="1:12" ht="18.600000000000001" thickBot="1" x14ac:dyDescent="0.35">
      <c r="A251" s="1252"/>
      <c r="B251" s="1254"/>
      <c r="C251" s="1250"/>
      <c r="D251" s="1246"/>
      <c r="E251" s="468"/>
      <c r="F251" s="444"/>
      <c r="G251" s="563"/>
      <c r="H251" s="564"/>
      <c r="I251" s="562"/>
      <c r="J251" s="561"/>
      <c r="K251" s="203"/>
      <c r="L251" s="444"/>
    </row>
    <row r="252" spans="1:12" ht="18" x14ac:dyDescent="0.3">
      <c r="A252" s="1251">
        <v>2315700</v>
      </c>
      <c r="B252" s="1253">
        <v>858</v>
      </c>
      <c r="C252" s="1249"/>
      <c r="D252" s="1245" t="s">
        <v>1377</v>
      </c>
      <c r="E252" s="566"/>
      <c r="F252" s="447"/>
      <c r="G252" s="198"/>
      <c r="H252" s="447"/>
      <c r="I252" s="559"/>
      <c r="J252" s="560"/>
      <c r="K252" s="198"/>
      <c r="L252" s="447"/>
    </row>
    <row r="253" spans="1:12" ht="18.600000000000001" thickBot="1" x14ac:dyDescent="0.35">
      <c r="A253" s="1252"/>
      <c r="B253" s="1254"/>
      <c r="C253" s="1250"/>
      <c r="D253" s="1246"/>
      <c r="E253" s="468"/>
      <c r="F253" s="444"/>
      <c r="G253" s="563"/>
      <c r="H253" s="564"/>
      <c r="I253" s="562"/>
      <c r="J253" s="561"/>
      <c r="K253" s="203"/>
      <c r="L253" s="444"/>
    </row>
    <row r="254" spans="1:12" ht="18" x14ac:dyDescent="0.3">
      <c r="A254" s="1251">
        <v>2315700</v>
      </c>
      <c r="B254" s="1253">
        <v>863</v>
      </c>
      <c r="C254" s="1249"/>
      <c r="D254" s="1245" t="s">
        <v>1510</v>
      </c>
      <c r="E254" s="566"/>
      <c r="F254" s="447"/>
      <c r="G254" s="198"/>
      <c r="H254" s="447"/>
      <c r="I254" s="559"/>
      <c r="J254" s="560"/>
      <c r="K254" s="198"/>
      <c r="L254" s="447"/>
    </row>
    <row r="255" spans="1:12" ht="18.600000000000001" thickBot="1" x14ac:dyDescent="0.35">
      <c r="A255" s="1252"/>
      <c r="B255" s="1254"/>
      <c r="C255" s="1250"/>
      <c r="D255" s="1246"/>
      <c r="E255" s="468"/>
      <c r="F255" s="444"/>
      <c r="G255" s="563"/>
      <c r="H255" s="564"/>
      <c r="I255" s="562"/>
      <c r="J255" s="561"/>
      <c r="K255" s="203"/>
      <c r="L255" s="444"/>
    </row>
    <row r="256" spans="1:12" ht="18" x14ac:dyDescent="0.3">
      <c r="A256" s="1251">
        <v>2315700</v>
      </c>
      <c r="B256" s="1253">
        <v>719</v>
      </c>
      <c r="C256" s="1249"/>
      <c r="D256" s="1245" t="s">
        <v>1371</v>
      </c>
      <c r="E256" s="566"/>
      <c r="F256" s="447"/>
      <c r="G256" s="198"/>
      <c r="H256" s="447"/>
      <c r="I256" s="559"/>
      <c r="J256" s="560"/>
      <c r="K256" s="198"/>
      <c r="L256" s="447"/>
    </row>
    <row r="257" spans="1:12" ht="18.600000000000001" thickBot="1" x14ac:dyDescent="0.35">
      <c r="A257" s="1252"/>
      <c r="B257" s="1254"/>
      <c r="C257" s="1250"/>
      <c r="D257" s="1246"/>
      <c r="E257" s="468"/>
      <c r="F257" s="444"/>
      <c r="G257" s="563"/>
      <c r="H257" s="564"/>
      <c r="I257" s="562"/>
      <c r="J257" s="561"/>
      <c r="K257" s="203"/>
      <c r="L257" s="444"/>
    </row>
    <row r="258" spans="1:12" ht="18" x14ac:dyDescent="0.3">
      <c r="A258" s="1251">
        <v>2315700</v>
      </c>
      <c r="B258" s="1253">
        <v>732</v>
      </c>
      <c r="C258" s="1249"/>
      <c r="D258" s="1245" t="s">
        <v>1372</v>
      </c>
      <c r="E258" s="566"/>
      <c r="F258" s="447"/>
      <c r="G258" s="198"/>
      <c r="H258" s="447"/>
      <c r="I258" s="559"/>
      <c r="J258" s="560"/>
      <c r="K258" s="198"/>
      <c r="L258" s="447"/>
    </row>
    <row r="259" spans="1:12" ht="18.600000000000001" thickBot="1" x14ac:dyDescent="0.35">
      <c r="A259" s="1252"/>
      <c r="B259" s="1254"/>
      <c r="C259" s="1250"/>
      <c r="D259" s="1246"/>
      <c r="E259" s="468"/>
      <c r="F259" s="444"/>
      <c r="G259" s="563"/>
      <c r="H259" s="564"/>
      <c r="I259" s="562"/>
      <c r="J259" s="561"/>
      <c r="K259" s="203"/>
      <c r="L259" s="444"/>
    </row>
    <row r="260" spans="1:12" ht="18" x14ac:dyDescent="0.3">
      <c r="A260" s="1251">
        <v>2315700</v>
      </c>
      <c r="B260" s="1253">
        <v>817</v>
      </c>
      <c r="C260" s="1249"/>
      <c r="D260" s="1245" t="s">
        <v>1328</v>
      </c>
      <c r="E260" s="566"/>
      <c r="F260" s="447"/>
      <c r="G260" s="198"/>
      <c r="H260" s="447"/>
      <c r="I260" s="559"/>
      <c r="J260" s="560"/>
      <c r="K260" s="198"/>
      <c r="L260" s="447"/>
    </row>
    <row r="261" spans="1:12" ht="18.600000000000001" thickBot="1" x14ac:dyDescent="0.35">
      <c r="A261" s="1252"/>
      <c r="B261" s="1254"/>
      <c r="C261" s="1250"/>
      <c r="D261" s="1246"/>
      <c r="E261" s="468"/>
      <c r="F261" s="444"/>
      <c r="G261" s="563"/>
      <c r="H261" s="564"/>
      <c r="I261" s="562"/>
      <c r="J261" s="561"/>
      <c r="K261" s="203"/>
      <c r="L261" s="444"/>
    </row>
    <row r="262" spans="1:12" ht="18" x14ac:dyDescent="0.3">
      <c r="A262" s="1251">
        <v>2315700</v>
      </c>
      <c r="B262" s="1253">
        <v>816</v>
      </c>
      <c r="C262" s="1249"/>
      <c r="D262" s="1245" t="s">
        <v>1330</v>
      </c>
      <c r="E262" s="566"/>
      <c r="F262" s="447"/>
      <c r="G262" s="198"/>
      <c r="H262" s="447"/>
      <c r="I262" s="559"/>
      <c r="J262" s="560"/>
      <c r="K262" s="198"/>
      <c r="L262" s="447"/>
    </row>
    <row r="263" spans="1:12" ht="18.600000000000001" thickBot="1" x14ac:dyDescent="0.35">
      <c r="A263" s="1252"/>
      <c r="B263" s="1254"/>
      <c r="C263" s="1250"/>
      <c r="D263" s="1246"/>
      <c r="E263" s="468"/>
      <c r="F263" s="444"/>
      <c r="G263" s="563"/>
      <c r="H263" s="564"/>
      <c r="I263" s="562"/>
      <c r="J263" s="561"/>
      <c r="K263" s="203"/>
      <c r="L263" s="444"/>
    </row>
    <row r="264" spans="1:12" ht="18" x14ac:dyDescent="0.3">
      <c r="A264" s="1251">
        <v>2315700</v>
      </c>
      <c r="B264" s="1253">
        <v>878</v>
      </c>
      <c r="C264" s="1249"/>
      <c r="D264" s="1245" t="s">
        <v>1344</v>
      </c>
      <c r="E264" s="566"/>
      <c r="F264" s="447"/>
      <c r="G264" s="198"/>
      <c r="H264" s="447"/>
      <c r="I264" s="559"/>
      <c r="J264" s="560"/>
      <c r="K264" s="198"/>
      <c r="L264" s="447"/>
    </row>
    <row r="265" spans="1:12" ht="18.600000000000001" thickBot="1" x14ac:dyDescent="0.35">
      <c r="A265" s="1252"/>
      <c r="B265" s="1254"/>
      <c r="C265" s="1250"/>
      <c r="D265" s="1246"/>
      <c r="E265" s="468"/>
      <c r="F265" s="444"/>
      <c r="G265" s="563"/>
      <c r="H265" s="564"/>
      <c r="I265" s="562"/>
      <c r="J265" s="561"/>
      <c r="K265" s="203"/>
      <c r="L265" s="444"/>
    </row>
    <row r="266" spans="1:12" ht="18" x14ac:dyDescent="0.3">
      <c r="A266" s="1251">
        <v>2315700</v>
      </c>
      <c r="B266" s="1253">
        <v>97</v>
      </c>
      <c r="C266" s="1249"/>
      <c r="D266" s="1245" t="s">
        <v>1385</v>
      </c>
      <c r="E266" s="566"/>
      <c r="F266" s="447"/>
      <c r="G266" s="198"/>
      <c r="H266" s="447"/>
      <c r="I266" s="559"/>
      <c r="J266" s="560"/>
      <c r="K266" s="198"/>
      <c r="L266" s="447"/>
    </row>
    <row r="267" spans="1:12" ht="18.600000000000001" thickBot="1" x14ac:dyDescent="0.35">
      <c r="A267" s="1252"/>
      <c r="B267" s="1254"/>
      <c r="C267" s="1250"/>
      <c r="D267" s="1246"/>
      <c r="E267" s="468"/>
      <c r="F267" s="444"/>
      <c r="G267" s="563"/>
      <c r="H267" s="564"/>
      <c r="I267" s="562"/>
      <c r="J267" s="561"/>
      <c r="K267" s="203"/>
      <c r="L267" s="444"/>
    </row>
    <row r="268" spans="1:12" ht="18" x14ac:dyDescent="0.3">
      <c r="A268" s="1251">
        <v>2319700</v>
      </c>
      <c r="B268" s="1253">
        <v>702</v>
      </c>
      <c r="C268" s="1249"/>
      <c r="D268" s="1245" t="s">
        <v>1370</v>
      </c>
      <c r="E268" s="566"/>
      <c r="F268" s="447"/>
      <c r="G268" s="198"/>
      <c r="H268" s="447"/>
      <c r="I268" s="559"/>
      <c r="J268" s="560"/>
      <c r="K268" s="198"/>
      <c r="L268" s="447"/>
    </row>
    <row r="269" spans="1:12" ht="18.600000000000001" thickBot="1" x14ac:dyDescent="0.35">
      <c r="A269" s="1252"/>
      <c r="B269" s="1254"/>
      <c r="C269" s="1250"/>
      <c r="D269" s="1246"/>
      <c r="E269" s="468"/>
      <c r="F269" s="444"/>
      <c r="G269" s="563"/>
      <c r="H269" s="564"/>
      <c r="I269" s="562"/>
      <c r="J269" s="561"/>
      <c r="K269" s="203"/>
      <c r="L269" s="444"/>
    </row>
    <row r="270" spans="1:12" ht="18" x14ac:dyDescent="0.3">
      <c r="A270" s="1251">
        <v>2319700</v>
      </c>
      <c r="B270" s="1253">
        <v>723</v>
      </c>
      <c r="C270" s="1249"/>
      <c r="D270" s="1245" t="s">
        <v>1184</v>
      </c>
      <c r="E270" s="566"/>
      <c r="F270" s="447"/>
      <c r="G270" s="198"/>
      <c r="H270" s="447"/>
      <c r="I270" s="559"/>
      <c r="J270" s="560"/>
      <c r="K270" s="198"/>
      <c r="L270" s="447"/>
    </row>
    <row r="271" spans="1:12" ht="18.600000000000001" thickBot="1" x14ac:dyDescent="0.35">
      <c r="A271" s="1252"/>
      <c r="B271" s="1254"/>
      <c r="C271" s="1250"/>
      <c r="D271" s="1246"/>
      <c r="E271" s="468"/>
      <c r="F271" s="444"/>
      <c r="G271" s="563"/>
      <c r="H271" s="564"/>
      <c r="I271" s="562"/>
      <c r="J271" s="561"/>
      <c r="K271" s="203"/>
      <c r="L271" s="444"/>
    </row>
    <row r="272" spans="1:12" ht="18" x14ac:dyDescent="0.3">
      <c r="A272" s="1251">
        <v>2320700</v>
      </c>
      <c r="B272" s="1253">
        <v>54</v>
      </c>
      <c r="C272" s="1249"/>
      <c r="D272" s="1245" t="s">
        <v>1381</v>
      </c>
      <c r="E272" s="566"/>
      <c r="F272" s="447"/>
      <c r="G272" s="198"/>
      <c r="H272" s="447"/>
      <c r="I272" s="559"/>
      <c r="J272" s="560"/>
      <c r="K272" s="198"/>
      <c r="L272" s="447"/>
    </row>
    <row r="273" spans="1:12" ht="18.600000000000001" thickBot="1" x14ac:dyDescent="0.35">
      <c r="A273" s="1252"/>
      <c r="B273" s="1254"/>
      <c r="C273" s="1250"/>
      <c r="D273" s="1246"/>
      <c r="E273" s="468"/>
      <c r="F273" s="444"/>
      <c r="G273" s="563"/>
      <c r="H273" s="564"/>
      <c r="I273" s="562"/>
      <c r="J273" s="561"/>
      <c r="K273" s="203"/>
      <c r="L273" s="444"/>
    </row>
    <row r="274" spans="1:12" ht="18" x14ac:dyDescent="0.3">
      <c r="A274" s="1251">
        <v>2320700</v>
      </c>
      <c r="B274" s="1253">
        <v>707</v>
      </c>
      <c r="C274" s="1249"/>
      <c r="D274" s="1245" t="s">
        <v>243</v>
      </c>
      <c r="E274" s="566"/>
      <c r="F274" s="447"/>
      <c r="G274" s="198"/>
      <c r="H274" s="447"/>
      <c r="I274" s="559"/>
      <c r="J274" s="560"/>
      <c r="K274" s="198"/>
      <c r="L274" s="447"/>
    </row>
    <row r="275" spans="1:12" ht="18.600000000000001" thickBot="1" x14ac:dyDescent="0.35">
      <c r="A275" s="1252"/>
      <c r="B275" s="1254"/>
      <c r="C275" s="1250"/>
      <c r="D275" s="1246"/>
      <c r="E275" s="468"/>
      <c r="F275" s="444"/>
      <c r="G275" s="563"/>
      <c r="H275" s="564"/>
      <c r="I275" s="562"/>
      <c r="J275" s="561"/>
      <c r="K275" s="203"/>
      <c r="L275" s="444"/>
    </row>
    <row r="276" spans="1:12" ht="18" x14ac:dyDescent="0.3">
      <c r="A276" s="1251">
        <v>2320700</v>
      </c>
      <c r="B276" s="1253">
        <v>53</v>
      </c>
      <c r="C276" s="1249"/>
      <c r="D276" s="1245" t="s">
        <v>1383</v>
      </c>
      <c r="E276" s="566"/>
      <c r="F276" s="447"/>
      <c r="G276" s="198"/>
      <c r="H276" s="447"/>
      <c r="I276" s="559"/>
      <c r="J276" s="560"/>
      <c r="K276" s="198"/>
      <c r="L276" s="447"/>
    </row>
    <row r="277" spans="1:12" ht="18.600000000000001" thickBot="1" x14ac:dyDescent="0.35">
      <c r="A277" s="1252"/>
      <c r="B277" s="1254"/>
      <c r="C277" s="1250"/>
      <c r="D277" s="1246"/>
      <c r="E277" s="468"/>
      <c r="F277" s="444"/>
      <c r="G277" s="563"/>
      <c r="H277" s="564"/>
      <c r="I277" s="562"/>
      <c r="J277" s="561"/>
      <c r="K277" s="203"/>
      <c r="L277" s="444"/>
    </row>
    <row r="278" spans="1:12" ht="18" x14ac:dyDescent="0.3">
      <c r="A278" s="1251">
        <v>2320700</v>
      </c>
      <c r="B278" s="1253">
        <v>800</v>
      </c>
      <c r="C278" s="1249"/>
      <c r="D278" s="1245" t="s">
        <v>1375</v>
      </c>
      <c r="E278" s="566"/>
      <c r="F278" s="447"/>
      <c r="G278" s="198"/>
      <c r="H278" s="447"/>
      <c r="I278" s="559"/>
      <c r="J278" s="560"/>
      <c r="K278" s="198"/>
      <c r="L278" s="447"/>
    </row>
    <row r="279" spans="1:12" ht="18.600000000000001" thickBot="1" x14ac:dyDescent="0.35">
      <c r="A279" s="1252"/>
      <c r="B279" s="1254"/>
      <c r="C279" s="1250"/>
      <c r="D279" s="1246"/>
      <c r="E279" s="468"/>
      <c r="F279" s="444"/>
      <c r="G279" s="563"/>
      <c r="H279" s="564"/>
      <c r="I279" s="562"/>
      <c r="J279" s="561"/>
      <c r="K279" s="203"/>
      <c r="L279" s="444"/>
    </row>
    <row r="280" spans="1:12" ht="18" x14ac:dyDescent="0.3">
      <c r="A280" s="1251">
        <v>2315700</v>
      </c>
      <c r="B280" s="1253">
        <v>725</v>
      </c>
      <c r="C280" s="1249"/>
      <c r="D280" s="1245" t="s">
        <v>805</v>
      </c>
      <c r="E280" s="566"/>
      <c r="F280" s="447"/>
      <c r="G280" s="198"/>
      <c r="H280" s="447"/>
      <c r="I280" s="559"/>
      <c r="J280" s="560"/>
      <c r="K280" s="198"/>
      <c r="L280" s="447"/>
    </row>
    <row r="281" spans="1:12" ht="18.600000000000001" thickBot="1" x14ac:dyDescent="0.35">
      <c r="A281" s="1252"/>
      <c r="B281" s="1254"/>
      <c r="C281" s="1250"/>
      <c r="D281" s="1246"/>
      <c r="E281" s="468"/>
      <c r="F281" s="444"/>
      <c r="G281" s="563"/>
      <c r="H281" s="564"/>
      <c r="I281" s="562"/>
      <c r="J281" s="561"/>
      <c r="K281" s="203"/>
      <c r="L281" s="444"/>
    </row>
    <row r="282" spans="1:12" ht="18" x14ac:dyDescent="0.3">
      <c r="A282" s="1251">
        <v>2320700</v>
      </c>
      <c r="B282" s="1253">
        <v>55</v>
      </c>
      <c r="C282" s="1249"/>
      <c r="D282" s="1245" t="s">
        <v>1384</v>
      </c>
      <c r="E282" s="566"/>
      <c r="F282" s="447"/>
      <c r="G282" s="198"/>
      <c r="H282" s="447"/>
      <c r="I282" s="559"/>
      <c r="J282" s="560"/>
      <c r="K282" s="198"/>
      <c r="L282" s="447"/>
    </row>
    <row r="283" spans="1:12" ht="18.600000000000001" thickBot="1" x14ac:dyDescent="0.35">
      <c r="A283" s="1252"/>
      <c r="B283" s="1254"/>
      <c r="C283" s="1250"/>
      <c r="D283" s="1246"/>
      <c r="E283" s="468"/>
      <c r="F283" s="444"/>
      <c r="G283" s="563"/>
      <c r="H283" s="564"/>
      <c r="I283" s="562"/>
      <c r="J283" s="561"/>
      <c r="K283" s="203"/>
      <c r="L283" s="444"/>
    </row>
    <row r="284" spans="1:12" ht="18" x14ac:dyDescent="0.3">
      <c r="A284" s="1251">
        <v>2327700</v>
      </c>
      <c r="B284" s="1253">
        <v>700</v>
      </c>
      <c r="C284" s="1249"/>
      <c r="D284" s="1245" t="s">
        <v>1373</v>
      </c>
      <c r="E284" s="566"/>
      <c r="F284" s="447"/>
      <c r="G284" s="198"/>
      <c r="H284" s="447"/>
      <c r="I284" s="559"/>
      <c r="J284" s="560"/>
      <c r="K284" s="198"/>
      <c r="L284" s="447"/>
    </row>
    <row r="285" spans="1:12" ht="18.600000000000001" thickBot="1" x14ac:dyDescent="0.35">
      <c r="A285" s="1252"/>
      <c r="B285" s="1254"/>
      <c r="C285" s="1250"/>
      <c r="D285" s="1246"/>
      <c r="E285" s="468"/>
      <c r="F285" s="444"/>
      <c r="G285" s="563"/>
      <c r="H285" s="564"/>
      <c r="I285" s="562"/>
      <c r="J285" s="561"/>
      <c r="K285" s="203"/>
      <c r="L285" s="444"/>
    </row>
    <row r="286" spans="1:12" ht="18" x14ac:dyDescent="0.3">
      <c r="A286" s="1251">
        <v>2374700</v>
      </c>
      <c r="B286" s="1253">
        <v>760</v>
      </c>
      <c r="C286" s="1249"/>
      <c r="D286" s="1245" t="s">
        <v>1376</v>
      </c>
      <c r="E286" s="566"/>
      <c r="F286" s="447"/>
      <c r="G286" s="198"/>
      <c r="H286" s="447"/>
      <c r="I286" s="559"/>
      <c r="J286" s="560"/>
      <c r="K286" s="198"/>
      <c r="L286" s="447"/>
    </row>
    <row r="287" spans="1:12" ht="18.600000000000001" thickBot="1" x14ac:dyDescent="0.35">
      <c r="A287" s="1252"/>
      <c r="B287" s="1254"/>
      <c r="C287" s="1250"/>
      <c r="D287" s="1246"/>
      <c r="E287" s="468"/>
      <c r="F287" s="444"/>
      <c r="G287" s="563"/>
      <c r="H287" s="564"/>
      <c r="I287" s="562"/>
      <c r="J287" s="561"/>
      <c r="K287" s="203"/>
      <c r="L287" s="444"/>
    </row>
    <row r="288" spans="1:12" ht="18" x14ac:dyDescent="0.3">
      <c r="A288" s="1251">
        <v>2395700</v>
      </c>
      <c r="B288" s="1253">
        <v>840</v>
      </c>
      <c r="C288" s="1249"/>
      <c r="D288" s="1245" t="s">
        <v>1336</v>
      </c>
      <c r="E288" s="566"/>
      <c r="F288" s="447"/>
      <c r="G288" s="198"/>
      <c r="H288" s="447"/>
      <c r="I288" s="559"/>
      <c r="J288" s="560"/>
      <c r="K288" s="198"/>
      <c r="L288" s="447"/>
    </row>
    <row r="289" spans="1:12" ht="18.600000000000001" thickBot="1" x14ac:dyDescent="0.35">
      <c r="A289" s="1252"/>
      <c r="B289" s="1254"/>
      <c r="C289" s="1250"/>
      <c r="D289" s="1246"/>
      <c r="E289" s="468"/>
      <c r="F289" s="444"/>
      <c r="G289" s="563"/>
      <c r="H289" s="564"/>
      <c r="I289" s="562"/>
      <c r="J289" s="561"/>
      <c r="K289" s="203"/>
      <c r="L289" s="444"/>
    </row>
    <row r="290" spans="1:12" ht="18" x14ac:dyDescent="0.3">
      <c r="A290" s="1251">
        <v>2327700</v>
      </c>
      <c r="B290" s="1253" t="s">
        <v>869</v>
      </c>
      <c r="C290" s="1249"/>
      <c r="D290" s="1245" t="s">
        <v>1455</v>
      </c>
      <c r="E290" s="566"/>
      <c r="F290" s="447"/>
      <c r="G290" s="198"/>
      <c r="H290" s="447"/>
      <c r="I290" s="559"/>
      <c r="J290" s="560"/>
      <c r="K290" s="198"/>
      <c r="L290" s="447"/>
    </row>
    <row r="291" spans="1:12" ht="18.600000000000001" thickBot="1" x14ac:dyDescent="0.35">
      <c r="A291" s="1252"/>
      <c r="B291" s="1254"/>
      <c r="C291" s="1250"/>
      <c r="D291" s="1246"/>
      <c r="E291" s="468"/>
      <c r="F291" s="444"/>
      <c r="G291" s="563"/>
      <c r="H291" s="564"/>
      <c r="I291" s="562"/>
      <c r="J291" s="561"/>
      <c r="K291" s="203"/>
      <c r="L291" s="444"/>
    </row>
    <row r="292" spans="1:12" ht="54.6" thickBot="1" x14ac:dyDescent="0.35">
      <c r="A292" s="558" t="s">
        <v>1293</v>
      </c>
      <c r="B292" s="558" t="s">
        <v>748</v>
      </c>
      <c r="C292" s="291" t="s">
        <v>1675</v>
      </c>
      <c r="D292" s="565" t="s">
        <v>1401</v>
      </c>
      <c r="E292" s="291" t="s">
        <v>1526</v>
      </c>
      <c r="F292" s="291" t="s">
        <v>1585</v>
      </c>
      <c r="G292" s="296" t="s">
        <v>1676</v>
      </c>
      <c r="H292" s="296" t="s">
        <v>1677</v>
      </c>
      <c r="I292" s="296" t="s">
        <v>1676</v>
      </c>
      <c r="J292" s="296" t="s">
        <v>1677</v>
      </c>
      <c r="K292" s="296" t="s">
        <v>1676</v>
      </c>
      <c r="L292" s="291" t="s">
        <v>1677</v>
      </c>
    </row>
    <row r="293" spans="1:12" ht="18" x14ac:dyDescent="0.3">
      <c r="A293" s="1251">
        <v>2326700</v>
      </c>
      <c r="B293" s="1253">
        <v>706</v>
      </c>
      <c r="C293" s="1249"/>
      <c r="D293" s="1245" t="s">
        <v>1406</v>
      </c>
      <c r="E293" s="566"/>
      <c r="F293" s="447"/>
      <c r="G293" s="198"/>
      <c r="H293" s="447"/>
      <c r="I293" s="559"/>
      <c r="J293" s="560"/>
      <c r="K293" s="198"/>
      <c r="L293" s="447"/>
    </row>
    <row r="294" spans="1:12" ht="18.600000000000001" thickBot="1" x14ac:dyDescent="0.35">
      <c r="A294" s="1252"/>
      <c r="B294" s="1254"/>
      <c r="C294" s="1250"/>
      <c r="D294" s="1246"/>
      <c r="E294" s="468"/>
      <c r="F294" s="444"/>
      <c r="G294" s="563"/>
      <c r="H294" s="564"/>
      <c r="I294" s="562"/>
      <c r="J294" s="561"/>
      <c r="K294" s="203"/>
      <c r="L294" s="444"/>
    </row>
    <row r="295" spans="1:12" ht="18" x14ac:dyDescent="0.3">
      <c r="A295" s="1251">
        <v>2326700</v>
      </c>
      <c r="B295" s="1253" t="s">
        <v>869</v>
      </c>
      <c r="C295" s="1249"/>
      <c r="D295" s="1245" t="s">
        <v>1411</v>
      </c>
      <c r="E295" s="566"/>
      <c r="F295" s="447"/>
      <c r="G295" s="198"/>
      <c r="H295" s="447"/>
      <c r="I295" s="559"/>
      <c r="J295" s="560"/>
      <c r="K295" s="198"/>
      <c r="L295" s="447"/>
    </row>
    <row r="296" spans="1:12" ht="18.600000000000001" thickBot="1" x14ac:dyDescent="0.35">
      <c r="A296" s="1252"/>
      <c r="B296" s="1254"/>
      <c r="C296" s="1250"/>
      <c r="D296" s="1246"/>
      <c r="E296" s="468"/>
      <c r="F296" s="444"/>
      <c r="G296" s="563"/>
      <c r="H296" s="564"/>
      <c r="I296" s="562"/>
      <c r="J296" s="561"/>
      <c r="K296" s="203"/>
      <c r="L296" s="444"/>
    </row>
    <row r="298" spans="1:12" ht="15" thickBot="1" x14ac:dyDescent="0.35"/>
    <row r="299" spans="1:12" ht="28.8" x14ac:dyDescent="0.55000000000000004">
      <c r="A299" s="1141" t="s">
        <v>1714</v>
      </c>
      <c r="B299" s="1142"/>
      <c r="C299" s="1142"/>
      <c r="D299" s="1143"/>
      <c r="E299" s="1123" t="s">
        <v>1680</v>
      </c>
      <c r="F299" s="1124"/>
      <c r="G299" s="1124"/>
      <c r="H299" s="1125"/>
    </row>
    <row r="300" spans="1:12" ht="21" x14ac:dyDescent="0.4">
      <c r="A300" s="571" t="s">
        <v>1681</v>
      </c>
      <c r="B300" s="1237" t="s">
        <v>1682</v>
      </c>
      <c r="C300" s="1237"/>
      <c r="D300" s="1238"/>
      <c r="E300" s="1126"/>
      <c r="F300" s="1127"/>
      <c r="G300" s="1127"/>
      <c r="H300" s="1128"/>
    </row>
    <row r="301" spans="1:12" ht="21.6" thickBot="1" x14ac:dyDescent="0.45">
      <c r="A301" s="571" t="s">
        <v>1683</v>
      </c>
      <c r="B301" s="1237" t="s">
        <v>1684</v>
      </c>
      <c r="C301" s="1237"/>
      <c r="D301" s="1238"/>
      <c r="E301" s="1129"/>
      <c r="F301" s="1130"/>
      <c r="G301" s="1130"/>
      <c r="H301" s="1131"/>
    </row>
    <row r="302" spans="1:12" ht="21" x14ac:dyDescent="0.4">
      <c r="A302" s="571" t="s">
        <v>1685</v>
      </c>
      <c r="B302" s="1237" t="s">
        <v>1686</v>
      </c>
      <c r="C302" s="1237"/>
      <c r="D302" s="1238"/>
      <c r="E302" s="1153" t="s">
        <v>1687</v>
      </c>
      <c r="F302" s="1154"/>
      <c r="G302" s="1157">
        <f ca="1">+TODAY()</f>
        <v>46052</v>
      </c>
      <c r="H302" s="1158"/>
    </row>
    <row r="303" spans="1:12" ht="21.6" thickBot="1" x14ac:dyDescent="0.45">
      <c r="A303" s="572" t="s">
        <v>1688</v>
      </c>
      <c r="B303" s="1241" t="s">
        <v>1689</v>
      </c>
      <c r="C303" s="1241"/>
      <c r="D303" s="1242"/>
      <c r="E303" s="1155"/>
      <c r="F303" s="1156"/>
      <c r="G303" s="1159"/>
      <c r="H303" s="1160"/>
    </row>
    <row r="304" spans="1:12" ht="21.6" thickBot="1" x14ac:dyDescent="0.45">
      <c r="A304" s="567"/>
      <c r="B304" s="568"/>
      <c r="E304"/>
    </row>
    <row r="305" spans="1:12" ht="42.6" thickBot="1" x14ac:dyDescent="0.35">
      <c r="A305" s="569" t="s">
        <v>1690</v>
      </c>
      <c r="B305" s="1229" t="s">
        <v>1694</v>
      </c>
      <c r="C305" s="1256"/>
      <c r="D305" s="1230"/>
      <c r="E305" s="569" t="s">
        <v>1691</v>
      </c>
      <c r="F305" s="570">
        <v>2147</v>
      </c>
      <c r="G305" s="31"/>
      <c r="H305" s="31"/>
      <c r="I305" s="31"/>
      <c r="J305" s="31"/>
      <c r="K305" s="31"/>
      <c r="L305" s="31"/>
    </row>
    <row r="306" spans="1:12" ht="21.6" thickBot="1" x14ac:dyDescent="0.45">
      <c r="A306" s="567"/>
      <c r="B306" s="568"/>
      <c r="E306"/>
    </row>
    <row r="307" spans="1:12" ht="21.6" thickBot="1" x14ac:dyDescent="0.45">
      <c r="A307" s="573" t="s">
        <v>1692</v>
      </c>
      <c r="B307" s="1231" t="s">
        <v>1684</v>
      </c>
      <c r="C307" s="1255"/>
      <c r="D307" s="1232"/>
      <c r="E307"/>
    </row>
    <row r="308" spans="1:12" ht="21.6" thickBot="1" x14ac:dyDescent="0.45">
      <c r="A308" s="567"/>
      <c r="B308" s="568"/>
      <c r="E308"/>
    </row>
    <row r="309" spans="1:12" ht="26.4" thickBot="1" x14ac:dyDescent="0.35">
      <c r="A309" s="1146" t="s">
        <v>1693</v>
      </c>
      <c r="B309" s="1147"/>
      <c r="C309" s="1147"/>
      <c r="D309" s="1147"/>
      <c r="E309" s="1147"/>
      <c r="F309" s="1147"/>
      <c r="G309" s="1147"/>
      <c r="H309" s="1148"/>
    </row>
    <row r="310" spans="1:12" ht="21.6" thickBot="1" x14ac:dyDescent="0.45">
      <c r="A310" s="567"/>
      <c r="B310" s="568"/>
      <c r="E310"/>
    </row>
    <row r="311" spans="1:12" ht="54.6" thickBot="1" x14ac:dyDescent="0.35">
      <c r="A311" s="558" t="s">
        <v>1293</v>
      </c>
      <c r="B311" s="558" t="s">
        <v>748</v>
      </c>
      <c r="C311" s="291" t="s">
        <v>1675</v>
      </c>
      <c r="D311" s="558" t="s">
        <v>749</v>
      </c>
      <c r="E311" s="291" t="s">
        <v>1526</v>
      </c>
      <c r="F311" s="291" t="s">
        <v>1585</v>
      </c>
      <c r="G311" s="296" t="s">
        <v>1676</v>
      </c>
      <c r="H311" s="296" t="s">
        <v>1677</v>
      </c>
      <c r="I311" s="296" t="s">
        <v>1676</v>
      </c>
      <c r="J311" s="296" t="s">
        <v>1677</v>
      </c>
      <c r="K311" s="296" t="s">
        <v>1676</v>
      </c>
      <c r="L311" s="291" t="s">
        <v>1677</v>
      </c>
    </row>
    <row r="312" spans="1:12" ht="18" x14ac:dyDescent="0.3">
      <c r="A312" s="1251"/>
      <c r="B312" s="1253">
        <v>101</v>
      </c>
      <c r="C312" s="1249"/>
      <c r="D312" s="1245" t="s">
        <v>1716</v>
      </c>
      <c r="E312" s="566"/>
      <c r="F312" s="447"/>
      <c r="G312" s="198"/>
      <c r="H312" s="447"/>
      <c r="I312" s="559"/>
      <c r="J312" s="560"/>
      <c r="K312" s="198"/>
      <c r="L312" s="447"/>
    </row>
    <row r="313" spans="1:12" ht="18.600000000000001" thickBot="1" x14ac:dyDescent="0.35">
      <c r="A313" s="1252"/>
      <c r="B313" s="1254"/>
      <c r="C313" s="1250"/>
      <c r="D313" s="1246"/>
      <c r="E313" s="468"/>
      <c r="F313" s="444"/>
      <c r="G313" s="563"/>
      <c r="H313" s="564"/>
      <c r="I313" s="562"/>
      <c r="J313" s="561"/>
      <c r="K313" s="203"/>
      <c r="L313" s="444"/>
    </row>
    <row r="314" spans="1:12" ht="14.4" customHeight="1" x14ac:dyDescent="0.3">
      <c r="A314" s="1251"/>
      <c r="B314" s="1253">
        <v>102</v>
      </c>
      <c r="C314" s="1249"/>
      <c r="D314" s="1245" t="s">
        <v>1717</v>
      </c>
      <c r="E314" s="566"/>
      <c r="F314" s="447"/>
      <c r="G314" s="198"/>
      <c r="H314" s="447"/>
      <c r="I314" s="559"/>
      <c r="J314" s="560"/>
      <c r="K314" s="198"/>
      <c r="L314" s="447"/>
    </row>
    <row r="315" spans="1:12" ht="18.600000000000001" thickBot="1" x14ac:dyDescent="0.35">
      <c r="A315" s="1252"/>
      <c r="B315" s="1254"/>
      <c r="C315" s="1250"/>
      <c r="D315" s="1246"/>
      <c r="E315" s="468"/>
      <c r="F315" s="444"/>
      <c r="G315" s="563"/>
      <c r="H315" s="564"/>
      <c r="I315" s="562"/>
      <c r="J315" s="561"/>
      <c r="K315" s="203"/>
      <c r="L315" s="444"/>
    </row>
    <row r="316" spans="1:12" ht="14.4" customHeight="1" x14ac:dyDescent="0.3">
      <c r="A316" s="1251"/>
      <c r="B316" s="1253">
        <v>103</v>
      </c>
      <c r="C316" s="1249"/>
      <c r="D316" s="1245" t="s">
        <v>1718</v>
      </c>
      <c r="E316" s="566"/>
      <c r="F316" s="447"/>
      <c r="G316" s="198"/>
      <c r="H316" s="447"/>
      <c r="I316" s="559"/>
      <c r="J316" s="560"/>
      <c r="K316" s="198"/>
      <c r="L316" s="447"/>
    </row>
    <row r="317" spans="1:12" ht="15" customHeight="1" thickBot="1" x14ac:dyDescent="0.35">
      <c r="A317" s="1252"/>
      <c r="B317" s="1254"/>
      <c r="C317" s="1250"/>
      <c r="D317" s="1246"/>
      <c r="E317" s="468"/>
      <c r="F317" s="444"/>
      <c r="G317" s="563"/>
      <c r="H317" s="564"/>
      <c r="I317" s="562"/>
      <c r="J317" s="561"/>
      <c r="K317" s="203"/>
      <c r="L317" s="444"/>
    </row>
    <row r="318" spans="1:12" ht="14.4" customHeight="1" x14ac:dyDescent="0.3">
      <c r="A318" s="1251"/>
      <c r="B318" s="1253">
        <v>104</v>
      </c>
      <c r="C318" s="1249"/>
      <c r="D318" s="1245" t="s">
        <v>1719</v>
      </c>
      <c r="E318" s="566"/>
      <c r="F318" s="447"/>
      <c r="G318" s="198"/>
      <c r="H318" s="447"/>
      <c r="I318" s="559"/>
      <c r="J318" s="560"/>
      <c r="K318" s="198"/>
      <c r="L318" s="447"/>
    </row>
    <row r="319" spans="1:12" ht="18.600000000000001" thickBot="1" x14ac:dyDescent="0.35">
      <c r="A319" s="1252"/>
      <c r="B319" s="1254"/>
      <c r="C319" s="1250"/>
      <c r="D319" s="1246"/>
      <c r="E319" s="468"/>
      <c r="F319" s="444"/>
      <c r="G319" s="563"/>
      <c r="H319" s="564"/>
      <c r="I319" s="562"/>
      <c r="J319" s="561"/>
      <c r="K319" s="203"/>
      <c r="L319" s="444"/>
    </row>
    <row r="320" spans="1:12" ht="14.4" customHeight="1" x14ac:dyDescent="0.3">
      <c r="A320" s="1251"/>
      <c r="B320" s="1253">
        <v>106</v>
      </c>
      <c r="C320" s="1249"/>
      <c r="D320" s="1245" t="s">
        <v>1720</v>
      </c>
      <c r="E320" s="566"/>
      <c r="F320" s="447"/>
      <c r="G320" s="198"/>
      <c r="H320" s="447"/>
      <c r="I320" s="559"/>
      <c r="J320" s="560"/>
      <c r="K320" s="198"/>
      <c r="L320" s="447"/>
    </row>
    <row r="321" spans="1:12" ht="15" customHeight="1" thickBot="1" x14ac:dyDescent="0.35">
      <c r="A321" s="1252"/>
      <c r="B321" s="1254"/>
      <c r="C321" s="1250"/>
      <c r="D321" s="1246"/>
      <c r="E321" s="468"/>
      <c r="F321" s="444"/>
      <c r="G321" s="563"/>
      <c r="H321" s="564"/>
      <c r="I321" s="562"/>
      <c r="J321" s="561"/>
      <c r="K321" s="203"/>
      <c r="L321" s="444"/>
    </row>
    <row r="322" spans="1:12" ht="14.4" customHeight="1" x14ac:dyDescent="0.3">
      <c r="A322" s="1251"/>
      <c r="B322" s="1253">
        <v>108</v>
      </c>
      <c r="C322" s="1249"/>
      <c r="D322" s="1245" t="s">
        <v>1721</v>
      </c>
      <c r="E322" s="566"/>
      <c r="F322" s="447"/>
      <c r="G322" s="198"/>
      <c r="H322" s="447"/>
      <c r="I322" s="559"/>
      <c r="J322" s="560"/>
      <c r="K322" s="198"/>
      <c r="L322" s="447"/>
    </row>
    <row r="323" spans="1:12" ht="15" customHeight="1" thickBot="1" x14ac:dyDescent="0.35">
      <c r="A323" s="1252"/>
      <c r="B323" s="1254"/>
      <c r="C323" s="1250"/>
      <c r="D323" s="1246"/>
      <c r="E323" s="468"/>
      <c r="F323" s="444"/>
      <c r="G323" s="563"/>
      <c r="H323" s="564"/>
      <c r="I323" s="562"/>
      <c r="J323" s="561"/>
      <c r="K323" s="203"/>
      <c r="L323" s="444"/>
    </row>
    <row r="324" spans="1:12" ht="14.4" customHeight="1" x14ac:dyDescent="0.3">
      <c r="A324" s="1251"/>
      <c r="B324" s="1253">
        <v>110</v>
      </c>
      <c r="C324" s="1249"/>
      <c r="D324" s="1245" t="s">
        <v>1626</v>
      </c>
      <c r="E324" s="566"/>
      <c r="F324" s="447"/>
      <c r="G324" s="198"/>
      <c r="H324" s="447"/>
      <c r="I324" s="559"/>
      <c r="J324" s="560"/>
      <c r="K324" s="198"/>
      <c r="L324" s="447"/>
    </row>
    <row r="325" spans="1:12" ht="15" customHeight="1" thickBot="1" x14ac:dyDescent="0.35">
      <c r="A325" s="1252"/>
      <c r="B325" s="1254"/>
      <c r="C325" s="1250"/>
      <c r="D325" s="1246"/>
      <c r="E325" s="468"/>
      <c r="F325" s="444"/>
      <c r="G325" s="563"/>
      <c r="H325" s="564"/>
      <c r="I325" s="562"/>
      <c r="J325" s="561"/>
      <c r="K325" s="203"/>
      <c r="L325" s="444"/>
    </row>
    <row r="326" spans="1:12" ht="14.4" customHeight="1" x14ac:dyDescent="0.3">
      <c r="A326" s="1251"/>
      <c r="B326" s="1253">
        <v>111</v>
      </c>
      <c r="C326" s="1249"/>
      <c r="D326" s="1245" t="s">
        <v>1627</v>
      </c>
      <c r="E326" s="566"/>
      <c r="F326" s="447"/>
      <c r="G326" s="198"/>
      <c r="H326" s="447"/>
      <c r="I326" s="559"/>
      <c r="J326" s="560"/>
      <c r="K326" s="198"/>
      <c r="L326" s="447"/>
    </row>
    <row r="327" spans="1:12" ht="14.4" customHeight="1" thickBot="1" x14ac:dyDescent="0.35">
      <c r="A327" s="1252"/>
      <c r="B327" s="1254"/>
      <c r="C327" s="1250"/>
      <c r="D327" s="1246"/>
      <c r="E327" s="468"/>
      <c r="F327" s="444"/>
      <c r="G327" s="563"/>
      <c r="H327" s="564"/>
      <c r="I327" s="562"/>
      <c r="J327" s="561"/>
      <c r="K327" s="203"/>
      <c r="L327" s="444"/>
    </row>
    <row r="328" spans="1:12" ht="15" customHeight="1" x14ac:dyDescent="0.3">
      <c r="A328" s="1251"/>
      <c r="B328" s="1253">
        <v>112</v>
      </c>
      <c r="C328" s="1249"/>
      <c r="D328" s="1245" t="s">
        <v>1629</v>
      </c>
      <c r="E328" s="566"/>
      <c r="F328" s="447"/>
      <c r="G328" s="198"/>
      <c r="H328" s="447"/>
      <c r="I328" s="559"/>
      <c r="J328" s="560"/>
      <c r="K328" s="198"/>
      <c r="L328" s="447"/>
    </row>
    <row r="329" spans="1:12" ht="15" customHeight="1" thickBot="1" x14ac:dyDescent="0.35">
      <c r="A329" s="1252"/>
      <c r="B329" s="1254"/>
      <c r="C329" s="1250"/>
      <c r="D329" s="1246"/>
      <c r="E329" s="468"/>
      <c r="F329" s="444"/>
      <c r="G329" s="563"/>
      <c r="H329" s="564"/>
      <c r="I329" s="562"/>
      <c r="J329" s="561"/>
      <c r="K329" s="203"/>
      <c r="L329" s="444"/>
    </row>
    <row r="330" spans="1:12" ht="14.4" customHeight="1" x14ac:dyDescent="0.3">
      <c r="A330" s="1251"/>
      <c r="B330" s="1253">
        <v>113</v>
      </c>
      <c r="C330" s="1249"/>
      <c r="D330" s="1245" t="s">
        <v>1630</v>
      </c>
      <c r="E330" s="566"/>
      <c r="F330" s="447"/>
      <c r="G330" s="198"/>
      <c r="H330" s="447"/>
      <c r="I330" s="559"/>
      <c r="J330" s="560"/>
      <c r="K330" s="198"/>
      <c r="L330" s="447"/>
    </row>
    <row r="331" spans="1:12" ht="14.4" customHeight="1" thickBot="1" x14ac:dyDescent="0.35">
      <c r="A331" s="1252"/>
      <c r="B331" s="1254"/>
      <c r="C331" s="1250"/>
      <c r="D331" s="1246"/>
      <c r="E331" s="468"/>
      <c r="F331" s="444"/>
      <c r="G331" s="563"/>
      <c r="H331" s="564"/>
      <c r="I331" s="562"/>
      <c r="J331" s="561"/>
      <c r="K331" s="203"/>
      <c r="L331" s="444"/>
    </row>
    <row r="332" spans="1:12" ht="15" customHeight="1" x14ac:dyDescent="0.3">
      <c r="A332" s="1251"/>
      <c r="B332" s="1253">
        <v>114</v>
      </c>
      <c r="C332" s="1249"/>
      <c r="D332" s="1245" t="s">
        <v>1628</v>
      </c>
      <c r="E332" s="566"/>
      <c r="F332" s="447"/>
      <c r="G332" s="198"/>
      <c r="H332" s="447"/>
      <c r="I332" s="559"/>
      <c r="J332" s="560"/>
      <c r="K332" s="198"/>
      <c r="L332" s="447"/>
    </row>
    <row r="333" spans="1:12" ht="15" customHeight="1" thickBot="1" x14ac:dyDescent="0.35">
      <c r="A333" s="1252"/>
      <c r="B333" s="1254"/>
      <c r="C333" s="1250"/>
      <c r="D333" s="1246"/>
      <c r="E333" s="468"/>
      <c r="F333" s="444"/>
      <c r="G333" s="563"/>
      <c r="H333" s="564"/>
      <c r="I333" s="562"/>
      <c r="J333" s="561"/>
      <c r="K333" s="203"/>
      <c r="L333" s="444"/>
    </row>
    <row r="334" spans="1:12" ht="14.4" customHeight="1" x14ac:dyDescent="0.3">
      <c r="A334" s="1251"/>
      <c r="B334" s="1253">
        <v>115</v>
      </c>
      <c r="C334" s="1249"/>
      <c r="D334" s="1245" t="s">
        <v>1722</v>
      </c>
      <c r="E334" s="566"/>
      <c r="F334" s="447"/>
      <c r="G334" s="198"/>
      <c r="H334" s="447"/>
      <c r="I334" s="559"/>
      <c r="J334" s="560"/>
      <c r="K334" s="198"/>
      <c r="L334" s="447"/>
    </row>
    <row r="335" spans="1:12" ht="14.4" customHeight="1" thickBot="1" x14ac:dyDescent="0.35">
      <c r="A335" s="1252"/>
      <c r="B335" s="1254"/>
      <c r="C335" s="1250"/>
      <c r="D335" s="1246"/>
      <c r="E335" s="468"/>
      <c r="F335" s="444"/>
      <c r="G335" s="563"/>
      <c r="H335" s="564"/>
      <c r="I335" s="562"/>
      <c r="J335" s="561"/>
      <c r="K335" s="203"/>
      <c r="L335" s="444"/>
    </row>
    <row r="336" spans="1:12" ht="15" customHeight="1" x14ac:dyDescent="0.3">
      <c r="A336" s="1251"/>
      <c r="B336" s="1253">
        <v>116</v>
      </c>
      <c r="C336" s="1249"/>
      <c r="D336" s="1245" t="s">
        <v>1723</v>
      </c>
      <c r="E336" s="566"/>
      <c r="F336" s="447"/>
      <c r="G336" s="198"/>
      <c r="H336" s="447"/>
      <c r="I336" s="559"/>
      <c r="J336" s="560"/>
      <c r="K336" s="198"/>
      <c r="L336" s="447"/>
    </row>
    <row r="337" spans="1:12" ht="15" customHeight="1" thickBot="1" x14ac:dyDescent="0.35">
      <c r="A337" s="1252"/>
      <c r="B337" s="1254"/>
      <c r="C337" s="1250"/>
      <c r="D337" s="1246"/>
      <c r="E337" s="468"/>
      <c r="F337" s="444"/>
      <c r="G337" s="563"/>
      <c r="H337" s="564"/>
      <c r="I337" s="562"/>
      <c r="J337" s="561"/>
      <c r="K337" s="203"/>
      <c r="L337" s="444"/>
    </row>
    <row r="338" spans="1:12" ht="14.4" customHeight="1" x14ac:dyDescent="0.3">
      <c r="A338" s="1251"/>
      <c r="B338" s="1253">
        <v>119</v>
      </c>
      <c r="C338" s="1249"/>
      <c r="D338" s="1245" t="s">
        <v>1724</v>
      </c>
      <c r="E338" s="566"/>
      <c r="F338" s="447"/>
      <c r="G338" s="198"/>
      <c r="H338" s="447"/>
      <c r="I338" s="559"/>
      <c r="J338" s="560"/>
      <c r="K338" s="198"/>
      <c r="L338" s="447"/>
    </row>
    <row r="339" spans="1:12" ht="14.4" customHeight="1" thickBot="1" x14ac:dyDescent="0.35">
      <c r="A339" s="1252"/>
      <c r="B339" s="1254"/>
      <c r="C339" s="1250"/>
      <c r="D339" s="1246"/>
      <c r="E339" s="468"/>
      <c r="F339" s="444"/>
      <c r="G339" s="563"/>
      <c r="H339" s="564"/>
      <c r="I339" s="562"/>
      <c r="J339" s="561"/>
      <c r="K339" s="203"/>
      <c r="L339" s="444"/>
    </row>
    <row r="340" spans="1:12" ht="15" customHeight="1" x14ac:dyDescent="0.3">
      <c r="A340" s="1251"/>
      <c r="B340" s="1253">
        <v>121</v>
      </c>
      <c r="C340" s="1249"/>
      <c r="D340" s="1245" t="s">
        <v>1725</v>
      </c>
      <c r="E340" s="566"/>
      <c r="F340" s="447"/>
      <c r="G340" s="198"/>
      <c r="H340" s="447"/>
      <c r="I340" s="559"/>
      <c r="J340" s="560"/>
      <c r="K340" s="198"/>
      <c r="L340" s="447"/>
    </row>
    <row r="341" spans="1:12" ht="15" customHeight="1" thickBot="1" x14ac:dyDescent="0.35">
      <c r="A341" s="1252"/>
      <c r="B341" s="1254"/>
      <c r="C341" s="1250"/>
      <c r="D341" s="1246"/>
      <c r="E341" s="468"/>
      <c r="F341" s="444"/>
      <c r="G341" s="563"/>
      <c r="H341" s="564"/>
      <c r="I341" s="562"/>
      <c r="J341" s="561"/>
      <c r="K341" s="203"/>
      <c r="L341" s="444"/>
    </row>
    <row r="342" spans="1:12" ht="14.4" customHeight="1" x14ac:dyDescent="0.3">
      <c r="A342" s="1251"/>
      <c r="B342" s="1253">
        <v>123</v>
      </c>
      <c r="C342" s="1249"/>
      <c r="D342" s="1245" t="s">
        <v>1726</v>
      </c>
      <c r="E342" s="566"/>
      <c r="F342" s="447"/>
      <c r="G342" s="198"/>
      <c r="H342" s="447"/>
      <c r="I342" s="559"/>
      <c r="J342" s="560"/>
      <c r="K342" s="198"/>
      <c r="L342" s="447"/>
    </row>
    <row r="343" spans="1:12" ht="14.4" customHeight="1" thickBot="1" x14ac:dyDescent="0.35">
      <c r="A343" s="1252"/>
      <c r="B343" s="1254"/>
      <c r="C343" s="1250"/>
      <c r="D343" s="1246"/>
      <c r="E343" s="468"/>
      <c r="F343" s="444"/>
      <c r="G343" s="563"/>
      <c r="H343" s="564"/>
      <c r="I343" s="562"/>
      <c r="J343" s="561"/>
      <c r="K343" s="203"/>
      <c r="L343" s="444"/>
    </row>
    <row r="344" spans="1:12" ht="15" customHeight="1" x14ac:dyDescent="0.3">
      <c r="A344" s="1251"/>
      <c r="B344" s="1253" t="s">
        <v>1715</v>
      </c>
      <c r="C344" s="1249"/>
      <c r="D344" s="1245" t="s">
        <v>1727</v>
      </c>
      <c r="E344" s="566"/>
      <c r="F344" s="447"/>
      <c r="G344" s="198"/>
      <c r="H344" s="447"/>
      <c r="I344" s="559"/>
      <c r="J344" s="560"/>
      <c r="K344" s="198"/>
      <c r="L344" s="447"/>
    </row>
    <row r="345" spans="1:12" ht="15" customHeight="1" thickBot="1" x14ac:dyDescent="0.35">
      <c r="A345" s="1252"/>
      <c r="B345" s="1254"/>
      <c r="C345" s="1250"/>
      <c r="D345" s="1246"/>
      <c r="E345" s="468"/>
      <c r="F345" s="444"/>
      <c r="G345" s="563"/>
      <c r="H345" s="564"/>
      <c r="I345" s="562"/>
      <c r="J345" s="561"/>
      <c r="K345" s="203"/>
      <c r="L345" s="444"/>
    </row>
    <row r="346" spans="1:12" ht="14.4" customHeight="1" x14ac:dyDescent="0.3">
      <c r="A346" s="1251"/>
      <c r="B346" s="1253">
        <v>186</v>
      </c>
      <c r="C346" s="1249"/>
      <c r="D346" s="1245" t="s">
        <v>1728</v>
      </c>
      <c r="E346" s="566"/>
      <c r="F346" s="447"/>
      <c r="G346" s="198"/>
      <c r="H346" s="447"/>
      <c r="I346" s="559"/>
      <c r="J346" s="560"/>
      <c r="K346" s="198"/>
      <c r="L346" s="447"/>
    </row>
    <row r="347" spans="1:12" ht="14.4" customHeight="1" thickBot="1" x14ac:dyDescent="0.35">
      <c r="A347" s="1252"/>
      <c r="B347" s="1254"/>
      <c r="C347" s="1250"/>
      <c r="D347" s="1246"/>
      <c r="E347" s="468"/>
      <c r="F347" s="444"/>
      <c r="G347" s="563"/>
      <c r="H347" s="564"/>
      <c r="I347" s="562"/>
      <c r="J347" s="561"/>
      <c r="K347" s="203"/>
      <c r="L347" s="444"/>
    </row>
    <row r="348" spans="1:12" ht="15" customHeight="1" x14ac:dyDescent="0.3">
      <c r="A348" s="1251"/>
      <c r="B348" s="1253">
        <v>193</v>
      </c>
      <c r="C348" s="1249"/>
      <c r="D348" s="1245" t="s">
        <v>1729</v>
      </c>
      <c r="E348" s="566"/>
      <c r="F348" s="447"/>
      <c r="G348" s="198"/>
      <c r="H348" s="447"/>
      <c r="I348" s="559"/>
      <c r="J348" s="560"/>
      <c r="K348" s="198"/>
      <c r="L348" s="447"/>
    </row>
    <row r="349" spans="1:12" ht="15" customHeight="1" thickBot="1" x14ac:dyDescent="0.35">
      <c r="A349" s="1252"/>
      <c r="B349" s="1254"/>
      <c r="C349" s="1250"/>
      <c r="D349" s="1246"/>
      <c r="E349" s="468"/>
      <c r="F349" s="444"/>
      <c r="G349" s="563"/>
      <c r="H349" s="564"/>
      <c r="I349" s="562"/>
      <c r="J349" s="561"/>
      <c r="K349" s="203"/>
      <c r="L349" s="444"/>
    </row>
    <row r="350" spans="1:12" ht="14.4" customHeight="1" x14ac:dyDescent="0.3"/>
    <row r="351" spans="1:12" ht="14.4" customHeight="1" x14ac:dyDescent="0.3"/>
    <row r="352" spans="1:12" ht="15" customHeight="1" x14ac:dyDescent="0.3"/>
    <row r="353" ht="15" customHeight="1" x14ac:dyDescent="0.3"/>
    <row r="354" ht="14.4" customHeight="1" x14ac:dyDescent="0.3"/>
    <row r="355" ht="14.4" customHeight="1" x14ac:dyDescent="0.3"/>
    <row r="356" ht="15" customHeight="1" x14ac:dyDescent="0.3"/>
    <row r="357" ht="15" customHeight="1" x14ac:dyDescent="0.3"/>
    <row r="358" ht="14.4" customHeight="1" x14ac:dyDescent="0.3"/>
    <row r="359" ht="14.4" customHeight="1" x14ac:dyDescent="0.3"/>
    <row r="360" ht="15" customHeight="1" x14ac:dyDescent="0.3"/>
    <row r="361" ht="15" customHeight="1" x14ac:dyDescent="0.3"/>
  </sheetData>
  <mergeCells count="645">
    <mergeCell ref="A211:H211"/>
    <mergeCell ref="A201:D201"/>
    <mergeCell ref="B202:D202"/>
    <mergeCell ref="B203:D203"/>
    <mergeCell ref="B204:D204"/>
    <mergeCell ref="B205:D205"/>
    <mergeCell ref="B207:D207"/>
    <mergeCell ref="B209:D209"/>
    <mergeCell ref="E204:F205"/>
    <mergeCell ref="E201:H203"/>
    <mergeCell ref="G204:H205"/>
    <mergeCell ref="A11:H11"/>
    <mergeCell ref="A1:D1"/>
    <mergeCell ref="B2:D2"/>
    <mergeCell ref="B3:D3"/>
    <mergeCell ref="B4:D4"/>
    <mergeCell ref="B5:D5"/>
    <mergeCell ref="E4:F5"/>
    <mergeCell ref="G4:H5"/>
    <mergeCell ref="E1:H3"/>
    <mergeCell ref="B7:D7"/>
    <mergeCell ref="B9:D9"/>
    <mergeCell ref="A288:A289"/>
    <mergeCell ref="B288:B289"/>
    <mergeCell ref="C288:C289"/>
    <mergeCell ref="D288:D289"/>
    <mergeCell ref="A290:A291"/>
    <mergeCell ref="B290:B291"/>
    <mergeCell ref="C290:C291"/>
    <mergeCell ref="D290:D291"/>
    <mergeCell ref="A284:A285"/>
    <mergeCell ref="B284:B285"/>
    <mergeCell ref="C284:C285"/>
    <mergeCell ref="D284:D285"/>
    <mergeCell ref="A286:A287"/>
    <mergeCell ref="B286:B287"/>
    <mergeCell ref="C286:C287"/>
    <mergeCell ref="D286:D287"/>
    <mergeCell ref="A220:A221"/>
    <mergeCell ref="B220:B221"/>
    <mergeCell ref="C216:C217"/>
    <mergeCell ref="D220:D221"/>
    <mergeCell ref="A214:A215"/>
    <mergeCell ref="B214:B215"/>
    <mergeCell ref="C214:C215"/>
    <mergeCell ref="D214:D215"/>
    <mergeCell ref="A280:A281"/>
    <mergeCell ref="B280:B281"/>
    <mergeCell ref="C280:C281"/>
    <mergeCell ref="D280:D281"/>
    <mergeCell ref="B222:B223"/>
    <mergeCell ref="D222:D223"/>
    <mergeCell ref="A272:A273"/>
    <mergeCell ref="B272:B273"/>
    <mergeCell ref="C272:C273"/>
    <mergeCell ref="D272:D273"/>
    <mergeCell ref="A228:A229"/>
    <mergeCell ref="B228:B229"/>
    <mergeCell ref="C224:C225"/>
    <mergeCell ref="D228:D229"/>
    <mergeCell ref="A270:A271"/>
    <mergeCell ref="B270:B271"/>
    <mergeCell ref="A282:A283"/>
    <mergeCell ref="B282:B283"/>
    <mergeCell ref="C282:C283"/>
    <mergeCell ref="D282:D283"/>
    <mergeCell ref="C218:C219"/>
    <mergeCell ref="C220:C221"/>
    <mergeCell ref="C228:C229"/>
    <mergeCell ref="C230:C231"/>
    <mergeCell ref="A224:A225"/>
    <mergeCell ref="B224:B225"/>
    <mergeCell ref="D224:D225"/>
    <mergeCell ref="A278:A279"/>
    <mergeCell ref="B278:B279"/>
    <mergeCell ref="C278:C279"/>
    <mergeCell ref="D278:D279"/>
    <mergeCell ref="A274:A275"/>
    <mergeCell ref="B274:B275"/>
    <mergeCell ref="C274:C275"/>
    <mergeCell ref="D274:D275"/>
    <mergeCell ref="A276:A277"/>
    <mergeCell ref="B276:B277"/>
    <mergeCell ref="C276:C277"/>
    <mergeCell ref="D276:D277"/>
    <mergeCell ref="A222:A223"/>
    <mergeCell ref="C270:C271"/>
    <mergeCell ref="D270:D271"/>
    <mergeCell ref="A268:A269"/>
    <mergeCell ref="B268:B269"/>
    <mergeCell ref="C268:C269"/>
    <mergeCell ref="D268:D269"/>
    <mergeCell ref="A230:A231"/>
    <mergeCell ref="B230:B231"/>
    <mergeCell ref="C226:C227"/>
    <mergeCell ref="D230:D231"/>
    <mergeCell ref="A266:A267"/>
    <mergeCell ref="B266:B267"/>
    <mergeCell ref="C266:C267"/>
    <mergeCell ref="D266:D267"/>
    <mergeCell ref="A262:A263"/>
    <mergeCell ref="B262:B263"/>
    <mergeCell ref="C262:C263"/>
    <mergeCell ref="D262:D263"/>
    <mergeCell ref="A264:A265"/>
    <mergeCell ref="B264:B265"/>
    <mergeCell ref="C264:C265"/>
    <mergeCell ref="D264:D265"/>
    <mergeCell ref="A260:A261"/>
    <mergeCell ref="B260:B261"/>
    <mergeCell ref="A218:A219"/>
    <mergeCell ref="B218:B219"/>
    <mergeCell ref="D218:D219"/>
    <mergeCell ref="A226:A227"/>
    <mergeCell ref="B226:B227"/>
    <mergeCell ref="C222:C223"/>
    <mergeCell ref="D226:D227"/>
    <mergeCell ref="A258:A259"/>
    <mergeCell ref="B258:B259"/>
    <mergeCell ref="C258:C259"/>
    <mergeCell ref="D258:D259"/>
    <mergeCell ref="D250:D251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C260:C261"/>
    <mergeCell ref="D260:D261"/>
    <mergeCell ref="A256:A257"/>
    <mergeCell ref="B256:B257"/>
    <mergeCell ref="C256:C257"/>
    <mergeCell ref="D256:D257"/>
    <mergeCell ref="A216:A217"/>
    <mergeCell ref="B216:B217"/>
    <mergeCell ref="D216:D217"/>
    <mergeCell ref="A252:A253"/>
    <mergeCell ref="B252:B253"/>
    <mergeCell ref="C252:C253"/>
    <mergeCell ref="D252:D253"/>
    <mergeCell ref="A254:A255"/>
    <mergeCell ref="B254:B255"/>
    <mergeCell ref="C254:C255"/>
    <mergeCell ref="D254:D255"/>
    <mergeCell ref="A248:A249"/>
    <mergeCell ref="B248:B249"/>
    <mergeCell ref="C248:C249"/>
    <mergeCell ref="D248:D249"/>
    <mergeCell ref="A250:A251"/>
    <mergeCell ref="B250:B251"/>
    <mergeCell ref="C250:C251"/>
    <mergeCell ref="A242:A243"/>
    <mergeCell ref="B242:B243"/>
    <mergeCell ref="C242:C243"/>
    <mergeCell ref="D242:D243"/>
    <mergeCell ref="A236:A237"/>
    <mergeCell ref="B236:B237"/>
    <mergeCell ref="C236:C237"/>
    <mergeCell ref="D236:D237"/>
    <mergeCell ref="A238:A239"/>
    <mergeCell ref="B238:B239"/>
    <mergeCell ref="C238:C239"/>
    <mergeCell ref="D238:D239"/>
    <mergeCell ref="A232:A233"/>
    <mergeCell ref="B232:B233"/>
    <mergeCell ref="C232:C233"/>
    <mergeCell ref="D232:D233"/>
    <mergeCell ref="A234:A235"/>
    <mergeCell ref="B234:B235"/>
    <mergeCell ref="C234:C235"/>
    <mergeCell ref="D234:D235"/>
    <mergeCell ref="A143:A144"/>
    <mergeCell ref="B143:B144"/>
    <mergeCell ref="C143:C144"/>
    <mergeCell ref="D143:D144"/>
    <mergeCell ref="A145:A146"/>
    <mergeCell ref="B145:B146"/>
    <mergeCell ref="C145:C146"/>
    <mergeCell ref="D145:D146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39:A140"/>
    <mergeCell ref="B139:B140"/>
    <mergeCell ref="C139:C140"/>
    <mergeCell ref="D139:D140"/>
    <mergeCell ref="A141:A142"/>
    <mergeCell ref="B141:B142"/>
    <mergeCell ref="C141:C142"/>
    <mergeCell ref="D141:D142"/>
    <mergeCell ref="A21:A22"/>
    <mergeCell ref="B21:B22"/>
    <mergeCell ref="C23:C24"/>
    <mergeCell ref="D21:D22"/>
    <mergeCell ref="A137:A138"/>
    <mergeCell ref="B137:B138"/>
    <mergeCell ref="C137:C138"/>
    <mergeCell ref="D137:D138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29:A30"/>
    <mergeCell ref="B29:B30"/>
    <mergeCell ref="C31:C32"/>
    <mergeCell ref="D29:D30"/>
    <mergeCell ref="A49:A50"/>
    <mergeCell ref="A131:A132"/>
    <mergeCell ref="B131:B132"/>
    <mergeCell ref="C131:C132"/>
    <mergeCell ref="D131:D132"/>
    <mergeCell ref="A39:A40"/>
    <mergeCell ref="B39:B40"/>
    <mergeCell ref="C41:C42"/>
    <mergeCell ref="D39:D40"/>
    <mergeCell ref="A127:A128"/>
    <mergeCell ref="B127:B128"/>
    <mergeCell ref="C127:C128"/>
    <mergeCell ref="D127:D128"/>
    <mergeCell ref="A129:A130"/>
    <mergeCell ref="B129:B130"/>
    <mergeCell ref="C129:C130"/>
    <mergeCell ref="D129:D130"/>
    <mergeCell ref="B49:B50"/>
    <mergeCell ref="C53:C54"/>
    <mergeCell ref="D49:D50"/>
    <mergeCell ref="A123:A124"/>
    <mergeCell ref="B123:B124"/>
    <mergeCell ref="C123:C124"/>
    <mergeCell ref="D123:D124"/>
    <mergeCell ref="A125:A126"/>
    <mergeCell ref="B125:B126"/>
    <mergeCell ref="C125:C126"/>
    <mergeCell ref="D125:D126"/>
    <mergeCell ref="A119:A120"/>
    <mergeCell ref="B119:B120"/>
    <mergeCell ref="C119:C120"/>
    <mergeCell ref="D119:D120"/>
    <mergeCell ref="A121:A122"/>
    <mergeCell ref="B121:B122"/>
    <mergeCell ref="C121:C122"/>
    <mergeCell ref="D121:D122"/>
    <mergeCell ref="A117:A118"/>
    <mergeCell ref="B117:B118"/>
    <mergeCell ref="C117:C118"/>
    <mergeCell ref="D117:D118"/>
    <mergeCell ref="A111:A112"/>
    <mergeCell ref="B111:B112"/>
    <mergeCell ref="C111:C112"/>
    <mergeCell ref="D111:D112"/>
    <mergeCell ref="A113:A114"/>
    <mergeCell ref="B113:B114"/>
    <mergeCell ref="C113:C114"/>
    <mergeCell ref="D113:D114"/>
    <mergeCell ref="A115:A116"/>
    <mergeCell ref="B115:B116"/>
    <mergeCell ref="C115:C116"/>
    <mergeCell ref="D115:D116"/>
    <mergeCell ref="A107:A108"/>
    <mergeCell ref="B107:B108"/>
    <mergeCell ref="C107:C108"/>
    <mergeCell ref="D107:D108"/>
    <mergeCell ref="A109:A110"/>
    <mergeCell ref="B109:B110"/>
    <mergeCell ref="C109:C110"/>
    <mergeCell ref="D109:D110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95:A96"/>
    <mergeCell ref="B95:B96"/>
    <mergeCell ref="C95:C96"/>
    <mergeCell ref="D95:D96"/>
    <mergeCell ref="A97:A98"/>
    <mergeCell ref="B97:B98"/>
    <mergeCell ref="C97:C98"/>
    <mergeCell ref="D97:D98"/>
    <mergeCell ref="C71:C72"/>
    <mergeCell ref="D71:D72"/>
    <mergeCell ref="A19:A20"/>
    <mergeCell ref="B19:B20"/>
    <mergeCell ref="D19:D20"/>
    <mergeCell ref="D37:D38"/>
    <mergeCell ref="C45:C46"/>
    <mergeCell ref="C47:C48"/>
    <mergeCell ref="C49:C50"/>
    <mergeCell ref="C51:C52"/>
    <mergeCell ref="A65:A66"/>
    <mergeCell ref="B65:B66"/>
    <mergeCell ref="D65:D66"/>
    <mergeCell ref="B25:B26"/>
    <mergeCell ref="C27:C28"/>
    <mergeCell ref="D25:D26"/>
    <mergeCell ref="A35:A36"/>
    <mergeCell ref="B35:B36"/>
    <mergeCell ref="C37:C38"/>
    <mergeCell ref="D35:D36"/>
    <mergeCell ref="A51:A52"/>
    <mergeCell ref="B51:B52"/>
    <mergeCell ref="D51:D52"/>
    <mergeCell ref="C43:C44"/>
    <mergeCell ref="A91:A92"/>
    <mergeCell ref="B91:B92"/>
    <mergeCell ref="C91:C92"/>
    <mergeCell ref="D91:D92"/>
    <mergeCell ref="C15:C16"/>
    <mergeCell ref="C17:C18"/>
    <mergeCell ref="C19:C20"/>
    <mergeCell ref="C21:C22"/>
    <mergeCell ref="A61:A62"/>
    <mergeCell ref="B61:B62"/>
    <mergeCell ref="C65:C66"/>
    <mergeCell ref="D61:D62"/>
    <mergeCell ref="A33:A34"/>
    <mergeCell ref="B33:B34"/>
    <mergeCell ref="C35:C36"/>
    <mergeCell ref="D33:D34"/>
    <mergeCell ref="C55:C56"/>
    <mergeCell ref="A37:A38"/>
    <mergeCell ref="B37:B38"/>
    <mergeCell ref="C39:C40"/>
    <mergeCell ref="B15:B16"/>
    <mergeCell ref="D15:D16"/>
    <mergeCell ref="A71:A72"/>
    <mergeCell ref="B71:B72"/>
    <mergeCell ref="B161:B162"/>
    <mergeCell ref="C161:C162"/>
    <mergeCell ref="D161:D162"/>
    <mergeCell ref="C67:C68"/>
    <mergeCell ref="C69:C70"/>
    <mergeCell ref="B159:B160"/>
    <mergeCell ref="C159:C160"/>
    <mergeCell ref="D159:D160"/>
    <mergeCell ref="A67:A68"/>
    <mergeCell ref="B67:B68"/>
    <mergeCell ref="D67:D68"/>
    <mergeCell ref="A159:A160"/>
    <mergeCell ref="A93:A94"/>
    <mergeCell ref="B93:B94"/>
    <mergeCell ref="C93:C94"/>
    <mergeCell ref="D93:D94"/>
    <mergeCell ref="A157:A158"/>
    <mergeCell ref="B157:B158"/>
    <mergeCell ref="C157:C158"/>
    <mergeCell ref="D157:D158"/>
    <mergeCell ref="A87:A88"/>
    <mergeCell ref="B87:B88"/>
    <mergeCell ref="C87:C88"/>
    <mergeCell ref="D87:D88"/>
    <mergeCell ref="C13:C14"/>
    <mergeCell ref="D13:D14"/>
    <mergeCell ref="A41:A42"/>
    <mergeCell ref="B41:B42"/>
    <mergeCell ref="D41:D42"/>
    <mergeCell ref="A153:A154"/>
    <mergeCell ref="B151:B152"/>
    <mergeCell ref="C151:C152"/>
    <mergeCell ref="D151:D152"/>
    <mergeCell ref="A147:A148"/>
    <mergeCell ref="B147:B148"/>
    <mergeCell ref="A45:A46"/>
    <mergeCell ref="B45:B46"/>
    <mergeCell ref="D45:D46"/>
    <mergeCell ref="A47:A48"/>
    <mergeCell ref="B47:B48"/>
    <mergeCell ref="D47:D48"/>
    <mergeCell ref="A13:A14"/>
    <mergeCell ref="B13:B14"/>
    <mergeCell ref="C57:C58"/>
    <mergeCell ref="A43:A44"/>
    <mergeCell ref="B43:B44"/>
    <mergeCell ref="D43:D44"/>
    <mergeCell ref="A25:A26"/>
    <mergeCell ref="A177:A178"/>
    <mergeCell ref="B177:B178"/>
    <mergeCell ref="C177:C178"/>
    <mergeCell ref="D177:D178"/>
    <mergeCell ref="A63:A64"/>
    <mergeCell ref="C147:C148"/>
    <mergeCell ref="D147:D148"/>
    <mergeCell ref="A83:A84"/>
    <mergeCell ref="B83:B84"/>
    <mergeCell ref="C83:C84"/>
    <mergeCell ref="D83:D84"/>
    <mergeCell ref="A85:A86"/>
    <mergeCell ref="B85:B86"/>
    <mergeCell ref="C85:C86"/>
    <mergeCell ref="D85:D86"/>
    <mergeCell ref="D89:D90"/>
    <mergeCell ref="A69:A70"/>
    <mergeCell ref="B69:B70"/>
    <mergeCell ref="D69:D70"/>
    <mergeCell ref="A81:A82"/>
    <mergeCell ref="B81:B82"/>
    <mergeCell ref="C81:C82"/>
    <mergeCell ref="D81:D82"/>
    <mergeCell ref="A161:A162"/>
    <mergeCell ref="A181:A182"/>
    <mergeCell ref="B181:B182"/>
    <mergeCell ref="C181:C182"/>
    <mergeCell ref="D181:D182"/>
    <mergeCell ref="A57:A58"/>
    <mergeCell ref="B57:B58"/>
    <mergeCell ref="C61:C62"/>
    <mergeCell ref="D57:D58"/>
    <mergeCell ref="A179:A180"/>
    <mergeCell ref="B179:B180"/>
    <mergeCell ref="C179:C180"/>
    <mergeCell ref="D179:D180"/>
    <mergeCell ref="D75:D76"/>
    <mergeCell ref="A59:A60"/>
    <mergeCell ref="B59:B60"/>
    <mergeCell ref="C63:C64"/>
    <mergeCell ref="D59:D60"/>
    <mergeCell ref="B149:B150"/>
    <mergeCell ref="C149:C150"/>
    <mergeCell ref="D149:D150"/>
    <mergeCell ref="A151:A152"/>
    <mergeCell ref="A89:A90"/>
    <mergeCell ref="B89:B90"/>
    <mergeCell ref="C89:C90"/>
    <mergeCell ref="D31:D32"/>
    <mergeCell ref="A173:A174"/>
    <mergeCell ref="B173:B174"/>
    <mergeCell ref="C173:C174"/>
    <mergeCell ref="D173:D174"/>
    <mergeCell ref="A27:A28"/>
    <mergeCell ref="B27:B28"/>
    <mergeCell ref="C29:C30"/>
    <mergeCell ref="D79:D80"/>
    <mergeCell ref="A169:A170"/>
    <mergeCell ref="B169:B170"/>
    <mergeCell ref="C169:C170"/>
    <mergeCell ref="A75:A76"/>
    <mergeCell ref="B75:B76"/>
    <mergeCell ref="C75:C76"/>
    <mergeCell ref="D27:D28"/>
    <mergeCell ref="A53:A54"/>
    <mergeCell ref="B53:B54"/>
    <mergeCell ref="D53:D54"/>
    <mergeCell ref="A31:A32"/>
    <mergeCell ref="B31:B32"/>
    <mergeCell ref="C33:C34"/>
    <mergeCell ref="B63:B64"/>
    <mergeCell ref="D63:D64"/>
    <mergeCell ref="A55:A56"/>
    <mergeCell ref="B55:B56"/>
    <mergeCell ref="C59:C60"/>
    <mergeCell ref="D55:D56"/>
    <mergeCell ref="A175:A176"/>
    <mergeCell ref="B175:B176"/>
    <mergeCell ref="C175:C176"/>
    <mergeCell ref="D175:D176"/>
    <mergeCell ref="A23:A24"/>
    <mergeCell ref="B23:B24"/>
    <mergeCell ref="C25:C26"/>
    <mergeCell ref="D23:D24"/>
    <mergeCell ref="B153:B154"/>
    <mergeCell ref="C153:C154"/>
    <mergeCell ref="D153:D154"/>
    <mergeCell ref="A155:A156"/>
    <mergeCell ref="B155:B156"/>
    <mergeCell ref="C155:C156"/>
    <mergeCell ref="D155:D156"/>
    <mergeCell ref="A73:A74"/>
    <mergeCell ref="B73:B74"/>
    <mergeCell ref="C73:C74"/>
    <mergeCell ref="D73:D74"/>
    <mergeCell ref="A149:A150"/>
    <mergeCell ref="A17:A18"/>
    <mergeCell ref="B17:B18"/>
    <mergeCell ref="D17:D18"/>
    <mergeCell ref="A15:A16"/>
    <mergeCell ref="A183:A184"/>
    <mergeCell ref="B183:B184"/>
    <mergeCell ref="C183:C184"/>
    <mergeCell ref="D183:D184"/>
    <mergeCell ref="A77:A78"/>
    <mergeCell ref="B77:B78"/>
    <mergeCell ref="C77:C78"/>
    <mergeCell ref="D77:D78"/>
    <mergeCell ref="A167:A168"/>
    <mergeCell ref="B167:B168"/>
    <mergeCell ref="C167:C168"/>
    <mergeCell ref="D167:D168"/>
    <mergeCell ref="A79:A80"/>
    <mergeCell ref="B79:B80"/>
    <mergeCell ref="C79:C80"/>
    <mergeCell ref="D169:D170"/>
    <mergeCell ref="A171:A172"/>
    <mergeCell ref="B171:B172"/>
    <mergeCell ref="C171:C172"/>
    <mergeCell ref="D171:D172"/>
    <mergeCell ref="A293:A294"/>
    <mergeCell ref="B293:B294"/>
    <mergeCell ref="C293:C294"/>
    <mergeCell ref="D293:D294"/>
    <mergeCell ref="D186:D187"/>
    <mergeCell ref="A188:A189"/>
    <mergeCell ref="A295:A296"/>
    <mergeCell ref="B295:B296"/>
    <mergeCell ref="C295:C296"/>
    <mergeCell ref="D295:D296"/>
    <mergeCell ref="A198:A199"/>
    <mergeCell ref="B198:B199"/>
    <mergeCell ref="C198:C199"/>
    <mergeCell ref="D198:D199"/>
    <mergeCell ref="A190:A191"/>
    <mergeCell ref="B190:B191"/>
    <mergeCell ref="C190:C191"/>
    <mergeCell ref="D190:D191"/>
    <mergeCell ref="A196:A197"/>
    <mergeCell ref="B196:B197"/>
    <mergeCell ref="C196:C197"/>
    <mergeCell ref="D196:D197"/>
    <mergeCell ref="A192:A193"/>
    <mergeCell ref="B192:B193"/>
    <mergeCell ref="A186:A187"/>
    <mergeCell ref="B186:B187"/>
    <mergeCell ref="C186:C187"/>
    <mergeCell ref="C192:C193"/>
    <mergeCell ref="D192:D193"/>
    <mergeCell ref="A194:A195"/>
    <mergeCell ref="B194:B195"/>
    <mergeCell ref="C194:C195"/>
    <mergeCell ref="D194:D195"/>
    <mergeCell ref="B188:B189"/>
    <mergeCell ref="C188:C189"/>
    <mergeCell ref="D188:D189"/>
    <mergeCell ref="B307:D307"/>
    <mergeCell ref="A309:H309"/>
    <mergeCell ref="A312:A313"/>
    <mergeCell ref="B312:B313"/>
    <mergeCell ref="C312:C313"/>
    <mergeCell ref="D312:D313"/>
    <mergeCell ref="A299:D299"/>
    <mergeCell ref="E299:H301"/>
    <mergeCell ref="B300:D300"/>
    <mergeCell ref="B301:D301"/>
    <mergeCell ref="B302:D302"/>
    <mergeCell ref="E302:F303"/>
    <mergeCell ref="G302:H303"/>
    <mergeCell ref="B303:D303"/>
    <mergeCell ref="B305:D305"/>
    <mergeCell ref="B320:B321"/>
    <mergeCell ref="B322:B323"/>
    <mergeCell ref="B324:B325"/>
    <mergeCell ref="A314:A315"/>
    <mergeCell ref="C314:C315"/>
    <mergeCell ref="A316:A317"/>
    <mergeCell ref="C316:C317"/>
    <mergeCell ref="A318:A319"/>
    <mergeCell ref="C318:C319"/>
    <mergeCell ref="A320:A321"/>
    <mergeCell ref="C320:C321"/>
    <mergeCell ref="A322:A323"/>
    <mergeCell ref="C322:C323"/>
    <mergeCell ref="A324:A325"/>
    <mergeCell ref="C324:C325"/>
    <mergeCell ref="B314:B315"/>
    <mergeCell ref="B316:B317"/>
    <mergeCell ref="B318:B319"/>
    <mergeCell ref="D332:D333"/>
    <mergeCell ref="D334:D335"/>
    <mergeCell ref="B348:B349"/>
    <mergeCell ref="D336:D337"/>
    <mergeCell ref="D338:D339"/>
    <mergeCell ref="D340:D341"/>
    <mergeCell ref="D342:D343"/>
    <mergeCell ref="D344:D345"/>
    <mergeCell ref="D346:D347"/>
    <mergeCell ref="D348:D349"/>
    <mergeCell ref="C336:C337"/>
    <mergeCell ref="C338:C339"/>
    <mergeCell ref="C340:C341"/>
    <mergeCell ref="C342:C343"/>
    <mergeCell ref="B344:B345"/>
    <mergeCell ref="B346:B347"/>
    <mergeCell ref="B336:B337"/>
    <mergeCell ref="B338:B339"/>
    <mergeCell ref="B340:B341"/>
    <mergeCell ref="B342:B343"/>
    <mergeCell ref="B332:B333"/>
    <mergeCell ref="B334:B335"/>
    <mergeCell ref="C344:C345"/>
    <mergeCell ref="C346:C347"/>
    <mergeCell ref="C348:C349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C326:C327"/>
    <mergeCell ref="C328:C329"/>
    <mergeCell ref="C330:C331"/>
    <mergeCell ref="C332:C333"/>
    <mergeCell ref="C334:C335"/>
    <mergeCell ref="B326:B327"/>
    <mergeCell ref="B328:B329"/>
    <mergeCell ref="B330:B331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</mergeCells>
  <pageMargins left="0.25" right="0.25" top="0.75" bottom="0.75" header="0.3" footer="0.3"/>
  <pageSetup paperSize="9" scale="1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52BE-905D-4940-8EB2-D09A044BE8DB}">
  <sheetPr>
    <tabColor theme="6" tint="0.59999389629810485"/>
    <pageSetUpPr fitToPage="1"/>
  </sheetPr>
  <dimension ref="A1:AO399"/>
  <sheetViews>
    <sheetView tabSelected="1" topLeftCell="A331" zoomScale="85" zoomScaleNormal="85" workbookViewId="0">
      <selection activeCell="H337" sqref="H337"/>
    </sheetView>
  </sheetViews>
  <sheetFormatPr baseColWidth="10" defaultRowHeight="18" x14ac:dyDescent="0.35"/>
  <cols>
    <col min="2" max="2" width="7.33203125" bestFit="1" customWidth="1"/>
    <col min="3" max="3" width="11.5546875" customWidth="1"/>
    <col min="4" max="4" width="7.6640625" style="208" customWidth="1"/>
    <col min="5" max="5" width="8" customWidth="1"/>
    <col min="6" max="6" width="5.33203125" style="292" customWidth="1"/>
    <col min="7" max="7" width="35.109375" style="41" customWidth="1"/>
    <col min="8" max="8" width="15.88671875" style="1" bestFit="1" customWidth="1"/>
    <col min="9" max="9" width="8.5546875" style="41" customWidth="1"/>
    <col min="10" max="10" width="9.5546875" style="41" customWidth="1"/>
    <col min="11" max="11" width="1" customWidth="1"/>
    <col min="12" max="12" width="8.33203125" style="41" customWidth="1"/>
    <col min="13" max="13" width="8.33203125" style="292" customWidth="1"/>
    <col min="14" max="14" width="0.88671875" customWidth="1"/>
    <col min="15" max="15" width="10.88671875" style="554" customWidth="1"/>
    <col min="16" max="16" width="11.33203125" style="379" customWidth="1"/>
    <col min="17" max="17" width="11.5546875" style="290" customWidth="1"/>
    <col min="18" max="18" width="9.6640625" style="554" customWidth="1"/>
    <col min="19" max="19" width="1.109375" customWidth="1"/>
    <col min="20" max="20" width="7.88671875" style="292" customWidth="1"/>
    <col min="21" max="21" width="9.33203125" style="292" customWidth="1"/>
    <col min="22" max="22" width="1.109375" customWidth="1"/>
    <col min="23" max="23" width="8.88671875" style="292" customWidth="1"/>
    <col min="24" max="24" width="10.109375" style="292" customWidth="1"/>
    <col min="25" max="25" width="1" customWidth="1"/>
    <col min="26" max="26" width="9.33203125" style="1" customWidth="1"/>
    <col min="27" max="27" width="8.6640625" style="1" customWidth="1"/>
    <col min="28" max="28" width="9.6640625" style="379" bestFit="1" customWidth="1"/>
    <col min="29" max="29" width="1" customWidth="1"/>
    <col min="30" max="30" width="15.6640625" style="299" customWidth="1"/>
    <col min="31" max="31" width="10.44140625" style="292" customWidth="1"/>
    <col min="32" max="32" width="11.6640625" style="292" customWidth="1"/>
    <col min="33" max="33" width="10.6640625" style="292" bestFit="1" customWidth="1"/>
    <col min="34" max="34" width="12" customWidth="1"/>
    <col min="35" max="35" width="9.88671875" style="292" customWidth="1"/>
    <col min="36" max="36" width="8.5546875" customWidth="1"/>
    <col min="37" max="37" width="4.44140625" style="299" customWidth="1"/>
    <col min="38" max="38" width="3" customWidth="1"/>
    <col min="39" max="39" width="5.6640625" customWidth="1"/>
    <col min="40" max="40" width="6" customWidth="1"/>
  </cols>
  <sheetData>
    <row r="1" spans="1:41" ht="41.25" customHeight="1" thickBot="1" x14ac:dyDescent="0.45">
      <c r="D1" s="504" t="s">
        <v>1511</v>
      </c>
      <c r="E1" s="637"/>
      <c r="F1" s="505"/>
      <c r="G1" s="505"/>
      <c r="H1" s="747"/>
      <c r="I1" s="497"/>
      <c r="J1" s="497"/>
      <c r="L1" s="496"/>
      <c r="M1" s="465"/>
      <c r="O1" s="495"/>
      <c r="P1" s="292"/>
      <c r="Q1" s="495"/>
      <c r="R1" s="495"/>
      <c r="Z1" s="496"/>
      <c r="AA1" s="495"/>
    </row>
    <row r="2" spans="1:41" ht="10.35" customHeight="1" x14ac:dyDescent="0.35">
      <c r="D2" s="292"/>
      <c r="G2"/>
      <c r="I2"/>
      <c r="J2"/>
      <c r="L2"/>
      <c r="P2" s="292"/>
      <c r="Q2"/>
      <c r="Z2" s="292"/>
      <c r="AA2"/>
      <c r="AB2" s="292"/>
      <c r="AH2" s="320"/>
      <c r="AI2" s="598"/>
    </row>
    <row r="3" spans="1:41" ht="10.35" customHeight="1" x14ac:dyDescent="0.35">
      <c r="D3" s="292"/>
      <c r="G3"/>
      <c r="I3"/>
      <c r="J3"/>
      <c r="L3"/>
      <c r="P3" s="292"/>
      <c r="Q3"/>
      <c r="Z3" s="292"/>
      <c r="AA3"/>
      <c r="AB3" s="292"/>
      <c r="AH3" s="320"/>
      <c r="AI3" s="598"/>
    </row>
    <row r="4" spans="1:41" ht="30.75" customHeight="1" thickBot="1" x14ac:dyDescent="0.5">
      <c r="C4" s="294"/>
      <c r="D4" s="294"/>
      <c r="F4" s="568"/>
      <c r="G4" s="652" t="s">
        <v>1496</v>
      </c>
      <c r="H4" s="457"/>
      <c r="I4" s="457"/>
      <c r="J4" s="457"/>
      <c r="L4" s="454"/>
      <c r="M4" s="349"/>
      <c r="O4" s="687"/>
      <c r="P4" s="383"/>
      <c r="Q4" s="338"/>
      <c r="R4" s="687"/>
      <c r="T4" s="349"/>
      <c r="U4" s="349"/>
      <c r="W4" s="349"/>
      <c r="X4" s="349"/>
      <c r="Z4" s="309"/>
      <c r="AA4" s="316"/>
      <c r="AB4" s="389"/>
      <c r="AE4" s="386"/>
      <c r="AG4" s="127"/>
      <c r="AH4" s="350"/>
      <c r="AI4" s="599"/>
    </row>
    <row r="5" spans="1:41" ht="21.6" customHeight="1" thickBot="1" x14ac:dyDescent="0.4">
      <c r="C5" s="1261" t="s">
        <v>1470</v>
      </c>
      <c r="D5" s="1262"/>
      <c r="E5" s="1262"/>
      <c r="F5" s="1263"/>
      <c r="G5" s="653" t="s">
        <v>1734</v>
      </c>
      <c r="H5" s="654"/>
      <c r="I5" s="651"/>
      <c r="J5" s="4"/>
      <c r="L5" s="484"/>
      <c r="M5" s="1055"/>
      <c r="N5" s="208"/>
      <c r="O5" s="384"/>
      <c r="P5" s="370"/>
      <c r="Q5" s="344"/>
      <c r="R5" s="384"/>
      <c r="S5" s="208"/>
      <c r="V5" s="208"/>
      <c r="Y5" s="208"/>
      <c r="Z5" s="292"/>
      <c r="AA5"/>
      <c r="AB5" s="292"/>
      <c r="AC5" s="208"/>
      <c r="AH5" s="320"/>
      <c r="AI5" s="598"/>
    </row>
    <row r="6" spans="1:41" ht="21.6" customHeight="1" x14ac:dyDescent="0.35">
      <c r="C6" s="732"/>
      <c r="D6" s="732"/>
      <c r="E6" s="732"/>
      <c r="F6" s="732"/>
      <c r="G6" s="733"/>
      <c r="H6" s="4"/>
      <c r="I6" s="4"/>
      <c r="J6" s="4"/>
      <c r="L6" s="484"/>
      <c r="M6" s="351"/>
      <c r="N6" s="208"/>
      <c r="O6" s="384"/>
      <c r="P6" s="370"/>
      <c r="Q6" s="344"/>
      <c r="R6" s="384"/>
      <c r="S6" s="208"/>
      <c r="V6" s="208"/>
      <c r="Y6" s="208"/>
      <c r="Z6" s="292"/>
      <c r="AA6"/>
      <c r="AB6" s="292"/>
      <c r="AC6" s="208"/>
      <c r="AH6" s="320"/>
      <c r="AI6" s="598"/>
    </row>
    <row r="7" spans="1:41" ht="33" customHeight="1" thickBot="1" x14ac:dyDescent="0.55000000000000004">
      <c r="C7" s="1259" t="s">
        <v>1679</v>
      </c>
      <c r="D7" s="1259"/>
      <c r="E7" s="1259"/>
      <c r="F7" s="1259"/>
      <c r="G7" s="1259"/>
      <c r="H7" s="1259"/>
      <c r="I7" s="1259"/>
      <c r="J7" s="939"/>
      <c r="L7" s="1054"/>
      <c r="M7" s="351"/>
      <c r="N7" s="208"/>
      <c r="O7" s="384"/>
      <c r="P7" s="370"/>
      <c r="Q7" s="344"/>
      <c r="R7" s="384"/>
      <c r="S7" s="208"/>
      <c r="V7" s="208"/>
      <c r="Y7" s="208"/>
      <c r="Z7" s="292"/>
      <c r="AA7"/>
      <c r="AB7" s="292"/>
      <c r="AC7" s="208"/>
      <c r="AH7" s="320"/>
      <c r="AI7" s="598"/>
    </row>
    <row r="8" spans="1:41" s="385" customFormat="1" ht="30" customHeight="1" thickBot="1" x14ac:dyDescent="0.35">
      <c r="C8" s="1264" t="s">
        <v>1767</v>
      </c>
      <c r="D8" s="1265"/>
      <c r="E8" s="1265"/>
      <c r="F8" s="1265"/>
      <c r="G8" s="1265"/>
      <c r="H8" s="1265"/>
      <c r="I8" s="1266"/>
      <c r="J8" s="339"/>
      <c r="L8" s="845"/>
      <c r="M8" s="846"/>
      <c r="N8" s="516"/>
      <c r="O8" s="784"/>
      <c r="P8" s="727"/>
      <c r="Q8" s="727"/>
      <c r="R8" s="784"/>
      <c r="S8" s="516"/>
      <c r="T8" s="784"/>
      <c r="U8" s="784"/>
      <c r="V8" s="516"/>
      <c r="W8" s="784"/>
      <c r="X8" s="784"/>
      <c r="Y8" s="516"/>
      <c r="Z8" s="698"/>
      <c r="AA8" s="698"/>
      <c r="AB8" s="697"/>
      <c r="AC8" s="516"/>
      <c r="AD8" s="698"/>
      <c r="AE8" s="698"/>
      <c r="AF8" s="697"/>
      <c r="AG8" s="698"/>
      <c r="AH8" s="698"/>
      <c r="AI8" s="698"/>
      <c r="AJ8" s="698"/>
      <c r="AK8" s="698"/>
    </row>
    <row r="9" spans="1:41" s="385" customFormat="1" ht="56.1" customHeight="1" thickBot="1" x14ac:dyDescent="0.35">
      <c r="C9" s="312" t="s">
        <v>1293</v>
      </c>
      <c r="D9" s="452" t="s">
        <v>748</v>
      </c>
      <c r="E9" s="312" t="s">
        <v>1198</v>
      </c>
      <c r="F9" s="312" t="s">
        <v>1018</v>
      </c>
      <c r="G9" s="312" t="s">
        <v>749</v>
      </c>
      <c r="H9" s="321" t="s">
        <v>1526</v>
      </c>
      <c r="I9" s="321" t="s">
        <v>1525</v>
      </c>
      <c r="J9" s="317"/>
      <c r="L9" s="899" t="s">
        <v>1524</v>
      </c>
      <c r="M9" s="1047" t="s">
        <v>1730</v>
      </c>
      <c r="N9" s="516"/>
      <c r="O9" s="514" t="s">
        <v>1042</v>
      </c>
      <c r="P9" s="707" t="s">
        <v>1402</v>
      </c>
      <c r="Q9" s="708" t="s">
        <v>1178</v>
      </c>
      <c r="R9" s="710" t="s">
        <v>1781</v>
      </c>
      <c r="S9" s="516"/>
      <c r="T9" s="514" t="s">
        <v>1440</v>
      </c>
      <c r="U9" s="713" t="s">
        <v>1441</v>
      </c>
      <c r="V9" s="516"/>
      <c r="W9" s="513" t="s">
        <v>1442</v>
      </c>
      <c r="X9" s="514" t="s">
        <v>1443</v>
      </c>
      <c r="Y9" s="516"/>
      <c r="Z9" s="513" t="s">
        <v>1197</v>
      </c>
      <c r="AA9" s="514" t="s">
        <v>1460</v>
      </c>
      <c r="AB9" s="707" t="s">
        <v>857</v>
      </c>
      <c r="AC9" s="516"/>
      <c r="AD9" s="514" t="s">
        <v>1403</v>
      </c>
      <c r="AE9" s="514" t="s">
        <v>1415</v>
      </c>
      <c r="AF9" s="707" t="s">
        <v>1438</v>
      </c>
      <c r="AG9" s="514" t="s">
        <v>1212</v>
      </c>
      <c r="AH9" s="514" t="s">
        <v>1387</v>
      </c>
      <c r="AI9" s="514" t="s">
        <v>1731</v>
      </c>
      <c r="AJ9" s="514" t="s">
        <v>1416</v>
      </c>
      <c r="AK9" s="514" t="s">
        <v>1513</v>
      </c>
    </row>
    <row r="10" spans="1:41" ht="18" customHeight="1" thickBot="1" x14ac:dyDescent="0.4">
      <c r="A10" t="s">
        <v>1470</v>
      </c>
      <c r="C10" s="418">
        <v>1206700</v>
      </c>
      <c r="D10" s="438">
        <v>502</v>
      </c>
      <c r="E10" s="261" t="str">
        <f>+VLOOKUP(D10,'Conteo VACIO'!$A$8:$D$226,4,0)</f>
        <v>D3</v>
      </c>
      <c r="F10" s="323" t="s">
        <v>746</v>
      </c>
      <c r="G10" s="356" t="s">
        <v>1735</v>
      </c>
      <c r="H10" s="261"/>
      <c r="I10" s="476"/>
      <c r="J10" s="310"/>
      <c r="L10" s="978">
        <f>+IFERROR(Q10/P10,0)</f>
        <v>0.57263630089717044</v>
      </c>
      <c r="M10" s="492">
        <f>+IFERROR(U10/X10,0)</f>
        <v>0.57263630089717044</v>
      </c>
      <c r="O10" s="750">
        <f t="shared" ref="O10:O13" si="0">IF(P10-Q10-R10&lt;0,0,P10-Q10-R10)</f>
        <v>7431</v>
      </c>
      <c r="P10" s="486">
        <f>+IFERROR(AE10*AK10,0)</f>
        <v>17388</v>
      </c>
      <c r="Q10" s="346">
        <f>+(Z10*AB10)+AA10</f>
        <v>9957</v>
      </c>
      <c r="R10" s="751"/>
      <c r="T10" s="401">
        <f>+IFERROR(SUMIFS('Stock CD'!D:D,D25,'Stock CD'!C:C),0)</f>
        <v>0</v>
      </c>
      <c r="U10" s="404">
        <f>+T10+Q10</f>
        <v>9957</v>
      </c>
      <c r="W10" s="401">
        <f>+IFERROR(VLOOKUP(D10,'Stock CD'!B:I,8,0),0)</f>
        <v>0</v>
      </c>
      <c r="X10" s="404">
        <f>+W10+P10</f>
        <v>17388</v>
      </c>
      <c r="Z10" s="712">
        <f>+SUMIFS('Conteo VACIO'!F:F,'Conteo VACIO'!$A:$A,$D10)</f>
        <v>8</v>
      </c>
      <c r="AA10" s="304">
        <f>+SUMIFS('Conteo VACIO'!G:G,'Conteo VACIO'!$A:$A,$D10)</f>
        <v>1957</v>
      </c>
      <c r="AB10" s="534">
        <v>1000</v>
      </c>
      <c r="AD10" s="398" t="s">
        <v>1470</v>
      </c>
      <c r="AE10" s="428">
        <f>IF(D10="Corb-LK",SUMIFS('Est Madre LK 10-25'!C:C,'Est Madre LK 10-25'!D:D,"si"),IF(D10="Corb-CH",SUMIFS('Est Madre CH 10-25'!C:C,'Est Madre CH 10-25'!D:D,"si"),0)+IFERROR(VLOOKUP(D10,'Est Madre LK 10-25'!$A:$C,3,),IFERROR(VLOOKUP(D10,'Est Madre CH 10-25'!$A:$C,3,),0)))</f>
        <v>5796</v>
      </c>
      <c r="AF10" s="361">
        <v>12000</v>
      </c>
      <c r="AG10" s="261">
        <v>6</v>
      </c>
      <c r="AH10" s="326">
        <v>68.570279999999997</v>
      </c>
      <c r="AI10" s="600" t="s">
        <v>1758</v>
      </c>
      <c r="AJ10" s="261" t="s">
        <v>1493</v>
      </c>
      <c r="AK10" s="333">
        <v>3</v>
      </c>
    </row>
    <row r="11" spans="1:41" ht="18" customHeight="1" thickBot="1" x14ac:dyDescent="0.4">
      <c r="A11" t="s">
        <v>1470</v>
      </c>
      <c r="C11" s="419">
        <v>1206700</v>
      </c>
      <c r="D11" s="439">
        <v>512</v>
      </c>
      <c r="E11" s="260" t="str">
        <f>+VLOOKUP(D11,'Conteo VACIO'!$A$8:$D$226,4,0)</f>
        <v>D1B</v>
      </c>
      <c r="F11" s="322" t="s">
        <v>746</v>
      </c>
      <c r="G11" s="329" t="s">
        <v>1737</v>
      </c>
      <c r="H11" s="261"/>
      <c r="I11" s="477"/>
      <c r="J11" s="310"/>
      <c r="L11" s="980">
        <f>+IFERROR(Q11/P11,0)</f>
        <v>1.3687600644122384</v>
      </c>
      <c r="M11" s="485">
        <f>+IFERROR(U11/X11,0)</f>
        <v>1.3687600644122384</v>
      </c>
      <c r="O11" s="752">
        <f t="shared" si="0"/>
        <v>0</v>
      </c>
      <c r="P11" s="487">
        <f>+IFERROR(AE11*AK11,0)</f>
        <v>4968</v>
      </c>
      <c r="Q11" s="345">
        <f>+(Z11*AB11)+AA11</f>
        <v>6800</v>
      </c>
      <c r="R11" s="753"/>
      <c r="T11" s="402">
        <f>+IFERROR(SUMIFS('Stock CD'!D:D,D27,'Stock CD'!C:C),0)</f>
        <v>0</v>
      </c>
      <c r="U11" s="405">
        <f>+T11+Q11</f>
        <v>6800</v>
      </c>
      <c r="W11" s="402">
        <f>+IFERROR(VLOOKUP(D11,'Stock CD'!B:I,8,0),0)</f>
        <v>0</v>
      </c>
      <c r="X11" s="405">
        <f>+W11+P11</f>
        <v>4968</v>
      </c>
      <c r="Z11" s="450">
        <f>+SUMIFS('Conteo VACIO'!F:F,'Conteo VACIO'!$A:$A,$D11)</f>
        <v>5</v>
      </c>
      <c r="AA11" s="305">
        <f>+SUMIFS('Conteo VACIO'!G:G,'Conteo VACIO'!$A:$A,$D11)</f>
        <v>1800</v>
      </c>
      <c r="AB11" s="517">
        <v>1000</v>
      </c>
      <c r="AD11" s="430" t="s">
        <v>1470</v>
      </c>
      <c r="AE11" s="414">
        <f>IF(D11="Corb-LK",SUMIFS('Est Madre LK 10-25'!C:C,'Est Madre LK 10-25'!D:D,"si"),IF(D11="Corb-CH",SUMIFS('Est Madre CH 10-25'!C:C,'Est Madre CH 10-25'!D:D,"si"),0)+IFERROR(VLOOKUP(D11,'Est Madre LK 10-25'!$A:$C,3,),IFERROR(VLOOKUP(D11,'Est Madre CH 10-25'!$A:$C,3,),0)))</f>
        <v>1656</v>
      </c>
      <c r="AF11" s="362">
        <v>12000</v>
      </c>
      <c r="AG11" s="260">
        <v>6</v>
      </c>
      <c r="AH11" s="325">
        <v>68.570279999999997</v>
      </c>
      <c r="AI11" s="601" t="s">
        <v>1758</v>
      </c>
      <c r="AJ11" s="260" t="s">
        <v>1493</v>
      </c>
      <c r="AK11" s="335">
        <v>3</v>
      </c>
    </row>
    <row r="12" spans="1:41" ht="18" customHeight="1" thickBot="1" x14ac:dyDescent="0.4">
      <c r="A12" t="s">
        <v>1470</v>
      </c>
      <c r="C12" s="419">
        <v>1206700</v>
      </c>
      <c r="D12" s="439">
        <v>66</v>
      </c>
      <c r="E12" s="260" t="str">
        <f>+VLOOKUP(D12,'Conteo VACIO'!$A$8:$D$226,4,0)</f>
        <v>D1A</v>
      </c>
      <c r="F12" s="322" t="s">
        <v>746</v>
      </c>
      <c r="G12" s="329" t="s">
        <v>1738</v>
      </c>
      <c r="H12" s="261"/>
      <c r="I12" s="477"/>
      <c r="J12" s="310"/>
      <c r="L12" s="980">
        <f>+IFERROR(Q12/P12,0)</f>
        <v>1.807936507936508</v>
      </c>
      <c r="M12" s="485">
        <f>+IFERROR(U12/X12,0)</f>
        <v>1.807936507936508</v>
      </c>
      <c r="O12" s="752">
        <f t="shared" si="0"/>
        <v>0</v>
      </c>
      <c r="P12" s="487">
        <f>+IFERROR(AE12*AK12,0)</f>
        <v>6300</v>
      </c>
      <c r="Q12" s="345">
        <f>+(Z12*AB12)+AA12</f>
        <v>11390</v>
      </c>
      <c r="R12" s="753"/>
      <c r="T12" s="402">
        <f>+IFERROR(SUMIFS('Stock CD'!D:D,D40,'Stock CD'!C:C),0)</f>
        <v>0</v>
      </c>
      <c r="U12" s="405">
        <f>+T12+Q12</f>
        <v>11390</v>
      </c>
      <c r="W12" s="402">
        <f>+IFERROR(VLOOKUP(D12,'Stock CD'!B:I,8,0),0)</f>
        <v>0</v>
      </c>
      <c r="X12" s="405">
        <f>+W12+P12</f>
        <v>6300</v>
      </c>
      <c r="Z12" s="450">
        <f>+SUMIFS('Conteo VACIO'!F:F,'Conteo VACIO'!$A:$A,$D12)</f>
        <v>10</v>
      </c>
      <c r="AA12" s="305">
        <f>+SUMIFS('Conteo VACIO'!G:G,'Conteo VACIO'!$A:$A,$D12)</f>
        <v>1390</v>
      </c>
      <c r="AB12" s="517">
        <v>1000</v>
      </c>
      <c r="AD12" s="430" t="s">
        <v>1470</v>
      </c>
      <c r="AE12" s="414">
        <f>IF(D12="Corb-LK",SUMIFS('Est Madre LK 10-25'!C:C,'Est Madre LK 10-25'!D:D,"si"),IF(D12="Corb-CH",SUMIFS('Est Madre CH 10-25'!C:C,'Est Madre CH 10-25'!D:D,"si"),0)+IFERROR(VLOOKUP(D12,'Est Madre LK 10-25'!$A:$C,3,),IFERROR(VLOOKUP(D12,'Est Madre CH 10-25'!$A:$C,3,),0)))</f>
        <v>2100</v>
      </c>
      <c r="AF12" s="362">
        <v>12000</v>
      </c>
      <c r="AG12" s="260">
        <v>6</v>
      </c>
      <c r="AH12" s="325">
        <v>68.570279999999997</v>
      </c>
      <c r="AI12" s="601" t="s">
        <v>1758</v>
      </c>
      <c r="AJ12" s="260" t="s">
        <v>1493</v>
      </c>
      <c r="AK12" s="335">
        <v>3</v>
      </c>
    </row>
    <row r="13" spans="1:41" ht="18" customHeight="1" thickBot="1" x14ac:dyDescent="0.4">
      <c r="A13" t="s">
        <v>1470</v>
      </c>
      <c r="C13" s="500">
        <v>1206700</v>
      </c>
      <c r="D13" s="449">
        <v>501</v>
      </c>
      <c r="E13" s="262" t="str">
        <f>+VLOOKUP(D13,'Conteo VACIO'!$A$8:$D$226,4,0)</f>
        <v>D2</v>
      </c>
      <c r="F13" s="324" t="s">
        <v>746</v>
      </c>
      <c r="G13" s="357" t="s">
        <v>1736</v>
      </c>
      <c r="H13" s="261"/>
      <c r="I13" s="478"/>
      <c r="J13" s="310"/>
      <c r="L13" s="979">
        <f>+IFERROR(Q13/P13,0)</f>
        <v>0.27729552469135804</v>
      </c>
      <c r="M13" s="493">
        <f>+IFERROR(U13/X13,0)</f>
        <v>0.27729552469135804</v>
      </c>
      <c r="O13" s="754">
        <f t="shared" si="0"/>
        <v>14986</v>
      </c>
      <c r="P13" s="488">
        <f>+IFERROR(AE13*AK13,0)</f>
        <v>20736</v>
      </c>
      <c r="Q13" s="347">
        <f>+(Z13*AB13)+AA13</f>
        <v>5750</v>
      </c>
      <c r="R13" s="755"/>
      <c r="T13" s="403">
        <f>+IFERROR(SUMIFS('Stock CD'!D:D,D26,'Stock CD'!C:C),0)</f>
        <v>0</v>
      </c>
      <c r="U13" s="406">
        <f>+T13+Q13</f>
        <v>5750</v>
      </c>
      <c r="W13" s="403">
        <f>+IFERROR(VLOOKUP(D13,'Stock CD'!B:I,8,0),0)</f>
        <v>0</v>
      </c>
      <c r="X13" s="406">
        <f>+W13+P13</f>
        <v>20736</v>
      </c>
      <c r="Z13" s="451">
        <f>+SUMIFS('Conteo VACIO'!F:F,'Conteo VACIO'!$A:$A,$D13)</f>
        <v>5</v>
      </c>
      <c r="AA13" s="306">
        <f>+SUMIFS('Conteo VACIO'!G:G,'Conteo VACIO'!$A:$A,$D13)</f>
        <v>750</v>
      </c>
      <c r="AB13" s="518">
        <v>1000</v>
      </c>
      <c r="AD13" s="431" t="s">
        <v>1470</v>
      </c>
      <c r="AE13" s="429">
        <f>IF(D13="Corb-LK",SUMIFS('Est Madre LK 10-25'!C:C,'Est Madre LK 10-25'!D:D,"si"),IF(D13="Corb-CH",SUMIFS('Est Madre CH 10-25'!C:C,'Est Madre CH 10-25'!D:D,"si"),0)+IFERROR(VLOOKUP(D13,'Est Madre LK 10-25'!$A:$C,3,),IFERROR(VLOOKUP(D13,'Est Madre CH 10-25'!$A:$C,3,),0)))</f>
        <v>6912</v>
      </c>
      <c r="AF13" s="364">
        <v>12000</v>
      </c>
      <c r="AG13" s="262">
        <v>6</v>
      </c>
      <c r="AH13" s="327">
        <v>68.570279999999997</v>
      </c>
      <c r="AI13" s="603" t="s">
        <v>1758</v>
      </c>
      <c r="AJ13" s="262" t="s">
        <v>1493</v>
      </c>
      <c r="AK13" s="337">
        <v>3</v>
      </c>
    </row>
    <row r="14" spans="1:41" ht="6" customHeight="1" thickBot="1" x14ac:dyDescent="0.4">
      <c r="C14" s="348"/>
      <c r="D14" s="294"/>
      <c r="F14" s="299"/>
      <c r="G14" s="310"/>
      <c r="H14" s="631"/>
      <c r="I14" s="310"/>
      <c r="J14" s="310"/>
      <c r="L14" s="458"/>
      <c r="M14" s="459"/>
      <c r="O14" s="687">
        <f>+SUM(O10:O13)</f>
        <v>22417</v>
      </c>
      <c r="P14" s="383"/>
      <c r="Q14" s="338"/>
      <c r="R14" s="687"/>
      <c r="T14" s="460"/>
      <c r="U14" s="460"/>
      <c r="W14" s="460"/>
      <c r="X14" s="460"/>
      <c r="Z14" s="309"/>
      <c r="AA14" s="309"/>
      <c r="AB14" s="389"/>
      <c r="AE14" s="386"/>
      <c r="AF14" s="389"/>
      <c r="AG14" s="127"/>
      <c r="AH14" s="350"/>
      <c r="AI14" s="599"/>
      <c r="AJ14" s="127"/>
    </row>
    <row r="15" spans="1:41" s="385" customFormat="1" ht="30" customHeight="1" thickBot="1" x14ac:dyDescent="0.35">
      <c r="C15" s="1267" t="s">
        <v>1766</v>
      </c>
      <c r="D15" s="1268"/>
      <c r="E15" s="1268"/>
      <c r="F15" s="1268"/>
      <c r="G15" s="1268"/>
      <c r="H15" s="1268"/>
      <c r="I15" s="1269"/>
      <c r="J15" s="339"/>
      <c r="L15" s="845"/>
      <c r="M15" s="846"/>
      <c r="N15" s="516"/>
      <c r="O15" s="784"/>
      <c r="P15" s="727"/>
      <c r="Q15" s="727"/>
      <c r="R15" s="784"/>
      <c r="S15" s="516"/>
      <c r="T15" s="784"/>
      <c r="U15" s="784"/>
      <c r="V15" s="516"/>
      <c r="W15" s="784"/>
      <c r="X15" s="784"/>
      <c r="Y15" s="516"/>
      <c r="Z15" s="698"/>
      <c r="AA15" s="698"/>
      <c r="AB15" s="697"/>
      <c r="AC15" s="516"/>
      <c r="AD15" s="698"/>
      <c r="AE15" s="698"/>
      <c r="AF15" s="697"/>
      <c r="AG15" s="698"/>
      <c r="AH15" s="698"/>
      <c r="AI15" s="698"/>
      <c r="AJ15" s="698"/>
      <c r="AK15" s="698"/>
      <c r="AO15"/>
    </row>
    <row r="16" spans="1:41" ht="18" customHeight="1" thickBot="1" x14ac:dyDescent="0.4">
      <c r="A16" t="s">
        <v>1470</v>
      </c>
      <c r="C16" s="297">
        <v>1207700</v>
      </c>
      <c r="D16" s="438">
        <v>513</v>
      </c>
      <c r="E16" s="261" t="str">
        <f>+VLOOKUP(D16,'Conteo VACIO'!$A$8:$D$226,4,0)</f>
        <v>C1</v>
      </c>
      <c r="F16" s="323" t="s">
        <v>746</v>
      </c>
      <c r="G16" s="356" t="s">
        <v>1183</v>
      </c>
      <c r="H16" s="261"/>
      <c r="I16" s="476"/>
      <c r="J16" s="310"/>
      <c r="L16" s="978">
        <f>+IFERROR(Q16/P16,0)</f>
        <v>0.64088478722625064</v>
      </c>
      <c r="M16" s="492">
        <f>+IFERROR(U16/X16,0)</f>
        <v>0.64088478722625064</v>
      </c>
      <c r="O16" s="750">
        <f t="shared" ref="O16:O18" si="1">IF(P16-Q16-R16&lt;0,0,P16-Q16-R16)</f>
        <v>19612</v>
      </c>
      <c r="P16" s="486">
        <f>+IFERROR(AE16*AK16,0)</f>
        <v>54612</v>
      </c>
      <c r="Q16" s="346">
        <f>+(Z16*AB16)+AA16</f>
        <v>35000</v>
      </c>
      <c r="R16" s="751"/>
      <c r="S16" s="532"/>
      <c r="T16" s="401">
        <f>+IFERROR(SUMIFS('Stock CD'!D:D,D273,'Stock CD'!C:C),0)</f>
        <v>0</v>
      </c>
      <c r="U16" s="404">
        <f>+T16+Q16</f>
        <v>35000</v>
      </c>
      <c r="W16" s="401">
        <f>+IFERROR(VLOOKUP(D16,'Stock CD'!B:I,8,0),0)</f>
        <v>0</v>
      </c>
      <c r="X16" s="404">
        <f>+W16+P16</f>
        <v>54612</v>
      </c>
      <c r="Z16" s="712">
        <f>+SUMIFS('Conteo VACIO'!F:F,'Conteo VACIO'!$A:$A,$D16)</f>
        <v>35</v>
      </c>
      <c r="AA16" s="304">
        <f>+SUMIFS('Conteo VACIO'!G:G,'Conteo VACIO'!$A:$A,$D16)</f>
        <v>0</v>
      </c>
      <c r="AB16" s="534">
        <v>1000</v>
      </c>
      <c r="AD16" s="398" t="s">
        <v>1470</v>
      </c>
      <c r="AE16" s="428">
        <f>IF(D16="Corb-LK",SUMIFS('Est Madre LK 10-25'!C:C,'Est Madre LK 10-25'!D:D,"si"),IF(D16="Corb-CH",SUMIFS('Est Madre CH 10-25'!C:C,'Est Madre CH 10-25'!D:D,"si"),0)+IFERROR(VLOOKUP(D16,'Est Madre LK 10-25'!$A:$C,3,),IFERROR(VLOOKUP(D16,'Est Madre CH 10-25'!$A:$C,3,),0)))</f>
        <v>18204</v>
      </c>
      <c r="AF16" s="361">
        <v>12000</v>
      </c>
      <c r="AG16" s="261">
        <v>12</v>
      </c>
      <c r="AH16" s="326">
        <v>61.336709999999997</v>
      </c>
      <c r="AI16" s="600" t="s">
        <v>1758</v>
      </c>
      <c r="AJ16" s="261" t="s">
        <v>1667</v>
      </c>
      <c r="AK16" s="333">
        <v>3</v>
      </c>
    </row>
    <row r="17" spans="1:40" ht="18" customHeight="1" thickBot="1" x14ac:dyDescent="0.4">
      <c r="A17" t="s">
        <v>1470</v>
      </c>
      <c r="C17" s="302">
        <v>1207700</v>
      </c>
      <c r="D17" s="439">
        <v>505</v>
      </c>
      <c r="E17" s="260" t="str">
        <f>+VLOOKUP(D17,'Conteo VACIO'!$A$8:$D$226,4,0)</f>
        <v>B1</v>
      </c>
      <c r="F17" s="322" t="s">
        <v>746</v>
      </c>
      <c r="G17" s="329" t="s">
        <v>1186</v>
      </c>
      <c r="H17" s="261"/>
      <c r="I17" s="477"/>
      <c r="J17" s="310"/>
      <c r="L17" s="980">
        <f>+IFERROR(Q17/P17,0)</f>
        <v>0.39205555555555555</v>
      </c>
      <c r="M17" s="485">
        <f>+IFERROR(U17/X17,0)</f>
        <v>0.39205555555555555</v>
      </c>
      <c r="O17" s="752">
        <f t="shared" si="1"/>
        <v>54715</v>
      </c>
      <c r="P17" s="487">
        <f>+IFERROR(AE17*AK17,0)</f>
        <v>90000</v>
      </c>
      <c r="Q17" s="345">
        <f>+(Z17*AB17)+AA17</f>
        <v>35285</v>
      </c>
      <c r="R17" s="753"/>
      <c r="T17" s="402">
        <f>+IFERROR(SUMIFS('Stock CD'!D:D,D274,'Stock CD'!C:C),0)</f>
        <v>0</v>
      </c>
      <c r="U17" s="405">
        <f>+T17+Q17</f>
        <v>35285</v>
      </c>
      <c r="W17" s="402">
        <f>+IFERROR(VLOOKUP(D17,'Stock CD'!B:I,8,0),0)</f>
        <v>0</v>
      </c>
      <c r="X17" s="405">
        <f>+W17+P17</f>
        <v>90000</v>
      </c>
      <c r="Z17" s="450">
        <f>+SUMIFS('Conteo VACIO'!F:F,'Conteo VACIO'!$A:$A,$D17)</f>
        <v>35</v>
      </c>
      <c r="AA17" s="305">
        <f>+SUMIFS('Conteo VACIO'!G:G,'Conteo VACIO'!$A:$A,$D17)</f>
        <v>285</v>
      </c>
      <c r="AB17" s="517">
        <v>1000</v>
      </c>
      <c r="AD17" s="430" t="s">
        <v>1470</v>
      </c>
      <c r="AE17" s="414">
        <f>IF(D17="Corb-LK",SUMIFS('Est Madre LK 10-25'!C:C,'Est Madre LK 10-25'!D:D,"si"),IF(D17="Corb-CH",SUMIFS('Est Madre CH 10-25'!C:C,'Est Madre CH 10-25'!D:D,"si"),0)+IFERROR(VLOOKUP(D17,'Est Madre LK 10-25'!$A:$C,3,),IFERROR(VLOOKUP(D17,'Est Madre CH 10-25'!$A:$C,3,),0)))</f>
        <v>30000</v>
      </c>
      <c r="AF17" s="362">
        <v>12000</v>
      </c>
      <c r="AG17" s="260">
        <v>12</v>
      </c>
      <c r="AH17" s="325">
        <v>61.336709999999997</v>
      </c>
      <c r="AI17" s="601" t="s">
        <v>1758</v>
      </c>
      <c r="AJ17" s="260" t="s">
        <v>1667</v>
      </c>
      <c r="AK17" s="335">
        <v>3</v>
      </c>
    </row>
    <row r="18" spans="1:40" ht="18" customHeight="1" thickBot="1" x14ac:dyDescent="0.4">
      <c r="A18" t="s">
        <v>1470</v>
      </c>
      <c r="C18" s="298">
        <v>1207700</v>
      </c>
      <c r="D18" s="449">
        <v>586</v>
      </c>
      <c r="E18" s="262" t="str">
        <f>+VLOOKUP(D18,'Conteo VACIO'!$A$8:$D$226,4,0)</f>
        <v>B3</v>
      </c>
      <c r="F18" s="324" t="s">
        <v>746</v>
      </c>
      <c r="G18" s="357" t="s">
        <v>1509</v>
      </c>
      <c r="H18" s="261"/>
      <c r="I18" s="478"/>
      <c r="J18" s="310"/>
      <c r="L18" s="979">
        <f>+IFERROR(Q18/P18,0)</f>
        <v>1.7605298265675624</v>
      </c>
      <c r="M18" s="493">
        <f>+IFERROR(U18/X18,0)</f>
        <v>1.7605298265675624</v>
      </c>
      <c r="O18" s="754">
        <f t="shared" si="1"/>
        <v>0</v>
      </c>
      <c r="P18" s="488">
        <f>+IFERROR(AE18*AK18,0)</f>
        <v>20988</v>
      </c>
      <c r="Q18" s="347">
        <f>+(Z18*AB18)+AA18</f>
        <v>36950</v>
      </c>
      <c r="R18" s="755"/>
      <c r="T18" s="403">
        <f>+IFERROR(SUMIFS('Stock CD'!D:D,D275,'Stock CD'!C:C),0)</f>
        <v>0</v>
      </c>
      <c r="U18" s="406">
        <f>+T18+Q18</f>
        <v>36950</v>
      </c>
      <c r="W18" s="403">
        <f>+IFERROR(VLOOKUP(D18,'Stock CD'!B:I,8,0),0)</f>
        <v>0</v>
      </c>
      <c r="X18" s="406">
        <f>+W18+P18</f>
        <v>20988</v>
      </c>
      <c r="Z18" s="451">
        <f>+SUMIFS('Conteo VACIO'!F:F,'Conteo VACIO'!$A:$A,$D18)</f>
        <v>36</v>
      </c>
      <c r="AA18" s="306">
        <f>+SUMIFS('Conteo VACIO'!G:G,'Conteo VACIO'!$A:$A,$D18)</f>
        <v>950</v>
      </c>
      <c r="AB18" s="518">
        <v>1000</v>
      </c>
      <c r="AD18" s="431" t="s">
        <v>1470</v>
      </c>
      <c r="AE18" s="429">
        <f>IF(D18="Corb-LK",SUMIFS('Est Madre LK 10-25'!C:C,'Est Madre LK 10-25'!D:D,"si"),IF(D18="Corb-CH",SUMIFS('Est Madre CH 10-25'!C:C,'Est Madre CH 10-25'!D:D,"si"),0)+IFERROR(VLOOKUP(D18,'Est Madre LK 10-25'!$A:$C,3,),IFERROR(VLOOKUP(D18,'Est Madre CH 10-25'!$A:$C,3,),0)))</f>
        <v>6996</v>
      </c>
      <c r="AF18" s="364">
        <v>12000</v>
      </c>
      <c r="AG18" s="262">
        <v>12</v>
      </c>
      <c r="AH18" s="327">
        <v>61.336709999999997</v>
      </c>
      <c r="AI18" s="603" t="s">
        <v>1758</v>
      </c>
      <c r="AJ18" s="262" t="s">
        <v>1667</v>
      </c>
      <c r="AK18" s="337">
        <v>3</v>
      </c>
    </row>
    <row r="19" spans="1:40" ht="6.6" customHeight="1" thickBot="1" x14ac:dyDescent="0.4">
      <c r="C19" s="348"/>
      <c r="D19" s="294"/>
      <c r="F19" s="299"/>
      <c r="G19" s="310"/>
      <c r="H19" s="631"/>
      <c r="I19" s="310"/>
      <c r="J19" s="310"/>
      <c r="L19" s="458"/>
      <c r="M19" s="459"/>
      <c r="O19" s="687">
        <f>+SUM(O16:O18)</f>
        <v>74327</v>
      </c>
      <c r="P19" s="383"/>
      <c r="Q19" s="338"/>
      <c r="R19" s="687"/>
      <c r="T19" s="460"/>
      <c r="U19" s="460"/>
      <c r="W19" s="460"/>
      <c r="X19" s="460"/>
      <c r="Z19" s="309"/>
      <c r="AA19" s="309"/>
      <c r="AB19" s="389"/>
      <c r="AE19" s="386"/>
      <c r="AF19" s="389"/>
      <c r="AG19" s="127"/>
      <c r="AH19" s="350"/>
      <c r="AI19" s="599"/>
      <c r="AJ19" s="127"/>
    </row>
    <row r="20" spans="1:40" s="385" customFormat="1" ht="30" customHeight="1" thickBot="1" x14ac:dyDescent="0.35">
      <c r="C20" s="1267" t="s">
        <v>1765</v>
      </c>
      <c r="D20" s="1268"/>
      <c r="E20" s="1268"/>
      <c r="F20" s="1268"/>
      <c r="G20" s="1268"/>
      <c r="H20" s="1268"/>
      <c r="I20" s="1269"/>
      <c r="J20" s="339"/>
      <c r="L20" s="845"/>
      <c r="M20" s="846"/>
      <c r="N20" s="516"/>
      <c r="O20" s="784"/>
      <c r="P20" s="727"/>
      <c r="Q20" s="727"/>
      <c r="R20" s="784"/>
      <c r="S20" s="516"/>
      <c r="T20" s="784"/>
      <c r="U20" s="784"/>
      <c r="V20" s="516"/>
      <c r="W20" s="784"/>
      <c r="X20" s="784"/>
      <c r="Y20"/>
      <c r="Z20" s="698"/>
      <c r="AA20" s="698"/>
      <c r="AB20" s="697"/>
      <c r="AC20"/>
      <c r="AD20" s="698"/>
      <c r="AE20" s="698"/>
      <c r="AF20" s="697"/>
      <c r="AG20" s="698"/>
      <c r="AH20" s="698"/>
      <c r="AI20" s="698"/>
      <c r="AJ20" s="698"/>
      <c r="AK20" s="698"/>
    </row>
    <row r="21" spans="1:40" ht="18" customHeight="1" thickBot="1" x14ac:dyDescent="0.4">
      <c r="A21" t="s">
        <v>1470</v>
      </c>
      <c r="C21" s="297">
        <v>1261700</v>
      </c>
      <c r="D21" s="438">
        <v>525</v>
      </c>
      <c r="E21" s="261" t="str">
        <f>+VLOOKUP(D21,'Conteo VACIO'!$A$8:$D$226,4,0)</f>
        <v>E1B</v>
      </c>
      <c r="F21" s="323" t="s">
        <v>746</v>
      </c>
      <c r="G21" s="356" t="s">
        <v>805</v>
      </c>
      <c r="H21" s="632"/>
      <c r="I21" s="476"/>
      <c r="J21" s="310"/>
      <c r="L21" s="902">
        <f t="shared" ref="L21:L27" si="2">+IFERROR(Q21/P21,0)</f>
        <v>1.2122844827586208</v>
      </c>
      <c r="M21" s="948">
        <f t="shared" ref="M21:M27" si="3">+IFERROR(U21/X21,0)</f>
        <v>1.2122844827586208</v>
      </c>
      <c r="O21" s="750">
        <f t="shared" ref="O21:O27" si="4">IF(P21-Q21-R21&lt;0,0,P21-Q21-R21)</f>
        <v>0</v>
      </c>
      <c r="P21" s="486">
        <f t="shared" ref="P21:P27" si="5">+IFERROR(AE21*AK21,0)</f>
        <v>5568</v>
      </c>
      <c r="Q21" s="346">
        <f t="shared" ref="Q21:Q27" si="6">+(Z21*AB21)+AA21</f>
        <v>6750</v>
      </c>
      <c r="R21" s="751"/>
      <c r="S21" s="281"/>
      <c r="T21" s="401">
        <f>+IFERROR(SUMIFS('Stock CD'!D:D,D306,'Stock CD'!C:C),0)</f>
        <v>0</v>
      </c>
      <c r="U21" s="404">
        <f t="shared" ref="U21:U27" si="7">+T21+Q21</f>
        <v>6750</v>
      </c>
      <c r="W21" s="401">
        <f>+IFERROR(VLOOKUP(D21,'Stock CD'!B:I,8,0),0)</f>
        <v>0</v>
      </c>
      <c r="X21" s="404">
        <f t="shared" ref="X21:X27" si="8">+W21+P21</f>
        <v>5568</v>
      </c>
      <c r="Z21" s="304">
        <f>+SUMIFS('Conteo VACIO'!F:F,'Conteo VACIO'!$A:$A,$D21)</f>
        <v>6</v>
      </c>
      <c r="AA21" s="304">
        <f>+SUMIFS('Conteo VACIO'!G:G,'Conteo VACIO'!$A:$A,$D21)</f>
        <v>750</v>
      </c>
      <c r="AB21" s="361">
        <v>1000</v>
      </c>
      <c r="AD21" s="398" t="s">
        <v>1470</v>
      </c>
      <c r="AE21" s="428">
        <f>IF(D21="Corb-LK",SUMIFS('Est Madre LK 10-25'!C:C,'Est Madre LK 10-25'!D:D,"si"),IF(D21="Corb-CH",SUMIFS('Est Madre CH 10-25'!C:C,'Est Madre CH 10-25'!D:D,"si"),0)+IFERROR(VLOOKUP(D21,'Est Madre LK 10-25'!$A:$C,3,),IFERROR(VLOOKUP(D21,'Est Madre CH 10-25'!$A:$C,3,),0)))</f>
        <v>1392</v>
      </c>
      <c r="AF21" s="361">
        <v>12000</v>
      </c>
      <c r="AG21" s="261">
        <v>12</v>
      </c>
      <c r="AH21" s="720">
        <v>0</v>
      </c>
      <c r="AI21" s="722" t="s">
        <v>1758</v>
      </c>
      <c r="AJ21" s="353" t="s">
        <v>1213</v>
      </c>
      <c r="AK21" s="736">
        <v>4</v>
      </c>
    </row>
    <row r="22" spans="1:40" ht="18" customHeight="1" thickBot="1" x14ac:dyDescent="0.4">
      <c r="A22" t="s">
        <v>1470</v>
      </c>
      <c r="C22" s="302">
        <v>1261700</v>
      </c>
      <c r="D22" s="439">
        <v>531</v>
      </c>
      <c r="E22" s="260" t="str">
        <f>+VLOOKUP(D22,'Conteo VACIO'!$A$8:$D$226,4,0)</f>
        <v>E4B</v>
      </c>
      <c r="F22" s="322" t="s">
        <v>746</v>
      </c>
      <c r="G22" s="329" t="s">
        <v>1199</v>
      </c>
      <c r="H22" s="632"/>
      <c r="I22" s="477"/>
      <c r="J22" s="310"/>
      <c r="L22" s="903">
        <f t="shared" si="2"/>
        <v>0.75520833333333337</v>
      </c>
      <c r="M22" s="949">
        <f t="shared" si="3"/>
        <v>0.75520833333333337</v>
      </c>
      <c r="O22" s="752">
        <f t="shared" si="4"/>
        <v>1410</v>
      </c>
      <c r="P22" s="487">
        <f t="shared" si="5"/>
        <v>5760</v>
      </c>
      <c r="Q22" s="345">
        <f t="shared" si="6"/>
        <v>4350</v>
      </c>
      <c r="R22" s="753"/>
      <c r="S22" s="281"/>
      <c r="T22" s="402">
        <f>+IFERROR(SUMIFS('Stock CD'!D:D,D307,'Stock CD'!C:C),0)</f>
        <v>0</v>
      </c>
      <c r="U22" s="405">
        <f t="shared" si="7"/>
        <v>4350</v>
      </c>
      <c r="W22" s="402">
        <f>+IFERROR(VLOOKUP(D22,'Stock CD'!B:I,8,0),0)</f>
        <v>0</v>
      </c>
      <c r="X22" s="405">
        <f t="shared" si="8"/>
        <v>5760</v>
      </c>
      <c r="Z22" s="305">
        <f>+SUMIFS('Conteo VACIO'!F:F,'Conteo VACIO'!$A:$A,$D22)</f>
        <v>4</v>
      </c>
      <c r="AA22" s="305">
        <f>+SUMIFS('Conteo VACIO'!G:G,'Conteo VACIO'!$A:$A,$D22)</f>
        <v>350</v>
      </c>
      <c r="AB22" s="362">
        <v>1000</v>
      </c>
      <c r="AD22" s="430" t="s">
        <v>1470</v>
      </c>
      <c r="AE22" s="414">
        <f>IF(D22="Corb-LK",SUMIFS('Est Madre LK 10-25'!C:C,'Est Madre LK 10-25'!D:D,"si"),IF(D22="Corb-CH",SUMIFS('Est Madre CH 10-25'!C:C,'Est Madre CH 10-25'!D:D,"si"),0)+IFERROR(VLOOKUP(D22,'Est Madre LK 10-25'!$A:$C,3,),IFERROR(VLOOKUP(D22,'Est Madre CH 10-25'!$A:$C,3,),0)))</f>
        <v>1440</v>
      </c>
      <c r="AF22" s="362">
        <v>12000</v>
      </c>
      <c r="AG22" s="260">
        <v>12</v>
      </c>
      <c r="AH22" s="721">
        <v>0</v>
      </c>
      <c r="AI22" s="723" t="s">
        <v>1758</v>
      </c>
      <c r="AJ22" s="354" t="s">
        <v>1213</v>
      </c>
      <c r="AK22" s="736">
        <v>4</v>
      </c>
    </row>
    <row r="23" spans="1:40" ht="18" customHeight="1" thickBot="1" x14ac:dyDescent="0.4">
      <c r="A23" t="s">
        <v>1470</v>
      </c>
      <c r="C23" s="302">
        <v>1261700</v>
      </c>
      <c r="D23" s="439">
        <v>521</v>
      </c>
      <c r="E23" s="260" t="str">
        <f>+VLOOKUP(D23,'Conteo VACIO'!$A$8:$D$226,4,0)</f>
        <v>E1A</v>
      </c>
      <c r="F23" s="322" t="s">
        <v>746</v>
      </c>
      <c r="G23" s="329" t="s">
        <v>803</v>
      </c>
      <c r="H23" s="632"/>
      <c r="I23" s="477"/>
      <c r="J23" s="310"/>
      <c r="L23" s="903">
        <f t="shared" si="2"/>
        <v>0.73198198198198194</v>
      </c>
      <c r="M23" s="949">
        <f t="shared" si="3"/>
        <v>0.73198198198198194</v>
      </c>
      <c r="O23" s="752">
        <f t="shared" si="4"/>
        <v>2380</v>
      </c>
      <c r="P23" s="487">
        <f t="shared" si="5"/>
        <v>8880</v>
      </c>
      <c r="Q23" s="345">
        <f t="shared" si="6"/>
        <v>6500</v>
      </c>
      <c r="R23" s="753"/>
      <c r="S23" s="281"/>
      <c r="T23" s="402">
        <f>+IFERROR(SUMIFS('Stock CD'!D:D,D308,'Stock CD'!C:C),0)</f>
        <v>0</v>
      </c>
      <c r="U23" s="405">
        <f t="shared" si="7"/>
        <v>6500</v>
      </c>
      <c r="W23" s="402">
        <f>+IFERROR(VLOOKUP(D23,'Stock CD'!B:I,8,0),0)</f>
        <v>0</v>
      </c>
      <c r="X23" s="405">
        <f t="shared" si="8"/>
        <v>8880</v>
      </c>
      <c r="Z23" s="305">
        <f>+SUMIFS('Conteo VACIO'!F:F,'Conteo VACIO'!$A:$A,$D23)</f>
        <v>6</v>
      </c>
      <c r="AA23" s="305">
        <f>+SUMIFS('Conteo VACIO'!G:G,'Conteo VACIO'!$A:$A,$D23)</f>
        <v>500</v>
      </c>
      <c r="AB23" s="362">
        <v>1000</v>
      </c>
      <c r="AD23" s="430" t="s">
        <v>1470</v>
      </c>
      <c r="AE23" s="414">
        <f>IF(D23="Corb-LK",SUMIFS('Est Madre LK 10-25'!C:C,'Est Madre LK 10-25'!D:D,"si"),IF(D23="Corb-CH",SUMIFS('Est Madre CH 10-25'!C:C,'Est Madre CH 10-25'!D:D,"si"),0)+IFERROR(VLOOKUP(D23,'Est Madre LK 10-25'!$A:$C,3,),IFERROR(VLOOKUP(D23,'Est Madre CH 10-25'!$A:$C,3,),0)))</f>
        <v>2220</v>
      </c>
      <c r="AF23" s="362">
        <v>12000</v>
      </c>
      <c r="AG23" s="260">
        <v>12</v>
      </c>
      <c r="AH23" s="721">
        <v>0</v>
      </c>
      <c r="AI23" s="723" t="s">
        <v>1758</v>
      </c>
      <c r="AJ23" s="354" t="s">
        <v>1213</v>
      </c>
      <c r="AK23" s="736">
        <v>4</v>
      </c>
    </row>
    <row r="24" spans="1:40" ht="18" customHeight="1" thickBot="1" x14ac:dyDescent="0.4">
      <c r="A24" t="s">
        <v>1470</v>
      </c>
      <c r="C24" s="302">
        <v>1261700</v>
      </c>
      <c r="D24" s="439">
        <v>523</v>
      </c>
      <c r="E24" s="260" t="str">
        <f>+VLOOKUP(D24,'Conteo VACIO'!$A$8:$D$226,4,0)</f>
        <v>E4A</v>
      </c>
      <c r="F24" s="322" t="s">
        <v>746</v>
      </c>
      <c r="G24" s="329" t="s">
        <v>1325</v>
      </c>
      <c r="H24" s="632"/>
      <c r="I24" s="477"/>
      <c r="J24" s="310"/>
      <c r="L24" s="903">
        <f t="shared" si="2"/>
        <v>0.56463068181818177</v>
      </c>
      <c r="M24" s="949">
        <f t="shared" si="3"/>
        <v>0.56463068181818177</v>
      </c>
      <c r="O24" s="752">
        <f t="shared" si="4"/>
        <v>3678</v>
      </c>
      <c r="P24" s="487">
        <f t="shared" si="5"/>
        <v>8448</v>
      </c>
      <c r="Q24" s="345">
        <f t="shared" si="6"/>
        <v>4770</v>
      </c>
      <c r="R24" s="753"/>
      <c r="S24" s="281"/>
      <c r="T24" s="402">
        <f>+IFERROR(SUMIFS('Stock CD'!D:D,D309,'Stock CD'!C:C),0)</f>
        <v>0</v>
      </c>
      <c r="U24" s="405">
        <f t="shared" si="7"/>
        <v>4770</v>
      </c>
      <c r="W24" s="402">
        <f>+IFERROR(VLOOKUP(D24,'Stock CD'!B:I,8,0),0)</f>
        <v>0</v>
      </c>
      <c r="X24" s="405">
        <f t="shared" si="8"/>
        <v>8448</v>
      </c>
      <c r="Z24" s="305">
        <f>+SUMIFS('Conteo VACIO'!F:F,'Conteo VACIO'!$A:$A,$D24)</f>
        <v>4</v>
      </c>
      <c r="AA24" s="305">
        <f>+SUMIFS('Conteo VACIO'!G:G,'Conteo VACIO'!$A:$A,$D24)</f>
        <v>770</v>
      </c>
      <c r="AB24" s="362">
        <v>1000</v>
      </c>
      <c r="AD24" s="430" t="s">
        <v>1470</v>
      </c>
      <c r="AE24" s="414">
        <f>IF(D24="Corb-LK",SUMIFS('Est Madre LK 10-25'!C:C,'Est Madre LK 10-25'!D:D,"si"),IF(D24="Corb-CH",SUMIFS('Est Madre CH 10-25'!C:C,'Est Madre CH 10-25'!D:D,"si"),0)+IFERROR(VLOOKUP(D24,'Est Madre LK 10-25'!$A:$C,3,),IFERROR(VLOOKUP(D24,'Est Madre CH 10-25'!$A:$C,3,),0)))</f>
        <v>2112</v>
      </c>
      <c r="AF24" s="362">
        <v>12000</v>
      </c>
      <c r="AG24" s="260">
        <v>12</v>
      </c>
      <c r="AH24" s="721">
        <v>0</v>
      </c>
      <c r="AI24" s="723" t="s">
        <v>1758</v>
      </c>
      <c r="AJ24" s="354" t="s">
        <v>1213</v>
      </c>
      <c r="AK24" s="736">
        <v>4</v>
      </c>
    </row>
    <row r="25" spans="1:40" ht="18" customHeight="1" thickBot="1" x14ac:dyDescent="0.4">
      <c r="A25" t="s">
        <v>1470</v>
      </c>
      <c r="C25" s="302">
        <v>1261700</v>
      </c>
      <c r="D25" s="439">
        <v>581</v>
      </c>
      <c r="E25" s="260" t="str">
        <f>+VLOOKUP(D25,'Conteo VACIO'!$A$8:$D$226,4,0)</f>
        <v>E2B</v>
      </c>
      <c r="F25" s="322" t="s">
        <v>746</v>
      </c>
      <c r="G25" s="329" t="s">
        <v>1739</v>
      </c>
      <c r="H25" s="632"/>
      <c r="I25" s="477"/>
      <c r="J25" s="310"/>
      <c r="L25" s="903">
        <f t="shared" si="2"/>
        <v>2.6692708333333335</v>
      </c>
      <c r="M25" s="949">
        <f t="shared" si="3"/>
        <v>2.6692708333333335</v>
      </c>
      <c r="O25" s="752">
        <f t="shared" si="4"/>
        <v>0</v>
      </c>
      <c r="P25" s="487">
        <f t="shared" si="5"/>
        <v>3072</v>
      </c>
      <c r="Q25" s="345">
        <f t="shared" si="6"/>
        <v>8200</v>
      </c>
      <c r="R25" s="753"/>
      <c r="S25" s="281"/>
      <c r="T25" s="402">
        <f>+IFERROR(SUMIFS('Stock CD'!D:D,D310,'Stock CD'!C:C),0)</f>
        <v>0</v>
      </c>
      <c r="U25" s="405">
        <f t="shared" si="7"/>
        <v>8200</v>
      </c>
      <c r="W25" s="402">
        <f>+IFERROR(VLOOKUP(D25,'Stock CD'!B:I,8,0),0)</f>
        <v>0</v>
      </c>
      <c r="X25" s="405">
        <f t="shared" si="8"/>
        <v>3072</v>
      </c>
      <c r="Z25" s="305">
        <f>+SUMIFS('Conteo VACIO'!F:F,'Conteo VACIO'!$A:$A,$D25)</f>
        <v>8</v>
      </c>
      <c r="AA25" s="305">
        <f>+SUMIFS('Conteo VACIO'!G:G,'Conteo VACIO'!$A:$A,$D25)</f>
        <v>200</v>
      </c>
      <c r="AB25" s="362">
        <v>1000</v>
      </c>
      <c r="AD25" s="430" t="s">
        <v>1470</v>
      </c>
      <c r="AE25" s="414">
        <f>IF(D25="Corb-LK",SUMIFS('Est Madre LK 10-25'!C:C,'Est Madre LK 10-25'!D:D,"si"),IF(D25="Corb-CH",SUMIFS('Est Madre CH 10-25'!C:C,'Est Madre CH 10-25'!D:D,"si"),0)+IFERROR(VLOOKUP(D25,'Est Madre LK 10-25'!$A:$C,3,),IFERROR(VLOOKUP(D25,'Est Madre CH 10-25'!$A:$C,3,),0)))</f>
        <v>768</v>
      </c>
      <c r="AF25" s="362">
        <v>12000</v>
      </c>
      <c r="AG25" s="260">
        <v>12</v>
      </c>
      <c r="AH25" s="721">
        <v>0</v>
      </c>
      <c r="AI25" s="723" t="s">
        <v>1758</v>
      </c>
      <c r="AJ25" s="354" t="s">
        <v>1213</v>
      </c>
      <c r="AK25" s="736">
        <v>4</v>
      </c>
    </row>
    <row r="26" spans="1:40" s="208" customFormat="1" ht="16.2" customHeight="1" thickBot="1" x14ac:dyDescent="0.4">
      <c r="A26" t="s">
        <v>1470</v>
      </c>
      <c r="B26"/>
      <c r="C26" s="302">
        <v>1261700</v>
      </c>
      <c r="D26" s="439">
        <v>530</v>
      </c>
      <c r="E26" s="260" t="str">
        <f>+VLOOKUP(D26,'Conteo VACIO'!$A$8:$D$226,4,0)</f>
        <v>E3</v>
      </c>
      <c r="F26" s="322" t="s">
        <v>746</v>
      </c>
      <c r="G26" s="329" t="s">
        <v>1223</v>
      </c>
      <c r="H26" s="632"/>
      <c r="I26" s="477"/>
      <c r="J26" s="310"/>
      <c r="K26"/>
      <c r="L26" s="903">
        <f t="shared" si="2"/>
        <v>0.34375</v>
      </c>
      <c r="M26" s="949">
        <f t="shared" si="3"/>
        <v>0.34375</v>
      </c>
      <c r="N26"/>
      <c r="O26" s="752">
        <f t="shared" si="4"/>
        <v>9450</v>
      </c>
      <c r="P26" s="487">
        <f t="shared" si="5"/>
        <v>14400</v>
      </c>
      <c r="Q26" s="345">
        <f t="shared" si="6"/>
        <v>4950</v>
      </c>
      <c r="R26" s="753"/>
      <c r="S26" s="281"/>
      <c r="T26" s="402">
        <f>+IFERROR(SUMIFS('Stock CD'!D:D,D311,'Stock CD'!C:C),0)</f>
        <v>0</v>
      </c>
      <c r="U26" s="405">
        <f t="shared" si="7"/>
        <v>4950</v>
      </c>
      <c r="V26"/>
      <c r="W26" s="402">
        <f>+IFERROR(VLOOKUP(D26,'Stock CD'!B:I,8,0),0)</f>
        <v>0</v>
      </c>
      <c r="X26" s="405">
        <f t="shared" si="8"/>
        <v>14400</v>
      </c>
      <c r="Y26"/>
      <c r="Z26" s="305">
        <f>+SUMIFS('Conteo VACIO'!F:F,'Conteo VACIO'!$A:$A,$D26)</f>
        <v>4</v>
      </c>
      <c r="AA26" s="305">
        <f>+SUMIFS('Conteo VACIO'!G:G,'Conteo VACIO'!$A:$A,$D26)</f>
        <v>950</v>
      </c>
      <c r="AB26" s="362">
        <v>1000</v>
      </c>
      <c r="AC26"/>
      <c r="AD26" s="430" t="s">
        <v>1470</v>
      </c>
      <c r="AE26" s="414">
        <f>IF(D26="Corb-LK",SUMIFS('Est Madre LK 10-25'!C:C,'Est Madre LK 10-25'!D:D,"si"),IF(D26="Corb-CH",SUMIFS('Est Madre CH 10-25'!C:C,'Est Madre CH 10-25'!D:D,"si"),0)+IFERROR(VLOOKUP(D26,'Est Madre LK 10-25'!$A:$C,3,),IFERROR(VLOOKUP(D26,'Est Madre CH 10-25'!$A:$C,3,),0)))</f>
        <v>3600</v>
      </c>
      <c r="AF26" s="362">
        <v>12000</v>
      </c>
      <c r="AG26" s="260">
        <v>12</v>
      </c>
      <c r="AH26" s="721">
        <v>0</v>
      </c>
      <c r="AI26" s="723" t="s">
        <v>1758</v>
      </c>
      <c r="AJ26" s="354" t="s">
        <v>1213</v>
      </c>
      <c r="AK26" s="736">
        <v>4</v>
      </c>
      <c r="AL26"/>
      <c r="AM26"/>
      <c r="AN26"/>
    </row>
    <row r="27" spans="1:40" ht="18" customHeight="1" thickBot="1" x14ac:dyDescent="0.4">
      <c r="A27" t="s">
        <v>1470</v>
      </c>
      <c r="C27" s="298">
        <v>1261700</v>
      </c>
      <c r="D27" s="449">
        <v>520</v>
      </c>
      <c r="E27" s="262" t="str">
        <f>+VLOOKUP(D27,'Conteo VACIO'!$A$8:$D$226,4,0)</f>
        <v>E2A</v>
      </c>
      <c r="F27" s="324" t="s">
        <v>746</v>
      </c>
      <c r="G27" s="357" t="s">
        <v>802</v>
      </c>
      <c r="H27" s="632"/>
      <c r="I27" s="478"/>
      <c r="J27" s="310"/>
      <c r="L27" s="904">
        <f t="shared" si="2"/>
        <v>2.5881410256410258E-2</v>
      </c>
      <c r="M27" s="950">
        <f t="shared" si="3"/>
        <v>2.5881410256410258E-2</v>
      </c>
      <c r="O27" s="754">
        <f t="shared" si="4"/>
        <v>12157</v>
      </c>
      <c r="P27" s="488">
        <f t="shared" si="5"/>
        <v>12480</v>
      </c>
      <c r="Q27" s="347">
        <f t="shared" si="6"/>
        <v>323</v>
      </c>
      <c r="R27" s="755"/>
      <c r="S27" s="281"/>
      <c r="T27" s="403">
        <f>+IFERROR(SUMIFS('Stock CD'!D:D,D312,'Stock CD'!C:C),0)</f>
        <v>0</v>
      </c>
      <c r="U27" s="406">
        <f t="shared" si="7"/>
        <v>323</v>
      </c>
      <c r="W27" s="403">
        <f>+IFERROR(VLOOKUP(D27,'Stock CD'!B:I,8,0),0)</f>
        <v>0</v>
      </c>
      <c r="X27" s="406">
        <f t="shared" si="8"/>
        <v>12480</v>
      </c>
      <c r="Z27" s="306">
        <f>+SUMIFS('Conteo VACIO'!F:F,'Conteo VACIO'!$A:$A,$D27)</f>
        <v>0</v>
      </c>
      <c r="AA27" s="306">
        <f>+SUMIFS('Conteo VACIO'!G:G,'Conteo VACIO'!$A:$A,$D27)</f>
        <v>323</v>
      </c>
      <c r="AB27" s="364">
        <v>1000</v>
      </c>
      <c r="AD27" s="431" t="s">
        <v>1470</v>
      </c>
      <c r="AE27" s="429">
        <f>IF(D27="Corb-LK",SUMIFS('Est Madre LK 10-25'!C:C,'Est Madre LK 10-25'!D:D,"si"),IF(D27="Corb-CH",SUMIFS('Est Madre CH 10-25'!C:C,'Est Madre CH 10-25'!D:D,"si"),0)+IFERROR(VLOOKUP(D27,'Est Madre LK 10-25'!$A:$C,3,),IFERROR(VLOOKUP(D27,'Est Madre CH 10-25'!$A:$C,3,),0)))</f>
        <v>3120</v>
      </c>
      <c r="AF27" s="364">
        <v>12000</v>
      </c>
      <c r="AG27" s="262">
        <v>12</v>
      </c>
      <c r="AH27" s="726">
        <v>0</v>
      </c>
      <c r="AI27" s="724" t="s">
        <v>1758</v>
      </c>
      <c r="AJ27" s="359" t="s">
        <v>1213</v>
      </c>
      <c r="AK27" s="1048">
        <v>4</v>
      </c>
    </row>
    <row r="28" spans="1:40" ht="9.6" customHeight="1" thickBot="1" x14ac:dyDescent="0.4">
      <c r="C28" s="294"/>
      <c r="D28" s="294"/>
      <c r="F28" s="299"/>
      <c r="G28" s="310"/>
      <c r="H28" s="631"/>
      <c r="I28" s="310"/>
      <c r="J28" s="310"/>
      <c r="L28" s="458"/>
      <c r="M28" s="459"/>
      <c r="O28" s="687">
        <f>+SUM(O21:O27)</f>
        <v>29075</v>
      </c>
      <c r="P28" s="383"/>
      <c r="Q28" s="338"/>
      <c r="R28" s="687"/>
      <c r="T28" s="460"/>
      <c r="U28" s="460"/>
      <c r="W28" s="460"/>
      <c r="X28" s="460"/>
      <c r="Z28" s="309"/>
      <c r="AA28" s="309"/>
      <c r="AB28" s="389"/>
      <c r="AE28" s="386"/>
      <c r="AF28" s="389"/>
      <c r="AG28" s="127"/>
      <c r="AH28" s="350"/>
      <c r="AI28" s="599"/>
      <c r="AJ28" s="127"/>
    </row>
    <row r="29" spans="1:40" s="385" customFormat="1" ht="30" customHeight="1" thickBot="1" x14ac:dyDescent="0.35">
      <c r="C29" s="1267" t="s">
        <v>1768</v>
      </c>
      <c r="D29" s="1268"/>
      <c r="E29" s="1268"/>
      <c r="F29" s="1268"/>
      <c r="G29" s="1268"/>
      <c r="H29" s="1268"/>
      <c r="I29" s="1269"/>
      <c r="J29" s="339"/>
      <c r="L29" s="845"/>
      <c r="M29" s="846"/>
      <c r="N29" s="516"/>
      <c r="O29" s="784"/>
      <c r="P29" s="727"/>
      <c r="Q29" s="727"/>
      <c r="R29" s="784"/>
      <c r="S29" s="693"/>
      <c r="T29" s="784"/>
      <c r="U29" s="784"/>
      <c r="V29" s="516"/>
      <c r="W29" s="784"/>
      <c r="X29" s="784"/>
      <c r="Y29"/>
      <c r="Z29" s="698"/>
      <c r="AA29" s="698"/>
      <c r="AB29" s="697"/>
      <c r="AC29"/>
      <c r="AD29" s="698"/>
      <c r="AE29" s="698"/>
      <c r="AF29" s="697"/>
      <c r="AG29" s="698"/>
      <c r="AH29" s="698"/>
      <c r="AI29" s="698"/>
      <c r="AJ29" s="698"/>
      <c r="AK29" s="698"/>
    </row>
    <row r="30" spans="1:40" ht="18" customHeight="1" thickBot="1" x14ac:dyDescent="0.4">
      <c r="A30" t="s">
        <v>1470</v>
      </c>
      <c r="C30" s="634">
        <v>1273700</v>
      </c>
      <c r="D30" s="924">
        <v>504</v>
      </c>
      <c r="E30" s="647" t="str">
        <f>+VLOOKUP(D30,'Conteo VACIO'!$A$8:$D$226,4,0)</f>
        <v>C3</v>
      </c>
      <c r="F30" s="635" t="s">
        <v>746</v>
      </c>
      <c r="G30" s="636" t="s">
        <v>1194</v>
      </c>
      <c r="H30" s="748"/>
      <c r="I30" s="910"/>
      <c r="J30" s="310"/>
      <c r="L30" s="912">
        <f>+IFERROR(Q30/P30,0)</f>
        <v>0.52101200686106341</v>
      </c>
      <c r="M30" s="951">
        <f>+IFERROR(U30/X30,0)</f>
        <v>0.52101200686106341</v>
      </c>
      <c r="O30" s="760">
        <f>IF(P30-Q30-R30&lt;0,0,P30-Q30-R30)</f>
        <v>13404</v>
      </c>
      <c r="P30" s="638">
        <f>+IFERROR(AE30*AK30,0)</f>
        <v>27984</v>
      </c>
      <c r="Q30" s="639">
        <f>+(Z30*AB30)+AA30</f>
        <v>14580</v>
      </c>
      <c r="R30" s="759"/>
      <c r="S30" s="637"/>
      <c r="T30" s="640">
        <f>+IFERROR(SUMIFS('Stock CD'!D:D,D42,'Stock CD'!C:C),0)</f>
        <v>0</v>
      </c>
      <c r="U30" s="641">
        <f>+T30+Q30</f>
        <v>14580</v>
      </c>
      <c r="W30" s="640">
        <f>+IFERROR(VLOOKUP(D30,'Stock CD'!B:I,8,0),0)</f>
        <v>0</v>
      </c>
      <c r="X30" s="641">
        <f>+W30+P30</f>
        <v>27984</v>
      </c>
      <c r="Z30" s="642">
        <f>+SUMIFS('Conteo VACIO'!F:F,'Conteo VACIO'!$A:$A,$D30)</f>
        <v>13</v>
      </c>
      <c r="AA30" s="642">
        <f>+SUMIFS('Conteo VACIO'!G:G,'Conteo VACIO'!$A:$A,$D30)</f>
        <v>1580</v>
      </c>
      <c r="AB30" s="643">
        <v>1000</v>
      </c>
      <c r="AD30" s="644" t="s">
        <v>1470</v>
      </c>
      <c r="AE30" s="645">
        <f>IF(D30="Corb-LK",SUMIFS('Est Madre LK 10-25'!C:C,'Est Madre LK 10-25'!D:D,"si"),IF(D30="Corb-CH",SUMIFS('Est Madre CH 10-25'!C:C,'Est Madre CH 10-25'!D:D,"si"),0)+IFERROR(VLOOKUP(D30,'Est Madre LK 10-25'!$A:$C,3,),IFERROR(VLOOKUP(D30,'Est Madre CH 10-25'!$A:$C,3,),0)))</f>
        <v>6996</v>
      </c>
      <c r="AF30" s="646">
        <v>12000</v>
      </c>
      <c r="AG30" s="647">
        <v>12</v>
      </c>
      <c r="AH30" s="648">
        <v>0</v>
      </c>
      <c r="AI30" s="649" t="s">
        <v>1758</v>
      </c>
      <c r="AJ30" s="647" t="s">
        <v>1213</v>
      </c>
      <c r="AK30" s="650">
        <v>4</v>
      </c>
    </row>
    <row r="31" spans="1:40" ht="9.6" customHeight="1" thickBot="1" x14ac:dyDescent="0.4">
      <c r="C31" s="294"/>
      <c r="D31" s="294"/>
      <c r="F31" s="299"/>
      <c r="G31" s="310"/>
      <c r="H31" s="631"/>
      <c r="I31" s="310"/>
      <c r="J31" s="310"/>
      <c r="L31" s="458"/>
      <c r="M31" s="459"/>
      <c r="O31" s="687"/>
      <c r="P31" s="383"/>
      <c r="Q31" s="338"/>
      <c r="R31" s="687"/>
      <c r="T31" s="460"/>
      <c r="U31" s="460"/>
      <c r="W31" s="460"/>
      <c r="X31" s="460"/>
      <c r="Z31" s="309"/>
      <c r="AA31" s="309"/>
      <c r="AB31" s="389"/>
      <c r="AE31" s="386"/>
      <c r="AF31" s="389"/>
      <c r="AG31" s="127"/>
      <c r="AH31" s="350"/>
      <c r="AI31" s="599"/>
      <c r="AJ31" s="127"/>
    </row>
    <row r="32" spans="1:40" s="385" customFormat="1" ht="30" customHeight="1" thickBot="1" x14ac:dyDescent="0.35">
      <c r="C32" s="1267" t="s">
        <v>1769</v>
      </c>
      <c r="D32" s="1268"/>
      <c r="E32" s="1268"/>
      <c r="F32" s="1268"/>
      <c r="G32" s="1268"/>
      <c r="H32" s="1268"/>
      <c r="I32" s="1269"/>
      <c r="J32" s="339"/>
      <c r="L32" s="845"/>
      <c r="M32" s="846"/>
      <c r="N32" s="516"/>
      <c r="O32" s="784"/>
      <c r="P32" s="727"/>
      <c r="Q32" s="727"/>
      <c r="R32" s="784"/>
      <c r="S32" s="693"/>
      <c r="T32" s="784"/>
      <c r="U32" s="784"/>
      <c r="V32" s="516"/>
      <c r="W32" s="784"/>
      <c r="X32" s="784"/>
      <c r="Y32"/>
      <c r="Z32" s="698"/>
      <c r="AA32" s="698"/>
      <c r="AB32" s="697"/>
      <c r="AC32"/>
      <c r="AD32" s="698"/>
      <c r="AE32" s="698"/>
      <c r="AF32" s="697"/>
      <c r="AG32" s="698"/>
      <c r="AH32" s="698"/>
      <c r="AI32" s="698"/>
      <c r="AJ32" s="698"/>
      <c r="AK32" s="698"/>
    </row>
    <row r="33" spans="1:37" ht="18" customHeight="1" thickBot="1" x14ac:dyDescent="0.4">
      <c r="A33" t="s">
        <v>1470</v>
      </c>
      <c r="C33" s="297">
        <v>1269700</v>
      </c>
      <c r="D33" s="438">
        <v>511</v>
      </c>
      <c r="E33" s="261" t="str">
        <f>+VLOOKUP(D33,'Conteo VACIO'!$A$8:$D$226,4,0)</f>
        <v>G3D</v>
      </c>
      <c r="F33" s="323" t="s">
        <v>746</v>
      </c>
      <c r="G33" s="356" t="s">
        <v>1760</v>
      </c>
      <c r="H33" s="632"/>
      <c r="I33" s="476"/>
      <c r="J33" s="310"/>
      <c r="L33" s="902">
        <f t="shared" ref="L33:L58" si="9">+IFERROR(Q33/P33,0)</f>
        <v>1.4772727272727273</v>
      </c>
      <c r="M33" s="948">
        <f t="shared" ref="M33:M58" si="10">+IFERROR(U33/X33,0)</f>
        <v>1.4772727272727273</v>
      </c>
      <c r="O33" s="750">
        <f t="shared" ref="O33:O58" si="11">IF(P33-Q33-R33&lt;0,0,P33-Q33-R33)</f>
        <v>0</v>
      </c>
      <c r="P33" s="486">
        <f t="shared" ref="P33:P58" si="12">+IFERROR(AE33*AK33,0)</f>
        <v>1936</v>
      </c>
      <c r="Q33" s="346">
        <f t="shared" ref="Q33:Q58" si="13">+(Z33*AB33)+AA33</f>
        <v>2860</v>
      </c>
      <c r="R33" s="751"/>
      <c r="S33" s="559"/>
      <c r="T33" s="401">
        <f>+IFERROR(SUMIFS('Stock CD'!D:D,D295,'Stock CD'!C:C),0)</f>
        <v>0</v>
      </c>
      <c r="U33" s="404">
        <f t="shared" ref="U33:U58" si="14">+T33+Q33</f>
        <v>2860</v>
      </c>
      <c r="W33" s="401">
        <f>+IFERROR(VLOOKUP(D33,'Stock CD'!B:I,8,0),0)</f>
        <v>0</v>
      </c>
      <c r="X33" s="404">
        <f t="shared" ref="X33:X58" si="15">+W33+P33</f>
        <v>1936</v>
      </c>
      <c r="Z33" s="304">
        <f>+SUMIFS('Conteo VACIO'!F:F,'Conteo VACIO'!$A:$A,$D33)</f>
        <v>2</v>
      </c>
      <c r="AA33" s="304">
        <f>+SUMIFS('Conteo VACIO'!G:G,'Conteo VACIO'!$A:$A,$D33)</f>
        <v>860</v>
      </c>
      <c r="AB33" s="361">
        <v>1000</v>
      </c>
      <c r="AD33" s="323" t="s">
        <v>1470</v>
      </c>
      <c r="AE33" s="428">
        <f>IF(D33="Corb-LK",SUMIFS('Est Madre LK 10-25'!C:C,'Est Madre LK 10-25'!D:D,"si"),IF(D33="Corb-CH",SUMIFS('Est Madre CH 10-25'!C:C,'Est Madre CH 10-25'!D:D,"si"),0)+IFERROR(VLOOKUP(D33,'Est Madre LK 10-25'!$A:$C,3,),IFERROR(VLOOKUP(D33,'Est Madre CH 10-25'!$A:$C,3,),0)))</f>
        <v>484</v>
      </c>
      <c r="AF33" s="361">
        <v>12000</v>
      </c>
      <c r="AG33" s="261">
        <v>12</v>
      </c>
      <c r="AH33" s="326">
        <v>0</v>
      </c>
      <c r="AI33" s="600" t="s">
        <v>1758</v>
      </c>
      <c r="AJ33" s="261" t="s">
        <v>1213</v>
      </c>
      <c r="AK33" s="333">
        <v>4</v>
      </c>
    </row>
    <row r="34" spans="1:37" ht="18" customHeight="1" thickBot="1" x14ac:dyDescent="0.4">
      <c r="A34" t="s">
        <v>1470</v>
      </c>
      <c r="C34" s="419">
        <v>1206700</v>
      </c>
      <c r="D34" s="439">
        <v>58</v>
      </c>
      <c r="E34" s="260" t="str">
        <f>+VLOOKUP(D34,'Conteo VACIO'!$A$8:$D$226,4,0)</f>
        <v>G5C</v>
      </c>
      <c r="F34" s="322" t="s">
        <v>746</v>
      </c>
      <c r="G34" s="329" t="s">
        <v>1364</v>
      </c>
      <c r="H34" s="506"/>
      <c r="I34" s="477"/>
      <c r="J34" s="310"/>
      <c r="L34" s="903">
        <f t="shared" si="9"/>
        <v>1.4423076923076923</v>
      </c>
      <c r="M34" s="949">
        <f t="shared" si="10"/>
        <v>1.4423076923076923</v>
      </c>
      <c r="O34" s="752">
        <f t="shared" si="11"/>
        <v>0</v>
      </c>
      <c r="P34" s="487">
        <f t="shared" si="12"/>
        <v>1248</v>
      </c>
      <c r="Q34" s="345">
        <f t="shared" si="13"/>
        <v>1800</v>
      </c>
      <c r="R34" s="753"/>
      <c r="S34" s="714"/>
      <c r="T34" s="402">
        <f>+IFERROR(SUMIFS('Stock CD'!D:D,D297,'Stock CD'!C:C),0)</f>
        <v>0</v>
      </c>
      <c r="U34" s="405">
        <f t="shared" si="14"/>
        <v>1800</v>
      </c>
      <c r="W34" s="402">
        <f>+IFERROR(VLOOKUP(D34,'Stock CD'!B:I,8,0),0)</f>
        <v>0</v>
      </c>
      <c r="X34" s="405">
        <f t="shared" si="15"/>
        <v>1248</v>
      </c>
      <c r="Z34" s="305">
        <f>+SUMIFS('Conteo VACIO'!F:F,'Conteo VACIO'!$A:$A,$D34)</f>
        <v>1</v>
      </c>
      <c r="AA34" s="305">
        <f>+SUMIFS('Conteo VACIO'!G:G,'Conteo VACIO'!$A:$A,$D34)</f>
        <v>800</v>
      </c>
      <c r="AB34" s="362">
        <v>1000</v>
      </c>
      <c r="AD34" s="322" t="s">
        <v>1470</v>
      </c>
      <c r="AE34" s="414">
        <f>IF(D34="Corb-LK",SUMIFS('Est Madre LK 10-25'!C:C,'Est Madre LK 10-25'!D:D,"si"),IF(D34="Corb-CH",SUMIFS('Est Madre CH 10-25'!C:C,'Est Madre CH 10-25'!D:D,"si"),0)+IFERROR(VLOOKUP(D34,'Est Madre LK 10-25'!$A:$C,3,),IFERROR(VLOOKUP(D34,'Est Madre CH 10-25'!$A:$C,3,),0)))</f>
        <v>312</v>
      </c>
      <c r="AF34" s="362">
        <v>12000</v>
      </c>
      <c r="AG34" s="260">
        <v>12</v>
      </c>
      <c r="AH34" s="325">
        <v>68.570279999999997</v>
      </c>
      <c r="AI34" s="601" t="s">
        <v>1758</v>
      </c>
      <c r="AJ34" s="260" t="s">
        <v>1213</v>
      </c>
      <c r="AK34" s="333">
        <v>4</v>
      </c>
    </row>
    <row r="35" spans="1:37" ht="18" customHeight="1" thickBot="1" x14ac:dyDescent="0.4">
      <c r="A35" t="s">
        <v>1470</v>
      </c>
      <c r="C35" s="419">
        <v>1206700</v>
      </c>
      <c r="D35" s="439">
        <v>547</v>
      </c>
      <c r="E35" s="260" t="str">
        <f>+VLOOKUP(D35,'Conteo VACIO'!$A$8:$D$226,4,0)</f>
        <v>G7D</v>
      </c>
      <c r="F35" s="322" t="s">
        <v>746</v>
      </c>
      <c r="G35" s="329" t="s">
        <v>1188</v>
      </c>
      <c r="H35" s="506"/>
      <c r="I35" s="477"/>
      <c r="J35" s="310"/>
      <c r="L35" s="903">
        <f t="shared" si="9"/>
        <v>0</v>
      </c>
      <c r="M35" s="949">
        <f t="shared" si="10"/>
        <v>0</v>
      </c>
      <c r="O35" s="752">
        <f t="shared" si="11"/>
        <v>96</v>
      </c>
      <c r="P35" s="487">
        <f t="shared" si="12"/>
        <v>96</v>
      </c>
      <c r="Q35" s="345">
        <f t="shared" si="13"/>
        <v>0</v>
      </c>
      <c r="R35" s="753"/>
      <c r="S35" s="714"/>
      <c r="T35" s="402">
        <f>+IFERROR(SUMIFS('Stock CD'!D:D,D298,'Stock CD'!C:C),0)</f>
        <v>0</v>
      </c>
      <c r="U35" s="405">
        <f t="shared" si="14"/>
        <v>0</v>
      </c>
      <c r="W35" s="402">
        <f>+IFERROR(VLOOKUP(D35,'Stock CD'!B:I,8,0),0)</f>
        <v>0</v>
      </c>
      <c r="X35" s="405">
        <f t="shared" si="15"/>
        <v>96</v>
      </c>
      <c r="Z35" s="305">
        <f>+SUMIFS('Conteo VACIO'!F:F,'Conteo VACIO'!$A:$A,$D35)</f>
        <v>0</v>
      </c>
      <c r="AA35" s="305">
        <f>+SUMIFS('Conteo VACIO'!G:G,'Conteo VACIO'!$A:$A,$D35)</f>
        <v>0</v>
      </c>
      <c r="AB35" s="362">
        <v>500</v>
      </c>
      <c r="AD35" s="322" t="s">
        <v>1470</v>
      </c>
      <c r="AE35" s="414">
        <f>IF(D35="Corb-LK",SUMIFS('Est Madre LK 10-25'!C:C,'Est Madre LK 10-25'!D:D,"si"),IF(D35="Corb-CH",SUMIFS('Est Madre CH 10-25'!C:C,'Est Madre CH 10-25'!D:D,"si"),0)+IFERROR(VLOOKUP(D35,'Est Madre LK 10-25'!$A:$C,3,),IFERROR(VLOOKUP(D35,'Est Madre CH 10-25'!$A:$C,3,),0)))</f>
        <v>24</v>
      </c>
      <c r="AF35" s="362">
        <v>12000</v>
      </c>
      <c r="AG35" s="260">
        <v>12</v>
      </c>
      <c r="AH35" s="325">
        <v>68.570279999999997</v>
      </c>
      <c r="AI35" s="601" t="s">
        <v>1758</v>
      </c>
      <c r="AJ35" s="260" t="s">
        <v>1213</v>
      </c>
      <c r="AK35" s="333">
        <v>4</v>
      </c>
    </row>
    <row r="36" spans="1:37" ht="18" customHeight="1" thickBot="1" x14ac:dyDescent="0.4">
      <c r="A36" t="s">
        <v>1470</v>
      </c>
      <c r="C36" s="302">
        <v>1263700</v>
      </c>
      <c r="D36" s="439">
        <v>532</v>
      </c>
      <c r="E36" s="260" t="str">
        <f>+VLOOKUP(D36,'Conteo VACIO'!$A$8:$D$226,4,0)</f>
        <v>G2B</v>
      </c>
      <c r="F36" s="322" t="s">
        <v>746</v>
      </c>
      <c r="G36" s="329" t="s">
        <v>1182</v>
      </c>
      <c r="H36" s="506"/>
      <c r="I36" s="477"/>
      <c r="J36" s="310"/>
      <c r="L36" s="903">
        <f t="shared" si="9"/>
        <v>1.4022435897435896</v>
      </c>
      <c r="M36" s="949">
        <f t="shared" si="10"/>
        <v>1.4022435897435896</v>
      </c>
      <c r="O36" s="752">
        <f t="shared" si="11"/>
        <v>0</v>
      </c>
      <c r="P36" s="487">
        <f t="shared" si="12"/>
        <v>1248</v>
      </c>
      <c r="Q36" s="345">
        <f t="shared" si="13"/>
        <v>1750</v>
      </c>
      <c r="R36" s="753"/>
      <c r="S36" s="714"/>
      <c r="T36" s="402">
        <f>+IFERROR(SUMIFS('Stock CD'!D:D,D300,'Stock CD'!C:C),0)</f>
        <v>0</v>
      </c>
      <c r="U36" s="405">
        <f t="shared" si="14"/>
        <v>1750</v>
      </c>
      <c r="W36" s="402">
        <f>+IFERROR(VLOOKUP(D36,'Stock CD'!B:I,8,0),0)</f>
        <v>0</v>
      </c>
      <c r="X36" s="405">
        <f t="shared" si="15"/>
        <v>1248</v>
      </c>
      <c r="Z36" s="305">
        <f>+SUMIFS('Conteo VACIO'!F:F,'Conteo VACIO'!$A:$A,$D36)</f>
        <v>1</v>
      </c>
      <c r="AA36" s="305">
        <f>+SUMIFS('Conteo VACIO'!G:G,'Conteo VACIO'!$A:$A,$D36)</f>
        <v>750</v>
      </c>
      <c r="AB36" s="362">
        <v>1000</v>
      </c>
      <c r="AD36" s="322" t="s">
        <v>1470</v>
      </c>
      <c r="AE36" s="414">
        <f>IF(D36="Corb-LK",SUMIFS('Est Madre LK 10-25'!C:C,'Est Madre LK 10-25'!D:D,"si"),IF(D36="Corb-CH",SUMIFS('Est Madre CH 10-25'!C:C,'Est Madre CH 10-25'!D:D,"si"),0)+IFERROR(VLOOKUP(D36,'Est Madre LK 10-25'!$A:$C,3,),IFERROR(VLOOKUP(D36,'Est Madre CH 10-25'!$A:$C,3,),0)))</f>
        <v>312</v>
      </c>
      <c r="AF36" s="362">
        <v>12000</v>
      </c>
      <c r="AG36" s="260">
        <v>12</v>
      </c>
      <c r="AH36" s="325">
        <v>0</v>
      </c>
      <c r="AI36" s="601" t="s">
        <v>1758</v>
      </c>
      <c r="AJ36" s="260" t="s">
        <v>1213</v>
      </c>
      <c r="AK36" s="333">
        <v>4</v>
      </c>
    </row>
    <row r="37" spans="1:37" ht="18" customHeight="1" thickBot="1" x14ac:dyDescent="0.4">
      <c r="A37" t="s">
        <v>1470</v>
      </c>
      <c r="C37" s="419">
        <v>1281700</v>
      </c>
      <c r="D37" s="439">
        <v>551</v>
      </c>
      <c r="E37" s="260" t="str">
        <f>+VLOOKUP(D37,'Conteo VACIO'!$A$8:$D$226,4,0)</f>
        <v>G8A</v>
      </c>
      <c r="F37" s="322" t="s">
        <v>746</v>
      </c>
      <c r="G37" s="329" t="s">
        <v>1746</v>
      </c>
      <c r="H37" s="506"/>
      <c r="I37" s="477"/>
      <c r="J37" s="310"/>
      <c r="L37" s="903">
        <f t="shared" si="9"/>
        <v>0.84935897435897434</v>
      </c>
      <c r="M37" s="949">
        <f t="shared" si="10"/>
        <v>0.84935897435897434</v>
      </c>
      <c r="O37" s="752">
        <f t="shared" si="11"/>
        <v>282</v>
      </c>
      <c r="P37" s="487">
        <f t="shared" si="12"/>
        <v>1872</v>
      </c>
      <c r="Q37" s="345">
        <f t="shared" si="13"/>
        <v>1590</v>
      </c>
      <c r="R37" s="753"/>
      <c r="S37" s="714"/>
      <c r="T37" s="402">
        <f>+IFERROR(SUMIFS('Stock CD'!D:D,D303,'Stock CD'!C:C),0)</f>
        <v>0</v>
      </c>
      <c r="U37" s="405">
        <f t="shared" si="14"/>
        <v>1590</v>
      </c>
      <c r="W37" s="402">
        <f>+IFERROR(VLOOKUP(D37,'Stock CD'!B:I,8,0),0)</f>
        <v>0</v>
      </c>
      <c r="X37" s="405">
        <f t="shared" si="15"/>
        <v>1872</v>
      </c>
      <c r="Z37" s="305">
        <f>+SUMIFS('Conteo VACIO'!F:F,'Conteo VACIO'!$A:$A,$D37)</f>
        <v>1</v>
      </c>
      <c r="AA37" s="305">
        <f>+SUMIFS('Conteo VACIO'!G:G,'Conteo VACIO'!$A:$A,$D37)</f>
        <v>590</v>
      </c>
      <c r="AB37" s="362">
        <v>1000</v>
      </c>
      <c r="AD37" s="322" t="s">
        <v>1470</v>
      </c>
      <c r="AE37" s="414">
        <f>IF(D37="Corb-LK",SUMIFS('Est Madre LK 10-25'!C:C,'Est Madre LK 10-25'!D:D,"si"),IF(D37="Corb-CH",SUMIFS('Est Madre CH 10-25'!C:C,'Est Madre CH 10-25'!D:D,"si"),0)+IFERROR(VLOOKUP(D37,'Est Madre LK 10-25'!$A:$C,3,),IFERROR(VLOOKUP(D37,'Est Madre CH 10-25'!$A:$C,3,),0)))</f>
        <v>468</v>
      </c>
      <c r="AF37" s="362">
        <v>12000</v>
      </c>
      <c r="AG37" s="260">
        <v>10</v>
      </c>
      <c r="AH37" s="325">
        <v>68.570279999999997</v>
      </c>
      <c r="AI37" s="601" t="s">
        <v>1758</v>
      </c>
      <c r="AJ37" s="260" t="s">
        <v>1213</v>
      </c>
      <c r="AK37" s="333">
        <v>4</v>
      </c>
    </row>
    <row r="38" spans="1:37" ht="18" customHeight="1" thickBot="1" x14ac:dyDescent="0.4">
      <c r="A38" t="s">
        <v>1470</v>
      </c>
      <c r="C38" s="302">
        <v>1281700</v>
      </c>
      <c r="D38" s="439">
        <v>519</v>
      </c>
      <c r="E38" s="260" t="str">
        <f>+VLOOKUP(D38,'Conteo VACIO'!$A$8:$D$226,4,0)</f>
        <v>G5E</v>
      </c>
      <c r="F38" s="322" t="s">
        <v>746</v>
      </c>
      <c r="G38" s="329" t="s">
        <v>1745</v>
      </c>
      <c r="H38" s="506"/>
      <c r="I38" s="477"/>
      <c r="J38" s="310"/>
      <c r="L38" s="903">
        <f t="shared" si="9"/>
        <v>0.83333333333333337</v>
      </c>
      <c r="M38" s="949">
        <f t="shared" si="10"/>
        <v>0.83333333333333337</v>
      </c>
      <c r="O38" s="752">
        <f t="shared" si="11"/>
        <v>400</v>
      </c>
      <c r="P38" s="487">
        <f t="shared" si="12"/>
        <v>2400</v>
      </c>
      <c r="Q38" s="345">
        <f t="shared" si="13"/>
        <v>2000</v>
      </c>
      <c r="R38" s="753"/>
      <c r="S38" s="714"/>
      <c r="T38" s="402">
        <f>+IFERROR(SUMIFS('Stock CD'!D:D,D304,'Stock CD'!C:C),0)</f>
        <v>0</v>
      </c>
      <c r="U38" s="405">
        <f t="shared" si="14"/>
        <v>2000</v>
      </c>
      <c r="W38" s="402">
        <f>+IFERROR(VLOOKUP(D38,'Stock CD'!B:I,8,0),0)</f>
        <v>0</v>
      </c>
      <c r="X38" s="405">
        <f t="shared" si="15"/>
        <v>2400</v>
      </c>
      <c r="Z38" s="305">
        <f>+SUMIFS('Conteo VACIO'!F:F,'Conteo VACIO'!$A:$A,$D38)</f>
        <v>2</v>
      </c>
      <c r="AA38" s="305">
        <f>+SUMIFS('Conteo VACIO'!G:G,'Conteo VACIO'!$A:$A,$D38)</f>
        <v>0</v>
      </c>
      <c r="AB38" s="362">
        <v>1000</v>
      </c>
      <c r="AD38" s="322" t="s">
        <v>1470</v>
      </c>
      <c r="AE38" s="414">
        <f>IF(D38="Corb-LK",SUMIFS('Est Madre LK 10-25'!C:C,'Est Madre LK 10-25'!D:D,"si"),IF(D38="Corb-CH",SUMIFS('Est Madre CH 10-25'!C:C,'Est Madre CH 10-25'!D:D,"si"),0)+IFERROR(VLOOKUP(D38,'Est Madre LK 10-25'!$A:$C,3,),IFERROR(VLOOKUP(D38,'Est Madre CH 10-25'!$A:$C,3,),0)))</f>
        <v>600</v>
      </c>
      <c r="AF38" s="362">
        <v>12000</v>
      </c>
      <c r="AG38" s="260">
        <v>10</v>
      </c>
      <c r="AH38" s="325">
        <v>68.570279999999997</v>
      </c>
      <c r="AI38" s="601" t="s">
        <v>1758</v>
      </c>
      <c r="AJ38" s="260" t="s">
        <v>1213</v>
      </c>
      <c r="AK38" s="333">
        <v>4</v>
      </c>
    </row>
    <row r="39" spans="1:37" ht="18" customHeight="1" thickBot="1" x14ac:dyDescent="0.4">
      <c r="A39" t="s">
        <v>1470</v>
      </c>
      <c r="C39" s="419">
        <v>1206700</v>
      </c>
      <c r="D39" s="439">
        <v>395</v>
      </c>
      <c r="E39" s="260" t="str">
        <f>+VLOOKUP(D39,'Conteo VACIO'!$A$8:$D$226,4,0)</f>
        <v>G1C</v>
      </c>
      <c r="F39" s="322" t="s">
        <v>746</v>
      </c>
      <c r="G39" s="329" t="s">
        <v>786</v>
      </c>
      <c r="H39" s="506"/>
      <c r="I39" s="477"/>
      <c r="J39" s="310"/>
      <c r="L39" s="903">
        <f t="shared" si="9"/>
        <v>0.59166666666666667</v>
      </c>
      <c r="M39" s="949">
        <f t="shared" si="10"/>
        <v>0.59166666666666667</v>
      </c>
      <c r="O39" s="752">
        <f t="shared" si="11"/>
        <v>980</v>
      </c>
      <c r="P39" s="487">
        <f t="shared" si="12"/>
        <v>2400</v>
      </c>
      <c r="Q39" s="345">
        <f t="shared" si="13"/>
        <v>1420</v>
      </c>
      <c r="R39" s="753"/>
      <c r="S39" s="714"/>
      <c r="T39" s="402">
        <f>+IFERROR(SUMIFS('Stock CD'!D:D,D302,'Stock CD'!C:C),0)</f>
        <v>0</v>
      </c>
      <c r="U39" s="405">
        <f t="shared" si="14"/>
        <v>1420</v>
      </c>
      <c r="W39" s="402">
        <f>+IFERROR(VLOOKUP(D39,'Stock CD'!B:I,8,0),0)</f>
        <v>0</v>
      </c>
      <c r="X39" s="405">
        <f t="shared" si="15"/>
        <v>2400</v>
      </c>
      <c r="Z39" s="305">
        <f>+SUMIFS('Conteo VACIO'!F:F,'Conteo VACIO'!$A:$A,$D39)</f>
        <v>1</v>
      </c>
      <c r="AA39" s="305">
        <f>+SUMIFS('Conteo VACIO'!G:G,'Conteo VACIO'!$A:$A,$D39)</f>
        <v>420</v>
      </c>
      <c r="AB39" s="362">
        <v>1000</v>
      </c>
      <c r="AD39" s="322" t="s">
        <v>1470</v>
      </c>
      <c r="AE39" s="414">
        <f>IF(D39="Corb-LK",SUMIFS('Est Madre LK 10-25'!C:C,'Est Madre LK 10-25'!D:D,"si"),IF(D39="Corb-CH",SUMIFS('Est Madre CH 10-25'!C:C,'Est Madre CH 10-25'!D:D,"si"),0)+IFERROR(VLOOKUP(D39,'Est Madre LK 10-25'!$A:$C,3,),IFERROR(VLOOKUP(D39,'Est Madre CH 10-25'!$A:$C,3,),0)))</f>
        <v>600</v>
      </c>
      <c r="AF39" s="362">
        <v>12000</v>
      </c>
      <c r="AG39" s="260">
        <v>12</v>
      </c>
      <c r="AH39" s="325">
        <v>68.570279999999997</v>
      </c>
      <c r="AI39" s="601" t="s">
        <v>1758</v>
      </c>
      <c r="AJ39" s="260" t="s">
        <v>1213</v>
      </c>
      <c r="AK39" s="333">
        <v>4</v>
      </c>
    </row>
    <row r="40" spans="1:37" ht="18" customHeight="1" thickBot="1" x14ac:dyDescent="0.4">
      <c r="A40" t="s">
        <v>1470</v>
      </c>
      <c r="C40" s="419">
        <v>1206700</v>
      </c>
      <c r="D40" s="439">
        <v>57</v>
      </c>
      <c r="E40" s="260" t="str">
        <f>+VLOOKUP(D40,'Conteo VACIO'!$A$8:$D$226,4,0)</f>
        <v>G7A</v>
      </c>
      <c r="F40" s="322" t="s">
        <v>746</v>
      </c>
      <c r="G40" s="329" t="s">
        <v>1747</v>
      </c>
      <c r="H40" s="506"/>
      <c r="I40" s="477"/>
      <c r="J40" s="310"/>
      <c r="L40" s="903">
        <f t="shared" si="9"/>
        <v>0.84005376344086025</v>
      </c>
      <c r="M40" s="949">
        <f t="shared" si="10"/>
        <v>0.84005376344086025</v>
      </c>
      <c r="O40" s="752">
        <f t="shared" si="11"/>
        <v>476</v>
      </c>
      <c r="P40" s="487">
        <f t="shared" si="12"/>
        <v>2976</v>
      </c>
      <c r="Q40" s="345">
        <f t="shared" si="13"/>
        <v>2500</v>
      </c>
      <c r="R40" s="753"/>
      <c r="S40" s="714"/>
      <c r="T40" s="402">
        <f>+IFERROR(SUMIFS('Stock CD'!D:D,D303,'Stock CD'!C:C),0)</f>
        <v>0</v>
      </c>
      <c r="U40" s="405">
        <f t="shared" si="14"/>
        <v>2500</v>
      </c>
      <c r="W40" s="402">
        <f>+IFERROR(VLOOKUP(D40,'Stock CD'!B:I,8,0),0)</f>
        <v>0</v>
      </c>
      <c r="X40" s="405">
        <f t="shared" si="15"/>
        <v>2976</v>
      </c>
      <c r="Z40" s="305">
        <f>+SUMIFS('Conteo VACIO'!F:F,'Conteo VACIO'!$A:$A,$D40)</f>
        <v>2</v>
      </c>
      <c r="AA40" s="305">
        <f>+SUMIFS('Conteo VACIO'!G:G,'Conteo VACIO'!$A:$A,$D40)</f>
        <v>500</v>
      </c>
      <c r="AB40" s="362">
        <v>1000</v>
      </c>
      <c r="AD40" s="322" t="s">
        <v>1470</v>
      </c>
      <c r="AE40" s="414">
        <f>IF(D40="Corb-LK",SUMIFS('Est Madre LK 10-25'!C:C,'Est Madre LK 10-25'!D:D,"si"),IF(D40="Corb-CH",SUMIFS('Est Madre CH 10-25'!C:C,'Est Madre CH 10-25'!D:D,"si"),0)+IFERROR(VLOOKUP(D40,'Est Madre LK 10-25'!$A:$C,3,),IFERROR(VLOOKUP(D40,'Est Madre CH 10-25'!$A:$C,3,),0)))</f>
        <v>744</v>
      </c>
      <c r="AF40" s="362">
        <v>12000</v>
      </c>
      <c r="AG40" s="260">
        <v>12</v>
      </c>
      <c r="AH40" s="325">
        <v>68.570279999999997</v>
      </c>
      <c r="AI40" s="601" t="s">
        <v>1758</v>
      </c>
      <c r="AJ40" s="260" t="s">
        <v>1213</v>
      </c>
      <c r="AK40" s="333">
        <v>4</v>
      </c>
    </row>
    <row r="41" spans="1:37" ht="18" customHeight="1" thickBot="1" x14ac:dyDescent="0.4">
      <c r="A41" t="s">
        <v>1470</v>
      </c>
      <c r="C41" s="302">
        <v>2374700</v>
      </c>
      <c r="D41" s="439">
        <v>550</v>
      </c>
      <c r="E41" s="260" t="str">
        <f>+VLOOKUP(D41,'Conteo VACIO'!$A$8:$D$226,4,0)</f>
        <v>G6B</v>
      </c>
      <c r="F41" s="322" t="s">
        <v>746</v>
      </c>
      <c r="G41" s="329" t="s">
        <v>1319</v>
      </c>
      <c r="H41" s="506"/>
      <c r="I41" s="477"/>
      <c r="J41" s="310"/>
      <c r="L41" s="903">
        <f t="shared" si="9"/>
        <v>0.22843567251461988</v>
      </c>
      <c r="M41" s="949">
        <f t="shared" si="10"/>
        <v>0.22843567251461988</v>
      </c>
      <c r="O41" s="752">
        <f t="shared" si="11"/>
        <v>4222</v>
      </c>
      <c r="P41" s="487">
        <f t="shared" si="12"/>
        <v>5472</v>
      </c>
      <c r="Q41" s="345">
        <f t="shared" si="13"/>
        <v>1250</v>
      </c>
      <c r="R41" s="753"/>
      <c r="S41" s="714"/>
      <c r="T41" s="402">
        <f>+IFERROR(SUMIFS('Stock CD'!D:D,D307,'Stock CD'!C:C),0)</f>
        <v>0</v>
      </c>
      <c r="U41" s="405">
        <f t="shared" si="14"/>
        <v>1250</v>
      </c>
      <c r="W41" s="402">
        <f>+IFERROR(VLOOKUP(D41,'Stock CD'!B:I,8,0),0)</f>
        <v>0</v>
      </c>
      <c r="X41" s="405">
        <f t="shared" si="15"/>
        <v>5472</v>
      </c>
      <c r="Z41" s="305">
        <f>+SUMIFS('Conteo VACIO'!F:F,'Conteo VACIO'!$A:$A,$D41)</f>
        <v>1</v>
      </c>
      <c r="AA41" s="305">
        <f>+SUMIFS('Conteo VACIO'!G:G,'Conteo VACIO'!$A:$A,$D41)</f>
        <v>250</v>
      </c>
      <c r="AB41" s="362">
        <v>1000</v>
      </c>
      <c r="AD41" s="322" t="s">
        <v>1470</v>
      </c>
      <c r="AE41" s="414">
        <f>IF(D41="Corb-LK",SUMIFS('Est Madre LK 10-25'!C:C,'Est Madre LK 10-25'!D:D,"si"),IF(D41="Corb-CH",SUMIFS('Est Madre CH 10-25'!C:C,'Est Madre CH 10-25'!D:D,"si"),0)+IFERROR(VLOOKUP(D41,'Est Madre LK 10-25'!$A:$C,3,),IFERROR(VLOOKUP(D41,'Est Madre CH 10-25'!$A:$C,3,),0)))</f>
        <v>1368</v>
      </c>
      <c r="AF41" s="362">
        <v>12000</v>
      </c>
      <c r="AG41" s="260">
        <v>12</v>
      </c>
      <c r="AH41" s="325">
        <v>43.269300000000001</v>
      </c>
      <c r="AI41" s="601" t="s">
        <v>1758</v>
      </c>
      <c r="AJ41" s="260" t="s">
        <v>1213</v>
      </c>
      <c r="AK41" s="333">
        <v>4</v>
      </c>
    </row>
    <row r="42" spans="1:37" ht="18" customHeight="1" thickBot="1" x14ac:dyDescent="0.4">
      <c r="A42" t="s">
        <v>1470</v>
      </c>
      <c r="C42" s="419">
        <v>1206700</v>
      </c>
      <c r="D42" s="439">
        <v>499</v>
      </c>
      <c r="E42" s="260" t="str">
        <f>+VLOOKUP(D42,'Conteo VACIO'!$A$8:$D$226,4,0)</f>
        <v>G7C</v>
      </c>
      <c r="F42" s="322" t="s">
        <v>746</v>
      </c>
      <c r="G42" s="329" t="s">
        <v>1339</v>
      </c>
      <c r="H42" s="506"/>
      <c r="I42" s="477"/>
      <c r="J42" s="310"/>
      <c r="L42" s="903">
        <f t="shared" si="9"/>
        <v>2.1701388888888888</v>
      </c>
      <c r="M42" s="949">
        <f t="shared" si="10"/>
        <v>2.1701388888888888</v>
      </c>
      <c r="O42" s="752">
        <f t="shared" si="11"/>
        <v>0</v>
      </c>
      <c r="P42" s="487">
        <f t="shared" si="12"/>
        <v>576</v>
      </c>
      <c r="Q42" s="345">
        <f t="shared" si="13"/>
        <v>1250</v>
      </c>
      <c r="R42" s="753"/>
      <c r="S42" s="714"/>
      <c r="T42" s="402">
        <f>+IFERROR(SUMIFS('Stock CD'!D:D,D305,'Stock CD'!C:C),0)</f>
        <v>0</v>
      </c>
      <c r="U42" s="405">
        <f t="shared" si="14"/>
        <v>1250</v>
      </c>
      <c r="W42" s="402">
        <f>+IFERROR(VLOOKUP(D42,'Stock CD'!B:I,8,0),0)</f>
        <v>0</v>
      </c>
      <c r="X42" s="405">
        <f t="shared" si="15"/>
        <v>576</v>
      </c>
      <c r="Z42" s="305">
        <f>+SUMIFS('Conteo VACIO'!F:F,'Conteo VACIO'!$A:$A,$D42)</f>
        <v>1</v>
      </c>
      <c r="AA42" s="305">
        <f>+SUMIFS('Conteo VACIO'!G:G,'Conteo VACIO'!$A:$A,$D42)</f>
        <v>250</v>
      </c>
      <c r="AB42" s="362">
        <v>1000</v>
      </c>
      <c r="AD42" s="322" t="s">
        <v>1470</v>
      </c>
      <c r="AE42" s="414">
        <f>IF(D42="Corb-LK",SUMIFS('Est Madre LK 10-25'!C:C,'Est Madre LK 10-25'!D:D,"si"),IF(D42="Corb-CH",SUMIFS('Est Madre CH 10-25'!C:C,'Est Madre CH 10-25'!D:D,"si"),0)+IFERROR(VLOOKUP(D42,'Est Madre LK 10-25'!$A:$C,3,),IFERROR(VLOOKUP(D42,'Est Madre CH 10-25'!$A:$C,3,),0)))</f>
        <v>144</v>
      </c>
      <c r="AF42" s="362">
        <v>12000</v>
      </c>
      <c r="AG42" s="260">
        <v>12</v>
      </c>
      <c r="AH42" s="325">
        <v>68.570279999999997</v>
      </c>
      <c r="AI42" s="601" t="s">
        <v>1758</v>
      </c>
      <c r="AJ42" s="260" t="s">
        <v>1213</v>
      </c>
      <c r="AK42" s="333">
        <v>4</v>
      </c>
    </row>
    <row r="43" spans="1:37" ht="18.600000000000001" thickBot="1" x14ac:dyDescent="0.4">
      <c r="A43" t="s">
        <v>1470</v>
      </c>
      <c r="C43" s="302">
        <v>1270700</v>
      </c>
      <c r="D43" s="439">
        <v>229</v>
      </c>
      <c r="E43" s="260" t="str">
        <f>+VLOOKUP(D43,'Conteo VACIO'!$A$8:$D$226,4,0)</f>
        <v>G3C</v>
      </c>
      <c r="F43" s="322" t="s">
        <v>746</v>
      </c>
      <c r="G43" s="329" t="s">
        <v>1191</v>
      </c>
      <c r="H43" s="506"/>
      <c r="I43" s="477"/>
      <c r="J43" s="310"/>
      <c r="L43" s="903">
        <f t="shared" si="9"/>
        <v>0</v>
      </c>
      <c r="M43" s="949">
        <f t="shared" si="10"/>
        <v>0</v>
      </c>
      <c r="O43" s="752">
        <f t="shared" si="11"/>
        <v>4032</v>
      </c>
      <c r="P43" s="487">
        <f t="shared" si="12"/>
        <v>4032</v>
      </c>
      <c r="Q43" s="345">
        <f t="shared" si="13"/>
        <v>0</v>
      </c>
      <c r="R43" s="753"/>
      <c r="S43" s="714"/>
      <c r="T43" s="402">
        <f>+IFERROR(SUMIFS('Stock CD'!D:D,D306,'Stock CD'!C:C),0)</f>
        <v>0</v>
      </c>
      <c r="U43" s="405">
        <f t="shared" si="14"/>
        <v>0</v>
      </c>
      <c r="W43" s="402">
        <f>+IFERROR(VLOOKUP(D43,'Stock CD'!B:I,8,0),0)</f>
        <v>0</v>
      </c>
      <c r="X43" s="405">
        <f t="shared" si="15"/>
        <v>4032</v>
      </c>
      <c r="Z43" s="305">
        <f>+SUMIFS('Conteo VACIO'!F:F,'Conteo VACIO'!$A:$A,$D43)</f>
        <v>0</v>
      </c>
      <c r="AA43" s="305">
        <f>+SUMIFS('Conteo VACIO'!G:G,'Conteo VACIO'!$A:$A,$D43)</f>
        <v>0</v>
      </c>
      <c r="AB43" s="362">
        <v>1000</v>
      </c>
      <c r="AD43" s="322" t="s">
        <v>1470</v>
      </c>
      <c r="AE43" s="414">
        <f>IF(D43="Corb-LK",SUMIFS('Est Madre LK 10-25'!C:C,'Est Madre LK 10-25'!D:D,"si"),IF(D43="Corb-CH",SUMIFS('Est Madre CH 10-25'!C:C,'Est Madre CH 10-25'!D:D,"si"),0)+IFERROR(VLOOKUP(D43,'Est Madre LK 10-25'!$A:$C,3,),IFERROR(VLOOKUP(D43,'Est Madre CH 10-25'!$A:$C,3,),0)))</f>
        <v>1008</v>
      </c>
      <c r="AF43" s="362">
        <v>12000</v>
      </c>
      <c r="AG43" s="260">
        <v>12</v>
      </c>
      <c r="AH43" s="325">
        <v>0</v>
      </c>
      <c r="AI43" s="601" t="s">
        <v>1758</v>
      </c>
      <c r="AJ43" s="260" t="s">
        <v>1213</v>
      </c>
      <c r="AK43" s="333">
        <v>4</v>
      </c>
    </row>
    <row r="44" spans="1:37" ht="18" customHeight="1" thickBot="1" x14ac:dyDescent="0.4">
      <c r="A44" t="s">
        <v>1470</v>
      </c>
      <c r="C44" s="302">
        <v>1207700</v>
      </c>
      <c r="D44" s="439">
        <v>569</v>
      </c>
      <c r="E44" s="260" t="str">
        <f>+VLOOKUP(D44,'Conteo VACIO'!$A$8:$D$226,4,0)</f>
        <v>G5D</v>
      </c>
      <c r="F44" s="322" t="s">
        <v>746</v>
      </c>
      <c r="G44" s="329" t="s">
        <v>1333</v>
      </c>
      <c r="H44" s="506"/>
      <c r="I44" s="477"/>
      <c r="J44" s="310"/>
      <c r="L44" s="903">
        <f t="shared" si="9"/>
        <v>2.1726190476190474</v>
      </c>
      <c r="M44" s="949">
        <f t="shared" si="10"/>
        <v>2.1726190476190474</v>
      </c>
      <c r="O44" s="752">
        <f t="shared" si="11"/>
        <v>0</v>
      </c>
      <c r="P44" s="487">
        <f t="shared" si="12"/>
        <v>672</v>
      </c>
      <c r="Q44" s="345">
        <f t="shared" si="13"/>
        <v>1460</v>
      </c>
      <c r="R44" s="753"/>
      <c r="S44" s="714"/>
      <c r="T44" s="402">
        <f>+IFERROR(SUMIFS('Stock CD'!D:D,D307,'Stock CD'!C:C),0)</f>
        <v>0</v>
      </c>
      <c r="U44" s="405">
        <f t="shared" si="14"/>
        <v>1460</v>
      </c>
      <c r="W44" s="402">
        <f>+IFERROR(VLOOKUP(D44,'Stock CD'!B:I,8,0),0)</f>
        <v>0</v>
      </c>
      <c r="X44" s="405">
        <f t="shared" si="15"/>
        <v>672</v>
      </c>
      <c r="Z44" s="305">
        <f>+SUMIFS('Conteo VACIO'!F:F,'Conteo VACIO'!$A:$A,$D44)</f>
        <v>1</v>
      </c>
      <c r="AA44" s="305">
        <f>+SUMIFS('Conteo VACIO'!G:G,'Conteo VACIO'!$A:$A,$D44)</f>
        <v>460</v>
      </c>
      <c r="AB44" s="362">
        <v>1000</v>
      </c>
      <c r="AD44" s="322" t="s">
        <v>1470</v>
      </c>
      <c r="AE44" s="414">
        <f>IF(D44="Corb-LK",SUMIFS('Est Madre LK 10-25'!C:C,'Est Madre LK 10-25'!D:D,"si"),IF(D44="Corb-CH",SUMIFS('Est Madre CH 10-25'!C:C,'Est Madre CH 10-25'!D:D,"si"),0)+IFERROR(VLOOKUP(D44,'Est Madre LK 10-25'!$A:$C,3,),IFERROR(VLOOKUP(D44,'Est Madre CH 10-25'!$A:$C,3,),0)))</f>
        <v>168</v>
      </c>
      <c r="AF44" s="362">
        <v>12000</v>
      </c>
      <c r="AG44" s="260">
        <v>12</v>
      </c>
      <c r="AH44" s="325">
        <v>61.336709999999997</v>
      </c>
      <c r="AI44" s="601" t="s">
        <v>1758</v>
      </c>
      <c r="AJ44" s="260" t="s">
        <v>1213</v>
      </c>
      <c r="AK44" s="333">
        <v>4</v>
      </c>
    </row>
    <row r="45" spans="1:37" ht="18" customHeight="1" thickBot="1" x14ac:dyDescent="0.4">
      <c r="A45" t="s">
        <v>1470</v>
      </c>
      <c r="C45" s="302">
        <v>1266700</v>
      </c>
      <c r="D45" s="439">
        <v>560</v>
      </c>
      <c r="E45" s="260" t="str">
        <f>+VLOOKUP(D45,'Conteo VACIO'!$A$8:$D$226,4,0)</f>
        <v>G3E</v>
      </c>
      <c r="F45" s="322" t="s">
        <v>746</v>
      </c>
      <c r="G45" s="329" t="s">
        <v>1335</v>
      </c>
      <c r="H45" s="506"/>
      <c r="I45" s="477"/>
      <c r="J45" s="310"/>
      <c r="L45" s="903">
        <f t="shared" si="9"/>
        <v>7.575757575757576E-2</v>
      </c>
      <c r="M45" s="949">
        <f t="shared" si="10"/>
        <v>7.575757575757576E-2</v>
      </c>
      <c r="O45" s="752">
        <f t="shared" si="11"/>
        <v>2440</v>
      </c>
      <c r="P45" s="487">
        <f t="shared" si="12"/>
        <v>2640</v>
      </c>
      <c r="Q45" s="345">
        <f t="shared" si="13"/>
        <v>200</v>
      </c>
      <c r="R45" s="753"/>
      <c r="S45" s="714"/>
      <c r="T45" s="402">
        <f>+IFERROR(SUMIFS('Stock CD'!D:D,D308,'Stock CD'!C:C),0)</f>
        <v>0</v>
      </c>
      <c r="U45" s="405">
        <f t="shared" si="14"/>
        <v>200</v>
      </c>
      <c r="W45" s="402">
        <f>+IFERROR(VLOOKUP(D45,'Stock CD'!B:I,8,0),0)</f>
        <v>0</v>
      </c>
      <c r="X45" s="405">
        <f t="shared" si="15"/>
        <v>2640</v>
      </c>
      <c r="Z45" s="305">
        <f>+SUMIFS('Conteo VACIO'!F:F,'Conteo VACIO'!$A:$A,$D45)</f>
        <v>0</v>
      </c>
      <c r="AA45" s="305">
        <f>+SUMIFS('Conteo VACIO'!G:G,'Conteo VACIO'!$A:$A,$D45)</f>
        <v>200</v>
      </c>
      <c r="AB45" s="362">
        <v>1000</v>
      </c>
      <c r="AD45" s="322" t="s">
        <v>1470</v>
      </c>
      <c r="AE45" s="414">
        <f>IF(D45="Corb-LK",SUMIFS('Est Madre LK 10-25'!C:C,'Est Madre LK 10-25'!D:D,"si"),IF(D45="Corb-CH",SUMIFS('Est Madre CH 10-25'!C:C,'Est Madre CH 10-25'!D:D,"si"),0)+IFERROR(VLOOKUP(D45,'Est Madre LK 10-25'!$A:$C,3,),IFERROR(VLOOKUP(D45,'Est Madre CH 10-25'!$A:$C,3,),0)))</f>
        <v>660</v>
      </c>
      <c r="AF45" s="362">
        <v>12000</v>
      </c>
      <c r="AG45" s="260">
        <v>12</v>
      </c>
      <c r="AH45" s="325">
        <v>0</v>
      </c>
      <c r="AI45" s="601" t="s">
        <v>1758</v>
      </c>
      <c r="AJ45" s="260" t="s">
        <v>1213</v>
      </c>
      <c r="AK45" s="333">
        <v>4</v>
      </c>
    </row>
    <row r="46" spans="1:37" ht="18" customHeight="1" thickBot="1" x14ac:dyDescent="0.4">
      <c r="A46" t="s">
        <v>1470</v>
      </c>
      <c r="C46" s="419">
        <v>1206700</v>
      </c>
      <c r="D46" s="439">
        <v>596</v>
      </c>
      <c r="E46" s="260" t="str">
        <f>+VLOOKUP(D46,'Conteo VACIO'!$A$8:$D$226,4,0)</f>
        <v>G4E</v>
      </c>
      <c r="F46" s="322" t="s">
        <v>746</v>
      </c>
      <c r="G46" s="329" t="s">
        <v>1748</v>
      </c>
      <c r="H46" s="506"/>
      <c r="I46" s="477"/>
      <c r="J46" s="310"/>
      <c r="L46" s="903">
        <f t="shared" si="9"/>
        <v>5.1620370370370372</v>
      </c>
      <c r="M46" s="949">
        <f t="shared" si="10"/>
        <v>5.1620370370370372</v>
      </c>
      <c r="O46" s="752">
        <f t="shared" si="11"/>
        <v>0</v>
      </c>
      <c r="P46" s="487">
        <f t="shared" si="12"/>
        <v>432</v>
      </c>
      <c r="Q46" s="345">
        <f t="shared" si="13"/>
        <v>2230</v>
      </c>
      <c r="R46" s="753"/>
      <c r="S46" s="714"/>
      <c r="T46" s="402">
        <f>+IFERROR(SUMIFS('Stock CD'!D:D,D309,'Stock CD'!C:C),0)</f>
        <v>0</v>
      </c>
      <c r="U46" s="405">
        <f t="shared" si="14"/>
        <v>2230</v>
      </c>
      <c r="W46" s="402">
        <f>+IFERROR(VLOOKUP(D46,'Stock CD'!B:I,8,0),0)</f>
        <v>0</v>
      </c>
      <c r="X46" s="405">
        <f t="shared" si="15"/>
        <v>432</v>
      </c>
      <c r="Z46" s="305">
        <f>+SUMIFS('Conteo VACIO'!F:F,'Conteo VACIO'!$A:$A,$D46)</f>
        <v>1</v>
      </c>
      <c r="AA46" s="305">
        <f>+SUMIFS('Conteo VACIO'!G:G,'Conteo VACIO'!$A:$A,$D46)</f>
        <v>1230</v>
      </c>
      <c r="AB46" s="362">
        <v>1000</v>
      </c>
      <c r="AD46" s="322" t="s">
        <v>1470</v>
      </c>
      <c r="AE46" s="414">
        <f>IF(D46="Corb-LK",SUMIFS('Est Madre LK 10-25'!C:C,'Est Madre LK 10-25'!D:D,"si"),IF(D46="Corb-CH",SUMIFS('Est Madre CH 10-25'!C:C,'Est Madre CH 10-25'!D:D,"si"),0)+IFERROR(VLOOKUP(D46,'Est Madre LK 10-25'!$A:$C,3,),IFERROR(VLOOKUP(D46,'Est Madre CH 10-25'!$A:$C,3,),0)))</f>
        <v>108</v>
      </c>
      <c r="AF46" s="362">
        <v>12000</v>
      </c>
      <c r="AG46" s="260">
        <v>12</v>
      </c>
      <c r="AH46" s="325">
        <v>68.570279999999997</v>
      </c>
      <c r="AI46" s="601" t="s">
        <v>1758</v>
      </c>
      <c r="AJ46" s="260" t="s">
        <v>1213</v>
      </c>
      <c r="AK46" s="333">
        <v>4</v>
      </c>
    </row>
    <row r="47" spans="1:37" ht="18" customHeight="1" thickBot="1" x14ac:dyDescent="0.4">
      <c r="A47" t="s">
        <v>1470</v>
      </c>
      <c r="C47" s="419">
        <v>1206700</v>
      </c>
      <c r="D47" s="439">
        <v>595</v>
      </c>
      <c r="E47" s="260" t="str">
        <f>+VLOOKUP(D47,'Conteo VACIO'!$A$8:$D$226,4,0)</f>
        <v>G4D</v>
      </c>
      <c r="F47" s="322" t="s">
        <v>746</v>
      </c>
      <c r="G47" s="329" t="s">
        <v>1749</v>
      </c>
      <c r="H47" s="506"/>
      <c r="I47" s="477"/>
      <c r="J47" s="310"/>
      <c r="L47" s="903">
        <f t="shared" si="9"/>
        <v>2.5173611111111112</v>
      </c>
      <c r="M47" s="949">
        <f t="shared" si="10"/>
        <v>2.5173611111111112</v>
      </c>
      <c r="O47" s="752">
        <f t="shared" si="11"/>
        <v>0</v>
      </c>
      <c r="P47" s="487">
        <f t="shared" si="12"/>
        <v>1152</v>
      </c>
      <c r="Q47" s="345">
        <f t="shared" si="13"/>
        <v>2900</v>
      </c>
      <c r="R47" s="753"/>
      <c r="S47" s="714"/>
      <c r="T47" s="402">
        <f>+IFERROR(SUMIFS('Stock CD'!D:D,D310,'Stock CD'!C:C),0)</f>
        <v>0</v>
      </c>
      <c r="U47" s="405">
        <f t="shared" si="14"/>
        <v>2900</v>
      </c>
      <c r="W47" s="402">
        <f>+IFERROR(VLOOKUP(D47,'Stock CD'!B:I,8,0),0)</f>
        <v>0</v>
      </c>
      <c r="X47" s="405">
        <f t="shared" si="15"/>
        <v>1152</v>
      </c>
      <c r="Z47" s="305">
        <f>+SUMIFS('Conteo VACIO'!F:F,'Conteo VACIO'!$A:$A,$D47)</f>
        <v>2</v>
      </c>
      <c r="AA47" s="305">
        <f>+SUMIFS('Conteo VACIO'!G:G,'Conteo VACIO'!$A:$A,$D47)</f>
        <v>900</v>
      </c>
      <c r="AB47" s="362">
        <v>1000</v>
      </c>
      <c r="AD47" s="322" t="s">
        <v>1470</v>
      </c>
      <c r="AE47" s="414">
        <f>IF(D47="Corb-LK",SUMIFS('Est Madre LK 10-25'!C:C,'Est Madre LK 10-25'!D:D,"si"),IF(D47="Corb-CH",SUMIFS('Est Madre CH 10-25'!C:C,'Est Madre CH 10-25'!D:D,"si"),0)+IFERROR(VLOOKUP(D47,'Est Madre LK 10-25'!$A:$C,3,),IFERROR(VLOOKUP(D47,'Est Madre CH 10-25'!$A:$C,3,),0)))</f>
        <v>288</v>
      </c>
      <c r="AF47" s="362">
        <v>12000</v>
      </c>
      <c r="AG47" s="260">
        <v>12</v>
      </c>
      <c r="AH47" s="325">
        <v>68.570279999999997</v>
      </c>
      <c r="AI47" s="601" t="s">
        <v>1758</v>
      </c>
      <c r="AJ47" s="260" t="s">
        <v>1213</v>
      </c>
      <c r="AK47" s="333">
        <v>4</v>
      </c>
    </row>
    <row r="48" spans="1:37" ht="18" customHeight="1" thickBot="1" x14ac:dyDescent="0.4">
      <c r="A48" t="s">
        <v>1470</v>
      </c>
      <c r="C48" s="419">
        <v>1206700</v>
      </c>
      <c r="D48" s="439">
        <v>594</v>
      </c>
      <c r="E48" s="260" t="str">
        <f>+VLOOKUP(D48,'Conteo VACIO'!$A$8:$D$226,4,0)</f>
        <v>G4C</v>
      </c>
      <c r="F48" s="322" t="s">
        <v>746</v>
      </c>
      <c r="G48" s="329" t="s">
        <v>1750</v>
      </c>
      <c r="H48" s="506"/>
      <c r="I48" s="477"/>
      <c r="J48" s="310"/>
      <c r="L48" s="903">
        <f t="shared" si="9"/>
        <v>1.6025641025641026</v>
      </c>
      <c r="M48" s="949">
        <f t="shared" si="10"/>
        <v>1.6025641025641026</v>
      </c>
      <c r="O48" s="752">
        <f t="shared" si="11"/>
        <v>0</v>
      </c>
      <c r="P48" s="487">
        <f t="shared" si="12"/>
        <v>1248</v>
      </c>
      <c r="Q48" s="345">
        <f t="shared" si="13"/>
        <v>2000</v>
      </c>
      <c r="R48" s="753"/>
      <c r="S48" s="714"/>
      <c r="T48" s="402">
        <f>+IFERROR(SUMIFS('Stock CD'!D:D,D311,'Stock CD'!C:C),0)</f>
        <v>0</v>
      </c>
      <c r="U48" s="405">
        <f t="shared" si="14"/>
        <v>2000</v>
      </c>
      <c r="W48" s="402">
        <f>+IFERROR(VLOOKUP(D48,'Stock CD'!B:I,8,0),0)</f>
        <v>0</v>
      </c>
      <c r="X48" s="405">
        <f t="shared" si="15"/>
        <v>1248</v>
      </c>
      <c r="Z48" s="305">
        <f>+SUMIFS('Conteo VACIO'!F:F,'Conteo VACIO'!$A:$A,$D48)</f>
        <v>2</v>
      </c>
      <c r="AA48" s="305">
        <f>+SUMIFS('Conteo VACIO'!G:G,'Conteo VACIO'!$A:$A,$D48)</f>
        <v>0</v>
      </c>
      <c r="AB48" s="362">
        <v>1000</v>
      </c>
      <c r="AD48" s="322" t="s">
        <v>1470</v>
      </c>
      <c r="AE48" s="414">
        <f>IF(D48="Corb-LK",SUMIFS('Est Madre LK 10-25'!C:C,'Est Madre LK 10-25'!D:D,"si"),IF(D48="Corb-CH",SUMIFS('Est Madre CH 10-25'!C:C,'Est Madre CH 10-25'!D:D,"si"),0)+IFERROR(VLOOKUP(D48,'Est Madre LK 10-25'!$A:$C,3,),IFERROR(VLOOKUP(D48,'Est Madre CH 10-25'!$A:$C,3,),0)))</f>
        <v>312</v>
      </c>
      <c r="AF48" s="362">
        <v>12000</v>
      </c>
      <c r="AG48" s="260">
        <v>12</v>
      </c>
      <c r="AH48" s="325">
        <v>68.570279999999997</v>
      </c>
      <c r="AI48" s="601" t="s">
        <v>1758</v>
      </c>
      <c r="AJ48" s="260" t="s">
        <v>1213</v>
      </c>
      <c r="AK48" s="333">
        <v>4</v>
      </c>
    </row>
    <row r="49" spans="1:37" ht="18" customHeight="1" thickBot="1" x14ac:dyDescent="0.4">
      <c r="A49" t="s">
        <v>1470</v>
      </c>
      <c r="C49" s="419">
        <v>1206700</v>
      </c>
      <c r="D49" s="439">
        <v>565</v>
      </c>
      <c r="E49" s="260" t="str">
        <f>+VLOOKUP(D49,'Conteo VACIO'!$A$8:$D$226,4,0)</f>
        <v>G4B</v>
      </c>
      <c r="F49" s="322" t="s">
        <v>746</v>
      </c>
      <c r="G49" s="329" t="s">
        <v>1751</v>
      </c>
      <c r="H49" s="506"/>
      <c r="I49" s="477"/>
      <c r="J49" s="310"/>
      <c r="L49" s="903">
        <f t="shared" si="9"/>
        <v>1.4351851851851851</v>
      </c>
      <c r="M49" s="949">
        <f t="shared" si="10"/>
        <v>1.4351851851851851</v>
      </c>
      <c r="O49" s="752">
        <f t="shared" si="11"/>
        <v>0</v>
      </c>
      <c r="P49" s="487">
        <f t="shared" si="12"/>
        <v>1728</v>
      </c>
      <c r="Q49" s="345">
        <f t="shared" si="13"/>
        <v>2480</v>
      </c>
      <c r="R49" s="753"/>
      <c r="S49" s="714"/>
      <c r="T49" s="402">
        <f>+IFERROR(SUMIFS('Stock CD'!D:D,D312,'Stock CD'!C:C),0)</f>
        <v>0</v>
      </c>
      <c r="U49" s="405">
        <f t="shared" si="14"/>
        <v>2480</v>
      </c>
      <c r="W49" s="402">
        <f>+IFERROR(VLOOKUP(D49,'Stock CD'!B:I,8,0),0)</f>
        <v>0</v>
      </c>
      <c r="X49" s="405">
        <f t="shared" si="15"/>
        <v>1728</v>
      </c>
      <c r="Z49" s="305">
        <f>+SUMIFS('Conteo VACIO'!F:F,'Conteo VACIO'!$A:$A,$D49)</f>
        <v>2</v>
      </c>
      <c r="AA49" s="305">
        <f>+SUMIFS('Conteo VACIO'!G:G,'Conteo VACIO'!$A:$A,$D49)</f>
        <v>480</v>
      </c>
      <c r="AB49" s="362">
        <v>1000</v>
      </c>
      <c r="AD49" s="322" t="s">
        <v>1470</v>
      </c>
      <c r="AE49" s="414">
        <f>IF(D49="Corb-LK",SUMIFS('Est Madre LK 10-25'!C:C,'Est Madre LK 10-25'!D:D,"si"),IF(D49="Corb-CH",SUMIFS('Est Madre CH 10-25'!C:C,'Est Madre CH 10-25'!D:D,"si"),0)+IFERROR(VLOOKUP(D49,'Est Madre LK 10-25'!$A:$C,3,),IFERROR(VLOOKUP(D49,'Est Madre CH 10-25'!$A:$C,3,),0)))</f>
        <v>432</v>
      </c>
      <c r="AF49" s="362">
        <v>12000</v>
      </c>
      <c r="AG49" s="260">
        <v>12</v>
      </c>
      <c r="AH49" s="325">
        <v>68.570279999999997</v>
      </c>
      <c r="AI49" s="601" t="s">
        <v>1758</v>
      </c>
      <c r="AJ49" s="260" t="s">
        <v>1213</v>
      </c>
      <c r="AK49" s="333">
        <v>4</v>
      </c>
    </row>
    <row r="50" spans="1:37" ht="18" customHeight="1" thickBot="1" x14ac:dyDescent="0.4">
      <c r="A50" t="s">
        <v>1470</v>
      </c>
      <c r="C50" s="302">
        <v>1268700</v>
      </c>
      <c r="D50" s="439">
        <v>507</v>
      </c>
      <c r="E50" s="260" t="str">
        <f>+VLOOKUP(D50,'Conteo VACIO'!$A$8:$D$226,4,0)</f>
        <v>G1E</v>
      </c>
      <c r="F50" s="322" t="s">
        <v>746</v>
      </c>
      <c r="G50" s="329" t="s">
        <v>243</v>
      </c>
      <c r="H50" s="506"/>
      <c r="I50" s="477"/>
      <c r="J50" s="310"/>
      <c r="L50" s="903">
        <f t="shared" si="9"/>
        <v>9.4696969696969696E-2</v>
      </c>
      <c r="M50" s="949">
        <f t="shared" si="10"/>
        <v>9.4696969696969696E-2</v>
      </c>
      <c r="O50" s="752">
        <f t="shared" si="11"/>
        <v>2868</v>
      </c>
      <c r="P50" s="487">
        <f t="shared" si="12"/>
        <v>3168</v>
      </c>
      <c r="Q50" s="345">
        <f t="shared" si="13"/>
        <v>300</v>
      </c>
      <c r="R50" s="753"/>
      <c r="S50" s="714"/>
      <c r="T50" s="402">
        <f>+IFERROR(SUMIFS('Stock CD'!D:D,D313,'Stock CD'!C:C),0)</f>
        <v>0</v>
      </c>
      <c r="U50" s="405">
        <f t="shared" si="14"/>
        <v>300</v>
      </c>
      <c r="W50" s="402">
        <f>+IFERROR(VLOOKUP(D50,'Stock CD'!B:I,8,0),0)</f>
        <v>0</v>
      </c>
      <c r="X50" s="405">
        <f t="shared" si="15"/>
        <v>3168</v>
      </c>
      <c r="Z50" s="305">
        <f>+SUMIFS('Conteo VACIO'!F:F,'Conteo VACIO'!$A:$A,$D50)</f>
        <v>0</v>
      </c>
      <c r="AA50" s="305">
        <f>+SUMIFS('Conteo VACIO'!G:G,'Conteo VACIO'!$A:$A,$D50)</f>
        <v>300</v>
      </c>
      <c r="AB50" s="362">
        <v>1000</v>
      </c>
      <c r="AD50" s="322" t="s">
        <v>1470</v>
      </c>
      <c r="AE50" s="414">
        <f>IF(D50="Corb-LK",SUMIFS('Est Madre LK 10-25'!C:C,'Est Madre LK 10-25'!D:D,"si"),IF(D50="Corb-CH",SUMIFS('Est Madre CH 10-25'!C:C,'Est Madre CH 10-25'!D:D,"si"),0)+IFERROR(VLOOKUP(D50,'Est Madre LK 10-25'!$A:$C,3,),IFERROR(VLOOKUP(D50,'Est Madre CH 10-25'!$A:$C,3,),0)))</f>
        <v>792</v>
      </c>
      <c r="AF50" s="362">
        <v>12000</v>
      </c>
      <c r="AG50" s="260">
        <v>12</v>
      </c>
      <c r="AH50" s="325">
        <v>0</v>
      </c>
      <c r="AI50" s="601" t="s">
        <v>1758</v>
      </c>
      <c r="AJ50" s="260" t="s">
        <v>1213</v>
      </c>
      <c r="AK50" s="333">
        <v>4</v>
      </c>
    </row>
    <row r="51" spans="1:37" ht="18" customHeight="1" thickBot="1" x14ac:dyDescent="0.4">
      <c r="A51" t="s">
        <v>1470</v>
      </c>
      <c r="C51" s="419">
        <v>1206700</v>
      </c>
      <c r="D51" s="439">
        <v>518</v>
      </c>
      <c r="E51" s="260" t="str">
        <f>+VLOOKUP(D51,'Conteo VACIO'!$A$8:$D$226,4,0)</f>
        <v>G7E</v>
      </c>
      <c r="F51" s="322" t="s">
        <v>746</v>
      </c>
      <c r="G51" s="329" t="s">
        <v>1343</v>
      </c>
      <c r="H51" s="506"/>
      <c r="I51" s="477"/>
      <c r="J51" s="310"/>
      <c r="L51" s="903">
        <f t="shared" si="9"/>
        <v>0.70673076923076927</v>
      </c>
      <c r="M51" s="949">
        <f t="shared" si="10"/>
        <v>0.70673076923076927</v>
      </c>
      <c r="O51" s="752">
        <f t="shared" si="11"/>
        <v>915</v>
      </c>
      <c r="P51" s="487">
        <f t="shared" si="12"/>
        <v>3120</v>
      </c>
      <c r="Q51" s="345">
        <f t="shared" si="13"/>
        <v>2205</v>
      </c>
      <c r="R51" s="753"/>
      <c r="S51" s="714"/>
      <c r="T51" s="402">
        <f>+IFERROR(SUMIFS('Stock CD'!D:D,D321,'Stock CD'!C:C),0)</f>
        <v>0</v>
      </c>
      <c r="U51" s="405">
        <f t="shared" si="14"/>
        <v>2205</v>
      </c>
      <c r="W51" s="402">
        <f>+IFERROR(VLOOKUP(D51,'Stock CD'!B:I,8,0),0)</f>
        <v>0</v>
      </c>
      <c r="X51" s="405">
        <f t="shared" si="15"/>
        <v>3120</v>
      </c>
      <c r="Z51" s="305">
        <f>+SUMIFS('Conteo VACIO'!F:F,'Conteo VACIO'!$A:$A,$D51)</f>
        <v>1</v>
      </c>
      <c r="AA51" s="305">
        <f>+SUMIFS('Conteo VACIO'!G:G,'Conteo VACIO'!$A:$A,$D51)</f>
        <v>1205</v>
      </c>
      <c r="AB51" s="362">
        <v>1000</v>
      </c>
      <c r="AD51" s="322" t="s">
        <v>1470</v>
      </c>
      <c r="AE51" s="414">
        <f>IF(D51="Corb-LK",SUMIFS('Est Madre LK 10-25'!C:C,'Est Madre LK 10-25'!D:D,"si"),IF(D51="Corb-CH",SUMIFS('Est Madre CH 10-25'!C:C,'Est Madre CH 10-25'!D:D,"si"),0)+IFERROR(VLOOKUP(D51,'Est Madre LK 10-25'!$A:$C,3,),IFERROR(VLOOKUP(D51,'Est Madre CH 10-25'!$A:$C,3,),0)))</f>
        <v>780</v>
      </c>
      <c r="AF51" s="362">
        <v>12000</v>
      </c>
      <c r="AG51" s="260">
        <v>12</v>
      </c>
      <c r="AH51" s="325">
        <v>68.570279999999997</v>
      </c>
      <c r="AI51" s="601" t="s">
        <v>1758</v>
      </c>
      <c r="AJ51" s="260" t="s">
        <v>1213</v>
      </c>
      <c r="AK51" s="333">
        <v>4</v>
      </c>
    </row>
    <row r="52" spans="1:37" ht="18" customHeight="1" thickBot="1" x14ac:dyDescent="0.4">
      <c r="A52" t="s">
        <v>1470</v>
      </c>
      <c r="C52" s="302"/>
      <c r="D52" s="439">
        <v>208</v>
      </c>
      <c r="E52" s="260" t="str">
        <f>+VLOOKUP(D52,'Conteo VACIO'!$A$8:$D$226,4,0)</f>
        <v>G3B</v>
      </c>
      <c r="F52" s="322" t="s">
        <v>746</v>
      </c>
      <c r="G52" s="329" t="s">
        <v>1752</v>
      </c>
      <c r="H52" s="506"/>
      <c r="I52" s="477"/>
      <c r="J52" s="310"/>
      <c r="L52" s="903">
        <f t="shared" si="9"/>
        <v>0</v>
      </c>
      <c r="M52" s="952">
        <f t="shared" si="10"/>
        <v>0</v>
      </c>
      <c r="O52" s="752">
        <f t="shared" si="11"/>
        <v>576</v>
      </c>
      <c r="P52" s="487">
        <f t="shared" si="12"/>
        <v>576</v>
      </c>
      <c r="Q52" s="345">
        <f t="shared" si="13"/>
        <v>0</v>
      </c>
      <c r="R52" s="753"/>
      <c r="S52" s="714"/>
      <c r="T52" s="399">
        <f>+IFERROR(SUMIFS('Stock CD'!D:D,D320,'Stock CD'!C:C),0)</f>
        <v>0</v>
      </c>
      <c r="U52" s="405">
        <f t="shared" si="14"/>
        <v>0</v>
      </c>
      <c r="W52" s="399">
        <f>+IFERROR(VLOOKUP(D52,'Stock CD'!B:I,8,0),0)</f>
        <v>0</v>
      </c>
      <c r="X52" s="520">
        <f t="shared" si="15"/>
        <v>576</v>
      </c>
      <c r="Z52" s="305">
        <f>+SUMIFS('Conteo VACIO'!F:F,'Conteo VACIO'!$A:$A,$D52)</f>
        <v>0</v>
      </c>
      <c r="AA52" s="305">
        <f>+SUMIFS('Conteo VACIO'!G:G,'Conteo VACIO'!$A:$A,$D52)</f>
        <v>0</v>
      </c>
      <c r="AB52" s="362">
        <v>1000</v>
      </c>
      <c r="AD52" s="322" t="s">
        <v>1470</v>
      </c>
      <c r="AE52" s="414">
        <f>IF(D52="Corb-LK",SUMIFS('Est Madre LK 10-25'!C:C,'Est Madre LK 10-25'!D:D,"si"),IF(D52="Corb-CH",SUMIFS('Est Madre CH 10-25'!C:C,'Est Madre CH 10-25'!D:D,"si"),0)+IFERROR(VLOOKUP(D52,'Est Madre LK 10-25'!$A:$C,3,),IFERROR(VLOOKUP(D52,'Est Madre CH 10-25'!$A:$C,3,),0)))</f>
        <v>144</v>
      </c>
      <c r="AF52" s="362">
        <v>12000</v>
      </c>
      <c r="AG52" s="260">
        <v>12</v>
      </c>
      <c r="AH52" s="325">
        <v>68.569999999999993</v>
      </c>
      <c r="AI52" s="601" t="s">
        <v>1758</v>
      </c>
      <c r="AJ52" s="260" t="s">
        <v>1213</v>
      </c>
      <c r="AK52" s="333">
        <v>4</v>
      </c>
    </row>
    <row r="53" spans="1:37" ht="18" customHeight="1" thickBot="1" x14ac:dyDescent="0.4">
      <c r="A53" t="s">
        <v>1470</v>
      </c>
      <c r="C53" s="302"/>
      <c r="D53" s="439">
        <v>498</v>
      </c>
      <c r="E53" s="260" t="str">
        <f>+VLOOKUP(D53,'Conteo VACIO'!$A$8:$D$226,4,0)</f>
        <v>G7B</v>
      </c>
      <c r="F53" s="322" t="s">
        <v>746</v>
      </c>
      <c r="G53" s="329" t="s">
        <v>1711</v>
      </c>
      <c r="H53" s="506"/>
      <c r="I53" s="477"/>
      <c r="J53" s="310"/>
      <c r="L53" s="903">
        <f t="shared" si="9"/>
        <v>5.5381944444444446</v>
      </c>
      <c r="M53" s="952">
        <f t="shared" si="10"/>
        <v>5.5381944444444446</v>
      </c>
      <c r="O53" s="752">
        <f t="shared" si="11"/>
        <v>0</v>
      </c>
      <c r="P53" s="487">
        <f t="shared" si="12"/>
        <v>576</v>
      </c>
      <c r="Q53" s="345">
        <f t="shared" si="13"/>
        <v>3190</v>
      </c>
      <c r="R53" s="753"/>
      <c r="S53" s="714"/>
      <c r="T53" s="399">
        <f>+IFERROR(SUMIFS('Stock CD'!D:D,D323,'Stock CD'!C:C),0)</f>
        <v>0</v>
      </c>
      <c r="U53" s="405">
        <f t="shared" si="14"/>
        <v>3190</v>
      </c>
      <c r="W53" s="399">
        <f>+IFERROR(VLOOKUP(D53,'Stock CD'!B:I,8,0),0)</f>
        <v>0</v>
      </c>
      <c r="X53" s="520">
        <f t="shared" si="15"/>
        <v>576</v>
      </c>
      <c r="Z53" s="305">
        <f>+SUMIFS('Conteo VACIO'!F:F,'Conteo VACIO'!$A:$A,$D53)</f>
        <v>3</v>
      </c>
      <c r="AA53" s="305">
        <f>+SUMIFS('Conteo VACIO'!G:G,'Conteo VACIO'!$A:$A,$D53)</f>
        <v>190</v>
      </c>
      <c r="AB53" s="362">
        <v>1000</v>
      </c>
      <c r="AD53" s="322" t="s">
        <v>1470</v>
      </c>
      <c r="AE53" s="414">
        <f>IF(D53="Corb-LK",SUMIFS('Est Madre LK 10-25'!C:C,'Est Madre LK 10-25'!D:D,"si"),IF(D53="Corb-CH",SUMIFS('Est Madre CH 10-25'!C:C,'Est Madre CH 10-25'!D:D,"si"),0)+IFERROR(VLOOKUP(D53,'Est Madre LK 10-25'!$A:$C,3,),IFERROR(VLOOKUP(D53,'Est Madre CH 10-25'!$A:$C,3,),0)))</f>
        <v>144</v>
      </c>
      <c r="AF53" s="362">
        <v>12000</v>
      </c>
      <c r="AG53" s="260">
        <v>12</v>
      </c>
      <c r="AH53" s="325">
        <v>68.569999999999993</v>
      </c>
      <c r="AI53" s="601" t="s">
        <v>1758</v>
      </c>
      <c r="AJ53" s="260" t="s">
        <v>1213</v>
      </c>
      <c r="AK53" s="333">
        <v>4</v>
      </c>
    </row>
    <row r="54" spans="1:37" ht="18" customHeight="1" thickBot="1" x14ac:dyDescent="0.4">
      <c r="A54" t="s">
        <v>1470</v>
      </c>
      <c r="C54" s="419">
        <v>1206700</v>
      </c>
      <c r="D54" s="439">
        <v>299</v>
      </c>
      <c r="E54" s="260" t="str">
        <f>+VLOOKUP(D54,'Conteo VACIO'!$A$8:$D$226,4,0)</f>
        <v>G8B</v>
      </c>
      <c r="F54" s="322" t="s">
        <v>746</v>
      </c>
      <c r="G54" s="329" t="s">
        <v>1324</v>
      </c>
      <c r="H54" s="506"/>
      <c r="I54" s="477"/>
      <c r="J54" s="310"/>
      <c r="L54" s="903">
        <f t="shared" si="9"/>
        <v>0.77160493827160492</v>
      </c>
      <c r="M54" s="949">
        <f t="shared" si="10"/>
        <v>0.77160493827160492</v>
      </c>
      <c r="O54" s="752">
        <f t="shared" si="11"/>
        <v>296</v>
      </c>
      <c r="P54" s="487">
        <f t="shared" si="12"/>
        <v>1296</v>
      </c>
      <c r="Q54" s="345">
        <f t="shared" si="13"/>
        <v>1000</v>
      </c>
      <c r="R54" s="753"/>
      <c r="S54" s="714"/>
      <c r="T54" s="402">
        <f>+IFERROR(SUMIFS('Stock CD'!D:D,D324,'Stock CD'!C:C),0)</f>
        <v>0</v>
      </c>
      <c r="U54" s="405">
        <f t="shared" si="14"/>
        <v>1000</v>
      </c>
      <c r="W54" s="402">
        <f>+IFERROR(VLOOKUP(D54,'Stock CD'!B:I,8,0),0)</f>
        <v>0</v>
      </c>
      <c r="X54" s="405">
        <f t="shared" si="15"/>
        <v>1296</v>
      </c>
      <c r="Z54" s="305">
        <f>+SUMIFS('Conteo VACIO'!F:F,'Conteo VACIO'!$A:$A,$D54)</f>
        <v>1</v>
      </c>
      <c r="AA54" s="305">
        <f>+SUMIFS('Conteo VACIO'!G:G,'Conteo VACIO'!$A:$A,$D54)</f>
        <v>0</v>
      </c>
      <c r="AB54" s="362">
        <v>1000</v>
      </c>
      <c r="AD54" s="322" t="s">
        <v>1470</v>
      </c>
      <c r="AE54" s="414">
        <f>IF(D54="Corb-LK",SUMIFS('Est Madre LK 10-25'!C:C,'Est Madre LK 10-25'!D:D,"si"),IF(D54="Corb-CH",SUMIFS('Est Madre CH 10-25'!C:C,'Est Madre CH 10-25'!D:D,"si"),0)+IFERROR(VLOOKUP(D54,'Est Madre LK 10-25'!$A:$C,3,),IFERROR(VLOOKUP(D54,'Est Madre CH 10-25'!$A:$C,3,),0)))</f>
        <v>324</v>
      </c>
      <c r="AF54" s="362">
        <v>12000</v>
      </c>
      <c r="AG54" s="260">
        <v>12</v>
      </c>
      <c r="AH54" s="325">
        <v>68.570279999999997</v>
      </c>
      <c r="AI54" s="601" t="s">
        <v>1758</v>
      </c>
      <c r="AJ54" s="260" t="s">
        <v>1213</v>
      </c>
      <c r="AK54" s="333">
        <v>4</v>
      </c>
    </row>
    <row r="55" spans="1:37" ht="18" customHeight="1" thickBot="1" x14ac:dyDescent="0.4">
      <c r="A55" t="s">
        <v>1470</v>
      </c>
      <c r="C55" s="302"/>
      <c r="D55" s="439">
        <v>207</v>
      </c>
      <c r="E55" s="260" t="str">
        <f>+VLOOKUP(D55,'Conteo VACIO'!$A$8:$D$226,4,0)</f>
        <v>G3A</v>
      </c>
      <c r="F55" s="322" t="s">
        <v>746</v>
      </c>
      <c r="G55" s="329" t="s">
        <v>1753</v>
      </c>
      <c r="H55" s="506"/>
      <c r="I55" s="477"/>
      <c r="J55" s="310"/>
      <c r="L55" s="903">
        <f t="shared" si="9"/>
        <v>0</v>
      </c>
      <c r="M55" s="952">
        <f t="shared" si="10"/>
        <v>0</v>
      </c>
      <c r="O55" s="752">
        <f t="shared" si="11"/>
        <v>960</v>
      </c>
      <c r="P55" s="487">
        <f t="shared" si="12"/>
        <v>960</v>
      </c>
      <c r="Q55" s="345">
        <f t="shared" si="13"/>
        <v>0</v>
      </c>
      <c r="R55" s="753"/>
      <c r="S55" s="714"/>
      <c r="T55" s="399">
        <f>+IFERROR(SUMIFS('Stock CD'!D:D,D325,'Stock CD'!C:C),0)</f>
        <v>0</v>
      </c>
      <c r="U55" s="405">
        <f t="shared" si="14"/>
        <v>0</v>
      </c>
      <c r="W55" s="399">
        <f>+IFERROR(VLOOKUP(D55,'Stock CD'!B:I,8,0),0)</f>
        <v>0</v>
      </c>
      <c r="X55" s="520">
        <f t="shared" si="15"/>
        <v>960</v>
      </c>
      <c r="Z55" s="305">
        <f>+SUMIFS('Conteo VACIO'!F:F,'Conteo VACIO'!$A:$A,$D55)</f>
        <v>0</v>
      </c>
      <c r="AA55" s="305">
        <f>+SUMIFS('Conteo VACIO'!G:G,'Conteo VACIO'!$A:$A,$D55)</f>
        <v>0</v>
      </c>
      <c r="AB55" s="362">
        <v>1000</v>
      </c>
      <c r="AD55" s="322" t="s">
        <v>1470</v>
      </c>
      <c r="AE55" s="414">
        <f>IF(D55="Corb-LK",SUMIFS('Est Madre LK 10-25'!C:C,'Est Madre LK 10-25'!D:D,"si"),IF(D55="Corb-CH",SUMIFS('Est Madre CH 10-25'!C:C,'Est Madre CH 10-25'!D:D,"si"),0)+IFERROR(VLOOKUP(D55,'Est Madre LK 10-25'!$A:$C,3,),IFERROR(VLOOKUP(D55,'Est Madre CH 10-25'!$A:$C,3,),0)))</f>
        <v>240</v>
      </c>
      <c r="AF55" s="362">
        <v>12000</v>
      </c>
      <c r="AG55" s="260">
        <v>12</v>
      </c>
      <c r="AH55" s="325">
        <v>68.569999999999993</v>
      </c>
      <c r="AI55" s="601" t="s">
        <v>1758</v>
      </c>
      <c r="AJ55" s="260" t="s">
        <v>1213</v>
      </c>
      <c r="AK55" s="333">
        <v>4</v>
      </c>
    </row>
    <row r="56" spans="1:37" ht="18" customHeight="1" thickBot="1" x14ac:dyDescent="0.4">
      <c r="A56" t="s">
        <v>1470</v>
      </c>
      <c r="C56" s="302">
        <v>1267700</v>
      </c>
      <c r="D56" s="439">
        <v>517</v>
      </c>
      <c r="E56" s="260" t="str">
        <f>+VLOOKUP(D56,'Conteo VACIO'!$A$8:$D$226,4,0)</f>
        <v>G2A</v>
      </c>
      <c r="F56" s="322" t="s">
        <v>746</v>
      </c>
      <c r="G56" s="329" t="s">
        <v>1367</v>
      </c>
      <c r="H56" s="506"/>
      <c r="I56" s="477"/>
      <c r="J56" s="310"/>
      <c r="L56" s="903">
        <f t="shared" si="9"/>
        <v>0</v>
      </c>
      <c r="M56" s="949">
        <f t="shared" si="10"/>
        <v>0</v>
      </c>
      <c r="O56" s="752">
        <f t="shared" si="11"/>
        <v>0</v>
      </c>
      <c r="P56" s="487">
        <f t="shared" si="12"/>
        <v>0</v>
      </c>
      <c r="Q56" s="345">
        <f t="shared" si="13"/>
        <v>0</v>
      </c>
      <c r="R56" s="753"/>
      <c r="S56" s="714"/>
      <c r="T56" s="402">
        <f>+IFERROR(SUMIFS('Stock CD'!D:D,D326,'Stock CD'!C:C),0)</f>
        <v>0</v>
      </c>
      <c r="U56" s="405">
        <f t="shared" si="14"/>
        <v>0</v>
      </c>
      <c r="W56" s="402">
        <f>+IFERROR(VLOOKUP(D56,'Stock CD'!B:I,8,0),0)</f>
        <v>0</v>
      </c>
      <c r="X56" s="405">
        <f t="shared" si="15"/>
        <v>0</v>
      </c>
      <c r="Z56" s="305">
        <f>+SUMIFS('Conteo VACIO'!F:F,'Conteo VACIO'!$A:$A,$D56)</f>
        <v>0</v>
      </c>
      <c r="AA56" s="305">
        <f>+SUMIFS('Conteo VACIO'!G:G,'Conteo VACIO'!$A:$A,$D56)</f>
        <v>0</v>
      </c>
      <c r="AB56" s="362">
        <v>1000</v>
      </c>
      <c r="AD56" s="322" t="s">
        <v>1470</v>
      </c>
      <c r="AE56" s="414">
        <f>IF(D56="Corb-LK",SUMIFS('Est Madre LK 10-25'!C:C,'Est Madre LK 10-25'!D:D,"si"),IF(D56="Corb-CH",SUMIFS('Est Madre CH 10-25'!C:C,'Est Madre CH 10-25'!D:D,"si"),0)+IFERROR(VLOOKUP(D56,'Est Madre LK 10-25'!$A:$C,3,),IFERROR(VLOOKUP(D56,'Est Madre CH 10-25'!$A:$C,3,),0)))</f>
        <v>0</v>
      </c>
      <c r="AF56" s="362">
        <v>12000</v>
      </c>
      <c r="AG56" s="260">
        <v>12</v>
      </c>
      <c r="AH56" s="325">
        <v>0</v>
      </c>
      <c r="AI56" s="601" t="s">
        <v>1758</v>
      </c>
      <c r="AJ56" s="260" t="s">
        <v>1213</v>
      </c>
      <c r="AK56" s="333">
        <v>4</v>
      </c>
    </row>
    <row r="57" spans="1:37" ht="18" customHeight="1" thickBot="1" x14ac:dyDescent="0.4">
      <c r="A57" t="s">
        <v>1470</v>
      </c>
      <c r="C57" s="302"/>
      <c r="D57" s="439">
        <v>561</v>
      </c>
      <c r="E57" s="260" t="str">
        <f>+VLOOKUP(D57,'Conteo VACIO'!$A$8:$D$226,4,0)</f>
        <v>G4A</v>
      </c>
      <c r="F57" s="322" t="s">
        <v>746</v>
      </c>
      <c r="G57" s="329" t="s">
        <v>1527</v>
      </c>
      <c r="H57" s="506"/>
      <c r="I57" s="477"/>
      <c r="J57" s="310"/>
      <c r="L57" s="903">
        <f t="shared" si="9"/>
        <v>0</v>
      </c>
      <c r="M57" s="952">
        <f t="shared" si="10"/>
        <v>0</v>
      </c>
      <c r="O57" s="752">
        <f t="shared" si="11"/>
        <v>0</v>
      </c>
      <c r="P57" s="487">
        <f t="shared" si="12"/>
        <v>0</v>
      </c>
      <c r="Q57" s="345">
        <f t="shared" si="13"/>
        <v>0</v>
      </c>
      <c r="R57" s="753"/>
      <c r="S57" s="714"/>
      <c r="T57" s="399">
        <f>+IFERROR(SUMIFS('Stock CD'!D:D,D327,'Stock CD'!C:C),0)</f>
        <v>0</v>
      </c>
      <c r="U57" s="405">
        <f t="shared" si="14"/>
        <v>0</v>
      </c>
      <c r="W57" s="399">
        <f>+IFERROR(VLOOKUP(D57,'Stock CD'!B:I,8,0),0)</f>
        <v>0</v>
      </c>
      <c r="X57" s="520">
        <f t="shared" si="15"/>
        <v>0</v>
      </c>
      <c r="Z57" s="305">
        <f>+SUMIFS('Conteo VACIO'!F:F,'Conteo VACIO'!$A:$A,$D57)</f>
        <v>0</v>
      </c>
      <c r="AA57" s="305">
        <f>+SUMIFS('Conteo VACIO'!G:G,'Conteo VACIO'!$A:$A,$D57)</f>
        <v>0</v>
      </c>
      <c r="AB57" s="362">
        <v>1000</v>
      </c>
      <c r="AD57" s="322" t="s">
        <v>1470</v>
      </c>
      <c r="AE57" s="414">
        <f>IF(D57="Corb-LK",SUMIFS('Est Madre LK 10-25'!C:C,'Est Madre LK 10-25'!D:D,"si"),IF(D57="Corb-CH",SUMIFS('Est Madre CH 10-25'!C:C,'Est Madre CH 10-25'!D:D,"si"),0)+IFERROR(VLOOKUP(D57,'Est Madre LK 10-25'!$A:$C,3,),IFERROR(VLOOKUP(D57,'Est Madre CH 10-25'!$A:$C,3,),0)))</f>
        <v>0</v>
      </c>
      <c r="AF57" s="362">
        <v>12000</v>
      </c>
      <c r="AG57" s="260">
        <v>12</v>
      </c>
      <c r="AH57" s="325">
        <v>68.569999999999993</v>
      </c>
      <c r="AI57" s="601" t="s">
        <v>1758</v>
      </c>
      <c r="AJ57" s="260" t="s">
        <v>1213</v>
      </c>
      <c r="AK57" s="333">
        <v>4</v>
      </c>
    </row>
    <row r="58" spans="1:37" ht="18" customHeight="1" thickBot="1" x14ac:dyDescent="0.4">
      <c r="A58" t="s">
        <v>1470</v>
      </c>
      <c r="C58" s="419">
        <v>1206700</v>
      </c>
      <c r="D58" s="439">
        <v>508</v>
      </c>
      <c r="E58" s="260" t="str">
        <f>+VLOOKUP(D58,'Conteo VACIO'!$A$8:$D$226,4,0)</f>
        <v>G6A</v>
      </c>
      <c r="F58" s="322" t="s">
        <v>746</v>
      </c>
      <c r="G58" s="329" t="s">
        <v>1190</v>
      </c>
      <c r="H58" s="506"/>
      <c r="I58" s="477"/>
      <c r="J58" s="310"/>
      <c r="L58" s="904">
        <f t="shared" si="9"/>
        <v>1.5297619047619047</v>
      </c>
      <c r="M58" s="950">
        <f t="shared" si="10"/>
        <v>1.5297619047619047</v>
      </c>
      <c r="O58" s="754">
        <f t="shared" si="11"/>
        <v>0</v>
      </c>
      <c r="P58" s="488">
        <f t="shared" si="12"/>
        <v>1680</v>
      </c>
      <c r="Q58" s="347">
        <f t="shared" si="13"/>
        <v>2570</v>
      </c>
      <c r="R58" s="755"/>
      <c r="S58" s="772"/>
      <c r="T58" s="403">
        <f>+IFERROR(SUMIFS('Stock CD'!D:D,D322,'Stock CD'!C:C),0)</f>
        <v>0</v>
      </c>
      <c r="U58" s="406">
        <f t="shared" si="14"/>
        <v>2570</v>
      </c>
      <c r="W58" s="403">
        <f>+IFERROR(VLOOKUP(D58,'Stock CD'!B:I,8,0),0)</f>
        <v>0</v>
      </c>
      <c r="X58" s="406">
        <f t="shared" si="15"/>
        <v>1680</v>
      </c>
      <c r="Z58" s="611">
        <f>+SUMIFS('Conteo VACIO'!F:F,'Conteo VACIO'!$A:$A,$D58)</f>
        <v>2</v>
      </c>
      <c r="AA58" s="611">
        <f>+SUMIFS('Conteo VACIO'!G:G,'Conteo VACIO'!$A:$A,$D58)</f>
        <v>570</v>
      </c>
      <c r="AB58" s="537">
        <v>1000</v>
      </c>
      <c r="AD58" s="608" t="s">
        <v>1470</v>
      </c>
      <c r="AE58" s="530">
        <f>IF(D58="Corb-LK",SUMIFS('Est Madre LK 10-25'!C:C,'Est Madre LK 10-25'!D:D,"si"),IF(D58="Corb-CH",SUMIFS('Est Madre CH 10-25'!C:C,'Est Madre CH 10-25'!D:D,"si"),0)+IFERROR(VLOOKUP(D58,'Est Madre LK 10-25'!$A:$C,3,),IFERROR(VLOOKUP(D58,'Est Madre CH 10-25'!$A:$C,3,),0)))</f>
        <v>420</v>
      </c>
      <c r="AF58" s="537">
        <v>12000</v>
      </c>
      <c r="AG58" s="538">
        <v>12</v>
      </c>
      <c r="AH58" s="539">
        <v>68.570279999999997</v>
      </c>
      <c r="AI58" s="602" t="s">
        <v>1758</v>
      </c>
      <c r="AJ58" s="538" t="s">
        <v>1213</v>
      </c>
      <c r="AK58" s="769">
        <v>4</v>
      </c>
    </row>
    <row r="59" spans="1:37" ht="18.75" customHeight="1" thickBot="1" x14ac:dyDescent="0.4">
      <c r="A59" t="s">
        <v>1470</v>
      </c>
      <c r="C59" s="302">
        <v>1207700</v>
      </c>
      <c r="D59" s="439">
        <v>587</v>
      </c>
      <c r="E59" s="260" t="str">
        <f>+VLOOKUP(D59,'Conteo VACIO'!$A$8:$D$226,4,0)</f>
        <v>B4</v>
      </c>
      <c r="F59" s="322" t="s">
        <v>746</v>
      </c>
      <c r="G59" s="329" t="s">
        <v>1322</v>
      </c>
      <c r="H59" s="506"/>
      <c r="I59" s="477"/>
      <c r="J59" s="310"/>
      <c r="L59" s="904">
        <f>+IFERROR(Q59/P59,0)</f>
        <v>0.44871794871794873</v>
      </c>
      <c r="M59" s="950">
        <f>+IFERROR(U59/X59,0)</f>
        <v>0.44871794871794873</v>
      </c>
      <c r="O59" s="754">
        <f>IF(P59-Q59-R59&lt;0,0,P59-Q59-R59)</f>
        <v>6450</v>
      </c>
      <c r="P59" s="488">
        <f>+IFERROR(AE59*AK59,0)</f>
        <v>11700</v>
      </c>
      <c r="Q59" s="347">
        <f>+(Z59*AB59)+AA59</f>
        <v>5250</v>
      </c>
      <c r="R59" s="755"/>
      <c r="T59" s="403">
        <f>+IFERROR(SUMIFS('Stock CD'!D:D,D276,'Stock CD'!C:C),0)</f>
        <v>0</v>
      </c>
      <c r="U59" s="406">
        <f>+T59+Q59</f>
        <v>5250</v>
      </c>
      <c r="W59" s="403">
        <f>+IFERROR(VLOOKUP(D59,'Stock CD'!B:I,8,0),0)</f>
        <v>0</v>
      </c>
      <c r="X59" s="406">
        <f>+W59+P59</f>
        <v>11700</v>
      </c>
      <c r="Z59" s="306">
        <f>+SUMIFS('Conteo VACIO'!F:F,'Conteo VACIO'!$A:$A,$D59)</f>
        <v>5</v>
      </c>
      <c r="AA59" s="306">
        <f>+SUMIFS('Conteo VACIO'!G:G,'Conteo VACIO'!$A:$A,$D59)</f>
        <v>250</v>
      </c>
      <c r="AB59" s="518">
        <v>1000</v>
      </c>
      <c r="AD59" s="431" t="s">
        <v>1470</v>
      </c>
      <c r="AE59" s="429">
        <f>IF(D59="Corb-LK",SUMIFS('Est Madre LK 10-25'!C:C,'Est Madre LK 10-25'!D:D,"si"),IF(D59="Corb-CH",SUMIFS('Est Madre CH 10-25'!C:C,'Est Madre CH 10-25'!D:D,"si"),0)+IFERROR(VLOOKUP(D59,'Est Madre LK 10-25'!$A:$C,3,),IFERROR(VLOOKUP(D59,'Est Madre CH 10-25'!$A:$C,3,),0)))</f>
        <v>3900</v>
      </c>
      <c r="AF59" s="364">
        <v>12000</v>
      </c>
      <c r="AG59" s="262">
        <v>12</v>
      </c>
      <c r="AH59" s="327">
        <v>61.336709999999997</v>
      </c>
      <c r="AI59" s="603" t="s">
        <v>1758</v>
      </c>
      <c r="AJ59" s="262" t="s">
        <v>1667</v>
      </c>
      <c r="AK59" s="337">
        <v>3</v>
      </c>
    </row>
    <row r="60" spans="1:37" ht="18.75" customHeight="1" thickBot="1" x14ac:dyDescent="0.4">
      <c r="C60" s="298"/>
      <c r="D60" s="449"/>
      <c r="E60" s="262" t="e">
        <f>+VLOOKUP(D60,'Conteo VACIO'!$A$8:$D$226,4,0)</f>
        <v>#N/A</v>
      </c>
      <c r="F60" s="324" t="s">
        <v>746</v>
      </c>
      <c r="G60" s="357" t="s">
        <v>1777</v>
      </c>
      <c r="H60" s="633"/>
      <c r="I60" s="478"/>
      <c r="J60" s="310"/>
      <c r="L60" s="904">
        <f>+IFERROR(Q60/P60,0)</f>
        <v>0</v>
      </c>
      <c r="M60" s="950">
        <f>+IFERROR(U60/X60,0)</f>
        <v>0</v>
      </c>
      <c r="O60" s="754">
        <f>IF(P60-Q60-R60&lt;0,0,P60-Q60-R60)</f>
        <v>0</v>
      </c>
      <c r="P60" s="488">
        <f>+IFERROR(AE60*AK60,0)</f>
        <v>0</v>
      </c>
      <c r="Q60" s="347">
        <f>+(Z60*AB60)+AA60</f>
        <v>0</v>
      </c>
      <c r="R60" s="755"/>
      <c r="T60" s="403">
        <f>+IFERROR(SUMIFS('Stock CD'!D:D,D277,'Stock CD'!C:C),0)</f>
        <v>0</v>
      </c>
      <c r="U60" s="406">
        <f>+T60+Q60</f>
        <v>0</v>
      </c>
      <c r="W60" s="403">
        <f>+IFERROR(VLOOKUP(D60,'Stock CD'!B:I,8,0),0)</f>
        <v>0</v>
      </c>
      <c r="X60" s="406">
        <f>+W60+P60</f>
        <v>0</v>
      </c>
      <c r="Z60" s="306">
        <f>+SUMIFS('Conteo VACIO'!F:F,'Conteo VACIO'!$A:$A,$D60)</f>
        <v>0</v>
      </c>
      <c r="AA60" s="306">
        <f>+SUMIFS('Conteo VACIO'!G:G,'Conteo VACIO'!$A:$A,$D60)</f>
        <v>0</v>
      </c>
      <c r="AB60" s="518">
        <v>1001</v>
      </c>
      <c r="AD60" s="431" t="s">
        <v>1470</v>
      </c>
      <c r="AE60" s="429">
        <f>IF(D60="Corb-LK",SUMIFS('Est Madre LK 10-25'!C:C,'Est Madre LK 10-25'!D:D,"si"),IF(D60="Corb-CH",SUMIFS('Est Madre CH 10-25'!C:C,'Est Madre CH 10-25'!D:D,"si"),0)+IFERROR(VLOOKUP(D60,'Est Madre LK 10-25'!$A:$C,3,),IFERROR(VLOOKUP(D60,'Est Madre CH 10-25'!$A:$C,3,),0)))</f>
        <v>0</v>
      </c>
      <c r="AF60" s="364">
        <v>12000</v>
      </c>
      <c r="AG60" s="262">
        <v>12</v>
      </c>
      <c r="AH60" s="327">
        <v>61.336709999999997</v>
      </c>
      <c r="AI60" s="603" t="s">
        <v>1758</v>
      </c>
      <c r="AJ60" s="262" t="s">
        <v>1667</v>
      </c>
      <c r="AK60" s="337">
        <v>4</v>
      </c>
    </row>
    <row r="61" spans="1:37" ht="18" customHeight="1" thickBot="1" x14ac:dyDescent="0.4">
      <c r="C61" s="348"/>
      <c r="D61" s="294"/>
      <c r="F61" s="299"/>
      <c r="G61" s="310"/>
      <c r="H61" s="631"/>
      <c r="I61" s="310"/>
      <c r="J61" s="310"/>
      <c r="L61" s="458"/>
      <c r="M61" s="459"/>
      <c r="O61" s="687">
        <f>+SUM(O33:O60)</f>
        <v>24993</v>
      </c>
      <c r="P61" s="383"/>
      <c r="Q61" s="338"/>
      <c r="R61" s="687"/>
      <c r="S61" s="719"/>
      <c r="T61" s="460"/>
      <c r="U61" s="460"/>
      <c r="W61" s="460"/>
      <c r="X61" s="460"/>
      <c r="Z61" s="849"/>
      <c r="AA61" s="849"/>
      <c r="AB61" s="850"/>
      <c r="AD61" s="851"/>
      <c r="AE61" s="852"/>
      <c r="AF61" s="850"/>
      <c r="AG61" s="853"/>
      <c r="AH61" s="854"/>
      <c r="AI61" s="855"/>
      <c r="AJ61" s="853"/>
      <c r="AK61" s="851"/>
    </row>
    <row r="62" spans="1:37" s="385" customFormat="1" ht="30" customHeight="1" thickBot="1" x14ac:dyDescent="0.35">
      <c r="C62" s="1264" t="s">
        <v>1779</v>
      </c>
      <c r="D62" s="1265"/>
      <c r="E62" s="1265"/>
      <c r="F62" s="1265"/>
      <c r="G62" s="1265"/>
      <c r="H62" s="1265"/>
      <c r="I62" s="1266"/>
      <c r="J62" s="339"/>
      <c r="L62" s="845"/>
      <c r="M62" s="846"/>
      <c r="N62" s="516"/>
      <c r="O62" s="784"/>
      <c r="P62" s="727"/>
      <c r="Q62" s="727"/>
      <c r="R62" s="784"/>
      <c r="S62" s="866"/>
      <c r="T62" s="784"/>
      <c r="U62" s="784"/>
      <c r="V62" s="516"/>
      <c r="W62" s="784"/>
      <c r="X62" s="784"/>
      <c r="Y62"/>
      <c r="Z62" s="867"/>
      <c r="AA62" s="867"/>
      <c r="AB62" s="868"/>
      <c r="AC62"/>
      <c r="AD62" s="867"/>
      <c r="AE62" s="867"/>
      <c r="AF62" s="868"/>
      <c r="AG62" s="867"/>
      <c r="AH62" s="867"/>
      <c r="AI62" s="867"/>
      <c r="AJ62" s="867"/>
      <c r="AK62" s="867"/>
    </row>
    <row r="63" spans="1:37" s="385" customFormat="1" ht="56.1" customHeight="1" thickBot="1" x14ac:dyDescent="0.35">
      <c r="C63" s="312" t="s">
        <v>1293</v>
      </c>
      <c r="D63" s="558" t="s">
        <v>748</v>
      </c>
      <c r="E63" s="312" t="s">
        <v>1198</v>
      </c>
      <c r="F63" s="558" t="s">
        <v>1018</v>
      </c>
      <c r="G63" s="558" t="s">
        <v>749</v>
      </c>
      <c r="H63" s="291" t="s">
        <v>1526</v>
      </c>
      <c r="I63" s="291" t="s">
        <v>1525</v>
      </c>
      <c r="J63" s="317"/>
      <c r="L63" s="911" t="s">
        <v>1524</v>
      </c>
      <c r="M63" s="715" t="s">
        <v>1730</v>
      </c>
      <c r="N63" s="516"/>
      <c r="O63" s="710" t="s">
        <v>1042</v>
      </c>
      <c r="P63" s="711" t="s">
        <v>1402</v>
      </c>
      <c r="Q63" s="716" t="s">
        <v>1178</v>
      </c>
      <c r="R63" s="710" t="s">
        <v>1781</v>
      </c>
      <c r="S63" s="693"/>
      <c r="T63" s="710" t="s">
        <v>1440</v>
      </c>
      <c r="U63" s="984" t="s">
        <v>1441</v>
      </c>
      <c r="V63" s="516"/>
      <c r="W63" s="985" t="s">
        <v>1442</v>
      </c>
      <c r="X63" s="710" t="s">
        <v>1443</v>
      </c>
      <c r="Y63"/>
      <c r="Z63" s="696" t="s">
        <v>1197</v>
      </c>
      <c r="AA63" s="695" t="s">
        <v>1460</v>
      </c>
      <c r="AB63" s="694" t="s">
        <v>857</v>
      </c>
      <c r="AC63"/>
      <c r="AD63" s="695" t="s">
        <v>1403</v>
      </c>
      <c r="AE63" s="695" t="s">
        <v>1415</v>
      </c>
      <c r="AF63" s="694" t="s">
        <v>1438</v>
      </c>
      <c r="AG63" s="695" t="s">
        <v>1212</v>
      </c>
      <c r="AH63" s="696" t="s">
        <v>1387</v>
      </c>
      <c r="AI63" s="695" t="s">
        <v>1731</v>
      </c>
      <c r="AJ63" s="695" t="s">
        <v>1416</v>
      </c>
      <c r="AK63" s="695" t="s">
        <v>1513</v>
      </c>
    </row>
    <row r="64" spans="1:37" ht="18" customHeight="1" thickBot="1" x14ac:dyDescent="0.4">
      <c r="A64" t="s">
        <v>1470</v>
      </c>
      <c r="C64" s="680">
        <v>1206700</v>
      </c>
      <c r="D64" s="297">
        <v>543</v>
      </c>
      <c r="E64" s="489" t="str">
        <f>+VLOOKUP(D64,'Conteo VACIO'!$A$8:$D$226,4,0)</f>
        <v>G5B</v>
      </c>
      <c r="F64" s="398" t="s">
        <v>746</v>
      </c>
      <c r="G64" s="356" t="s">
        <v>1180</v>
      </c>
      <c r="H64" s="632"/>
      <c r="I64" s="476"/>
      <c r="J64" s="310"/>
      <c r="L64" s="902">
        <f t="shared" ref="L64:L87" si="16">+IFERROR(Q64/P64,0)</f>
        <v>1.2121212121212122</v>
      </c>
      <c r="M64" s="948">
        <f>+IFERROR(U64/X64,0)</f>
        <v>1.2121212121212122</v>
      </c>
      <c r="O64" s="750">
        <f t="shared" ref="O64:O87" si="17">IF(P64-Q64-R64&lt;0,0,P64-Q64-R64)</f>
        <v>0</v>
      </c>
      <c r="P64" s="486">
        <f t="shared" ref="P64:P87" si="18">+IFERROR(AE64*AK64,0)</f>
        <v>1188</v>
      </c>
      <c r="Q64" s="346">
        <f t="shared" ref="Q64:Q87" si="19">+(Z64*AB64)+AA64</f>
        <v>1440</v>
      </c>
      <c r="R64" s="751"/>
      <c r="S64" s="717"/>
      <c r="T64" s="401">
        <f>+IFERROR(SUMIFS('Stock CD'!D:D,D264,'Stock CD'!C:C),0)</f>
        <v>0</v>
      </c>
      <c r="U64" s="404">
        <f t="shared" ref="U64:U87" si="20">+T64+Q64</f>
        <v>1440</v>
      </c>
      <c r="W64" s="401">
        <f>+IFERROR(VLOOKUP(D64,'Stock CD'!B:I,8,0),0)</f>
        <v>0</v>
      </c>
      <c r="X64" s="404">
        <f t="shared" ref="X64:X87" si="21">+W64+P64</f>
        <v>1188</v>
      </c>
      <c r="Z64" s="712">
        <f>+SUMIFS('Conteo VACIO'!F:F,'Conteo VACIO'!$A:$A,$D64)</f>
        <v>1</v>
      </c>
      <c r="AA64" s="304">
        <f>+SUMIFS('Conteo VACIO'!G:G,'Conteo VACIO'!$A:$A,$D64)</f>
        <v>440</v>
      </c>
      <c r="AB64" s="534">
        <v>1000</v>
      </c>
      <c r="AD64" s="398" t="s">
        <v>1470</v>
      </c>
      <c r="AE64" s="428">
        <f>IF(D64="Corb-LK",SUMIFS('Est Madre LK 10-25'!C:C,'Est Madre LK 10-25'!D:D,"si"),IF(D64="Corb-CH",SUMIFS('Est Madre CH 10-25'!C:C,'Est Madre CH 10-25'!D:D,"si"),0)+IFERROR(VLOOKUP(D64,'Est Madre LK 10-25'!$A:$C,3,),IFERROR(VLOOKUP(D64,'Est Madre CH 10-25'!$A:$C,3,),0)))</f>
        <v>396</v>
      </c>
      <c r="AF64" s="361">
        <v>12000</v>
      </c>
      <c r="AG64" s="261">
        <v>12</v>
      </c>
      <c r="AH64" s="341">
        <v>68.570279999999997</v>
      </c>
      <c r="AI64" s="728" t="s">
        <v>1732</v>
      </c>
      <c r="AJ64" s="261" t="s">
        <v>1666</v>
      </c>
      <c r="AK64" s="333">
        <v>3</v>
      </c>
    </row>
    <row r="65" spans="1:37" ht="18" customHeight="1" thickBot="1" x14ac:dyDescent="0.4">
      <c r="A65" t="s">
        <v>1470</v>
      </c>
      <c r="C65" s="681">
        <v>1206700</v>
      </c>
      <c r="D65" s="302">
        <v>542</v>
      </c>
      <c r="E65" s="128" t="str">
        <f>+VLOOKUP(D65,'Conteo VACIO'!$A$8:$D$226,4,0)</f>
        <v>G5A</v>
      </c>
      <c r="F65" s="430" t="s">
        <v>746</v>
      </c>
      <c r="G65" s="329" t="s">
        <v>1179</v>
      </c>
      <c r="H65" s="632"/>
      <c r="I65" s="477"/>
      <c r="J65" s="310"/>
      <c r="L65" s="903">
        <f t="shared" si="16"/>
        <v>1.0763888888888888</v>
      </c>
      <c r="M65" s="949">
        <f>+IFERROR(U65/X65,0)</f>
        <v>1.0763888888888888</v>
      </c>
      <c r="O65" s="752">
        <f t="shared" si="17"/>
        <v>0</v>
      </c>
      <c r="P65" s="487">
        <f t="shared" si="18"/>
        <v>1152</v>
      </c>
      <c r="Q65" s="345">
        <f t="shared" si="19"/>
        <v>1240</v>
      </c>
      <c r="R65" s="753"/>
      <c r="S65" s="718"/>
      <c r="T65" s="402">
        <f>+IFERROR(SUMIFS('Stock CD'!D:D,D266,'Stock CD'!C:C),0)</f>
        <v>0</v>
      </c>
      <c r="U65" s="405">
        <f t="shared" si="20"/>
        <v>1240</v>
      </c>
      <c r="W65" s="402">
        <f>+IFERROR(VLOOKUP(D65,'Stock CD'!B:I,8,0),0)</f>
        <v>0</v>
      </c>
      <c r="X65" s="405">
        <f t="shared" si="21"/>
        <v>1152</v>
      </c>
      <c r="Z65" s="450">
        <f>+SUMIFS('Conteo VACIO'!F:F,'Conteo VACIO'!$A:$A,$D65)</f>
        <v>0</v>
      </c>
      <c r="AA65" s="305">
        <f>+SUMIFS('Conteo VACIO'!G:G,'Conteo VACIO'!$A:$A,$D65)</f>
        <v>1240</v>
      </c>
      <c r="AB65" s="517">
        <v>1000</v>
      </c>
      <c r="AD65" s="430" t="s">
        <v>1470</v>
      </c>
      <c r="AE65" s="414">
        <f>IF(D65="Corb-LK",SUMIFS('Est Madre LK 10-25'!C:C,'Est Madre LK 10-25'!D:D,"si"),IF(D65="Corb-CH",SUMIFS('Est Madre CH 10-25'!C:C,'Est Madre CH 10-25'!D:D,"si"),0)+IFERROR(VLOOKUP(D65,'Est Madre LK 10-25'!$A:$C,3,),IFERROR(VLOOKUP(D65,'Est Madre CH 10-25'!$A:$C,3,),0)))</f>
        <v>384</v>
      </c>
      <c r="AF65" s="362">
        <v>12000</v>
      </c>
      <c r="AG65" s="260">
        <v>12</v>
      </c>
      <c r="AH65" s="342">
        <v>68.570279999999997</v>
      </c>
      <c r="AI65" s="729" t="s">
        <v>1732</v>
      </c>
      <c r="AJ65" s="260" t="s">
        <v>1666</v>
      </c>
      <c r="AK65" s="335">
        <v>3</v>
      </c>
    </row>
    <row r="66" spans="1:37" ht="18" customHeight="1" thickBot="1" x14ac:dyDescent="0.4">
      <c r="A66" t="s">
        <v>1470</v>
      </c>
      <c r="C66" s="681">
        <v>1206700</v>
      </c>
      <c r="D66" s="302">
        <v>534</v>
      </c>
      <c r="E66" s="128" t="str">
        <f>+VLOOKUP(D66,'Conteo VACIO'!$A$8:$D$226,4,0)</f>
        <v>Q28L</v>
      </c>
      <c r="F66" s="430" t="s">
        <v>746</v>
      </c>
      <c r="G66" s="329" t="s">
        <v>808</v>
      </c>
      <c r="H66" s="632"/>
      <c r="I66" s="477"/>
      <c r="J66" s="310"/>
      <c r="L66" s="903">
        <f t="shared" si="16"/>
        <v>0</v>
      </c>
      <c r="M66" s="949"/>
      <c r="O66" s="752">
        <f t="shared" si="17"/>
        <v>432</v>
      </c>
      <c r="P66" s="487">
        <f t="shared" si="18"/>
        <v>432</v>
      </c>
      <c r="Q66" s="345">
        <f t="shared" si="19"/>
        <v>0</v>
      </c>
      <c r="R66" s="753"/>
      <c r="S66" s="718"/>
      <c r="T66" s="402">
        <f>+IFERROR(SUMIFS('Stock CD'!D:D,D268,'Stock CD'!C:C),0)</f>
        <v>0</v>
      </c>
      <c r="U66" s="405">
        <f t="shared" si="20"/>
        <v>0</v>
      </c>
      <c r="W66" s="402">
        <f>+IFERROR(VLOOKUP(D66,'Stock CD'!B:I,8,0),0)</f>
        <v>0</v>
      </c>
      <c r="X66" s="405">
        <f t="shared" si="21"/>
        <v>432</v>
      </c>
      <c r="Z66" s="450">
        <f>+SUMIFS('Conteo VACIO'!F:F,'Conteo VACIO'!$A:$A,$D66)</f>
        <v>0</v>
      </c>
      <c r="AA66" s="305">
        <f>+SUMIFS('Conteo VACIO'!G:G,'Conteo VACIO'!$A:$A,$D66)</f>
        <v>0</v>
      </c>
      <c r="AB66" s="517">
        <v>1000</v>
      </c>
      <c r="AD66" s="430" t="s">
        <v>1470</v>
      </c>
      <c r="AE66" s="414">
        <f>IF(D66="Corb-LK",SUMIFS('Est Madre LK 10-25'!C:C,'Est Madre LK 10-25'!D:D,"si"),IF(D66="Corb-CH",SUMIFS('Est Madre CH 10-25'!C:C,'Est Madre CH 10-25'!D:D,"si"),0)+IFERROR(VLOOKUP(D66,'Est Madre LK 10-25'!$A:$C,3,),IFERROR(VLOOKUP(D66,'Est Madre CH 10-25'!$A:$C,3,),0)))</f>
        <v>144</v>
      </c>
      <c r="AF66" s="362">
        <v>25000</v>
      </c>
      <c r="AG66" s="260">
        <v>25</v>
      </c>
      <c r="AH66" s="342">
        <v>0</v>
      </c>
      <c r="AI66" s="729" t="s">
        <v>1732</v>
      </c>
      <c r="AJ66" s="260" t="s">
        <v>1666</v>
      </c>
      <c r="AK66" s="335">
        <v>3</v>
      </c>
    </row>
    <row r="67" spans="1:37" ht="18" customHeight="1" thickBot="1" x14ac:dyDescent="0.4">
      <c r="A67" t="s">
        <v>1470</v>
      </c>
      <c r="C67" s="681">
        <v>1206700</v>
      </c>
      <c r="D67" s="302">
        <v>555</v>
      </c>
      <c r="E67" s="128" t="str">
        <f>+VLOOKUP(D67,'Conteo VACIO'!$A$8:$D$226,4,0)</f>
        <v>V2E</v>
      </c>
      <c r="F67" s="430" t="s">
        <v>746</v>
      </c>
      <c r="G67" s="329" t="s">
        <v>1239</v>
      </c>
      <c r="H67" s="632"/>
      <c r="I67" s="477"/>
      <c r="J67" s="310"/>
      <c r="L67" s="903">
        <f t="shared" si="16"/>
        <v>0.55555555555555558</v>
      </c>
      <c r="M67" s="949"/>
      <c r="O67" s="752">
        <f t="shared" si="17"/>
        <v>2400</v>
      </c>
      <c r="P67" s="487">
        <f t="shared" si="18"/>
        <v>5400</v>
      </c>
      <c r="Q67" s="345">
        <f t="shared" si="19"/>
        <v>3000</v>
      </c>
      <c r="R67" s="753"/>
      <c r="S67" s="718"/>
      <c r="T67" s="402">
        <f>+IFERROR(SUMIFS('Stock CD'!D:D,D269,'Stock CD'!C:C),0)</f>
        <v>0</v>
      </c>
      <c r="U67" s="405">
        <f t="shared" si="20"/>
        <v>3000</v>
      </c>
      <c r="W67" s="402">
        <f>+IFERROR(VLOOKUP(D67,'Stock CD'!B:I,8,0),0)</f>
        <v>0</v>
      </c>
      <c r="X67" s="405">
        <f t="shared" si="21"/>
        <v>5400</v>
      </c>
      <c r="Z67" s="450">
        <f>+SUMIFS('Conteo VACIO'!F:F,'Conteo VACIO'!$A:$A,$D67)</f>
        <v>3</v>
      </c>
      <c r="AA67" s="305">
        <f>+SUMIFS('Conteo VACIO'!G:G,'Conteo VACIO'!$A:$A,$D67)</f>
        <v>0</v>
      </c>
      <c r="AB67" s="517">
        <v>1000</v>
      </c>
      <c r="AD67" s="430" t="s">
        <v>1470</v>
      </c>
      <c r="AE67" s="414">
        <f>IF(D67="Corb-LK",SUMIFS('Est Madre LK 10-25'!C:C,'Est Madre LK 10-25'!D:D,"si"),IF(D67="Corb-CH",SUMIFS('Est Madre CH 10-25'!C:C,'Est Madre CH 10-25'!D:D,"si"),0)+IFERROR(VLOOKUP(D67,'Est Madre LK 10-25'!$A:$C,3,),IFERROR(VLOOKUP(D67,'Est Madre CH 10-25'!$A:$C,3,),0)))</f>
        <v>1800</v>
      </c>
      <c r="AF67" s="362">
        <v>25000</v>
      </c>
      <c r="AG67" s="260">
        <v>25</v>
      </c>
      <c r="AH67" s="342">
        <v>0</v>
      </c>
      <c r="AI67" s="729" t="s">
        <v>1732</v>
      </c>
      <c r="AJ67" s="260" t="s">
        <v>1666</v>
      </c>
      <c r="AK67" s="335">
        <v>3</v>
      </c>
    </row>
    <row r="68" spans="1:37" ht="18" customHeight="1" thickBot="1" x14ac:dyDescent="0.4">
      <c r="A68" t="s">
        <v>1470</v>
      </c>
      <c r="C68" s="681">
        <v>1206700</v>
      </c>
      <c r="D68" s="302">
        <v>535</v>
      </c>
      <c r="E68" s="128" t="str">
        <f>+VLOOKUP(D68,'Conteo VACIO'!$A$8:$D$226,4,0)</f>
        <v>Q24L</v>
      </c>
      <c r="F68" s="430" t="s">
        <v>746</v>
      </c>
      <c r="G68" s="329" t="s">
        <v>1315</v>
      </c>
      <c r="H68" s="632"/>
      <c r="I68" s="477"/>
      <c r="J68" s="310"/>
      <c r="L68" s="903">
        <f t="shared" si="16"/>
        <v>0</v>
      </c>
      <c r="M68" s="949"/>
      <c r="O68" s="752">
        <f t="shared" si="17"/>
        <v>4752</v>
      </c>
      <c r="P68" s="487">
        <f t="shared" si="18"/>
        <v>4752</v>
      </c>
      <c r="Q68" s="345">
        <f t="shared" si="19"/>
        <v>0</v>
      </c>
      <c r="R68" s="753"/>
      <c r="S68" s="718"/>
      <c r="T68" s="402">
        <f>+IFERROR(SUMIFS('Stock CD'!D:D,D270,'Stock CD'!C:C),0)</f>
        <v>0</v>
      </c>
      <c r="U68" s="405">
        <f t="shared" si="20"/>
        <v>0</v>
      </c>
      <c r="W68" s="402">
        <f>+IFERROR(VLOOKUP(D68,'Stock CD'!B:I,8,0),0)</f>
        <v>0</v>
      </c>
      <c r="X68" s="405">
        <f t="shared" si="21"/>
        <v>4752</v>
      </c>
      <c r="Z68" s="450">
        <f>+SUMIFS('Conteo VACIO'!F:F,'Conteo VACIO'!$A:$A,$D68)</f>
        <v>0</v>
      </c>
      <c r="AA68" s="305">
        <f>+SUMIFS('Conteo VACIO'!G:G,'Conteo VACIO'!$A:$A,$D68)</f>
        <v>0</v>
      </c>
      <c r="AB68" s="517">
        <v>1000</v>
      </c>
      <c r="AD68" s="430" t="s">
        <v>1470</v>
      </c>
      <c r="AE68" s="414">
        <f>IF(D68="Corb-LK",SUMIFS('Est Madre LK 10-25'!C:C,'Est Madre LK 10-25'!D:D,"si"),IF(D68="Corb-CH",SUMIFS('Est Madre CH 10-25'!C:C,'Est Madre CH 10-25'!D:D,"si"),0)+IFERROR(VLOOKUP(D68,'Est Madre LK 10-25'!$A:$C,3,),IFERROR(VLOOKUP(D68,'Est Madre CH 10-25'!$A:$C,3,),0)))</f>
        <v>1584</v>
      </c>
      <c r="AF68" s="362">
        <v>25000</v>
      </c>
      <c r="AG68" s="260">
        <v>25</v>
      </c>
      <c r="AH68" s="342">
        <v>0</v>
      </c>
      <c r="AI68" s="729" t="s">
        <v>1732</v>
      </c>
      <c r="AJ68" s="260" t="s">
        <v>1666</v>
      </c>
      <c r="AK68" s="335">
        <v>3</v>
      </c>
    </row>
    <row r="69" spans="1:37" ht="18" customHeight="1" thickBot="1" x14ac:dyDescent="0.4">
      <c r="A69" t="s">
        <v>1470</v>
      </c>
      <c r="C69" s="681">
        <v>1217700</v>
      </c>
      <c r="D69" s="302">
        <v>29</v>
      </c>
      <c r="E69" s="128" t="str">
        <f>+VLOOKUP(D69,'Conteo VACIO'!$A$8:$D$226,4,0)</f>
        <v>M7A</v>
      </c>
      <c r="F69" s="430" t="s">
        <v>746</v>
      </c>
      <c r="G69" s="329" t="s">
        <v>1323</v>
      </c>
      <c r="H69" s="632"/>
      <c r="I69" s="477"/>
      <c r="J69" s="310"/>
      <c r="L69" s="903">
        <f t="shared" si="16"/>
        <v>0</v>
      </c>
      <c r="M69" s="949">
        <f t="shared" ref="M69:M87" si="22">+IFERROR(U69/X69,0)</f>
        <v>0</v>
      </c>
      <c r="O69" s="752">
        <f t="shared" si="17"/>
        <v>0</v>
      </c>
      <c r="P69" s="487">
        <f t="shared" si="18"/>
        <v>0</v>
      </c>
      <c r="Q69" s="345">
        <f t="shared" si="19"/>
        <v>2500</v>
      </c>
      <c r="R69" s="753"/>
      <c r="S69" s="718"/>
      <c r="T69" s="402">
        <f>+IFERROR(SUMIFS('Stock CD'!D:D,D259,'Stock CD'!C:C),0)</f>
        <v>0</v>
      </c>
      <c r="U69" s="405">
        <f t="shared" si="20"/>
        <v>2500</v>
      </c>
      <c r="W69" s="402">
        <f>+IFERROR(VLOOKUP(D69,'Stock CD'!B:I,8,0),0)</f>
        <v>0</v>
      </c>
      <c r="X69" s="405">
        <f t="shared" si="21"/>
        <v>0</v>
      </c>
      <c r="Z69" s="450">
        <f>+SUMIFS('Conteo VACIO'!F:F,'Conteo VACIO'!$A:$A,$D69)</f>
        <v>1</v>
      </c>
      <c r="AA69" s="305">
        <f>+SUMIFS('Conteo VACIO'!G:G,'Conteo VACIO'!$A:$A,$D69)</f>
        <v>0</v>
      </c>
      <c r="AB69" s="517">
        <v>2500</v>
      </c>
      <c r="AD69" s="430" t="s">
        <v>1470</v>
      </c>
      <c r="AE69" s="414">
        <f>IF(D69="Corb-LK",SUMIFS('Est Madre LK 10-25'!C:C,'Est Madre LK 10-25'!D:D,"si"),IF(D69="Corb-CH",SUMIFS('Est Madre CH 10-25'!C:C,'Est Madre CH 10-25'!D:D,"si"),0)+IFERROR(VLOOKUP(D69,'Est Madre LK 10-25'!$A:$C,3,),IFERROR(VLOOKUP(D69,'Est Madre CH 10-25'!$A:$C,3,),0)))</f>
        <v>0</v>
      </c>
      <c r="AF69" s="362">
        <v>12000</v>
      </c>
      <c r="AG69" s="260">
        <v>30</v>
      </c>
      <c r="AH69" s="342">
        <v>31.048200000000001</v>
      </c>
      <c r="AI69" s="729" t="s">
        <v>1732</v>
      </c>
      <c r="AJ69" s="260" t="s">
        <v>1666</v>
      </c>
      <c r="AK69" s="335">
        <v>3</v>
      </c>
    </row>
    <row r="70" spans="1:37" ht="18" customHeight="1" thickBot="1" x14ac:dyDescent="0.4">
      <c r="A70" t="s">
        <v>1470</v>
      </c>
      <c r="C70" s="681">
        <v>1217700</v>
      </c>
      <c r="D70" s="302">
        <v>30</v>
      </c>
      <c r="E70" s="128" t="str">
        <f>+VLOOKUP(D70,'Conteo VACIO'!$A$8:$D$226,4,0)</f>
        <v>M7B</v>
      </c>
      <c r="F70" s="430" t="s">
        <v>746</v>
      </c>
      <c r="G70" s="329" t="s">
        <v>1361</v>
      </c>
      <c r="H70" s="632"/>
      <c r="I70" s="477"/>
      <c r="J70" s="310"/>
      <c r="L70" s="903">
        <f t="shared" si="16"/>
        <v>0</v>
      </c>
      <c r="M70" s="949">
        <f t="shared" si="22"/>
        <v>0</v>
      </c>
      <c r="O70" s="752">
        <f t="shared" si="17"/>
        <v>0</v>
      </c>
      <c r="P70" s="487">
        <f t="shared" si="18"/>
        <v>0</v>
      </c>
      <c r="Q70" s="345">
        <f t="shared" si="19"/>
        <v>5000</v>
      </c>
      <c r="R70" s="753"/>
      <c r="S70" s="718"/>
      <c r="T70" s="402">
        <f>+IFERROR(SUMIFS('Stock CD'!D:D,D260,'Stock CD'!C:C),0)</f>
        <v>0</v>
      </c>
      <c r="U70" s="405">
        <f t="shared" si="20"/>
        <v>5000</v>
      </c>
      <c r="W70" s="402">
        <f>+IFERROR(VLOOKUP(D70,'Stock CD'!B:I,8,0),0)</f>
        <v>0</v>
      </c>
      <c r="X70" s="405">
        <f t="shared" si="21"/>
        <v>0</v>
      </c>
      <c r="Z70" s="450">
        <f>+SUMIFS('Conteo VACIO'!F:F,'Conteo VACIO'!$A:$A,$D70)</f>
        <v>2</v>
      </c>
      <c r="AA70" s="305">
        <f>+SUMIFS('Conteo VACIO'!G:G,'Conteo VACIO'!$A:$A,$D70)</f>
        <v>0</v>
      </c>
      <c r="AB70" s="517">
        <v>2500</v>
      </c>
      <c r="AD70" s="430" t="s">
        <v>1470</v>
      </c>
      <c r="AE70" s="414">
        <f>IF(D70="Corb-LK",SUMIFS('Est Madre LK 10-25'!C:C,'Est Madre LK 10-25'!D:D,"si"),IF(D70="Corb-CH",SUMIFS('Est Madre CH 10-25'!C:C,'Est Madre CH 10-25'!D:D,"si"),0)+IFERROR(VLOOKUP(D70,'Est Madre LK 10-25'!$A:$C,3,),IFERROR(VLOOKUP(D70,'Est Madre CH 10-25'!$A:$C,3,),0)))</f>
        <v>0</v>
      </c>
      <c r="AF70" s="362">
        <v>12000</v>
      </c>
      <c r="AG70" s="260">
        <v>30</v>
      </c>
      <c r="AH70" s="342">
        <v>31.048200000000001</v>
      </c>
      <c r="AI70" s="729" t="s">
        <v>1732</v>
      </c>
      <c r="AJ70" s="260" t="s">
        <v>1666</v>
      </c>
      <c r="AK70" s="335">
        <v>3</v>
      </c>
    </row>
    <row r="71" spans="1:37" ht="18.600000000000001" thickBot="1" x14ac:dyDescent="0.4">
      <c r="A71" t="s">
        <v>1470</v>
      </c>
      <c r="C71" s="681">
        <v>1206700</v>
      </c>
      <c r="D71" s="302">
        <v>562</v>
      </c>
      <c r="E71" s="128" t="str">
        <f>+VLOOKUP(D71,'Conteo VACIO'!$A$8:$D$226,4,0)</f>
        <v>F3A</v>
      </c>
      <c r="F71" s="430" t="s">
        <v>746</v>
      </c>
      <c r="G71" s="329" t="s">
        <v>1398</v>
      </c>
      <c r="H71" s="632"/>
      <c r="I71" s="477"/>
      <c r="J71" s="310"/>
      <c r="L71" s="903">
        <f t="shared" si="16"/>
        <v>0.4861111111111111</v>
      </c>
      <c r="M71" s="949">
        <f t="shared" si="22"/>
        <v>0.4861111111111111</v>
      </c>
      <c r="O71" s="752">
        <f t="shared" si="17"/>
        <v>1850</v>
      </c>
      <c r="P71" s="487">
        <f t="shared" si="18"/>
        <v>3600</v>
      </c>
      <c r="Q71" s="345">
        <f t="shared" si="19"/>
        <v>1750</v>
      </c>
      <c r="R71" s="753"/>
      <c r="S71" s="718"/>
      <c r="T71" s="402">
        <f>+IFERROR(SUMIFS('Stock CD'!D:D,D270,'Stock CD'!C:C),0)</f>
        <v>0</v>
      </c>
      <c r="U71" s="405">
        <f t="shared" si="20"/>
        <v>1750</v>
      </c>
      <c r="W71" s="402">
        <f>+IFERROR(VLOOKUP(D71,'Stock CD'!B:I,8,0),0)</f>
        <v>0</v>
      </c>
      <c r="X71" s="405">
        <f t="shared" si="21"/>
        <v>3600</v>
      </c>
      <c r="Z71" s="450">
        <f>+SUMIFS('Conteo VACIO'!F:F,'Conteo VACIO'!$A:$A,$D71)</f>
        <v>1</v>
      </c>
      <c r="AA71" s="305">
        <f>+SUMIFS('Conteo VACIO'!G:G,'Conteo VACIO'!$A:$A,$D71)</f>
        <v>750</v>
      </c>
      <c r="AB71" s="517">
        <v>1000</v>
      </c>
      <c r="AD71" s="430" t="s">
        <v>1470</v>
      </c>
      <c r="AE71" s="414">
        <f>IF(D71="Corb-LK",SUMIFS('Est Madre LK 10-25'!C:C,'Est Madre LK 10-25'!D:D,"si"),IF(D71="Corb-CH",SUMIFS('Est Madre CH 10-25'!C:C,'Est Madre CH 10-25'!D:D,"si"),0)+IFERROR(VLOOKUP(D71,'Est Madre LK 10-25'!$A:$C,3,),IFERROR(VLOOKUP(D71,'Est Madre CH 10-25'!$A:$C,3,),0)))</f>
        <v>1200</v>
      </c>
      <c r="AF71" s="362">
        <v>12000</v>
      </c>
      <c r="AG71" s="260">
        <v>12</v>
      </c>
      <c r="AH71" s="342">
        <v>68.570279999999997</v>
      </c>
      <c r="AI71" s="729" t="s">
        <v>1732</v>
      </c>
      <c r="AJ71" s="260" t="s">
        <v>1666</v>
      </c>
      <c r="AK71" s="335">
        <v>3</v>
      </c>
    </row>
    <row r="72" spans="1:37" ht="18.600000000000001" thickBot="1" x14ac:dyDescent="0.4">
      <c r="A72" t="s">
        <v>1470</v>
      </c>
      <c r="C72" s="681">
        <v>1206700</v>
      </c>
      <c r="D72" s="302">
        <v>564</v>
      </c>
      <c r="E72" s="128" t="str">
        <f>+VLOOKUP(D72,'Conteo VACIO'!$A$8:$D$226,4,0)</f>
        <v>F3B</v>
      </c>
      <c r="F72" s="430" t="s">
        <v>746</v>
      </c>
      <c r="G72" s="329" t="s">
        <v>1341</v>
      </c>
      <c r="H72" s="632"/>
      <c r="I72" s="477"/>
      <c r="J72" s="310"/>
      <c r="L72" s="903">
        <f t="shared" si="16"/>
        <v>0.94219219219219219</v>
      </c>
      <c r="M72" s="949">
        <f t="shared" si="22"/>
        <v>0.94219219219219219</v>
      </c>
      <c r="O72" s="752">
        <f t="shared" si="17"/>
        <v>77</v>
      </c>
      <c r="P72" s="487">
        <f t="shared" si="18"/>
        <v>1332</v>
      </c>
      <c r="Q72" s="345">
        <f t="shared" si="19"/>
        <v>1255</v>
      </c>
      <c r="R72" s="753"/>
      <c r="S72" s="718"/>
      <c r="T72" s="402">
        <f>+IFERROR(SUMIFS('Stock CD'!D:D,D271,'Stock CD'!C:C),0)</f>
        <v>0</v>
      </c>
      <c r="U72" s="405">
        <f t="shared" si="20"/>
        <v>1255</v>
      </c>
      <c r="W72" s="402">
        <f>+IFERROR(VLOOKUP(D72,'Stock CD'!B:I,8,0),0)</f>
        <v>0</v>
      </c>
      <c r="X72" s="405">
        <f t="shared" si="21"/>
        <v>1332</v>
      </c>
      <c r="Z72" s="450">
        <f>+SUMIFS('Conteo VACIO'!F:F,'Conteo VACIO'!$A:$A,$D72)</f>
        <v>0</v>
      </c>
      <c r="AA72" s="305">
        <f>+SUMIFS('Conteo VACIO'!G:G,'Conteo VACIO'!$A:$A,$D72)</f>
        <v>1255</v>
      </c>
      <c r="AB72" s="517">
        <v>1000</v>
      </c>
      <c r="AD72" s="430" t="s">
        <v>1470</v>
      </c>
      <c r="AE72" s="414">
        <f>IF(D72="Corb-LK",SUMIFS('Est Madre LK 10-25'!C:C,'Est Madre LK 10-25'!D:D,"si"),IF(D72="Corb-CH",SUMIFS('Est Madre CH 10-25'!C:C,'Est Madre CH 10-25'!D:D,"si"),0)+IFERROR(VLOOKUP(D72,'Est Madre LK 10-25'!$A:$C,3,),IFERROR(VLOOKUP(D72,'Est Madre CH 10-25'!$A:$C,3,),0)))</f>
        <v>444</v>
      </c>
      <c r="AF72" s="362">
        <v>12000</v>
      </c>
      <c r="AG72" s="260">
        <v>12</v>
      </c>
      <c r="AH72" s="342">
        <v>68.570279999999997</v>
      </c>
      <c r="AI72" s="729" t="s">
        <v>1732</v>
      </c>
      <c r="AJ72" s="260" t="s">
        <v>1666</v>
      </c>
      <c r="AK72" s="335">
        <v>3</v>
      </c>
    </row>
    <row r="73" spans="1:37" ht="18.600000000000001" thickBot="1" x14ac:dyDescent="0.4">
      <c r="A73" t="s">
        <v>1470</v>
      </c>
      <c r="C73" s="681">
        <v>1206700</v>
      </c>
      <c r="D73" s="302">
        <v>559</v>
      </c>
      <c r="E73" s="128" t="str">
        <f>+VLOOKUP(D73,'Conteo VACIO'!$A$8:$D$226,4,0)</f>
        <v>G2D</v>
      </c>
      <c r="F73" s="430" t="s">
        <v>746</v>
      </c>
      <c r="G73" s="329" t="s">
        <v>1740</v>
      </c>
      <c r="H73" s="632"/>
      <c r="I73" s="477"/>
      <c r="J73" s="310"/>
      <c r="L73" s="903">
        <f t="shared" si="16"/>
        <v>0.31793842034805891</v>
      </c>
      <c r="M73" s="949">
        <f t="shared" si="22"/>
        <v>0.31793842034805891</v>
      </c>
      <c r="O73" s="752">
        <f t="shared" si="17"/>
        <v>2038</v>
      </c>
      <c r="P73" s="487">
        <f t="shared" si="18"/>
        <v>2988</v>
      </c>
      <c r="Q73" s="345">
        <f t="shared" si="19"/>
        <v>950</v>
      </c>
      <c r="R73" s="753"/>
      <c r="S73" s="718"/>
      <c r="T73" s="402">
        <f>+IFERROR(SUMIFS('Stock CD'!D:D,D272,'Stock CD'!C:C),0)</f>
        <v>0</v>
      </c>
      <c r="U73" s="405">
        <f t="shared" si="20"/>
        <v>950</v>
      </c>
      <c r="W73" s="402">
        <f>+IFERROR(VLOOKUP(D73,'Stock CD'!B:I,8,0),0)</f>
        <v>0</v>
      </c>
      <c r="X73" s="405">
        <f t="shared" si="21"/>
        <v>2988</v>
      </c>
      <c r="Z73" s="450">
        <f>+SUMIFS('Conteo VACIO'!F:F,'Conteo VACIO'!$A:$A,$D73)</f>
        <v>0</v>
      </c>
      <c r="AA73" s="305">
        <f>+SUMIFS('Conteo VACIO'!G:G,'Conteo VACIO'!$A:$A,$D73)</f>
        <v>950</v>
      </c>
      <c r="AB73" s="517">
        <v>1000</v>
      </c>
      <c r="AD73" s="430" t="s">
        <v>1470</v>
      </c>
      <c r="AE73" s="414">
        <f>IF(D73="Corb-LK",SUMIFS('Est Madre LK 10-25'!C:C,'Est Madre LK 10-25'!D:D,"si"),IF(D73="Corb-CH",SUMIFS('Est Madre CH 10-25'!C:C,'Est Madre CH 10-25'!D:D,"si"),0)+IFERROR(VLOOKUP(D73,'Est Madre LK 10-25'!$A:$C,3,),IFERROR(VLOOKUP(D73,'Est Madre CH 10-25'!$A:$C,3,),0)))</f>
        <v>996</v>
      </c>
      <c r="AF73" s="362">
        <v>12000</v>
      </c>
      <c r="AG73" s="260">
        <v>12</v>
      </c>
      <c r="AH73" s="342">
        <v>68.570279999999997</v>
      </c>
      <c r="AI73" s="729" t="s">
        <v>1732</v>
      </c>
      <c r="AJ73" s="260" t="s">
        <v>1666</v>
      </c>
      <c r="AK73" s="335">
        <v>3</v>
      </c>
    </row>
    <row r="74" spans="1:37" ht="18" customHeight="1" thickBot="1" x14ac:dyDescent="0.4">
      <c r="A74" t="s">
        <v>1470</v>
      </c>
      <c r="C74" s="681">
        <v>1217700</v>
      </c>
      <c r="D74" s="302">
        <v>334</v>
      </c>
      <c r="E74" s="128" t="str">
        <f>+VLOOKUP(D74,'Conteo VACIO'!$A$8:$D$226,4,0)</f>
        <v>L2B</v>
      </c>
      <c r="F74" s="430" t="s">
        <v>746</v>
      </c>
      <c r="G74" s="329" t="s">
        <v>1354</v>
      </c>
      <c r="H74" s="632"/>
      <c r="I74" s="477"/>
      <c r="J74" s="310"/>
      <c r="L74" s="903">
        <f t="shared" si="16"/>
        <v>0</v>
      </c>
      <c r="M74" s="949">
        <f t="shared" si="22"/>
        <v>0</v>
      </c>
      <c r="O74" s="752">
        <f t="shared" si="17"/>
        <v>576</v>
      </c>
      <c r="P74" s="487">
        <f t="shared" si="18"/>
        <v>576</v>
      </c>
      <c r="Q74" s="345">
        <f t="shared" si="19"/>
        <v>0</v>
      </c>
      <c r="R74" s="753"/>
      <c r="S74" s="718"/>
      <c r="T74" s="402">
        <f>+IFERROR(SUMIFS('Stock CD'!D:D,D274,'Stock CD'!C:C),0)</f>
        <v>0</v>
      </c>
      <c r="U74" s="405">
        <f t="shared" si="20"/>
        <v>0</v>
      </c>
      <c r="W74" s="402">
        <f>+IFERROR(VLOOKUP(D74,'Stock CD'!B:I,8,0),0)</f>
        <v>0</v>
      </c>
      <c r="X74" s="405">
        <f t="shared" si="21"/>
        <v>576</v>
      </c>
      <c r="Z74" s="450">
        <f>+SUMIFS('Conteo VACIO'!F:F,'Conteo VACIO'!$A:$A,$D74)</f>
        <v>0</v>
      </c>
      <c r="AA74" s="305">
        <f>+SUMIFS('Conteo VACIO'!G:G,'Conteo VACIO'!$A:$A,$D74)</f>
        <v>0</v>
      </c>
      <c r="AB74" s="517">
        <v>2500</v>
      </c>
      <c r="AD74" s="430" t="s">
        <v>1470</v>
      </c>
      <c r="AE74" s="414">
        <f>IF(D74="Corb-LK",SUMIFS('Est Madre LK 10-25'!C:C,'Est Madre LK 10-25'!D:D,"si"),IF(D74="Corb-CH",SUMIFS('Est Madre CH 10-25'!C:C,'Est Madre CH 10-25'!D:D,"si"),0)+IFERROR(VLOOKUP(D74,'Est Madre LK 10-25'!$A:$C,3,),IFERROR(VLOOKUP(D74,'Est Madre CH 10-25'!$A:$C,3,),0)))</f>
        <v>192</v>
      </c>
      <c r="AF74" s="362">
        <v>12000</v>
      </c>
      <c r="AG74" s="260">
        <v>30</v>
      </c>
      <c r="AH74" s="342">
        <v>31.048200000000001</v>
      </c>
      <c r="AI74" s="729" t="s">
        <v>1732</v>
      </c>
      <c r="AJ74" s="260" t="s">
        <v>1666</v>
      </c>
      <c r="AK74" s="335">
        <v>3</v>
      </c>
    </row>
    <row r="75" spans="1:37" ht="18" customHeight="1" thickBot="1" x14ac:dyDescent="0.4">
      <c r="A75" t="s">
        <v>1470</v>
      </c>
      <c r="C75" s="681">
        <v>1217700</v>
      </c>
      <c r="D75" s="302">
        <v>336</v>
      </c>
      <c r="E75" s="128" t="str">
        <f>+VLOOKUP(D75,'Conteo VACIO'!$A$8:$D$226,4,0)</f>
        <v>L3A</v>
      </c>
      <c r="F75" s="430" t="s">
        <v>746</v>
      </c>
      <c r="G75" s="329" t="s">
        <v>1356</v>
      </c>
      <c r="H75" s="632"/>
      <c r="I75" s="477"/>
      <c r="J75" s="310"/>
      <c r="L75" s="903">
        <f t="shared" si="16"/>
        <v>8.1018518518518512</v>
      </c>
      <c r="M75" s="949">
        <f t="shared" si="22"/>
        <v>8.1018518518518512</v>
      </c>
      <c r="O75" s="752">
        <f t="shared" si="17"/>
        <v>0</v>
      </c>
      <c r="P75" s="487">
        <f t="shared" si="18"/>
        <v>648</v>
      </c>
      <c r="Q75" s="345">
        <f t="shared" si="19"/>
        <v>5250</v>
      </c>
      <c r="R75" s="753"/>
      <c r="S75" s="718"/>
      <c r="T75" s="402">
        <f>+IFERROR(SUMIFS('Stock CD'!D:D,#REF!,'Stock CD'!C:C),0)</f>
        <v>0</v>
      </c>
      <c r="U75" s="405">
        <f t="shared" si="20"/>
        <v>5250</v>
      </c>
      <c r="W75" s="402">
        <f>+IFERROR(VLOOKUP(D75,'Stock CD'!B:I,8,0),0)</f>
        <v>0</v>
      </c>
      <c r="X75" s="405">
        <f t="shared" si="21"/>
        <v>648</v>
      </c>
      <c r="Z75" s="450">
        <f>+SUMIFS('Conteo VACIO'!F:F,'Conteo VACIO'!$A:$A,$D75)</f>
        <v>2</v>
      </c>
      <c r="AA75" s="305">
        <f>+SUMIFS('Conteo VACIO'!G:G,'Conteo VACIO'!$A:$A,$D75)</f>
        <v>250</v>
      </c>
      <c r="AB75" s="517">
        <v>2500</v>
      </c>
      <c r="AD75" s="430" t="s">
        <v>1470</v>
      </c>
      <c r="AE75" s="414">
        <f>IF(D75="Corb-LK",SUMIFS('Est Madre LK 10-25'!C:C,'Est Madre LK 10-25'!D:D,"si"),IF(D75="Corb-CH",SUMIFS('Est Madre CH 10-25'!C:C,'Est Madre CH 10-25'!D:D,"si"),0)+IFERROR(VLOOKUP(D75,'Est Madre LK 10-25'!$A:$C,3,),IFERROR(VLOOKUP(D75,'Est Madre CH 10-25'!$A:$C,3,),0)))</f>
        <v>216</v>
      </c>
      <c r="AF75" s="362">
        <v>12000</v>
      </c>
      <c r="AG75" s="260">
        <v>30</v>
      </c>
      <c r="AH75" s="342">
        <v>31.048200000000001</v>
      </c>
      <c r="AI75" s="729" t="s">
        <v>1732</v>
      </c>
      <c r="AJ75" s="260" t="s">
        <v>1666</v>
      </c>
      <c r="AK75" s="335">
        <v>3</v>
      </c>
    </row>
    <row r="76" spans="1:37" ht="18" customHeight="1" thickBot="1" x14ac:dyDescent="0.4">
      <c r="A76" t="s">
        <v>1470</v>
      </c>
      <c r="C76" s="681">
        <v>1217700</v>
      </c>
      <c r="D76" s="302">
        <v>332</v>
      </c>
      <c r="E76" s="128" t="str">
        <f>+VLOOKUP(D76,'Conteo VACIO'!$A$8:$D$226,4,0)</f>
        <v>L2A</v>
      </c>
      <c r="F76" s="430" t="s">
        <v>746</v>
      </c>
      <c r="G76" s="329" t="s">
        <v>1353</v>
      </c>
      <c r="H76" s="632"/>
      <c r="I76" s="477"/>
      <c r="J76" s="310"/>
      <c r="L76" s="903">
        <f t="shared" si="16"/>
        <v>2.2727272727272729</v>
      </c>
      <c r="M76" s="949">
        <f t="shared" si="22"/>
        <v>2.2727272727272729</v>
      </c>
      <c r="O76" s="752">
        <f t="shared" si="17"/>
        <v>0</v>
      </c>
      <c r="P76" s="487">
        <f t="shared" si="18"/>
        <v>792</v>
      </c>
      <c r="Q76" s="345">
        <f t="shared" si="19"/>
        <v>1800</v>
      </c>
      <c r="R76" s="753"/>
      <c r="S76" s="718"/>
      <c r="T76" s="402">
        <f>+IFERROR(SUMIFS('Stock CD'!D:D,D276,'Stock CD'!C:C),0)</f>
        <v>0</v>
      </c>
      <c r="U76" s="405">
        <f t="shared" si="20"/>
        <v>1800</v>
      </c>
      <c r="W76" s="402">
        <f>+IFERROR(VLOOKUP(D76,'Stock CD'!B:I,8,0),0)</f>
        <v>0</v>
      </c>
      <c r="X76" s="405">
        <f t="shared" si="21"/>
        <v>792</v>
      </c>
      <c r="Z76" s="450">
        <f>+SUMIFS('Conteo VACIO'!F:F,'Conteo VACIO'!$A:$A,$D76)</f>
        <v>0</v>
      </c>
      <c r="AA76" s="305">
        <f>+SUMIFS('Conteo VACIO'!G:G,'Conteo VACIO'!$A:$A,$D76)</f>
        <v>1800</v>
      </c>
      <c r="AB76" s="517">
        <v>2500</v>
      </c>
      <c r="AD76" s="430" t="s">
        <v>1470</v>
      </c>
      <c r="AE76" s="414">
        <f>IF(D76="Corb-LK",SUMIFS('Est Madre LK 10-25'!C:C,'Est Madre LK 10-25'!D:D,"si"),IF(D76="Corb-CH",SUMIFS('Est Madre CH 10-25'!C:C,'Est Madre CH 10-25'!D:D,"si"),0)+IFERROR(VLOOKUP(D76,'Est Madre LK 10-25'!$A:$C,3,),IFERROR(VLOOKUP(D76,'Est Madre CH 10-25'!$A:$C,3,),0)))</f>
        <v>264</v>
      </c>
      <c r="AF76" s="362">
        <v>12000</v>
      </c>
      <c r="AG76" s="260">
        <v>30</v>
      </c>
      <c r="AH76" s="342">
        <v>31.048200000000001</v>
      </c>
      <c r="AI76" s="729" t="s">
        <v>1732</v>
      </c>
      <c r="AJ76" s="260" t="s">
        <v>1666</v>
      </c>
      <c r="AK76" s="335">
        <v>3</v>
      </c>
    </row>
    <row r="77" spans="1:37" ht="18" customHeight="1" thickBot="1" x14ac:dyDescent="0.4">
      <c r="A77" t="s">
        <v>1470</v>
      </c>
      <c r="C77" s="681">
        <v>1217700</v>
      </c>
      <c r="D77" s="302">
        <v>338</v>
      </c>
      <c r="E77" s="128" t="str">
        <f>+VLOOKUP(D77,'Conteo VACIO'!$A$8:$D$226,4,0)</f>
        <v>L3C</v>
      </c>
      <c r="F77" s="430" t="s">
        <v>746</v>
      </c>
      <c r="G77" s="329" t="s">
        <v>1358</v>
      </c>
      <c r="H77" s="632"/>
      <c r="I77" s="477"/>
      <c r="J77" s="310"/>
      <c r="L77" s="903">
        <f t="shared" si="16"/>
        <v>4.1527777777777777</v>
      </c>
      <c r="M77" s="949">
        <f t="shared" si="22"/>
        <v>4.1527777777777777</v>
      </c>
      <c r="O77" s="752">
        <f t="shared" si="17"/>
        <v>0</v>
      </c>
      <c r="P77" s="487">
        <f t="shared" si="18"/>
        <v>720</v>
      </c>
      <c r="Q77" s="345">
        <f t="shared" si="19"/>
        <v>2990</v>
      </c>
      <c r="R77" s="753"/>
      <c r="S77" s="718"/>
      <c r="T77" s="402">
        <f>+IFERROR(SUMIFS('Stock CD'!D:D,D279,'Stock CD'!C:C),0)</f>
        <v>0</v>
      </c>
      <c r="U77" s="405">
        <f t="shared" si="20"/>
        <v>2990</v>
      </c>
      <c r="W77" s="402">
        <f>+IFERROR(VLOOKUP(D77,'Stock CD'!B:I,8,0),0)</f>
        <v>0</v>
      </c>
      <c r="X77" s="405">
        <f t="shared" si="21"/>
        <v>720</v>
      </c>
      <c r="Z77" s="450">
        <f>+SUMIFS('Conteo VACIO'!F:F,'Conteo VACIO'!$A:$A,$D77)</f>
        <v>1</v>
      </c>
      <c r="AA77" s="305">
        <f>+SUMIFS('Conteo VACIO'!G:G,'Conteo VACIO'!$A:$A,$D77)</f>
        <v>490</v>
      </c>
      <c r="AB77" s="517">
        <v>2500</v>
      </c>
      <c r="AD77" s="430" t="s">
        <v>1470</v>
      </c>
      <c r="AE77" s="414">
        <f>IF(D77="Corb-LK",SUMIFS('Est Madre LK 10-25'!C:C,'Est Madre LK 10-25'!D:D,"si"),IF(D77="Corb-CH",SUMIFS('Est Madre CH 10-25'!C:C,'Est Madre CH 10-25'!D:D,"si"),0)+IFERROR(VLOOKUP(D77,'Est Madre LK 10-25'!$A:$C,3,),IFERROR(VLOOKUP(D77,'Est Madre CH 10-25'!$A:$C,3,),0)))</f>
        <v>240</v>
      </c>
      <c r="AF77" s="362">
        <v>12000</v>
      </c>
      <c r="AG77" s="260">
        <v>30</v>
      </c>
      <c r="AH77" s="342">
        <v>31.048200000000001</v>
      </c>
      <c r="AI77" s="729" t="s">
        <v>1732</v>
      </c>
      <c r="AJ77" s="260" t="s">
        <v>1666</v>
      </c>
      <c r="AK77" s="335">
        <v>3</v>
      </c>
    </row>
    <row r="78" spans="1:37" ht="18.75" customHeight="1" thickBot="1" x14ac:dyDescent="0.4">
      <c r="A78" t="s">
        <v>1470</v>
      </c>
      <c r="C78" s="681">
        <v>1217700</v>
      </c>
      <c r="D78" s="302">
        <v>325</v>
      </c>
      <c r="E78" s="128" t="str">
        <f>+VLOOKUP(D78,'Conteo VACIO'!$A$8:$D$226,4,0)</f>
        <v>M2</v>
      </c>
      <c r="F78" s="430" t="s">
        <v>746</v>
      </c>
      <c r="G78" s="329" t="s">
        <v>771</v>
      </c>
      <c r="H78" s="632"/>
      <c r="I78" s="477"/>
      <c r="J78" s="310"/>
      <c r="L78" s="903">
        <f t="shared" si="16"/>
        <v>0.3546099290780142</v>
      </c>
      <c r="M78" s="949">
        <f t="shared" si="22"/>
        <v>0.3546099290780142</v>
      </c>
      <c r="O78" s="752">
        <f t="shared" si="17"/>
        <v>4368</v>
      </c>
      <c r="P78" s="487">
        <f t="shared" si="18"/>
        <v>6768</v>
      </c>
      <c r="Q78" s="345">
        <f t="shared" si="19"/>
        <v>2400</v>
      </c>
      <c r="R78" s="753"/>
      <c r="S78" s="718"/>
      <c r="T78" s="402">
        <f>+IFERROR(SUMIFS('Stock CD'!D:D,D285,'Stock CD'!C:C),0)</f>
        <v>0</v>
      </c>
      <c r="U78" s="405">
        <f t="shared" si="20"/>
        <v>2400</v>
      </c>
      <c r="W78" s="402">
        <f>+IFERROR(VLOOKUP(D78,'Stock CD'!B:I,8,0),0)</f>
        <v>0</v>
      </c>
      <c r="X78" s="405">
        <f t="shared" si="21"/>
        <v>6768</v>
      </c>
      <c r="Z78" s="450">
        <f>+SUMIFS('Conteo VACIO'!F:F,'Conteo VACIO'!$A:$A,$D78)</f>
        <v>0</v>
      </c>
      <c r="AA78" s="305">
        <f>+SUMIFS('Conteo VACIO'!G:G,'Conteo VACIO'!$A:$A,$D78)</f>
        <v>2400</v>
      </c>
      <c r="AB78" s="517">
        <v>2500</v>
      </c>
      <c r="AD78" s="430" t="s">
        <v>1470</v>
      </c>
      <c r="AE78" s="414">
        <f>IF(D78="Corb-LK",SUMIFS('Est Madre LK 10-25'!C:C,'Est Madre LK 10-25'!D:D,"si"),IF(D78="Corb-CH",SUMIFS('Est Madre CH 10-25'!C:C,'Est Madre CH 10-25'!D:D,"si"),0)+IFERROR(VLOOKUP(D78,'Est Madre LK 10-25'!$A:$C,3,),IFERROR(VLOOKUP(D78,'Est Madre CH 10-25'!$A:$C,3,),0)))</f>
        <v>2256</v>
      </c>
      <c r="AF78" s="362">
        <v>12000</v>
      </c>
      <c r="AG78" s="260">
        <v>30</v>
      </c>
      <c r="AH78" s="342">
        <v>31.048200000000001</v>
      </c>
      <c r="AI78" s="729" t="s">
        <v>1732</v>
      </c>
      <c r="AJ78" s="260" t="s">
        <v>1666</v>
      </c>
      <c r="AK78" s="335">
        <v>3</v>
      </c>
    </row>
    <row r="79" spans="1:37" ht="18" customHeight="1" thickBot="1" x14ac:dyDescent="0.4">
      <c r="A79" t="s">
        <v>1470</v>
      </c>
      <c r="C79" s="681">
        <v>1217700</v>
      </c>
      <c r="D79" s="302">
        <v>333</v>
      </c>
      <c r="E79" s="128" t="str">
        <f>+VLOOKUP(D79,'Conteo VACIO'!$A$8:$D$226,4,0)</f>
        <v>M4B</v>
      </c>
      <c r="F79" s="430" t="s">
        <v>746</v>
      </c>
      <c r="G79" s="329" t="s">
        <v>1181</v>
      </c>
      <c r="H79" s="632"/>
      <c r="I79" s="477"/>
      <c r="J79" s="310"/>
      <c r="L79" s="903">
        <f t="shared" si="16"/>
        <v>2.8935185185185186</v>
      </c>
      <c r="M79" s="949">
        <f t="shared" si="22"/>
        <v>2.8935185185185186</v>
      </c>
      <c r="O79" s="752">
        <f t="shared" si="17"/>
        <v>0</v>
      </c>
      <c r="P79" s="487">
        <f t="shared" si="18"/>
        <v>864</v>
      </c>
      <c r="Q79" s="345">
        <f t="shared" si="19"/>
        <v>2500</v>
      </c>
      <c r="R79" s="753"/>
      <c r="S79" s="718"/>
      <c r="T79" s="402">
        <f>+IFERROR(SUMIFS('Stock CD'!D:D,D274,'Stock CD'!C:C),0)</f>
        <v>0</v>
      </c>
      <c r="U79" s="405">
        <f t="shared" si="20"/>
        <v>2500</v>
      </c>
      <c r="W79" s="402">
        <f>+IFERROR(VLOOKUP(D79,'Stock CD'!B:I,8,0),0)</f>
        <v>0</v>
      </c>
      <c r="X79" s="405">
        <f t="shared" si="21"/>
        <v>864</v>
      </c>
      <c r="Z79" s="450">
        <f>+SUMIFS('Conteo VACIO'!F:F,'Conteo VACIO'!$A:$A,$D79)</f>
        <v>1</v>
      </c>
      <c r="AA79" s="305">
        <f>+SUMIFS('Conteo VACIO'!G:G,'Conteo VACIO'!$A:$A,$D79)</f>
        <v>0</v>
      </c>
      <c r="AB79" s="517">
        <v>2500</v>
      </c>
      <c r="AD79" s="430" t="s">
        <v>1470</v>
      </c>
      <c r="AE79" s="414">
        <f>IF(D79="Corb-LK",SUMIFS('Est Madre LK 10-25'!C:C,'Est Madre LK 10-25'!D:D,"si"),IF(D79="Corb-CH",SUMIFS('Est Madre CH 10-25'!C:C,'Est Madre CH 10-25'!D:D,"si"),0)+IFERROR(VLOOKUP(D79,'Est Madre LK 10-25'!$A:$C,3,),IFERROR(VLOOKUP(D79,'Est Madre CH 10-25'!$A:$C,3,),0)))</f>
        <v>288</v>
      </c>
      <c r="AF79" s="362">
        <v>12000</v>
      </c>
      <c r="AG79" s="260">
        <v>30</v>
      </c>
      <c r="AH79" s="342">
        <v>31.048200000000001</v>
      </c>
      <c r="AI79" s="729" t="s">
        <v>1732</v>
      </c>
      <c r="AJ79" s="260" t="s">
        <v>1666</v>
      </c>
      <c r="AK79" s="335">
        <v>3</v>
      </c>
    </row>
    <row r="80" spans="1:37" ht="18" customHeight="1" thickBot="1" x14ac:dyDescent="0.4">
      <c r="A80" t="s">
        <v>1470</v>
      </c>
      <c r="C80" s="681">
        <v>1217700</v>
      </c>
      <c r="D80" s="302">
        <v>389</v>
      </c>
      <c r="E80" s="128" t="str">
        <f>+VLOOKUP(D80,'Conteo VACIO'!$A$8:$D$226,4,0)</f>
        <v>L4A</v>
      </c>
      <c r="F80" s="430" t="s">
        <v>746</v>
      </c>
      <c r="G80" s="329" t="s">
        <v>1368</v>
      </c>
      <c r="H80" s="632"/>
      <c r="I80" s="477"/>
      <c r="J80" s="310"/>
      <c r="L80" s="903">
        <f t="shared" si="16"/>
        <v>0</v>
      </c>
      <c r="M80" s="949">
        <f t="shared" si="22"/>
        <v>0</v>
      </c>
      <c r="O80" s="752">
        <f t="shared" si="17"/>
        <v>0</v>
      </c>
      <c r="P80" s="487">
        <f t="shared" si="18"/>
        <v>0</v>
      </c>
      <c r="Q80" s="345">
        <f t="shared" si="19"/>
        <v>3000</v>
      </c>
      <c r="R80" s="753"/>
      <c r="S80" s="718"/>
      <c r="T80" s="402">
        <f>+IFERROR(SUMIFS('Stock CD'!D:D,#REF!,'Stock CD'!C:C),0)</f>
        <v>0</v>
      </c>
      <c r="U80" s="405">
        <f t="shared" si="20"/>
        <v>3000</v>
      </c>
      <c r="W80" s="402">
        <f>+IFERROR(VLOOKUP(D80,'Stock CD'!B:I,8,0),0)</f>
        <v>0</v>
      </c>
      <c r="X80" s="405">
        <f t="shared" si="21"/>
        <v>0</v>
      </c>
      <c r="Z80" s="450">
        <f>+SUMIFS('Conteo VACIO'!F:F,'Conteo VACIO'!$A:$A,$D80)</f>
        <v>1</v>
      </c>
      <c r="AA80" s="305">
        <f>+SUMIFS('Conteo VACIO'!G:G,'Conteo VACIO'!$A:$A,$D80)</f>
        <v>500</v>
      </c>
      <c r="AB80" s="517">
        <v>2500</v>
      </c>
      <c r="AD80" s="430" t="s">
        <v>1470</v>
      </c>
      <c r="AE80" s="414">
        <f>IF(D80="Corb-LK",SUMIFS('Est Madre LK 10-25'!C:C,'Est Madre LK 10-25'!D:D,"si"),IF(D80="Corb-CH",SUMIFS('Est Madre CH 10-25'!C:C,'Est Madre CH 10-25'!D:D,"si"),0)+IFERROR(VLOOKUP(D80,'Est Madre LK 10-25'!$A:$C,3,),IFERROR(VLOOKUP(D80,'Est Madre CH 10-25'!$A:$C,3,),0)))</f>
        <v>0</v>
      </c>
      <c r="AF80" s="362">
        <v>12000</v>
      </c>
      <c r="AG80" s="260">
        <v>30</v>
      </c>
      <c r="AH80" s="342">
        <v>31.048200000000001</v>
      </c>
      <c r="AI80" s="729" t="s">
        <v>1732</v>
      </c>
      <c r="AJ80" s="260" t="s">
        <v>1666</v>
      </c>
      <c r="AK80" s="335">
        <v>3</v>
      </c>
    </row>
    <row r="81" spans="1:37" ht="18" customHeight="1" thickBot="1" x14ac:dyDescent="0.4">
      <c r="A81" t="s">
        <v>1470</v>
      </c>
      <c r="C81" s="681">
        <v>1206700</v>
      </c>
      <c r="D81" s="302">
        <v>570</v>
      </c>
      <c r="E81" s="128" t="str">
        <f>+VLOOKUP(D81,'Conteo VACIO'!$A$8:$D$226,4,0)</f>
        <v>G2E</v>
      </c>
      <c r="F81" s="430" t="s">
        <v>746</v>
      </c>
      <c r="G81" s="329" t="s">
        <v>1185</v>
      </c>
      <c r="H81" s="632"/>
      <c r="I81" s="477"/>
      <c r="J81" s="310"/>
      <c r="L81" s="903">
        <f t="shared" si="16"/>
        <v>0</v>
      </c>
      <c r="M81" s="949">
        <f t="shared" si="22"/>
        <v>0</v>
      </c>
      <c r="O81" s="752">
        <f t="shared" si="17"/>
        <v>1296</v>
      </c>
      <c r="P81" s="487">
        <f t="shared" si="18"/>
        <v>1296</v>
      </c>
      <c r="Q81" s="345">
        <f t="shared" si="19"/>
        <v>0</v>
      </c>
      <c r="R81" s="753"/>
      <c r="S81" s="718"/>
      <c r="T81" s="402">
        <f>+IFERROR(SUMIFS('Stock CD'!D:D,D285,'Stock CD'!C:C),0)</f>
        <v>0</v>
      </c>
      <c r="U81" s="405">
        <f t="shared" si="20"/>
        <v>0</v>
      </c>
      <c r="W81" s="402">
        <f>+IFERROR(VLOOKUP(D81,'Stock CD'!B:I,8,0),0)</f>
        <v>0</v>
      </c>
      <c r="X81" s="405">
        <f t="shared" si="21"/>
        <v>1296</v>
      </c>
      <c r="Z81" s="450">
        <f>+SUMIFS('Conteo VACIO'!F:F,'Conteo VACIO'!$A:$A,$D81)</f>
        <v>0</v>
      </c>
      <c r="AA81" s="305">
        <f>+SUMIFS('Conteo VACIO'!G:G,'Conteo VACIO'!$A:$A,$D81)</f>
        <v>0</v>
      </c>
      <c r="AB81" s="517">
        <v>1000</v>
      </c>
      <c r="AD81" s="430" t="s">
        <v>1470</v>
      </c>
      <c r="AE81" s="414">
        <f>IF(D81="Corb-LK",SUMIFS('Est Madre LK 10-25'!C:C,'Est Madre LK 10-25'!D:D,"si"),IF(D81="Corb-CH",SUMIFS('Est Madre CH 10-25'!C:C,'Est Madre CH 10-25'!D:D,"si"),0)+IFERROR(VLOOKUP(D81,'Est Madre LK 10-25'!$A:$C,3,),IFERROR(VLOOKUP(D81,'Est Madre CH 10-25'!$A:$C,3,),0)))</f>
        <v>432</v>
      </c>
      <c r="AF81" s="362">
        <v>12000</v>
      </c>
      <c r="AG81" s="260">
        <v>12</v>
      </c>
      <c r="AH81" s="342">
        <v>68.570279999999997</v>
      </c>
      <c r="AI81" s="729" t="s">
        <v>1732</v>
      </c>
      <c r="AJ81" s="260" t="s">
        <v>1666</v>
      </c>
      <c r="AK81" s="335">
        <v>3</v>
      </c>
    </row>
    <row r="82" spans="1:37" ht="18" customHeight="1" thickBot="1" x14ac:dyDescent="0.4">
      <c r="A82" t="s">
        <v>1470</v>
      </c>
      <c r="C82" s="682">
        <v>1217700</v>
      </c>
      <c r="D82" s="302">
        <v>312</v>
      </c>
      <c r="E82" s="128" t="str">
        <f>+VLOOKUP(D82,'Conteo VACIO'!$A$8:$D$226,4,0)</f>
        <v>G1B</v>
      </c>
      <c r="F82" s="430" t="s">
        <v>746</v>
      </c>
      <c r="G82" s="329" t="s">
        <v>1342</v>
      </c>
      <c r="H82" s="632"/>
      <c r="I82" s="477"/>
      <c r="J82" s="310"/>
      <c r="L82" s="903">
        <f t="shared" si="16"/>
        <v>2.0098039215686274</v>
      </c>
      <c r="M82" s="949">
        <f t="shared" si="22"/>
        <v>2.0098039215686274</v>
      </c>
      <c r="O82" s="752">
        <f t="shared" si="17"/>
        <v>0</v>
      </c>
      <c r="P82" s="487">
        <f t="shared" si="18"/>
        <v>612</v>
      </c>
      <c r="Q82" s="345">
        <f t="shared" si="19"/>
        <v>1230</v>
      </c>
      <c r="R82" s="753"/>
      <c r="S82" s="718"/>
      <c r="T82" s="402">
        <f>+IFERROR(SUMIFS('Stock CD'!D:D,D286,'Stock CD'!C:C),0)</f>
        <v>0</v>
      </c>
      <c r="U82" s="405">
        <f t="shared" si="20"/>
        <v>1230</v>
      </c>
      <c r="W82" s="402">
        <f>+IFERROR(VLOOKUP(D82,'Stock CD'!B:I,8,0),0)</f>
        <v>0</v>
      </c>
      <c r="X82" s="405">
        <f t="shared" si="21"/>
        <v>612</v>
      </c>
      <c r="Z82" s="450">
        <f>+SUMIFS('Conteo VACIO'!F:F,'Conteo VACIO'!$A:$A,$D82)</f>
        <v>0</v>
      </c>
      <c r="AA82" s="305">
        <f>+SUMIFS('Conteo VACIO'!G:G,'Conteo VACIO'!$A:$A,$D82)</f>
        <v>1230</v>
      </c>
      <c r="AB82" s="517">
        <v>1000</v>
      </c>
      <c r="AD82" s="430" t="s">
        <v>1470</v>
      </c>
      <c r="AE82" s="414">
        <f>IF(D82="Corb-LK",SUMIFS('Est Madre LK 10-25'!C:C,'Est Madre LK 10-25'!D:D,"si"),IF(D82="Corb-CH",SUMIFS('Est Madre CH 10-25'!C:C,'Est Madre CH 10-25'!D:D,"si"),0)+IFERROR(VLOOKUP(D82,'Est Madre LK 10-25'!$A:$C,3,),IFERROR(VLOOKUP(D82,'Est Madre CH 10-25'!$A:$C,3,),0)))</f>
        <v>204</v>
      </c>
      <c r="AF82" s="362">
        <v>12000</v>
      </c>
      <c r="AG82" s="260">
        <v>12</v>
      </c>
      <c r="AH82" s="342">
        <v>31.048200000000001</v>
      </c>
      <c r="AI82" s="729" t="s">
        <v>1732</v>
      </c>
      <c r="AJ82" s="260" t="s">
        <v>1666</v>
      </c>
      <c r="AK82" s="335">
        <v>3</v>
      </c>
    </row>
    <row r="83" spans="1:37" ht="18" customHeight="1" thickBot="1" x14ac:dyDescent="0.4">
      <c r="A83" t="s">
        <v>1470</v>
      </c>
      <c r="C83" s="681">
        <v>1206700</v>
      </c>
      <c r="D83" s="302">
        <v>548</v>
      </c>
      <c r="E83" s="128" t="str">
        <f>+VLOOKUP(D83,'Conteo VACIO'!$A$8:$D$226,4,0)</f>
        <v>G2C</v>
      </c>
      <c r="F83" s="430" t="s">
        <v>746</v>
      </c>
      <c r="G83" s="329" t="s">
        <v>1187</v>
      </c>
      <c r="H83" s="632"/>
      <c r="I83" s="477"/>
      <c r="J83" s="310"/>
      <c r="L83" s="903">
        <f t="shared" si="16"/>
        <v>0</v>
      </c>
      <c r="M83" s="949">
        <f t="shared" si="22"/>
        <v>0</v>
      </c>
      <c r="O83" s="752">
        <f t="shared" si="17"/>
        <v>0</v>
      </c>
      <c r="P83" s="487">
        <f t="shared" si="18"/>
        <v>0</v>
      </c>
      <c r="Q83" s="345">
        <f t="shared" si="19"/>
        <v>1500</v>
      </c>
      <c r="R83" s="753"/>
      <c r="S83" s="718"/>
      <c r="T83" s="402">
        <f>+IFERROR(SUMIFS('Stock CD'!D:D,D287,'Stock CD'!C:C),0)</f>
        <v>0</v>
      </c>
      <c r="U83" s="405">
        <f t="shared" si="20"/>
        <v>1500</v>
      </c>
      <c r="W83" s="402">
        <f>+IFERROR(VLOOKUP(D83,'Stock CD'!B:I,8,0),0)</f>
        <v>0</v>
      </c>
      <c r="X83" s="405">
        <f t="shared" si="21"/>
        <v>0</v>
      </c>
      <c r="Z83" s="450">
        <f>+SUMIFS('Conteo VACIO'!F:F,'Conteo VACIO'!$A:$A,$D83)</f>
        <v>1</v>
      </c>
      <c r="AA83" s="305">
        <f>+SUMIFS('Conteo VACIO'!G:G,'Conteo VACIO'!$A:$A,$D83)</f>
        <v>500</v>
      </c>
      <c r="AB83" s="517">
        <v>1000</v>
      </c>
      <c r="AD83" s="430" t="s">
        <v>1470</v>
      </c>
      <c r="AE83" s="414">
        <f>IF(D83="Corb-LK",SUMIFS('Est Madre LK 10-25'!C:C,'Est Madre LK 10-25'!D:D,"si"),IF(D83="Corb-CH",SUMIFS('Est Madre CH 10-25'!C:C,'Est Madre CH 10-25'!D:D,"si"),0)+IFERROR(VLOOKUP(D83,'Est Madre LK 10-25'!$A:$C,3,),IFERROR(VLOOKUP(D83,'Est Madre CH 10-25'!$A:$C,3,),0)))</f>
        <v>0</v>
      </c>
      <c r="AF83" s="362">
        <v>12000</v>
      </c>
      <c r="AG83" s="260">
        <v>12</v>
      </c>
      <c r="AH83" s="342">
        <v>68.570279999999997</v>
      </c>
      <c r="AI83" s="729" t="s">
        <v>1732</v>
      </c>
      <c r="AJ83" s="260" t="s">
        <v>1666</v>
      </c>
      <c r="AK83" s="335">
        <v>3</v>
      </c>
    </row>
    <row r="84" spans="1:37" ht="18" customHeight="1" thickBot="1" x14ac:dyDescent="0.4">
      <c r="A84" t="s">
        <v>1470</v>
      </c>
      <c r="C84" s="681">
        <v>1217700</v>
      </c>
      <c r="D84" s="302">
        <v>337</v>
      </c>
      <c r="E84" s="128" t="str">
        <f>+VLOOKUP(D84,'Conteo VACIO'!$A$8:$D$226,4,0)</f>
        <v>L3B</v>
      </c>
      <c r="F84" s="430" t="s">
        <v>746</v>
      </c>
      <c r="G84" s="329" t="s">
        <v>1357</v>
      </c>
      <c r="H84" s="632"/>
      <c r="I84" s="477"/>
      <c r="J84" s="310"/>
      <c r="L84" s="903">
        <f t="shared" si="16"/>
        <v>6.9444444444444446</v>
      </c>
      <c r="M84" s="949">
        <f t="shared" si="22"/>
        <v>6.9444444444444446</v>
      </c>
      <c r="O84" s="752">
        <f t="shared" si="17"/>
        <v>0</v>
      </c>
      <c r="P84" s="487">
        <f t="shared" si="18"/>
        <v>288</v>
      </c>
      <c r="Q84" s="345">
        <f t="shared" si="19"/>
        <v>2000</v>
      </c>
      <c r="R84" s="753"/>
      <c r="S84" s="718"/>
      <c r="T84" s="402">
        <f>+IFERROR(SUMIFS('Stock CD'!D:D,D286,'Stock CD'!C:C),0)</f>
        <v>0</v>
      </c>
      <c r="U84" s="405">
        <f t="shared" si="20"/>
        <v>2000</v>
      </c>
      <c r="W84" s="402">
        <f>+IFERROR(VLOOKUP(D84,'Stock CD'!B:I,8,0),0)</f>
        <v>0</v>
      </c>
      <c r="X84" s="405">
        <f t="shared" si="21"/>
        <v>288</v>
      </c>
      <c r="Z84" s="450">
        <f>+SUMIFS('Conteo VACIO'!F:F,'Conteo VACIO'!$A:$A,$D84)</f>
        <v>0</v>
      </c>
      <c r="AA84" s="305">
        <f>+SUMIFS('Conteo VACIO'!G:G,'Conteo VACIO'!$A:$A,$D84)</f>
        <v>2000</v>
      </c>
      <c r="AB84" s="517">
        <v>2500</v>
      </c>
      <c r="AD84" s="430" t="s">
        <v>1470</v>
      </c>
      <c r="AE84" s="414">
        <f>IF(D84="Corb-LK",SUMIFS('Est Madre LK 10-25'!C:C,'Est Madre LK 10-25'!D:D,"si"),IF(D84="Corb-CH",SUMIFS('Est Madre CH 10-25'!C:C,'Est Madre CH 10-25'!D:D,"si"),0)+IFERROR(VLOOKUP(D84,'Est Madre LK 10-25'!$A:$C,3,),IFERROR(VLOOKUP(D84,'Est Madre CH 10-25'!$A:$C,3,),0)))</f>
        <v>96</v>
      </c>
      <c r="AF84" s="362">
        <v>12000</v>
      </c>
      <c r="AG84" s="260">
        <v>30</v>
      </c>
      <c r="AH84" s="342">
        <v>31.048200000000001</v>
      </c>
      <c r="AI84" s="729" t="s">
        <v>1732</v>
      </c>
      <c r="AJ84" s="260" t="s">
        <v>1666</v>
      </c>
      <c r="AK84" s="335">
        <v>3</v>
      </c>
    </row>
    <row r="85" spans="1:37" ht="18.75" customHeight="1" thickBot="1" x14ac:dyDescent="0.4">
      <c r="A85" t="s">
        <v>1470</v>
      </c>
      <c r="C85" s="681">
        <v>1217700</v>
      </c>
      <c r="D85" s="302">
        <v>315</v>
      </c>
      <c r="E85" s="128" t="str">
        <f>+VLOOKUP(D85,'Conteo VACIO'!$A$8:$D$226,4,0)</f>
        <v>L4B</v>
      </c>
      <c r="F85" s="430" t="s">
        <v>746</v>
      </c>
      <c r="G85" s="329" t="s">
        <v>766</v>
      </c>
      <c r="H85" s="632"/>
      <c r="I85" s="477"/>
      <c r="J85" s="310"/>
      <c r="L85" s="903">
        <f t="shared" si="16"/>
        <v>0.41152263374485598</v>
      </c>
      <c r="M85" s="949">
        <f t="shared" si="22"/>
        <v>0.41152263374485598</v>
      </c>
      <c r="O85" s="752">
        <f t="shared" si="17"/>
        <v>5720</v>
      </c>
      <c r="P85" s="487">
        <f t="shared" si="18"/>
        <v>9720</v>
      </c>
      <c r="Q85" s="345">
        <f t="shared" si="19"/>
        <v>4000</v>
      </c>
      <c r="R85" s="753"/>
      <c r="S85" s="718"/>
      <c r="T85" s="402">
        <f>+IFERROR(SUMIFS('Stock CD'!D:D,D292,'Stock CD'!C:C),0)</f>
        <v>0</v>
      </c>
      <c r="U85" s="405">
        <f t="shared" si="20"/>
        <v>4000</v>
      </c>
      <c r="W85" s="402">
        <f>+IFERROR(VLOOKUP(D85,'Stock CD'!B:I,8,0),0)</f>
        <v>0</v>
      </c>
      <c r="X85" s="405">
        <f t="shared" si="21"/>
        <v>9720</v>
      </c>
      <c r="Z85" s="450">
        <f>+SUMIFS('Conteo VACIO'!F:F,'Conteo VACIO'!$A:$A,$D85)</f>
        <v>1</v>
      </c>
      <c r="AA85" s="305">
        <f>+SUMIFS('Conteo VACIO'!G:G,'Conteo VACIO'!$A:$A,$D85)</f>
        <v>1500</v>
      </c>
      <c r="AB85" s="517">
        <v>2500</v>
      </c>
      <c r="AD85" s="430" t="s">
        <v>1470</v>
      </c>
      <c r="AE85" s="414">
        <f>IF(D85="Corb-LK",SUMIFS('Est Madre LK 10-25'!C:C,'Est Madre LK 10-25'!D:D,"si"),IF(D85="Corb-CH",SUMIFS('Est Madre CH 10-25'!C:C,'Est Madre CH 10-25'!D:D,"si"),0)+IFERROR(VLOOKUP(D85,'Est Madre LK 10-25'!$A:$C,3,),IFERROR(VLOOKUP(D85,'Est Madre CH 10-25'!$A:$C,3,),0)))</f>
        <v>3240</v>
      </c>
      <c r="AF85" s="362">
        <v>12000</v>
      </c>
      <c r="AG85" s="260">
        <v>30</v>
      </c>
      <c r="AH85" s="342">
        <v>31.048200000000001</v>
      </c>
      <c r="AI85" s="729" t="s">
        <v>1732</v>
      </c>
      <c r="AJ85" s="260" t="s">
        <v>1666</v>
      </c>
      <c r="AK85" s="335">
        <v>3</v>
      </c>
    </row>
    <row r="86" spans="1:37" ht="18" customHeight="1" thickBot="1" x14ac:dyDescent="0.4">
      <c r="A86" t="s">
        <v>1470</v>
      </c>
      <c r="C86" s="682"/>
      <c r="D86" s="302">
        <v>311</v>
      </c>
      <c r="E86" s="128" t="str">
        <f>+VLOOKUP(D86,'Conteo VACIO'!$A$8:$D$226,4,0)</f>
        <v>G1A</v>
      </c>
      <c r="F86" s="430" t="s">
        <v>746</v>
      </c>
      <c r="G86" s="329" t="s">
        <v>1227</v>
      </c>
      <c r="H86" s="632"/>
      <c r="I86" s="477"/>
      <c r="J86" s="310"/>
      <c r="K86" s="208"/>
      <c r="L86" s="903">
        <f t="shared" si="16"/>
        <v>2.0833333333333335</v>
      </c>
      <c r="M86" s="952">
        <f t="shared" si="22"/>
        <v>2.0833333333333335</v>
      </c>
      <c r="O86" s="752">
        <f t="shared" si="17"/>
        <v>0</v>
      </c>
      <c r="P86" s="519">
        <f t="shared" si="18"/>
        <v>576</v>
      </c>
      <c r="Q86" s="301">
        <f t="shared" si="19"/>
        <v>1200</v>
      </c>
      <c r="R86" s="753"/>
      <c r="T86" s="399">
        <f>+IFERROR(SUMIFS('Stock CD'!D:D,D321,'Stock CD'!C:C),0)</f>
        <v>0</v>
      </c>
      <c r="U86" s="520">
        <f t="shared" si="20"/>
        <v>1200</v>
      </c>
      <c r="W86" s="399">
        <f>+IFERROR(VLOOKUP(D86,'Stock CD'!B:I,8,0),0)</f>
        <v>0</v>
      </c>
      <c r="X86" s="520">
        <f t="shared" si="21"/>
        <v>576</v>
      </c>
      <c r="Z86" s="450">
        <f>+SUMIFS('Conteo VACIO'!F:F,'Conteo VACIO'!$A:$A,$D86)</f>
        <v>0</v>
      </c>
      <c r="AA86" s="305">
        <f>+SUMIFS('Conteo VACIO'!G:G,'Conteo VACIO'!$A:$A,$D86)</f>
        <v>1200</v>
      </c>
      <c r="AB86" s="517">
        <v>1000</v>
      </c>
      <c r="AD86" s="430" t="s">
        <v>1470</v>
      </c>
      <c r="AE86" s="414">
        <v>192</v>
      </c>
      <c r="AF86" s="219"/>
      <c r="AG86" s="260">
        <v>12</v>
      </c>
      <c r="AH86" s="442"/>
      <c r="AI86" s="729" t="s">
        <v>1732</v>
      </c>
      <c r="AJ86" s="260" t="s">
        <v>1666</v>
      </c>
      <c r="AK86" s="335">
        <v>3</v>
      </c>
    </row>
    <row r="87" spans="1:37" ht="18" customHeight="1" thickBot="1" x14ac:dyDescent="0.4">
      <c r="A87" t="s">
        <v>1470</v>
      </c>
      <c r="C87" s="683">
        <v>1206700</v>
      </c>
      <c r="D87" s="298">
        <v>546</v>
      </c>
      <c r="E87" s="130" t="str">
        <f>+VLOOKUP(D87,'Conteo VACIO'!$A$8:$D$226,4,0)</f>
        <v>C4</v>
      </c>
      <c r="F87" s="431" t="s">
        <v>746</v>
      </c>
      <c r="G87" s="357" t="s">
        <v>1741</v>
      </c>
      <c r="H87" s="632"/>
      <c r="I87" s="478"/>
      <c r="J87" s="310"/>
      <c r="L87" s="904">
        <f t="shared" si="16"/>
        <v>0.67592592592592593</v>
      </c>
      <c r="M87" s="950">
        <f t="shared" si="22"/>
        <v>0.67592592592592593</v>
      </c>
      <c r="O87" s="754">
        <f t="shared" si="17"/>
        <v>7000</v>
      </c>
      <c r="P87" s="488">
        <f t="shared" si="18"/>
        <v>21600</v>
      </c>
      <c r="Q87" s="347">
        <f t="shared" si="19"/>
        <v>14600</v>
      </c>
      <c r="R87" s="755"/>
      <c r="S87" s="719"/>
      <c r="T87" s="403">
        <f>+IFERROR(SUMIFS('Stock CD'!D:D,D53,'Stock CD'!C:C),0)</f>
        <v>0</v>
      </c>
      <c r="U87" s="406">
        <f t="shared" si="20"/>
        <v>14600</v>
      </c>
      <c r="W87" s="403">
        <f>+IFERROR(VLOOKUP(D87,'Stock CD'!B:I,8,0),0)</f>
        <v>0</v>
      </c>
      <c r="X87" s="406">
        <f t="shared" si="21"/>
        <v>21600</v>
      </c>
      <c r="Z87" s="803">
        <f>+SUMIFS('Conteo VACIO'!F:F,'Conteo VACIO'!$A:$A,$D87)</f>
        <v>12</v>
      </c>
      <c r="AA87" s="611">
        <f>+SUMIFS('Conteo VACIO'!G:G,'Conteo VACIO'!$A:$A,$D87)</f>
        <v>2600</v>
      </c>
      <c r="AB87" s="612">
        <v>1000</v>
      </c>
      <c r="AD87" s="613" t="s">
        <v>1470</v>
      </c>
      <c r="AE87" s="530">
        <f>IF(D87="Corb-LK",SUMIFS('Est Madre LK 10-25'!C:C,'Est Madre LK 10-25'!D:D,"si"),IF(D87="Corb-CH",SUMIFS('Est Madre CH 10-25'!C:C,'Est Madre CH 10-25'!D:D,"si"),0)+IFERROR(VLOOKUP(D87,'Est Madre LK 10-25'!$A:$C,3,),IFERROR(VLOOKUP(D87,'Est Madre CH 10-25'!$A:$C,3,),0)))</f>
        <v>7200</v>
      </c>
      <c r="AF87" s="537">
        <v>12000</v>
      </c>
      <c r="AG87" s="538">
        <v>6</v>
      </c>
      <c r="AH87" s="804">
        <v>68.570279999999997</v>
      </c>
      <c r="AI87" s="805" t="s">
        <v>1732</v>
      </c>
      <c r="AJ87" s="538" t="s">
        <v>1666</v>
      </c>
      <c r="AK87" s="614">
        <v>3</v>
      </c>
    </row>
    <row r="88" spans="1:37" ht="9.6" customHeight="1" thickBot="1" x14ac:dyDescent="0.4">
      <c r="C88" s="348"/>
      <c r="D88" s="294"/>
      <c r="E88" s="127"/>
      <c r="F88" s="299"/>
      <c r="G88" s="310"/>
      <c r="H88" s="631"/>
      <c r="I88" s="310"/>
      <c r="J88" s="310"/>
      <c r="L88" s="879"/>
      <c r="M88" s="901"/>
      <c r="O88" s="746">
        <f>+SUM(O64:O87)</f>
        <v>30509</v>
      </c>
      <c r="P88" s="881"/>
      <c r="Q88" s="882"/>
      <c r="R88" s="746"/>
      <c r="S88" s="718"/>
      <c r="T88" s="883"/>
      <c r="U88" s="883"/>
      <c r="W88" s="883"/>
      <c r="X88" s="883"/>
      <c r="Z88" s="872"/>
      <c r="AA88" s="872"/>
      <c r="AB88" s="873"/>
      <c r="AD88" s="874"/>
      <c r="AE88" s="875"/>
      <c r="AF88" s="873"/>
      <c r="AG88" s="876"/>
      <c r="AH88" s="877"/>
      <c r="AI88" s="878"/>
      <c r="AJ88" s="876"/>
      <c r="AK88" s="874"/>
    </row>
    <row r="89" spans="1:37" s="385" customFormat="1" ht="30" customHeight="1" thickBot="1" x14ac:dyDescent="0.35">
      <c r="C89" s="1267" t="s">
        <v>1773</v>
      </c>
      <c r="D89" s="1268"/>
      <c r="E89" s="1268"/>
      <c r="F89" s="1268"/>
      <c r="G89" s="1268"/>
      <c r="H89" s="1268"/>
      <c r="I89" s="1269"/>
      <c r="J89" s="339"/>
      <c r="L89" s="856"/>
      <c r="M89" s="944"/>
      <c r="N89" s="516"/>
      <c r="O89" s="945"/>
      <c r="P89" s="946"/>
      <c r="Q89" s="946"/>
      <c r="R89" s="945"/>
      <c r="S89" s="869"/>
      <c r="T89" s="945"/>
      <c r="U89" s="945"/>
      <c r="V89" s="516"/>
      <c r="W89" s="945"/>
      <c r="X89" s="945"/>
      <c r="Y89"/>
      <c r="Z89" s="870"/>
      <c r="AA89" s="870"/>
      <c r="AB89" s="871"/>
      <c r="AC89"/>
      <c r="AD89" s="870"/>
      <c r="AE89" s="870"/>
      <c r="AF89" s="871"/>
      <c r="AG89" s="870"/>
      <c r="AH89" s="870"/>
      <c r="AI89" s="870"/>
      <c r="AJ89" s="870"/>
      <c r="AK89" s="870"/>
    </row>
    <row r="90" spans="1:37" ht="18" customHeight="1" thickBot="1" x14ac:dyDescent="0.4">
      <c r="A90" t="s">
        <v>1470</v>
      </c>
      <c r="C90" s="297">
        <v>1271700</v>
      </c>
      <c r="D90" s="438">
        <v>577</v>
      </c>
      <c r="E90" s="261" t="str">
        <f>+VLOOKUP(D90,'Conteo VACIO'!$A$8:$D$226,4,0)</f>
        <v>F5C</v>
      </c>
      <c r="F90" s="323" t="s">
        <v>746</v>
      </c>
      <c r="G90" s="356" t="s">
        <v>1744</v>
      </c>
      <c r="H90" s="632"/>
      <c r="I90" s="476"/>
      <c r="J90" s="310"/>
      <c r="L90" s="902">
        <f>+IFERROR(Q90/P90,0)</f>
        <v>2.5169376693766936</v>
      </c>
      <c r="M90" s="948">
        <f>+IFERROR(U90/X90,0)</f>
        <v>2.5169376693766936</v>
      </c>
      <c r="O90" s="750">
        <f t="shared" ref="O90:O92" si="23">IF(P90-Q90-R90&lt;0,0,P90-Q90-R90)</f>
        <v>0</v>
      </c>
      <c r="P90" s="486">
        <f>+IFERROR(AE90*AK90,0)</f>
        <v>2952</v>
      </c>
      <c r="Q90" s="346">
        <f>+(Z90*AB90)+AA90</f>
        <v>7430</v>
      </c>
      <c r="R90" s="751"/>
      <c r="T90" s="401">
        <f>+IFERROR(SUMIFS('Stock CD'!D:D,D305,'Stock CD'!C:C),0)</f>
        <v>0</v>
      </c>
      <c r="U90" s="404">
        <f>+T90+Q90</f>
        <v>7430</v>
      </c>
      <c r="W90" s="401">
        <f>+IFERROR(VLOOKUP(D90,'Stock CD'!B:I,8,0),0)</f>
        <v>0</v>
      </c>
      <c r="X90" s="404">
        <f>+W90+P90</f>
        <v>2952</v>
      </c>
      <c r="Z90" s="831">
        <f>+SUMIFS('Conteo VACIO'!F:F,'Conteo VACIO'!$A:$A,$D90)</f>
        <v>2</v>
      </c>
      <c r="AA90" s="622">
        <f>+SUMIFS('Conteo VACIO'!G:G,'Conteo VACIO'!$A:$A,$D90)</f>
        <v>2430</v>
      </c>
      <c r="AB90" s="623">
        <v>2500</v>
      </c>
      <c r="AD90" s="624" t="s">
        <v>1470</v>
      </c>
      <c r="AE90" s="625">
        <f>IF(D90="Corb-LK",SUMIFS('Est Madre LK 10-25'!C:C,'Est Madre LK 10-25'!D:D,"si"),IF(D90="Corb-CH",SUMIFS('Est Madre CH 10-25'!C:C,'Est Madre CH 10-25'!D:D,"si"),0)+IFERROR(VLOOKUP(D90,'Est Madre LK 10-25'!$A:$C,3,),IFERROR(VLOOKUP(D90,'Est Madre CH 10-25'!$A:$C,3,),0)))</f>
        <v>984</v>
      </c>
      <c r="AF90" s="626">
        <v>18000</v>
      </c>
      <c r="AG90" s="627">
        <v>18</v>
      </c>
      <c r="AH90" s="628">
        <v>0</v>
      </c>
      <c r="AI90" s="629" t="s">
        <v>1732</v>
      </c>
      <c r="AJ90" s="627" t="s">
        <v>1666</v>
      </c>
      <c r="AK90" s="630">
        <v>3</v>
      </c>
    </row>
    <row r="91" spans="1:37" ht="18" customHeight="1" x14ac:dyDescent="0.35">
      <c r="A91" t="s">
        <v>1470</v>
      </c>
      <c r="C91" s="302">
        <v>1272700</v>
      </c>
      <c r="D91" s="439">
        <v>579</v>
      </c>
      <c r="E91" s="260" t="str">
        <f>+VLOOKUP(D91,'Conteo VACIO'!$A$8:$D$226,4,0)</f>
        <v>F4B</v>
      </c>
      <c r="F91" s="322" t="s">
        <v>746</v>
      </c>
      <c r="G91" s="329" t="s">
        <v>1743</v>
      </c>
      <c r="H91" s="260"/>
      <c r="I91" s="477"/>
      <c r="J91" s="310"/>
      <c r="L91" s="903">
        <f>+IFERROR(Q91/P91,0)</f>
        <v>1.5404040404040404</v>
      </c>
      <c r="M91" s="949">
        <f>+IFERROR(U91/X91,0)</f>
        <v>1.5404040404040404</v>
      </c>
      <c r="O91" s="752">
        <f t="shared" si="23"/>
        <v>0</v>
      </c>
      <c r="P91" s="487">
        <f>+IFERROR(AE91*AK91,0)</f>
        <v>1980</v>
      </c>
      <c r="Q91" s="345">
        <f>+(Z91*AB91)+AA91</f>
        <v>3050</v>
      </c>
      <c r="R91" s="753"/>
      <c r="S91" s="199"/>
      <c r="T91" s="402">
        <f>+IFERROR(SUMIFS('Stock CD'!D:D,D303,'Stock CD'!C:C),0)</f>
        <v>0</v>
      </c>
      <c r="U91" s="405">
        <f>+T91+Q91</f>
        <v>3050</v>
      </c>
      <c r="W91" s="402">
        <f>+IFERROR(VLOOKUP(D91,'Stock CD'!B:I,8,0),0)</f>
        <v>0</v>
      </c>
      <c r="X91" s="405">
        <f>+W91+P91</f>
        <v>1980</v>
      </c>
      <c r="Z91" s="450">
        <f>+SUMIFS('Conteo VACIO'!F:F,'Conteo VACIO'!$A:$A,$D91)</f>
        <v>1</v>
      </c>
      <c r="AA91" s="305">
        <f>+SUMIFS('Conteo VACIO'!G:G,'Conteo VACIO'!$A:$A,$D91)</f>
        <v>550</v>
      </c>
      <c r="AB91" s="517">
        <v>2500</v>
      </c>
      <c r="AD91" s="430" t="s">
        <v>1470</v>
      </c>
      <c r="AE91" s="414">
        <f>IF(D91="Corb-LK",SUMIFS('Est Madre LK 10-25'!C:C,'Est Madre LK 10-25'!D:D,"si"),IF(D91="Corb-CH",SUMIFS('Est Madre CH 10-25'!C:C,'Est Madre CH 10-25'!D:D,"si"),0)+IFERROR(VLOOKUP(D91,'Est Madre LK 10-25'!$A:$C,3,),IFERROR(VLOOKUP(D91,'Est Madre CH 10-25'!$A:$C,3,),0)))</f>
        <v>660</v>
      </c>
      <c r="AF91" s="362">
        <v>18000</v>
      </c>
      <c r="AG91" s="260">
        <v>18</v>
      </c>
      <c r="AH91" s="325">
        <v>0</v>
      </c>
      <c r="AI91" s="601" t="s">
        <v>1732</v>
      </c>
      <c r="AJ91" s="260" t="s">
        <v>1666</v>
      </c>
      <c r="AK91" s="335">
        <v>3</v>
      </c>
    </row>
    <row r="92" spans="1:37" ht="18" customHeight="1" thickBot="1" x14ac:dyDescent="0.4">
      <c r="A92" t="s">
        <v>1470</v>
      </c>
      <c r="C92" s="298">
        <v>1214700</v>
      </c>
      <c r="D92" s="449">
        <v>575</v>
      </c>
      <c r="E92" s="262" t="str">
        <f>+VLOOKUP(D92,'Conteo VACIO'!$A$8:$D$226,4,0)</f>
        <v>F4A</v>
      </c>
      <c r="F92" s="324" t="s">
        <v>746</v>
      </c>
      <c r="G92" s="357" t="s">
        <v>1742</v>
      </c>
      <c r="H92" s="262"/>
      <c r="I92" s="478"/>
      <c r="J92" s="310"/>
      <c r="L92" s="904">
        <f>+IFERROR(Q92/P92,0)</f>
        <v>1.6025641025641026</v>
      </c>
      <c r="M92" s="950">
        <f>+IFERROR(U92/X92,0)</f>
        <v>1.6025641025641026</v>
      </c>
      <c r="O92" s="754">
        <f t="shared" si="23"/>
        <v>0</v>
      </c>
      <c r="P92" s="488">
        <f>+IFERROR(AE92*AK92,0)</f>
        <v>3276</v>
      </c>
      <c r="Q92" s="347">
        <f>+(Z92*AB92)+AA92</f>
        <v>5250</v>
      </c>
      <c r="R92" s="755"/>
      <c r="T92" s="403">
        <f>+IFERROR(SUMIFS('Stock CD'!D:D,D304,'Stock CD'!C:C),0)</f>
        <v>0</v>
      </c>
      <c r="U92" s="406">
        <f>+T92+Q92</f>
        <v>5250</v>
      </c>
      <c r="W92" s="403">
        <f>+IFERROR(VLOOKUP(D92,'Stock CD'!B:I,8,0),0)</f>
        <v>0</v>
      </c>
      <c r="X92" s="406">
        <f>+W92+P92</f>
        <v>3276</v>
      </c>
      <c r="Z92" s="803">
        <f>+SUMIFS('Conteo VACIO'!F:F,'Conteo VACIO'!$A:$A,$D92)</f>
        <v>2</v>
      </c>
      <c r="AA92" s="611">
        <f>+SUMIFS('Conteo VACIO'!G:G,'Conteo VACIO'!$A:$A,$D92)</f>
        <v>250</v>
      </c>
      <c r="AB92" s="612">
        <v>2500</v>
      </c>
      <c r="AD92" s="613" t="s">
        <v>1470</v>
      </c>
      <c r="AE92" s="530">
        <f>IF(D92="Corb-LK",SUMIFS('Est Madre LK 10-25'!C:C,'Est Madre LK 10-25'!D:D,"si"),IF(D92="Corb-CH",SUMIFS('Est Madre CH 10-25'!C:C,'Est Madre CH 10-25'!D:D,"si"),0)+IFERROR(VLOOKUP(D92,'Est Madre LK 10-25'!$A:$C,3,),IFERROR(VLOOKUP(D92,'Est Madre CH 10-25'!$A:$C,3,),0)))</f>
        <v>1092</v>
      </c>
      <c r="AF92" s="537">
        <v>18000</v>
      </c>
      <c r="AG92" s="538">
        <v>18</v>
      </c>
      <c r="AH92" s="539">
        <v>75.746549999999999</v>
      </c>
      <c r="AI92" s="602" t="s">
        <v>1732</v>
      </c>
      <c r="AJ92" s="538" t="s">
        <v>1666</v>
      </c>
      <c r="AK92" s="614">
        <v>3</v>
      </c>
    </row>
    <row r="93" spans="1:37" ht="18.75" customHeight="1" thickBot="1" x14ac:dyDescent="0.4">
      <c r="C93" s="348"/>
      <c r="D93" s="294"/>
      <c r="F93" s="299"/>
      <c r="G93" s="310"/>
      <c r="H93" s="631"/>
      <c r="I93" s="310"/>
      <c r="J93" s="310"/>
      <c r="L93" s="458"/>
      <c r="M93" s="459"/>
      <c r="O93" s="687"/>
      <c r="P93" s="383"/>
      <c r="Q93" s="338"/>
      <c r="R93" s="687"/>
      <c r="S93" s="719"/>
      <c r="T93" s="460"/>
      <c r="U93" s="460"/>
      <c r="W93" s="460"/>
      <c r="X93" s="460"/>
      <c r="Z93" s="849"/>
      <c r="AA93" s="849"/>
      <c r="AB93" s="850"/>
      <c r="AD93" s="851"/>
      <c r="AE93" s="852"/>
      <c r="AF93" s="850"/>
      <c r="AG93" s="853"/>
      <c r="AH93" s="854"/>
      <c r="AI93" s="855"/>
      <c r="AJ93" s="853"/>
      <c r="AK93" s="851"/>
    </row>
    <row r="94" spans="1:37" s="385" customFormat="1" ht="30" customHeight="1" thickBot="1" x14ac:dyDescent="0.35">
      <c r="C94" s="1264" t="s">
        <v>1780</v>
      </c>
      <c r="D94" s="1265"/>
      <c r="E94" s="1265"/>
      <c r="F94" s="1265"/>
      <c r="G94" s="1265"/>
      <c r="H94" s="1265"/>
      <c r="I94" s="1266"/>
      <c r="J94" s="339"/>
      <c r="L94" s="845"/>
      <c r="M94" s="846"/>
      <c r="N94" s="516"/>
      <c r="O94" s="784"/>
      <c r="P94" s="727"/>
      <c r="Q94" s="727"/>
      <c r="R94" s="784"/>
      <c r="S94" s="866"/>
      <c r="T94" s="784"/>
      <c r="U94" s="784"/>
      <c r="V94" s="516"/>
      <c r="W94" s="784"/>
      <c r="X94" s="784"/>
      <c r="Y94"/>
      <c r="Z94" s="867"/>
      <c r="AA94" s="867"/>
      <c r="AB94" s="868"/>
      <c r="AC94"/>
      <c r="AD94" s="867"/>
      <c r="AE94" s="867"/>
      <c r="AF94" s="868"/>
      <c r="AG94" s="867"/>
      <c r="AH94" s="867"/>
      <c r="AI94" s="867"/>
      <c r="AJ94" s="867"/>
      <c r="AK94" s="867"/>
    </row>
    <row r="95" spans="1:37" s="385" customFormat="1" ht="56.1" customHeight="1" thickBot="1" x14ac:dyDescent="0.35">
      <c r="C95" s="558" t="s">
        <v>1293</v>
      </c>
      <c r="D95" s="558" t="s">
        <v>748</v>
      </c>
      <c r="E95" s="312" t="s">
        <v>1198</v>
      </c>
      <c r="F95" s="558" t="s">
        <v>1018</v>
      </c>
      <c r="G95" s="558" t="s">
        <v>749</v>
      </c>
      <c r="H95" s="291" t="s">
        <v>1526</v>
      </c>
      <c r="I95" s="291" t="s">
        <v>1525</v>
      </c>
      <c r="J95" s="317"/>
      <c r="L95" s="899" t="s">
        <v>1524</v>
      </c>
      <c r="M95" s="715" t="s">
        <v>1730</v>
      </c>
      <c r="N95" s="516"/>
      <c r="O95" s="710" t="s">
        <v>1042</v>
      </c>
      <c r="P95" s="711" t="s">
        <v>1402</v>
      </c>
      <c r="Q95" s="716" t="s">
        <v>1178</v>
      </c>
      <c r="R95" s="710" t="s">
        <v>1781</v>
      </c>
      <c r="S95" s="693"/>
      <c r="T95" s="710" t="s">
        <v>1440</v>
      </c>
      <c r="U95" s="984" t="s">
        <v>1441</v>
      </c>
      <c r="V95" s="516"/>
      <c r="W95" s="985" t="s">
        <v>1442</v>
      </c>
      <c r="X95" s="710" t="s">
        <v>1443</v>
      </c>
      <c r="Y95"/>
      <c r="Z95" s="696" t="s">
        <v>1197</v>
      </c>
      <c r="AA95" s="695" t="s">
        <v>1460</v>
      </c>
      <c r="AB95" s="694" t="s">
        <v>857</v>
      </c>
      <c r="AC95"/>
      <c r="AD95" s="695" t="s">
        <v>1403</v>
      </c>
      <c r="AE95" s="695" t="s">
        <v>1415</v>
      </c>
      <c r="AF95" s="694" t="s">
        <v>1438</v>
      </c>
      <c r="AG95" s="695" t="s">
        <v>1212</v>
      </c>
      <c r="AH95" s="696" t="s">
        <v>1387</v>
      </c>
      <c r="AI95" s="695" t="s">
        <v>1731</v>
      </c>
      <c r="AJ95" s="695" t="s">
        <v>1416</v>
      </c>
      <c r="AK95" s="695" t="s">
        <v>1513</v>
      </c>
    </row>
    <row r="96" spans="1:37" ht="18" customHeight="1" thickBot="1" x14ac:dyDescent="0.4">
      <c r="A96" t="s">
        <v>1470</v>
      </c>
      <c r="C96" s="680">
        <v>1206700</v>
      </c>
      <c r="D96" s="297">
        <v>544</v>
      </c>
      <c r="E96" s="489" t="str">
        <f>+VLOOKUP(D96,'Conteo VACIO'!$A$8:$D$226,4,0)</f>
        <v>F2</v>
      </c>
      <c r="F96" s="323" t="s">
        <v>746</v>
      </c>
      <c r="G96" s="356" t="s">
        <v>1193</v>
      </c>
      <c r="H96" s="632"/>
      <c r="I96" s="476"/>
      <c r="J96" s="310"/>
      <c r="L96" s="902">
        <f>+IFERROR(Q96/P96,0)</f>
        <v>0.66988210075026799</v>
      </c>
      <c r="M96" s="948">
        <f>+IFERROR(U96/X96,0)</f>
        <v>0.66988210075026799</v>
      </c>
      <c r="O96" s="780">
        <f>IF(P96-Q96-R96&lt;0,0,P96-Q96-R96)</f>
        <v>7392</v>
      </c>
      <c r="P96" s="486">
        <f>+IFERROR(AE96*AK96,0)</f>
        <v>22392</v>
      </c>
      <c r="Q96" s="346">
        <f>+(Z96*AB96)+AA96</f>
        <v>15000</v>
      </c>
      <c r="R96" s="751"/>
      <c r="S96" s="199"/>
      <c r="T96" s="401">
        <f>+IFERROR(SUMIFS('Stock CD'!D:D,D51,'Stock CD'!C:C),0)</f>
        <v>0</v>
      </c>
      <c r="U96" s="404">
        <f>+T96+Q96</f>
        <v>15000</v>
      </c>
      <c r="W96" s="401">
        <f>+IFERROR(VLOOKUP(D96,'Stock CD'!B:I,8,0),0)</f>
        <v>0</v>
      </c>
      <c r="X96" s="404">
        <f>+W96+P96</f>
        <v>22392</v>
      </c>
      <c r="Z96" s="304">
        <f>+SUMIFS('Conteo VACIO'!F:F,'Conteo VACIO'!$A:$A,$D96)</f>
        <v>13</v>
      </c>
      <c r="AA96" s="304">
        <f>+SUMIFS('Conteo VACIO'!G:G,'Conteo VACIO'!$A:$A,$D96)</f>
        <v>2000</v>
      </c>
      <c r="AB96" s="534">
        <v>1000</v>
      </c>
      <c r="AD96" s="398" t="s">
        <v>1470</v>
      </c>
      <c r="AE96" s="428">
        <f>IF(D96="Corb-LK",SUMIFS('Est Madre LK 10-25'!C:C,'Est Madre LK 10-25'!D:D,"si"),IF(D96="Corb-CH",SUMIFS('Est Madre CH 10-25'!C:C,'Est Madre CH 10-25'!D:D,"si"),0)+IFERROR(VLOOKUP(D96,'Est Madre LK 10-25'!$A:$C,3,),IFERROR(VLOOKUP(D96,'Est Madre CH 10-25'!$A:$C,3,),0)))</f>
        <v>7464</v>
      </c>
      <c r="AF96" s="361">
        <v>12000</v>
      </c>
      <c r="AG96" s="261">
        <v>30</v>
      </c>
      <c r="AH96" s="720">
        <v>68.570279999999997</v>
      </c>
      <c r="AI96" s="722" t="s">
        <v>1733</v>
      </c>
      <c r="AJ96" s="261" t="s">
        <v>1678</v>
      </c>
      <c r="AK96" s="333">
        <v>3</v>
      </c>
    </row>
    <row r="97" spans="1:37" ht="18" customHeight="1" thickBot="1" x14ac:dyDescent="0.4">
      <c r="A97" t="s">
        <v>1470</v>
      </c>
      <c r="C97" s="594"/>
      <c r="D97" s="593">
        <v>580</v>
      </c>
      <c r="E97" s="130" t="str">
        <f>+VLOOKUP(D97,'Conteo VACIO'!$A$8:$D$226,4,0)</f>
        <v>G8C</v>
      </c>
      <c r="F97" s="662" t="s">
        <v>746</v>
      </c>
      <c r="G97" s="663" t="s">
        <v>1273</v>
      </c>
      <c r="H97" s="632"/>
      <c r="I97" s="906"/>
      <c r="J97" s="310"/>
      <c r="K97" s="208"/>
      <c r="L97" s="905">
        <f>+IFERROR(Q97/P97,0)</f>
        <v>0.55555555555555558</v>
      </c>
      <c r="M97" s="953">
        <f>+IFERROR(U97/X97,0)</f>
        <v>0.55555555555555558</v>
      </c>
      <c r="O97" s="925">
        <f>IF(P97-Q97-R97&lt;0,0,P97-Q97-R97)</f>
        <v>800</v>
      </c>
      <c r="P97" s="664">
        <f>+IFERROR(AE97*AK97,0)</f>
        <v>1800</v>
      </c>
      <c r="Q97" s="665">
        <f>+(Z97*AB97)+AA97</f>
        <v>1000</v>
      </c>
      <c r="R97" s="795"/>
      <c r="S97" s="204"/>
      <c r="T97" s="675">
        <f>+IFERROR(SUMIFS('Stock CD'!D:D,D317,'Stock CD'!C:C),0)</f>
        <v>0</v>
      </c>
      <c r="U97" s="666">
        <f>+T97+Q97</f>
        <v>1000</v>
      </c>
      <c r="W97" s="675">
        <f>+IFERROR(VLOOKUP(D97,'Stock CD'!B:I,8,0),0)</f>
        <v>0</v>
      </c>
      <c r="X97" s="676">
        <f>+W97+P97</f>
        <v>1800</v>
      </c>
      <c r="Z97" s="667">
        <f>+SUMIFS('Conteo VACIO'!F:F,'Conteo VACIO'!$A:$A,$D97)</f>
        <v>1</v>
      </c>
      <c r="AA97" s="667">
        <f>+SUMIFS('Conteo VACIO'!G:G,'Conteo VACIO'!$A:$A,$D97)</f>
        <v>0</v>
      </c>
      <c r="AB97" s="668">
        <v>1000</v>
      </c>
      <c r="AD97" s="669" t="s">
        <v>1470</v>
      </c>
      <c r="AE97" s="670">
        <v>600</v>
      </c>
      <c r="AF97" s="671"/>
      <c r="AG97" s="672"/>
      <c r="AH97" s="725"/>
      <c r="AI97" s="724" t="s">
        <v>1733</v>
      </c>
      <c r="AJ97" s="672" t="s">
        <v>1678</v>
      </c>
      <c r="AK97" s="673">
        <v>3</v>
      </c>
    </row>
    <row r="98" spans="1:37" ht="4.95" customHeight="1" thickBot="1" x14ac:dyDescent="0.4">
      <c r="C98" s="907"/>
      <c r="D98" s="294"/>
      <c r="F98" s="299"/>
      <c r="G98" s="310"/>
      <c r="H98" s="632"/>
      <c r="I98" s="908"/>
      <c r="J98" s="310"/>
      <c r="K98" s="208"/>
      <c r="L98" s="458"/>
      <c r="M98" s="507"/>
      <c r="O98" s="687"/>
      <c r="P98" s="383"/>
      <c r="Q98" s="338"/>
      <c r="R98" s="687"/>
      <c r="T98" s="508"/>
      <c r="U98" s="460"/>
      <c r="W98" s="508"/>
      <c r="X98" s="508"/>
      <c r="Z98" s="309"/>
      <c r="AA98" s="309"/>
      <c r="AB98" s="389"/>
      <c r="AE98" s="386"/>
      <c r="AF98" s="389"/>
      <c r="AG98" s="127"/>
      <c r="AH98" s="350"/>
      <c r="AI98" s="599"/>
      <c r="AJ98" s="127"/>
    </row>
    <row r="99" spans="1:37" ht="18" customHeight="1" thickBot="1" x14ac:dyDescent="0.4">
      <c r="A99" t="s">
        <v>1470</v>
      </c>
      <c r="C99" s="418">
        <v>1217700</v>
      </c>
      <c r="D99" s="438">
        <v>27</v>
      </c>
      <c r="E99" s="261" t="str">
        <f>+VLOOKUP(D99,'Conteo VACIO'!$A$8:$D$226,4,0)</f>
        <v>L5A</v>
      </c>
      <c r="F99" s="323" t="s">
        <v>746</v>
      </c>
      <c r="G99" s="356" t="s">
        <v>1363</v>
      </c>
      <c r="H99" s="632"/>
      <c r="I99" s="476"/>
      <c r="J99" s="310"/>
      <c r="L99" s="902">
        <f>+IFERROR(Q99/P99,0)</f>
        <v>0.96040189125295505</v>
      </c>
      <c r="M99" s="948">
        <f>+IFERROR(U99/X99,0)</f>
        <v>0.96040189125295505</v>
      </c>
      <c r="O99" s="780">
        <f>IF(P99-Q99-R99&lt;0,0,P99-Q99-R99)</f>
        <v>536</v>
      </c>
      <c r="P99" s="380">
        <f>+IFERROR(AE99*AK99,0)</f>
        <v>13536</v>
      </c>
      <c r="Q99" s="346">
        <f>+(Z99*AB99)+AA99</f>
        <v>13000</v>
      </c>
      <c r="R99" s="688"/>
      <c r="S99" s="27"/>
      <c r="T99" s="401">
        <f>+IFERROR(SUMIFS('Stock CD'!D:D,#REF!,'Stock CD'!C:C),0)</f>
        <v>0</v>
      </c>
      <c r="U99" s="404">
        <f>+T99+Q99</f>
        <v>13000</v>
      </c>
      <c r="W99" s="401">
        <f>+IFERROR(VLOOKUP(D99,'Stock CD'!B:I,8,0),0)</f>
        <v>0</v>
      </c>
      <c r="X99" s="404">
        <f>+W99+P99</f>
        <v>13536</v>
      </c>
      <c r="Z99" s="304">
        <f>+SUMIFS('Conteo VACIO'!F:F,'Conteo VACIO'!$A:$A,$D99)</f>
        <v>5</v>
      </c>
      <c r="AA99" s="304">
        <f>+SUMIFS('Conteo VACIO'!G:G,'Conteo VACIO'!$A:$A,$D99)</f>
        <v>500</v>
      </c>
      <c r="AB99" s="361">
        <v>2500</v>
      </c>
      <c r="AD99" s="323" t="s">
        <v>1470</v>
      </c>
      <c r="AE99" s="428">
        <f>IF(D99="Corb-LK",SUMIFS('Est Madre LK 10-25'!C:C,'Est Madre LK 10-25'!D:D,"si"),IF(D99="Corb-CH",SUMIFS('Est Madre CH 10-25'!C:C,'Est Madre CH 10-25'!D:D,"si"),0)+IFERROR(VLOOKUP(D99,'Est Madre LK 10-25'!$A:$C,3,),IFERROR(VLOOKUP(D99,'Est Madre CH 10-25'!$A:$C,3,),0)))</f>
        <v>4512</v>
      </c>
      <c r="AF99" s="361">
        <v>12000</v>
      </c>
      <c r="AG99" s="261">
        <v>30</v>
      </c>
      <c r="AH99" s="326">
        <v>31.048200000000001</v>
      </c>
      <c r="AI99" s="600" t="s">
        <v>1733</v>
      </c>
      <c r="AJ99" s="261" t="s">
        <v>1678</v>
      </c>
      <c r="AK99" s="333">
        <v>3</v>
      </c>
    </row>
    <row r="100" spans="1:37" ht="18" customHeight="1" thickBot="1" x14ac:dyDescent="0.4">
      <c r="A100" t="s">
        <v>1470</v>
      </c>
      <c r="C100" s="500">
        <v>1217700</v>
      </c>
      <c r="D100" s="449">
        <v>26</v>
      </c>
      <c r="E100" s="262" t="str">
        <f>+VLOOKUP(D100,'Conteo VACIO'!$A$8:$D$226,4,0)</f>
        <v>L5B</v>
      </c>
      <c r="F100" s="324" t="s">
        <v>746</v>
      </c>
      <c r="G100" s="357" t="s">
        <v>1362</v>
      </c>
      <c r="H100" s="632"/>
      <c r="I100" s="478"/>
      <c r="J100" s="310"/>
      <c r="L100" s="904">
        <f>+IFERROR(Q100/P100,0)</f>
        <v>1.482402800810761</v>
      </c>
      <c r="M100" s="950">
        <f>+IFERROR(U100/X100,0)</f>
        <v>1.482402800810761</v>
      </c>
      <c r="O100" s="925">
        <f>IF(P100-Q100-R100&lt;0,0,P100-Q100-R100)</f>
        <v>0</v>
      </c>
      <c r="P100" s="382">
        <f>+IFERROR(AE100*AK100,0)</f>
        <v>21708</v>
      </c>
      <c r="Q100" s="347">
        <f>+(Z100*AB100)+AA100</f>
        <v>32180</v>
      </c>
      <c r="R100" s="690"/>
      <c r="S100" s="29"/>
      <c r="T100" s="403">
        <f>+IFERROR(SUMIFS('Stock CD'!D:D,D53,'Stock CD'!C:C),0)</f>
        <v>0</v>
      </c>
      <c r="U100" s="406">
        <f>+T100+Q100</f>
        <v>32180</v>
      </c>
      <c r="W100" s="403">
        <f>+IFERROR(VLOOKUP(D100,'Stock CD'!B:I,8,0),0)</f>
        <v>0</v>
      </c>
      <c r="X100" s="406">
        <f>+W100+P100</f>
        <v>21708</v>
      </c>
      <c r="Z100" s="306">
        <f>+SUMIFS('Conteo VACIO'!F:F,'Conteo VACIO'!$A:$A,$D100)</f>
        <v>12</v>
      </c>
      <c r="AA100" s="306">
        <f>+SUMIFS('Conteo VACIO'!G:G,'Conteo VACIO'!$A:$A,$D100)</f>
        <v>2180</v>
      </c>
      <c r="AB100" s="364">
        <v>2500</v>
      </c>
      <c r="AD100" s="324" t="s">
        <v>1470</v>
      </c>
      <c r="AE100" s="429">
        <f>IF(D100="Corb-LK",SUMIFS('Est Madre LK 10-25'!C:C,'Est Madre LK 10-25'!D:D,"si"),IF(D100="Corb-CH",SUMIFS('Est Madre CH 10-25'!C:C,'Est Madre CH 10-25'!D:D,"si"),0)+IFERROR(VLOOKUP(D100,'Est Madre LK 10-25'!$A:$C,3,),IFERROR(VLOOKUP(D100,'Est Madre CH 10-25'!$A:$C,3,),0)))</f>
        <v>7236</v>
      </c>
      <c r="AF100" s="364">
        <v>12000</v>
      </c>
      <c r="AG100" s="262">
        <v>30</v>
      </c>
      <c r="AH100" s="327">
        <v>31.048200000000001</v>
      </c>
      <c r="AI100" s="603" t="s">
        <v>1733</v>
      </c>
      <c r="AJ100" s="262" t="s">
        <v>1678</v>
      </c>
      <c r="AK100" s="337">
        <v>3</v>
      </c>
    </row>
    <row r="101" spans="1:37" ht="5.7" customHeight="1" thickBot="1" x14ac:dyDescent="0.4">
      <c r="C101" s="909"/>
      <c r="D101" s="294"/>
      <c r="F101" s="299"/>
      <c r="G101" s="310"/>
      <c r="H101" s="632"/>
      <c r="I101" s="908"/>
      <c r="J101" s="310"/>
      <c r="L101" s="458"/>
      <c r="M101" s="459"/>
      <c r="O101" s="687"/>
      <c r="P101" s="383"/>
      <c r="Q101" s="338"/>
      <c r="R101" s="687"/>
      <c r="T101" s="460"/>
      <c r="U101" s="460"/>
      <c r="W101" s="460"/>
      <c r="X101" s="460"/>
      <c r="Z101" s="309"/>
      <c r="AA101" s="309"/>
      <c r="AB101" s="389"/>
      <c r="AE101" s="386"/>
      <c r="AF101" s="389"/>
      <c r="AG101" s="127"/>
      <c r="AH101" s="350"/>
      <c r="AI101" s="599"/>
      <c r="AJ101" s="127"/>
    </row>
    <row r="102" spans="1:37" ht="18" customHeight="1" thickBot="1" x14ac:dyDescent="0.4">
      <c r="A102" t="s">
        <v>1470</v>
      </c>
      <c r="C102" s="680">
        <v>1217700</v>
      </c>
      <c r="D102" s="297">
        <v>223</v>
      </c>
      <c r="E102" s="489" t="str">
        <f>+VLOOKUP(D102,'Conteo VACIO'!$A$8:$D$226,4,0)</f>
        <v>M3A</v>
      </c>
      <c r="F102" s="323" t="s">
        <v>746</v>
      </c>
      <c r="G102" s="356" t="s">
        <v>1346</v>
      </c>
      <c r="H102" s="632"/>
      <c r="I102" s="476"/>
      <c r="J102" s="310"/>
      <c r="L102" s="902">
        <f t="shared" ref="L102:L107" si="24">+IFERROR(Q102/P102,0)</f>
        <v>1.3526570048309179</v>
      </c>
      <c r="M102" s="948">
        <f t="shared" ref="M102:M107" si="25">+IFERROR(U102/X102,0)</f>
        <v>1.3526570048309179</v>
      </c>
      <c r="O102" s="750">
        <f t="shared" ref="O102:O107" si="26">IF(P102-Q102-R102&lt;0,0,P102-Q102-R102)</f>
        <v>0</v>
      </c>
      <c r="P102" s="486">
        <f t="shared" ref="P102:P107" si="27">+IFERROR(AE102*AK102,0)</f>
        <v>828</v>
      </c>
      <c r="Q102" s="346">
        <f t="shared" ref="Q102:Q107" si="28">+(Z102*AB102)+AA102</f>
        <v>1120</v>
      </c>
      <c r="R102" s="751"/>
      <c r="S102" s="199"/>
      <c r="T102" s="401">
        <f>+IFERROR(SUMIFS('Stock CD'!D:D,#REF!,'Stock CD'!C:C),0)</f>
        <v>0</v>
      </c>
      <c r="U102" s="404">
        <f t="shared" ref="U102:U107" si="29">+T102+Q102</f>
        <v>1120</v>
      </c>
      <c r="W102" s="401">
        <f>+IFERROR(VLOOKUP(D102,'Stock CD'!B:I,8,0),0)</f>
        <v>0</v>
      </c>
      <c r="X102" s="404">
        <f t="shared" ref="X102:X107" si="30">+W102+P102</f>
        <v>828</v>
      </c>
      <c r="Z102" s="304">
        <f>+SUMIFS('Conteo VACIO'!F:F,'Conteo VACIO'!$A:$A,$D102)</f>
        <v>0</v>
      </c>
      <c r="AA102" s="304">
        <f>+SUMIFS('Conteo VACIO'!G:G,'Conteo VACIO'!$A:$A,$D102)</f>
        <v>1120</v>
      </c>
      <c r="AB102" s="534">
        <v>2500</v>
      </c>
      <c r="AD102" s="398" t="s">
        <v>1470</v>
      </c>
      <c r="AE102" s="428">
        <f>IF(D102="Corb-LK",SUMIFS('Est Madre LK 10-25'!C:C,'Est Madre LK 10-25'!D:D,"si"),IF(D102="Corb-CH",SUMIFS('Est Madre CH 10-25'!C:C,'Est Madre CH 10-25'!D:D,"si"),0)+IFERROR(VLOOKUP(D102,'Est Madre LK 10-25'!$A:$C,3,),IFERROR(VLOOKUP(D102,'Est Madre CH 10-25'!$A:$C,3,),0)))</f>
        <v>276</v>
      </c>
      <c r="AF102" s="361">
        <v>12000</v>
      </c>
      <c r="AG102" s="261">
        <v>30</v>
      </c>
      <c r="AH102" s="720">
        <v>31.048200000000001</v>
      </c>
      <c r="AI102" s="722" t="s">
        <v>1733</v>
      </c>
      <c r="AJ102" s="261" t="s">
        <v>1678</v>
      </c>
      <c r="AK102" s="333">
        <v>3</v>
      </c>
    </row>
    <row r="103" spans="1:37" ht="18" customHeight="1" thickBot="1" x14ac:dyDescent="0.4">
      <c r="A103" t="s">
        <v>1470</v>
      </c>
      <c r="C103" s="681">
        <v>1217700</v>
      </c>
      <c r="D103" s="302">
        <v>224</v>
      </c>
      <c r="E103" s="128" t="str">
        <f>+VLOOKUP(D103,'Conteo VACIO'!$A$8:$D$226,4,0)</f>
        <v>M3D</v>
      </c>
      <c r="F103" s="322" t="s">
        <v>746</v>
      </c>
      <c r="G103" s="329" t="s">
        <v>1349</v>
      </c>
      <c r="H103" s="632"/>
      <c r="I103" s="477"/>
      <c r="J103" s="310"/>
      <c r="L103" s="903">
        <f t="shared" si="24"/>
        <v>2.8344671201814058</v>
      </c>
      <c r="M103" s="949">
        <f t="shared" si="25"/>
        <v>2.8344671201814058</v>
      </c>
      <c r="O103" s="752">
        <f t="shared" si="26"/>
        <v>0</v>
      </c>
      <c r="P103" s="487">
        <f t="shared" si="27"/>
        <v>1764</v>
      </c>
      <c r="Q103" s="345">
        <f t="shared" si="28"/>
        <v>5000</v>
      </c>
      <c r="R103" s="753"/>
      <c r="T103" s="402">
        <f>+IFERROR(SUMIFS('Stock CD'!D:D,#REF!,'Stock CD'!C:C),0)</f>
        <v>0</v>
      </c>
      <c r="U103" s="405">
        <f t="shared" si="29"/>
        <v>5000</v>
      </c>
      <c r="W103" s="402">
        <f>+IFERROR(VLOOKUP(D103,'Stock CD'!B:I,8,0),0)</f>
        <v>0</v>
      </c>
      <c r="X103" s="405">
        <f t="shared" si="30"/>
        <v>1764</v>
      </c>
      <c r="Z103" s="305">
        <f>+SUMIFS('Conteo VACIO'!F:F,'Conteo VACIO'!$A:$A,$D103)</f>
        <v>2</v>
      </c>
      <c r="AA103" s="305">
        <f>+SUMIFS('Conteo VACIO'!G:G,'Conteo VACIO'!$A:$A,$D103)</f>
        <v>0</v>
      </c>
      <c r="AB103" s="517">
        <v>2500</v>
      </c>
      <c r="AD103" s="430" t="s">
        <v>1470</v>
      </c>
      <c r="AE103" s="414">
        <f>IF(D103="Corb-LK",SUMIFS('Est Madre LK 10-25'!C:C,'Est Madre LK 10-25'!D:D,"si"),IF(D103="Corb-CH",SUMIFS('Est Madre CH 10-25'!C:C,'Est Madre CH 10-25'!D:D,"si"),0)+IFERROR(VLOOKUP(D103,'Est Madre LK 10-25'!$A:$C,3,),IFERROR(VLOOKUP(D103,'Est Madre CH 10-25'!$A:$C,3,),0)))</f>
        <v>588</v>
      </c>
      <c r="AF103" s="362">
        <v>12000</v>
      </c>
      <c r="AG103" s="260">
        <v>30</v>
      </c>
      <c r="AH103" s="721">
        <v>31.048200000000001</v>
      </c>
      <c r="AI103" s="723" t="s">
        <v>1733</v>
      </c>
      <c r="AJ103" s="260" t="s">
        <v>1678</v>
      </c>
      <c r="AK103" s="335">
        <v>3</v>
      </c>
    </row>
    <row r="104" spans="1:37" ht="18" customHeight="1" thickBot="1" x14ac:dyDescent="0.4">
      <c r="A104" t="s">
        <v>1470</v>
      </c>
      <c r="C104" s="681">
        <v>1217700</v>
      </c>
      <c r="D104" s="302">
        <v>225</v>
      </c>
      <c r="E104" s="128" t="str">
        <f>+VLOOKUP(D104,'Conteo VACIO'!$A$8:$D$226,4,0)</f>
        <v>M5D</v>
      </c>
      <c r="F104" s="322" t="s">
        <v>746</v>
      </c>
      <c r="G104" s="329" t="s">
        <v>1326</v>
      </c>
      <c r="H104" s="632"/>
      <c r="I104" s="477"/>
      <c r="J104" s="310"/>
      <c r="L104" s="903">
        <f t="shared" si="24"/>
        <v>0.90972222222222221</v>
      </c>
      <c r="M104" s="949">
        <f t="shared" si="25"/>
        <v>0.90972222222222221</v>
      </c>
      <c r="O104" s="752">
        <f t="shared" si="26"/>
        <v>650</v>
      </c>
      <c r="P104" s="487">
        <f t="shared" si="27"/>
        <v>7200</v>
      </c>
      <c r="Q104" s="345">
        <f t="shared" si="28"/>
        <v>6550</v>
      </c>
      <c r="R104" s="753"/>
      <c r="T104" s="402">
        <f>+IFERROR(SUMIFS('Stock CD'!D:D,D233,'Stock CD'!C:C),0)</f>
        <v>0</v>
      </c>
      <c r="U104" s="405">
        <f t="shared" si="29"/>
        <v>6550</v>
      </c>
      <c r="W104" s="402">
        <f>+IFERROR(VLOOKUP(D104,'Stock CD'!B:I,8,0),0)</f>
        <v>0</v>
      </c>
      <c r="X104" s="405">
        <f t="shared" si="30"/>
        <v>7200</v>
      </c>
      <c r="Z104" s="305">
        <f>+SUMIFS('Conteo VACIO'!F:F,'Conteo VACIO'!$A:$A,$D104)</f>
        <v>2</v>
      </c>
      <c r="AA104" s="305">
        <f>+SUMIFS('Conteo VACIO'!G:G,'Conteo VACIO'!$A:$A,$D104)</f>
        <v>1550</v>
      </c>
      <c r="AB104" s="517">
        <v>2500</v>
      </c>
      <c r="AD104" s="430" t="s">
        <v>1470</v>
      </c>
      <c r="AE104" s="414">
        <f>IF(D104="Corb-LK",SUMIFS('Est Madre LK 10-25'!C:C,'Est Madre LK 10-25'!D:D,"si"),IF(D104="Corb-CH",SUMIFS('Est Madre CH 10-25'!C:C,'Est Madre CH 10-25'!D:D,"si"),0)+IFERROR(VLOOKUP(D104,'Est Madre LK 10-25'!$A:$C,3,),IFERROR(VLOOKUP(D104,'Est Madre CH 10-25'!$A:$C,3,),0)))</f>
        <v>2400</v>
      </c>
      <c r="AF104" s="362">
        <v>12000</v>
      </c>
      <c r="AG104" s="260">
        <v>30</v>
      </c>
      <c r="AH104" s="721">
        <v>31.048200000000001</v>
      </c>
      <c r="AI104" s="723" t="s">
        <v>1733</v>
      </c>
      <c r="AJ104" s="260" t="s">
        <v>1678</v>
      </c>
      <c r="AK104" s="335">
        <v>3</v>
      </c>
    </row>
    <row r="105" spans="1:37" ht="18" customHeight="1" thickBot="1" x14ac:dyDescent="0.4">
      <c r="A105" t="s">
        <v>1470</v>
      </c>
      <c r="C105" s="681">
        <v>1217700</v>
      </c>
      <c r="D105" s="302">
        <v>220</v>
      </c>
      <c r="E105" s="128" t="str">
        <f>+VLOOKUP(D105,'Conteo VACIO'!$A$8:$D$226,4,0)</f>
        <v>M4A</v>
      </c>
      <c r="F105" s="322" t="s">
        <v>746</v>
      </c>
      <c r="G105" s="329" t="s">
        <v>1345</v>
      </c>
      <c r="H105" s="632"/>
      <c r="I105" s="477"/>
      <c r="J105" s="310"/>
      <c r="L105" s="903">
        <f t="shared" si="24"/>
        <v>3.7777777777777777</v>
      </c>
      <c r="M105" s="949">
        <f t="shared" si="25"/>
        <v>3.7777777777777777</v>
      </c>
      <c r="O105" s="752">
        <f t="shared" si="26"/>
        <v>0</v>
      </c>
      <c r="P105" s="487">
        <f t="shared" si="27"/>
        <v>1620</v>
      </c>
      <c r="Q105" s="345">
        <f t="shared" si="28"/>
        <v>6120</v>
      </c>
      <c r="R105" s="753"/>
      <c r="T105" s="402">
        <f>+IFERROR(SUMIFS('Stock CD'!D:D,#REF!,'Stock CD'!C:C),0)</f>
        <v>0</v>
      </c>
      <c r="U105" s="405">
        <f t="shared" si="29"/>
        <v>6120</v>
      </c>
      <c r="W105" s="402">
        <f>+IFERROR(VLOOKUP(D105,'Stock CD'!B:I,8,0),0)</f>
        <v>0</v>
      </c>
      <c r="X105" s="405">
        <f t="shared" si="30"/>
        <v>1620</v>
      </c>
      <c r="Z105" s="305">
        <f>+SUMIFS('Conteo VACIO'!F:F,'Conteo VACIO'!$A:$A,$D105)</f>
        <v>2</v>
      </c>
      <c r="AA105" s="305">
        <f>+SUMIFS('Conteo VACIO'!G:G,'Conteo VACIO'!$A:$A,$D105)</f>
        <v>1120</v>
      </c>
      <c r="AB105" s="517">
        <v>2500</v>
      </c>
      <c r="AD105" s="430" t="s">
        <v>1470</v>
      </c>
      <c r="AE105" s="414">
        <f>IF(D105="Corb-LK",SUMIFS('Est Madre LK 10-25'!C:C,'Est Madre LK 10-25'!D:D,"si"),IF(D105="Corb-CH",SUMIFS('Est Madre CH 10-25'!C:C,'Est Madre CH 10-25'!D:D,"si"),0)+IFERROR(VLOOKUP(D105,'Est Madre LK 10-25'!$A:$C,3,),IFERROR(VLOOKUP(D105,'Est Madre CH 10-25'!$A:$C,3,),0)))</f>
        <v>540</v>
      </c>
      <c r="AF105" s="362">
        <v>12000</v>
      </c>
      <c r="AG105" s="260">
        <v>30</v>
      </c>
      <c r="AH105" s="721">
        <v>31.048200000000001</v>
      </c>
      <c r="AI105" s="723" t="s">
        <v>1733</v>
      </c>
      <c r="AJ105" s="260" t="s">
        <v>1678</v>
      </c>
      <c r="AK105" s="335">
        <v>3</v>
      </c>
    </row>
    <row r="106" spans="1:37" ht="18" customHeight="1" thickBot="1" x14ac:dyDescent="0.4">
      <c r="A106" t="s">
        <v>1470</v>
      </c>
      <c r="C106" s="681">
        <v>1217700</v>
      </c>
      <c r="D106" s="302">
        <v>221</v>
      </c>
      <c r="E106" s="128" t="str">
        <f>+VLOOKUP(D106,'Conteo VACIO'!$A$8:$D$226,4,0)</f>
        <v>M3C</v>
      </c>
      <c r="F106" s="322" t="s">
        <v>746</v>
      </c>
      <c r="G106" s="329" t="s">
        <v>1348</v>
      </c>
      <c r="H106" s="632"/>
      <c r="I106" s="477"/>
      <c r="J106" s="310"/>
      <c r="L106" s="903">
        <f t="shared" si="24"/>
        <v>1.0353535353535352</v>
      </c>
      <c r="M106" s="949">
        <f t="shared" si="25"/>
        <v>1.0353535353535352</v>
      </c>
      <c r="O106" s="752">
        <f t="shared" si="26"/>
        <v>0</v>
      </c>
      <c r="P106" s="487">
        <f t="shared" si="27"/>
        <v>1188</v>
      </c>
      <c r="Q106" s="345">
        <f t="shared" si="28"/>
        <v>1230</v>
      </c>
      <c r="R106" s="753"/>
      <c r="T106" s="402">
        <f>+IFERROR(SUMIFS('Stock CD'!D:D,D220,'Stock CD'!C:C),0)</f>
        <v>0</v>
      </c>
      <c r="U106" s="405">
        <f t="shared" si="29"/>
        <v>1230</v>
      </c>
      <c r="W106" s="402">
        <f>+IFERROR(VLOOKUP(D106,'Stock CD'!B:I,8,0),0)</f>
        <v>0</v>
      </c>
      <c r="X106" s="405">
        <f t="shared" si="30"/>
        <v>1188</v>
      </c>
      <c r="Z106" s="305">
        <f>+SUMIFS('Conteo VACIO'!F:F,'Conteo VACIO'!$A:$A,$D106)</f>
        <v>0</v>
      </c>
      <c r="AA106" s="305">
        <f>+SUMIFS('Conteo VACIO'!G:G,'Conteo VACIO'!$A:$A,$D106)</f>
        <v>1230</v>
      </c>
      <c r="AB106" s="517">
        <v>2500</v>
      </c>
      <c r="AD106" s="430" t="s">
        <v>1470</v>
      </c>
      <c r="AE106" s="414">
        <f>IF(D106="Corb-LK",SUMIFS('Est Madre LK 10-25'!C:C,'Est Madre LK 10-25'!D:D,"si"),IF(D106="Corb-CH",SUMIFS('Est Madre CH 10-25'!C:C,'Est Madre CH 10-25'!D:D,"si"),0)+IFERROR(VLOOKUP(D106,'Est Madre LK 10-25'!$A:$C,3,),IFERROR(VLOOKUP(D106,'Est Madre CH 10-25'!$A:$C,3,),0)))</f>
        <v>396</v>
      </c>
      <c r="AF106" s="362">
        <v>12000</v>
      </c>
      <c r="AG106" s="260">
        <v>30</v>
      </c>
      <c r="AH106" s="721">
        <v>31.048200000000001</v>
      </c>
      <c r="AI106" s="723" t="s">
        <v>1733</v>
      </c>
      <c r="AJ106" s="260" t="s">
        <v>1678</v>
      </c>
      <c r="AK106" s="335">
        <v>3</v>
      </c>
    </row>
    <row r="107" spans="1:37" ht="18" customHeight="1" thickBot="1" x14ac:dyDescent="0.4">
      <c r="A107" t="s">
        <v>1470</v>
      </c>
      <c r="C107" s="683">
        <v>1217700</v>
      </c>
      <c r="D107" s="298">
        <v>248</v>
      </c>
      <c r="E107" s="130" t="str">
        <f>+VLOOKUP(D107,'Conteo VACIO'!$A$8:$D$226,4,0)</f>
        <v>A1A</v>
      </c>
      <c r="F107" s="324" t="s">
        <v>746</v>
      </c>
      <c r="G107" s="357" t="s">
        <v>1320</v>
      </c>
      <c r="H107" s="632"/>
      <c r="I107" s="478"/>
      <c r="J107" s="310"/>
      <c r="L107" s="904">
        <f t="shared" si="24"/>
        <v>1.352092352092352</v>
      </c>
      <c r="M107" s="950">
        <f t="shared" si="25"/>
        <v>1.352092352092352</v>
      </c>
      <c r="O107" s="754">
        <f t="shared" si="26"/>
        <v>0</v>
      </c>
      <c r="P107" s="488">
        <f t="shared" si="27"/>
        <v>2772</v>
      </c>
      <c r="Q107" s="347">
        <f t="shared" si="28"/>
        <v>3748</v>
      </c>
      <c r="R107" s="755"/>
      <c r="T107" s="403">
        <f>+IFERROR(SUMIFS('Stock CD'!D:D,#REF!,'Stock CD'!C:C),0)</f>
        <v>0</v>
      </c>
      <c r="U107" s="406">
        <f t="shared" si="29"/>
        <v>3748</v>
      </c>
      <c r="W107" s="403">
        <f>+IFERROR(VLOOKUP(D107,'Stock CD'!B:I,8,0),0)</f>
        <v>0</v>
      </c>
      <c r="X107" s="406">
        <f t="shared" si="30"/>
        <v>2772</v>
      </c>
      <c r="Z107" s="611">
        <f>+SUMIFS('Conteo VACIO'!F:F,'Conteo VACIO'!$A:$A,$D107)</f>
        <v>1</v>
      </c>
      <c r="AA107" s="611">
        <f>+SUMIFS('Conteo VACIO'!G:G,'Conteo VACIO'!$A:$A,$D107)</f>
        <v>1248</v>
      </c>
      <c r="AB107" s="612">
        <v>2500</v>
      </c>
      <c r="AD107" s="613" t="s">
        <v>1470</v>
      </c>
      <c r="AE107" s="530">
        <f>IF(D107="Corb-LK",SUMIFS('Est Madre LK 10-25'!C:C,'Est Madre LK 10-25'!D:D,"si"),IF(D107="Corb-CH",SUMIFS('Est Madre CH 10-25'!C:C,'Est Madre CH 10-25'!D:D,"si"),0)+IFERROR(VLOOKUP(D107,'Est Madre LK 10-25'!$A:$C,3,),IFERROR(VLOOKUP(D107,'Est Madre CH 10-25'!$A:$C,3,),0)))</f>
        <v>924</v>
      </c>
      <c r="AF107" s="537">
        <v>12000</v>
      </c>
      <c r="AG107" s="538">
        <v>30</v>
      </c>
      <c r="AH107" s="806">
        <v>31.048200000000001</v>
      </c>
      <c r="AI107" s="807" t="s">
        <v>1733</v>
      </c>
      <c r="AJ107" s="538" t="s">
        <v>1678</v>
      </c>
      <c r="AK107" s="614">
        <v>3</v>
      </c>
    </row>
    <row r="108" spans="1:37" ht="3.6" customHeight="1" thickBot="1" x14ac:dyDescent="0.4">
      <c r="C108" s="990"/>
      <c r="D108" s="535"/>
      <c r="E108" s="991"/>
      <c r="F108" s="992"/>
      <c r="G108" s="536"/>
      <c r="H108" s="632"/>
      <c r="I108" s="913"/>
      <c r="J108" s="310"/>
      <c r="L108" s="915"/>
      <c r="M108" s="993"/>
      <c r="O108" s="994"/>
      <c r="P108" s="995"/>
      <c r="Q108" s="609"/>
      <c r="R108" s="996"/>
      <c r="T108" s="802"/>
      <c r="U108" s="610"/>
      <c r="W108" s="802"/>
      <c r="X108" s="610"/>
      <c r="Z108" s="997"/>
      <c r="AA108" s="611"/>
      <c r="AB108" s="612"/>
      <c r="AD108" s="613"/>
      <c r="AE108" s="530"/>
      <c r="AF108" s="537"/>
      <c r="AG108" s="538"/>
      <c r="AH108" s="806"/>
      <c r="AI108" s="805"/>
      <c r="AJ108" s="538"/>
      <c r="AK108" s="614"/>
    </row>
    <row r="109" spans="1:37" ht="18.600000000000001" thickBot="1" x14ac:dyDescent="0.4">
      <c r="A109" t="s">
        <v>1470</v>
      </c>
      <c r="C109" s="681">
        <v>1217700</v>
      </c>
      <c r="D109" s="302">
        <v>390</v>
      </c>
      <c r="E109" s="128" t="str">
        <f>+VLOOKUP(D109,'Conteo VACIO'!$A$8:$D$226,4,0)</f>
        <v>L4C</v>
      </c>
      <c r="F109" s="430" t="s">
        <v>746</v>
      </c>
      <c r="G109" s="329" t="s">
        <v>1359</v>
      </c>
      <c r="H109" s="632"/>
      <c r="I109" s="477"/>
      <c r="J109" s="310"/>
      <c r="L109" s="903">
        <f>+IFERROR(Q109/P109,0)</f>
        <v>3.4722222222222223</v>
      </c>
      <c r="M109" s="949">
        <f>+IFERROR(U109/X109,0)</f>
        <v>3.4722222222222223</v>
      </c>
      <c r="O109" s="752">
        <f>IF(P109-Q109-R109&lt;0,0,P109-Q109-R109)</f>
        <v>0</v>
      </c>
      <c r="P109" s="487">
        <f>+IFERROR(AE109*AK109,0)</f>
        <v>360</v>
      </c>
      <c r="Q109" s="345">
        <f>+(Z109*AB109)+AA109</f>
        <v>1250</v>
      </c>
      <c r="R109" s="753"/>
      <c r="S109" s="718"/>
      <c r="T109" s="402">
        <f>+IFERROR(SUMIFS('Stock CD'!D:D,D276,'Stock CD'!C:C),0)</f>
        <v>0</v>
      </c>
      <c r="U109" s="405">
        <f>+T109+Q109</f>
        <v>1250</v>
      </c>
      <c r="W109" s="402">
        <f>+IFERROR(VLOOKUP(D109,'Stock CD'!B:I,8,0),0)</f>
        <v>0</v>
      </c>
      <c r="X109" s="405">
        <f>+W109+P109</f>
        <v>360</v>
      </c>
      <c r="Z109" s="450">
        <f>+SUMIFS('Conteo VACIO'!F:F,'Conteo VACIO'!$A:$A,$D109)</f>
        <v>0</v>
      </c>
      <c r="AA109" s="305">
        <f>+SUMIFS('Conteo VACIO'!G:G,'Conteo VACIO'!$A:$A,$D109)</f>
        <v>1250</v>
      </c>
      <c r="AB109" s="517">
        <v>2500</v>
      </c>
      <c r="AD109" s="430" t="s">
        <v>1470</v>
      </c>
      <c r="AE109" s="414">
        <f>IF(D109="Corb-LK",SUMIFS('Est Madre LK 10-25'!C:C,'Est Madre LK 10-25'!D:D,"si"),IF(D109="Corb-CH",SUMIFS('Est Madre CH 10-25'!C:C,'Est Madre CH 10-25'!D:D,"si"),0)+IFERROR(VLOOKUP(D109,'Est Madre LK 10-25'!$A:$C,3,),IFERROR(VLOOKUP(D109,'Est Madre CH 10-25'!$A:$C,3,),0)))</f>
        <v>120</v>
      </c>
      <c r="AF109" s="362">
        <v>12000</v>
      </c>
      <c r="AG109" s="260">
        <v>30</v>
      </c>
      <c r="AH109" s="342">
        <v>31.048200000000001</v>
      </c>
      <c r="AI109" s="729" t="s">
        <v>1732</v>
      </c>
      <c r="AJ109" s="260" t="s">
        <v>1666</v>
      </c>
      <c r="AK109" s="335">
        <v>3</v>
      </c>
    </row>
    <row r="110" spans="1:37" ht="18" customHeight="1" thickBot="1" x14ac:dyDescent="0.4">
      <c r="A110" t="s">
        <v>1470</v>
      </c>
      <c r="C110" s="681">
        <v>1217700</v>
      </c>
      <c r="D110" s="302">
        <v>391</v>
      </c>
      <c r="E110" s="128" t="str">
        <f>+VLOOKUP(D110,'Conteo VACIO'!$A$8:$D$226,4,0)</f>
        <v>M6A</v>
      </c>
      <c r="F110" s="430" t="s">
        <v>746</v>
      </c>
      <c r="G110" s="329" t="s">
        <v>1351</v>
      </c>
      <c r="H110" s="632"/>
      <c r="I110" s="477"/>
      <c r="J110" s="310"/>
      <c r="L110" s="903">
        <f>+IFERROR(Q110/P110,0)</f>
        <v>2.1180555555555554</v>
      </c>
      <c r="M110" s="949">
        <f>+IFERROR(U110/X110,0)</f>
        <v>2.1180555555555554</v>
      </c>
      <c r="O110" s="752">
        <f>IF(P110-Q110-R110&lt;0,0,P110-Q110-R110)</f>
        <v>0</v>
      </c>
      <c r="P110" s="487">
        <f>+IFERROR(AE110*AK110,0)</f>
        <v>576</v>
      </c>
      <c r="Q110" s="345">
        <f>+(Z110*AB110)+AA110</f>
        <v>1220</v>
      </c>
      <c r="R110" s="753"/>
      <c r="S110" s="718"/>
      <c r="T110" s="402">
        <f>+IFERROR(SUMIFS('Stock CD'!D:D,D277,'Stock CD'!C:C),0)</f>
        <v>0</v>
      </c>
      <c r="U110" s="405">
        <f>+T110+Q110</f>
        <v>1220</v>
      </c>
      <c r="W110" s="402">
        <f>+IFERROR(VLOOKUP(D110,'Stock CD'!B:I,8,0),0)</f>
        <v>0</v>
      </c>
      <c r="X110" s="405">
        <f>+W110+P110</f>
        <v>576</v>
      </c>
      <c r="Z110" s="450">
        <f>+SUMIFS('Conteo VACIO'!F:F,'Conteo VACIO'!$A:$A,$D110)</f>
        <v>0</v>
      </c>
      <c r="AA110" s="305">
        <f>+SUMIFS('Conteo VACIO'!G:G,'Conteo VACIO'!$A:$A,$D110)</f>
        <v>1220</v>
      </c>
      <c r="AB110" s="517">
        <v>2500</v>
      </c>
      <c r="AD110" s="430" t="s">
        <v>1470</v>
      </c>
      <c r="AE110" s="414">
        <f>IF(D110="Corb-LK",SUMIFS('Est Madre LK 10-25'!C:C,'Est Madre LK 10-25'!D:D,"si"),IF(D110="Corb-CH",SUMIFS('Est Madre CH 10-25'!C:C,'Est Madre CH 10-25'!D:D,"si"),0)+IFERROR(VLOOKUP(D110,'Est Madre LK 10-25'!$A:$C,3,),IFERROR(VLOOKUP(D110,'Est Madre CH 10-25'!$A:$C,3,),0)))</f>
        <v>192</v>
      </c>
      <c r="AF110" s="362">
        <v>12000</v>
      </c>
      <c r="AG110" s="260">
        <v>30</v>
      </c>
      <c r="AH110" s="342">
        <v>31.048200000000001</v>
      </c>
      <c r="AI110" s="729" t="s">
        <v>1732</v>
      </c>
      <c r="AJ110" s="260" t="s">
        <v>1666</v>
      </c>
      <c r="AK110" s="335">
        <v>3</v>
      </c>
    </row>
    <row r="111" spans="1:37" ht="18" customHeight="1" thickBot="1" x14ac:dyDescent="0.4">
      <c r="A111" t="s">
        <v>1470</v>
      </c>
      <c r="C111" s="681">
        <v>1217700</v>
      </c>
      <c r="D111" s="302">
        <v>392</v>
      </c>
      <c r="E111" s="128" t="str">
        <f>+VLOOKUP(D111,'Conteo VACIO'!$A$8:$D$226,4,0)</f>
        <v>M5A</v>
      </c>
      <c r="F111" s="430" t="s">
        <v>746</v>
      </c>
      <c r="G111" s="329" t="s">
        <v>1350</v>
      </c>
      <c r="H111" s="632"/>
      <c r="I111" s="477"/>
      <c r="J111" s="310"/>
      <c r="L111" s="903">
        <f>+IFERROR(Q111/P111,0)</f>
        <v>1.0683760683760684</v>
      </c>
      <c r="M111" s="949">
        <f>+IFERROR(U111/X111,0)</f>
        <v>1.0683760683760684</v>
      </c>
      <c r="O111" s="752">
        <f>IF(P111-Q111-R111&lt;0,0,P111-Q111-R111)</f>
        <v>0</v>
      </c>
      <c r="P111" s="487">
        <f>+IFERROR(AE111*AK111,0)</f>
        <v>936</v>
      </c>
      <c r="Q111" s="345">
        <f>+(Z111*AB111)+AA111</f>
        <v>1000</v>
      </c>
      <c r="R111" s="753"/>
      <c r="S111" s="718"/>
      <c r="T111" s="402">
        <f>+IFERROR(SUMIFS('Stock CD'!D:D,D280,'Stock CD'!C:C),0)</f>
        <v>0</v>
      </c>
      <c r="U111" s="405">
        <f>+T111+Q111</f>
        <v>1000</v>
      </c>
      <c r="W111" s="402">
        <f>+IFERROR(VLOOKUP(D111,'Stock CD'!B:I,8,0),0)</f>
        <v>0</v>
      </c>
      <c r="X111" s="405">
        <f>+W111+P111</f>
        <v>936</v>
      </c>
      <c r="Z111" s="450">
        <f>+SUMIFS('Conteo VACIO'!F:F,'Conteo VACIO'!$A:$A,$D111)</f>
        <v>0</v>
      </c>
      <c r="AA111" s="305">
        <f>+SUMIFS('Conteo VACIO'!G:G,'Conteo VACIO'!$A:$A,$D111)</f>
        <v>1000</v>
      </c>
      <c r="AB111" s="517">
        <v>2500</v>
      </c>
      <c r="AD111" s="430" t="s">
        <v>1470</v>
      </c>
      <c r="AE111" s="414">
        <f>IF(D111="Corb-LK",SUMIFS('Est Madre LK 10-25'!C:C,'Est Madre LK 10-25'!D:D,"si"),IF(D111="Corb-CH",SUMIFS('Est Madre CH 10-25'!C:C,'Est Madre CH 10-25'!D:D,"si"),0)+IFERROR(VLOOKUP(D111,'Est Madre LK 10-25'!$A:$C,3,),IFERROR(VLOOKUP(D111,'Est Madre CH 10-25'!$A:$C,3,),0)))</f>
        <v>312</v>
      </c>
      <c r="AF111" s="362">
        <v>12000</v>
      </c>
      <c r="AG111" s="260">
        <v>30</v>
      </c>
      <c r="AH111" s="342">
        <v>31.048200000000001</v>
      </c>
      <c r="AI111" s="729" t="s">
        <v>1732</v>
      </c>
      <c r="AJ111" s="260" t="s">
        <v>1666</v>
      </c>
      <c r="AK111" s="335">
        <v>3</v>
      </c>
    </row>
    <row r="112" spans="1:37" ht="18" customHeight="1" thickBot="1" x14ac:dyDescent="0.4">
      <c r="A112" t="s">
        <v>1470</v>
      </c>
      <c r="C112" s="681">
        <v>1217700</v>
      </c>
      <c r="D112" s="302">
        <v>393</v>
      </c>
      <c r="E112" s="128" t="str">
        <f>+VLOOKUP(D112,'Conteo VACIO'!$A$8:$D$226,4,0)</f>
        <v>M6B</v>
      </c>
      <c r="F112" s="430" t="s">
        <v>746</v>
      </c>
      <c r="G112" s="329" t="s">
        <v>1352</v>
      </c>
      <c r="H112" s="632"/>
      <c r="I112" s="477"/>
      <c r="J112" s="310"/>
      <c r="L112" s="903">
        <f>+IFERROR(Q112/P112,0)</f>
        <v>0.80128205128205132</v>
      </c>
      <c r="M112" s="949">
        <f>+IFERROR(U112/X112,0)</f>
        <v>0.80128205128205132</v>
      </c>
      <c r="O112" s="752">
        <f>IF(P112-Q112-R112&lt;0,0,P112-Q112-R112)</f>
        <v>186</v>
      </c>
      <c r="P112" s="487">
        <f>+IFERROR(AE112*AK112,0)</f>
        <v>936</v>
      </c>
      <c r="Q112" s="345">
        <f>+(Z112*AB112)+AA112</f>
        <v>750</v>
      </c>
      <c r="R112" s="753"/>
      <c r="S112" s="718"/>
      <c r="T112" s="402">
        <f>+IFERROR(SUMIFS('Stock CD'!D:D,D282,'Stock CD'!C:C),0)</f>
        <v>0</v>
      </c>
      <c r="U112" s="405">
        <f>+T112+Q112</f>
        <v>750</v>
      </c>
      <c r="W112" s="402">
        <f>+IFERROR(VLOOKUP(D112,'Stock CD'!B:I,8,0),0)</f>
        <v>0</v>
      </c>
      <c r="X112" s="405">
        <f>+W112+P112</f>
        <v>936</v>
      </c>
      <c r="Z112" s="450">
        <f>+SUMIFS('Conteo VACIO'!F:F,'Conteo VACIO'!$A:$A,$D112)</f>
        <v>0</v>
      </c>
      <c r="AA112" s="305">
        <f>+SUMIFS('Conteo VACIO'!G:G,'Conteo VACIO'!$A:$A,$D112)</f>
        <v>750</v>
      </c>
      <c r="AB112" s="517">
        <v>2500</v>
      </c>
      <c r="AD112" s="430" t="s">
        <v>1470</v>
      </c>
      <c r="AE112" s="414">
        <f>IF(D112="Corb-LK",SUMIFS('Est Madre LK 10-25'!C:C,'Est Madre LK 10-25'!D:D,"si"),IF(D112="Corb-CH",SUMIFS('Est Madre CH 10-25'!C:C,'Est Madre CH 10-25'!D:D,"si"),0)+IFERROR(VLOOKUP(D112,'Est Madre LK 10-25'!$A:$C,3,),IFERROR(VLOOKUP(D112,'Est Madre CH 10-25'!$A:$C,3,),0)))</f>
        <v>312</v>
      </c>
      <c r="AF112" s="362">
        <v>12000</v>
      </c>
      <c r="AG112" s="260">
        <v>30</v>
      </c>
      <c r="AH112" s="342">
        <v>31.048200000000001</v>
      </c>
      <c r="AI112" s="729" t="s">
        <v>1732</v>
      </c>
      <c r="AJ112" s="260" t="s">
        <v>1666</v>
      </c>
      <c r="AK112" s="335">
        <v>3</v>
      </c>
    </row>
    <row r="113" spans="1:37" ht="18" customHeight="1" thickBot="1" x14ac:dyDescent="0.4">
      <c r="A113" t="s">
        <v>1470</v>
      </c>
      <c r="C113" s="681">
        <v>1217700</v>
      </c>
      <c r="D113" s="302">
        <v>394</v>
      </c>
      <c r="E113" s="128" t="str">
        <f>+VLOOKUP(D113,'Conteo VACIO'!$A$8:$D$226,4,0)</f>
        <v>M5B</v>
      </c>
      <c r="F113" s="430" t="s">
        <v>746</v>
      </c>
      <c r="G113" s="329" t="s">
        <v>785</v>
      </c>
      <c r="H113" s="632"/>
      <c r="I113" s="477"/>
      <c r="J113" s="310"/>
      <c r="L113" s="903">
        <f>+IFERROR(Q113/P113,0)</f>
        <v>1.8518518518518519</v>
      </c>
      <c r="M113" s="949">
        <f>+IFERROR(U113/X113,0)</f>
        <v>1.8518518518518519</v>
      </c>
      <c r="O113" s="752">
        <f>IF(P113-Q113-R113&lt;0,0,P113-Q113-R113)</f>
        <v>0</v>
      </c>
      <c r="P113" s="487">
        <f>+IFERROR(AE113*AK113,0)</f>
        <v>1080</v>
      </c>
      <c r="Q113" s="345">
        <f>+(Z113*AB113)+AA113</f>
        <v>2000</v>
      </c>
      <c r="R113" s="753"/>
      <c r="S113" s="718"/>
      <c r="T113" s="402">
        <f>+IFERROR(SUMIFS('Stock CD'!D:D,D284,'Stock CD'!C:C),0)</f>
        <v>0</v>
      </c>
      <c r="U113" s="405">
        <f>+T113+Q113</f>
        <v>2000</v>
      </c>
      <c r="W113" s="402">
        <f>+IFERROR(VLOOKUP(D113,'Stock CD'!B:I,8,0),0)</f>
        <v>0</v>
      </c>
      <c r="X113" s="405">
        <f>+W113+P113</f>
        <v>1080</v>
      </c>
      <c r="Z113" s="450">
        <f>+SUMIFS('Conteo VACIO'!F:F,'Conteo VACIO'!$A:$A,$D113)</f>
        <v>0</v>
      </c>
      <c r="AA113" s="305">
        <f>+SUMIFS('Conteo VACIO'!G:G,'Conteo VACIO'!$A:$A,$D113)</f>
        <v>2000</v>
      </c>
      <c r="AB113" s="517">
        <v>2500</v>
      </c>
      <c r="AD113" s="430" t="s">
        <v>1470</v>
      </c>
      <c r="AE113" s="414">
        <f>IF(D113="Corb-LK",SUMIFS('Est Madre LK 10-25'!C:C,'Est Madre LK 10-25'!D:D,"si"),IF(D113="Corb-CH",SUMIFS('Est Madre CH 10-25'!C:C,'Est Madre CH 10-25'!D:D,"si"),0)+IFERROR(VLOOKUP(D113,'Est Madre LK 10-25'!$A:$C,3,),IFERROR(VLOOKUP(D113,'Est Madre CH 10-25'!$A:$C,3,),0)))</f>
        <v>360</v>
      </c>
      <c r="AF113" s="362">
        <v>12000</v>
      </c>
      <c r="AG113" s="260">
        <v>30</v>
      </c>
      <c r="AH113" s="342">
        <v>31.048200000000001</v>
      </c>
      <c r="AI113" s="729" t="s">
        <v>1732</v>
      </c>
      <c r="AJ113" s="260" t="s">
        <v>1666</v>
      </c>
      <c r="AK113" s="335">
        <v>3</v>
      </c>
    </row>
    <row r="114" spans="1:37" ht="2.4" customHeight="1" thickBot="1" x14ac:dyDescent="0.4">
      <c r="C114" s="681"/>
      <c r="D114" s="302"/>
      <c r="E114" s="128"/>
      <c r="F114" s="430"/>
      <c r="G114" s="329"/>
      <c r="H114" s="632"/>
      <c r="I114" s="477"/>
      <c r="J114" s="310"/>
      <c r="L114" s="903"/>
      <c r="M114" s="949"/>
      <c r="O114" s="752"/>
      <c r="P114" s="487"/>
      <c r="Q114" s="345"/>
      <c r="R114" s="753"/>
      <c r="S114" s="718"/>
      <c r="T114" s="402"/>
      <c r="U114" s="405"/>
      <c r="W114" s="402"/>
      <c r="X114" s="405"/>
      <c r="Z114" s="450"/>
      <c r="AA114" s="305"/>
      <c r="AB114" s="517"/>
      <c r="AD114" s="430"/>
      <c r="AE114" s="414"/>
      <c r="AF114" s="362"/>
      <c r="AG114" s="260"/>
      <c r="AH114" s="342"/>
      <c r="AI114" s="729"/>
      <c r="AJ114" s="260"/>
      <c r="AK114" s="335"/>
    </row>
    <row r="115" spans="1:37" ht="18" customHeight="1" x14ac:dyDescent="0.35">
      <c r="A115" t="s">
        <v>1470</v>
      </c>
      <c r="C115" s="681">
        <v>1217700</v>
      </c>
      <c r="D115" s="302">
        <v>222</v>
      </c>
      <c r="E115" s="128" t="str">
        <f>+VLOOKUP(D115,'Conteo VACIO'!$A$8:$D$226,4,0)</f>
        <v>M3B</v>
      </c>
      <c r="F115" s="430" t="s">
        <v>746</v>
      </c>
      <c r="G115" s="329" t="s">
        <v>1347</v>
      </c>
      <c r="H115" s="632"/>
      <c r="I115" s="477"/>
      <c r="J115" s="310"/>
      <c r="L115" s="903">
        <f>+IFERROR(Q115/P115,0)</f>
        <v>0.55555555555555558</v>
      </c>
      <c r="M115" s="949">
        <f>+IFERROR(U115/X115,0)</f>
        <v>0.55555555555555558</v>
      </c>
      <c r="O115" s="752">
        <f>IF(P115-Q115-R115&lt;0,0,P115-Q115-R115)</f>
        <v>800</v>
      </c>
      <c r="P115" s="487">
        <f>+IFERROR(AE115*AK115,0)</f>
        <v>1800</v>
      </c>
      <c r="Q115" s="345">
        <f>+(Z115*AB115)+AA115</f>
        <v>1000</v>
      </c>
      <c r="R115" s="753"/>
      <c r="S115" s="718"/>
      <c r="T115" s="402">
        <f>+IFERROR(SUMIFS('Stock CD'!D:D,D267,'Stock CD'!C:C),0)</f>
        <v>0</v>
      </c>
      <c r="U115" s="405">
        <f>+T115+Q115</f>
        <v>1000</v>
      </c>
      <c r="W115" s="402">
        <f>+IFERROR(VLOOKUP(D115,'Stock CD'!B:I,8,0),0)</f>
        <v>0</v>
      </c>
      <c r="X115" s="405">
        <f>+W115+P115</f>
        <v>1800</v>
      </c>
      <c r="Z115" s="450">
        <f>+SUMIFS('Conteo VACIO'!F:F,'Conteo VACIO'!$A:$A,$D115)</f>
        <v>0</v>
      </c>
      <c r="AA115" s="305">
        <f>+SUMIFS('Conteo VACIO'!G:G,'Conteo VACIO'!$A:$A,$D115)</f>
        <v>1000</v>
      </c>
      <c r="AB115" s="517">
        <v>2500</v>
      </c>
      <c r="AD115" s="430" t="s">
        <v>1470</v>
      </c>
      <c r="AE115" s="414">
        <f>IF(D115="Corb-LK",SUMIFS('Est Madre LK 10-25'!C:C,'Est Madre LK 10-25'!D:D,"si"),IF(D115="Corb-CH",SUMIFS('Est Madre CH 10-25'!C:C,'Est Madre CH 10-25'!D:D,"si"),0)+IFERROR(VLOOKUP(D115,'Est Madre LK 10-25'!$A:$C,3,),IFERROR(VLOOKUP(D115,'Est Madre CH 10-25'!$A:$C,3,),0)))</f>
        <v>600</v>
      </c>
      <c r="AF115" s="362">
        <v>12000</v>
      </c>
      <c r="AG115" s="260">
        <v>30</v>
      </c>
      <c r="AH115" s="342">
        <v>31.048200000000001</v>
      </c>
      <c r="AI115" s="729" t="s">
        <v>1732</v>
      </c>
      <c r="AJ115" s="260" t="s">
        <v>1666</v>
      </c>
      <c r="AK115" s="335">
        <v>3</v>
      </c>
    </row>
    <row r="116" spans="1:37" ht="18" customHeight="1" x14ac:dyDescent="0.35">
      <c r="C116" s="348"/>
      <c r="D116" s="294"/>
      <c r="E116" s="127"/>
      <c r="F116" s="299"/>
      <c r="G116" s="310"/>
      <c r="H116" s="631"/>
      <c r="I116" s="310"/>
      <c r="J116" s="310"/>
      <c r="L116" s="458"/>
      <c r="M116" s="459"/>
      <c r="O116" s="687">
        <f>+SUM(O96:O115)</f>
        <v>10364</v>
      </c>
      <c r="P116" s="383"/>
      <c r="Q116" s="338"/>
      <c r="R116" s="687"/>
      <c r="S116" s="719"/>
      <c r="T116" s="460"/>
      <c r="U116" s="460"/>
      <c r="W116" s="460"/>
      <c r="X116" s="460"/>
      <c r="Z116" s="849"/>
      <c r="AA116" s="849"/>
      <c r="AB116" s="850"/>
      <c r="AD116" s="851"/>
      <c r="AE116" s="852"/>
      <c r="AF116" s="850"/>
      <c r="AG116" s="853"/>
      <c r="AH116" s="854"/>
      <c r="AI116" s="855"/>
      <c r="AJ116" s="853"/>
      <c r="AK116" s="851"/>
    </row>
    <row r="117" spans="1:37" ht="18" customHeight="1" thickBot="1" x14ac:dyDescent="0.4">
      <c r="C117" s="348"/>
      <c r="D117" s="294"/>
      <c r="F117" s="299"/>
      <c r="G117" s="310"/>
      <c r="H117" s="127"/>
      <c r="I117" s="310"/>
      <c r="J117" s="310"/>
      <c r="L117" s="458"/>
      <c r="M117" s="459"/>
      <c r="O117" s="687"/>
      <c r="P117" s="383"/>
      <c r="Q117" s="338"/>
      <c r="R117" s="687"/>
      <c r="S117" s="719"/>
      <c r="T117" s="460"/>
      <c r="U117" s="460"/>
      <c r="W117" s="460"/>
      <c r="X117" s="460"/>
      <c r="Z117" s="849"/>
      <c r="AA117" s="849"/>
      <c r="AB117" s="850"/>
      <c r="AD117" s="851"/>
      <c r="AE117" s="852"/>
      <c r="AF117" s="850"/>
      <c r="AG117" s="853"/>
      <c r="AH117" s="854"/>
      <c r="AI117" s="855"/>
      <c r="AJ117" s="853"/>
      <c r="AK117" s="851"/>
    </row>
    <row r="118" spans="1:37" s="385" customFormat="1" ht="30" customHeight="1" thickBot="1" x14ac:dyDescent="0.35">
      <c r="C118" s="1264" t="s">
        <v>1771</v>
      </c>
      <c r="D118" s="1265"/>
      <c r="E118" s="1265"/>
      <c r="F118" s="1265"/>
      <c r="G118" s="1265"/>
      <c r="H118" s="1265"/>
      <c r="I118" s="1266"/>
      <c r="J118" s="339"/>
      <c r="L118" s="845"/>
      <c r="M118" s="846"/>
      <c r="N118" s="516"/>
      <c r="O118" s="784"/>
      <c r="P118" s="727"/>
      <c r="Q118" s="727"/>
      <c r="R118" s="784"/>
      <c r="S118" s="516"/>
      <c r="T118" s="784"/>
      <c r="U118" s="784"/>
      <c r="V118" s="516"/>
      <c r="W118" s="784"/>
      <c r="X118" s="784"/>
      <c r="Y118"/>
      <c r="Z118" s="784"/>
      <c r="AA118" s="784"/>
      <c r="AB118" s="727"/>
      <c r="AC118"/>
      <c r="AD118" s="784"/>
      <c r="AE118" s="784"/>
      <c r="AF118" s="727"/>
      <c r="AG118" s="784"/>
      <c r="AH118" s="784"/>
      <c r="AI118" s="784"/>
      <c r="AJ118" s="784"/>
      <c r="AK118" s="784"/>
    </row>
    <row r="119" spans="1:37" s="385" customFormat="1" ht="56.1" customHeight="1" thickBot="1" x14ac:dyDescent="0.35">
      <c r="C119" s="312" t="s">
        <v>1293</v>
      </c>
      <c r="D119" s="312" t="s">
        <v>748</v>
      </c>
      <c r="E119" s="312" t="s">
        <v>1198</v>
      </c>
      <c r="F119" s="312" t="s">
        <v>1018</v>
      </c>
      <c r="G119" s="312" t="s">
        <v>749</v>
      </c>
      <c r="H119" s="321" t="s">
        <v>1526</v>
      </c>
      <c r="I119" s="321" t="s">
        <v>1525</v>
      </c>
      <c r="J119" s="317"/>
      <c r="L119" s="899" t="s">
        <v>1524</v>
      </c>
      <c r="M119" s="709" t="s">
        <v>1730</v>
      </c>
      <c r="N119" s="516"/>
      <c r="O119" s="514" t="s">
        <v>1042</v>
      </c>
      <c r="P119" s="707" t="s">
        <v>1402</v>
      </c>
      <c r="Q119" s="708" t="s">
        <v>1178</v>
      </c>
      <c r="R119" s="710" t="s">
        <v>1781</v>
      </c>
      <c r="S119" s="900"/>
      <c r="T119" s="514" t="s">
        <v>1440</v>
      </c>
      <c r="U119" s="713" t="s">
        <v>1441</v>
      </c>
      <c r="V119" s="516"/>
      <c r="W119" s="513" t="s">
        <v>1442</v>
      </c>
      <c r="X119" s="514" t="s">
        <v>1443</v>
      </c>
      <c r="Y119"/>
      <c r="Z119" s="513" t="s">
        <v>1197</v>
      </c>
      <c r="AA119" s="514" t="s">
        <v>1460</v>
      </c>
      <c r="AB119" s="707" t="s">
        <v>857</v>
      </c>
      <c r="AC119"/>
      <c r="AD119" s="514" t="s">
        <v>1403</v>
      </c>
      <c r="AE119" s="514" t="s">
        <v>1415</v>
      </c>
      <c r="AF119" s="707" t="s">
        <v>1438</v>
      </c>
      <c r="AG119" s="514" t="s">
        <v>1212</v>
      </c>
      <c r="AH119" s="514" t="s">
        <v>1387</v>
      </c>
      <c r="AI119" s="514" t="s">
        <v>1731</v>
      </c>
      <c r="AJ119" s="514" t="s">
        <v>1416</v>
      </c>
      <c r="AK119" s="514" t="s">
        <v>1513</v>
      </c>
    </row>
    <row r="120" spans="1:37" ht="18" customHeight="1" thickBot="1" x14ac:dyDescent="0.4">
      <c r="A120" t="s">
        <v>1470</v>
      </c>
      <c r="C120" s="595">
        <v>1208700</v>
      </c>
      <c r="D120" s="634">
        <v>280</v>
      </c>
      <c r="E120" s="678" t="str">
        <f>+VLOOKUP(D120,'Conteo VACIO'!$A$8:$D$226,4,0)</f>
        <v>F1</v>
      </c>
      <c r="F120" s="635" t="s">
        <v>746</v>
      </c>
      <c r="G120" s="636" t="s">
        <v>1331</v>
      </c>
      <c r="H120" s="647"/>
      <c r="I120" s="910"/>
      <c r="J120" s="310"/>
      <c r="L120" s="758">
        <f>+IFERROR(Q120/P120,0)</f>
        <v>2.5641025641025643</v>
      </c>
      <c r="M120" s="954">
        <f>+IFERROR(U120/X120,0)</f>
        <v>2.5641025641025643</v>
      </c>
      <c r="O120" s="760">
        <f>IF(P120-Q120-R120&lt;0,0,P120-Q120-R120)</f>
        <v>0</v>
      </c>
      <c r="P120" s="638">
        <f>+IFERROR(AE120*AK120,0)</f>
        <v>3900</v>
      </c>
      <c r="Q120" s="639">
        <f>+(Z120*AB120)+AA120</f>
        <v>10000</v>
      </c>
      <c r="R120" s="759"/>
      <c r="S120" s="637"/>
      <c r="T120" s="640">
        <f>+IFERROR(SUMIFS('Stock CD'!D:D,D294,'Stock CD'!C:C),0)</f>
        <v>0</v>
      </c>
      <c r="U120" s="641">
        <f>+T120+Q120</f>
        <v>10000</v>
      </c>
      <c r="W120" s="640">
        <f>+IFERROR(VLOOKUP(D120,'Stock CD'!B:I,8,0),0)</f>
        <v>0</v>
      </c>
      <c r="X120" s="641">
        <f>+W120+P120</f>
        <v>3900</v>
      </c>
      <c r="Z120" s="642">
        <f>+SUMIFS('Conteo VACIO'!F:F,'Conteo VACIO'!$A:$A,$D120)</f>
        <v>10</v>
      </c>
      <c r="AA120" s="642">
        <f>+SUMIFS('Conteo VACIO'!G:G,'Conteo VACIO'!$A:$A,$D120)</f>
        <v>0</v>
      </c>
      <c r="AB120" s="643">
        <v>1000</v>
      </c>
      <c r="AD120" s="644" t="s">
        <v>1470</v>
      </c>
      <c r="AE120" s="645">
        <f>IF(D120="Corb-LK",SUMIFS('Est Madre LK 10-25'!C:C,'Est Madre LK 10-25'!D:D,"si"),IF(D120="Corb-CH",SUMIFS('Est Madre CH 10-25'!C:C,'Est Madre CH 10-25'!D:D,"si"),0)+IFERROR(VLOOKUP(D120,'Est Madre LK 10-25'!$A:$C,3,),IFERROR(VLOOKUP(D120,'Est Madre CH 10-25'!$A:$C,3,),0)))</f>
        <v>1300</v>
      </c>
      <c r="AF120" s="646">
        <v>12000</v>
      </c>
      <c r="AG120" s="647">
        <v>8</v>
      </c>
      <c r="AH120" s="648">
        <v>102.82239</v>
      </c>
      <c r="AI120" s="649" t="s">
        <v>1759</v>
      </c>
      <c r="AJ120" s="647" t="s">
        <v>1669</v>
      </c>
      <c r="AK120" s="650">
        <v>3</v>
      </c>
    </row>
    <row r="121" spans="1:37" ht="18" customHeight="1" thickBot="1" x14ac:dyDescent="0.4">
      <c r="C121" s="294"/>
      <c r="D121" s="294"/>
      <c r="F121" s="299"/>
      <c r="G121" s="310"/>
      <c r="H121" s="127"/>
      <c r="I121" s="310"/>
      <c r="J121" s="310"/>
      <c r="L121" s="458"/>
      <c r="M121" s="459"/>
      <c r="O121" s="687"/>
      <c r="P121" s="383"/>
      <c r="Q121" s="338"/>
      <c r="R121" s="687"/>
      <c r="T121" s="460"/>
      <c r="U121" s="460"/>
      <c r="W121" s="460"/>
      <c r="X121" s="460"/>
      <c r="Z121" s="309"/>
      <c r="AA121" s="309"/>
      <c r="AB121" s="389"/>
      <c r="AE121" s="386"/>
      <c r="AF121" s="389"/>
      <c r="AG121" s="127"/>
      <c r="AH121" s="350"/>
      <c r="AI121" s="599"/>
      <c r="AJ121" s="127"/>
    </row>
    <row r="122" spans="1:37" s="385" customFormat="1" ht="30" customHeight="1" thickBot="1" x14ac:dyDescent="0.35">
      <c r="C122" s="1264" t="s">
        <v>1770</v>
      </c>
      <c r="D122" s="1265"/>
      <c r="E122" s="1265"/>
      <c r="F122" s="1265"/>
      <c r="G122" s="1265"/>
      <c r="H122" s="1265"/>
      <c r="I122" s="1266"/>
      <c r="J122" s="339"/>
      <c r="L122" s="845"/>
      <c r="M122" s="846"/>
      <c r="N122" s="516"/>
      <c r="O122" s="784"/>
      <c r="P122" s="727"/>
      <c r="Q122" s="727"/>
      <c r="R122" s="784"/>
      <c r="S122" s="866"/>
      <c r="T122" s="784"/>
      <c r="U122" s="784"/>
      <c r="V122" s="516"/>
      <c r="W122" s="784"/>
      <c r="X122" s="784"/>
      <c r="Y122"/>
      <c r="Z122" s="867"/>
      <c r="AA122" s="867"/>
      <c r="AB122" s="868"/>
      <c r="AC122"/>
      <c r="AD122" s="867"/>
      <c r="AE122" s="867"/>
      <c r="AF122" s="868"/>
      <c r="AG122" s="867"/>
      <c r="AH122" s="867"/>
      <c r="AI122" s="867"/>
      <c r="AJ122" s="867"/>
      <c r="AK122" s="867"/>
    </row>
    <row r="123" spans="1:37" s="385" customFormat="1" ht="56.1" customHeight="1" thickBot="1" x14ac:dyDescent="0.35">
      <c r="C123" s="595" t="s">
        <v>1293</v>
      </c>
      <c r="D123" s="558" t="s">
        <v>748</v>
      </c>
      <c r="E123" s="312" t="s">
        <v>1198</v>
      </c>
      <c r="F123" s="558" t="s">
        <v>1018</v>
      </c>
      <c r="G123" s="558" t="s">
        <v>749</v>
      </c>
      <c r="H123" s="291" t="s">
        <v>1526</v>
      </c>
      <c r="I123" s="291" t="s">
        <v>1525</v>
      </c>
      <c r="J123" s="317"/>
      <c r="L123" s="911" t="s">
        <v>1524</v>
      </c>
      <c r="M123" s="955" t="s">
        <v>1730</v>
      </c>
      <c r="N123" s="516"/>
      <c r="O123" s="710" t="s">
        <v>1042</v>
      </c>
      <c r="P123" s="711" t="s">
        <v>1402</v>
      </c>
      <c r="Q123" s="716" t="s">
        <v>1178</v>
      </c>
      <c r="R123" s="710" t="s">
        <v>1781</v>
      </c>
      <c r="S123" s="693"/>
      <c r="T123" s="710" t="s">
        <v>1440</v>
      </c>
      <c r="U123" s="984" t="s">
        <v>1441</v>
      </c>
      <c r="V123" s="516"/>
      <c r="W123" s="985" t="s">
        <v>1442</v>
      </c>
      <c r="X123" s="710" t="s">
        <v>1443</v>
      </c>
      <c r="Y123"/>
      <c r="Z123" s="696" t="s">
        <v>1197</v>
      </c>
      <c r="AA123" s="695" t="s">
        <v>1460</v>
      </c>
      <c r="AB123" s="694" t="s">
        <v>857</v>
      </c>
      <c r="AC123"/>
      <c r="AD123" s="695" t="s">
        <v>1403</v>
      </c>
      <c r="AE123" s="695" t="s">
        <v>1415</v>
      </c>
      <c r="AF123" s="694" t="s">
        <v>1438</v>
      </c>
      <c r="AG123" s="695" t="s">
        <v>1212</v>
      </c>
      <c r="AH123" s="695" t="s">
        <v>1387</v>
      </c>
      <c r="AI123" s="695" t="s">
        <v>1731</v>
      </c>
      <c r="AJ123" s="695" t="s">
        <v>1416</v>
      </c>
      <c r="AK123" s="695" t="s">
        <v>1513</v>
      </c>
    </row>
    <row r="124" spans="1:37" ht="18" customHeight="1" thickBot="1" x14ac:dyDescent="0.4">
      <c r="A124" t="s">
        <v>1470</v>
      </c>
      <c r="C124" s="594">
        <v>2395700</v>
      </c>
      <c r="D124" s="593">
        <v>321</v>
      </c>
      <c r="E124" s="678" t="str">
        <f>+VLOOKUP(D124,'Conteo VACIO'!$A$8:$D$226,4,0)</f>
        <v>F5A</v>
      </c>
      <c r="F124" s="662" t="s">
        <v>746</v>
      </c>
      <c r="G124" s="663" t="s">
        <v>1336</v>
      </c>
      <c r="H124" s="672"/>
      <c r="I124" s="906"/>
      <c r="J124" s="310"/>
      <c r="L124" s="905">
        <f>+IFERROR(Q124/P124,0)</f>
        <v>1.3354700854700854</v>
      </c>
      <c r="M124" s="956">
        <f>+IFERROR(U124/X124,0)</f>
        <v>1.3354700854700854</v>
      </c>
      <c r="O124" s="957">
        <f>IF(P124-Q124-R124&lt;0,0,P124-Q124-R124)</f>
        <v>0</v>
      </c>
      <c r="P124" s="664">
        <f>+IFERROR(AE124*AK124,0)</f>
        <v>9360</v>
      </c>
      <c r="Q124" s="665">
        <f>+(Z124*AB124)+AA124</f>
        <v>12500</v>
      </c>
      <c r="R124" s="795"/>
      <c r="T124" s="986">
        <f>+IFERROR(SUMIFS('Stock CD'!D:D,D295,'Stock CD'!C:C),0)</f>
        <v>0</v>
      </c>
      <c r="U124" s="666">
        <f>+T124+Q124</f>
        <v>12500</v>
      </c>
      <c r="W124" s="986">
        <f>+IFERROR(VLOOKUP(D124,'Stock CD'!B:I,8,0),0)</f>
        <v>0</v>
      </c>
      <c r="X124" s="666">
        <f>+W124+P124</f>
        <v>9360</v>
      </c>
      <c r="Z124" s="811">
        <f>+SUMIFS('Conteo VACIO'!F:F,'Conteo VACIO'!$A:$A,$D124)</f>
        <v>5</v>
      </c>
      <c r="AA124" s="811">
        <f>+SUMIFS('Conteo VACIO'!G:G,'Conteo VACIO'!$A:$A,$D124)</f>
        <v>0</v>
      </c>
      <c r="AB124" s="812">
        <v>2500</v>
      </c>
      <c r="AD124" s="813" t="s">
        <v>1470</v>
      </c>
      <c r="AE124" s="814">
        <f>IF(D124="Corb-LK",SUMIFS('Est Madre LK 10-25'!C:C,'Est Madre LK 10-25'!D:D,"si"),IF(D124="Corb-CH",SUMIFS('Est Madre CH 10-25'!C:C,'Est Madre CH 10-25'!D:D,"si"),0)+IFERROR(VLOOKUP(D124,'Est Madre LK 10-25'!$A:$C,3,),IFERROR(VLOOKUP(D124,'Est Madre CH 10-25'!$A:$C,3,),0)))</f>
        <v>3120</v>
      </c>
      <c r="AF124" s="815">
        <v>24000</v>
      </c>
      <c r="AG124" s="770">
        <v>24</v>
      </c>
      <c r="AH124" s="816">
        <v>24.144929999999999</v>
      </c>
      <c r="AI124" s="817" t="s">
        <v>1775</v>
      </c>
      <c r="AJ124" s="770" t="s">
        <v>1668</v>
      </c>
      <c r="AK124" s="818">
        <v>3</v>
      </c>
    </row>
    <row r="125" spans="1:37" ht="18" customHeight="1" x14ac:dyDescent="0.35">
      <c r="C125" s="294"/>
      <c r="D125" s="294"/>
      <c r="F125" s="299"/>
      <c r="G125" s="310"/>
      <c r="H125" s="127"/>
      <c r="I125" s="310"/>
      <c r="J125" s="310"/>
      <c r="L125" s="458"/>
      <c r="M125" s="459"/>
      <c r="O125" s="687"/>
      <c r="P125" s="383"/>
      <c r="Q125" s="338"/>
      <c r="R125" s="687"/>
      <c r="S125" s="719"/>
      <c r="T125" s="460"/>
      <c r="U125" s="460"/>
      <c r="W125" s="460"/>
      <c r="X125" s="460"/>
      <c r="Z125" s="849"/>
      <c r="AA125" s="849"/>
      <c r="AB125" s="850"/>
      <c r="AD125" s="851"/>
      <c r="AE125" s="852"/>
      <c r="AF125" s="850"/>
      <c r="AG125" s="853"/>
      <c r="AH125" s="854"/>
      <c r="AI125" s="855"/>
      <c r="AJ125" s="853"/>
      <c r="AK125" s="851"/>
    </row>
    <row r="126" spans="1:37" ht="33" customHeight="1" thickBot="1" x14ac:dyDescent="0.6">
      <c r="B126" s="734"/>
      <c r="C126" s="1260" t="s">
        <v>1695</v>
      </c>
      <c r="D126" s="1260"/>
      <c r="E126" s="1260"/>
      <c r="F126" s="1260"/>
      <c r="G126" s="1260"/>
      <c r="H126" s="1260"/>
      <c r="I126" s="1260"/>
      <c r="J126" s="940"/>
      <c r="L126" s="484"/>
      <c r="M126" s="351"/>
      <c r="N126" s="208"/>
      <c r="O126" s="384"/>
      <c r="P126" s="370"/>
      <c r="Q126" s="344"/>
      <c r="R126" s="384"/>
      <c r="S126" s="208"/>
      <c r="V126" s="208"/>
      <c r="Z126" s="292"/>
      <c r="AA126"/>
      <c r="AB126" s="292"/>
      <c r="AH126" s="847"/>
      <c r="AI126" s="848"/>
    </row>
    <row r="127" spans="1:37" s="385" customFormat="1" ht="30" customHeight="1" thickBot="1" x14ac:dyDescent="0.35">
      <c r="C127" s="1264" t="s">
        <v>1827</v>
      </c>
      <c r="D127" s="1265"/>
      <c r="E127" s="1265"/>
      <c r="F127" s="1265"/>
      <c r="G127" s="1265"/>
      <c r="H127" s="1265"/>
      <c r="I127" s="1266"/>
      <c r="J127" s="339"/>
      <c r="L127" s="845"/>
      <c r="M127" s="846"/>
      <c r="N127" s="516"/>
      <c r="O127" s="784"/>
      <c r="P127" s="727"/>
      <c r="Q127" s="727"/>
      <c r="R127" s="784"/>
      <c r="S127" s="866"/>
      <c r="T127" s="784"/>
      <c r="U127" s="784"/>
      <c r="V127" s="516"/>
      <c r="W127" s="784"/>
      <c r="X127" s="784"/>
      <c r="Y127"/>
      <c r="Z127" s="867"/>
      <c r="AA127" s="867"/>
      <c r="AB127" s="868"/>
      <c r="AC127"/>
      <c r="AD127" s="867"/>
      <c r="AE127" s="867"/>
      <c r="AF127" s="868"/>
      <c r="AG127" s="867"/>
      <c r="AH127" s="867"/>
      <c r="AI127" s="867"/>
      <c r="AJ127" s="867"/>
      <c r="AK127" s="867"/>
    </row>
    <row r="128" spans="1:37" s="385" customFormat="1" ht="56.1" customHeight="1" thickBot="1" x14ac:dyDescent="0.35">
      <c r="C128" s="558" t="s">
        <v>1293</v>
      </c>
      <c r="D128" s="558" t="s">
        <v>748</v>
      </c>
      <c r="E128" s="312" t="s">
        <v>1198</v>
      </c>
      <c r="F128" s="558" t="s">
        <v>1018</v>
      </c>
      <c r="G128" s="558" t="s">
        <v>749</v>
      </c>
      <c r="H128" s="291" t="s">
        <v>1526</v>
      </c>
      <c r="I128" s="291" t="s">
        <v>1525</v>
      </c>
      <c r="J128" s="317"/>
      <c r="L128" s="911" t="s">
        <v>1524</v>
      </c>
      <c r="M128" s="955" t="s">
        <v>1730</v>
      </c>
      <c r="N128" s="516"/>
      <c r="O128" s="710" t="s">
        <v>1042</v>
      </c>
      <c r="P128" s="711" t="s">
        <v>1402</v>
      </c>
      <c r="Q128" s="716" t="s">
        <v>1178</v>
      </c>
      <c r="R128" s="710" t="s">
        <v>1781</v>
      </c>
      <c r="S128" s="693"/>
      <c r="T128" s="710" t="s">
        <v>1440</v>
      </c>
      <c r="U128" s="984" t="s">
        <v>1441</v>
      </c>
      <c r="V128" s="516"/>
      <c r="W128" s="985" t="s">
        <v>1442</v>
      </c>
      <c r="X128" s="710" t="s">
        <v>1443</v>
      </c>
      <c r="Y128"/>
      <c r="Z128" s="696" t="s">
        <v>1197</v>
      </c>
      <c r="AA128" s="695" t="s">
        <v>1460</v>
      </c>
      <c r="AB128" s="694" t="s">
        <v>857</v>
      </c>
      <c r="AC128"/>
      <c r="AD128" s="695" t="s">
        <v>1403</v>
      </c>
      <c r="AE128" s="695" t="s">
        <v>1415</v>
      </c>
      <c r="AF128" s="694" t="s">
        <v>1438</v>
      </c>
      <c r="AG128" s="695" t="s">
        <v>1212</v>
      </c>
      <c r="AH128" s="696" t="s">
        <v>1387</v>
      </c>
      <c r="AI128" s="695" t="s">
        <v>1731</v>
      </c>
      <c r="AJ128" s="695" t="s">
        <v>1416</v>
      </c>
      <c r="AK128" s="695" t="s">
        <v>1513</v>
      </c>
    </row>
    <row r="129" spans="1:37" ht="18" customHeight="1" thickBot="1" x14ac:dyDescent="0.4">
      <c r="A129" t="s">
        <v>1470</v>
      </c>
      <c r="C129" s="680">
        <v>2315700</v>
      </c>
      <c r="D129" s="297">
        <v>99</v>
      </c>
      <c r="E129" s="489" t="str">
        <f>+VLOOKUP(D129,'Conteo VACIO'!$A$8:$D$226,4,0)</f>
        <v>Ñ4</v>
      </c>
      <c r="F129" s="323" t="s">
        <v>1041</v>
      </c>
      <c r="G129" s="737" t="s">
        <v>1504</v>
      </c>
      <c r="H129" s="678"/>
      <c r="I129" s="930"/>
      <c r="J129" s="310"/>
      <c r="L129" s="902">
        <f>+IFERROR(Q129/P129,0)</f>
        <v>0.77284946236559138</v>
      </c>
      <c r="M129" s="948">
        <f>+IFERROR(U129/X129,0)</f>
        <v>0.77284946236559138</v>
      </c>
      <c r="O129" s="957">
        <f t="shared" ref="O129:O130" si="31">IF(P129-Q129-R129&lt;0,0,P129-Q129-R129)</f>
        <v>2028</v>
      </c>
      <c r="P129" s="486">
        <f>+IFERROR(AE129*AK129,0)</f>
        <v>8928</v>
      </c>
      <c r="Q129" s="346">
        <f>+(Z129*AB129)+AA129</f>
        <v>6900</v>
      </c>
      <c r="R129" s="751"/>
      <c r="S129" s="199"/>
      <c r="T129" s="401">
        <f>+IFERROR(SUMIFS('Stock CD'!D:D,D111,'Stock CD'!C:C),0)</f>
        <v>0</v>
      </c>
      <c r="U129" s="404">
        <f>+T129+Q129</f>
        <v>6900</v>
      </c>
      <c r="W129" s="401">
        <f>+IFERROR(VLOOKUP(D129,'Stock CD'!B:I,8,0),0)</f>
        <v>0</v>
      </c>
      <c r="X129" s="404">
        <f>+W129+P129</f>
        <v>8928</v>
      </c>
      <c r="Z129" s="304">
        <f>+SUMIFS('Conteo VACIO'!F:F,'Conteo VACIO'!$A:$A,$D129)</f>
        <v>6</v>
      </c>
      <c r="AA129" s="304">
        <f>+SUMIFS('Conteo VACIO'!G:G,'Conteo VACIO'!$A:$A,$D129)</f>
        <v>900</v>
      </c>
      <c r="AB129" s="534">
        <v>1000</v>
      </c>
      <c r="AD129" s="398" t="s">
        <v>1470</v>
      </c>
      <c r="AE129" s="428">
        <f>IF(D129="Corb-LK",SUMIFS('Est Madre LK 10-25'!C:C,'Est Madre LK 10-25'!D:D,"si"),IF(D129="Corb-CH",SUMIFS('Est Madre CH 10-25'!C:C,'Est Madre CH 10-25'!D:D,"si"),0)+IFERROR(VLOOKUP(D129,'Est Madre LK 10-25'!$A:$C,3,),IFERROR(VLOOKUP(D129,'Est Madre CH 10-25'!$A:$C,3,),0)))</f>
        <v>2976</v>
      </c>
      <c r="AF129" s="361">
        <v>12000</v>
      </c>
      <c r="AG129" s="261">
        <v>12</v>
      </c>
      <c r="AH129" s="720">
        <v>68.570279999999997</v>
      </c>
      <c r="AI129" s="722" t="s">
        <v>1764</v>
      </c>
      <c r="AJ129" s="261" t="s">
        <v>1662</v>
      </c>
      <c r="AK129" s="333">
        <v>3</v>
      </c>
    </row>
    <row r="130" spans="1:37" ht="18" customHeight="1" thickBot="1" x14ac:dyDescent="0.4">
      <c r="A130" t="s">
        <v>1470</v>
      </c>
      <c r="C130" s="683">
        <v>2320700</v>
      </c>
      <c r="D130" s="298">
        <v>713</v>
      </c>
      <c r="E130" s="130" t="str">
        <f>+VLOOKUP(D130,'Conteo VACIO'!$A$8:$D$226,4,0)</f>
        <v>P6</v>
      </c>
      <c r="F130" s="324" t="s">
        <v>1041</v>
      </c>
      <c r="G130" s="357" t="s">
        <v>1183</v>
      </c>
      <c r="H130" s="678"/>
      <c r="I130" s="478"/>
      <c r="J130" s="310"/>
      <c r="L130" s="904">
        <f>+IFERROR(Q130/P130,0)</f>
        <v>0.97953216374269003</v>
      </c>
      <c r="M130" s="950">
        <f>+IFERROR(U130/X130,0)</f>
        <v>0.97953216374269003</v>
      </c>
      <c r="O130" s="957">
        <f t="shared" si="31"/>
        <v>140</v>
      </c>
      <c r="P130" s="488">
        <f>+IFERROR(AE130*AK130,0)</f>
        <v>6840</v>
      </c>
      <c r="Q130" s="347">
        <f>+(Z130*AB130)+AA130</f>
        <v>6700</v>
      </c>
      <c r="R130" s="755"/>
      <c r="T130" s="403">
        <f>+IFERROR(SUMIFS('Stock CD'!D:D,D79,'Stock CD'!C:C),0)</f>
        <v>0</v>
      </c>
      <c r="U130" s="406">
        <f>+T130+Q130</f>
        <v>6700</v>
      </c>
      <c r="W130" s="403">
        <f>+IFERROR(VLOOKUP(D130,'Stock CD'!B:I,8,0),0)</f>
        <v>0</v>
      </c>
      <c r="X130" s="406">
        <f>+W130+P130</f>
        <v>6840</v>
      </c>
      <c r="Z130" s="611">
        <f>+SUMIFS('Conteo VACIO'!F:F,'Conteo VACIO'!$A:$A,$D130)</f>
        <v>6</v>
      </c>
      <c r="AA130" s="611">
        <f>+SUMIFS('Conteo VACIO'!G:G,'Conteo VACIO'!$A:$A,$D130)</f>
        <v>700</v>
      </c>
      <c r="AB130" s="612">
        <v>1000</v>
      </c>
      <c r="AD130" s="613" t="s">
        <v>1470</v>
      </c>
      <c r="AE130" s="530">
        <f>IF(D130="Corb-LK",SUMIFS('Est Madre LK 10-25'!C:C,'Est Madre LK 10-25'!D:D,"si"),IF(D130="Corb-CH",SUMIFS('Est Madre CH 10-25'!C:C,'Est Madre CH 10-25'!D:D,"si"),0)+IFERROR(VLOOKUP(D130,'Est Madre LK 10-25'!$A:$C,3,),IFERROR(VLOOKUP(D130,'Est Madre CH 10-25'!$A:$C,3,),0)))</f>
        <v>2280</v>
      </c>
      <c r="AF130" s="537">
        <v>12000</v>
      </c>
      <c r="AG130" s="538">
        <v>12</v>
      </c>
      <c r="AH130" s="806">
        <v>86.485752000000005</v>
      </c>
      <c r="AI130" s="807" t="s">
        <v>1764</v>
      </c>
      <c r="AJ130" s="538" t="s">
        <v>1662</v>
      </c>
      <c r="AK130" s="614">
        <v>3</v>
      </c>
    </row>
    <row r="131" spans="1:37" ht="18.600000000000001" thickBot="1" x14ac:dyDescent="0.4">
      <c r="C131" s="348"/>
      <c r="D131" s="294"/>
      <c r="E131" s="127"/>
      <c r="F131" s="299"/>
      <c r="G131" s="310"/>
      <c r="H131" s="127"/>
      <c r="I131" s="310"/>
      <c r="J131" s="310"/>
      <c r="L131" s="458"/>
      <c r="M131" s="459"/>
      <c r="O131" s="687">
        <f>+O129+O130</f>
        <v>2168</v>
      </c>
      <c r="P131" s="383"/>
      <c r="Q131" s="338"/>
      <c r="R131" s="687"/>
      <c r="S131" s="719"/>
      <c r="T131" s="460"/>
      <c r="U131" s="460"/>
      <c r="W131" s="460"/>
      <c r="X131" s="460"/>
      <c r="Z131" s="849"/>
      <c r="AA131" s="849"/>
      <c r="AB131" s="850"/>
      <c r="AD131" s="851"/>
      <c r="AE131" s="852"/>
      <c r="AF131" s="850"/>
      <c r="AG131" s="853"/>
      <c r="AH131" s="854"/>
      <c r="AI131" s="855"/>
      <c r="AJ131" s="853"/>
      <c r="AK131" s="851"/>
    </row>
    <row r="132" spans="1:37" s="385" customFormat="1" ht="30" customHeight="1" thickBot="1" x14ac:dyDescent="0.35">
      <c r="C132" s="1267" t="s">
        <v>1798</v>
      </c>
      <c r="D132" s="1268"/>
      <c r="E132" s="1268"/>
      <c r="F132" s="1268"/>
      <c r="G132" s="1268"/>
      <c r="H132" s="1268"/>
      <c r="I132" s="1269"/>
      <c r="J132" s="339"/>
      <c r="L132" s="845"/>
      <c r="M132" s="846"/>
      <c r="N132" s="516"/>
      <c r="O132" s="784"/>
      <c r="P132" s="727"/>
      <c r="Q132" s="727"/>
      <c r="R132" s="784"/>
      <c r="S132" s="866"/>
      <c r="T132" s="784"/>
      <c r="U132" s="784"/>
      <c r="V132" s="516"/>
      <c r="W132" s="867"/>
      <c r="X132" s="867"/>
      <c r="Y132"/>
      <c r="Z132" s="867"/>
      <c r="AA132" s="867"/>
      <c r="AB132" s="868"/>
      <c r="AC132"/>
      <c r="AD132" s="867"/>
      <c r="AE132" s="867"/>
      <c r="AF132" s="868"/>
      <c r="AG132" s="867"/>
      <c r="AH132" s="867"/>
      <c r="AI132" s="867"/>
      <c r="AJ132" s="867"/>
      <c r="AK132" s="867"/>
    </row>
    <row r="133" spans="1:37" ht="18" customHeight="1" thickBot="1" x14ac:dyDescent="0.4">
      <c r="A133" t="s">
        <v>1470</v>
      </c>
      <c r="C133" s="680">
        <v>2320700</v>
      </c>
      <c r="D133" s="297">
        <v>730</v>
      </c>
      <c r="E133" s="489" t="str">
        <f>+VLOOKUP(D133,'Conteo VACIO'!$A$8:$D$226,4,0)</f>
        <v>O4A</v>
      </c>
      <c r="F133" s="323" t="s">
        <v>1041</v>
      </c>
      <c r="G133" s="356" t="s">
        <v>1223</v>
      </c>
      <c r="H133" s="632"/>
      <c r="I133" s="476"/>
      <c r="J133" s="310"/>
      <c r="L133" s="902">
        <f>+IFERROR(Q133/P133,0)</f>
        <v>0.3125</v>
      </c>
      <c r="M133" s="948">
        <f>+IFERROR(U133/X133,0)</f>
        <v>0.3125</v>
      </c>
      <c r="O133" s="760">
        <f t="shared" ref="O133:O137" si="32">IF(P133-Q133-R133&lt;0,0,P133-Q133-R133)</f>
        <v>1650</v>
      </c>
      <c r="P133" s="486">
        <f>+IFERROR(AE133*AK133,0)</f>
        <v>2400</v>
      </c>
      <c r="Q133" s="346">
        <f>+(Z133*AB133)+AA133</f>
        <v>750</v>
      </c>
      <c r="R133" s="751"/>
      <c r="T133" s="401">
        <f>+IFERROR(SUMIFS('Stock CD'!D:D,D34,'Stock CD'!C:C),0)</f>
        <v>0</v>
      </c>
      <c r="U133" s="404">
        <f>+T133+Q133</f>
        <v>750</v>
      </c>
      <c r="W133" s="809">
        <f>+IFERROR(VLOOKUP(D133,'Stock CD'!B:I,8,0),0)</f>
        <v>0</v>
      </c>
      <c r="X133" s="810">
        <f>+W133+P133</f>
        <v>2400</v>
      </c>
      <c r="Z133" s="622">
        <f>+SUMIFS('Conteo VACIO'!F:F,'Conteo VACIO'!$A:$A,$D133)</f>
        <v>0</v>
      </c>
      <c r="AA133" s="622">
        <f>+SUMIFS('Conteo VACIO'!G:G,'Conteo VACIO'!$A:$A,$D133)</f>
        <v>750</v>
      </c>
      <c r="AB133" s="623">
        <v>1000</v>
      </c>
      <c r="AD133" s="624" t="s">
        <v>1470</v>
      </c>
      <c r="AE133" s="625">
        <f>IF(D133="Corb-LK",SUMIFS('Est Madre LK 10-25'!C:C,'Est Madre LK 10-25'!D:D,"si"),IF(D133="Corb-CH",SUMIFS('Est Madre CH 10-25'!C:C,'Est Madre CH 10-25'!D:D,"si"),0)+IFERROR(VLOOKUP(D133,'Est Madre LK 10-25'!$A:$C,3,),IFERROR(VLOOKUP(D133,'Est Madre CH 10-25'!$A:$C,3,),0)))</f>
        <v>600</v>
      </c>
      <c r="AF133" s="626">
        <v>12000</v>
      </c>
      <c r="AG133" s="627">
        <v>8</v>
      </c>
      <c r="AH133" s="832">
        <v>86.485752000000005</v>
      </c>
      <c r="AI133" s="756" t="str">
        <f>+VLOOKUP(D133,'[1]Chef Troquel'!$A$4:$F$92,5,0)</f>
        <v>T.Loke</v>
      </c>
      <c r="AJ133" s="627" t="s">
        <v>1662</v>
      </c>
      <c r="AK133" s="630">
        <v>4</v>
      </c>
    </row>
    <row r="134" spans="1:37" ht="18" customHeight="1" thickBot="1" x14ac:dyDescent="0.4">
      <c r="A134" t="s">
        <v>1470</v>
      </c>
      <c r="C134" s="681">
        <v>2320700</v>
      </c>
      <c r="D134" s="302">
        <v>735</v>
      </c>
      <c r="E134" s="128" t="str">
        <f>+VLOOKUP(D134,'Conteo VACIO'!$A$8:$D$226,4,0)</f>
        <v>S3B</v>
      </c>
      <c r="F134" s="322" t="s">
        <v>1041</v>
      </c>
      <c r="G134" s="329" t="s">
        <v>1379</v>
      </c>
      <c r="H134" s="632"/>
      <c r="I134" s="477"/>
      <c r="J134" s="310"/>
      <c r="L134" s="903">
        <f>+IFERROR(Q134/P134,0)</f>
        <v>6.510416666666667</v>
      </c>
      <c r="M134" s="949">
        <f>+IFERROR(U134/X134,0)</f>
        <v>6.510416666666667</v>
      </c>
      <c r="O134" s="957">
        <f t="shared" si="32"/>
        <v>0</v>
      </c>
      <c r="P134" s="487">
        <f>+IFERROR(AE134*AK134,0)</f>
        <v>384</v>
      </c>
      <c r="Q134" s="345">
        <f>+(Z134*AB134)+AA134</f>
        <v>2500</v>
      </c>
      <c r="R134" s="753"/>
      <c r="T134" s="402">
        <f>+IFERROR(SUMIFS('Stock CD'!D:D,D83,'Stock CD'!C:C),0)</f>
        <v>0</v>
      </c>
      <c r="U134" s="405">
        <f>+T134+Q134</f>
        <v>2500</v>
      </c>
      <c r="W134" s="401">
        <f>+IFERROR(VLOOKUP(D134,'Stock CD'!B:I,8,0),0)</f>
        <v>0</v>
      </c>
      <c r="X134" s="404">
        <f>+W134+P134</f>
        <v>384</v>
      </c>
      <c r="Z134" s="305">
        <f>+SUMIFS('Conteo VACIO'!F:F,'Conteo VACIO'!$A:$A,$D134)</f>
        <v>2</v>
      </c>
      <c r="AA134" s="305">
        <f>+SUMIFS('Conteo VACIO'!G:G,'Conteo VACIO'!$A:$A,$D134)</f>
        <v>500</v>
      </c>
      <c r="AB134" s="517">
        <v>1000</v>
      </c>
      <c r="AD134" s="430" t="s">
        <v>1470</v>
      </c>
      <c r="AE134" s="414">
        <f>IF(D134="Corb-LK",SUMIFS('Est Madre LK 10-25'!C:C,'Est Madre LK 10-25'!D:D,"si"),IF(D134="Corb-CH",SUMIFS('Est Madre CH 10-25'!C:C,'Est Madre CH 10-25'!D:D,"si"),0)+IFERROR(VLOOKUP(D134,'Est Madre LK 10-25'!$A:$C,3,),IFERROR(VLOOKUP(D134,'Est Madre CH 10-25'!$A:$C,3,),0)))</f>
        <v>96</v>
      </c>
      <c r="AF134" s="362">
        <v>12000</v>
      </c>
      <c r="AG134" s="260">
        <v>12</v>
      </c>
      <c r="AH134" s="721">
        <v>86.485752000000005</v>
      </c>
      <c r="AI134" s="723" t="str">
        <f>+VLOOKUP(D134,'[1]Chef Troquel'!$A$4:$F$92,5,0)</f>
        <v>T.Loke</v>
      </c>
      <c r="AJ134" s="260" t="s">
        <v>1662</v>
      </c>
      <c r="AK134" s="630">
        <v>4</v>
      </c>
    </row>
    <row r="135" spans="1:37" ht="18" customHeight="1" thickBot="1" x14ac:dyDescent="0.4">
      <c r="A135" t="s">
        <v>1470</v>
      </c>
      <c r="C135" s="681">
        <v>2319700</v>
      </c>
      <c r="D135" s="302">
        <v>723</v>
      </c>
      <c r="E135" s="128" t="str">
        <f>+VLOOKUP(D135,'Conteo VACIO'!$A$8:$D$226,4,0)</f>
        <v>Ñ1A</v>
      </c>
      <c r="F135" s="322" t="s">
        <v>1041</v>
      </c>
      <c r="G135" s="329" t="s">
        <v>1184</v>
      </c>
      <c r="H135" s="632"/>
      <c r="I135" s="477"/>
      <c r="J135" s="310"/>
      <c r="L135" s="903">
        <f>+IFERROR(Q135/P135,0)</f>
        <v>0</v>
      </c>
      <c r="M135" s="949">
        <f>+IFERROR(U135/X135,0)</f>
        <v>0</v>
      </c>
      <c r="O135" s="957">
        <f t="shared" si="32"/>
        <v>1488</v>
      </c>
      <c r="P135" s="487">
        <f>+IFERROR(AE135*AK135,0)</f>
        <v>1488</v>
      </c>
      <c r="Q135" s="345">
        <f>+(Z135*AB135)+AA135</f>
        <v>0</v>
      </c>
      <c r="R135" s="753"/>
      <c r="T135" s="402">
        <f>+IFERROR(SUMIFS('Stock CD'!D:D,D124,'Stock CD'!C:C),0)</f>
        <v>0</v>
      </c>
      <c r="U135" s="405">
        <f>+T135+Q135</f>
        <v>0</v>
      </c>
      <c r="W135" s="402">
        <f>+IFERROR(VLOOKUP(D135,'Stock CD'!B:I,8,0),0)</f>
        <v>0</v>
      </c>
      <c r="X135" s="405">
        <f>+W135+P135</f>
        <v>1488</v>
      </c>
      <c r="Z135" s="305">
        <f>+SUMIFS('Conteo VACIO'!F:F,'Conteo VACIO'!$A:$A,$D135)</f>
        <v>0</v>
      </c>
      <c r="AA135" s="305">
        <f>+SUMIFS('Conteo VACIO'!G:G,'Conteo VACIO'!$A:$A,$D135)</f>
        <v>0</v>
      </c>
      <c r="AB135" s="517">
        <v>1000</v>
      </c>
      <c r="AD135" s="430" t="s">
        <v>1470</v>
      </c>
      <c r="AE135" s="414">
        <f>IF(D135="Corb-LK",SUMIFS('Est Madre LK 10-25'!C:C,'Est Madre LK 10-25'!D:D,"si"),IF(D135="Corb-CH",SUMIFS('Est Madre CH 10-25'!C:C,'Est Madre CH 10-25'!D:D,"si"),0)+IFERROR(VLOOKUP(D135,'Est Madre LK 10-25'!$A:$C,3,),IFERROR(VLOOKUP(D135,'Est Madre CH 10-25'!$A:$C,3,),0)))</f>
        <v>372</v>
      </c>
      <c r="AF135" s="362">
        <v>12000</v>
      </c>
      <c r="AG135" s="260">
        <v>6</v>
      </c>
      <c r="AH135" s="721">
        <v>115.9353</v>
      </c>
      <c r="AI135" s="723" t="str">
        <f>+VLOOKUP(D135,'[1]Chef Troquel'!$A$4:$F$92,5,0)</f>
        <v>T.Loke</v>
      </c>
      <c r="AJ135" s="260" t="s">
        <v>1662</v>
      </c>
      <c r="AK135" s="630">
        <v>4</v>
      </c>
    </row>
    <row r="136" spans="1:37" ht="18" customHeight="1" thickBot="1" x14ac:dyDescent="0.4">
      <c r="A136" t="s">
        <v>1470</v>
      </c>
      <c r="C136" s="681">
        <v>2320700</v>
      </c>
      <c r="D136" s="302">
        <v>731</v>
      </c>
      <c r="E136" s="128" t="str">
        <f>+VLOOKUP(D136,'Conteo VACIO'!$A$8:$D$226,4,0)</f>
        <v>S3C</v>
      </c>
      <c r="F136" s="322" t="s">
        <v>1041</v>
      </c>
      <c r="G136" s="329" t="s">
        <v>1199</v>
      </c>
      <c r="H136" s="632"/>
      <c r="I136" s="477"/>
      <c r="J136" s="310"/>
      <c r="L136" s="903">
        <f>+IFERROR(Q136/P136,0)</f>
        <v>0</v>
      </c>
      <c r="M136" s="949">
        <f>+IFERROR(U136/X136,0)</f>
        <v>0</v>
      </c>
      <c r="O136" s="957">
        <f t="shared" si="32"/>
        <v>1056</v>
      </c>
      <c r="P136" s="487">
        <f>+IFERROR(AE136*AK136,0)</f>
        <v>1056</v>
      </c>
      <c r="Q136" s="345">
        <f>+(Z136*AB136)+AA136</f>
        <v>0</v>
      </c>
      <c r="R136" s="753"/>
      <c r="T136" s="402">
        <f>+IFERROR(SUMIFS('Stock CD'!D:D,D38,'Stock CD'!C:C),0)</f>
        <v>0</v>
      </c>
      <c r="U136" s="405">
        <f>+T136+Q136</f>
        <v>0</v>
      </c>
      <c r="W136" s="402">
        <f>+IFERROR(VLOOKUP(D136,'Stock CD'!B:I,8,0),0)</f>
        <v>0</v>
      </c>
      <c r="X136" s="405">
        <f>+W136+P136</f>
        <v>1056</v>
      </c>
      <c r="Z136" s="305">
        <f>+SUMIFS('Conteo VACIO'!F:F,'Conteo VACIO'!$A:$A,$D136)</f>
        <v>0</v>
      </c>
      <c r="AA136" s="305">
        <f>+SUMIFS('Conteo VACIO'!G:G,'Conteo VACIO'!$A:$A,$D136)</f>
        <v>0</v>
      </c>
      <c r="AB136" s="517">
        <v>1000</v>
      </c>
      <c r="AD136" s="430" t="s">
        <v>1470</v>
      </c>
      <c r="AE136" s="414">
        <f>IF(D136="Corb-LK",SUMIFS('Est Madre LK 10-25'!C:C,'Est Madre LK 10-25'!D:D,"si"),IF(D136="Corb-CH",SUMIFS('Est Madre CH 10-25'!C:C,'Est Madre CH 10-25'!D:D,"si"),0)+IFERROR(VLOOKUP(D136,'Est Madre LK 10-25'!$A:$C,3,),IFERROR(VLOOKUP(D136,'Est Madre CH 10-25'!$A:$C,3,),0)))</f>
        <v>264</v>
      </c>
      <c r="AF136" s="362">
        <v>12000</v>
      </c>
      <c r="AG136" s="260">
        <v>8</v>
      </c>
      <c r="AH136" s="721">
        <v>86.485752000000005</v>
      </c>
      <c r="AI136" s="723" t="str">
        <f>+VLOOKUP(D136,'[1]Chef Troquel'!$A$4:$F$92,5,0)</f>
        <v>T.Loke</v>
      </c>
      <c r="AJ136" s="260" t="s">
        <v>1662</v>
      </c>
      <c r="AK136" s="630">
        <v>4</v>
      </c>
    </row>
    <row r="137" spans="1:37" ht="18" customHeight="1" thickBot="1" x14ac:dyDescent="0.4">
      <c r="A137" t="s">
        <v>1470</v>
      </c>
      <c r="C137" s="683">
        <v>2315700</v>
      </c>
      <c r="D137" s="298">
        <v>725</v>
      </c>
      <c r="E137" s="130" t="str">
        <f>+VLOOKUP(D137,'Conteo VACIO'!$A$8:$D$226,4,0)</f>
        <v>P4B</v>
      </c>
      <c r="F137" s="324" t="s">
        <v>1041</v>
      </c>
      <c r="G137" s="357" t="s">
        <v>805</v>
      </c>
      <c r="H137" s="632"/>
      <c r="I137" s="478"/>
      <c r="J137" s="310"/>
      <c r="L137" s="904">
        <f>+IFERROR(Q137/P137,0)</f>
        <v>0.52083333333333337</v>
      </c>
      <c r="M137" s="950">
        <f>+IFERROR(U137/X137,0)</f>
        <v>0.52083333333333337</v>
      </c>
      <c r="O137" s="957">
        <f t="shared" si="32"/>
        <v>920</v>
      </c>
      <c r="P137" s="488">
        <f>+IFERROR(AE137*AK137,0)</f>
        <v>1920</v>
      </c>
      <c r="Q137" s="347">
        <f>+(Z137*AB137)+AA137</f>
        <v>1000</v>
      </c>
      <c r="R137" s="755"/>
      <c r="T137" s="403">
        <f>+IFERROR(SUMIFS('Stock CD'!D:D,D36,'Stock CD'!C:C),0)</f>
        <v>0</v>
      </c>
      <c r="U137" s="406">
        <f>+T137+Q137</f>
        <v>1000</v>
      </c>
      <c r="W137" s="403">
        <f>+IFERROR(VLOOKUP(D137,'Stock CD'!B:I,8,0),0)</f>
        <v>0</v>
      </c>
      <c r="X137" s="406">
        <f>+W137+P137</f>
        <v>1920</v>
      </c>
      <c r="Z137" s="611">
        <f>+SUMIFS('Conteo VACIO'!F:F,'Conteo VACIO'!$A:$A,$D137)</f>
        <v>1</v>
      </c>
      <c r="AA137" s="611">
        <f>+SUMIFS('Conteo VACIO'!G:G,'Conteo VACIO'!$A:$A,$D137)</f>
        <v>0</v>
      </c>
      <c r="AB137" s="612">
        <v>1000</v>
      </c>
      <c r="AD137" s="613" t="s">
        <v>1470</v>
      </c>
      <c r="AE137" s="530">
        <f>IF(D137="Corb-LK",SUMIFS('Est Madre LK 10-25'!C:C,'Est Madre LK 10-25'!D:D,"si"),IF(D137="Corb-CH",SUMIFS('Est Madre CH 10-25'!C:C,'Est Madre CH 10-25'!D:D,"si"),0)+IFERROR(VLOOKUP(D137,'Est Madre LK 10-25'!$A:$C,3,),IFERROR(VLOOKUP(D137,'Est Madre CH 10-25'!$A:$C,3,),0)))</f>
        <v>480</v>
      </c>
      <c r="AF137" s="537">
        <v>12000</v>
      </c>
      <c r="AG137" s="538">
        <v>8</v>
      </c>
      <c r="AH137" s="806">
        <v>68.570279999999997</v>
      </c>
      <c r="AI137" s="807" t="str">
        <f>+VLOOKUP(D137,'[1]Chef Troquel'!$A$4:$F$92,5,0)</f>
        <v>T.Loke</v>
      </c>
      <c r="AJ137" s="538" t="s">
        <v>1662</v>
      </c>
      <c r="AK137" s="630">
        <v>4</v>
      </c>
    </row>
    <row r="138" spans="1:37" ht="4.95" customHeight="1" thickBot="1" x14ac:dyDescent="0.4">
      <c r="C138" s="348"/>
      <c r="D138" s="294"/>
      <c r="E138" s="127"/>
      <c r="F138" s="299"/>
      <c r="G138" s="310"/>
      <c r="H138" s="631"/>
      <c r="I138" s="310"/>
      <c r="J138" s="310"/>
      <c r="L138" s="458"/>
      <c r="M138" s="459"/>
      <c r="O138" s="687"/>
      <c r="P138" s="383"/>
      <c r="Q138" s="338"/>
      <c r="R138" s="687"/>
      <c r="S138" s="718"/>
      <c r="T138" s="460"/>
      <c r="U138" s="460"/>
      <c r="W138" s="460"/>
      <c r="X138" s="460"/>
      <c r="Z138" s="872"/>
      <c r="AA138" s="872"/>
      <c r="AB138" s="873"/>
      <c r="AD138" s="874"/>
      <c r="AE138" s="875"/>
      <c r="AF138" s="873"/>
      <c r="AG138" s="876"/>
      <c r="AH138" s="877"/>
      <c r="AI138" s="878"/>
      <c r="AJ138" s="876"/>
      <c r="AK138" s="874"/>
    </row>
    <row r="139" spans="1:37" ht="18" customHeight="1" thickBot="1" x14ac:dyDescent="0.4">
      <c r="A139" t="s">
        <v>1470</v>
      </c>
      <c r="C139" s="680">
        <v>2315700</v>
      </c>
      <c r="D139" s="297">
        <v>862</v>
      </c>
      <c r="E139" s="489" t="str">
        <f>+VLOOKUP(D139,'Conteo VACIO'!$A$8:$D$226,4,0)</f>
        <v>N1</v>
      </c>
      <c r="F139" s="323" t="s">
        <v>1041</v>
      </c>
      <c r="G139" s="356" t="s">
        <v>1276</v>
      </c>
      <c r="H139" s="632"/>
      <c r="I139" s="476"/>
      <c r="J139" s="310"/>
      <c r="L139" s="902">
        <f>+IFERROR(Q139/P139,0)</f>
        <v>1.8055555555555556</v>
      </c>
      <c r="M139" s="948">
        <f>+IFERROR(U139/X139,0)</f>
        <v>1.8055555555555556</v>
      </c>
      <c r="O139" s="760">
        <f>IF(P139-Q139-R139&lt;0,0,P139-Q139-R139)</f>
        <v>0</v>
      </c>
      <c r="P139" s="486">
        <f>+IFERROR(AE139*AK139,0)</f>
        <v>720</v>
      </c>
      <c r="Q139" s="346">
        <f>+(Z139*AB139)+AA139</f>
        <v>1300</v>
      </c>
      <c r="R139" s="751"/>
      <c r="T139" s="401">
        <f>+IFERROR(SUMIFS('Stock CD'!D:D,D115,'Stock CD'!C:C),0)</f>
        <v>0</v>
      </c>
      <c r="U139" s="404">
        <f>+T139+Q139</f>
        <v>1300</v>
      </c>
      <c r="W139" s="401">
        <f>+IFERROR(VLOOKUP(D139,'Stock CD'!B:I,8,0),0)</f>
        <v>0</v>
      </c>
      <c r="X139" s="404">
        <f>+W139+P139</f>
        <v>720</v>
      </c>
      <c r="Z139" s="622">
        <f>+SUMIFS('Conteo VACIO'!F:F,'Conteo VACIO'!$A:$A,$D139)</f>
        <v>1</v>
      </c>
      <c r="AA139" s="622">
        <f>+SUMIFS('Conteo VACIO'!G:G,'Conteo VACIO'!$A:$A,$D139)</f>
        <v>300</v>
      </c>
      <c r="AB139" s="623">
        <v>1000</v>
      </c>
      <c r="AD139" s="624" t="s">
        <v>1470</v>
      </c>
      <c r="AE139" s="625">
        <f>IF(D139="Corb-LK",SUMIFS('Est Madre LK 10-25'!C:C,'Est Madre LK 10-25'!D:D,"si"),IF(D139="Corb-CH",SUMIFS('Est Madre CH 10-25'!C:C,'Est Madre CH 10-25'!D:D,"si"),0)+IFERROR(VLOOKUP(D139,'Est Madre LK 10-25'!$A:$C,3,),IFERROR(VLOOKUP(D139,'Est Madre CH 10-25'!$A:$C,3,),0)))</f>
        <v>180</v>
      </c>
      <c r="AF139" s="626">
        <v>12000</v>
      </c>
      <c r="AG139" s="627">
        <v>12</v>
      </c>
      <c r="AH139" s="832">
        <v>68.570279999999997</v>
      </c>
      <c r="AI139" s="756" t="str">
        <f>+VLOOKUP(D139,'[1]Chef Troquel'!$A$4:$F$92,5,0)</f>
        <v>T.Loke</v>
      </c>
      <c r="AJ139" s="627" t="s">
        <v>1662</v>
      </c>
      <c r="AK139" s="630">
        <v>4</v>
      </c>
    </row>
    <row r="140" spans="1:37" ht="18" customHeight="1" thickBot="1" x14ac:dyDescent="0.4">
      <c r="A140" t="s">
        <v>1470</v>
      </c>
      <c r="C140" s="681">
        <v>2315700</v>
      </c>
      <c r="D140" s="302">
        <v>863</v>
      </c>
      <c r="E140" s="128" t="str">
        <f>+VLOOKUP(D140,'Conteo VACIO'!$A$8:$D$226,4,0)</f>
        <v>R3C</v>
      </c>
      <c r="F140" s="322" t="s">
        <v>1041</v>
      </c>
      <c r="G140" s="329" t="s">
        <v>1756</v>
      </c>
      <c r="H140" s="632"/>
      <c r="I140" s="477"/>
      <c r="J140" s="310"/>
      <c r="L140" s="903">
        <f>+IFERROR(Q140/P140,0)</f>
        <v>0</v>
      </c>
      <c r="M140" s="949">
        <f>+IFERROR(U140/X140,0)</f>
        <v>0</v>
      </c>
      <c r="O140" s="957">
        <f>IF(P140-Q140-R140&lt;0,0,P140-Q140-R140)</f>
        <v>192</v>
      </c>
      <c r="P140" s="487">
        <f>+IFERROR(AE140*AK140,0)</f>
        <v>192</v>
      </c>
      <c r="Q140" s="345">
        <f>+(Z140*AB140)+AA140</f>
        <v>0</v>
      </c>
      <c r="R140" s="753"/>
      <c r="T140" s="402">
        <f>+IFERROR(SUMIFS('Stock CD'!D:D,D74,'Stock CD'!C:C),0)</f>
        <v>0</v>
      </c>
      <c r="U140" s="405">
        <f>+T140+Q140</f>
        <v>0</v>
      </c>
      <c r="W140" s="402">
        <f>+IFERROR(VLOOKUP(D140,'Stock CD'!B:I,8,0),0)</f>
        <v>0</v>
      </c>
      <c r="X140" s="405">
        <f>+W140+P140</f>
        <v>192</v>
      </c>
      <c r="Z140" s="305">
        <f>+SUMIFS('Conteo VACIO'!F:F,'Conteo VACIO'!$A:$A,$D140)</f>
        <v>0</v>
      </c>
      <c r="AA140" s="305">
        <f>+SUMIFS('Conteo VACIO'!G:G,'Conteo VACIO'!$A:$A,$D140)</f>
        <v>0</v>
      </c>
      <c r="AB140" s="517">
        <v>1000</v>
      </c>
      <c r="AD140" s="430" t="s">
        <v>1470</v>
      </c>
      <c r="AE140" s="414">
        <f>IF(D140="Corb-LK",SUMIFS('Est Madre LK 10-25'!C:C,'Est Madre LK 10-25'!D:D,"si"),IF(D140="Corb-CH",SUMIFS('Est Madre CH 10-25'!C:C,'Est Madre CH 10-25'!D:D,"si"),0)+IFERROR(VLOOKUP(D140,'Est Madre LK 10-25'!$A:$C,3,),IFERROR(VLOOKUP(D140,'Est Madre CH 10-25'!$A:$C,3,),0)))</f>
        <v>48</v>
      </c>
      <c r="AF140" s="362">
        <v>12000</v>
      </c>
      <c r="AG140" s="260">
        <v>12</v>
      </c>
      <c r="AH140" s="721">
        <v>68.570279999999997</v>
      </c>
      <c r="AI140" s="723" t="str">
        <f>+VLOOKUP(D140,'[1]Chef Troquel'!$A$4:$F$92,5,0)</f>
        <v>T.Loke</v>
      </c>
      <c r="AJ140" s="260" t="s">
        <v>1662</v>
      </c>
      <c r="AK140" s="630">
        <v>4</v>
      </c>
    </row>
    <row r="141" spans="1:37" ht="18" customHeight="1" thickBot="1" x14ac:dyDescent="0.4">
      <c r="A141" t="s">
        <v>1470</v>
      </c>
      <c r="C141" s="683">
        <v>2319700</v>
      </c>
      <c r="D141" s="298">
        <v>809</v>
      </c>
      <c r="E141" s="130" t="str">
        <f>+VLOOKUP(D141,'Conteo VACIO'!$A$8:$D$226,4,0)</f>
        <v>Q7A</v>
      </c>
      <c r="F141" s="324" t="s">
        <v>1041</v>
      </c>
      <c r="G141" s="357" t="s">
        <v>1757</v>
      </c>
      <c r="H141" s="632"/>
      <c r="I141" s="478"/>
      <c r="J141" s="310"/>
      <c r="L141" s="904">
        <f>+IFERROR(Q141/P141,0)</f>
        <v>0</v>
      </c>
      <c r="M141" s="950">
        <f>+IFERROR(U141/X141,0)</f>
        <v>0</v>
      </c>
      <c r="O141" s="957">
        <f>IF(P141-Q141-R141&lt;0,0,P141-Q141-R141)</f>
        <v>5184</v>
      </c>
      <c r="P141" s="488">
        <f>+IFERROR(AE141*AK141,0)</f>
        <v>5184</v>
      </c>
      <c r="Q141" s="347">
        <f>+(Z141*AB141)+AA141</f>
        <v>0</v>
      </c>
      <c r="R141" s="755"/>
      <c r="T141" s="403">
        <f>+IFERROR(SUMIFS('Stock CD'!D:D,D91,'Stock CD'!C:C),0)</f>
        <v>0</v>
      </c>
      <c r="U141" s="406">
        <f>+T141+Q141</f>
        <v>0</v>
      </c>
      <c r="W141" s="403">
        <f>+IFERROR(VLOOKUP(D141,'Stock CD'!B:I,8,0),0)</f>
        <v>0</v>
      </c>
      <c r="X141" s="406">
        <f>+W141+P141</f>
        <v>5184</v>
      </c>
      <c r="Z141" s="611">
        <f>+SUMIFS('Conteo VACIO'!F:F,'Conteo VACIO'!$A:$A,$D141)</f>
        <v>0</v>
      </c>
      <c r="AA141" s="611">
        <f>+SUMIFS('Conteo VACIO'!G:G,'Conteo VACIO'!$A:$A,$D141)</f>
        <v>0</v>
      </c>
      <c r="AB141" s="612">
        <v>1000</v>
      </c>
      <c r="AD141" s="613" t="s">
        <v>1470</v>
      </c>
      <c r="AE141" s="530">
        <f>IF(D141="Corb-LK",SUMIFS('Est Madre LK 10-25'!C:C,'Est Madre LK 10-25'!D:D,"si"),IF(D141="Corb-CH",SUMIFS('Est Madre CH 10-25'!C:C,'Est Madre CH 10-25'!D:D,"si"),0)+IFERROR(VLOOKUP(D141,'Est Madre LK 10-25'!$A:$C,3,),IFERROR(VLOOKUP(D141,'Est Madre CH 10-25'!$A:$C,3,),0)))</f>
        <v>1296</v>
      </c>
      <c r="AF141" s="537">
        <v>12000</v>
      </c>
      <c r="AG141" s="538">
        <v>6</v>
      </c>
      <c r="AH141" s="806">
        <v>115.9353</v>
      </c>
      <c r="AI141" s="807" t="str">
        <f>+VLOOKUP(D141,'[1]Chef Troquel'!$A$4:$F$92,5,0)</f>
        <v>T.Loke</v>
      </c>
      <c r="AJ141" s="538" t="s">
        <v>1662</v>
      </c>
      <c r="AK141" s="630">
        <v>4</v>
      </c>
    </row>
    <row r="142" spans="1:37" ht="6" customHeight="1" thickBot="1" x14ac:dyDescent="0.4">
      <c r="C142" s="348"/>
      <c r="D142" s="294"/>
      <c r="E142" s="127"/>
      <c r="F142" s="299"/>
      <c r="G142" s="310"/>
      <c r="H142" s="631"/>
      <c r="I142" s="310"/>
      <c r="J142" s="310"/>
      <c r="L142" s="458"/>
      <c r="M142" s="459"/>
      <c r="O142" s="687"/>
      <c r="P142" s="383"/>
      <c r="Q142" s="338"/>
      <c r="R142" s="687"/>
      <c r="S142" s="718"/>
      <c r="T142" s="460"/>
      <c r="U142" s="460"/>
      <c r="W142" s="460"/>
      <c r="X142" s="460"/>
      <c r="Z142" s="872"/>
      <c r="AA142" s="872"/>
      <c r="AB142" s="873"/>
      <c r="AD142" s="874"/>
      <c r="AE142" s="875"/>
      <c r="AF142" s="873"/>
      <c r="AG142" s="876"/>
      <c r="AH142" s="877"/>
      <c r="AI142" s="878"/>
      <c r="AJ142" s="876"/>
      <c r="AK142" s="874"/>
    </row>
    <row r="143" spans="1:37" ht="18" customHeight="1" thickBot="1" x14ac:dyDescent="0.4">
      <c r="A143" t="s">
        <v>1470</v>
      </c>
      <c r="C143" s="680">
        <v>2315700</v>
      </c>
      <c r="D143" s="297">
        <v>720</v>
      </c>
      <c r="E143" s="489" t="str">
        <f>+VLOOKUP(D143,'Conteo VACIO'!$A$8:$D$226,4,0)</f>
        <v>N2B</v>
      </c>
      <c r="F143" s="323" t="s">
        <v>1041</v>
      </c>
      <c r="G143" s="356" t="s">
        <v>1179</v>
      </c>
      <c r="H143" s="632"/>
      <c r="I143" s="476"/>
      <c r="J143" s="310"/>
      <c r="L143" s="902">
        <f>+IFERROR(Q143/P143,0)</f>
        <v>23.75</v>
      </c>
      <c r="M143" s="948">
        <f t="shared" ref="M143:M218" si="33">+IFERROR(U143/X143,0)</f>
        <v>23.75</v>
      </c>
      <c r="O143" s="760">
        <f t="shared" ref="O143:O144" si="34">IF(P143-Q143-R143&lt;0,0,P143-Q143-R143)</f>
        <v>0</v>
      </c>
      <c r="P143" s="486">
        <f t="shared" ref="P143:P218" si="35">+IFERROR(AE143*AK143,0)</f>
        <v>96</v>
      </c>
      <c r="Q143" s="346">
        <f t="shared" ref="Q143:Q218" si="36">+(Z143*AB143)+AA143</f>
        <v>2280</v>
      </c>
      <c r="R143" s="751"/>
      <c r="T143" s="401">
        <f>+IFERROR(SUMIFS('Stock CD'!D:D,D67,'Stock CD'!C:C),0)</f>
        <v>0</v>
      </c>
      <c r="U143" s="404">
        <f>+T143+Q143</f>
        <v>2280</v>
      </c>
      <c r="W143" s="401">
        <f>+IFERROR(VLOOKUP(D143,'Stock CD'!B:I,8,0),0)</f>
        <v>0</v>
      </c>
      <c r="X143" s="404">
        <f>+W143+P143</f>
        <v>96</v>
      </c>
      <c r="Z143" s="622">
        <f>+SUMIFS('Conteo VACIO'!F:F,'Conteo VACIO'!$A:$A,$D143)</f>
        <v>2</v>
      </c>
      <c r="AA143" s="622">
        <f>+SUMIFS('Conteo VACIO'!G:G,'Conteo VACIO'!$A:$A,$D143)</f>
        <v>280</v>
      </c>
      <c r="AB143" s="623">
        <v>1000</v>
      </c>
      <c r="AD143" s="624" t="s">
        <v>1470</v>
      </c>
      <c r="AE143" s="625">
        <f>IF(D143="Corb-LK",SUMIFS('Est Madre LK 10-25'!C:C,'Est Madre LK 10-25'!D:D,"si"),IF(D143="Corb-CH",SUMIFS('Est Madre CH 10-25'!C:C,'Est Madre CH 10-25'!D:D,"si"),0)+IFERROR(VLOOKUP(D143,'Est Madre LK 10-25'!$A:$C,3,),IFERROR(VLOOKUP(D143,'Est Madre CH 10-25'!$A:$C,3,),0)))</f>
        <v>24</v>
      </c>
      <c r="AF143" s="626">
        <v>12000</v>
      </c>
      <c r="AG143" s="627">
        <v>12</v>
      </c>
      <c r="AH143" s="832">
        <v>68.570279999999997</v>
      </c>
      <c r="AI143" s="756" t="str">
        <f>+VLOOKUP(D143,'[1]Chef Troquel'!$A$4:$F$92,5,0)</f>
        <v>T.Loke</v>
      </c>
      <c r="AJ143" s="627" t="s">
        <v>1662</v>
      </c>
      <c r="AK143" s="630">
        <v>4</v>
      </c>
    </row>
    <row r="144" spans="1:37" ht="18" customHeight="1" thickBot="1" x14ac:dyDescent="0.4">
      <c r="A144" t="s">
        <v>1470</v>
      </c>
      <c r="C144" s="683">
        <v>2315700</v>
      </c>
      <c r="D144" s="298">
        <v>722</v>
      </c>
      <c r="E144" s="130" t="str">
        <f>+VLOOKUP(D144,'Conteo VACIO'!$A$8:$D$226,4,0)</f>
        <v>N2C</v>
      </c>
      <c r="F144" s="324" t="s">
        <v>1041</v>
      </c>
      <c r="G144" s="357" t="s">
        <v>1180</v>
      </c>
      <c r="H144" s="632"/>
      <c r="I144" s="478"/>
      <c r="J144" s="310"/>
      <c r="L144" s="904">
        <f>+IFERROR(Q144/P144,0)</f>
        <v>2.8125</v>
      </c>
      <c r="M144" s="950">
        <f t="shared" si="33"/>
        <v>2.8125</v>
      </c>
      <c r="O144" s="957">
        <f t="shared" si="34"/>
        <v>0</v>
      </c>
      <c r="P144" s="488">
        <f t="shared" si="35"/>
        <v>96</v>
      </c>
      <c r="Q144" s="347">
        <f t="shared" si="36"/>
        <v>270</v>
      </c>
      <c r="R144" s="755"/>
      <c r="T144" s="403">
        <f>+IFERROR(SUMIFS('Stock CD'!D:D,D68,'Stock CD'!C:C),0)</f>
        <v>0</v>
      </c>
      <c r="U144" s="406">
        <f>+T144+Q144</f>
        <v>270</v>
      </c>
      <c r="W144" s="403">
        <f>+IFERROR(VLOOKUP(D144,'Stock CD'!B:I,8,0),0)</f>
        <v>0</v>
      </c>
      <c r="X144" s="406">
        <f>+W144+P144</f>
        <v>96</v>
      </c>
      <c r="Z144" s="611">
        <f>+SUMIFS('Conteo VACIO'!F:F,'Conteo VACIO'!$A:$A,$D144)</f>
        <v>0</v>
      </c>
      <c r="AA144" s="611">
        <f>+SUMIFS('Conteo VACIO'!G:G,'Conteo VACIO'!$A:$A,$D144)</f>
        <v>270</v>
      </c>
      <c r="AB144" s="612">
        <v>1000</v>
      </c>
      <c r="AD144" s="613" t="s">
        <v>1470</v>
      </c>
      <c r="AE144" s="530">
        <f>IF(D144="Corb-LK",SUMIFS('Est Madre LK 10-25'!C:C,'Est Madre LK 10-25'!D:D,"si"),IF(D144="Corb-CH",SUMIFS('Est Madre CH 10-25'!C:C,'Est Madre CH 10-25'!D:D,"si"),0)+IFERROR(VLOOKUP(D144,'Est Madre LK 10-25'!$A:$C,3,),IFERROR(VLOOKUP(D144,'Est Madre CH 10-25'!$A:$C,3,),0)))</f>
        <v>24</v>
      </c>
      <c r="AF144" s="537">
        <v>12000</v>
      </c>
      <c r="AG144" s="538">
        <v>12</v>
      </c>
      <c r="AH144" s="806">
        <v>68.570279999999997</v>
      </c>
      <c r="AI144" s="807" t="str">
        <f>+VLOOKUP(D144,'[1]Chef Troquel'!$A$4:$F$92,5,0)</f>
        <v>T.Loke</v>
      </c>
      <c r="AJ144" s="538" t="s">
        <v>1662</v>
      </c>
      <c r="AK144" s="630">
        <v>4</v>
      </c>
    </row>
    <row r="145" spans="1:37" ht="5.7" customHeight="1" thickBot="1" x14ac:dyDescent="0.4">
      <c r="C145" s="348"/>
      <c r="D145" s="294"/>
      <c r="E145" s="127"/>
      <c r="F145" s="299"/>
      <c r="G145" s="310"/>
      <c r="H145" s="631"/>
      <c r="I145" s="310"/>
      <c r="J145" s="310"/>
      <c r="L145" s="458"/>
      <c r="M145" s="459"/>
      <c r="O145" s="687"/>
      <c r="P145" s="383"/>
      <c r="Q145" s="338"/>
      <c r="R145" s="687"/>
      <c r="S145" s="718"/>
      <c r="T145" s="460"/>
      <c r="U145" s="460"/>
      <c r="W145" s="460"/>
      <c r="X145" s="460"/>
      <c r="Z145" s="872"/>
      <c r="AA145" s="872"/>
      <c r="AB145" s="873"/>
      <c r="AD145" s="874"/>
      <c r="AE145" s="875"/>
      <c r="AF145" s="873"/>
      <c r="AG145" s="876"/>
      <c r="AH145" s="877"/>
      <c r="AI145" s="878"/>
      <c r="AJ145" s="876"/>
      <c r="AK145" s="874"/>
    </row>
    <row r="146" spans="1:37" ht="18" customHeight="1" thickBot="1" x14ac:dyDescent="0.4">
      <c r="A146" t="s">
        <v>1470</v>
      </c>
      <c r="C146" s="680">
        <v>2315700</v>
      </c>
      <c r="D146" s="297">
        <v>43</v>
      </c>
      <c r="E146" s="489" t="str">
        <f>+VLOOKUP(D146,'Conteo VACIO'!$A$8:$D$226,4,0)</f>
        <v>Q4B</v>
      </c>
      <c r="F146" s="323" t="s">
        <v>1041</v>
      </c>
      <c r="G146" s="356" t="s">
        <v>1338</v>
      </c>
      <c r="H146" s="632"/>
      <c r="I146" s="476"/>
      <c r="J146" s="310"/>
      <c r="L146" s="902">
        <f>+IFERROR(Q146/P146,0)</f>
        <v>2.0833333333333335</v>
      </c>
      <c r="M146" s="948">
        <f>+IFERROR(U146/X146,0)</f>
        <v>2.0833333333333335</v>
      </c>
      <c r="O146" s="760">
        <f t="shared" ref="O146:O148" si="37">IF(P146-Q146-R146&lt;0,0,P146-Q146-R146)</f>
        <v>0</v>
      </c>
      <c r="P146" s="486">
        <f>+IFERROR(AE146*AK146,0)</f>
        <v>960</v>
      </c>
      <c r="Q146" s="346">
        <f>+(Z146*AB146)+AA146</f>
        <v>2000</v>
      </c>
      <c r="R146" s="751"/>
      <c r="T146" s="401">
        <f>+IFERROR(SUMIFS('Stock CD'!D:D,D80,'Stock CD'!C:C),0)</f>
        <v>0</v>
      </c>
      <c r="U146" s="404">
        <f>+T146+Q146</f>
        <v>2000</v>
      </c>
      <c r="W146" s="401">
        <f>+IFERROR(VLOOKUP(D146,'Stock CD'!B:I,8,0),0)</f>
        <v>0</v>
      </c>
      <c r="X146" s="404">
        <f>+W146+P146</f>
        <v>960</v>
      </c>
      <c r="Z146" s="622">
        <f>+SUMIFS('Conteo VACIO'!F:F,'Conteo VACIO'!$A:$A,$D146)</f>
        <v>2</v>
      </c>
      <c r="AA146" s="622">
        <f>+SUMIFS('Conteo VACIO'!G:G,'Conteo VACIO'!$A:$A,$D146)</f>
        <v>0</v>
      </c>
      <c r="AB146" s="623">
        <v>1000</v>
      </c>
      <c r="AD146" s="624" t="s">
        <v>1470</v>
      </c>
      <c r="AE146" s="625">
        <f>IF(D146="Corb-LK",SUMIFS('Est Madre LK 10-25'!C:C,'Est Madre LK 10-25'!D:D,"si"),IF(D146="Corb-CH",SUMIFS('Est Madre CH 10-25'!C:C,'Est Madre CH 10-25'!D:D,"si"),0)+IFERROR(VLOOKUP(D146,'Est Madre LK 10-25'!$A:$C,3,),IFERROR(VLOOKUP(D146,'Est Madre CH 10-25'!$A:$C,3,),0)))</f>
        <v>240</v>
      </c>
      <c r="AF146" s="626">
        <v>12000</v>
      </c>
      <c r="AG146" s="627">
        <v>12</v>
      </c>
      <c r="AH146" s="832">
        <v>68.570279999999997</v>
      </c>
      <c r="AI146" s="756" t="str">
        <f>+VLOOKUP("043",'[1]Chef Troquel'!$A$4:$F$92,5,0)</f>
        <v>T.Loke</v>
      </c>
      <c r="AJ146" s="627" t="s">
        <v>1662</v>
      </c>
      <c r="AK146" s="630">
        <v>4</v>
      </c>
    </row>
    <row r="147" spans="1:37" ht="18" customHeight="1" thickBot="1" x14ac:dyDescent="0.4">
      <c r="A147" t="s">
        <v>1470</v>
      </c>
      <c r="C147" s="681">
        <v>2319700</v>
      </c>
      <c r="D147" s="302">
        <v>702</v>
      </c>
      <c r="E147" s="128" t="str">
        <f>+VLOOKUP(D147,'Conteo VACIO'!$A$8:$D$226,4,0)</f>
        <v>N6A</v>
      </c>
      <c r="F147" s="322" t="s">
        <v>1041</v>
      </c>
      <c r="G147" s="329" t="s">
        <v>1370</v>
      </c>
      <c r="H147" s="632"/>
      <c r="I147" s="477"/>
      <c r="J147" s="310"/>
      <c r="L147" s="903">
        <f>+IFERROR(Q147/P147,0)</f>
        <v>2.2867063492063493</v>
      </c>
      <c r="M147" s="949">
        <f>+IFERROR(U147/X147,0)</f>
        <v>2.2867063492063493</v>
      </c>
      <c r="O147" s="957">
        <f t="shared" si="37"/>
        <v>0</v>
      </c>
      <c r="P147" s="487">
        <f>+IFERROR(AE147*AK147,0)</f>
        <v>2016</v>
      </c>
      <c r="Q147" s="345">
        <f>+(Z147*AB147)+AA147</f>
        <v>4610</v>
      </c>
      <c r="R147" s="753"/>
      <c r="T147" s="402">
        <f>+IFERROR(SUMIFS('Stock CD'!D:D,D224,'Stock CD'!C:C),0)</f>
        <v>0</v>
      </c>
      <c r="U147" s="405">
        <f>+T147+Q147</f>
        <v>4610</v>
      </c>
      <c r="W147" s="402">
        <f>+IFERROR(VLOOKUP(D147,'Stock CD'!B:I,8,0),0)</f>
        <v>0</v>
      </c>
      <c r="X147" s="405">
        <f>+W147+P147</f>
        <v>2016</v>
      </c>
      <c r="Z147" s="305">
        <f>+SUMIFS('Conteo VACIO'!F:F,'Conteo VACIO'!$A:$A,$D147)</f>
        <v>4</v>
      </c>
      <c r="AA147" s="305">
        <f>+SUMIFS('Conteo VACIO'!G:G,'Conteo VACIO'!$A:$A,$D147)</f>
        <v>610</v>
      </c>
      <c r="AB147" s="517">
        <v>1000</v>
      </c>
      <c r="AD147" s="430" t="s">
        <v>1470</v>
      </c>
      <c r="AE147" s="414">
        <f>IF(D147="Corb-LK",SUMIFS('Est Madre LK 10-25'!C:C,'Est Madre LK 10-25'!D:D,"si"),IF(D147="Corb-CH",SUMIFS('Est Madre CH 10-25'!C:C,'Est Madre CH 10-25'!D:D,"si"),0)+IFERROR(VLOOKUP(D147,'Est Madre LK 10-25'!$A:$C,3,),IFERROR(VLOOKUP(D147,'Est Madre CH 10-25'!$A:$C,3,),0)))</f>
        <v>504</v>
      </c>
      <c r="AF147" s="362">
        <v>12000</v>
      </c>
      <c r="AG147" s="260">
        <v>6</v>
      </c>
      <c r="AH147" s="721">
        <v>115.9353</v>
      </c>
      <c r="AI147" s="723" t="s">
        <v>1774</v>
      </c>
      <c r="AJ147" s="260" t="s">
        <v>1662</v>
      </c>
      <c r="AK147" s="630">
        <v>4</v>
      </c>
    </row>
    <row r="148" spans="1:37" ht="18" customHeight="1" thickBot="1" x14ac:dyDescent="0.4">
      <c r="A148" t="s">
        <v>1470</v>
      </c>
      <c r="C148" s="683">
        <v>2319700</v>
      </c>
      <c r="D148" s="298">
        <v>701</v>
      </c>
      <c r="E148" s="130" t="str">
        <f>+VLOOKUP(D148,'Conteo VACIO'!$A$8:$D$226,4,0)</f>
        <v>N7A</v>
      </c>
      <c r="F148" s="324" t="s">
        <v>1041</v>
      </c>
      <c r="G148" s="357" t="s">
        <v>1189</v>
      </c>
      <c r="H148" s="632"/>
      <c r="I148" s="478"/>
      <c r="J148" s="310"/>
      <c r="L148" s="904">
        <f>+IFERROR(Q148/P148,0)</f>
        <v>4.5590614886731391</v>
      </c>
      <c r="M148" s="950">
        <f>+IFERROR(U148/X148,0)</f>
        <v>4.5590614886731391</v>
      </c>
      <c r="O148" s="957">
        <f t="shared" si="37"/>
        <v>0</v>
      </c>
      <c r="P148" s="488">
        <f>+IFERROR(AE148*AK148,0)</f>
        <v>2472</v>
      </c>
      <c r="Q148" s="347">
        <f>+(Z148*AB148)+AA148</f>
        <v>11270</v>
      </c>
      <c r="R148" s="755"/>
      <c r="T148" s="403">
        <f>+IFERROR(SUMIFS('Stock CD'!D:D,D120,'Stock CD'!C:C),0)</f>
        <v>0</v>
      </c>
      <c r="U148" s="406">
        <f>+T148+Q148</f>
        <v>11270</v>
      </c>
      <c r="W148" s="403">
        <f>+IFERROR(VLOOKUP(D148,'Stock CD'!B:I,8,0),0)</f>
        <v>0</v>
      </c>
      <c r="X148" s="406">
        <f>+W148+P148</f>
        <v>2472</v>
      </c>
      <c r="Z148" s="611">
        <f>+SUMIFS('Conteo VACIO'!F:F,'Conteo VACIO'!$A:$A,$D148)</f>
        <v>11</v>
      </c>
      <c r="AA148" s="611">
        <f>+SUMIFS('Conteo VACIO'!G:G,'Conteo VACIO'!$A:$A,$D148)</f>
        <v>270</v>
      </c>
      <c r="AB148" s="612">
        <v>1000</v>
      </c>
      <c r="AD148" s="613" t="s">
        <v>1470</v>
      </c>
      <c r="AE148" s="530">
        <f>IF(D148="Corb-LK",SUMIFS('Est Madre LK 10-25'!C:C,'Est Madre LK 10-25'!D:D,"si"),IF(D148="Corb-CH",SUMIFS('Est Madre CH 10-25'!C:C,'Est Madre CH 10-25'!D:D,"si"),0)+IFERROR(VLOOKUP(D148,'Est Madre LK 10-25'!$A:$C,3,),IFERROR(VLOOKUP(D148,'Est Madre CH 10-25'!$A:$C,3,),0)))</f>
        <v>618</v>
      </c>
      <c r="AF148" s="537">
        <v>12000</v>
      </c>
      <c r="AG148" s="538">
        <v>6</v>
      </c>
      <c r="AH148" s="806">
        <v>115.9353</v>
      </c>
      <c r="AI148" s="807" t="str">
        <f>+VLOOKUP(D148,'[1]Chef Troquel'!$A$4:$F$92,5,0)</f>
        <v>T.Loke</v>
      </c>
      <c r="AJ148" s="538" t="s">
        <v>1662</v>
      </c>
      <c r="AK148" s="630">
        <v>4</v>
      </c>
    </row>
    <row r="149" spans="1:37" ht="5.7" customHeight="1" thickBot="1" x14ac:dyDescent="0.4">
      <c r="C149" s="348"/>
      <c r="D149" s="294"/>
      <c r="E149" s="127"/>
      <c r="F149" s="299"/>
      <c r="G149" s="310"/>
      <c r="H149" s="631"/>
      <c r="I149" s="310"/>
      <c r="J149" s="310"/>
      <c r="L149" s="458"/>
      <c r="M149" s="459"/>
      <c r="O149" s="687"/>
      <c r="P149" s="383"/>
      <c r="Q149" s="338"/>
      <c r="R149" s="687"/>
      <c r="S149" s="718"/>
      <c r="T149" s="460"/>
      <c r="U149" s="460"/>
      <c r="W149" s="460"/>
      <c r="X149" s="460"/>
      <c r="Z149" s="872"/>
      <c r="AA149" s="872"/>
      <c r="AB149" s="873"/>
      <c r="AD149" s="874"/>
      <c r="AE149" s="875"/>
      <c r="AF149" s="873"/>
      <c r="AG149" s="876"/>
      <c r="AH149" s="877"/>
      <c r="AI149" s="878"/>
      <c r="AJ149" s="876"/>
      <c r="AK149" s="874"/>
    </row>
    <row r="150" spans="1:37" ht="18" customHeight="1" thickBot="1" x14ac:dyDescent="0.4">
      <c r="A150" t="s">
        <v>1470</v>
      </c>
      <c r="C150" s="680">
        <v>2320700</v>
      </c>
      <c r="D150" s="297">
        <v>54</v>
      </c>
      <c r="E150" s="489" t="str">
        <f>+VLOOKUP(D150,'Conteo VACIO'!$A$8:$D$226,4,0)</f>
        <v>N3A</v>
      </c>
      <c r="F150" s="323" t="s">
        <v>1041</v>
      </c>
      <c r="G150" s="356" t="s">
        <v>1381</v>
      </c>
      <c r="H150" s="632"/>
      <c r="I150" s="476"/>
      <c r="J150" s="310"/>
      <c r="L150" s="902">
        <f>+IFERROR(Q150/P150,0)</f>
        <v>16.145833333333332</v>
      </c>
      <c r="M150" s="948">
        <f>+IFERROR(U150/X150,0)</f>
        <v>16.145833333333332</v>
      </c>
      <c r="O150" s="760">
        <f t="shared" ref="O150:O153" si="38">IF(P150-Q150-R150&lt;0,0,P150-Q150-R150)</f>
        <v>0</v>
      </c>
      <c r="P150" s="486">
        <f>+IFERROR(AE150*AK150,0)</f>
        <v>96</v>
      </c>
      <c r="Q150" s="346">
        <f>+(Z150*AB150)+AA150</f>
        <v>1550</v>
      </c>
      <c r="R150" s="751"/>
      <c r="T150" s="401">
        <f>+IFERROR(SUMIFS('Stock CD'!D:D,D92,'Stock CD'!C:C),0)</f>
        <v>0</v>
      </c>
      <c r="U150" s="404">
        <f>+T150+Q150</f>
        <v>1550</v>
      </c>
      <c r="W150" s="401">
        <f>+IFERROR(VLOOKUP(D150,'Stock CD'!B:I,8,0),0)</f>
        <v>0</v>
      </c>
      <c r="X150" s="404">
        <f>+W150+P150</f>
        <v>96</v>
      </c>
      <c r="Z150" s="622">
        <f>+SUMIFS('Conteo VACIO'!F:F,'Conteo VACIO'!$A:$A,$D150)</f>
        <v>1</v>
      </c>
      <c r="AA150" s="622">
        <f>+SUMIFS('Conteo VACIO'!G:G,'Conteo VACIO'!$A:$A,$D150)</f>
        <v>550</v>
      </c>
      <c r="AB150" s="623">
        <v>1000</v>
      </c>
      <c r="AD150" s="624" t="s">
        <v>1470</v>
      </c>
      <c r="AE150" s="625">
        <f>IF(D150="Corb-LK",SUMIFS('Est Madre LK 10-25'!C:C,'Est Madre LK 10-25'!D:D,"si"),IF(D150="Corb-CH",SUMIFS('Est Madre CH 10-25'!C:C,'Est Madre CH 10-25'!D:D,"si"),0)+IFERROR(VLOOKUP(D150,'Est Madre LK 10-25'!$A:$C,3,),IFERROR(VLOOKUP(D150,'Est Madre CH 10-25'!$A:$C,3,),0)))</f>
        <v>24</v>
      </c>
      <c r="AF150" s="626">
        <v>12000</v>
      </c>
      <c r="AG150" s="627">
        <v>8</v>
      </c>
      <c r="AH150" s="832">
        <v>86.485752000000005</v>
      </c>
      <c r="AI150" s="756" t="str">
        <f>+VLOOKUP("053",'[1]Chef Troquel'!$A$4:$F$92,5,0)</f>
        <v>T.Loke</v>
      </c>
      <c r="AJ150" s="627" t="s">
        <v>1662</v>
      </c>
      <c r="AK150" s="630">
        <v>4</v>
      </c>
    </row>
    <row r="151" spans="1:37" ht="18" customHeight="1" thickBot="1" x14ac:dyDescent="0.4">
      <c r="A151" t="s">
        <v>1470</v>
      </c>
      <c r="C151" s="681">
        <v>2320700</v>
      </c>
      <c r="D151" s="302">
        <v>53</v>
      </c>
      <c r="E151" s="128" t="str">
        <f>+VLOOKUP(D151,'Conteo VACIO'!$A$8:$D$226,4,0)</f>
        <v>O3A</v>
      </c>
      <c r="F151" s="322" t="s">
        <v>1041</v>
      </c>
      <c r="G151" s="329" t="s">
        <v>1383</v>
      </c>
      <c r="H151" s="632"/>
      <c r="I151" s="477"/>
      <c r="J151" s="310"/>
      <c r="L151" s="903">
        <f>+IFERROR(Q151/P151,0)</f>
        <v>5.208333333333333</v>
      </c>
      <c r="M151" s="949">
        <f>+IFERROR(U151/X151,0)</f>
        <v>5.208333333333333</v>
      </c>
      <c r="O151" s="957">
        <f t="shared" si="38"/>
        <v>0</v>
      </c>
      <c r="P151" s="487">
        <f>+IFERROR(AE151*AK151,0)</f>
        <v>192</v>
      </c>
      <c r="Q151" s="345">
        <f>+(Z151*AB151)+AA151</f>
        <v>1000</v>
      </c>
      <c r="R151" s="753"/>
      <c r="T151" s="402">
        <f>+IFERROR(SUMIFS('Stock CD'!D:D,D33,'Stock CD'!C:C),0)</f>
        <v>0</v>
      </c>
      <c r="U151" s="405">
        <f>+T151+Q151</f>
        <v>1000</v>
      </c>
      <c r="W151" s="402">
        <f>+IFERROR(VLOOKUP(D151,'Stock CD'!B:I,8,0),0)</f>
        <v>0</v>
      </c>
      <c r="X151" s="405">
        <f>+W151+P151</f>
        <v>192</v>
      </c>
      <c r="Z151" s="305">
        <f>+SUMIFS('Conteo VACIO'!F:F,'Conteo VACIO'!$A:$A,$D151)</f>
        <v>1</v>
      </c>
      <c r="AA151" s="305">
        <f>+SUMIFS('Conteo VACIO'!G:G,'Conteo VACIO'!$A:$A,$D151)</f>
        <v>0</v>
      </c>
      <c r="AB151" s="517">
        <v>1000</v>
      </c>
      <c r="AD151" s="430" t="s">
        <v>1470</v>
      </c>
      <c r="AE151" s="414">
        <f>IF(D151="Corb-LK",SUMIFS('Est Madre LK 10-25'!C:C,'Est Madre LK 10-25'!D:D,"si"),IF(D151="Corb-CH",SUMIFS('Est Madre CH 10-25'!C:C,'Est Madre CH 10-25'!D:D,"si"),0)+IFERROR(VLOOKUP(D151,'Est Madre LK 10-25'!$A:$C,3,),IFERROR(VLOOKUP(D151,'Est Madre CH 10-25'!$A:$C,3,),0)))</f>
        <v>48</v>
      </c>
      <c r="AF151" s="362">
        <v>12000</v>
      </c>
      <c r="AG151" s="260">
        <v>8</v>
      </c>
      <c r="AH151" s="721">
        <v>86.485752000000005</v>
      </c>
      <c r="AI151" s="723" t="str">
        <f>+VLOOKUP("054",'[1]Chef Troquel'!$A$4:$F$92,5,0)</f>
        <v>T.Loke</v>
      </c>
      <c r="AJ151" s="260" t="s">
        <v>1662</v>
      </c>
      <c r="AK151" s="630">
        <v>4</v>
      </c>
    </row>
    <row r="152" spans="1:37" ht="18" customHeight="1" thickBot="1" x14ac:dyDescent="0.4">
      <c r="A152" t="s">
        <v>1470</v>
      </c>
      <c r="C152" s="681">
        <v>2320700</v>
      </c>
      <c r="D152" s="302">
        <v>800</v>
      </c>
      <c r="E152" s="128" t="str">
        <f>+VLOOKUP(D152,'Conteo VACIO'!$A$8:$D$226,4,0)</f>
        <v>O5A</v>
      </c>
      <c r="F152" s="322" t="s">
        <v>1041</v>
      </c>
      <c r="G152" s="329" t="s">
        <v>1375</v>
      </c>
      <c r="H152" s="632"/>
      <c r="I152" s="477"/>
      <c r="J152" s="310"/>
      <c r="L152" s="903">
        <f>+IFERROR(Q152/P152,0)</f>
        <v>2.6041666666666665</v>
      </c>
      <c r="M152" s="949">
        <f>+IFERROR(U152/X152,0)</f>
        <v>2.6041666666666665</v>
      </c>
      <c r="O152" s="957">
        <f t="shared" si="38"/>
        <v>0</v>
      </c>
      <c r="P152" s="487">
        <f>+IFERROR(AE152*AK152,0)</f>
        <v>288</v>
      </c>
      <c r="Q152" s="345">
        <f>+(Z152*AB152)+AA152</f>
        <v>750</v>
      </c>
      <c r="R152" s="753"/>
      <c r="T152" s="402">
        <f>+IFERROR(SUMIFS('Stock CD'!D:D,D35,'Stock CD'!C:C),0)</f>
        <v>0</v>
      </c>
      <c r="U152" s="405">
        <f>+T152+Q152</f>
        <v>750</v>
      </c>
      <c r="W152" s="402">
        <f>+IFERROR(VLOOKUP(D152,'Stock CD'!B:I,8,0),0)</f>
        <v>0</v>
      </c>
      <c r="X152" s="405">
        <f>+W152+P152</f>
        <v>288</v>
      </c>
      <c r="Z152" s="305">
        <f>+SUMIFS('Conteo VACIO'!F:F,'Conteo VACIO'!$A:$A,$D152)</f>
        <v>0</v>
      </c>
      <c r="AA152" s="305">
        <f>+SUMIFS('Conteo VACIO'!G:G,'Conteo VACIO'!$A:$A,$D152)</f>
        <v>750</v>
      </c>
      <c r="AB152" s="517">
        <v>1000</v>
      </c>
      <c r="AD152" s="430" t="s">
        <v>1470</v>
      </c>
      <c r="AE152" s="414">
        <f>IF(D152="Corb-LK",SUMIFS('Est Madre LK 10-25'!C:C,'Est Madre LK 10-25'!D:D,"si"),IF(D152="Corb-CH",SUMIFS('Est Madre CH 10-25'!C:C,'Est Madre CH 10-25'!D:D,"si"),0)+IFERROR(VLOOKUP(D152,'Est Madre LK 10-25'!$A:$C,3,),IFERROR(VLOOKUP(D152,'Est Madre CH 10-25'!$A:$C,3,),0)))</f>
        <v>72</v>
      </c>
      <c r="AF152" s="362">
        <v>12000</v>
      </c>
      <c r="AG152" s="260">
        <v>8</v>
      </c>
      <c r="AH152" s="721">
        <v>86.485752000000005</v>
      </c>
      <c r="AI152" s="723" t="str">
        <f>+VLOOKUP(D152,'[1]Chef Troquel'!$A$4:$F$92,5,0)</f>
        <v>T.Loke</v>
      </c>
      <c r="AJ152" s="260" t="s">
        <v>1662</v>
      </c>
      <c r="AK152" s="630">
        <v>4</v>
      </c>
    </row>
    <row r="153" spans="1:37" ht="18" customHeight="1" thickBot="1" x14ac:dyDescent="0.4">
      <c r="A153" t="s">
        <v>1470</v>
      </c>
      <c r="C153" s="683">
        <v>2320700</v>
      </c>
      <c r="D153" s="298">
        <v>55</v>
      </c>
      <c r="E153" s="130" t="str">
        <f>+VLOOKUP(D153,'Conteo VACIO'!$A$8:$D$226,4,0)</f>
        <v>Q3A</v>
      </c>
      <c r="F153" s="324" t="s">
        <v>1041</v>
      </c>
      <c r="G153" s="357" t="s">
        <v>1384</v>
      </c>
      <c r="H153" s="632"/>
      <c r="I153" s="478"/>
      <c r="J153" s="310"/>
      <c r="L153" s="904">
        <f>+IFERROR(Q153/P153,0)</f>
        <v>5.208333333333333</v>
      </c>
      <c r="M153" s="950">
        <f>+IFERROR(U153/X153,0)</f>
        <v>5.208333333333333</v>
      </c>
      <c r="O153" s="957">
        <f t="shared" si="38"/>
        <v>0</v>
      </c>
      <c r="P153" s="488">
        <f>+IFERROR(AE153*AK153,0)</f>
        <v>384</v>
      </c>
      <c r="Q153" s="347">
        <f>+(Z153*AB153)+AA153</f>
        <v>2000</v>
      </c>
      <c r="R153" s="755"/>
      <c r="T153" s="403">
        <f>+IFERROR(SUMIFS('Stock CD'!D:D,D37,'Stock CD'!C:C),0)</f>
        <v>0</v>
      </c>
      <c r="U153" s="406">
        <f>+T153+Q153</f>
        <v>2000</v>
      </c>
      <c r="W153" s="403">
        <f>+IFERROR(VLOOKUP(D153,'Stock CD'!B:I,8,0),0)</f>
        <v>0</v>
      </c>
      <c r="X153" s="406">
        <f>+W153+P153</f>
        <v>384</v>
      </c>
      <c r="Z153" s="611">
        <f>+SUMIFS('Conteo VACIO'!F:F,'Conteo VACIO'!$A:$A,$D153)</f>
        <v>2</v>
      </c>
      <c r="AA153" s="611">
        <f>+SUMIFS('Conteo VACIO'!G:G,'Conteo VACIO'!$A:$A,$D153)</f>
        <v>0</v>
      </c>
      <c r="AB153" s="612">
        <v>1000</v>
      </c>
      <c r="AD153" s="613" t="s">
        <v>1470</v>
      </c>
      <c r="AE153" s="530">
        <f>IF(D153="Corb-LK",SUMIFS('Est Madre LK 10-25'!C:C,'Est Madre LK 10-25'!D:D,"si"),IF(D153="Corb-CH",SUMIFS('Est Madre CH 10-25'!C:C,'Est Madre CH 10-25'!D:D,"si"),0)+IFERROR(VLOOKUP(D153,'Est Madre LK 10-25'!$A:$C,3,),IFERROR(VLOOKUP(D153,'Est Madre CH 10-25'!$A:$C,3,),0)))</f>
        <v>96</v>
      </c>
      <c r="AF153" s="537">
        <v>12000</v>
      </c>
      <c r="AG153" s="538">
        <v>8</v>
      </c>
      <c r="AH153" s="806">
        <v>86.485752000000005</v>
      </c>
      <c r="AI153" s="807" t="str">
        <f>+VLOOKUP("055",'[1]Chef Troquel'!$A$4:$F$92,5,0)</f>
        <v>T.Loke</v>
      </c>
      <c r="AJ153" s="538" t="s">
        <v>1662</v>
      </c>
      <c r="AK153" s="630">
        <v>4</v>
      </c>
    </row>
    <row r="154" spans="1:37" ht="6" customHeight="1" thickBot="1" x14ac:dyDescent="0.4">
      <c r="C154" s="348"/>
      <c r="D154" s="294"/>
      <c r="E154" s="127"/>
      <c r="F154" s="299"/>
      <c r="G154" s="310"/>
      <c r="H154" s="127"/>
      <c r="I154" s="310"/>
      <c r="J154" s="310"/>
      <c r="L154" s="458"/>
      <c r="M154" s="459"/>
      <c r="O154" s="687"/>
      <c r="P154" s="383"/>
      <c r="Q154" s="338"/>
      <c r="R154" s="687"/>
      <c r="S154" s="718"/>
      <c r="T154" s="460"/>
      <c r="U154" s="460"/>
      <c r="W154" s="460"/>
      <c r="X154" s="460"/>
      <c r="Z154" s="872"/>
      <c r="AA154" s="872"/>
      <c r="AB154" s="873"/>
      <c r="AD154" s="874"/>
      <c r="AE154" s="875"/>
      <c r="AF154" s="873"/>
      <c r="AG154" s="876"/>
      <c r="AH154" s="877"/>
      <c r="AI154" s="878"/>
      <c r="AJ154" s="876"/>
      <c r="AK154" s="874"/>
    </row>
    <row r="155" spans="1:37" ht="18" customHeight="1" thickBot="1" x14ac:dyDescent="0.4">
      <c r="A155" t="s">
        <v>1470</v>
      </c>
      <c r="C155" s="680">
        <v>2315700</v>
      </c>
      <c r="D155" s="297">
        <v>709</v>
      </c>
      <c r="E155" s="489" t="str">
        <f>+VLOOKUP(D155,'Conteo VACIO'!$A$8:$D$226,4,0)</f>
        <v>P3A</v>
      </c>
      <c r="F155" s="323" t="s">
        <v>1041</v>
      </c>
      <c r="G155" s="356" t="s">
        <v>786</v>
      </c>
      <c r="H155" s="632"/>
      <c r="I155" s="476"/>
      <c r="J155" s="310"/>
      <c r="L155" s="902">
        <f t="shared" ref="L155:L164" si="39">+IFERROR(Q155/P155,0)</f>
        <v>0</v>
      </c>
      <c r="M155" s="948">
        <f t="shared" ref="M155:M162" si="40">+IFERROR(U155/X155,0)</f>
        <v>0</v>
      </c>
      <c r="O155" s="760">
        <f t="shared" ref="O155:O164" si="41">IF(P155-Q155-R155&lt;0,0,P155-Q155-R155)</f>
        <v>96</v>
      </c>
      <c r="P155" s="486">
        <f t="shared" ref="P155:P164" si="42">+IFERROR(AE155*AK155,0)</f>
        <v>96</v>
      </c>
      <c r="Q155" s="346">
        <f t="shared" ref="Q155:Q162" si="43">+(Z155*AB155)+AA155</f>
        <v>0</v>
      </c>
      <c r="R155" s="751"/>
      <c r="T155" s="401">
        <f>+IFERROR(SUMIFS('Stock CD'!D:D,D59,'Stock CD'!C:C),0)</f>
        <v>0</v>
      </c>
      <c r="U155" s="404">
        <f t="shared" ref="U155:U164" si="44">+T155+Q155</f>
        <v>0</v>
      </c>
      <c r="W155" s="401">
        <f>+IFERROR(VLOOKUP(D155,'Stock CD'!B:I,8,0),0)</f>
        <v>0</v>
      </c>
      <c r="X155" s="404">
        <f t="shared" ref="X155:X164" si="45">+W155+P155</f>
        <v>96</v>
      </c>
      <c r="Z155" s="622">
        <f>+SUMIFS('Conteo VACIO'!F:F,'Conteo VACIO'!$A:$A,$D155)</f>
        <v>0</v>
      </c>
      <c r="AA155" s="622">
        <f>+SUMIFS('Conteo VACIO'!G:G,'Conteo VACIO'!$A:$A,$D155)</f>
        <v>0</v>
      </c>
      <c r="AB155" s="623">
        <v>1000</v>
      </c>
      <c r="AD155" s="624" t="s">
        <v>1470</v>
      </c>
      <c r="AE155" s="625">
        <f>IF(D155="Corb-LK",SUMIFS('Est Madre LK 10-25'!C:C,'Est Madre LK 10-25'!D:D,"si"),IF(D155="Corb-CH",SUMIFS('Est Madre CH 10-25'!C:C,'Est Madre CH 10-25'!D:D,"si"),0)+IFERROR(VLOOKUP(D155,'Est Madre LK 10-25'!$A:$C,3,),IFERROR(VLOOKUP(D155,'Est Madre CH 10-25'!$A:$C,3,),0)))</f>
        <v>24</v>
      </c>
      <c r="AF155" s="626">
        <v>12000</v>
      </c>
      <c r="AG155" s="627">
        <v>12</v>
      </c>
      <c r="AH155" s="832">
        <v>68.570279999999997</v>
      </c>
      <c r="AI155" s="756" t="str">
        <f>+VLOOKUP(D155,'[1]Chef Troquel'!$A$4:$F$92,5,0)</f>
        <v>T.Loke</v>
      </c>
      <c r="AJ155" s="627" t="s">
        <v>1662</v>
      </c>
      <c r="AK155" s="630">
        <v>4</v>
      </c>
    </row>
    <row r="156" spans="1:37" ht="18" customHeight="1" thickBot="1" x14ac:dyDescent="0.4">
      <c r="A156" t="s">
        <v>1470</v>
      </c>
      <c r="C156" s="681">
        <v>2315700</v>
      </c>
      <c r="D156" s="302">
        <v>878</v>
      </c>
      <c r="E156" s="128" t="str">
        <f>+VLOOKUP(D156,'Conteo VACIO'!$A$8:$D$226,4,0)</f>
        <v>S3A</v>
      </c>
      <c r="F156" s="322" t="s">
        <v>1041</v>
      </c>
      <c r="G156" s="329" t="s">
        <v>1746</v>
      </c>
      <c r="H156" s="632"/>
      <c r="I156" s="477"/>
      <c r="J156" s="310"/>
      <c r="L156" s="903">
        <f t="shared" si="39"/>
        <v>1.328125</v>
      </c>
      <c r="M156" s="949">
        <f t="shared" si="40"/>
        <v>1.328125</v>
      </c>
      <c r="O156" s="957">
        <f t="shared" si="41"/>
        <v>0</v>
      </c>
      <c r="P156" s="487">
        <f t="shared" si="42"/>
        <v>960</v>
      </c>
      <c r="Q156" s="345">
        <f t="shared" si="43"/>
        <v>1275</v>
      </c>
      <c r="R156" s="753"/>
      <c r="T156" s="402">
        <f>+IFERROR(SUMIFS('Stock CD'!D:D,D82,'Stock CD'!C:C),0)</f>
        <v>0</v>
      </c>
      <c r="U156" s="405">
        <f t="shared" si="44"/>
        <v>1275</v>
      </c>
      <c r="W156" s="402">
        <f>+IFERROR(VLOOKUP(D156,'Stock CD'!B:I,8,0),0)</f>
        <v>0</v>
      </c>
      <c r="X156" s="405">
        <f t="shared" si="45"/>
        <v>960</v>
      </c>
      <c r="Z156" s="305">
        <f>+SUMIFS('Conteo VACIO'!F:F,'Conteo VACIO'!$A:$A,$D156)</f>
        <v>1</v>
      </c>
      <c r="AA156" s="305">
        <f>+SUMIFS('Conteo VACIO'!G:G,'Conteo VACIO'!$A:$A,$D156)</f>
        <v>275</v>
      </c>
      <c r="AB156" s="517">
        <v>1000</v>
      </c>
      <c r="AD156" s="430" t="s">
        <v>1470</v>
      </c>
      <c r="AE156" s="414">
        <f>IF(D156="Corb-LK",SUMIFS('Est Madre LK 10-25'!C:C,'Est Madre LK 10-25'!D:D,"si"),IF(D156="Corb-CH",SUMIFS('Est Madre CH 10-25'!C:C,'Est Madre CH 10-25'!D:D,"si"),0)+IFERROR(VLOOKUP(D156,'Est Madre LK 10-25'!$A:$C,3,),IFERROR(VLOOKUP(D156,'Est Madre CH 10-25'!$A:$C,3,),0)))</f>
        <v>240</v>
      </c>
      <c r="AF156" s="362">
        <v>12000</v>
      </c>
      <c r="AG156" s="260">
        <v>12</v>
      </c>
      <c r="AH156" s="721">
        <v>68.570279999999997</v>
      </c>
      <c r="AI156" s="723" t="str">
        <f>+VLOOKUP(D156,'[1]Chef Troquel'!$A$4:$F$92,5,0)</f>
        <v>T.Loke</v>
      </c>
      <c r="AJ156" s="260" t="s">
        <v>1662</v>
      </c>
      <c r="AK156" s="630">
        <v>4</v>
      </c>
    </row>
    <row r="157" spans="1:37" ht="18" customHeight="1" thickBot="1" x14ac:dyDescent="0.4">
      <c r="A157" t="s">
        <v>1470</v>
      </c>
      <c r="C157" s="681">
        <v>2315700</v>
      </c>
      <c r="D157" s="302">
        <v>719</v>
      </c>
      <c r="E157" s="128" t="str">
        <f>+VLOOKUP(D157,'Conteo VACIO'!$A$8:$D$226,4,0)</f>
        <v>Ñ3</v>
      </c>
      <c r="F157" s="322" t="s">
        <v>1041</v>
      </c>
      <c r="G157" s="329" t="s">
        <v>1754</v>
      </c>
      <c r="H157" s="632"/>
      <c r="I157" s="477"/>
      <c r="J157" s="310"/>
      <c r="L157" s="903">
        <f t="shared" si="39"/>
        <v>3.4722222222222223</v>
      </c>
      <c r="M157" s="949">
        <f t="shared" si="40"/>
        <v>3.4722222222222223</v>
      </c>
      <c r="O157" s="957">
        <f t="shared" si="41"/>
        <v>0</v>
      </c>
      <c r="P157" s="487">
        <f t="shared" si="42"/>
        <v>288</v>
      </c>
      <c r="Q157" s="345">
        <f t="shared" si="43"/>
        <v>1000</v>
      </c>
      <c r="R157" s="753"/>
      <c r="T157" s="402">
        <f>+IFERROR(SUMIFS('Stock CD'!D:D,D75,'Stock CD'!C:C),0)</f>
        <v>0</v>
      </c>
      <c r="U157" s="405">
        <f t="shared" si="44"/>
        <v>1000</v>
      </c>
      <c r="W157" s="402">
        <f>+IFERROR(VLOOKUP(D157,'Stock CD'!B:I,8,0),0)</f>
        <v>0</v>
      </c>
      <c r="X157" s="405">
        <f t="shared" si="45"/>
        <v>288</v>
      </c>
      <c r="Z157" s="305">
        <f>+SUMIFS('Conteo VACIO'!F:F,'Conteo VACIO'!$A:$A,$D157)</f>
        <v>0</v>
      </c>
      <c r="AA157" s="305">
        <f>+SUMIFS('Conteo VACIO'!G:G,'Conteo VACIO'!$A:$A,$D157)</f>
        <v>1000</v>
      </c>
      <c r="AB157" s="517">
        <v>1000</v>
      </c>
      <c r="AD157" s="430" t="s">
        <v>1470</v>
      </c>
      <c r="AE157" s="414">
        <f>IF(D157="Corb-LK",SUMIFS('Est Madre LK 10-25'!C:C,'Est Madre LK 10-25'!D:D,"si"),IF(D157="Corb-CH",SUMIFS('Est Madre CH 10-25'!C:C,'Est Madre CH 10-25'!D:D,"si"),0)+IFERROR(VLOOKUP(D157,'Est Madre LK 10-25'!$A:$C,3,),IFERROR(VLOOKUP(D157,'Est Madre CH 10-25'!$A:$C,3,),0)))</f>
        <v>72</v>
      </c>
      <c r="AF157" s="362">
        <v>12000</v>
      </c>
      <c r="AG157" s="260">
        <v>12</v>
      </c>
      <c r="AH157" s="721">
        <v>68.570279999999997</v>
      </c>
      <c r="AI157" s="723" t="str">
        <f>+VLOOKUP(D157,'[1]Chef Troquel'!$A$4:$F$92,5,0)</f>
        <v>T.Loke</v>
      </c>
      <c r="AJ157" s="260" t="s">
        <v>1662</v>
      </c>
      <c r="AK157" s="630">
        <v>4</v>
      </c>
    </row>
    <row r="158" spans="1:37" ht="18" customHeight="1" thickBot="1" x14ac:dyDescent="0.4">
      <c r="A158" t="s">
        <v>1470</v>
      </c>
      <c r="C158" s="681">
        <v>2315700</v>
      </c>
      <c r="D158" s="302">
        <v>732</v>
      </c>
      <c r="E158" s="128" t="str">
        <f>+VLOOKUP(D158,'Conteo VACIO'!$A$8:$D$226,4,0)</f>
        <v>Ñ5</v>
      </c>
      <c r="F158" s="322" t="s">
        <v>1041</v>
      </c>
      <c r="G158" s="329" t="s">
        <v>1372</v>
      </c>
      <c r="H158" s="632"/>
      <c r="I158" s="477"/>
      <c r="J158" s="310"/>
      <c r="L158" s="903">
        <f t="shared" si="39"/>
        <v>2.6041666666666665</v>
      </c>
      <c r="M158" s="949">
        <f t="shared" si="40"/>
        <v>2.6041666666666665</v>
      </c>
      <c r="O158" s="957">
        <f t="shared" si="41"/>
        <v>0</v>
      </c>
      <c r="P158" s="487">
        <f t="shared" si="42"/>
        <v>384</v>
      </c>
      <c r="Q158" s="345">
        <f t="shared" si="43"/>
        <v>1000</v>
      </c>
      <c r="R158" s="753"/>
      <c r="T158" s="402">
        <f>+IFERROR(SUMIFS('Stock CD'!D:D,D76,'Stock CD'!C:C),0)</f>
        <v>0</v>
      </c>
      <c r="U158" s="405">
        <f t="shared" si="44"/>
        <v>1000</v>
      </c>
      <c r="W158" s="402">
        <f>+IFERROR(VLOOKUP(D158,'Stock CD'!B:I,8,0),0)</f>
        <v>0</v>
      </c>
      <c r="X158" s="405">
        <f t="shared" si="45"/>
        <v>384</v>
      </c>
      <c r="Z158" s="305">
        <f>+SUMIFS('Conteo VACIO'!F:F,'Conteo VACIO'!$A:$A,$D158)</f>
        <v>1</v>
      </c>
      <c r="AA158" s="305">
        <f>+SUMIFS('Conteo VACIO'!G:G,'Conteo VACIO'!$A:$A,$D158)</f>
        <v>0</v>
      </c>
      <c r="AB158" s="517">
        <v>1000</v>
      </c>
      <c r="AD158" s="430" t="s">
        <v>1470</v>
      </c>
      <c r="AE158" s="414">
        <f>IF(D158="Corb-LK",SUMIFS('Est Madre LK 10-25'!C:C,'Est Madre LK 10-25'!D:D,"si"),IF(D158="Corb-CH",SUMIFS('Est Madre CH 10-25'!C:C,'Est Madre CH 10-25'!D:D,"si"),0)+IFERROR(VLOOKUP(D158,'Est Madre LK 10-25'!$A:$C,3,),IFERROR(VLOOKUP(D158,'Est Madre CH 10-25'!$A:$C,3,),0)))</f>
        <v>96</v>
      </c>
      <c r="AF158" s="362">
        <v>12000</v>
      </c>
      <c r="AG158" s="260">
        <v>12</v>
      </c>
      <c r="AH158" s="721">
        <v>68.570279999999997</v>
      </c>
      <c r="AI158" s="723" t="str">
        <f>+VLOOKUP(D158,'[1]Chef Troquel'!$A$4:$F$92,5,0)</f>
        <v>T.Loke/Huevo</v>
      </c>
      <c r="AJ158" s="260" t="s">
        <v>1662</v>
      </c>
      <c r="AK158" s="630">
        <v>4</v>
      </c>
    </row>
    <row r="159" spans="1:37" ht="18" customHeight="1" thickBot="1" x14ac:dyDescent="0.4">
      <c r="A159" t="s">
        <v>1470</v>
      </c>
      <c r="C159" s="681">
        <v>2315700</v>
      </c>
      <c r="D159" s="302">
        <v>816</v>
      </c>
      <c r="E159" s="128" t="str">
        <f>+VLOOKUP(D159,'Conteo VACIO'!$A$8:$D$226,4,0)</f>
        <v>Q7B</v>
      </c>
      <c r="F159" s="322" t="s">
        <v>1041</v>
      </c>
      <c r="G159" s="329" t="s">
        <v>1743</v>
      </c>
      <c r="H159" s="632"/>
      <c r="I159" s="477"/>
      <c r="J159" s="310"/>
      <c r="L159" s="903">
        <f t="shared" si="39"/>
        <v>2.7696078431372548</v>
      </c>
      <c r="M159" s="949">
        <f t="shared" si="40"/>
        <v>2.7696078431372548</v>
      </c>
      <c r="O159" s="957">
        <f t="shared" si="41"/>
        <v>0</v>
      </c>
      <c r="P159" s="487">
        <f t="shared" si="42"/>
        <v>816</v>
      </c>
      <c r="Q159" s="345">
        <f t="shared" si="43"/>
        <v>2260</v>
      </c>
      <c r="R159" s="753"/>
      <c r="T159" s="402">
        <f>+IFERROR(SUMIFS('Stock CD'!D:D,D81,'Stock CD'!C:C),0)</f>
        <v>0</v>
      </c>
      <c r="U159" s="405">
        <f t="shared" si="44"/>
        <v>2260</v>
      </c>
      <c r="W159" s="402">
        <f>+IFERROR(VLOOKUP(D159,'Stock CD'!B:I,8,0),0)</f>
        <v>0</v>
      </c>
      <c r="X159" s="405">
        <f t="shared" si="45"/>
        <v>816</v>
      </c>
      <c r="Z159" s="305">
        <f>+SUMIFS('Conteo VACIO'!F:F,'Conteo VACIO'!$A:$A,$D159)</f>
        <v>2</v>
      </c>
      <c r="AA159" s="305">
        <f>+SUMIFS('Conteo VACIO'!G:G,'Conteo VACIO'!$A:$A,$D159)</f>
        <v>260</v>
      </c>
      <c r="AB159" s="517">
        <v>1000</v>
      </c>
      <c r="AD159" s="430" t="s">
        <v>1470</v>
      </c>
      <c r="AE159" s="414">
        <f>IF(D159="Corb-LK",SUMIFS('Est Madre LK 10-25'!C:C,'Est Madre LK 10-25'!D:D,"si"),IF(D159="Corb-CH",SUMIFS('Est Madre CH 10-25'!C:C,'Est Madre CH 10-25'!D:D,"si"),0)+IFERROR(VLOOKUP(D159,'Est Madre LK 10-25'!$A:$C,3,),IFERROR(VLOOKUP(D159,'Est Madre CH 10-25'!$A:$C,3,),0)))</f>
        <v>204</v>
      </c>
      <c r="AF159" s="362">
        <v>12000</v>
      </c>
      <c r="AG159" s="260">
        <v>12</v>
      </c>
      <c r="AH159" s="721">
        <v>68.570279999999997</v>
      </c>
      <c r="AI159" s="723" t="str">
        <f>+VLOOKUP(D159,'[1]Chef Troquel'!$A$4:$F$92,5,0)</f>
        <v>T.Loke</v>
      </c>
      <c r="AJ159" s="260" t="s">
        <v>1662</v>
      </c>
      <c r="AK159" s="630">
        <v>4</v>
      </c>
    </row>
    <row r="160" spans="1:37" ht="18" customHeight="1" thickBot="1" x14ac:dyDescent="0.4">
      <c r="A160" t="s">
        <v>1470</v>
      </c>
      <c r="C160" s="681">
        <v>2315700</v>
      </c>
      <c r="D160" s="302">
        <v>817</v>
      </c>
      <c r="E160" s="128" t="str">
        <f>+VLOOKUP(D160,'Conteo VACIO'!$A$8:$D$226,4,0)</f>
        <v>O2B</v>
      </c>
      <c r="F160" s="322" t="s">
        <v>1041</v>
      </c>
      <c r="G160" s="329" t="s">
        <v>1742</v>
      </c>
      <c r="H160" s="632"/>
      <c r="I160" s="477"/>
      <c r="J160" s="310"/>
      <c r="L160" s="903">
        <f t="shared" si="39"/>
        <v>0.80128205128205132</v>
      </c>
      <c r="M160" s="949">
        <f t="shared" si="40"/>
        <v>0.80128205128205132</v>
      </c>
      <c r="O160" s="957">
        <f t="shared" si="41"/>
        <v>248</v>
      </c>
      <c r="P160" s="487">
        <f t="shared" si="42"/>
        <v>1248</v>
      </c>
      <c r="Q160" s="345">
        <f t="shared" si="43"/>
        <v>1000</v>
      </c>
      <c r="R160" s="753"/>
      <c r="T160" s="402">
        <f>+IFERROR(SUMIFS('Stock CD'!D:D,D78,'Stock CD'!C:C),0)</f>
        <v>0</v>
      </c>
      <c r="U160" s="405">
        <f t="shared" si="44"/>
        <v>1000</v>
      </c>
      <c r="W160" s="402">
        <f>+IFERROR(VLOOKUP(D160,'Stock CD'!B:I,8,0),0)</f>
        <v>0</v>
      </c>
      <c r="X160" s="405">
        <f t="shared" si="45"/>
        <v>1248</v>
      </c>
      <c r="Z160" s="305">
        <f>+SUMIFS('Conteo VACIO'!F:F,'Conteo VACIO'!$A:$A,$D160)</f>
        <v>1</v>
      </c>
      <c r="AA160" s="305">
        <f>+SUMIFS('Conteo VACIO'!G:G,'Conteo VACIO'!$A:$A,$D160)</f>
        <v>0</v>
      </c>
      <c r="AB160" s="517">
        <v>1000</v>
      </c>
      <c r="AD160" s="430" t="s">
        <v>1470</v>
      </c>
      <c r="AE160" s="414">
        <f>IF(D160="Corb-LK",SUMIFS('Est Madre LK 10-25'!C:C,'Est Madre LK 10-25'!D:D,"si"),IF(D160="Corb-CH",SUMIFS('Est Madre CH 10-25'!C:C,'Est Madre CH 10-25'!D:D,"si"),0)+IFERROR(VLOOKUP(D160,'Est Madre LK 10-25'!$A:$C,3,),IFERROR(VLOOKUP(D160,'Est Madre CH 10-25'!$A:$C,3,),0)))</f>
        <v>312</v>
      </c>
      <c r="AF160" s="362">
        <v>12000</v>
      </c>
      <c r="AG160" s="260">
        <v>12</v>
      </c>
      <c r="AH160" s="721">
        <v>68.570279999999997</v>
      </c>
      <c r="AI160" s="723" t="str">
        <f>+VLOOKUP(D160,'[1]Chef Troquel'!$A$4:$F$92,5,0)</f>
        <v>T.Loke</v>
      </c>
      <c r="AJ160" s="260" t="s">
        <v>1662</v>
      </c>
      <c r="AK160" s="630">
        <v>4</v>
      </c>
    </row>
    <row r="161" spans="1:37" ht="18" customHeight="1" thickBot="1" x14ac:dyDescent="0.4">
      <c r="A161" t="s">
        <v>1470</v>
      </c>
      <c r="C161" s="681">
        <v>2315700</v>
      </c>
      <c r="D161" s="302">
        <v>97</v>
      </c>
      <c r="E161" s="128" t="str">
        <f>+VLOOKUP(D161,'Conteo VACIO'!$A$8:$D$226,4,0)</f>
        <v>S4A</v>
      </c>
      <c r="F161" s="322" t="s">
        <v>1041</v>
      </c>
      <c r="G161" s="329" t="s">
        <v>1385</v>
      </c>
      <c r="H161" s="632"/>
      <c r="I161" s="477"/>
      <c r="J161" s="310"/>
      <c r="L161" s="903">
        <f t="shared" si="39"/>
        <v>1.9345238095238095</v>
      </c>
      <c r="M161" s="949">
        <f t="shared" si="40"/>
        <v>1.9345238095238095</v>
      </c>
      <c r="O161" s="957">
        <f t="shared" si="41"/>
        <v>0</v>
      </c>
      <c r="P161" s="487">
        <f t="shared" si="42"/>
        <v>3360</v>
      </c>
      <c r="Q161" s="345">
        <f t="shared" si="43"/>
        <v>6500</v>
      </c>
      <c r="R161" s="753"/>
      <c r="T161" s="402">
        <f>+IFERROR(SUMIFS('Stock CD'!D:D,D84,'Stock CD'!C:C),0)</f>
        <v>0</v>
      </c>
      <c r="U161" s="405">
        <f t="shared" si="44"/>
        <v>6500</v>
      </c>
      <c r="W161" s="402">
        <f>+IFERROR(VLOOKUP(D161,'Stock CD'!B:I,8,0),0)</f>
        <v>0</v>
      </c>
      <c r="X161" s="405">
        <f t="shared" si="45"/>
        <v>3360</v>
      </c>
      <c r="Z161" s="305">
        <f>+SUMIFS('Conteo VACIO'!F:F,'Conteo VACIO'!$A:$A,$D161)</f>
        <v>6</v>
      </c>
      <c r="AA161" s="305">
        <f>+SUMIFS('Conteo VACIO'!G:G,'Conteo VACIO'!$A:$A,$D161)</f>
        <v>500</v>
      </c>
      <c r="AB161" s="517">
        <v>1000</v>
      </c>
      <c r="AD161" s="430" t="s">
        <v>1470</v>
      </c>
      <c r="AE161" s="414">
        <f>IF(D161="Corb-LK",SUMIFS('Est Madre LK 10-25'!C:C,'Est Madre LK 10-25'!D:D,"si"),IF(D161="Corb-CH",SUMIFS('Est Madre CH 10-25'!C:C,'Est Madre CH 10-25'!D:D,"si"),0)+IFERROR(VLOOKUP(D161,'Est Madre LK 10-25'!$A:$C,3,),IFERROR(VLOOKUP(D161,'Est Madre CH 10-25'!$A:$C,3,),0)))</f>
        <v>840</v>
      </c>
      <c r="AF161" s="362">
        <v>12000</v>
      </c>
      <c r="AG161" s="260">
        <v>12</v>
      </c>
      <c r="AH161" s="721">
        <v>68.570279999999997</v>
      </c>
      <c r="AI161" s="723" t="str">
        <f>+VLOOKUP("097",'[1]Chef Troquel'!$A$4:$F$92,5,0)</f>
        <v>T.Loke</v>
      </c>
      <c r="AJ161" s="260" t="s">
        <v>1662</v>
      </c>
      <c r="AK161" s="630">
        <v>4</v>
      </c>
    </row>
    <row r="162" spans="1:37" ht="18" customHeight="1" thickBot="1" x14ac:dyDescent="0.4">
      <c r="A162" t="s">
        <v>1470</v>
      </c>
      <c r="C162" s="681">
        <v>2320700</v>
      </c>
      <c r="D162" s="302">
        <v>707</v>
      </c>
      <c r="E162" s="128" t="str">
        <f>+VLOOKUP(D162,'Conteo VACIO'!$A$8:$D$226,4,0)</f>
        <v>N6C</v>
      </c>
      <c r="F162" s="322" t="s">
        <v>1041</v>
      </c>
      <c r="G162" s="329" t="s">
        <v>243</v>
      </c>
      <c r="H162" s="632"/>
      <c r="I162" s="477"/>
      <c r="J162" s="310"/>
      <c r="L162" s="903">
        <f t="shared" si="39"/>
        <v>15.104166666666666</v>
      </c>
      <c r="M162" s="949">
        <f t="shared" si="40"/>
        <v>15.104166666666666</v>
      </c>
      <c r="O162" s="957">
        <f t="shared" si="41"/>
        <v>0</v>
      </c>
      <c r="P162" s="487">
        <f t="shared" si="42"/>
        <v>192</v>
      </c>
      <c r="Q162" s="345">
        <f t="shared" si="43"/>
        <v>2900</v>
      </c>
      <c r="R162" s="753"/>
      <c r="T162" s="402">
        <f>+IFERROR(SUMIFS('Stock CD'!D:D,D90,'Stock CD'!C:C),0)</f>
        <v>0</v>
      </c>
      <c r="U162" s="405">
        <f t="shared" si="44"/>
        <v>2900</v>
      </c>
      <c r="W162" s="402">
        <f>+IFERROR(VLOOKUP(D162,'Stock CD'!B:I,8,0),0)</f>
        <v>0</v>
      </c>
      <c r="X162" s="405">
        <f t="shared" si="45"/>
        <v>192</v>
      </c>
      <c r="Z162" s="305">
        <f>+SUMIFS('Conteo VACIO'!F:F,'Conteo VACIO'!$A:$A,$D162)</f>
        <v>2</v>
      </c>
      <c r="AA162" s="305">
        <f>+SUMIFS('Conteo VACIO'!G:G,'Conteo VACIO'!$A:$A,$D162)</f>
        <v>900</v>
      </c>
      <c r="AB162" s="517">
        <v>1000</v>
      </c>
      <c r="AD162" s="430" t="s">
        <v>1470</v>
      </c>
      <c r="AE162" s="414">
        <f>IF(D162="Corb-LK",SUMIFS('Est Madre LK 10-25'!C:C,'Est Madre LK 10-25'!D:D,"si"),IF(D162="Corb-CH",SUMIFS('Est Madre CH 10-25'!C:C,'Est Madre CH 10-25'!D:D,"si"),0)+IFERROR(VLOOKUP(D162,'Est Madre LK 10-25'!$A:$C,3,),IFERROR(VLOOKUP(D162,'Est Madre CH 10-25'!$A:$C,3,),0)))</f>
        <v>48</v>
      </c>
      <c r="AF162" s="362">
        <v>12000</v>
      </c>
      <c r="AG162" s="260">
        <v>8</v>
      </c>
      <c r="AH162" s="721">
        <v>86.485752000000005</v>
      </c>
      <c r="AI162" s="723" t="str">
        <f>+VLOOKUP(D162,'[1]Chef Troquel'!$A$4:$F$92,5,0)</f>
        <v>T.Loke/Huevo</v>
      </c>
      <c r="AJ162" s="260" t="s">
        <v>1662</v>
      </c>
      <c r="AK162" s="630">
        <v>4</v>
      </c>
    </row>
    <row r="163" spans="1:37" ht="18" customHeight="1" thickBot="1" x14ac:dyDescent="0.4">
      <c r="A163" t="s">
        <v>1470</v>
      </c>
      <c r="C163" s="681">
        <v>2327700</v>
      </c>
      <c r="D163" s="302">
        <v>700</v>
      </c>
      <c r="E163" s="128" t="str">
        <f>+VLOOKUP(D163,'Conteo VACIO'!$A$8:$D$226,4,0)</f>
        <v>O1B</v>
      </c>
      <c r="F163" s="322" t="s">
        <v>1041</v>
      </c>
      <c r="G163" s="329" t="s">
        <v>1373</v>
      </c>
      <c r="H163" s="632"/>
      <c r="I163" s="477"/>
      <c r="J163" s="310"/>
      <c r="L163" s="903">
        <f t="shared" si="39"/>
        <v>41.666666666666664</v>
      </c>
      <c r="M163" s="949">
        <f t="shared" ref="M163:M167" si="46">+IFERROR(U163/X163,0)</f>
        <v>41.666666666666664</v>
      </c>
      <c r="O163" s="957">
        <f t="shared" si="41"/>
        <v>0</v>
      </c>
      <c r="P163" s="487">
        <f t="shared" si="42"/>
        <v>384</v>
      </c>
      <c r="Q163" s="345">
        <f t="shared" ref="Q163:Q167" si="47">+(Z163*AB163)+AA163</f>
        <v>16000</v>
      </c>
      <c r="R163" s="753"/>
      <c r="T163" s="402">
        <f>+IFERROR(SUMIFS('Stock CD'!D:D,D21,'Stock CD'!C:C),0)</f>
        <v>0</v>
      </c>
      <c r="U163" s="405">
        <f t="shared" si="44"/>
        <v>16000</v>
      </c>
      <c r="W163" s="402">
        <f>+IFERROR(VLOOKUP(D163,'Stock CD'!B:I,8,0),0)</f>
        <v>0</v>
      </c>
      <c r="X163" s="405">
        <f t="shared" si="45"/>
        <v>384</v>
      </c>
      <c r="Z163" s="305">
        <f>+SUMIFS('Conteo VACIO'!F:F,'Conteo VACIO'!$A:$A,$D163)</f>
        <v>8</v>
      </c>
      <c r="AA163" s="305">
        <f>+SUMIFS('Conteo VACIO'!G:G,'Conteo VACIO'!$A:$A,$D163)</f>
        <v>0</v>
      </c>
      <c r="AB163" s="517">
        <v>2000</v>
      </c>
      <c r="AD163" s="430" t="s">
        <v>1470</v>
      </c>
      <c r="AE163" s="414">
        <f>IF(D163="Corb-LK",SUMIFS('Est Madre LK 10-25'!C:C,'Est Madre LK 10-25'!D:D,"si"),IF(D163="Corb-CH",SUMIFS('Est Madre CH 10-25'!C:C,'Est Madre CH 10-25'!D:D,"si"),0)+IFERROR(VLOOKUP(D163,'Est Madre LK 10-25'!$A:$C,3,),IFERROR(VLOOKUP(D163,'Est Madre CH 10-25'!$A:$C,3,),0)))</f>
        <v>96</v>
      </c>
      <c r="AF163" s="362">
        <v>12000</v>
      </c>
      <c r="AG163" s="260">
        <v>20</v>
      </c>
      <c r="AH163" s="721">
        <v>14.8635</v>
      </c>
      <c r="AI163" s="723" t="str">
        <f>+VLOOKUP(D163,'[1]Chef Troquel'!$A$4:$F$92,5,0)</f>
        <v>T.Loke</v>
      </c>
      <c r="AJ163" s="260" t="s">
        <v>1662</v>
      </c>
      <c r="AK163" s="630">
        <v>4</v>
      </c>
    </row>
    <row r="164" spans="1:37" ht="18" customHeight="1" thickBot="1" x14ac:dyDescent="0.4">
      <c r="A164" t="s">
        <v>1470</v>
      </c>
      <c r="C164" s="685">
        <v>2374700</v>
      </c>
      <c r="D164" s="298">
        <v>760</v>
      </c>
      <c r="E164" s="130" t="str">
        <f>+VLOOKUP(D164,'Conteo VACIO'!$A$8:$D$226,4,0)</f>
        <v>P1A</v>
      </c>
      <c r="F164" s="324" t="s">
        <v>1041</v>
      </c>
      <c r="G164" s="357" t="s">
        <v>1376</v>
      </c>
      <c r="H164" s="632"/>
      <c r="I164" s="478"/>
      <c r="J164" s="310"/>
      <c r="L164" s="904">
        <f t="shared" si="39"/>
        <v>3.4722222222222223</v>
      </c>
      <c r="M164" s="950">
        <f t="shared" si="46"/>
        <v>3.4722222222222223</v>
      </c>
      <c r="O164" s="957">
        <f t="shared" si="41"/>
        <v>0</v>
      </c>
      <c r="P164" s="488">
        <f t="shared" si="42"/>
        <v>1152</v>
      </c>
      <c r="Q164" s="347">
        <f t="shared" si="47"/>
        <v>4000</v>
      </c>
      <c r="R164" s="755"/>
      <c r="T164" s="403">
        <f>+IFERROR(SUMIFS('Stock CD'!D:D,D22,'Stock CD'!C:C),0)</f>
        <v>0</v>
      </c>
      <c r="U164" s="406">
        <f t="shared" si="44"/>
        <v>4000</v>
      </c>
      <c r="W164" s="403">
        <f>+IFERROR(VLOOKUP(D164,'Stock CD'!B:I,8,0),0)</f>
        <v>0</v>
      </c>
      <c r="X164" s="406">
        <f t="shared" si="45"/>
        <v>1152</v>
      </c>
      <c r="Z164" s="611">
        <f>+SUMIFS('Conteo VACIO'!F:F,'Conteo VACIO'!$A:$A,$D164)</f>
        <v>4</v>
      </c>
      <c r="AA164" s="611">
        <f>+SUMIFS('Conteo VACIO'!G:G,'Conteo VACIO'!$A:$A,$D164)</f>
        <v>0</v>
      </c>
      <c r="AB164" s="612">
        <v>1000</v>
      </c>
      <c r="AD164" s="613" t="s">
        <v>1470</v>
      </c>
      <c r="AE164" s="530">
        <f>IF(D164="Corb-LK",SUMIFS('Est Madre LK 10-25'!C:C,'Est Madre LK 10-25'!D:D,"si"),IF(D164="Corb-CH",SUMIFS('Est Madre CH 10-25'!C:C,'Est Madre CH 10-25'!D:D,"si"),0)+IFERROR(VLOOKUP(D164,'Est Madre LK 10-25'!$A:$C,3,),IFERROR(VLOOKUP(D164,'Est Madre CH 10-25'!$A:$C,3,),0)))</f>
        <v>288</v>
      </c>
      <c r="AF164" s="537">
        <v>12000</v>
      </c>
      <c r="AG164" s="538">
        <v>20</v>
      </c>
      <c r="AH164" s="806">
        <v>43.269300000000001</v>
      </c>
      <c r="AI164" s="807" t="str">
        <f>+VLOOKUP(D164,'[1]Chef Troquel'!$A$4:$F$92,5,0)</f>
        <v>T.Loke</v>
      </c>
      <c r="AJ164" s="538" t="s">
        <v>1662</v>
      </c>
      <c r="AK164" s="630">
        <v>4</v>
      </c>
    </row>
    <row r="165" spans="1:37" ht="6.6" customHeight="1" thickBot="1" x14ac:dyDescent="0.4">
      <c r="C165" s="294"/>
      <c r="D165" s="294"/>
      <c r="E165" s="127"/>
      <c r="F165" s="299"/>
      <c r="G165" s="310"/>
      <c r="H165" s="127"/>
      <c r="I165" s="310"/>
      <c r="J165" s="310"/>
      <c r="L165" s="458"/>
      <c r="M165" s="459"/>
      <c r="O165" s="687">
        <f>+SUM(O133:O164)</f>
        <v>10834</v>
      </c>
      <c r="P165" s="383"/>
      <c r="Q165" s="338"/>
      <c r="R165" s="687"/>
      <c r="S165" s="719"/>
      <c r="T165" s="460"/>
      <c r="U165" s="460"/>
      <c r="W165" s="460"/>
      <c r="X165" s="460"/>
      <c r="Z165" s="849"/>
      <c r="AA165" s="849"/>
      <c r="AB165" s="850"/>
      <c r="AD165" s="851"/>
      <c r="AE165" s="852"/>
      <c r="AF165" s="850"/>
      <c r="AG165" s="853"/>
      <c r="AH165" s="854"/>
      <c r="AI165" s="855"/>
      <c r="AJ165" s="853"/>
      <c r="AK165" s="851"/>
    </row>
    <row r="166" spans="1:37" s="385" customFormat="1" ht="30" customHeight="1" thickBot="1" x14ac:dyDescent="0.35">
      <c r="C166" s="1267" t="s">
        <v>1799</v>
      </c>
      <c r="D166" s="1268"/>
      <c r="E166" s="1268"/>
      <c r="F166" s="1268"/>
      <c r="G166" s="1268"/>
      <c r="H166" s="1268"/>
      <c r="I166" s="1269"/>
      <c r="J166" s="339"/>
      <c r="L166" s="845"/>
      <c r="M166" s="846"/>
      <c r="N166" s="516"/>
      <c r="O166" s="784"/>
      <c r="P166" s="727"/>
      <c r="Q166" s="727"/>
      <c r="R166" s="784"/>
      <c r="S166" s="516"/>
      <c r="T166" s="784"/>
      <c r="U166" s="784"/>
      <c r="V166" s="516"/>
      <c r="W166" s="784"/>
      <c r="X166" s="784"/>
      <c r="Y166"/>
      <c r="Z166" s="784"/>
      <c r="AA166" s="784"/>
      <c r="AB166" s="727"/>
      <c r="AC166"/>
      <c r="AD166" s="784"/>
      <c r="AE166" s="784"/>
      <c r="AF166" s="727"/>
      <c r="AG166" s="784"/>
      <c r="AH166" s="784"/>
      <c r="AI166" s="784"/>
      <c r="AJ166" s="784"/>
      <c r="AK166" s="784"/>
    </row>
    <row r="167" spans="1:37" ht="18" customHeight="1" thickBot="1" x14ac:dyDescent="0.4">
      <c r="A167" t="s">
        <v>1470</v>
      </c>
      <c r="C167" s="595">
        <v>2395700</v>
      </c>
      <c r="D167" s="634">
        <v>840</v>
      </c>
      <c r="E167" s="678" t="str">
        <f>+VLOOKUP(D167,'Conteo VACIO'!$A$8:$D$226,4,0)</f>
        <v>P2A</v>
      </c>
      <c r="F167" s="635" t="s">
        <v>1041</v>
      </c>
      <c r="G167" s="636" t="s">
        <v>1800</v>
      </c>
      <c r="H167" s="647"/>
      <c r="I167" s="910"/>
      <c r="J167" s="310"/>
      <c r="L167" s="912">
        <f>+IFERROR(Q167/P167,0)</f>
        <v>0.69444444444444442</v>
      </c>
      <c r="M167" s="951">
        <f t="shared" si="46"/>
        <v>0.69444444444444442</v>
      </c>
      <c r="O167" s="760">
        <f>IF(P167-Q167-R167&lt;0,0,P167-Q167-R167)</f>
        <v>2200</v>
      </c>
      <c r="P167" s="638">
        <f>+IFERROR(AE167*AK167,0)</f>
        <v>7200</v>
      </c>
      <c r="Q167" s="639">
        <f t="shared" si="47"/>
        <v>5000</v>
      </c>
      <c r="R167" s="759"/>
      <c r="S167" s="637"/>
      <c r="T167" s="640">
        <f>+IFERROR(SUMIFS('Stock CD'!D:D,D23,'Stock CD'!C:C),0)</f>
        <v>0</v>
      </c>
      <c r="U167" s="641">
        <f>+T167+Q167</f>
        <v>5000</v>
      </c>
      <c r="W167" s="640">
        <f>+IFERROR(VLOOKUP(D167,'Stock CD'!B:I,8,0),0)</f>
        <v>0</v>
      </c>
      <c r="X167" s="641">
        <f>+W167+P167</f>
        <v>7200</v>
      </c>
      <c r="Z167" s="642">
        <f>+SUMIFS('Conteo VACIO'!F:F,'Conteo VACIO'!$A:$A,$D167)</f>
        <v>2</v>
      </c>
      <c r="AA167" s="642">
        <f>+SUMIFS('Conteo VACIO'!G:G,'Conteo VACIO'!$A:$A,$D167)</f>
        <v>0</v>
      </c>
      <c r="AB167" s="643">
        <v>2500</v>
      </c>
      <c r="AD167" s="644" t="s">
        <v>1470</v>
      </c>
      <c r="AE167" s="645">
        <f>IF(D167="Corb-LK",SUMIFS('Est Madre LK 10-25'!C:C,'Est Madre LK 10-25'!D:D,"si"),IF(D167="Corb-CH",SUMIFS('Est Madre CH 10-25'!C:C,'Est Madre CH 10-25'!D:D,"si"),0)+IFERROR(VLOOKUP(D167,'Est Madre LK 10-25'!$A:$C,3,),IFERROR(VLOOKUP(D167,'Est Madre CH 10-25'!$A:$C,3,),0)))</f>
        <v>2400</v>
      </c>
      <c r="AF167" s="646">
        <v>12000</v>
      </c>
      <c r="AG167" s="647">
        <v>24</v>
      </c>
      <c r="AH167" s="730">
        <v>24.144929999999999</v>
      </c>
      <c r="AI167" s="731" t="str">
        <f>+VLOOKUP(D167,'[1]Chef Troquel'!$A$4:$F$92,5,0)</f>
        <v>Bandita</v>
      </c>
      <c r="AJ167" s="647" t="s">
        <v>1216</v>
      </c>
      <c r="AK167" s="650">
        <v>3</v>
      </c>
    </row>
    <row r="168" spans="1:37" ht="18" customHeight="1" thickBot="1" x14ac:dyDescent="0.4">
      <c r="C168" s="294"/>
      <c r="D168" s="294"/>
      <c r="E168" s="127"/>
      <c r="F168" s="299"/>
      <c r="G168" s="310"/>
      <c r="H168" s="127"/>
      <c r="I168" s="310"/>
      <c r="J168" s="310"/>
      <c r="L168" s="458"/>
      <c r="M168" s="459"/>
      <c r="O168" s="687"/>
      <c r="P168" s="383"/>
      <c r="Q168" s="338"/>
      <c r="R168" s="687"/>
      <c r="T168" s="460"/>
      <c r="U168" s="460"/>
      <c r="W168" s="460"/>
      <c r="X168" s="460"/>
      <c r="Z168" s="309"/>
      <c r="AA168" s="309"/>
      <c r="AB168" s="389"/>
      <c r="AE168" s="386"/>
      <c r="AF168" s="389"/>
      <c r="AG168" s="127"/>
      <c r="AH168" s="350"/>
      <c r="AI168" s="599"/>
      <c r="AJ168" s="127"/>
    </row>
    <row r="169" spans="1:37" s="385" customFormat="1" ht="30" customHeight="1" thickBot="1" x14ac:dyDescent="0.35">
      <c r="C169" s="1267" t="s">
        <v>1828</v>
      </c>
      <c r="D169" s="1268"/>
      <c r="E169" s="1268"/>
      <c r="F169" s="1268"/>
      <c r="G169" s="1268"/>
      <c r="H169" s="1268"/>
      <c r="I169" s="1269"/>
      <c r="J169" s="339"/>
      <c r="L169" s="845"/>
      <c r="M169" s="846"/>
      <c r="N169" s="516"/>
      <c r="O169" s="784"/>
      <c r="P169" s="727"/>
      <c r="Q169" s="727"/>
      <c r="R169" s="784"/>
      <c r="S169" s="516"/>
      <c r="T169" s="784"/>
      <c r="U169" s="784"/>
      <c r="V169" s="516"/>
      <c r="W169" s="784"/>
      <c r="X169" s="784"/>
      <c r="Y169"/>
      <c r="Z169" s="867"/>
      <c r="AA169" s="867"/>
      <c r="AB169" s="868"/>
      <c r="AC169"/>
      <c r="AD169" s="867"/>
      <c r="AE169" s="867"/>
      <c r="AF169" s="868"/>
      <c r="AG169" s="867"/>
      <c r="AH169" s="867"/>
      <c r="AI169" s="867"/>
      <c r="AJ169" s="867"/>
      <c r="AK169" s="867"/>
    </row>
    <row r="170" spans="1:37" s="385" customFormat="1" ht="56.1" customHeight="1" thickBot="1" x14ac:dyDescent="0.35">
      <c r="C170" s="312" t="s">
        <v>1293</v>
      </c>
      <c r="D170" s="312" t="s">
        <v>748</v>
      </c>
      <c r="E170" s="592" t="s">
        <v>1198</v>
      </c>
      <c r="F170" s="312" t="s">
        <v>1018</v>
      </c>
      <c r="G170" s="312" t="s">
        <v>749</v>
      </c>
      <c r="H170" s="321" t="s">
        <v>1526</v>
      </c>
      <c r="I170" s="321" t="s">
        <v>1525</v>
      </c>
      <c r="J170" s="321" t="s">
        <v>1802</v>
      </c>
      <c r="L170" s="899" t="s">
        <v>1524</v>
      </c>
      <c r="M170" s="947" t="s">
        <v>1730</v>
      </c>
      <c r="N170" s="516"/>
      <c r="O170" s="514" t="s">
        <v>1042</v>
      </c>
      <c r="P170" s="707" t="s">
        <v>1803</v>
      </c>
      <c r="Q170" s="708" t="s">
        <v>1178</v>
      </c>
      <c r="R170" s="514" t="s">
        <v>1781</v>
      </c>
      <c r="S170" s="900"/>
      <c r="T170" s="514" t="s">
        <v>1440</v>
      </c>
      <c r="U170" s="713" t="s">
        <v>1441</v>
      </c>
      <c r="V170" s="516"/>
      <c r="W170" s="985" t="s">
        <v>1442</v>
      </c>
      <c r="X170" s="710" t="s">
        <v>1443</v>
      </c>
      <c r="Y170"/>
      <c r="Z170" s="696" t="s">
        <v>1197</v>
      </c>
      <c r="AA170" s="695" t="s">
        <v>1460</v>
      </c>
      <c r="AB170" s="694" t="s">
        <v>857</v>
      </c>
      <c r="AC170"/>
      <c r="AD170" s="695" t="s">
        <v>1403</v>
      </c>
      <c r="AE170" s="695" t="s">
        <v>1415</v>
      </c>
      <c r="AF170" s="694" t="s">
        <v>1438</v>
      </c>
      <c r="AG170" s="695" t="s">
        <v>1212</v>
      </c>
      <c r="AH170" s="695" t="s">
        <v>1387</v>
      </c>
      <c r="AI170" s="700" t="s">
        <v>1731</v>
      </c>
      <c r="AJ170" s="700" t="s">
        <v>1416</v>
      </c>
      <c r="AK170" s="659" t="s">
        <v>1513</v>
      </c>
    </row>
    <row r="171" spans="1:37" ht="18" customHeight="1" thickBot="1" x14ac:dyDescent="0.4">
      <c r="A171" t="s">
        <v>1470</v>
      </c>
      <c r="C171" s="418">
        <v>2315700</v>
      </c>
      <c r="D171" s="438">
        <v>864</v>
      </c>
      <c r="E171" s="261" t="str">
        <f>+VLOOKUP(D171,'Conteo VACIO'!$A$8:$D$226,4,0)</f>
        <v>Ñ1B</v>
      </c>
      <c r="F171" s="323" t="s">
        <v>1041</v>
      </c>
      <c r="G171" s="737" t="s">
        <v>1187</v>
      </c>
      <c r="H171" s="632"/>
      <c r="I171" s="930"/>
      <c r="J171" s="931"/>
      <c r="L171" s="978">
        <f t="shared" ref="L171:L210" si="48">+IFERROR(Q171/P171,0)</f>
        <v>12.5</v>
      </c>
      <c r="M171" s="492">
        <f t="shared" ref="M171:M210" si="49">+IFERROR(U171/X171,0)</f>
        <v>12.5</v>
      </c>
      <c r="O171" s="780">
        <f t="shared" ref="O171:O210" si="50">IF(P171-Q171-R171&lt;0,0,P171-Q171-R171)</f>
        <v>0</v>
      </c>
      <c r="P171" s="380">
        <f>+IFERROR(AE171*AK171,0)</f>
        <v>240</v>
      </c>
      <c r="Q171" s="346">
        <f t="shared" ref="Q171:Q176" si="51">+(Z171*AB171)+AA171</f>
        <v>3000</v>
      </c>
      <c r="R171" s="688"/>
      <c r="S171" s="27"/>
      <c r="T171" s="401">
        <f>+IFERROR(SUMIFS('Stock CD'!D:D,D69,'Stock CD'!C:C),0)</f>
        <v>0</v>
      </c>
      <c r="U171" s="404">
        <f t="shared" ref="U171:U176" si="52">+T171+Q171</f>
        <v>3000</v>
      </c>
      <c r="W171" s="986">
        <f>+IFERROR(VLOOKUP(D171,'Stock CD'!B:I,8,0),0)</f>
        <v>0</v>
      </c>
      <c r="X171" s="666">
        <f t="shared" ref="X171:X210" si="53">+W171+P171</f>
        <v>240</v>
      </c>
      <c r="Z171" s="667">
        <f>+SUMIFS('Conteo VACIO'!F:F,'Conteo VACIO'!$A:$A,$D171)</f>
        <v>3</v>
      </c>
      <c r="AA171" s="667">
        <f>+SUMIFS('Conteo VACIO'!G:G,'Conteo VACIO'!$A:$A,$D171)</f>
        <v>0</v>
      </c>
      <c r="AB171" s="668">
        <v>1000</v>
      </c>
      <c r="AD171" s="669" t="s">
        <v>1470</v>
      </c>
      <c r="AE171" s="670">
        <f>IF(D171="Corb-LK",SUMIFS('Est Madre LK 10-25'!C:C,'Est Madre LK 10-25'!D:D,"si"),IF(D171="Corb-CH",SUMIFS('Est Madre CH 10-25'!C:C,'Est Madre CH 10-25'!D:D,"si"),0)+IFERROR(VLOOKUP(D171,'Est Madre LK 10-25'!$A:$C,3,),IFERROR(VLOOKUP(D171,'Est Madre CH 10-25'!$A:$C,3,),0)))</f>
        <v>48</v>
      </c>
      <c r="AF171" s="671">
        <v>25000</v>
      </c>
      <c r="AG171" s="672">
        <v>25</v>
      </c>
      <c r="AH171" s="725">
        <v>68.570279999999997</v>
      </c>
      <c r="AI171" s="722" t="s">
        <v>1732</v>
      </c>
      <c r="AJ171" s="261" t="s">
        <v>1666</v>
      </c>
      <c r="AK171" s="337">
        <v>5</v>
      </c>
    </row>
    <row r="172" spans="1:37" ht="18" customHeight="1" thickBot="1" x14ac:dyDescent="0.4">
      <c r="A172" t="s">
        <v>1470</v>
      </c>
      <c r="C172" s="419">
        <v>2315700</v>
      </c>
      <c r="D172" s="439">
        <v>859</v>
      </c>
      <c r="E172" s="260" t="str">
        <f>+VLOOKUP(D172,'Conteo VACIO'!$A$8:$D$226,4,0)</f>
        <v>N2A</v>
      </c>
      <c r="F172" s="322" t="s">
        <v>1041</v>
      </c>
      <c r="G172" s="738" t="s">
        <v>1755</v>
      </c>
      <c r="H172" s="632"/>
      <c r="I172" s="942"/>
      <c r="J172" s="931"/>
      <c r="L172" s="980">
        <f t="shared" si="48"/>
        <v>2.7777777777777777</v>
      </c>
      <c r="M172" s="485">
        <f t="shared" si="49"/>
        <v>2.7777777777777777</v>
      </c>
      <c r="O172" s="921">
        <f t="shared" si="50"/>
        <v>0</v>
      </c>
      <c r="P172" s="381">
        <f t="shared" ref="P172:P176" si="54">+IFERROR(AE172*AK172,0)</f>
        <v>360</v>
      </c>
      <c r="Q172" s="345">
        <f t="shared" si="51"/>
        <v>1000</v>
      </c>
      <c r="R172" s="689"/>
      <c r="S172" s="23"/>
      <c r="T172" s="402">
        <f>+IFERROR(SUMIFS('Stock CD'!D:D,D66,'Stock CD'!C:C),0)</f>
        <v>0</v>
      </c>
      <c r="U172" s="405">
        <f t="shared" si="52"/>
        <v>1000</v>
      </c>
      <c r="W172" s="402">
        <f>+IFERROR(VLOOKUP(D172,'Stock CD'!B:I,8,0),0)</f>
        <v>0</v>
      </c>
      <c r="X172" s="405">
        <f t="shared" si="53"/>
        <v>360</v>
      </c>
      <c r="Z172" s="305">
        <f>+SUMIFS('Conteo VACIO'!F:F,'Conteo VACIO'!$A:$A,$D172)</f>
        <v>1</v>
      </c>
      <c r="AA172" s="305">
        <f>+SUMIFS('Conteo VACIO'!G:G,'Conteo VACIO'!$A:$A,$D172)</f>
        <v>0</v>
      </c>
      <c r="AB172" s="517">
        <v>1000</v>
      </c>
      <c r="AD172" s="430" t="s">
        <v>1470</v>
      </c>
      <c r="AE172" s="414">
        <f>IF(D172="Corb-LK",SUMIFS('Est Madre LK 10-25'!C:C,'Est Madre LK 10-25'!D:D,"si"),IF(D172="Corb-CH",SUMIFS('Est Madre CH 10-25'!C:C,'Est Madre CH 10-25'!D:D,"si"),0)+IFERROR(VLOOKUP(D172,'Est Madre LK 10-25'!$A:$C,3,),IFERROR(VLOOKUP(D172,'Est Madre CH 10-25'!$A:$C,3,),0)))</f>
        <v>72</v>
      </c>
      <c r="AF172" s="671">
        <v>25000</v>
      </c>
      <c r="AG172" s="672">
        <v>25</v>
      </c>
      <c r="AH172" s="721">
        <v>68.570279999999997</v>
      </c>
      <c r="AI172" s="723" t="str">
        <f>+VLOOKUP(D172,'[1]Chef Troquel'!$A$4:$F$92,5,0)</f>
        <v>Huevo</v>
      </c>
      <c r="AJ172" s="260" t="s">
        <v>1666</v>
      </c>
      <c r="AK172" s="337">
        <v>5</v>
      </c>
    </row>
    <row r="173" spans="1:37" ht="18" customHeight="1" thickBot="1" x14ac:dyDescent="0.4">
      <c r="A173" t="s">
        <v>1470</v>
      </c>
      <c r="C173" s="419">
        <v>2315700</v>
      </c>
      <c r="D173" s="439">
        <v>615</v>
      </c>
      <c r="E173" s="260" t="str">
        <f>+VLOOKUP(D173,'Conteo VACIO'!$A$8:$D$226,4,0)</f>
        <v>O2A</v>
      </c>
      <c r="F173" s="322" t="s">
        <v>1041</v>
      </c>
      <c r="G173" s="738" t="s">
        <v>1195</v>
      </c>
      <c r="H173" s="632"/>
      <c r="I173" s="942"/>
      <c r="J173" s="931"/>
      <c r="L173" s="980">
        <f t="shared" si="48"/>
        <v>5</v>
      </c>
      <c r="M173" s="485">
        <f t="shared" si="49"/>
        <v>5</v>
      </c>
      <c r="O173" s="921">
        <f t="shared" si="50"/>
        <v>0</v>
      </c>
      <c r="P173" s="381">
        <f t="shared" si="54"/>
        <v>300</v>
      </c>
      <c r="Q173" s="345">
        <f t="shared" si="51"/>
        <v>1500</v>
      </c>
      <c r="R173" s="689"/>
      <c r="S173" s="23"/>
      <c r="T173" s="402">
        <f>+IFERROR(SUMIFS('Stock CD'!D:D,D16,'Stock CD'!C:C),0)</f>
        <v>0</v>
      </c>
      <c r="U173" s="405">
        <f t="shared" si="52"/>
        <v>1500</v>
      </c>
      <c r="W173" s="401">
        <f>+IFERROR(VLOOKUP(D173,'Stock CD'!B:I,8,0),0)</f>
        <v>0</v>
      </c>
      <c r="X173" s="404">
        <f t="shared" si="53"/>
        <v>300</v>
      </c>
      <c r="Z173" s="304">
        <f>+SUMIFS('Conteo VACIO'!F:F,'Conteo VACIO'!$A:$A,$D173)</f>
        <v>1</v>
      </c>
      <c r="AA173" s="304">
        <f>+SUMIFS('Conteo VACIO'!G:G,'Conteo VACIO'!$A:$A,$D173)</f>
        <v>500</v>
      </c>
      <c r="AB173" s="534">
        <v>1000</v>
      </c>
      <c r="AD173" s="398" t="s">
        <v>1470</v>
      </c>
      <c r="AE173" s="428">
        <f>IF(D173="Corb-LK",SUMIFS('Est Madre LK 10-25'!C:C,'Est Madre LK 10-25'!D:D,"si"),IF(D173="Corb-CH",SUMIFS('Est Madre CH 10-25'!C:C,'Est Madre CH 10-25'!D:D,"si"),0)+IFERROR(VLOOKUP(D173,'Est Madre LK 10-25'!$A:$C,3,),IFERROR(VLOOKUP(D173,'Est Madre CH 10-25'!$A:$C,3,),0)))</f>
        <v>60</v>
      </c>
      <c r="AF173" s="671">
        <v>25000</v>
      </c>
      <c r="AG173" s="672">
        <v>25</v>
      </c>
      <c r="AH173" s="720">
        <v>68.570279999999997</v>
      </c>
      <c r="AI173" s="723" t="str">
        <f>+VLOOKUP(D173,'[1]Chef Troquel'!$A$4:$F$92,5,0)</f>
        <v>Huevo</v>
      </c>
      <c r="AJ173" s="260" t="s">
        <v>1666</v>
      </c>
      <c r="AK173" s="337">
        <v>5</v>
      </c>
    </row>
    <row r="174" spans="1:37" ht="18" customHeight="1" thickBot="1" x14ac:dyDescent="0.4">
      <c r="A174" t="s">
        <v>1470</v>
      </c>
      <c r="C174" s="419">
        <v>2315700</v>
      </c>
      <c r="D174" s="439">
        <v>858</v>
      </c>
      <c r="E174" s="260" t="str">
        <f>+VLOOKUP(D174,'Conteo VACIO'!$A$8:$D$226,4,0)</f>
        <v>Q5</v>
      </c>
      <c r="F174" s="322" t="s">
        <v>1041</v>
      </c>
      <c r="G174" s="738" t="s">
        <v>1377</v>
      </c>
      <c r="H174" s="632"/>
      <c r="I174" s="942"/>
      <c r="J174" s="931"/>
      <c r="L174" s="980">
        <f t="shared" si="48"/>
        <v>0</v>
      </c>
      <c r="M174" s="485">
        <f t="shared" si="49"/>
        <v>0</v>
      </c>
      <c r="O174" s="921">
        <f t="shared" si="50"/>
        <v>480</v>
      </c>
      <c r="P174" s="381">
        <f t="shared" si="54"/>
        <v>480</v>
      </c>
      <c r="Q174" s="345">
        <f t="shared" si="51"/>
        <v>0</v>
      </c>
      <c r="R174" s="689"/>
      <c r="S174" s="23"/>
      <c r="T174" s="402">
        <f>+IFERROR(SUMIFS('Stock CD'!D:D,D110,'Stock CD'!C:C),0)</f>
        <v>0</v>
      </c>
      <c r="U174" s="405">
        <f t="shared" si="52"/>
        <v>0</v>
      </c>
      <c r="W174" s="402">
        <f>+IFERROR(VLOOKUP(D174,'Stock CD'!B:I,8,0),0)</f>
        <v>0</v>
      </c>
      <c r="X174" s="405">
        <f t="shared" si="53"/>
        <v>480</v>
      </c>
      <c r="Z174" s="305">
        <f>+SUMIFS('Conteo VACIO'!F:F,'Conteo VACIO'!$A:$A,$D174)</f>
        <v>0</v>
      </c>
      <c r="AA174" s="305">
        <f>+SUMIFS('Conteo VACIO'!G:G,'Conteo VACIO'!$A:$A,$D174)</f>
        <v>0</v>
      </c>
      <c r="AB174" s="517">
        <v>1000</v>
      </c>
      <c r="AD174" s="430" t="s">
        <v>1470</v>
      </c>
      <c r="AE174" s="414">
        <f>IF(D174="Corb-LK",SUMIFS('Est Madre LK 10-25'!C:C,'Est Madre LK 10-25'!D:D,"si"),IF(D174="Corb-CH",SUMIFS('Est Madre CH 10-25'!C:C,'Est Madre CH 10-25'!D:D,"si"),0)+IFERROR(VLOOKUP(D174,'Est Madre LK 10-25'!$A:$C,3,),IFERROR(VLOOKUP(D174,'Est Madre CH 10-25'!$A:$C,3,),0)))</f>
        <v>96</v>
      </c>
      <c r="AF174" s="671">
        <v>25000</v>
      </c>
      <c r="AG174" s="672">
        <v>25</v>
      </c>
      <c r="AH174" s="721">
        <v>68.570279999999997</v>
      </c>
      <c r="AI174" s="723" t="str">
        <f>+VLOOKUP(D174,'[1]Chef Troquel'!$A$4:$F$92,5,0)</f>
        <v>Huevo</v>
      </c>
      <c r="AJ174" s="260" t="s">
        <v>1666</v>
      </c>
      <c r="AK174" s="337">
        <v>5</v>
      </c>
    </row>
    <row r="175" spans="1:37" ht="18" customHeight="1" thickBot="1" x14ac:dyDescent="0.4">
      <c r="A175" t="s">
        <v>1470</v>
      </c>
      <c r="C175" s="419">
        <v>2315700</v>
      </c>
      <c r="D175" s="439">
        <v>856</v>
      </c>
      <c r="E175" s="260" t="str">
        <f>+VLOOKUP(D175,'Conteo VACIO'!$A$8:$D$226,4,0)</f>
        <v>O3C</v>
      </c>
      <c r="F175" s="322" t="s">
        <v>1041</v>
      </c>
      <c r="G175" s="738" t="s">
        <v>1342</v>
      </c>
      <c r="H175" s="632"/>
      <c r="I175" s="942"/>
      <c r="J175" s="931"/>
      <c r="L175" s="980">
        <f t="shared" si="48"/>
        <v>0.70833333333333337</v>
      </c>
      <c r="M175" s="485">
        <f t="shared" si="49"/>
        <v>0.70833333333333337</v>
      </c>
      <c r="O175" s="921">
        <f t="shared" si="50"/>
        <v>140</v>
      </c>
      <c r="P175" s="381">
        <f t="shared" si="54"/>
        <v>480</v>
      </c>
      <c r="Q175" s="345">
        <f t="shared" si="51"/>
        <v>340</v>
      </c>
      <c r="R175" s="689"/>
      <c r="S175" s="23"/>
      <c r="T175" s="402">
        <f>+IFERROR(SUMIFS('Stock CD'!D:D,D18,'Stock CD'!C:C),0)</f>
        <v>0</v>
      </c>
      <c r="U175" s="405">
        <f t="shared" si="52"/>
        <v>340</v>
      </c>
      <c r="W175" s="402">
        <f>+IFERROR(VLOOKUP(D175,'Stock CD'!B:I,8,0),0)</f>
        <v>0</v>
      </c>
      <c r="X175" s="405">
        <f t="shared" si="53"/>
        <v>480</v>
      </c>
      <c r="Z175" s="305">
        <f>+SUMIFS('Conteo VACIO'!F:F,'Conteo VACIO'!$A:$A,$D175)</f>
        <v>0</v>
      </c>
      <c r="AA175" s="305">
        <f>+SUMIFS('Conteo VACIO'!G:G,'Conteo VACIO'!$A:$A,$D175)</f>
        <v>340</v>
      </c>
      <c r="AB175" s="517">
        <v>1000</v>
      </c>
      <c r="AD175" s="430" t="s">
        <v>1470</v>
      </c>
      <c r="AE175" s="414">
        <f>IF(D175="Corb-LK",SUMIFS('Est Madre LK 10-25'!C:C,'Est Madre LK 10-25'!D:D,"si"),IF(D175="Corb-CH",SUMIFS('Est Madre CH 10-25'!C:C,'Est Madre CH 10-25'!D:D,"si"),0)+IFERROR(VLOOKUP(D175,'Est Madre LK 10-25'!$A:$C,3,),IFERROR(VLOOKUP(D175,'Est Madre CH 10-25'!$A:$C,3,),0)))</f>
        <v>96</v>
      </c>
      <c r="AF175" s="671">
        <v>25000</v>
      </c>
      <c r="AG175" s="672">
        <v>25</v>
      </c>
      <c r="AH175" s="721">
        <v>68.570279999999997</v>
      </c>
      <c r="AI175" s="723" t="str">
        <f>+VLOOKUP(D175,'[1]Chef Troquel'!$A$4:$F$92,5,0)</f>
        <v>Huevo</v>
      </c>
      <c r="AJ175" s="260" t="s">
        <v>1666</v>
      </c>
      <c r="AK175" s="337">
        <v>5</v>
      </c>
    </row>
    <row r="176" spans="1:37" ht="18" customHeight="1" thickBot="1" x14ac:dyDescent="0.4">
      <c r="A176" t="s">
        <v>1470</v>
      </c>
      <c r="C176" s="419">
        <v>2315700</v>
      </c>
      <c r="D176" s="439">
        <v>857</v>
      </c>
      <c r="E176" s="260" t="str">
        <f>+VLOOKUP(D176,'Conteo VACIO'!$A$8:$D$226,4,0)</f>
        <v>O2C</v>
      </c>
      <c r="F176" s="322" t="s">
        <v>1041</v>
      </c>
      <c r="G176" s="738" t="s">
        <v>1374</v>
      </c>
      <c r="H176" s="632"/>
      <c r="I176" s="942"/>
      <c r="J176" s="931"/>
      <c r="L176" s="980">
        <f t="shared" si="48"/>
        <v>0</v>
      </c>
      <c r="M176" s="485">
        <f t="shared" si="49"/>
        <v>0</v>
      </c>
      <c r="O176" s="921">
        <f t="shared" si="50"/>
        <v>120</v>
      </c>
      <c r="P176" s="381">
        <f t="shared" si="54"/>
        <v>120</v>
      </c>
      <c r="Q176" s="345">
        <f t="shared" si="51"/>
        <v>0</v>
      </c>
      <c r="R176" s="689"/>
      <c r="S176" s="23"/>
      <c r="T176" s="402">
        <f>+IFERROR(SUMIFS('Stock CD'!D:D,D17,'Stock CD'!C:C),0)</f>
        <v>0</v>
      </c>
      <c r="U176" s="405">
        <f t="shared" si="52"/>
        <v>0</v>
      </c>
      <c r="W176" s="403">
        <f>+IFERROR(VLOOKUP(D176,'Stock CD'!B:I,8,0),0)</f>
        <v>0</v>
      </c>
      <c r="X176" s="406">
        <f t="shared" si="53"/>
        <v>120</v>
      </c>
      <c r="Z176" s="306">
        <f>+SUMIFS('Conteo VACIO'!F:F,'Conteo VACIO'!$A:$A,$D176)</f>
        <v>0</v>
      </c>
      <c r="AA176" s="306">
        <f>+SUMIFS('Conteo VACIO'!G:G,'Conteo VACIO'!$A:$A,$D176)</f>
        <v>0</v>
      </c>
      <c r="AB176" s="517">
        <v>1000</v>
      </c>
      <c r="AD176" s="431" t="s">
        <v>1470</v>
      </c>
      <c r="AE176" s="414">
        <f>IF(D176="Corb-LK",SUMIFS('Est Madre LK 10-25'!C:C,'Est Madre LK 10-25'!D:D,"si"),IF(D176="Corb-CH",SUMIFS('Est Madre CH 10-25'!C:C,'Est Madre CH 10-25'!D:D,"si"),0)+IFERROR(VLOOKUP(D176,'Est Madre LK 10-25'!$A:$C,3,),IFERROR(VLOOKUP(D176,'Est Madre CH 10-25'!$A:$C,3,),0)))</f>
        <v>24</v>
      </c>
      <c r="AF176" s="671">
        <v>25000</v>
      </c>
      <c r="AG176" s="672">
        <v>25</v>
      </c>
      <c r="AH176" s="726">
        <v>68.570279999999997</v>
      </c>
      <c r="AI176" s="723" t="str">
        <f>+VLOOKUP(D176,'[1]Chef Troquel'!$A$4:$F$92,5,0)</f>
        <v>Huevo</v>
      </c>
      <c r="AJ176" s="260" t="s">
        <v>1666</v>
      </c>
      <c r="AK176" s="337">
        <v>5</v>
      </c>
    </row>
    <row r="177" spans="1:37" ht="18" customHeight="1" thickBot="1" x14ac:dyDescent="0.4">
      <c r="A177" t="s">
        <v>1470</v>
      </c>
      <c r="C177" s="919">
        <v>2315700</v>
      </c>
      <c r="D177" s="920">
        <v>848</v>
      </c>
      <c r="E177" s="538" t="str">
        <f>+VLOOKUP(D177,'Conteo VACIO'!$A$8:$D$226,4,0)</f>
        <v>Q5</v>
      </c>
      <c r="F177" s="608" t="s">
        <v>1041</v>
      </c>
      <c r="G177" s="983" t="s">
        <v>771</v>
      </c>
      <c r="H177" s="632"/>
      <c r="I177" s="943"/>
      <c r="J177" s="932"/>
      <c r="L177" s="980">
        <f t="shared" si="48"/>
        <v>0</v>
      </c>
      <c r="M177" s="485">
        <f t="shared" si="49"/>
        <v>0</v>
      </c>
      <c r="O177" s="921">
        <f t="shared" si="50"/>
        <v>480</v>
      </c>
      <c r="P177" s="381">
        <f t="shared" ref="P177:P210" si="55">+IFERROR(AE177*AK177,0)</f>
        <v>480</v>
      </c>
      <c r="Q177" s="345">
        <f t="shared" ref="Q177:Q210" si="56">+(Z177*AB177)+AA177</f>
        <v>0</v>
      </c>
      <c r="R177" s="689"/>
      <c r="S177" s="23"/>
      <c r="T177" s="402">
        <f>+IFERROR(SUMIFS('Stock CD'!D:D,D18,'Stock CD'!C:C),0)</f>
        <v>0</v>
      </c>
      <c r="U177" s="405">
        <f t="shared" ref="U177:U210" si="57">+T177+Q177</f>
        <v>0</v>
      </c>
      <c r="W177" s="403">
        <f>+IFERROR(VLOOKUP(D177,'Stock CD'!B:I,8,0),0)</f>
        <v>0</v>
      </c>
      <c r="X177" s="406">
        <f t="shared" si="53"/>
        <v>480</v>
      </c>
      <c r="Z177" s="306">
        <f>+SUMIFS('Conteo VACIO'!F:F,'Conteo VACIO'!$A:$A,$D177)</f>
        <v>0</v>
      </c>
      <c r="AA177" s="306">
        <f>+SUMIFS('Conteo VACIO'!G:G,'Conteo VACIO'!$A:$A,$D177)</f>
        <v>0</v>
      </c>
      <c r="AB177" s="517">
        <v>1000</v>
      </c>
      <c r="AD177" s="430" t="s">
        <v>1470</v>
      </c>
      <c r="AE177" s="414">
        <v>96</v>
      </c>
      <c r="AF177" s="671">
        <v>25000</v>
      </c>
      <c r="AG177" s="672">
        <v>25</v>
      </c>
      <c r="AH177" s="726"/>
      <c r="AI177" s="723" t="str">
        <f>+VLOOKUP(D177,'[1]Chef Troquel'!$A$4:$F$92,5,0)</f>
        <v>Huevo</v>
      </c>
      <c r="AJ177" s="260" t="s">
        <v>1666</v>
      </c>
      <c r="AK177" s="337">
        <v>5</v>
      </c>
    </row>
    <row r="178" spans="1:37" ht="18" customHeight="1" thickBot="1" x14ac:dyDescent="0.4">
      <c r="A178" t="s">
        <v>1470</v>
      </c>
      <c r="C178" s="418">
        <v>2315700</v>
      </c>
      <c r="D178" s="438" t="s">
        <v>869</v>
      </c>
      <c r="E178" s="261" t="s">
        <v>1029</v>
      </c>
      <c r="F178" s="323" t="s">
        <v>1041</v>
      </c>
      <c r="G178" s="933" t="s">
        <v>1777</v>
      </c>
      <c r="H178" s="632"/>
      <c r="I178" s="1049"/>
      <c r="J178" s="930"/>
      <c r="L178" s="980">
        <f t="shared" si="48"/>
        <v>0</v>
      </c>
      <c r="M178" s="485">
        <f t="shared" si="49"/>
        <v>0</v>
      </c>
      <c r="O178" s="921"/>
      <c r="P178" s="381"/>
      <c r="Q178" s="345"/>
      <c r="R178" s="689"/>
      <c r="S178" s="23"/>
      <c r="T178" s="402">
        <f>+IFERROR(SUMIFS('Stock CD'!D:D,D59,'Stock CD'!C:C),0)</f>
        <v>0</v>
      </c>
      <c r="U178" s="405">
        <f t="shared" ref="U178" si="58">+T178+Q178</f>
        <v>0</v>
      </c>
      <c r="W178" s="403">
        <f>+IFERROR(VLOOKUP(D178,'Stock CD'!B:I,8,0),0)</f>
        <v>0</v>
      </c>
      <c r="X178" s="406">
        <f t="shared" ref="X178" si="59">+W178+P178</f>
        <v>0</v>
      </c>
      <c r="Z178" s="306">
        <f>+SUMIFS('Conteo VACIO'!F:F,'Conteo VACIO'!$A:$A,$D178)</f>
        <v>23</v>
      </c>
      <c r="AA178" s="306">
        <f>+SUMIFS('Conteo VACIO'!G:G,'Conteo VACIO'!$A:$A,$D178)</f>
        <v>0</v>
      </c>
      <c r="AB178" s="517">
        <v>1000</v>
      </c>
      <c r="AD178" s="430"/>
      <c r="AE178" s="414"/>
      <c r="AF178" s="671"/>
      <c r="AG178" s="672"/>
      <c r="AH178" s="726"/>
      <c r="AI178" s="723"/>
      <c r="AJ178" s="260"/>
      <c r="AK178" s="337"/>
    </row>
    <row r="179" spans="1:37" ht="18" customHeight="1" thickBot="1" x14ac:dyDescent="0.4">
      <c r="A179" t="s">
        <v>1470</v>
      </c>
      <c r="C179" s="419">
        <v>2315700</v>
      </c>
      <c r="D179" s="439" t="s">
        <v>1783</v>
      </c>
      <c r="E179" s="260" t="str">
        <f>+VLOOKUP(D179,'Conteo VACIO'!$A$8:$D$226,4,0)</f>
        <v>Q5</v>
      </c>
      <c r="F179" s="322" t="s">
        <v>1041</v>
      </c>
      <c r="G179" s="981" t="s">
        <v>1784</v>
      </c>
      <c r="H179" s="632"/>
      <c r="I179" s="942"/>
      <c r="J179" s="942"/>
      <c r="L179" s="980">
        <f t="shared" si="48"/>
        <v>0</v>
      </c>
      <c r="M179" s="485">
        <f t="shared" si="49"/>
        <v>0</v>
      </c>
      <c r="O179" s="921">
        <f t="shared" si="50"/>
        <v>0</v>
      </c>
      <c r="P179" s="381">
        <f t="shared" si="55"/>
        <v>0</v>
      </c>
      <c r="Q179" s="345">
        <f t="shared" si="56"/>
        <v>0</v>
      </c>
      <c r="R179" s="689"/>
      <c r="S179" s="23"/>
      <c r="T179" s="402">
        <f>+IFERROR(SUMIFS('Stock CD'!D:D,D19,'Stock CD'!C:C),0)</f>
        <v>0</v>
      </c>
      <c r="U179" s="405">
        <f t="shared" si="57"/>
        <v>0</v>
      </c>
      <c r="W179" s="403">
        <f>+IFERROR(VLOOKUP(D179,'Stock CD'!B:I,8,0),0)</f>
        <v>0</v>
      </c>
      <c r="X179" s="406">
        <f t="shared" si="53"/>
        <v>0</v>
      </c>
      <c r="Z179" s="306">
        <f>+SUMIFS('Conteo VACIO'!F:F,'Conteo VACIO'!$A:$A,$D179)</f>
        <v>0</v>
      </c>
      <c r="AA179" s="306">
        <f>+SUMIFS('Conteo VACIO'!G:G,'Conteo VACIO'!$A:$A,$D179)</f>
        <v>0</v>
      </c>
      <c r="AB179" s="517">
        <v>1000</v>
      </c>
      <c r="AD179" s="430" t="s">
        <v>1470</v>
      </c>
      <c r="AE179" s="414" t="s">
        <v>1797</v>
      </c>
      <c r="AF179" s="671">
        <v>25000</v>
      </c>
      <c r="AG179" s="672">
        <v>25</v>
      </c>
      <c r="AH179" s="726"/>
      <c r="AI179" s="723" t="e">
        <f>+VLOOKUP(D179,'[1]Chef Troquel'!$A$4:$F$92,5,0)</f>
        <v>#N/A</v>
      </c>
      <c r="AJ179" s="260" t="s">
        <v>1666</v>
      </c>
      <c r="AK179" s="337">
        <v>5</v>
      </c>
    </row>
    <row r="180" spans="1:37" ht="18" customHeight="1" thickBot="1" x14ac:dyDescent="0.4">
      <c r="A180" t="s">
        <v>1470</v>
      </c>
      <c r="C180" s="419">
        <v>2315700</v>
      </c>
      <c r="D180" s="439" t="s">
        <v>1785</v>
      </c>
      <c r="E180" s="260" t="str">
        <f>+VLOOKUP(D180,'Conteo VACIO'!$A$8:$D$226,4,0)</f>
        <v>Q5</v>
      </c>
      <c r="F180" s="322" t="s">
        <v>1041</v>
      </c>
      <c r="G180" s="981" t="s">
        <v>1082</v>
      </c>
      <c r="H180" s="632"/>
      <c r="I180" s="942"/>
      <c r="J180" s="942"/>
      <c r="L180" s="980">
        <f t="shared" si="48"/>
        <v>0</v>
      </c>
      <c r="M180" s="485">
        <f t="shared" si="49"/>
        <v>0</v>
      </c>
      <c r="O180" s="921">
        <f t="shared" si="50"/>
        <v>240</v>
      </c>
      <c r="P180" s="381">
        <f t="shared" si="55"/>
        <v>240</v>
      </c>
      <c r="Q180" s="345">
        <f t="shared" si="56"/>
        <v>0</v>
      </c>
      <c r="R180" s="689"/>
      <c r="S180" s="23"/>
      <c r="T180" s="402">
        <f>+IFERROR(SUMIFS('Stock CD'!D:D,D20,'Stock CD'!C:C),0)</f>
        <v>0</v>
      </c>
      <c r="U180" s="405">
        <f t="shared" si="57"/>
        <v>0</v>
      </c>
      <c r="W180" s="403">
        <f>+IFERROR(VLOOKUP(D180,'Stock CD'!B:I,8,0),0)</f>
        <v>0</v>
      </c>
      <c r="X180" s="406">
        <f t="shared" si="53"/>
        <v>240</v>
      </c>
      <c r="Z180" s="306">
        <f>+SUMIFS('Conteo VACIO'!F:F,'Conteo VACIO'!$A:$A,$D180)</f>
        <v>0</v>
      </c>
      <c r="AA180" s="306">
        <f>+SUMIFS('Conteo VACIO'!G:G,'Conteo VACIO'!$A:$A,$D180)</f>
        <v>0</v>
      </c>
      <c r="AB180" s="517">
        <v>1000</v>
      </c>
      <c r="AD180" s="430" t="s">
        <v>1470</v>
      </c>
      <c r="AE180" s="414">
        <v>48</v>
      </c>
      <c r="AF180" s="671">
        <v>25000</v>
      </c>
      <c r="AG180" s="672">
        <v>25</v>
      </c>
      <c r="AH180" s="726"/>
      <c r="AI180" s="723" t="str">
        <f>+VLOOKUP(D180,'[1]Chef Troquel'!$A$4:$F$92,5,0)</f>
        <v>Huevo</v>
      </c>
      <c r="AJ180" s="260" t="s">
        <v>1666</v>
      </c>
      <c r="AK180" s="337">
        <v>5</v>
      </c>
    </row>
    <row r="181" spans="1:37" ht="18" customHeight="1" thickBot="1" x14ac:dyDescent="0.4">
      <c r="A181" t="s">
        <v>1470</v>
      </c>
      <c r="C181" s="419">
        <v>2315700</v>
      </c>
      <c r="D181" s="439">
        <v>307</v>
      </c>
      <c r="E181" s="260" t="str">
        <f>+VLOOKUP(D181,'Conteo VACIO'!$A$8:$D$226,4,0)</f>
        <v>Q5</v>
      </c>
      <c r="F181" s="322" t="s">
        <v>1041</v>
      </c>
      <c r="G181" s="981" t="s">
        <v>1089</v>
      </c>
      <c r="H181" s="632"/>
      <c r="I181" s="942"/>
      <c r="J181" s="942"/>
      <c r="L181" s="980">
        <f t="shared" si="48"/>
        <v>0</v>
      </c>
      <c r="M181" s="485">
        <f t="shared" si="49"/>
        <v>0</v>
      </c>
      <c r="O181" s="921">
        <f t="shared" si="50"/>
        <v>1800</v>
      </c>
      <c r="P181" s="381">
        <f t="shared" si="55"/>
        <v>1800</v>
      </c>
      <c r="Q181" s="345">
        <f t="shared" si="56"/>
        <v>0</v>
      </c>
      <c r="R181" s="689"/>
      <c r="S181" s="23"/>
      <c r="T181" s="402">
        <f>+IFERROR(SUMIFS('Stock CD'!D:D,D21,'Stock CD'!C:C),0)</f>
        <v>0</v>
      </c>
      <c r="U181" s="405">
        <f t="shared" si="57"/>
        <v>0</v>
      </c>
      <c r="W181" s="403">
        <f>+IFERROR(VLOOKUP(D181,'Stock CD'!B:I,8,0),0)</f>
        <v>0</v>
      </c>
      <c r="X181" s="406">
        <f t="shared" si="53"/>
        <v>1800</v>
      </c>
      <c r="Z181" s="306">
        <f>+SUMIFS('Conteo VACIO'!F:F,'Conteo VACIO'!$A:$A,$D181)</f>
        <v>0</v>
      </c>
      <c r="AA181" s="306">
        <f>+SUMIFS('Conteo VACIO'!G:G,'Conteo VACIO'!$A:$A,$D181)</f>
        <v>0</v>
      </c>
      <c r="AB181" s="517">
        <v>1000</v>
      </c>
      <c r="AD181" s="430" t="s">
        <v>1470</v>
      </c>
      <c r="AE181" s="414">
        <v>360</v>
      </c>
      <c r="AF181" s="671">
        <v>25000</v>
      </c>
      <c r="AG181" s="672">
        <v>25</v>
      </c>
      <c r="AH181" s="726"/>
      <c r="AI181" s="723" t="str">
        <f>+VLOOKUP(D181,'[1]Chef Troquel'!$A$4:$F$92,5,0)</f>
        <v>Huevo</v>
      </c>
      <c r="AJ181" s="260" t="s">
        <v>1666</v>
      </c>
      <c r="AK181" s="337">
        <v>5</v>
      </c>
    </row>
    <row r="182" spans="1:37" ht="18" customHeight="1" thickBot="1" x14ac:dyDescent="0.4">
      <c r="A182" t="s">
        <v>1470</v>
      </c>
      <c r="C182" s="419">
        <v>2315700</v>
      </c>
      <c r="D182" s="439">
        <v>453</v>
      </c>
      <c r="E182" s="260" t="str">
        <f>+VLOOKUP(D182,'Conteo VACIO'!$A$8:$D$226,4,0)</f>
        <v>Q5</v>
      </c>
      <c r="F182" s="322" t="s">
        <v>1041</v>
      </c>
      <c r="G182" s="981" t="s">
        <v>1786</v>
      </c>
      <c r="H182" s="632"/>
      <c r="I182" s="942"/>
      <c r="J182" s="942"/>
      <c r="L182" s="980">
        <f t="shared" si="48"/>
        <v>0</v>
      </c>
      <c r="M182" s="485">
        <f t="shared" si="49"/>
        <v>0</v>
      </c>
      <c r="O182" s="921">
        <f t="shared" si="50"/>
        <v>0</v>
      </c>
      <c r="P182" s="381">
        <f t="shared" si="55"/>
        <v>0</v>
      </c>
      <c r="Q182" s="345">
        <f t="shared" si="56"/>
        <v>0</v>
      </c>
      <c r="R182" s="689"/>
      <c r="S182" s="23"/>
      <c r="T182" s="402">
        <f>+IFERROR(SUMIFS('Stock CD'!D:D,D22,'Stock CD'!C:C),0)</f>
        <v>0</v>
      </c>
      <c r="U182" s="405">
        <f t="shared" si="57"/>
        <v>0</v>
      </c>
      <c r="W182" s="403">
        <f>+IFERROR(VLOOKUP(D182,'Stock CD'!B:I,8,0),0)</f>
        <v>0</v>
      </c>
      <c r="X182" s="406">
        <f t="shared" si="53"/>
        <v>0</v>
      </c>
      <c r="Z182" s="306">
        <f>+SUMIFS('Conteo VACIO'!F:F,'Conteo VACIO'!$A:$A,$D182)</f>
        <v>0</v>
      </c>
      <c r="AA182" s="306">
        <f>+SUMIFS('Conteo VACIO'!G:G,'Conteo VACIO'!$A:$A,$D182)</f>
        <v>0</v>
      </c>
      <c r="AB182" s="517">
        <v>1000</v>
      </c>
      <c r="AD182" s="430" t="s">
        <v>1470</v>
      </c>
      <c r="AE182" s="414" t="s">
        <v>1797</v>
      </c>
      <c r="AF182" s="671">
        <v>25000</v>
      </c>
      <c r="AG182" s="672">
        <v>25</v>
      </c>
      <c r="AH182" s="726"/>
      <c r="AI182" s="723" t="str">
        <f>+VLOOKUP(D182,'[1]Chef Troquel'!$A$4:$F$92,5,0)</f>
        <v>Huevo</v>
      </c>
      <c r="AJ182" s="260" t="s">
        <v>1666</v>
      </c>
      <c r="AK182" s="337">
        <v>5</v>
      </c>
    </row>
    <row r="183" spans="1:37" ht="18" customHeight="1" thickBot="1" x14ac:dyDescent="0.4">
      <c r="A183" t="s">
        <v>1470</v>
      </c>
      <c r="C183" s="419">
        <v>2315700</v>
      </c>
      <c r="D183" s="439">
        <v>456</v>
      </c>
      <c r="E183" s="260" t="str">
        <f>+VLOOKUP(D183,'Conteo VACIO'!$A$8:$D$226,4,0)</f>
        <v>Q5</v>
      </c>
      <c r="F183" s="322" t="s">
        <v>1041</v>
      </c>
      <c r="G183" s="981" t="s">
        <v>1787</v>
      </c>
      <c r="H183" s="632"/>
      <c r="I183" s="942"/>
      <c r="J183" s="942"/>
      <c r="L183" s="980">
        <f t="shared" si="48"/>
        <v>0</v>
      </c>
      <c r="M183" s="485">
        <f t="shared" si="49"/>
        <v>0</v>
      </c>
      <c r="O183" s="921">
        <f t="shared" si="50"/>
        <v>0</v>
      </c>
      <c r="P183" s="381">
        <f t="shared" si="55"/>
        <v>0</v>
      </c>
      <c r="Q183" s="345">
        <f t="shared" si="56"/>
        <v>0</v>
      </c>
      <c r="R183" s="689"/>
      <c r="S183" s="23"/>
      <c r="T183" s="402">
        <f>+IFERROR(SUMIFS('Stock CD'!D:D,D23,'Stock CD'!C:C),0)</f>
        <v>0</v>
      </c>
      <c r="U183" s="405">
        <f t="shared" si="57"/>
        <v>0</v>
      </c>
      <c r="W183" s="403">
        <f>+IFERROR(VLOOKUP(D183,'Stock CD'!B:I,8,0),0)</f>
        <v>0</v>
      </c>
      <c r="X183" s="406">
        <f t="shared" si="53"/>
        <v>0</v>
      </c>
      <c r="Z183" s="306">
        <f>+SUMIFS('Conteo VACIO'!F:F,'Conteo VACIO'!$A:$A,$D183)</f>
        <v>0</v>
      </c>
      <c r="AA183" s="306">
        <f>+SUMIFS('Conteo VACIO'!G:G,'Conteo VACIO'!$A:$A,$D183)</f>
        <v>0</v>
      </c>
      <c r="AB183" s="517">
        <v>1000</v>
      </c>
      <c r="AD183" s="430" t="s">
        <v>1470</v>
      </c>
      <c r="AE183" s="414" t="s">
        <v>1797</v>
      </c>
      <c r="AF183" s="671">
        <v>25000</v>
      </c>
      <c r="AG183" s="672">
        <v>25</v>
      </c>
      <c r="AH183" s="726"/>
      <c r="AI183" s="723" t="str">
        <f>+VLOOKUP(D183,'[1]Chef Troquel'!$A$4:$F$92,5,0)</f>
        <v>Huevo</v>
      </c>
      <c r="AJ183" s="260" t="s">
        <v>1666</v>
      </c>
      <c r="AK183" s="337">
        <v>5</v>
      </c>
    </row>
    <row r="184" spans="1:37" ht="18" customHeight="1" thickBot="1" x14ac:dyDescent="0.4">
      <c r="A184" t="s">
        <v>1470</v>
      </c>
      <c r="C184" s="419">
        <v>2315700</v>
      </c>
      <c r="D184" s="439">
        <v>630</v>
      </c>
      <c r="E184" s="260" t="str">
        <f>+VLOOKUP(D184,'Conteo VACIO'!$A$8:$D$226,4,0)</f>
        <v>Q5</v>
      </c>
      <c r="F184" s="322" t="s">
        <v>1041</v>
      </c>
      <c r="G184" s="981" t="s">
        <v>1788</v>
      </c>
      <c r="H184" s="632"/>
      <c r="I184" s="942"/>
      <c r="J184" s="942"/>
      <c r="L184" s="980">
        <f t="shared" si="48"/>
        <v>0</v>
      </c>
      <c r="M184" s="485">
        <f t="shared" si="49"/>
        <v>0</v>
      </c>
      <c r="O184" s="921">
        <f t="shared" si="50"/>
        <v>300</v>
      </c>
      <c r="P184" s="381">
        <f t="shared" si="55"/>
        <v>300</v>
      </c>
      <c r="Q184" s="345">
        <f t="shared" si="56"/>
        <v>0</v>
      </c>
      <c r="R184" s="689"/>
      <c r="S184" s="23"/>
      <c r="T184" s="402">
        <f>+IFERROR(SUMIFS('Stock CD'!D:D,D24,'Stock CD'!C:C),0)</f>
        <v>0</v>
      </c>
      <c r="U184" s="405">
        <f t="shared" si="57"/>
        <v>0</v>
      </c>
      <c r="W184" s="403">
        <f>+IFERROR(VLOOKUP(D184,'Stock CD'!B:I,8,0),0)</f>
        <v>0</v>
      </c>
      <c r="X184" s="406">
        <f t="shared" si="53"/>
        <v>300</v>
      </c>
      <c r="Z184" s="306">
        <f>+SUMIFS('Conteo VACIO'!F:F,'Conteo VACIO'!$A:$A,$D184)</f>
        <v>0</v>
      </c>
      <c r="AA184" s="306">
        <f>+SUMIFS('Conteo VACIO'!G:G,'Conteo VACIO'!$A:$A,$D184)</f>
        <v>0</v>
      </c>
      <c r="AB184" s="517">
        <v>1000</v>
      </c>
      <c r="AD184" s="430" t="s">
        <v>1470</v>
      </c>
      <c r="AE184" s="414">
        <v>60</v>
      </c>
      <c r="AF184" s="671">
        <v>25000</v>
      </c>
      <c r="AG184" s="672">
        <v>25</v>
      </c>
      <c r="AH184" s="726"/>
      <c r="AI184" s="723" t="str">
        <f>+VLOOKUP(D184,'[1]Chef Troquel'!$A$4:$F$92,5,0)</f>
        <v>Huevo</v>
      </c>
      <c r="AJ184" s="260" t="s">
        <v>1666</v>
      </c>
      <c r="AK184" s="337">
        <v>5</v>
      </c>
    </row>
    <row r="185" spans="1:37" ht="18" customHeight="1" thickBot="1" x14ac:dyDescent="0.4">
      <c r="A185" t="s">
        <v>1470</v>
      </c>
      <c r="C185" s="419">
        <v>2315700</v>
      </c>
      <c r="D185" s="439">
        <v>631</v>
      </c>
      <c r="E185" s="260" t="str">
        <f>+VLOOKUP(D185,'Conteo VACIO'!$A$8:$D$226,4,0)</f>
        <v>Q5</v>
      </c>
      <c r="F185" s="322" t="s">
        <v>1041</v>
      </c>
      <c r="G185" s="981" t="s">
        <v>1789</v>
      </c>
      <c r="H185" s="632"/>
      <c r="I185" s="942"/>
      <c r="J185" s="942"/>
      <c r="L185" s="980">
        <f t="shared" si="48"/>
        <v>0</v>
      </c>
      <c r="M185" s="485">
        <f t="shared" si="49"/>
        <v>0</v>
      </c>
      <c r="O185" s="921">
        <f t="shared" si="50"/>
        <v>240</v>
      </c>
      <c r="P185" s="381">
        <f t="shared" si="55"/>
        <v>240</v>
      </c>
      <c r="Q185" s="345">
        <f t="shared" si="56"/>
        <v>0</v>
      </c>
      <c r="R185" s="689"/>
      <c r="S185" s="23"/>
      <c r="T185" s="402">
        <f>+IFERROR(SUMIFS('Stock CD'!D:D,D25,'Stock CD'!C:C),0)</f>
        <v>0</v>
      </c>
      <c r="U185" s="405">
        <f t="shared" si="57"/>
        <v>0</v>
      </c>
      <c r="W185" s="403">
        <f>+IFERROR(VLOOKUP(D185,'Stock CD'!B:I,8,0),0)</f>
        <v>0</v>
      </c>
      <c r="X185" s="406">
        <f t="shared" si="53"/>
        <v>240</v>
      </c>
      <c r="Z185" s="306">
        <f>+SUMIFS('Conteo VACIO'!F:F,'Conteo VACIO'!$A:$A,$D185)</f>
        <v>0</v>
      </c>
      <c r="AA185" s="306">
        <f>+SUMIFS('Conteo VACIO'!G:G,'Conteo VACIO'!$A:$A,$D185)</f>
        <v>0</v>
      </c>
      <c r="AB185" s="517">
        <v>1000</v>
      </c>
      <c r="AD185" s="430" t="s">
        <v>1470</v>
      </c>
      <c r="AE185" s="414">
        <v>48</v>
      </c>
      <c r="AF185" s="671">
        <v>25000</v>
      </c>
      <c r="AG185" s="672">
        <v>25</v>
      </c>
      <c r="AH185" s="726"/>
      <c r="AI185" s="723" t="str">
        <f>+VLOOKUP(D185,'[1]Chef Troquel'!$A$4:$F$92,5,0)</f>
        <v>Huevo</v>
      </c>
      <c r="AJ185" s="260" t="s">
        <v>1666</v>
      </c>
      <c r="AK185" s="337">
        <v>5</v>
      </c>
    </row>
    <row r="186" spans="1:37" ht="18" customHeight="1" thickBot="1" x14ac:dyDescent="0.4">
      <c r="A186" t="s">
        <v>1470</v>
      </c>
      <c r="C186" s="419">
        <v>2315700</v>
      </c>
      <c r="D186" s="439">
        <v>632</v>
      </c>
      <c r="E186" s="260" t="str">
        <f>+VLOOKUP(D186,'Conteo VACIO'!$A$8:$D$226,4,0)</f>
        <v>Q5</v>
      </c>
      <c r="F186" s="322" t="s">
        <v>1041</v>
      </c>
      <c r="G186" s="981" t="s">
        <v>1790</v>
      </c>
      <c r="H186" s="632"/>
      <c r="I186" s="942"/>
      <c r="J186" s="942"/>
      <c r="L186" s="980">
        <f t="shared" si="48"/>
        <v>0</v>
      </c>
      <c r="M186" s="485">
        <f t="shared" si="49"/>
        <v>0</v>
      </c>
      <c r="O186" s="921">
        <f t="shared" si="50"/>
        <v>240</v>
      </c>
      <c r="P186" s="381">
        <f t="shared" si="55"/>
        <v>240</v>
      </c>
      <c r="Q186" s="345">
        <f t="shared" si="56"/>
        <v>0</v>
      </c>
      <c r="R186" s="689"/>
      <c r="S186" s="23"/>
      <c r="T186" s="402">
        <f>+IFERROR(SUMIFS('Stock CD'!D:D,D26,'Stock CD'!C:C),0)</f>
        <v>0</v>
      </c>
      <c r="U186" s="405">
        <f t="shared" si="57"/>
        <v>0</v>
      </c>
      <c r="W186" s="403">
        <f>+IFERROR(VLOOKUP(D186,'Stock CD'!B:I,8,0),0)</f>
        <v>0</v>
      </c>
      <c r="X186" s="406">
        <f t="shared" si="53"/>
        <v>240</v>
      </c>
      <c r="Z186" s="306">
        <f>+SUMIFS('Conteo VACIO'!F:F,'Conteo VACIO'!$A:$A,$D186)</f>
        <v>0</v>
      </c>
      <c r="AA186" s="306">
        <f>+SUMIFS('Conteo VACIO'!G:G,'Conteo VACIO'!$A:$A,$D186)</f>
        <v>0</v>
      </c>
      <c r="AB186" s="517">
        <v>1000</v>
      </c>
      <c r="AD186" s="430" t="s">
        <v>1470</v>
      </c>
      <c r="AE186" s="414">
        <v>48</v>
      </c>
      <c r="AF186" s="671">
        <v>25000</v>
      </c>
      <c r="AG186" s="672">
        <v>25</v>
      </c>
      <c r="AH186" s="726"/>
      <c r="AI186" s="723" t="str">
        <f>+VLOOKUP(D186,'[1]Chef Troquel'!$A$4:$F$92,5,0)</f>
        <v>Huevo</v>
      </c>
      <c r="AJ186" s="260" t="s">
        <v>1666</v>
      </c>
      <c r="AK186" s="337">
        <v>5</v>
      </c>
    </row>
    <row r="187" spans="1:37" ht="18" customHeight="1" thickBot="1" x14ac:dyDescent="0.4">
      <c r="A187" t="s">
        <v>1470</v>
      </c>
      <c r="C187" s="419">
        <v>2315700</v>
      </c>
      <c r="D187" s="439">
        <v>633</v>
      </c>
      <c r="E187" s="260" t="str">
        <f>+VLOOKUP(D187,'Conteo VACIO'!$A$8:$D$226,4,0)</f>
        <v>Q5</v>
      </c>
      <c r="F187" s="322" t="s">
        <v>1041</v>
      </c>
      <c r="G187" s="981" t="s">
        <v>1354</v>
      </c>
      <c r="H187" s="632"/>
      <c r="I187" s="942"/>
      <c r="J187" s="942"/>
      <c r="L187" s="980">
        <f t="shared" si="48"/>
        <v>0</v>
      </c>
      <c r="M187" s="485">
        <f t="shared" si="49"/>
        <v>0</v>
      </c>
      <c r="O187" s="921">
        <f t="shared" si="50"/>
        <v>180</v>
      </c>
      <c r="P187" s="381">
        <f t="shared" si="55"/>
        <v>180</v>
      </c>
      <c r="Q187" s="345">
        <f t="shared" si="56"/>
        <v>0</v>
      </c>
      <c r="R187" s="689"/>
      <c r="S187" s="23"/>
      <c r="T187" s="402">
        <f>+IFERROR(SUMIFS('Stock CD'!D:D,D27,'Stock CD'!C:C),0)</f>
        <v>0</v>
      </c>
      <c r="U187" s="405">
        <f t="shared" si="57"/>
        <v>0</v>
      </c>
      <c r="W187" s="403">
        <f>+IFERROR(VLOOKUP(D187,'Stock CD'!B:I,8,0),0)</f>
        <v>0</v>
      </c>
      <c r="X187" s="406">
        <f t="shared" si="53"/>
        <v>180</v>
      </c>
      <c r="Z187" s="306">
        <f>+SUMIFS('Conteo VACIO'!F:F,'Conteo VACIO'!$A:$A,$D187)</f>
        <v>0</v>
      </c>
      <c r="AA187" s="306">
        <f>+SUMIFS('Conteo VACIO'!G:G,'Conteo VACIO'!$A:$A,$D187)</f>
        <v>0</v>
      </c>
      <c r="AB187" s="517">
        <v>1000</v>
      </c>
      <c r="AD187" s="430" t="s">
        <v>1470</v>
      </c>
      <c r="AE187" s="414">
        <v>36</v>
      </c>
      <c r="AF187" s="671">
        <v>25000</v>
      </c>
      <c r="AG187" s="672">
        <v>25</v>
      </c>
      <c r="AH187" s="726"/>
      <c r="AI187" s="723" t="str">
        <f>+VLOOKUP(D187,'[1]Chef Troquel'!$A$4:$F$92,5,0)</f>
        <v>Huevo</v>
      </c>
      <c r="AJ187" s="260" t="s">
        <v>1666</v>
      </c>
      <c r="AK187" s="337">
        <v>5</v>
      </c>
    </row>
    <row r="188" spans="1:37" ht="18" customHeight="1" thickBot="1" x14ac:dyDescent="0.4">
      <c r="A188" t="s">
        <v>1470</v>
      </c>
      <c r="C188" s="419">
        <v>2315700</v>
      </c>
      <c r="D188" s="439">
        <v>634</v>
      </c>
      <c r="E188" s="260" t="str">
        <f>+VLOOKUP(D188,'Conteo VACIO'!$A$8:$D$226,4,0)</f>
        <v>Q5</v>
      </c>
      <c r="F188" s="322" t="s">
        <v>1041</v>
      </c>
      <c r="G188" s="981" t="s">
        <v>1791</v>
      </c>
      <c r="H188" s="632"/>
      <c r="I188" s="942"/>
      <c r="J188" s="942"/>
      <c r="L188" s="980">
        <f t="shared" si="48"/>
        <v>0</v>
      </c>
      <c r="M188" s="485">
        <f t="shared" si="49"/>
        <v>0</v>
      </c>
      <c r="O188" s="921">
        <f t="shared" si="50"/>
        <v>120</v>
      </c>
      <c r="P188" s="381">
        <f t="shared" si="55"/>
        <v>120</v>
      </c>
      <c r="Q188" s="345">
        <f t="shared" si="56"/>
        <v>0</v>
      </c>
      <c r="R188" s="689"/>
      <c r="S188" s="23"/>
      <c r="T188" s="402">
        <f>+IFERROR(SUMIFS('Stock CD'!D:D,D28,'Stock CD'!C:C),0)</f>
        <v>0</v>
      </c>
      <c r="U188" s="405">
        <f t="shared" si="57"/>
        <v>0</v>
      </c>
      <c r="W188" s="403">
        <f>+IFERROR(VLOOKUP(D188,'Stock CD'!B:I,8,0),0)</f>
        <v>0</v>
      </c>
      <c r="X188" s="406">
        <f t="shared" si="53"/>
        <v>120</v>
      </c>
      <c r="Z188" s="306">
        <f>+SUMIFS('Conteo VACIO'!F:F,'Conteo VACIO'!$A:$A,$D188)</f>
        <v>0</v>
      </c>
      <c r="AA188" s="306">
        <f>+SUMIFS('Conteo VACIO'!G:G,'Conteo VACIO'!$A:$A,$D188)</f>
        <v>0</v>
      </c>
      <c r="AB188" s="517">
        <v>1000</v>
      </c>
      <c r="AD188" s="430" t="s">
        <v>1470</v>
      </c>
      <c r="AE188" s="414">
        <v>24</v>
      </c>
      <c r="AF188" s="671">
        <v>25000</v>
      </c>
      <c r="AG188" s="672">
        <v>25</v>
      </c>
      <c r="AH188" s="726"/>
      <c r="AI188" s="723" t="str">
        <f>+VLOOKUP(D188,'[1]Chef Troquel'!$A$4:$F$92,5,0)</f>
        <v>Huevo</v>
      </c>
      <c r="AJ188" s="260" t="s">
        <v>1666</v>
      </c>
      <c r="AK188" s="337">
        <v>5</v>
      </c>
    </row>
    <row r="189" spans="1:37" ht="18" customHeight="1" thickBot="1" x14ac:dyDescent="0.4">
      <c r="A189" t="s">
        <v>1470</v>
      </c>
      <c r="C189" s="419">
        <v>2315700</v>
      </c>
      <c r="D189" s="439">
        <v>635</v>
      </c>
      <c r="E189" s="260" t="str">
        <f>+VLOOKUP(D189,'Conteo VACIO'!$A$8:$D$226,4,0)</f>
        <v>Q5</v>
      </c>
      <c r="F189" s="322" t="s">
        <v>1041</v>
      </c>
      <c r="G189" s="981" t="s">
        <v>1792</v>
      </c>
      <c r="H189" s="632"/>
      <c r="I189" s="942"/>
      <c r="J189" s="942"/>
      <c r="L189" s="980">
        <f t="shared" si="48"/>
        <v>0</v>
      </c>
      <c r="M189" s="485">
        <f t="shared" si="49"/>
        <v>0</v>
      </c>
      <c r="O189" s="921">
        <f t="shared" si="50"/>
        <v>240</v>
      </c>
      <c r="P189" s="381">
        <f t="shared" si="55"/>
        <v>240</v>
      </c>
      <c r="Q189" s="345">
        <f t="shared" si="56"/>
        <v>0</v>
      </c>
      <c r="R189" s="689"/>
      <c r="S189" s="23"/>
      <c r="T189" s="402">
        <f>+IFERROR(SUMIFS('Stock CD'!D:D,D29,'Stock CD'!C:C),0)</f>
        <v>0</v>
      </c>
      <c r="U189" s="405">
        <f t="shared" si="57"/>
        <v>0</v>
      </c>
      <c r="W189" s="403">
        <f>+IFERROR(VLOOKUP(D189,'Stock CD'!B:I,8,0),0)</f>
        <v>0</v>
      </c>
      <c r="X189" s="406">
        <f t="shared" si="53"/>
        <v>240</v>
      </c>
      <c r="Z189" s="306">
        <f>+SUMIFS('Conteo VACIO'!F:F,'Conteo VACIO'!$A:$A,$D189)</f>
        <v>0</v>
      </c>
      <c r="AA189" s="306">
        <f>+SUMIFS('Conteo VACIO'!G:G,'Conteo VACIO'!$A:$A,$D189)</f>
        <v>0</v>
      </c>
      <c r="AB189" s="517">
        <v>1000</v>
      </c>
      <c r="AD189" s="430" t="s">
        <v>1470</v>
      </c>
      <c r="AE189" s="414">
        <v>48</v>
      </c>
      <c r="AF189" s="671">
        <v>25000</v>
      </c>
      <c r="AG189" s="672">
        <v>25</v>
      </c>
      <c r="AH189" s="726"/>
      <c r="AI189" s="723" t="str">
        <f>+VLOOKUP(D189,'[1]Chef Troquel'!$A$4:$F$92,5,0)</f>
        <v>Huevo</v>
      </c>
      <c r="AJ189" s="260" t="s">
        <v>1666</v>
      </c>
      <c r="AK189" s="337">
        <v>5</v>
      </c>
    </row>
    <row r="190" spans="1:37" ht="18" customHeight="1" thickBot="1" x14ac:dyDescent="0.4">
      <c r="A190" t="s">
        <v>1470</v>
      </c>
      <c r="C190" s="419">
        <v>2315700</v>
      </c>
      <c r="D190" s="439">
        <v>636</v>
      </c>
      <c r="E190" s="260" t="str">
        <f>+VLOOKUP(D190,'Conteo VACIO'!$A$8:$D$226,4,0)</f>
        <v>Q5</v>
      </c>
      <c r="F190" s="322" t="s">
        <v>1041</v>
      </c>
      <c r="G190" s="981" t="s">
        <v>1793</v>
      </c>
      <c r="H190" s="632"/>
      <c r="I190" s="942"/>
      <c r="J190" s="942"/>
      <c r="L190" s="980">
        <f t="shared" si="48"/>
        <v>0</v>
      </c>
      <c r="M190" s="485">
        <f t="shared" si="49"/>
        <v>0</v>
      </c>
      <c r="O190" s="921">
        <f t="shared" si="50"/>
        <v>240</v>
      </c>
      <c r="P190" s="381">
        <f t="shared" si="55"/>
        <v>240</v>
      </c>
      <c r="Q190" s="345">
        <f t="shared" si="56"/>
        <v>0</v>
      </c>
      <c r="R190" s="689"/>
      <c r="S190" s="23"/>
      <c r="T190" s="402">
        <f>+IFERROR(SUMIFS('Stock CD'!D:D,D30,'Stock CD'!C:C),0)</f>
        <v>0</v>
      </c>
      <c r="U190" s="405">
        <f t="shared" si="57"/>
        <v>0</v>
      </c>
      <c r="W190" s="403">
        <f>+IFERROR(VLOOKUP(D190,'Stock CD'!B:I,8,0),0)</f>
        <v>0</v>
      </c>
      <c r="X190" s="406">
        <f t="shared" si="53"/>
        <v>240</v>
      </c>
      <c r="Z190" s="306">
        <f>+SUMIFS('Conteo VACIO'!F:F,'Conteo VACIO'!$A:$A,$D190)</f>
        <v>0</v>
      </c>
      <c r="AA190" s="306">
        <f>+SUMIFS('Conteo VACIO'!G:G,'Conteo VACIO'!$A:$A,$D190)</f>
        <v>0</v>
      </c>
      <c r="AB190" s="517">
        <v>1000</v>
      </c>
      <c r="AD190" s="430" t="s">
        <v>1470</v>
      </c>
      <c r="AE190" s="414">
        <v>48</v>
      </c>
      <c r="AF190" s="671">
        <v>25000</v>
      </c>
      <c r="AG190" s="672">
        <v>25</v>
      </c>
      <c r="AH190" s="726"/>
      <c r="AI190" s="723" t="str">
        <f>+VLOOKUP(D190,'[1]Chef Troquel'!$A$4:$F$92,5,0)</f>
        <v>Huevo</v>
      </c>
      <c r="AJ190" s="260" t="s">
        <v>1666</v>
      </c>
      <c r="AK190" s="337">
        <v>5</v>
      </c>
    </row>
    <row r="191" spans="1:37" ht="18" customHeight="1" thickBot="1" x14ac:dyDescent="0.4">
      <c r="A191" t="s">
        <v>1470</v>
      </c>
      <c r="C191" s="419">
        <v>2315700</v>
      </c>
      <c r="D191" s="439">
        <v>637</v>
      </c>
      <c r="E191" s="260" t="str">
        <f>+VLOOKUP(D191,'Conteo VACIO'!$A$8:$D$226,4,0)</f>
        <v>Q5</v>
      </c>
      <c r="F191" s="322" t="s">
        <v>1041</v>
      </c>
      <c r="G191" s="981" t="s">
        <v>1794</v>
      </c>
      <c r="H191" s="632"/>
      <c r="I191" s="942"/>
      <c r="J191" s="942"/>
      <c r="L191" s="980">
        <f t="shared" si="48"/>
        <v>0</v>
      </c>
      <c r="M191" s="485">
        <f t="shared" si="49"/>
        <v>0</v>
      </c>
      <c r="O191" s="921">
        <f t="shared" si="50"/>
        <v>120</v>
      </c>
      <c r="P191" s="381">
        <f t="shared" si="55"/>
        <v>120</v>
      </c>
      <c r="Q191" s="345">
        <f t="shared" si="56"/>
        <v>0</v>
      </c>
      <c r="R191" s="689"/>
      <c r="S191" s="23"/>
      <c r="T191" s="402">
        <f>+IFERROR(SUMIFS('Stock CD'!D:D,D31,'Stock CD'!C:C),0)</f>
        <v>0</v>
      </c>
      <c r="U191" s="405">
        <f t="shared" si="57"/>
        <v>0</v>
      </c>
      <c r="W191" s="403">
        <f>+IFERROR(VLOOKUP(D191,'Stock CD'!B:I,8,0),0)</f>
        <v>0</v>
      </c>
      <c r="X191" s="406">
        <f t="shared" si="53"/>
        <v>120</v>
      </c>
      <c r="Z191" s="306">
        <f>+SUMIFS('Conteo VACIO'!F:F,'Conteo VACIO'!$A:$A,$D191)</f>
        <v>0</v>
      </c>
      <c r="AA191" s="306">
        <f>+SUMIFS('Conteo VACIO'!G:G,'Conteo VACIO'!$A:$A,$D191)</f>
        <v>0</v>
      </c>
      <c r="AB191" s="517">
        <v>1000</v>
      </c>
      <c r="AD191" s="430" t="s">
        <v>1470</v>
      </c>
      <c r="AE191" s="414">
        <v>24</v>
      </c>
      <c r="AF191" s="671">
        <v>25000</v>
      </c>
      <c r="AG191" s="672">
        <v>25</v>
      </c>
      <c r="AH191" s="726"/>
      <c r="AI191" s="723" t="str">
        <f>+VLOOKUP(D191,'[1]Chef Troquel'!$A$4:$F$92,5,0)</f>
        <v>Huevo</v>
      </c>
      <c r="AJ191" s="260" t="s">
        <v>1666</v>
      </c>
      <c r="AK191" s="337">
        <v>5</v>
      </c>
    </row>
    <row r="192" spans="1:37" ht="18" customHeight="1" thickBot="1" x14ac:dyDescent="0.4">
      <c r="A192" t="s">
        <v>1470</v>
      </c>
      <c r="C192" s="419">
        <v>2315700</v>
      </c>
      <c r="D192" s="439">
        <v>842</v>
      </c>
      <c r="E192" s="260" t="str">
        <f>+VLOOKUP(D192,'Conteo VACIO'!$A$8:$D$226,4,0)</f>
        <v>Q5</v>
      </c>
      <c r="F192" s="322" t="s">
        <v>1041</v>
      </c>
      <c r="G192" s="981" t="s">
        <v>1137</v>
      </c>
      <c r="H192" s="632"/>
      <c r="I192" s="942"/>
      <c r="J192" s="942"/>
      <c r="L192" s="980">
        <f t="shared" si="48"/>
        <v>0</v>
      </c>
      <c r="M192" s="485">
        <f t="shared" si="49"/>
        <v>0</v>
      </c>
      <c r="O192" s="921">
        <f t="shared" si="50"/>
        <v>1320</v>
      </c>
      <c r="P192" s="381">
        <f t="shared" si="55"/>
        <v>1320</v>
      </c>
      <c r="Q192" s="345">
        <f t="shared" si="56"/>
        <v>0</v>
      </c>
      <c r="R192" s="689"/>
      <c r="S192" s="23"/>
      <c r="T192" s="402">
        <f>+IFERROR(SUMIFS('Stock CD'!D:D,D32,'Stock CD'!C:C),0)</f>
        <v>0</v>
      </c>
      <c r="U192" s="405">
        <f t="shared" si="57"/>
        <v>0</v>
      </c>
      <c r="W192" s="403">
        <f>+IFERROR(VLOOKUP(D192,'Stock CD'!B:I,8,0),0)</f>
        <v>0</v>
      </c>
      <c r="X192" s="406">
        <f t="shared" si="53"/>
        <v>1320</v>
      </c>
      <c r="Z192" s="306">
        <f>+SUMIFS('Conteo VACIO'!F:F,'Conteo VACIO'!$A:$A,$D192)</f>
        <v>0</v>
      </c>
      <c r="AA192" s="306">
        <f>+SUMIFS('Conteo VACIO'!G:G,'Conteo VACIO'!$A:$A,$D192)</f>
        <v>0</v>
      </c>
      <c r="AB192" s="517">
        <v>1000</v>
      </c>
      <c r="AD192" s="430" t="s">
        <v>1470</v>
      </c>
      <c r="AE192" s="414">
        <v>264</v>
      </c>
      <c r="AF192" s="671">
        <v>25000</v>
      </c>
      <c r="AG192" s="672">
        <v>25</v>
      </c>
      <c r="AH192" s="726"/>
      <c r="AI192" s="723" t="str">
        <f>+VLOOKUP(D192,'[1]Chef Troquel'!$A$4:$F$92,5,0)</f>
        <v>Huevo</v>
      </c>
      <c r="AJ192" s="260" t="s">
        <v>1666</v>
      </c>
      <c r="AK192" s="337">
        <v>5</v>
      </c>
    </row>
    <row r="193" spans="1:37" ht="18" customHeight="1" thickBot="1" x14ac:dyDescent="0.4">
      <c r="A193" t="s">
        <v>1470</v>
      </c>
      <c r="C193" s="419">
        <v>2315700</v>
      </c>
      <c r="D193" s="439">
        <v>843</v>
      </c>
      <c r="E193" s="260" t="str">
        <f>+VLOOKUP(D193,'Conteo VACIO'!$A$8:$D$226,4,0)</f>
        <v>Q5</v>
      </c>
      <c r="F193" s="322" t="s">
        <v>1041</v>
      </c>
      <c r="G193" s="981" t="s">
        <v>1138</v>
      </c>
      <c r="H193" s="632"/>
      <c r="I193" s="942"/>
      <c r="J193" s="942"/>
      <c r="L193" s="980">
        <f t="shared" si="48"/>
        <v>0</v>
      </c>
      <c r="M193" s="485">
        <f t="shared" si="49"/>
        <v>0</v>
      </c>
      <c r="O193" s="921">
        <f t="shared" si="50"/>
        <v>360</v>
      </c>
      <c r="P193" s="381">
        <f t="shared" si="55"/>
        <v>360</v>
      </c>
      <c r="Q193" s="345">
        <f t="shared" si="56"/>
        <v>0</v>
      </c>
      <c r="R193" s="689"/>
      <c r="S193" s="23"/>
      <c r="T193" s="402">
        <f>+IFERROR(SUMIFS('Stock CD'!D:D,D33,'Stock CD'!C:C),0)</f>
        <v>0</v>
      </c>
      <c r="U193" s="405">
        <f t="shared" si="57"/>
        <v>0</v>
      </c>
      <c r="W193" s="403">
        <f>+IFERROR(VLOOKUP(D193,'Stock CD'!B:I,8,0),0)</f>
        <v>0</v>
      </c>
      <c r="X193" s="406">
        <f t="shared" si="53"/>
        <v>360</v>
      </c>
      <c r="Z193" s="306">
        <f>+SUMIFS('Conteo VACIO'!F:F,'Conteo VACIO'!$A:$A,$D193)</f>
        <v>0</v>
      </c>
      <c r="AA193" s="306">
        <f>+SUMIFS('Conteo VACIO'!G:G,'Conteo VACIO'!$A:$A,$D193)</f>
        <v>0</v>
      </c>
      <c r="AB193" s="517">
        <v>1000</v>
      </c>
      <c r="AD193" s="430" t="s">
        <v>1470</v>
      </c>
      <c r="AE193" s="414">
        <v>72</v>
      </c>
      <c r="AF193" s="671">
        <v>25000</v>
      </c>
      <c r="AG193" s="672">
        <v>25</v>
      </c>
      <c r="AH193" s="726"/>
      <c r="AI193" s="723" t="str">
        <f>+VLOOKUP(D193,'[1]Chef Troquel'!$A$4:$F$92,5,0)</f>
        <v>Huevo</v>
      </c>
      <c r="AJ193" s="260" t="s">
        <v>1666</v>
      </c>
      <c r="AK193" s="337">
        <v>5</v>
      </c>
    </row>
    <row r="194" spans="1:37" ht="18" customHeight="1" thickBot="1" x14ac:dyDescent="0.4">
      <c r="A194" t="s">
        <v>1470</v>
      </c>
      <c r="C194" s="419">
        <v>2315700</v>
      </c>
      <c r="D194" s="439">
        <v>844</v>
      </c>
      <c r="E194" s="260" t="str">
        <f>+VLOOKUP(D194,'Conteo VACIO'!$A$8:$D$226,4,0)</f>
        <v>Q5</v>
      </c>
      <c r="F194" s="322" t="s">
        <v>1041</v>
      </c>
      <c r="G194" s="981" t="s">
        <v>1139</v>
      </c>
      <c r="H194" s="632"/>
      <c r="I194" s="942"/>
      <c r="J194" s="942"/>
      <c r="L194" s="980">
        <f t="shared" si="48"/>
        <v>0</v>
      </c>
      <c r="M194" s="485">
        <f t="shared" si="49"/>
        <v>0</v>
      </c>
      <c r="O194" s="921">
        <f t="shared" si="50"/>
        <v>480</v>
      </c>
      <c r="P194" s="381">
        <f t="shared" si="55"/>
        <v>480</v>
      </c>
      <c r="Q194" s="345">
        <f t="shared" si="56"/>
        <v>0</v>
      </c>
      <c r="R194" s="689"/>
      <c r="S194" s="23"/>
      <c r="T194" s="402">
        <f>+IFERROR(SUMIFS('Stock CD'!D:D,D34,'Stock CD'!C:C),0)</f>
        <v>0</v>
      </c>
      <c r="U194" s="405">
        <f t="shared" si="57"/>
        <v>0</v>
      </c>
      <c r="W194" s="403">
        <f>+IFERROR(VLOOKUP(D194,'Stock CD'!B:I,8,0),0)</f>
        <v>0</v>
      </c>
      <c r="X194" s="406">
        <f t="shared" si="53"/>
        <v>480</v>
      </c>
      <c r="Z194" s="306">
        <f>+SUMIFS('Conteo VACIO'!F:F,'Conteo VACIO'!$A:$A,$D194)</f>
        <v>0</v>
      </c>
      <c r="AA194" s="306">
        <f>+SUMIFS('Conteo VACIO'!G:G,'Conteo VACIO'!$A:$A,$D194)</f>
        <v>0</v>
      </c>
      <c r="AB194" s="517">
        <v>1000</v>
      </c>
      <c r="AD194" s="430" t="s">
        <v>1470</v>
      </c>
      <c r="AE194" s="414">
        <v>96</v>
      </c>
      <c r="AF194" s="671">
        <v>25000</v>
      </c>
      <c r="AG194" s="672">
        <v>25</v>
      </c>
      <c r="AH194" s="726"/>
      <c r="AI194" s="723" t="str">
        <f>+VLOOKUP(D194,'[1]Chef Troquel'!$A$4:$F$92,5,0)</f>
        <v>Huevo</v>
      </c>
      <c r="AJ194" s="260" t="s">
        <v>1666</v>
      </c>
      <c r="AK194" s="337">
        <v>5</v>
      </c>
    </row>
    <row r="195" spans="1:37" ht="18" customHeight="1" thickBot="1" x14ac:dyDescent="0.4">
      <c r="A195" t="s">
        <v>1470</v>
      </c>
      <c r="C195" s="500">
        <v>2315700</v>
      </c>
      <c r="D195" s="449">
        <v>845</v>
      </c>
      <c r="E195" s="262" t="str">
        <f>+VLOOKUP(D195,'Conteo VACIO'!$A$8:$D$226,4,0)</f>
        <v>Q5</v>
      </c>
      <c r="F195" s="324" t="s">
        <v>1041</v>
      </c>
      <c r="G195" s="934" t="s">
        <v>1140</v>
      </c>
      <c r="H195" s="632"/>
      <c r="I195" s="943"/>
      <c r="J195" s="943"/>
      <c r="L195" s="980">
        <f t="shared" si="48"/>
        <v>0.83333333333333337</v>
      </c>
      <c r="M195" s="485">
        <f t="shared" si="49"/>
        <v>0.83333333333333337</v>
      </c>
      <c r="O195" s="921">
        <f t="shared" si="50"/>
        <v>140</v>
      </c>
      <c r="P195" s="381">
        <f t="shared" si="55"/>
        <v>840</v>
      </c>
      <c r="Q195" s="345">
        <f t="shared" si="56"/>
        <v>700</v>
      </c>
      <c r="R195" s="689"/>
      <c r="S195" s="23"/>
      <c r="T195" s="402">
        <f>+IFERROR(SUMIFS('Stock CD'!D:D,D35,'Stock CD'!C:C),0)</f>
        <v>0</v>
      </c>
      <c r="U195" s="405">
        <f t="shared" si="57"/>
        <v>700</v>
      </c>
      <c r="W195" s="403">
        <f>+IFERROR(VLOOKUP(D195,'Stock CD'!B:I,8,0),0)</f>
        <v>0</v>
      </c>
      <c r="X195" s="406">
        <f t="shared" si="53"/>
        <v>840</v>
      </c>
      <c r="Z195" s="306">
        <f>+SUMIFS('Conteo VACIO'!F:F,'Conteo VACIO'!$A:$A,$D195)</f>
        <v>0</v>
      </c>
      <c r="AA195" s="306">
        <f>+SUMIFS('Conteo VACIO'!G:G,'Conteo VACIO'!$A:$A,$D195)</f>
        <v>700</v>
      </c>
      <c r="AB195" s="517">
        <v>1000</v>
      </c>
      <c r="AD195" s="430" t="s">
        <v>1470</v>
      </c>
      <c r="AE195" s="414">
        <v>168</v>
      </c>
      <c r="AF195" s="671">
        <v>25000</v>
      </c>
      <c r="AG195" s="672">
        <v>25</v>
      </c>
      <c r="AH195" s="726"/>
      <c r="AI195" s="723" t="str">
        <f>+VLOOKUP(D195,'[1]Chef Troquel'!$A$4:$F$92,5,0)</f>
        <v>Huevo</v>
      </c>
      <c r="AJ195" s="260" t="s">
        <v>1666</v>
      </c>
      <c r="AK195" s="337">
        <v>5</v>
      </c>
    </row>
    <row r="196" spans="1:37" ht="18" customHeight="1" thickBot="1" x14ac:dyDescent="0.4">
      <c r="A196" t="s">
        <v>1470</v>
      </c>
      <c r="C196" s="761">
        <v>2315700</v>
      </c>
      <c r="D196" s="762">
        <v>856</v>
      </c>
      <c r="E196" s="627" t="str">
        <f>+VLOOKUP(D196,'Conteo VACIO'!$A$8:$D$226,4,0)</f>
        <v>O3C</v>
      </c>
      <c r="F196" s="617" t="s">
        <v>1041</v>
      </c>
      <c r="G196" s="982" t="s">
        <v>1144</v>
      </c>
      <c r="H196" s="632"/>
      <c r="I196" s="930"/>
      <c r="J196" s="930"/>
      <c r="L196" s="980">
        <f t="shared" si="48"/>
        <v>0.70833333333333337</v>
      </c>
      <c r="M196" s="485">
        <f t="shared" si="49"/>
        <v>0.70833333333333337</v>
      </c>
      <c r="O196" s="921">
        <f t="shared" si="50"/>
        <v>140</v>
      </c>
      <c r="P196" s="381">
        <f t="shared" si="55"/>
        <v>480</v>
      </c>
      <c r="Q196" s="345">
        <f t="shared" si="56"/>
        <v>340</v>
      </c>
      <c r="R196" s="689"/>
      <c r="S196" s="23"/>
      <c r="T196" s="402">
        <f>+IFERROR(SUMIFS('Stock CD'!D:D,D38,'Stock CD'!C:C),0)</f>
        <v>0</v>
      </c>
      <c r="U196" s="405">
        <f t="shared" si="57"/>
        <v>340</v>
      </c>
      <c r="W196" s="403">
        <f>+IFERROR(VLOOKUP(D196,'Stock CD'!B:I,8,0),0)</f>
        <v>0</v>
      </c>
      <c r="X196" s="406">
        <f t="shared" si="53"/>
        <v>480</v>
      </c>
      <c r="Z196" s="306">
        <f>+SUMIFS('Conteo VACIO'!F:F,'Conteo VACIO'!$A:$A,$D196)</f>
        <v>0</v>
      </c>
      <c r="AA196" s="306">
        <f>+SUMIFS('Conteo VACIO'!G:G,'Conteo VACIO'!$A:$A,$D196)</f>
        <v>340</v>
      </c>
      <c r="AB196" s="517">
        <v>1000</v>
      </c>
      <c r="AD196" s="430" t="s">
        <v>1470</v>
      </c>
      <c r="AE196" s="414">
        <v>96</v>
      </c>
      <c r="AF196" s="671">
        <v>25000</v>
      </c>
      <c r="AG196" s="672">
        <v>25</v>
      </c>
      <c r="AH196" s="726"/>
      <c r="AI196" s="723" t="str">
        <f>+VLOOKUP(D196,'[1]Chef Troquel'!$A$4:$F$92,5,0)</f>
        <v>Huevo</v>
      </c>
      <c r="AJ196" s="260" t="s">
        <v>1666</v>
      </c>
      <c r="AK196" s="337">
        <v>5</v>
      </c>
    </row>
    <row r="197" spans="1:37" ht="18" customHeight="1" thickBot="1" x14ac:dyDescent="0.4">
      <c r="A197" t="s">
        <v>1470</v>
      </c>
      <c r="C197" s="919">
        <v>2315700</v>
      </c>
      <c r="D197" s="920">
        <v>857</v>
      </c>
      <c r="E197" s="538" t="str">
        <f>+VLOOKUP(D197,'Conteo VACIO'!$A$8:$D$226,4,0)</f>
        <v>O2C</v>
      </c>
      <c r="F197" s="608" t="s">
        <v>1041</v>
      </c>
      <c r="G197" s="983" t="s">
        <v>1145</v>
      </c>
      <c r="H197" s="632"/>
      <c r="I197" s="942"/>
      <c r="J197" s="942"/>
      <c r="L197" s="980">
        <f t="shared" si="48"/>
        <v>0</v>
      </c>
      <c r="M197" s="485">
        <f t="shared" si="49"/>
        <v>0</v>
      </c>
      <c r="O197" s="922">
        <f t="shared" si="50"/>
        <v>120</v>
      </c>
      <c r="P197" s="821">
        <f t="shared" si="55"/>
        <v>120</v>
      </c>
      <c r="Q197" s="609">
        <f t="shared" si="56"/>
        <v>0</v>
      </c>
      <c r="R197" s="771"/>
      <c r="S197" s="28"/>
      <c r="T197" s="802">
        <f>+IFERROR(SUMIFS('Stock CD'!D:D,D39,'Stock CD'!C:C),0)</f>
        <v>0</v>
      </c>
      <c r="U197" s="610">
        <f t="shared" si="57"/>
        <v>0</v>
      </c>
      <c r="W197" s="403">
        <f>+IFERROR(VLOOKUP(D197,'Stock CD'!B:I,8,0),0)</f>
        <v>0</v>
      </c>
      <c r="X197" s="406">
        <f t="shared" si="53"/>
        <v>120</v>
      </c>
      <c r="Z197" s="306">
        <f>+SUMIFS('Conteo VACIO'!F:F,'Conteo VACIO'!$A:$A,$D197)</f>
        <v>0</v>
      </c>
      <c r="AA197" s="306">
        <f>+SUMIFS('Conteo VACIO'!G:G,'Conteo VACIO'!$A:$A,$D197)</f>
        <v>0</v>
      </c>
      <c r="AB197" s="517">
        <v>1000</v>
      </c>
      <c r="AD197" s="430" t="s">
        <v>1470</v>
      </c>
      <c r="AE197" s="414">
        <v>24</v>
      </c>
      <c r="AF197" s="671">
        <v>25000</v>
      </c>
      <c r="AG197" s="672">
        <v>25</v>
      </c>
      <c r="AH197" s="726"/>
      <c r="AI197" s="723" t="str">
        <f>+VLOOKUP(D197,'[1]Chef Troquel'!$A$4:$F$92,5,0)</f>
        <v>Huevo</v>
      </c>
      <c r="AJ197" s="260" t="s">
        <v>1666</v>
      </c>
      <c r="AK197" s="337">
        <v>5</v>
      </c>
    </row>
    <row r="198" spans="1:37" ht="18" customHeight="1" thickBot="1" x14ac:dyDescent="0.4">
      <c r="A198" t="s">
        <v>1470</v>
      </c>
      <c r="C198" s="419">
        <v>2315700</v>
      </c>
      <c r="D198" s="439">
        <v>858</v>
      </c>
      <c r="E198" s="260" t="str">
        <f>+VLOOKUP(D198,'Conteo VACIO'!$A$8:$D$226,4,0)</f>
        <v>Q5</v>
      </c>
      <c r="F198" s="322" t="s">
        <v>1041</v>
      </c>
      <c r="G198" s="981" t="s">
        <v>823</v>
      </c>
      <c r="H198" s="632"/>
      <c r="I198" s="942"/>
      <c r="J198" s="942"/>
      <c r="L198" s="980">
        <f t="shared" si="48"/>
        <v>0</v>
      </c>
      <c r="M198" s="485">
        <f t="shared" si="49"/>
        <v>0</v>
      </c>
      <c r="O198" s="921">
        <f t="shared" si="50"/>
        <v>480</v>
      </c>
      <c r="P198" s="381">
        <f t="shared" si="55"/>
        <v>480</v>
      </c>
      <c r="Q198" s="345">
        <f t="shared" si="56"/>
        <v>0</v>
      </c>
      <c r="R198" s="689"/>
      <c r="S198" s="23"/>
      <c r="T198" s="402">
        <f>+IFERROR(SUMIFS('Stock CD'!D:D,D40,'Stock CD'!C:C),0)</f>
        <v>0</v>
      </c>
      <c r="U198" s="405">
        <f t="shared" si="57"/>
        <v>0</v>
      </c>
      <c r="W198" s="403">
        <f>+IFERROR(VLOOKUP(D198,'Stock CD'!B:I,8,0),0)</f>
        <v>0</v>
      </c>
      <c r="X198" s="406">
        <f t="shared" si="53"/>
        <v>480</v>
      </c>
      <c r="Z198" s="306">
        <f>+SUMIFS('Conteo VACIO'!F:F,'Conteo VACIO'!$A:$A,$D198)</f>
        <v>0</v>
      </c>
      <c r="AA198" s="306">
        <f>+SUMIFS('Conteo VACIO'!G:G,'Conteo VACIO'!$A:$A,$D198)</f>
        <v>0</v>
      </c>
      <c r="AB198" s="517">
        <v>1000</v>
      </c>
      <c r="AD198" s="430" t="s">
        <v>1470</v>
      </c>
      <c r="AE198" s="414">
        <v>96</v>
      </c>
      <c r="AF198" s="671">
        <v>25000</v>
      </c>
      <c r="AG198" s="672">
        <v>25</v>
      </c>
      <c r="AH198" s="726"/>
      <c r="AI198" s="807" t="str">
        <f>+VLOOKUP(D198,'[1]Chef Troquel'!$A$4:$F$92,5,0)</f>
        <v>Huevo</v>
      </c>
      <c r="AJ198" s="538" t="s">
        <v>1666</v>
      </c>
      <c r="AK198" s="337">
        <v>5</v>
      </c>
    </row>
    <row r="199" spans="1:37" ht="18" customHeight="1" thickBot="1" x14ac:dyDescent="0.4">
      <c r="A199" t="s">
        <v>1470</v>
      </c>
      <c r="C199" s="500">
        <v>2315700</v>
      </c>
      <c r="D199" s="449">
        <v>859</v>
      </c>
      <c r="E199" s="262" t="str">
        <f>+VLOOKUP(D199,'Conteo VACIO'!$A$8:$D$226,4,0)</f>
        <v>N2A</v>
      </c>
      <c r="F199" s="324" t="s">
        <v>1041</v>
      </c>
      <c r="G199" s="934" t="s">
        <v>819</v>
      </c>
      <c r="H199" s="632"/>
      <c r="I199" s="929"/>
      <c r="J199" s="929"/>
      <c r="L199" s="979">
        <f>+IFERROR(Q199/P199,0)</f>
        <v>2.0833333333333335</v>
      </c>
      <c r="M199" s="493">
        <f t="shared" si="49"/>
        <v>2.0833333333333335</v>
      </c>
      <c r="O199" s="781">
        <f>IF(P199-Q199-R199&lt;0,0,P199-Q199-R199)</f>
        <v>0</v>
      </c>
      <c r="P199" s="382">
        <f>+IFERROR(AE199*AK199,0)</f>
        <v>480</v>
      </c>
      <c r="Q199" s="347">
        <f>+(Z199*AB199)+AA199</f>
        <v>1000</v>
      </c>
      <c r="R199" s="690"/>
      <c r="S199" s="29"/>
      <c r="T199" s="403">
        <f>+IFERROR(SUMIFS('Stock CD'!D:D,D41,'Stock CD'!C:C),0)</f>
        <v>0</v>
      </c>
      <c r="U199" s="406">
        <f>+T199+Q199</f>
        <v>1000</v>
      </c>
      <c r="W199" s="403">
        <f>+IFERROR(VLOOKUP(D199,'Stock CD'!B:I,8,0),0)</f>
        <v>0</v>
      </c>
      <c r="X199" s="406">
        <f>+W199+P199</f>
        <v>480</v>
      </c>
      <c r="Z199" s="611">
        <f>+SUMIFS('Conteo VACIO'!F:F,'Conteo VACIO'!$A:$A,$D199)</f>
        <v>1</v>
      </c>
      <c r="AA199" s="611">
        <f>+SUMIFS('Conteo VACIO'!G:G,'Conteo VACIO'!$A:$A,$D199)</f>
        <v>0</v>
      </c>
      <c r="AB199" s="612">
        <v>1000</v>
      </c>
      <c r="AD199" s="613" t="s">
        <v>1470</v>
      </c>
      <c r="AE199" s="530">
        <v>96</v>
      </c>
      <c r="AF199" s="815">
        <v>25000</v>
      </c>
      <c r="AG199" s="770">
        <v>25</v>
      </c>
      <c r="AH199" s="806"/>
      <c r="AI199" s="724" t="str">
        <f>+VLOOKUP(D199,'[1]Chef Troquel'!$A$4:$F$92,5,0)</f>
        <v>Huevo</v>
      </c>
      <c r="AJ199" s="262" t="s">
        <v>1666</v>
      </c>
      <c r="AK199" s="337">
        <v>5</v>
      </c>
    </row>
    <row r="200" spans="1:37" ht="5.7" customHeight="1" thickBot="1" x14ac:dyDescent="0.4">
      <c r="C200" s="348"/>
      <c r="D200" s="294"/>
      <c r="E200" s="127"/>
      <c r="F200" s="299"/>
      <c r="G200" s="928"/>
      <c r="H200" s="632"/>
      <c r="I200" s="908"/>
      <c r="J200" s="310"/>
      <c r="L200" s="959"/>
      <c r="M200" s="958"/>
      <c r="O200" s="960"/>
      <c r="P200" s="383"/>
      <c r="Q200" s="338"/>
      <c r="R200" s="808"/>
      <c r="T200" s="460"/>
      <c r="U200" s="460"/>
      <c r="W200" s="460"/>
      <c r="X200" s="460"/>
      <c r="Z200" s="309"/>
      <c r="AA200" s="309"/>
      <c r="AB200" s="389"/>
      <c r="AE200" s="386"/>
      <c r="AF200" s="389"/>
      <c r="AG200" s="127"/>
      <c r="AH200" s="350"/>
      <c r="AI200" s="599"/>
      <c r="AJ200" s="127"/>
    </row>
    <row r="201" spans="1:37" ht="18" customHeight="1" thickBot="1" x14ac:dyDescent="0.4">
      <c r="A201" t="s">
        <v>1470</v>
      </c>
      <c r="C201" s="418">
        <v>2315700</v>
      </c>
      <c r="D201" s="438">
        <v>846</v>
      </c>
      <c r="E201" s="261" t="str">
        <f>+VLOOKUP(D201,'Conteo VACIO'!$A$8:$D$226,4,0)</f>
        <v>Q5</v>
      </c>
      <c r="F201" s="323" t="s">
        <v>1041</v>
      </c>
      <c r="G201" s="933" t="s">
        <v>1141</v>
      </c>
      <c r="H201" s="632"/>
      <c r="I201" s="1051"/>
      <c r="J201" s="930"/>
      <c r="L201" s="978">
        <f>+IFERROR(Q201/P201,0)</f>
        <v>0.53030303030303028</v>
      </c>
      <c r="M201" s="492">
        <f t="shared" si="49"/>
        <v>0.53030303030303028</v>
      </c>
      <c r="O201" s="780">
        <f>IF(P201-Q201-R201&lt;0,0,P201-Q201-R201)</f>
        <v>620</v>
      </c>
      <c r="P201" s="380">
        <f>+IFERROR(AE201*AK201,0)</f>
        <v>1320</v>
      </c>
      <c r="Q201" s="346">
        <f>+(Z201*AB201)+AA201</f>
        <v>700</v>
      </c>
      <c r="R201" s="688"/>
      <c r="S201" s="27"/>
      <c r="T201" s="401">
        <f>+IFERROR(SUMIFS('Stock CD'!D:D,D36,'Stock CD'!C:C),0)</f>
        <v>0</v>
      </c>
      <c r="U201" s="404">
        <f>+T201+Q201</f>
        <v>700</v>
      </c>
      <c r="W201" s="640">
        <f>+IFERROR(VLOOKUP(D201,'Stock CD'!B:I,8,0),0)</f>
        <v>0</v>
      </c>
      <c r="X201" s="641">
        <f>+W201+P201</f>
        <v>1320</v>
      </c>
      <c r="Z201" s="667">
        <f>+SUMIFS('Conteo VACIO'!F:F,'Conteo VACIO'!$A:$A,$D201)</f>
        <v>0</v>
      </c>
      <c r="AA201" s="667">
        <f>+SUMIFS('Conteo VACIO'!G:G,'Conteo VACIO'!$A:$A,$D201)</f>
        <v>700</v>
      </c>
      <c r="AB201" s="623">
        <v>1000</v>
      </c>
      <c r="AD201" s="624" t="s">
        <v>1470</v>
      </c>
      <c r="AE201" s="625">
        <v>264</v>
      </c>
      <c r="AF201" s="671">
        <v>25000</v>
      </c>
      <c r="AG201" s="672">
        <v>25</v>
      </c>
      <c r="AH201" s="725"/>
      <c r="AI201" s="722" t="str">
        <f>+VLOOKUP(D201,'[1]Chef Troquel'!$A$4:$F$92,5,0)</f>
        <v>Huevo</v>
      </c>
      <c r="AJ201" s="261" t="s">
        <v>1666</v>
      </c>
      <c r="AK201" s="333">
        <v>5</v>
      </c>
    </row>
    <row r="202" spans="1:37" ht="18" customHeight="1" thickBot="1" x14ac:dyDescent="0.4">
      <c r="A202" t="s">
        <v>1470</v>
      </c>
      <c r="C202" s="500">
        <v>2315700</v>
      </c>
      <c r="D202" s="449">
        <v>847</v>
      </c>
      <c r="E202" s="262" t="str">
        <f>+VLOOKUP(D202,'Conteo VACIO'!$A$8:$D$226,4,0)</f>
        <v>Q5</v>
      </c>
      <c r="F202" s="324" t="s">
        <v>1041</v>
      </c>
      <c r="G202" s="934" t="s">
        <v>1142</v>
      </c>
      <c r="H202" s="632"/>
      <c r="I202" s="1052"/>
      <c r="J202" s="929"/>
      <c r="L202" s="979">
        <f>+IFERROR(Q202/P202,0)</f>
        <v>0</v>
      </c>
      <c r="M202" s="493">
        <f t="shared" si="49"/>
        <v>0</v>
      </c>
      <c r="O202" s="781">
        <f>IF(P202-Q202-R202&lt;0,0,P202-Q202-R202)</f>
        <v>6240</v>
      </c>
      <c r="P202" s="382">
        <f>+IFERROR(AE202*AK202,0)</f>
        <v>6240</v>
      </c>
      <c r="Q202" s="347">
        <f>+(Z202*AB202)+AA202</f>
        <v>0</v>
      </c>
      <c r="R202" s="690"/>
      <c r="S202" s="29"/>
      <c r="T202" s="403">
        <f>+IFERROR(SUMIFS('Stock CD'!D:D,D37,'Stock CD'!C:C),0)</f>
        <v>0</v>
      </c>
      <c r="U202" s="406">
        <f>+T202+Q202</f>
        <v>0</v>
      </c>
      <c r="W202" s="403">
        <f>+IFERROR(VLOOKUP(D202,'Stock CD'!B:I,8,0),0)</f>
        <v>0</v>
      </c>
      <c r="X202" s="406">
        <f>+W202+P202</f>
        <v>6240</v>
      </c>
      <c r="Z202" s="306">
        <f>+SUMIFS('Conteo VACIO'!F:F,'Conteo VACIO'!$A:$A,$D202)</f>
        <v>0</v>
      </c>
      <c r="AA202" s="306">
        <f>+SUMIFS('Conteo VACIO'!G:G,'Conteo VACIO'!$A:$A,$D202)</f>
        <v>0</v>
      </c>
      <c r="AB202" s="517">
        <v>1000</v>
      </c>
      <c r="AD202" s="430" t="s">
        <v>1470</v>
      </c>
      <c r="AE202" s="414">
        <v>1248</v>
      </c>
      <c r="AF202" s="671">
        <v>25000</v>
      </c>
      <c r="AG202" s="672">
        <v>25</v>
      </c>
      <c r="AH202" s="726"/>
      <c r="AI202" s="724" t="str">
        <f>+VLOOKUP(D202,'[1]Chef Troquel'!$A$4:$F$92,5,0)</f>
        <v>Huevo</v>
      </c>
      <c r="AJ202" s="262" t="s">
        <v>1666</v>
      </c>
      <c r="AK202" s="337">
        <v>5</v>
      </c>
    </row>
    <row r="203" spans="1:37" ht="6" customHeight="1" thickBot="1" x14ac:dyDescent="0.4">
      <c r="C203" s="348"/>
      <c r="D203" s="294"/>
      <c r="E203" s="127"/>
      <c r="F203" s="299"/>
      <c r="G203" s="928"/>
      <c r="H203" s="632"/>
      <c r="I203" s="908"/>
      <c r="J203" s="908"/>
      <c r="L203" s="959"/>
      <c r="M203" s="958"/>
      <c r="O203" s="960"/>
      <c r="P203" s="383"/>
      <c r="Q203" s="338"/>
      <c r="R203" s="808"/>
      <c r="T203" s="460"/>
      <c r="U203" s="460"/>
      <c r="W203" s="460"/>
      <c r="X203" s="460"/>
      <c r="Z203" s="309"/>
      <c r="AA203" s="309"/>
      <c r="AB203" s="389"/>
      <c r="AE203" s="386"/>
      <c r="AF203" s="389"/>
      <c r="AG203" s="127"/>
      <c r="AH203" s="350"/>
      <c r="AI203" s="599"/>
      <c r="AJ203" s="127"/>
    </row>
    <row r="204" spans="1:37" ht="18" customHeight="1" thickBot="1" x14ac:dyDescent="0.4">
      <c r="A204" t="s">
        <v>1470</v>
      </c>
      <c r="C204" s="418">
        <v>2315700</v>
      </c>
      <c r="D204" s="438">
        <v>609</v>
      </c>
      <c r="E204" s="261" t="str">
        <f>+VLOOKUP(D204,'Conteo VACIO'!$A$8:$D$226,4,0)</f>
        <v>Q5</v>
      </c>
      <c r="F204" s="323" t="s">
        <v>1041</v>
      </c>
      <c r="G204" s="933" t="s">
        <v>1094</v>
      </c>
      <c r="H204" s="632"/>
      <c r="I204" s="1051"/>
      <c r="J204" s="930"/>
      <c r="L204" s="978">
        <f t="shared" si="48"/>
        <v>0</v>
      </c>
      <c r="M204" s="492">
        <f t="shared" si="49"/>
        <v>0</v>
      </c>
      <c r="O204" s="780">
        <f t="shared" si="50"/>
        <v>2400</v>
      </c>
      <c r="P204" s="380">
        <f t="shared" si="55"/>
        <v>2400</v>
      </c>
      <c r="Q204" s="346">
        <f t="shared" si="56"/>
        <v>0</v>
      </c>
      <c r="R204" s="688"/>
      <c r="S204" s="27"/>
      <c r="T204" s="401">
        <f>+IFERROR(SUMIFS('Stock CD'!D:D,D42,'Stock CD'!C:C),0)</f>
        <v>0</v>
      </c>
      <c r="U204" s="404">
        <f t="shared" si="57"/>
        <v>0</v>
      </c>
      <c r="W204" s="640">
        <f>+IFERROR(VLOOKUP(D204,'Stock CD'!B:I,8,0),0)</f>
        <v>0</v>
      </c>
      <c r="X204" s="641">
        <f t="shared" si="53"/>
        <v>2400</v>
      </c>
      <c r="Z204" s="667">
        <f>+SUMIFS('Conteo VACIO'!F:F,'Conteo VACIO'!$A:$A,$D204)</f>
        <v>0</v>
      </c>
      <c r="AA204" s="667">
        <f>+SUMIFS('Conteo VACIO'!G:G,'Conteo VACIO'!$A:$A,$D204)</f>
        <v>0</v>
      </c>
      <c r="AB204" s="623">
        <v>1000</v>
      </c>
      <c r="AD204" s="624" t="s">
        <v>1470</v>
      </c>
      <c r="AE204" s="625">
        <v>480</v>
      </c>
      <c r="AF204" s="671">
        <v>25000</v>
      </c>
      <c r="AG204" s="672">
        <v>25</v>
      </c>
      <c r="AH204" s="725"/>
      <c r="AI204" s="722" t="str">
        <f>+VLOOKUP(D204,'[1]Chef Troquel'!$A$4:$F$92,5,0)</f>
        <v>Huevo</v>
      </c>
      <c r="AJ204" s="261" t="s">
        <v>1666</v>
      </c>
      <c r="AK204" s="337">
        <v>5</v>
      </c>
    </row>
    <row r="205" spans="1:37" ht="18" customHeight="1" thickBot="1" x14ac:dyDescent="0.4">
      <c r="A205" t="s">
        <v>1470</v>
      </c>
      <c r="C205" s="500">
        <v>2315700</v>
      </c>
      <c r="D205" s="449">
        <v>789</v>
      </c>
      <c r="E205" s="262" t="str">
        <f>+VLOOKUP(D205,'Conteo VACIO'!$A$8:$D$226,4,0)</f>
        <v>Q5</v>
      </c>
      <c r="F205" s="324" t="s">
        <v>1041</v>
      </c>
      <c r="G205" s="934" t="s">
        <v>1127</v>
      </c>
      <c r="H205" s="632"/>
      <c r="I205" s="1052"/>
      <c r="J205" s="929"/>
      <c r="L205" s="979">
        <f t="shared" si="48"/>
        <v>0</v>
      </c>
      <c r="M205" s="493">
        <f t="shared" si="49"/>
        <v>0</v>
      </c>
      <c r="O205" s="781">
        <f t="shared" si="50"/>
        <v>3000</v>
      </c>
      <c r="P205" s="382">
        <f t="shared" si="55"/>
        <v>3000</v>
      </c>
      <c r="Q205" s="347">
        <f t="shared" si="56"/>
        <v>0</v>
      </c>
      <c r="R205" s="690"/>
      <c r="S205" s="29"/>
      <c r="T205" s="403">
        <f>+IFERROR(SUMIFS('Stock CD'!D:D,D43,'Stock CD'!C:C),0)</f>
        <v>0</v>
      </c>
      <c r="U205" s="406">
        <f t="shared" si="57"/>
        <v>0</v>
      </c>
      <c r="W205" s="403">
        <f>+IFERROR(VLOOKUP(D205,'Stock CD'!B:I,8,0),0)</f>
        <v>0</v>
      </c>
      <c r="X205" s="406">
        <f t="shared" si="53"/>
        <v>3000</v>
      </c>
      <c r="Z205" s="611">
        <f>+SUMIFS('Conteo VACIO'!F:F,'Conteo VACIO'!$A:$A,$D205)</f>
        <v>0</v>
      </c>
      <c r="AA205" s="611">
        <f>+SUMIFS('Conteo VACIO'!G:G,'Conteo VACIO'!$A:$A,$D205)</f>
        <v>0</v>
      </c>
      <c r="AB205" s="612">
        <v>1000</v>
      </c>
      <c r="AD205" s="613" t="s">
        <v>1470</v>
      </c>
      <c r="AE205" s="530">
        <v>600</v>
      </c>
      <c r="AF205" s="815">
        <v>25000</v>
      </c>
      <c r="AG205" s="770">
        <v>25</v>
      </c>
      <c r="AH205" s="806"/>
      <c r="AI205" s="724" t="str">
        <f>+VLOOKUP(D205,'[1]Chef Troquel'!$A$4:$F$92,5,0)</f>
        <v>Huevo</v>
      </c>
      <c r="AJ205" s="262" t="s">
        <v>1666</v>
      </c>
      <c r="AK205" s="337">
        <v>5</v>
      </c>
    </row>
    <row r="206" spans="1:37" ht="4.3499999999999996" customHeight="1" thickBot="1" x14ac:dyDescent="0.4">
      <c r="C206" s="348"/>
      <c r="D206" s="294"/>
      <c r="E206" s="127"/>
      <c r="F206" s="299"/>
      <c r="G206" s="928"/>
      <c r="H206" s="632"/>
      <c r="I206" s="908"/>
      <c r="J206" s="908"/>
      <c r="L206" s="959"/>
      <c r="M206" s="958"/>
      <c r="O206" s="960"/>
      <c r="P206" s="383"/>
      <c r="Q206" s="338"/>
      <c r="R206" s="808"/>
      <c r="T206" s="460"/>
      <c r="U206" s="460"/>
      <c r="W206" s="460"/>
      <c r="X206" s="460"/>
      <c r="Z206" s="309"/>
      <c r="AA206" s="309"/>
      <c r="AB206" s="389"/>
      <c r="AE206" s="386"/>
      <c r="AF206" s="389"/>
      <c r="AG206" s="127"/>
      <c r="AH206" s="350"/>
      <c r="AI206" s="599"/>
      <c r="AJ206" s="127"/>
    </row>
    <row r="207" spans="1:37" ht="18" customHeight="1" thickBot="1" x14ac:dyDescent="0.4">
      <c r="A207" t="s">
        <v>1470</v>
      </c>
      <c r="C207" s="923">
        <v>2315700</v>
      </c>
      <c r="D207" s="924">
        <v>615</v>
      </c>
      <c r="E207" s="647" t="str">
        <f>+VLOOKUP(D207,'Conteo VACIO'!$A$8:$D$226,4,0)</f>
        <v>O2A</v>
      </c>
      <c r="F207" s="635" t="s">
        <v>1041</v>
      </c>
      <c r="G207" s="935" t="s">
        <v>799</v>
      </c>
      <c r="H207" s="632"/>
      <c r="I207" s="1053"/>
      <c r="J207" s="1050"/>
      <c r="L207" s="758">
        <f t="shared" si="48"/>
        <v>3.125</v>
      </c>
      <c r="M207" s="954">
        <f t="shared" si="49"/>
        <v>3.125</v>
      </c>
      <c r="O207" s="925">
        <f t="shared" si="50"/>
        <v>0</v>
      </c>
      <c r="P207" s="926">
        <f t="shared" si="55"/>
        <v>480</v>
      </c>
      <c r="Q207" s="639">
        <f t="shared" si="56"/>
        <v>1500</v>
      </c>
      <c r="R207" s="961"/>
      <c r="S207" s="927"/>
      <c r="T207" s="640">
        <f>+IFERROR(SUMIFS('Stock CD'!D:D,D44,'Stock CD'!C:C),0)</f>
        <v>0</v>
      </c>
      <c r="U207" s="641">
        <f t="shared" si="57"/>
        <v>1500</v>
      </c>
      <c r="W207" s="640">
        <f>+IFERROR(VLOOKUP(D207,'Stock CD'!B:I,8,0),0)</f>
        <v>0</v>
      </c>
      <c r="X207" s="641">
        <f t="shared" si="53"/>
        <v>480</v>
      </c>
      <c r="Z207" s="811">
        <f>+SUMIFS('Conteo VACIO'!F:F,'Conteo VACIO'!$A:$A,$D207)</f>
        <v>1</v>
      </c>
      <c r="AA207" s="811">
        <f>+SUMIFS('Conteo VACIO'!G:G,'Conteo VACIO'!$A:$A,$D207)</f>
        <v>500</v>
      </c>
      <c r="AB207" s="812">
        <v>1000</v>
      </c>
      <c r="AD207" s="813" t="s">
        <v>1470</v>
      </c>
      <c r="AE207" s="814">
        <v>96</v>
      </c>
      <c r="AF207" s="815">
        <v>25000</v>
      </c>
      <c r="AG207" s="770">
        <v>25</v>
      </c>
      <c r="AH207" s="833"/>
      <c r="AI207" s="731" t="str">
        <f>+VLOOKUP(D207,'[1]Chef Troquel'!$A$4:$F$92,5,0)</f>
        <v>Huevo</v>
      </c>
      <c r="AJ207" s="647" t="s">
        <v>1666</v>
      </c>
      <c r="AK207" s="337">
        <v>5</v>
      </c>
    </row>
    <row r="208" spans="1:37" ht="4.95" customHeight="1" thickBot="1" x14ac:dyDescent="0.4">
      <c r="C208" s="348"/>
      <c r="D208" s="294"/>
      <c r="E208" s="127"/>
      <c r="F208" s="299"/>
      <c r="G208" s="928"/>
      <c r="H208" s="632"/>
      <c r="I208" s="908"/>
      <c r="J208" s="908"/>
      <c r="L208" s="959"/>
      <c r="M208" s="958"/>
      <c r="O208" s="960"/>
      <c r="P208" s="383"/>
      <c r="Q208" s="338"/>
      <c r="R208" s="808"/>
      <c r="T208" s="460"/>
      <c r="U208" s="460"/>
      <c r="W208" s="460"/>
      <c r="X208" s="460"/>
      <c r="Z208" s="309"/>
      <c r="AA208" s="309"/>
      <c r="AB208" s="389"/>
      <c r="AE208" s="386"/>
      <c r="AF208" s="389"/>
      <c r="AG208" s="127"/>
      <c r="AH208" s="350"/>
      <c r="AI208" s="599"/>
      <c r="AJ208" s="127"/>
    </row>
    <row r="209" spans="1:37" ht="18" customHeight="1" thickBot="1" x14ac:dyDescent="0.4">
      <c r="A209" t="s">
        <v>1470</v>
      </c>
      <c r="C209" s="418">
        <v>2315700</v>
      </c>
      <c r="D209" s="438">
        <v>828</v>
      </c>
      <c r="E209" s="261" t="str">
        <f>+VLOOKUP(D209,'Conteo VACIO'!$A$8:$D$226,4,0)</f>
        <v>Q5</v>
      </c>
      <c r="F209" s="323" t="s">
        <v>1041</v>
      </c>
      <c r="G209" s="933" t="s">
        <v>1795</v>
      </c>
      <c r="H209" s="632"/>
      <c r="I209" s="930"/>
      <c r="J209" s="930"/>
      <c r="L209" s="978">
        <f t="shared" si="48"/>
        <v>3.7037037037037037</v>
      </c>
      <c r="M209" s="492">
        <f t="shared" si="49"/>
        <v>3.7037037037037037</v>
      </c>
      <c r="O209" s="780">
        <f t="shared" si="50"/>
        <v>0</v>
      </c>
      <c r="P209" s="380">
        <f t="shared" si="55"/>
        <v>540</v>
      </c>
      <c r="Q209" s="346">
        <f t="shared" si="56"/>
        <v>2000</v>
      </c>
      <c r="R209" s="688"/>
      <c r="S209" s="27"/>
      <c r="T209" s="401">
        <f>+IFERROR(SUMIFS('Stock CD'!D:D,D45,'Stock CD'!C:C),0)</f>
        <v>0</v>
      </c>
      <c r="U209" s="404">
        <f t="shared" si="57"/>
        <v>2000</v>
      </c>
      <c r="W209" s="640">
        <f>+IFERROR(VLOOKUP(D209,'Stock CD'!B:I,8,0),0)</f>
        <v>0</v>
      </c>
      <c r="X209" s="641">
        <f t="shared" si="53"/>
        <v>540</v>
      </c>
      <c r="Z209" s="667">
        <f>+SUMIFS('Conteo VACIO'!F:F,'Conteo VACIO'!$A:$A,$D209)</f>
        <v>2</v>
      </c>
      <c r="AA209" s="667">
        <f>+SUMIFS('Conteo VACIO'!G:G,'Conteo VACIO'!$A:$A,$D209)</f>
        <v>0</v>
      </c>
      <c r="AB209" s="623">
        <v>1000</v>
      </c>
      <c r="AD209" s="624" t="s">
        <v>1470</v>
      </c>
      <c r="AE209" s="625">
        <v>108</v>
      </c>
      <c r="AF209" s="671">
        <v>25000</v>
      </c>
      <c r="AG209" s="672">
        <v>25</v>
      </c>
      <c r="AH209" s="725"/>
      <c r="AI209" s="722" t="str">
        <f>+VLOOKUP(D209,'[1]Chef Troquel'!$A$4:$F$92,5,0)</f>
        <v>Huevo</v>
      </c>
      <c r="AJ209" s="261" t="s">
        <v>1666</v>
      </c>
      <c r="AK209" s="337">
        <v>5</v>
      </c>
    </row>
    <row r="210" spans="1:37" ht="18" customHeight="1" thickBot="1" x14ac:dyDescent="0.4">
      <c r="A210" t="s">
        <v>1470</v>
      </c>
      <c r="C210" s="500">
        <v>2315700</v>
      </c>
      <c r="D210" s="449">
        <v>830</v>
      </c>
      <c r="E210" s="262" t="str">
        <f>+VLOOKUP(D210,'Conteo VACIO'!$A$8:$D$226,4,0)</f>
        <v>Q5</v>
      </c>
      <c r="F210" s="324" t="s">
        <v>1041</v>
      </c>
      <c r="G210" s="934" t="s">
        <v>1796</v>
      </c>
      <c r="H210" s="632"/>
      <c r="I210" s="929"/>
      <c r="J210" s="929"/>
      <c r="L210" s="979">
        <f t="shared" si="48"/>
        <v>1.34375</v>
      </c>
      <c r="M210" s="493">
        <f t="shared" si="49"/>
        <v>1.34375</v>
      </c>
      <c r="O210" s="781">
        <f t="shared" si="50"/>
        <v>0</v>
      </c>
      <c r="P210" s="382">
        <f t="shared" si="55"/>
        <v>960</v>
      </c>
      <c r="Q210" s="347">
        <f t="shared" si="56"/>
        <v>1290</v>
      </c>
      <c r="R210" s="690"/>
      <c r="S210" s="29"/>
      <c r="T210" s="403">
        <f>+IFERROR(SUMIFS('Stock CD'!D:D,D46,'Stock CD'!C:C),0)</f>
        <v>0</v>
      </c>
      <c r="U210" s="406">
        <f t="shared" si="57"/>
        <v>1290</v>
      </c>
      <c r="W210" s="403">
        <f>+IFERROR(VLOOKUP(D210,'Stock CD'!B:I,8,0),0)</f>
        <v>0</v>
      </c>
      <c r="X210" s="406">
        <f t="shared" si="53"/>
        <v>960</v>
      </c>
      <c r="Z210" s="611">
        <f>+SUMIFS('Conteo VACIO'!F:F,'Conteo VACIO'!$A:$A,$D210)</f>
        <v>0</v>
      </c>
      <c r="AA210" s="611">
        <f>+SUMIFS('Conteo VACIO'!G:G,'Conteo VACIO'!$A:$A,$D210)</f>
        <v>1290</v>
      </c>
      <c r="AB210" s="612">
        <v>1000</v>
      </c>
      <c r="AD210" s="613" t="s">
        <v>1470</v>
      </c>
      <c r="AE210" s="530">
        <v>192</v>
      </c>
      <c r="AF210" s="815">
        <v>25000</v>
      </c>
      <c r="AG210" s="770">
        <v>25</v>
      </c>
      <c r="AH210" s="806"/>
      <c r="AI210" s="724" t="str">
        <f>+VLOOKUP(D210,'[1]Chef Troquel'!$A$4:$F$92,5,0)</f>
        <v>Huevo</v>
      </c>
      <c r="AJ210" s="262" t="s">
        <v>1666</v>
      </c>
      <c r="AK210" s="337">
        <v>5</v>
      </c>
    </row>
    <row r="211" spans="1:37" ht="18" customHeight="1" thickBot="1" x14ac:dyDescent="0.4">
      <c r="C211" s="348"/>
      <c r="D211" s="294"/>
      <c r="E211" s="127"/>
      <c r="F211" s="299"/>
      <c r="G211" s="310"/>
      <c r="H211" s="127"/>
      <c r="I211" s="310"/>
      <c r="J211" s="310"/>
      <c r="L211" s="458"/>
      <c r="M211" s="459"/>
      <c r="O211" s="687">
        <f>+SUM(O171:O210)</f>
        <v>20240</v>
      </c>
      <c r="P211" s="383"/>
      <c r="Q211" s="338"/>
      <c r="R211" s="687"/>
      <c r="T211" s="460"/>
      <c r="U211" s="460"/>
      <c r="W211" s="460"/>
      <c r="X211" s="460"/>
      <c r="Z211" s="849"/>
      <c r="AA211" s="849"/>
      <c r="AB211" s="850"/>
      <c r="AD211" s="851"/>
      <c r="AE211" s="852"/>
      <c r="AF211" s="850"/>
      <c r="AG211" s="853"/>
      <c r="AH211" s="854"/>
      <c r="AI211" s="599"/>
      <c r="AJ211" s="127"/>
    </row>
    <row r="212" spans="1:37" ht="24" thickBot="1" x14ac:dyDescent="0.4">
      <c r="C212" s="1264" t="s">
        <v>1801</v>
      </c>
      <c r="D212" s="1265"/>
      <c r="E212" s="1265"/>
      <c r="F212" s="1265"/>
      <c r="G212" s="1265"/>
      <c r="H212" s="1265"/>
      <c r="I212" s="1266"/>
      <c r="J212" s="339"/>
      <c r="K212" s="208"/>
      <c r="L212" s="458"/>
      <c r="M212" s="507"/>
      <c r="O212" s="687"/>
      <c r="P212" s="383"/>
      <c r="Q212" s="338"/>
      <c r="R212" s="687"/>
      <c r="S212" s="880"/>
      <c r="T212" s="508"/>
      <c r="U212" s="460"/>
      <c r="W212" s="508"/>
      <c r="X212" s="508"/>
      <c r="Z212" s="884"/>
      <c r="AA212" s="884"/>
      <c r="AB212" s="885"/>
      <c r="AD212" s="886"/>
      <c r="AE212" s="887"/>
      <c r="AF212" s="885"/>
      <c r="AG212" s="888"/>
      <c r="AH212" s="889"/>
      <c r="AI212" s="890"/>
      <c r="AJ212" s="888"/>
      <c r="AK212" s="886"/>
    </row>
    <row r="213" spans="1:37" ht="18" customHeight="1" x14ac:dyDescent="0.35">
      <c r="A213" t="s">
        <v>1470</v>
      </c>
      <c r="C213" s="684">
        <v>2321700</v>
      </c>
      <c r="D213" s="735" t="s">
        <v>1656</v>
      </c>
      <c r="E213" s="489"/>
      <c r="F213" s="323" t="s">
        <v>1041</v>
      </c>
      <c r="G213" s="356" t="s">
        <v>1501</v>
      </c>
      <c r="H213" s="632"/>
      <c r="I213" s="476"/>
      <c r="J213" s="310"/>
      <c r="L213" s="902">
        <f>+IFERROR(Q213/P213,0)</f>
        <v>0</v>
      </c>
      <c r="M213" s="948">
        <f>+IFERROR(U213/X213,0)</f>
        <v>0</v>
      </c>
      <c r="O213" s="780">
        <f t="shared" ref="O213:O214" si="60">IF(P213-Q213-R213&lt;0,0,P213-Q213-R213)</f>
        <v>43848</v>
      </c>
      <c r="P213" s="380">
        <f>+IFERROR(AE213*AK213,0)</f>
        <v>43848</v>
      </c>
      <c r="Q213" s="346">
        <f>+(Z213*AB213)+AA213</f>
        <v>0</v>
      </c>
      <c r="R213" s="751"/>
      <c r="T213" s="401">
        <f>+IFERROR(SUMIFS('Stock CD'!D:D,D39,'Stock CD'!C:C),0)</f>
        <v>0</v>
      </c>
      <c r="U213" s="404">
        <f>+T213+Q213</f>
        <v>0</v>
      </c>
      <c r="W213" s="401">
        <f>+IFERROR(VLOOKUP(D213,'Stock CD'!B:I,8,0),0)</f>
        <v>0</v>
      </c>
      <c r="X213" s="404">
        <f>+W213+P213</f>
        <v>43848</v>
      </c>
      <c r="Z213" s="622">
        <f>+SUMIFS('Conteo VACIO'!F:F,'Conteo VACIO'!$A:$A,$D213)</f>
        <v>0</v>
      </c>
      <c r="AA213" s="622">
        <f>+SUMIFS('Conteo VACIO'!G:G,'Conteo VACIO'!$A:$A,$D213)</f>
        <v>0</v>
      </c>
      <c r="AB213" s="623">
        <v>2500</v>
      </c>
      <c r="AD213" s="624" t="s">
        <v>1470</v>
      </c>
      <c r="AE213" s="625">
        <f>IF(D213="Corb-LK",SUMIFS('Est Madre LK 10-25'!C:C,'Est Madre LK 10-25'!D:D,"si"),IF(D213="Corb-CH",SUMIFS('Est Madre CH 10-25'!C:C,'Est Madre CH 10-25'!D:D,"si"),0)+IFERROR(VLOOKUP(D213,'Est Madre LK 10-25'!$A:$C,3,),IFERROR(VLOOKUP(D213,'Est Madre CH 10-25'!$A:$C,3,),0)))</f>
        <v>14616</v>
      </c>
      <c r="AF213" s="626">
        <v>12000</v>
      </c>
      <c r="AG213" s="627">
        <v>25</v>
      </c>
      <c r="AH213" s="832">
        <v>31.048200000000001</v>
      </c>
      <c r="AI213" s="756"/>
      <c r="AJ213" s="627" t="s">
        <v>1215</v>
      </c>
      <c r="AK213" s="630">
        <v>3</v>
      </c>
    </row>
    <row r="214" spans="1:37" ht="18" customHeight="1" thickBot="1" x14ac:dyDescent="0.4">
      <c r="A214" t="s">
        <v>1470</v>
      </c>
      <c r="C214" s="685">
        <v>2327700</v>
      </c>
      <c r="D214" s="298" t="s">
        <v>869</v>
      </c>
      <c r="E214" s="130" t="str">
        <f>+VLOOKUP(D214,'Conteo VACIO'!$A$8:$D$226,4,0)</f>
        <v>K7B</v>
      </c>
      <c r="F214" s="324" t="s">
        <v>1041</v>
      </c>
      <c r="G214" s="357" t="s">
        <v>1455</v>
      </c>
      <c r="H214" s="262"/>
      <c r="I214" s="478"/>
      <c r="J214" s="310"/>
      <c r="L214" s="904">
        <f>+IFERROR(Q214/P214,0)</f>
        <v>0</v>
      </c>
      <c r="M214" s="950">
        <f>+IFERROR(U214/X214,0)</f>
        <v>0</v>
      </c>
      <c r="O214" s="781">
        <f t="shared" si="60"/>
        <v>0</v>
      </c>
      <c r="P214" s="382">
        <f>+IFERROR(AE214*AK214,0)</f>
        <v>0</v>
      </c>
      <c r="Q214" s="347">
        <f>+(Z214*AB214)+AA214</f>
        <v>115000</v>
      </c>
      <c r="R214" s="755"/>
      <c r="T214" s="403">
        <f>+IFERROR(SUMIFS('Stock CD'!D:D,D24,'Stock CD'!C:C),0)</f>
        <v>0</v>
      </c>
      <c r="U214" s="406">
        <f>+T214+Q214</f>
        <v>115000</v>
      </c>
      <c r="W214" s="403">
        <f>SUMIFS('Stock CD'!I:I,'Stock CD'!A:A,G214)</f>
        <v>0</v>
      </c>
      <c r="X214" s="406">
        <f>+W214+P214</f>
        <v>0</v>
      </c>
      <c r="Z214" s="611">
        <f>+SUMIFS('Conteo VACIO'!F:F,'Conteo VACIO'!$A:$A,$D214)</f>
        <v>23</v>
      </c>
      <c r="AA214" s="611">
        <f>+SUMIFS('Conteo VACIO'!G:G,'Conteo VACIO'!$A:$A,$D214)</f>
        <v>0</v>
      </c>
      <c r="AB214" s="612">
        <v>5000</v>
      </c>
      <c r="AD214" s="613" t="s">
        <v>1470</v>
      </c>
      <c r="AE214" s="530">
        <f>IF(D214="Corb-LK",SUMIFS('Est Madre LK 10-25'!C:C,'Est Madre LK 10-25'!D:D,"si"),IF(D214="Corb-CH",SUMIFS('Est Madre CH 10-25'!C:C,'Est Madre CH 10-25'!D:D,"si"),0)+IFERROR(VLOOKUP(D214,'Est Madre LK 10-25'!$A:$C,3,),IFERROR(VLOOKUP(D214,'Est Madre CH 10-25'!$A:$C,3,),0)))</f>
        <v>0</v>
      </c>
      <c r="AF214" s="537">
        <v>12000</v>
      </c>
      <c r="AG214" s="608"/>
      <c r="AH214" s="806">
        <v>14.8635</v>
      </c>
      <c r="AI214" s="807"/>
      <c r="AJ214" s="822"/>
      <c r="AK214" s="614">
        <v>3</v>
      </c>
    </row>
    <row r="215" spans="1:37" ht="18" customHeight="1" thickBot="1" x14ac:dyDescent="0.4">
      <c r="C215" s="348"/>
      <c r="D215" s="294"/>
      <c r="E215" s="127"/>
      <c r="F215" s="299"/>
      <c r="G215" s="310"/>
      <c r="H215" s="127"/>
      <c r="I215" s="310"/>
      <c r="J215" s="310"/>
      <c r="L215" s="458"/>
      <c r="M215" s="459"/>
      <c r="O215" s="687"/>
      <c r="P215" s="383"/>
      <c r="Q215" s="338"/>
      <c r="R215" s="687"/>
      <c r="S215" s="719"/>
      <c r="T215" s="460"/>
      <c r="U215" s="460"/>
      <c r="W215" s="460"/>
      <c r="X215" s="460"/>
      <c r="Z215" s="849"/>
      <c r="AA215" s="849"/>
      <c r="AB215" s="850"/>
      <c r="AD215" s="851"/>
      <c r="AE215" s="852"/>
      <c r="AF215" s="850"/>
      <c r="AG215" s="853"/>
      <c r="AH215" s="854"/>
      <c r="AI215" s="855"/>
      <c r="AJ215" s="853"/>
      <c r="AK215" s="851"/>
    </row>
    <row r="216" spans="1:37" s="385" customFormat="1" ht="30" customHeight="1" thickBot="1" x14ac:dyDescent="0.35">
      <c r="C216" s="1264" t="s">
        <v>1776</v>
      </c>
      <c r="D216" s="1265"/>
      <c r="E216" s="1265"/>
      <c r="F216" s="1265"/>
      <c r="G216" s="1265"/>
      <c r="H216" s="1265"/>
      <c r="I216" s="1266"/>
      <c r="J216" s="339"/>
      <c r="L216" s="845"/>
      <c r="M216" s="846"/>
      <c r="N216" s="516"/>
      <c r="O216" s="784"/>
      <c r="P216" s="727"/>
      <c r="Q216" s="727"/>
      <c r="R216" s="784"/>
      <c r="S216" s="866"/>
      <c r="T216" s="784"/>
      <c r="U216" s="784"/>
      <c r="V216" s="516"/>
      <c r="W216" s="784"/>
      <c r="X216" s="784"/>
      <c r="Y216"/>
      <c r="Z216" s="867"/>
      <c r="AA216" s="867"/>
      <c r="AB216" s="868"/>
      <c r="AC216"/>
      <c r="AD216" s="867"/>
      <c r="AE216" s="867"/>
      <c r="AF216" s="868"/>
      <c r="AG216" s="867"/>
      <c r="AH216" s="867"/>
      <c r="AI216" s="867"/>
      <c r="AJ216" s="867"/>
      <c r="AK216" s="867"/>
    </row>
    <row r="217" spans="1:37" s="385" customFormat="1" ht="56.1" customHeight="1" thickBot="1" x14ac:dyDescent="0.35">
      <c r="C217" s="312" t="s">
        <v>1293</v>
      </c>
      <c r="D217" s="312" t="s">
        <v>748</v>
      </c>
      <c r="E217" s="312" t="s">
        <v>1198</v>
      </c>
      <c r="F217" s="312" t="s">
        <v>1018</v>
      </c>
      <c r="G217" s="312" t="s">
        <v>749</v>
      </c>
      <c r="H217" s="321" t="s">
        <v>1526</v>
      </c>
      <c r="I217" s="321" t="s">
        <v>1525</v>
      </c>
      <c r="J217" s="317"/>
      <c r="L217" s="911" t="s">
        <v>1524</v>
      </c>
      <c r="M217" s="955" t="s">
        <v>1730</v>
      </c>
      <c r="N217" s="516"/>
      <c r="O217" s="514" t="s">
        <v>1042</v>
      </c>
      <c r="P217" s="707" t="s">
        <v>1402</v>
      </c>
      <c r="Q217" s="708" t="s">
        <v>1178</v>
      </c>
      <c r="R217" s="514"/>
      <c r="S217" s="516"/>
      <c r="T217" s="710" t="s">
        <v>1440</v>
      </c>
      <c r="U217" s="984" t="s">
        <v>1441</v>
      </c>
      <c r="V217" s="516"/>
      <c r="W217" s="513" t="s">
        <v>1442</v>
      </c>
      <c r="X217" s="514" t="s">
        <v>1443</v>
      </c>
      <c r="Y217"/>
      <c r="Z217" s="660" t="s">
        <v>1197</v>
      </c>
      <c r="AA217" s="700" t="s">
        <v>1460</v>
      </c>
      <c r="AB217" s="699" t="s">
        <v>857</v>
      </c>
      <c r="AC217"/>
      <c r="AD217" s="700" t="s">
        <v>1403</v>
      </c>
      <c r="AE217" s="700" t="s">
        <v>1415</v>
      </c>
      <c r="AF217" s="699" t="s">
        <v>1438</v>
      </c>
      <c r="AG217" s="700" t="s">
        <v>1212</v>
      </c>
      <c r="AH217" s="700" t="s">
        <v>1387</v>
      </c>
      <c r="AI217" s="700" t="s">
        <v>1731</v>
      </c>
      <c r="AJ217" s="700" t="s">
        <v>1416</v>
      </c>
      <c r="AK217" s="700" t="s">
        <v>1513</v>
      </c>
    </row>
    <row r="218" spans="1:37" ht="18" customHeight="1" thickBot="1" x14ac:dyDescent="0.4">
      <c r="A218" t="s">
        <v>1470</v>
      </c>
      <c r="C218" s="680">
        <v>2315700</v>
      </c>
      <c r="D218" s="1081">
        <v>802</v>
      </c>
      <c r="E218" s="1079" t="str">
        <f>+VLOOKUP(D218,'Conteo VACIO'!$A$8:$D$226,4,0)</f>
        <v>Ñ2B</v>
      </c>
      <c r="F218" s="472" t="s">
        <v>1041</v>
      </c>
      <c r="G218" s="1083" t="s">
        <v>1193</v>
      </c>
      <c r="H218" s="1085"/>
      <c r="I218" s="930"/>
      <c r="J218" s="310"/>
      <c r="L218" s="912">
        <f>+IFERROR(Q218/P218,0)</f>
        <v>1.4197530864197532</v>
      </c>
      <c r="M218" s="951">
        <f t="shared" si="33"/>
        <v>1.4197530864197532</v>
      </c>
      <c r="O218" s="781">
        <f>IF(P218-Q218-R218&lt;0,0,P218-Q218-R218)</f>
        <v>0</v>
      </c>
      <c r="P218" s="962">
        <f t="shared" si="35"/>
        <v>1620</v>
      </c>
      <c r="Q218" s="639">
        <f t="shared" si="36"/>
        <v>2300</v>
      </c>
      <c r="R218" s="759"/>
      <c r="S218" s="199"/>
      <c r="T218" s="640">
        <f>+IFERROR(SUMIFS('Stock CD'!D:D,D70,'Stock CD'!C:C),0)</f>
        <v>0</v>
      </c>
      <c r="U218" s="641">
        <f>+T218+Q218</f>
        <v>2300</v>
      </c>
      <c r="W218" s="640">
        <f>+IFERROR(VLOOKUP(D218,'Stock CD'!B:I,8,0),0)</f>
        <v>0</v>
      </c>
      <c r="X218" s="641">
        <f>+W218+P218</f>
        <v>1620</v>
      </c>
      <c r="Z218" s="763">
        <f>+SUMIFS('Conteo VACIO'!F:F,'Conteo VACIO'!$A:$A,$D218)</f>
        <v>2</v>
      </c>
      <c r="AA218" s="763">
        <f>+SUMIFS('Conteo VACIO'!G:G,'Conteo VACIO'!$A:$A,$D218)</f>
        <v>300</v>
      </c>
      <c r="AB218" s="764">
        <v>1000</v>
      </c>
      <c r="AD218" s="765" t="s">
        <v>1470</v>
      </c>
      <c r="AE218" s="766">
        <f>IF(D218="Corb-LK",SUMIFS('Est Madre LK 10-25'!C:C,'Est Madre LK 10-25'!D:D,"si"),IF(D218="Corb-CH",SUMIFS('Est Madre CH 10-25'!C:C,'Est Madre CH 10-25'!D:D,"si"),0)+IFERROR(VLOOKUP(D218,'Est Madre LK 10-25'!$A:$C,3,),IFERROR(VLOOKUP(D218,'Est Madre CH 10-25'!$A:$C,3,),0)))</f>
        <v>540</v>
      </c>
      <c r="AF218" s="767">
        <v>12000</v>
      </c>
      <c r="AG218" s="768">
        <v>12</v>
      </c>
      <c r="AH218" s="819">
        <v>68.570279999999997</v>
      </c>
      <c r="AI218" s="820" t="str">
        <f>+VLOOKUP(D218,'[1]Chef Troquel'!$A$4:$F$92,5,0)</f>
        <v>Corb8</v>
      </c>
      <c r="AJ218" s="768" t="s">
        <v>1678</v>
      </c>
      <c r="AK218" s="769">
        <v>3</v>
      </c>
    </row>
    <row r="219" spans="1:37" ht="18" customHeight="1" thickBot="1" x14ac:dyDescent="0.4">
      <c r="A219" t="s">
        <v>1470</v>
      </c>
      <c r="C219" s="683">
        <v>2315700</v>
      </c>
      <c r="D219" s="1082">
        <v>910</v>
      </c>
      <c r="E219" s="1080" t="str">
        <f>+VLOOKUP(D219,'Conteo VACIO'!$A$8:$D$226,4,0)</f>
        <v>Q5</v>
      </c>
      <c r="F219" s="474" t="s">
        <v>1041</v>
      </c>
      <c r="G219" s="1084" t="s">
        <v>1174</v>
      </c>
      <c r="H219" s="1086"/>
      <c r="I219" s="929"/>
      <c r="J219" s="942"/>
      <c r="L219" s="980">
        <f>+IFERROR(Q219/P219,0)</f>
        <v>0.41666666666666669</v>
      </c>
      <c r="M219" s="485">
        <f>+IFERROR(U219/X219,0)</f>
        <v>0.41666666666666669</v>
      </c>
      <c r="O219" s="921">
        <f>IF(P219-Q219-R219&lt;0,0,P219-Q219-R219)</f>
        <v>2800</v>
      </c>
      <c r="P219" s="381">
        <f>+IFERROR(AE219*AK219,0)</f>
        <v>4800</v>
      </c>
      <c r="Q219" s="345">
        <f>+(Z219*AB219)+AA219</f>
        <v>2000</v>
      </c>
      <c r="R219" s="689"/>
      <c r="S219" s="23"/>
      <c r="T219" s="402">
        <f>+IFERROR(SUMIFS('Stock CD'!D:D,D59,'Stock CD'!C:C),0)</f>
        <v>0</v>
      </c>
      <c r="U219" s="405">
        <f>+T219+Q219</f>
        <v>2000</v>
      </c>
      <c r="W219" s="403">
        <f>+IFERROR(VLOOKUP(D219,'Stock CD'!B:I,8,0),0)</f>
        <v>0</v>
      </c>
      <c r="X219" s="406">
        <f>+W219+P219</f>
        <v>4800</v>
      </c>
      <c r="Z219" s="306">
        <f>+SUMIFS('Conteo VACIO'!F:F,'Conteo VACIO'!$A:$A,$D219)</f>
        <v>1</v>
      </c>
      <c r="AA219" s="306">
        <f>+SUMIFS('Conteo VACIO'!G:G,'Conteo VACIO'!$A:$A,$D219)</f>
        <v>1000</v>
      </c>
      <c r="AB219" s="517">
        <v>1000</v>
      </c>
      <c r="AD219" s="430" t="s">
        <v>1470</v>
      </c>
      <c r="AE219" s="414">
        <v>960</v>
      </c>
      <c r="AF219" s="671">
        <v>25000</v>
      </c>
      <c r="AG219" s="672">
        <v>25</v>
      </c>
      <c r="AH219" s="726"/>
      <c r="AI219" s="723" t="e">
        <f>+VLOOKUP(D219,'[1]Chef Troquel'!$A$4:$F$92,5,0)</f>
        <v>#N/A</v>
      </c>
      <c r="AJ219" s="260" t="s">
        <v>1666</v>
      </c>
      <c r="AK219" s="337">
        <v>5</v>
      </c>
    </row>
    <row r="220" spans="1:37" x14ac:dyDescent="0.35">
      <c r="D220" s="292"/>
      <c r="G220"/>
      <c r="H220" s="936"/>
      <c r="I220"/>
      <c r="J220"/>
      <c r="L220"/>
      <c r="P220" s="292"/>
      <c r="Q220"/>
      <c r="S220" s="719"/>
      <c r="Z220" s="857"/>
      <c r="AA220" s="719"/>
      <c r="AB220" s="857"/>
      <c r="AD220" s="851"/>
      <c r="AE220" s="857"/>
      <c r="AF220" s="857"/>
      <c r="AG220" s="857"/>
      <c r="AH220" s="858"/>
      <c r="AI220" s="859"/>
      <c r="AJ220" s="719"/>
      <c r="AK220" s="851"/>
    </row>
    <row r="221" spans="1:37" ht="29.4" thickBot="1" x14ac:dyDescent="0.6">
      <c r="C221" s="1260" t="s">
        <v>1714</v>
      </c>
      <c r="D221" s="1260"/>
      <c r="E221" s="1260"/>
      <c r="F221" s="1260"/>
      <c r="G221" s="1260"/>
      <c r="H221" s="1260"/>
      <c r="I221" s="1260"/>
      <c r="J221" s="940"/>
      <c r="L221"/>
      <c r="P221" s="292"/>
      <c r="Q221"/>
      <c r="Z221" s="292"/>
      <c r="AA221"/>
      <c r="AB221" s="292"/>
      <c r="AH221" s="847"/>
      <c r="AI221" s="848"/>
    </row>
    <row r="222" spans="1:37" s="385" customFormat="1" ht="30" customHeight="1" thickBot="1" x14ac:dyDescent="0.35">
      <c r="C222" s="1267" t="s">
        <v>1772</v>
      </c>
      <c r="D222" s="1268"/>
      <c r="E222" s="1268"/>
      <c r="F222" s="1268"/>
      <c r="G222" s="1268"/>
      <c r="H222" s="1268"/>
      <c r="I222" s="1269"/>
      <c r="J222" s="339"/>
      <c r="L222" s="845"/>
      <c r="M222" s="846"/>
      <c r="N222" s="516"/>
      <c r="O222" s="784"/>
      <c r="P222" s="727"/>
      <c r="Q222" s="727"/>
      <c r="R222" s="784"/>
      <c r="S222" s="866"/>
      <c r="T222" s="784"/>
      <c r="U222" s="784"/>
      <c r="V222" s="516"/>
      <c r="W222" s="784"/>
      <c r="X222" s="784"/>
      <c r="Y222"/>
      <c r="Z222" s="867"/>
      <c r="AA222" s="867"/>
      <c r="AB222" s="868"/>
      <c r="AC222"/>
      <c r="AD222" s="867"/>
      <c r="AE222" s="867"/>
      <c r="AF222" s="868"/>
      <c r="AG222" s="867"/>
      <c r="AH222" s="867"/>
      <c r="AI222" s="867"/>
      <c r="AJ222" s="867"/>
      <c r="AK222" s="867"/>
    </row>
    <row r="223" spans="1:37" s="385" customFormat="1" ht="56.1" customHeight="1" thickBot="1" x14ac:dyDescent="0.35">
      <c r="C223" s="452" t="s">
        <v>1293</v>
      </c>
      <c r="D223" s="312" t="s">
        <v>748</v>
      </c>
      <c r="E223" s="312" t="s">
        <v>1198</v>
      </c>
      <c r="F223" s="312" t="s">
        <v>1018</v>
      </c>
      <c r="G223" s="312" t="s">
        <v>749</v>
      </c>
      <c r="H223" s="321" t="s">
        <v>1526</v>
      </c>
      <c r="I223" s="321" t="s">
        <v>1525</v>
      </c>
      <c r="J223" s="317"/>
      <c r="L223" s="911" t="s">
        <v>1524</v>
      </c>
      <c r="M223" s="955" t="s">
        <v>1730</v>
      </c>
      <c r="N223" s="516"/>
      <c r="O223" s="710" t="s">
        <v>1042</v>
      </c>
      <c r="P223" s="711" t="s">
        <v>1402</v>
      </c>
      <c r="Q223" s="716" t="s">
        <v>1178</v>
      </c>
      <c r="R223" s="710" t="s">
        <v>1781</v>
      </c>
      <c r="S223" s="693"/>
      <c r="T223" s="710" t="s">
        <v>1440</v>
      </c>
      <c r="U223" s="984" t="s">
        <v>1441</v>
      </c>
      <c r="V223" s="516"/>
      <c r="W223" s="985" t="s">
        <v>1442</v>
      </c>
      <c r="X223" s="710" t="s">
        <v>1443</v>
      </c>
      <c r="Y223"/>
      <c r="Z223" s="696" t="s">
        <v>1197</v>
      </c>
      <c r="AA223" s="695" t="s">
        <v>1460</v>
      </c>
      <c r="AB223" s="694" t="s">
        <v>857</v>
      </c>
      <c r="AC223"/>
      <c r="AD223" s="695" t="s">
        <v>1403</v>
      </c>
      <c r="AE223" s="695" t="s">
        <v>1415</v>
      </c>
      <c r="AF223" s="694" t="s">
        <v>1438</v>
      </c>
      <c r="AG223" s="695" t="s">
        <v>1212</v>
      </c>
      <c r="AH223" s="695" t="s">
        <v>1387</v>
      </c>
      <c r="AI223" s="695" t="s">
        <v>1731</v>
      </c>
      <c r="AJ223" s="695" t="s">
        <v>1416</v>
      </c>
      <c r="AK223" s="695" t="s">
        <v>1513</v>
      </c>
    </row>
    <row r="224" spans="1:37" ht="18" customHeight="1" thickBot="1" x14ac:dyDescent="0.4">
      <c r="A224" t="s">
        <v>1470</v>
      </c>
      <c r="C224" s="297"/>
      <c r="D224" s="438">
        <v>193</v>
      </c>
      <c r="E224" s="261" t="str">
        <f>+VLOOKUP(D224,'Conteo VACIO'!$A$8:$D$226,4,0)</f>
        <v>K2A</v>
      </c>
      <c r="F224" s="323" t="s">
        <v>1662</v>
      </c>
      <c r="G224" s="356" t="s">
        <v>1622</v>
      </c>
      <c r="H224" s="261"/>
      <c r="I224" s="476"/>
      <c r="J224" s="310"/>
      <c r="K224" s="208"/>
      <c r="L224" s="902">
        <f t="shared" ref="L224:L233" si="61">+IFERROR(Q224/P224,0)</f>
        <v>0</v>
      </c>
      <c r="M224" s="963">
        <f>+IFERROR(U224/X224,0)</f>
        <v>0</v>
      </c>
      <c r="O224" s="957">
        <f t="shared" ref="O224:O233" si="62">IF(P224-Q224-R224&lt;0,0,P224-Q224-R224)</f>
        <v>828</v>
      </c>
      <c r="P224" s="486">
        <f t="shared" ref="P224:P233" si="63">+IFERROR(AE224*AK224,0)</f>
        <v>828</v>
      </c>
      <c r="Q224" s="346">
        <f t="shared" ref="Q224:Q233" si="64">+(Z224*AB224)+AA224</f>
        <v>0</v>
      </c>
      <c r="R224" s="751"/>
      <c r="S224" s="199"/>
      <c r="T224" s="464">
        <f>+IFERROR(SUMIFS('Stock CD'!D:D,D296,'Stock CD'!C:C),0)</f>
        <v>0</v>
      </c>
      <c r="U224" s="404">
        <f t="shared" ref="U224:U233" si="65">+T224+Q224</f>
        <v>0</v>
      </c>
      <c r="W224" s="464">
        <f>+IFERROR(VLOOKUP(D224,'Stock CD'!B:I,8,0),0)</f>
        <v>0</v>
      </c>
      <c r="X224" s="674">
        <f t="shared" ref="X224:X233" si="66">+W224+P224</f>
        <v>828</v>
      </c>
      <c r="Z224" s="304">
        <f>+SUMIFS('Conteo VACIO'!F:F,'Conteo VACIO'!$A:$A,$D224)</f>
        <v>0</v>
      </c>
      <c r="AA224" s="304">
        <f>+SUMIFS('Conteo VACIO'!G:G,'Conteo VACIO'!$A:$A,$D224)</f>
        <v>0</v>
      </c>
      <c r="AB224" s="534">
        <v>1000</v>
      </c>
      <c r="AD224" s="398" t="s">
        <v>1470</v>
      </c>
      <c r="AE224" s="428">
        <f>IF(D224="Corb-LK",SUMIFS('Est Madre LK 10-25'!C:C,'Est Madre LK 10-25'!D:D,"si"),IF(D224="Corb-CH",SUMIFS('Est Madre CH 10-25'!C:C,'Est Madre CH 10-25'!D:D,"si"),0)+IFERROR(VLOOKUP(D224,'Est Madre LK 10-25'!$A:$C,3,),IFERROR(VLOOKUP(D224,'Est Madre CH 10-25'!$A:$C,3,),0)))</f>
        <v>276</v>
      </c>
      <c r="AF224" s="361"/>
      <c r="AG224" s="261"/>
      <c r="AH224" s="326"/>
      <c r="AI224" s="600"/>
      <c r="AJ224" s="261" t="s">
        <v>1662</v>
      </c>
      <c r="AK224" s="333">
        <v>3</v>
      </c>
    </row>
    <row r="225" spans="1:37" ht="18" customHeight="1" thickBot="1" x14ac:dyDescent="0.4">
      <c r="A225" t="s">
        <v>1470</v>
      </c>
      <c r="C225" s="302"/>
      <c r="D225" s="439">
        <v>114</v>
      </c>
      <c r="E225" s="260" t="str">
        <f>+VLOOKUP(D225,'Conteo VACIO'!$A$8:$D$226,4,0)</f>
        <v>K4B</v>
      </c>
      <c r="F225" s="322" t="s">
        <v>1662</v>
      </c>
      <c r="G225" s="329" t="s">
        <v>1581</v>
      </c>
      <c r="H225" s="260"/>
      <c r="I225" s="477"/>
      <c r="J225" s="310"/>
      <c r="K225" s="208"/>
      <c r="L225" s="914">
        <f t="shared" si="61"/>
        <v>0</v>
      </c>
      <c r="M225" s="964">
        <f>+IFERROR(U225/X225,0)</f>
        <v>0</v>
      </c>
      <c r="O225" s="957">
        <f t="shared" si="62"/>
        <v>792</v>
      </c>
      <c r="P225" s="620">
        <f t="shared" si="63"/>
        <v>792</v>
      </c>
      <c r="Q225" s="621">
        <f t="shared" si="64"/>
        <v>0</v>
      </c>
      <c r="R225" s="798"/>
      <c r="T225" s="657">
        <f>+IFERROR(SUMIFS('Stock CD'!D:D,D53,'Stock CD'!C:C),0)</f>
        <v>0</v>
      </c>
      <c r="U225" s="408">
        <f t="shared" si="65"/>
        <v>0</v>
      </c>
      <c r="W225" s="657">
        <f>+IFERROR(VLOOKUP(D225,'Stock CD'!B:I,8,0),0)</f>
        <v>0</v>
      </c>
      <c r="X225" s="658">
        <f t="shared" si="66"/>
        <v>792</v>
      </c>
      <c r="Z225" s="622">
        <f>+SUMIFS('Conteo VACIO'!F:F,'Conteo VACIO'!$A:$A,$D225)</f>
        <v>0</v>
      </c>
      <c r="AA225" s="622">
        <f>+SUMIFS('Conteo VACIO'!G:G,'Conteo VACIO'!$A:$A,$D225)</f>
        <v>0</v>
      </c>
      <c r="AB225" s="623">
        <v>1000</v>
      </c>
      <c r="AD225" s="624" t="s">
        <v>1470</v>
      </c>
      <c r="AE225" s="625">
        <f>IF(D225="Corb-LK",SUMIFS('Est Madre LK 10-25'!C:C,'Est Madre LK 10-25'!D:D,"si"),IF(D225="Corb-CH",SUMIFS('Est Madre CH 10-25'!C:C,'Est Madre CH 10-25'!D:D,"si"),0)+IFERROR(VLOOKUP(D225,'Est Madre LK 10-25'!$A:$C,3,),IFERROR(VLOOKUP(D225,'Est Madre CH 10-25'!$A:$C,3,),0)))</f>
        <v>264</v>
      </c>
      <c r="AF225" s="626"/>
      <c r="AG225" s="627">
        <v>12</v>
      </c>
      <c r="AH225" s="628"/>
      <c r="AI225" s="629"/>
      <c r="AJ225" s="627" t="s">
        <v>1646</v>
      </c>
      <c r="AK225" s="630">
        <v>3</v>
      </c>
    </row>
    <row r="226" spans="1:37" ht="18" customHeight="1" thickBot="1" x14ac:dyDescent="0.4">
      <c r="A226" t="s">
        <v>1470</v>
      </c>
      <c r="C226" s="302"/>
      <c r="D226" s="439">
        <v>117</v>
      </c>
      <c r="E226" s="260" t="str">
        <f>+VLOOKUP(D226,'Conteo VACIO'!$A$8:$D$226,4,0)</f>
        <v>K4D</v>
      </c>
      <c r="F226" s="322" t="s">
        <v>1662</v>
      </c>
      <c r="G226" s="329" t="s">
        <v>1659</v>
      </c>
      <c r="H226" s="260"/>
      <c r="I226" s="477"/>
      <c r="J226" s="310"/>
      <c r="K226" s="208"/>
      <c r="L226" s="903">
        <f t="shared" si="61"/>
        <v>0</v>
      </c>
      <c r="M226" s="952"/>
      <c r="O226" s="957">
        <f t="shared" si="62"/>
        <v>0</v>
      </c>
      <c r="P226" s="487">
        <f t="shared" si="63"/>
        <v>0</v>
      </c>
      <c r="Q226" s="345">
        <f t="shared" si="64"/>
        <v>0</v>
      </c>
      <c r="R226" s="753"/>
      <c r="T226" s="399">
        <f>+IFERROR(SUMIFS('Stock CD'!D:D,D54,'Stock CD'!C:C),0)</f>
        <v>0</v>
      </c>
      <c r="U226" s="405">
        <f t="shared" si="65"/>
        <v>0</v>
      </c>
      <c r="W226" s="399">
        <f>+IFERROR(VLOOKUP(D226,'Stock CD'!B:I,8,0),0)</f>
        <v>0</v>
      </c>
      <c r="X226" s="520">
        <f t="shared" si="66"/>
        <v>0</v>
      </c>
      <c r="Z226" s="305">
        <f>+SUMIFS('Conteo VACIO'!F:F,'Conteo VACIO'!$A:$A,$D226)</f>
        <v>0</v>
      </c>
      <c r="AA226" s="305">
        <f>+SUMIFS('Conteo VACIO'!G:G,'Conteo VACIO'!$A:$A,$D226)</f>
        <v>0</v>
      </c>
      <c r="AB226" s="517">
        <v>1000</v>
      </c>
      <c r="AD226" s="430" t="s">
        <v>1470</v>
      </c>
      <c r="AE226" s="414">
        <f>IF(D226="Corb-LK",SUMIFS('Est Madre LK 10-25'!C:C,'Est Madre LK 10-25'!D:D,"si"),IF(D226="Corb-CH",SUMIFS('Est Madre CH 10-25'!C:C,'Est Madre CH 10-25'!D:D,"si"),0)+IFERROR(VLOOKUP(D226,'Est Madre LK 10-25'!$A:$C,3,),IFERROR(VLOOKUP(D226,'Est Madre CH 10-25'!$A:$C,3,),0)))</f>
        <v>0</v>
      </c>
      <c r="AF226" s="362"/>
      <c r="AG226" s="260"/>
      <c r="AH226" s="325"/>
      <c r="AI226" s="601"/>
      <c r="AJ226" s="260" t="s">
        <v>1646</v>
      </c>
      <c r="AK226" s="335">
        <v>3</v>
      </c>
    </row>
    <row r="227" spans="1:37" ht="18" customHeight="1" thickBot="1" x14ac:dyDescent="0.4">
      <c r="A227" t="s">
        <v>1470</v>
      </c>
      <c r="C227" s="302"/>
      <c r="D227" s="439">
        <v>101</v>
      </c>
      <c r="E227" s="260" t="str">
        <f>+VLOOKUP(D227,'Conteo VACIO'!$A$8:$D$226,4,0)</f>
        <v>K3A</v>
      </c>
      <c r="F227" s="322" t="s">
        <v>1662</v>
      </c>
      <c r="G227" s="329" t="s">
        <v>1189</v>
      </c>
      <c r="H227" s="260"/>
      <c r="I227" s="477"/>
      <c r="J227" s="310"/>
      <c r="K227" s="208"/>
      <c r="L227" s="903">
        <f t="shared" si="61"/>
        <v>5.5555555555555554</v>
      </c>
      <c r="M227" s="952">
        <f t="shared" ref="M227:M233" si="67">+IFERROR(U227/X227,0)</f>
        <v>5.5555555555555554</v>
      </c>
      <c r="O227" s="957">
        <f t="shared" si="62"/>
        <v>0</v>
      </c>
      <c r="P227" s="487">
        <f t="shared" si="63"/>
        <v>900</v>
      </c>
      <c r="Q227" s="345">
        <f t="shared" si="64"/>
        <v>5000</v>
      </c>
      <c r="R227" s="753"/>
      <c r="T227" s="399">
        <f>+IFERROR(SUMIFS('Stock CD'!D:D,D86,'Stock CD'!C:C),0)</f>
        <v>0</v>
      </c>
      <c r="U227" s="405">
        <f t="shared" si="65"/>
        <v>5000</v>
      </c>
      <c r="W227" s="399">
        <f>+IFERROR(VLOOKUP(D227,'Stock CD'!B:I,8,0),0)</f>
        <v>0</v>
      </c>
      <c r="X227" s="520">
        <f t="shared" si="66"/>
        <v>900</v>
      </c>
      <c r="Z227" s="305">
        <f>+SUMIFS('Conteo VACIO'!F:F,'Conteo VACIO'!$A:$A,$D227)</f>
        <v>5</v>
      </c>
      <c r="AA227" s="305">
        <f>+SUMIFS('Conteo VACIO'!G:G,'Conteo VACIO'!$A:$A,$D227)</f>
        <v>0</v>
      </c>
      <c r="AB227" s="517">
        <v>1000</v>
      </c>
      <c r="AD227" s="430" t="s">
        <v>1470</v>
      </c>
      <c r="AE227" s="414">
        <f>IF(D227="Corb-LK",SUMIFS('Est Madre LK 10-25'!C:C,'Est Madre LK 10-25'!D:D,"si"),IF(D227="Corb-CH",SUMIFS('Est Madre CH 10-25'!C:C,'Est Madre CH 10-25'!D:D,"si"),0)+IFERROR(VLOOKUP(D227,'Est Madre LK 10-25'!$A:$C,3,),IFERROR(VLOOKUP(D227,'Est Madre CH 10-25'!$A:$C,3,),0)))</f>
        <v>300</v>
      </c>
      <c r="AF227" s="362"/>
      <c r="AG227" s="260"/>
      <c r="AH227" s="325"/>
      <c r="AI227" s="601"/>
      <c r="AJ227" s="260" t="s">
        <v>1646</v>
      </c>
      <c r="AK227" s="335">
        <v>3</v>
      </c>
    </row>
    <row r="228" spans="1:37" ht="18" customHeight="1" thickBot="1" x14ac:dyDescent="0.4">
      <c r="A228" t="s">
        <v>1470</v>
      </c>
      <c r="C228" s="302"/>
      <c r="D228" s="439">
        <v>102</v>
      </c>
      <c r="E228" s="260" t="str">
        <f>+VLOOKUP(D228,'Conteo VACIO'!$A$8:$D$226,4,0)</f>
        <v>K5C</v>
      </c>
      <c r="F228" s="322" t="s">
        <v>1662</v>
      </c>
      <c r="G228" s="329" t="s">
        <v>1582</v>
      </c>
      <c r="H228" s="260"/>
      <c r="I228" s="477"/>
      <c r="J228" s="310"/>
      <c r="K228" s="208"/>
      <c r="L228" s="903">
        <f t="shared" si="61"/>
        <v>0</v>
      </c>
      <c r="M228" s="952">
        <f t="shared" si="67"/>
        <v>0</v>
      </c>
      <c r="O228" s="957">
        <f t="shared" si="62"/>
        <v>0</v>
      </c>
      <c r="P228" s="487">
        <f t="shared" si="63"/>
        <v>0</v>
      </c>
      <c r="Q228" s="345">
        <f t="shared" si="64"/>
        <v>0</v>
      </c>
      <c r="R228" s="753"/>
      <c r="T228" s="399">
        <f>+IFERROR(SUMIFS('Stock CD'!D:D,D53,'Stock CD'!C:C),0)</f>
        <v>0</v>
      </c>
      <c r="U228" s="405">
        <f t="shared" si="65"/>
        <v>0</v>
      </c>
      <c r="W228" s="399">
        <f>+IFERROR(VLOOKUP(D228,'Stock CD'!B:I,8,0),0)</f>
        <v>0</v>
      </c>
      <c r="X228" s="520">
        <f t="shared" si="66"/>
        <v>0</v>
      </c>
      <c r="Z228" s="305">
        <f>+SUMIFS('Conteo VACIO'!F:F,'Conteo VACIO'!$A:$A,$D228)</f>
        <v>0</v>
      </c>
      <c r="AA228" s="305">
        <f>+SUMIFS('Conteo VACIO'!G:G,'Conteo VACIO'!$A:$A,$D228)</f>
        <v>0</v>
      </c>
      <c r="AB228" s="517">
        <v>1000</v>
      </c>
      <c r="AD228" s="430" t="s">
        <v>1470</v>
      </c>
      <c r="AE228" s="414">
        <f>IF(D228="Corb-LK",SUMIFS('Est Madre LK 10-25'!C:C,'Est Madre LK 10-25'!D:D,"si"),IF(D228="Corb-CH",SUMIFS('Est Madre CH 10-25'!C:C,'Est Madre CH 10-25'!D:D,"si"),0)+IFERROR(VLOOKUP(D228,'Est Madre LK 10-25'!$A:$C,3,),IFERROR(VLOOKUP(D228,'Est Madre CH 10-25'!$A:$C,3,),0)))</f>
        <v>0</v>
      </c>
      <c r="AF228" s="362"/>
      <c r="AG228" s="260">
        <v>12</v>
      </c>
      <c r="AH228" s="325"/>
      <c r="AI228" s="601"/>
      <c r="AJ228" s="260" t="s">
        <v>1646</v>
      </c>
      <c r="AK228" s="335">
        <v>3</v>
      </c>
    </row>
    <row r="229" spans="1:37" ht="18" customHeight="1" thickBot="1" x14ac:dyDescent="0.4">
      <c r="A229" t="s">
        <v>1470</v>
      </c>
      <c r="C229" s="302"/>
      <c r="D229" s="439">
        <v>103</v>
      </c>
      <c r="E229" s="260" t="str">
        <f>+VLOOKUP(D229,'Conteo VACIO'!$A$8:$D$226,4,0)</f>
        <v>K5B</v>
      </c>
      <c r="F229" s="322" t="s">
        <v>1662</v>
      </c>
      <c r="G229" s="329" t="s">
        <v>1414</v>
      </c>
      <c r="H229" s="260"/>
      <c r="I229" s="477"/>
      <c r="J229" s="310"/>
      <c r="K229" s="208"/>
      <c r="L229" s="903">
        <f t="shared" si="61"/>
        <v>0.56966145833333337</v>
      </c>
      <c r="M229" s="952">
        <f t="shared" si="67"/>
        <v>0.56966145833333337</v>
      </c>
      <c r="O229" s="957">
        <f t="shared" si="62"/>
        <v>1322</v>
      </c>
      <c r="P229" s="487">
        <f t="shared" si="63"/>
        <v>3072</v>
      </c>
      <c r="Q229" s="345">
        <f t="shared" si="64"/>
        <v>1750</v>
      </c>
      <c r="R229" s="753"/>
      <c r="T229" s="399">
        <f>+IFERROR(SUMIFS('Stock CD'!D:D,#REF!,'Stock CD'!C:C),0)</f>
        <v>0</v>
      </c>
      <c r="U229" s="405">
        <f t="shared" si="65"/>
        <v>1750</v>
      </c>
      <c r="W229" s="399">
        <f>+IFERROR(VLOOKUP(D229,'Stock CD'!B:I,8,0),0)</f>
        <v>0</v>
      </c>
      <c r="X229" s="520">
        <f t="shared" si="66"/>
        <v>3072</v>
      </c>
      <c r="Z229" s="305">
        <f>+SUMIFS('Conteo VACIO'!F:F,'Conteo VACIO'!$A:$A,$D229)</f>
        <v>1</v>
      </c>
      <c r="AA229" s="305">
        <f>+SUMIFS('Conteo VACIO'!G:G,'Conteo VACIO'!$A:$A,$D229)</f>
        <v>750</v>
      </c>
      <c r="AB229" s="517">
        <v>1000</v>
      </c>
      <c r="AD229" s="430" t="s">
        <v>1470</v>
      </c>
      <c r="AE229" s="414">
        <f>IF(D229="Corb-LK",SUMIFS('Est Madre LK 10-25'!C:C,'Est Madre LK 10-25'!D:D,"si"),IF(D229="Corb-CH",SUMIFS('Est Madre CH 10-25'!C:C,'Est Madre CH 10-25'!D:D,"si"),0)+IFERROR(VLOOKUP(D229,'Est Madre LK 10-25'!$A:$C,3,),IFERROR(VLOOKUP(D229,'Est Madre CH 10-25'!$A:$C,3,),0)))</f>
        <v>1024</v>
      </c>
      <c r="AF229" s="362"/>
      <c r="AG229" s="260">
        <v>12</v>
      </c>
      <c r="AH229" s="325"/>
      <c r="AI229" s="601"/>
      <c r="AJ229" s="260" t="s">
        <v>1646</v>
      </c>
      <c r="AK229" s="335">
        <v>3</v>
      </c>
    </row>
    <row r="230" spans="1:37" ht="18" customHeight="1" thickBot="1" x14ac:dyDescent="0.4">
      <c r="A230" t="s">
        <v>1470</v>
      </c>
      <c r="C230" s="302"/>
      <c r="D230" s="439">
        <v>104</v>
      </c>
      <c r="E230" s="260" t="str">
        <f>+VLOOKUP(D230,'Conteo VACIO'!$A$8:$D$226,4,0)</f>
        <v>K6A</v>
      </c>
      <c r="F230" s="322" t="s">
        <v>1662</v>
      </c>
      <c r="G230" s="329" t="s">
        <v>1619</v>
      </c>
      <c r="H230" s="260"/>
      <c r="I230" s="477"/>
      <c r="J230" s="310"/>
      <c r="K230" s="208"/>
      <c r="L230" s="903">
        <f t="shared" si="61"/>
        <v>1.0058479532163742</v>
      </c>
      <c r="M230" s="952">
        <f t="shared" si="67"/>
        <v>1.0058479532163742</v>
      </c>
      <c r="O230" s="957">
        <f t="shared" si="62"/>
        <v>0</v>
      </c>
      <c r="P230" s="487">
        <f t="shared" si="63"/>
        <v>3420</v>
      </c>
      <c r="Q230" s="345">
        <f t="shared" si="64"/>
        <v>3440</v>
      </c>
      <c r="R230" s="753"/>
      <c r="T230" s="399">
        <f>+IFERROR(SUMIFS('Stock CD'!D:D,D54,'Stock CD'!C:C),0)</f>
        <v>0</v>
      </c>
      <c r="U230" s="405">
        <f t="shared" si="65"/>
        <v>3440</v>
      </c>
      <c r="W230" s="399">
        <f>+IFERROR(VLOOKUP(D230,'Stock CD'!B:I,8,0),0)</f>
        <v>0</v>
      </c>
      <c r="X230" s="520">
        <f t="shared" si="66"/>
        <v>3420</v>
      </c>
      <c r="Z230" s="305">
        <f>+SUMIFS('Conteo VACIO'!F:F,'Conteo VACIO'!$A:$A,$D230)</f>
        <v>3</v>
      </c>
      <c r="AA230" s="305">
        <f>+SUMIFS('Conteo VACIO'!G:G,'Conteo VACIO'!$A:$A,$D230)</f>
        <v>440</v>
      </c>
      <c r="AB230" s="517">
        <v>1000</v>
      </c>
      <c r="AD230" s="430" t="s">
        <v>1470</v>
      </c>
      <c r="AE230" s="414">
        <f>IF(D230="Corb-LK",SUMIFS('Est Madre LK 10-25'!C:C,'Est Madre LK 10-25'!D:D,"si"),IF(D230="Corb-CH",SUMIFS('Est Madre CH 10-25'!C:C,'Est Madre CH 10-25'!D:D,"si"),0)+IFERROR(VLOOKUP(D230,'Est Madre LK 10-25'!$A:$C,3,),IFERROR(VLOOKUP(D230,'Est Madre CH 10-25'!$A:$C,3,),0)))</f>
        <v>1140</v>
      </c>
      <c r="AF230" s="362"/>
      <c r="AG230" s="260">
        <v>12</v>
      </c>
      <c r="AH230" s="325"/>
      <c r="AI230" s="601"/>
      <c r="AJ230" s="260" t="s">
        <v>1646</v>
      </c>
      <c r="AK230" s="335">
        <v>3</v>
      </c>
    </row>
    <row r="231" spans="1:37" ht="18" customHeight="1" thickBot="1" x14ac:dyDescent="0.4">
      <c r="A231" t="s">
        <v>1470</v>
      </c>
      <c r="C231" s="302"/>
      <c r="D231" s="439">
        <v>109</v>
      </c>
      <c r="E231" s="260" t="str">
        <f>+VLOOKUP(D231,'Conteo VACIO'!$A$8:$D$226,4,0)</f>
        <v>K6C</v>
      </c>
      <c r="F231" s="322" t="s">
        <v>1662</v>
      </c>
      <c r="G231" s="329" t="s">
        <v>1584</v>
      </c>
      <c r="H231" s="260"/>
      <c r="I231" s="477"/>
      <c r="J231" s="310"/>
      <c r="K231" s="208"/>
      <c r="L231" s="903">
        <f t="shared" si="61"/>
        <v>0</v>
      </c>
      <c r="M231" s="952">
        <f t="shared" si="67"/>
        <v>0</v>
      </c>
      <c r="O231" s="957">
        <f t="shared" si="62"/>
        <v>0</v>
      </c>
      <c r="P231" s="488">
        <f t="shared" si="63"/>
        <v>0</v>
      </c>
      <c r="Q231" s="347">
        <f t="shared" si="64"/>
        <v>300</v>
      </c>
      <c r="R231" s="755"/>
      <c r="T231" s="399">
        <f>+IFERROR(SUMIFS('Stock CD'!D:D,D57,'Stock CD'!C:C),0)</f>
        <v>0</v>
      </c>
      <c r="U231" s="405">
        <f t="shared" si="65"/>
        <v>300</v>
      </c>
      <c r="W231" s="399">
        <f>+IFERROR(VLOOKUP(D231,'Stock CD'!B:I,8,0),0)</f>
        <v>0</v>
      </c>
      <c r="X231" s="520">
        <f t="shared" si="66"/>
        <v>0</v>
      </c>
      <c r="Z231" s="305">
        <f>+SUMIFS('Conteo VACIO'!F:F,'Conteo VACIO'!$A:$A,$D231)</f>
        <v>0</v>
      </c>
      <c r="AA231" s="305">
        <f>+SUMIFS('Conteo VACIO'!G:G,'Conteo VACIO'!$A:$A,$D231)</f>
        <v>300</v>
      </c>
      <c r="AB231" s="517">
        <v>1000</v>
      </c>
      <c r="AD231" s="430" t="s">
        <v>1470</v>
      </c>
      <c r="AE231" s="414">
        <f>IF(D231="Corb-LK",SUMIFS('Est Madre LK 10-25'!C:C,'Est Madre LK 10-25'!D:D,"si"),IF(D231="Corb-CH",SUMIFS('Est Madre CH 10-25'!C:C,'Est Madre CH 10-25'!D:D,"si"),0)+IFERROR(VLOOKUP(D231,'Est Madre LK 10-25'!$A:$C,3,),IFERROR(VLOOKUP(D231,'Est Madre CH 10-25'!$A:$C,3,),0)))</f>
        <v>0</v>
      </c>
      <c r="AF231" s="362"/>
      <c r="AG231" s="260">
        <v>12</v>
      </c>
      <c r="AH231" s="325"/>
      <c r="AI231" s="601"/>
      <c r="AJ231" s="260" t="s">
        <v>1646</v>
      </c>
      <c r="AK231" s="335">
        <v>3</v>
      </c>
    </row>
    <row r="232" spans="1:37" ht="18" customHeight="1" thickBot="1" x14ac:dyDescent="0.4">
      <c r="A232" t="s">
        <v>1470</v>
      </c>
      <c r="C232" s="302"/>
      <c r="D232" s="439">
        <v>118</v>
      </c>
      <c r="E232" s="260" t="e">
        <f>+VLOOKUP(D232,'Conteo VACIO'!$A$8:$D$226,4,0)</f>
        <v>#N/A</v>
      </c>
      <c r="F232" s="322" t="s">
        <v>1662</v>
      </c>
      <c r="G232" s="329" t="s">
        <v>1620</v>
      </c>
      <c r="H232" s="260"/>
      <c r="I232" s="477"/>
      <c r="J232" s="310"/>
      <c r="K232" s="208"/>
      <c r="L232" s="915">
        <f t="shared" si="61"/>
        <v>0</v>
      </c>
      <c r="M232" s="965">
        <f t="shared" si="67"/>
        <v>0</v>
      </c>
      <c r="O232" s="760">
        <f t="shared" si="62"/>
        <v>0</v>
      </c>
      <c r="P232" s="638">
        <f t="shared" si="63"/>
        <v>0</v>
      </c>
      <c r="Q232" s="967">
        <f t="shared" si="64"/>
        <v>0</v>
      </c>
      <c r="R232" s="968"/>
      <c r="T232" s="655">
        <f>+IFERROR(SUMIFS('Stock CD'!D:D,D233,'Stock CD'!C:C),0)</f>
        <v>0</v>
      </c>
      <c r="U232" s="610">
        <f t="shared" si="65"/>
        <v>0</v>
      </c>
      <c r="W232" s="655">
        <f>+IFERROR(VLOOKUP(D232,'Stock CD'!B:I,8,0),0)</f>
        <v>0</v>
      </c>
      <c r="X232" s="656">
        <f t="shared" si="66"/>
        <v>0</v>
      </c>
      <c r="Z232" s="611">
        <f>+SUMIFS('Conteo VACIO'!F:F,'Conteo VACIO'!$A:$A,$D232)</f>
        <v>0</v>
      </c>
      <c r="AA232" s="611">
        <f>+SUMIFS('Conteo VACIO'!G:G,'Conteo VACIO'!$A:$A,$D232)</f>
        <v>0</v>
      </c>
      <c r="AB232" s="612">
        <v>1000</v>
      </c>
      <c r="AD232" s="613" t="s">
        <v>1470</v>
      </c>
      <c r="AE232" s="530">
        <f>IF(D232="Corb-LK",SUMIFS('Est Madre LK 10-25'!C:C,'Est Madre LK 10-25'!D:D,"si"),IF(D232="Corb-CH",SUMIFS('Est Madre CH 10-25'!C:C,'Est Madre CH 10-25'!D:D,"si"),0)+IFERROR(VLOOKUP(D232,'Est Madre LK 10-25'!$A:$C,3,),IFERROR(VLOOKUP(D232,'Est Madre CH 10-25'!$A:$C,3,),0)))</f>
        <v>0</v>
      </c>
      <c r="AF232" s="537"/>
      <c r="AG232" s="538"/>
      <c r="AH232" s="539"/>
      <c r="AI232" s="602"/>
      <c r="AJ232" s="538" t="s">
        <v>1646</v>
      </c>
      <c r="AK232" s="614">
        <v>3</v>
      </c>
    </row>
    <row r="233" spans="1:37" ht="18" customHeight="1" thickBot="1" x14ac:dyDescent="0.4">
      <c r="A233" t="s">
        <v>1470</v>
      </c>
      <c r="C233" s="1045"/>
      <c r="D233" s="449">
        <v>122</v>
      </c>
      <c r="E233" s="262" t="e">
        <f>+VLOOKUP(D233,'Conteo VACIO'!$A$8:$D$226,4,0)</f>
        <v>#N/A</v>
      </c>
      <c r="F233" s="324" t="s">
        <v>1662</v>
      </c>
      <c r="G233" s="357" t="s">
        <v>1621</v>
      </c>
      <c r="H233" s="262"/>
      <c r="I233" s="478"/>
      <c r="J233" s="310"/>
      <c r="K233" s="208"/>
      <c r="L233" s="904">
        <f t="shared" si="61"/>
        <v>0</v>
      </c>
      <c r="M233" s="966">
        <f t="shared" si="67"/>
        <v>0</v>
      </c>
      <c r="O233" s="760">
        <f t="shared" si="62"/>
        <v>0</v>
      </c>
      <c r="P233" s="638">
        <f t="shared" si="63"/>
        <v>0</v>
      </c>
      <c r="Q233" s="967">
        <f t="shared" si="64"/>
        <v>0</v>
      </c>
      <c r="R233" s="754"/>
      <c r="T233" s="987">
        <f>+IFERROR(SUMIFS('Stock CD'!D:D,D327,'Stock CD'!C:C),0)</f>
        <v>0</v>
      </c>
      <c r="U233" s="406">
        <f t="shared" si="65"/>
        <v>0</v>
      </c>
      <c r="W233" s="987">
        <f>+IFERROR(VLOOKUP(D233,'Stock CD'!B:I,8,0),0)</f>
        <v>0</v>
      </c>
      <c r="X233" s="988">
        <f t="shared" si="66"/>
        <v>0</v>
      </c>
      <c r="Z233" s="611">
        <f>+SUMIFS('Conteo VACIO'!F:F,'Conteo VACIO'!$A:$A,$D233)</f>
        <v>0</v>
      </c>
      <c r="AA233" s="611">
        <f>+SUMIFS('Conteo VACIO'!G:G,'Conteo VACIO'!$A:$A,$D233)</f>
        <v>0</v>
      </c>
      <c r="AB233" s="612">
        <v>1000</v>
      </c>
      <c r="AD233" s="613" t="s">
        <v>1470</v>
      </c>
      <c r="AE233" s="530">
        <f>IF(D233="Corb-LK",SUMIFS('Est Madre LK 10-25'!C:C,'Est Madre LK 10-25'!D:D,"si"),IF(D233="Corb-CH",SUMIFS('Est Madre CH 10-25'!C:C,'Est Madre CH 10-25'!D:D,"si"),0)+IFERROR(VLOOKUP(D233,'Est Madre LK 10-25'!$A:$C,3,),IFERROR(VLOOKUP(D233,'Est Madre CH 10-25'!$A:$C,3,),0)))</f>
        <v>0</v>
      </c>
      <c r="AF233" s="537"/>
      <c r="AG233" s="538"/>
      <c r="AH233" s="539"/>
      <c r="AI233" s="602"/>
      <c r="AJ233" s="538"/>
      <c r="AK233" s="614">
        <v>3</v>
      </c>
    </row>
    <row r="234" spans="1:37" ht="18" customHeight="1" thickBot="1" x14ac:dyDescent="0.4">
      <c r="C234" s="677"/>
      <c r="D234" s="294"/>
      <c r="F234" s="299"/>
      <c r="G234" s="310"/>
      <c r="H234" s="127"/>
      <c r="I234" s="310"/>
      <c r="J234" s="310"/>
      <c r="K234" s="208"/>
      <c r="L234" s="458"/>
      <c r="M234" s="507"/>
      <c r="O234" s="687"/>
      <c r="P234" s="383"/>
      <c r="Q234" s="338"/>
      <c r="R234" s="687"/>
      <c r="S234" s="719"/>
      <c r="T234" s="508"/>
      <c r="U234" s="460"/>
      <c r="W234" s="508"/>
      <c r="X234" s="508"/>
      <c r="Z234" s="849"/>
      <c r="AA234" s="849"/>
      <c r="AB234" s="850"/>
      <c r="AD234" s="851"/>
      <c r="AE234" s="852"/>
      <c r="AF234" s="850"/>
      <c r="AG234" s="853"/>
      <c r="AH234" s="854"/>
      <c r="AI234" s="855"/>
      <c r="AJ234" s="853"/>
      <c r="AK234" s="851"/>
    </row>
    <row r="235" spans="1:37" s="385" customFormat="1" ht="30" customHeight="1" thickBot="1" x14ac:dyDescent="0.35">
      <c r="C235" s="1267" t="s">
        <v>1772</v>
      </c>
      <c r="D235" s="1268"/>
      <c r="E235" s="1268"/>
      <c r="F235" s="1268"/>
      <c r="G235" s="1268"/>
      <c r="H235" s="1268"/>
      <c r="I235" s="1269"/>
      <c r="J235" s="339"/>
      <c r="L235" s="845"/>
      <c r="M235" s="846"/>
      <c r="N235" s="516"/>
      <c r="O235" s="784"/>
      <c r="P235" s="727"/>
      <c r="Q235" s="727"/>
      <c r="R235" s="784"/>
      <c r="S235" s="866"/>
      <c r="T235" s="784"/>
      <c r="U235" s="784"/>
      <c r="V235" s="516"/>
      <c r="W235" s="784"/>
      <c r="X235" s="784"/>
      <c r="Y235"/>
      <c r="Z235" s="867"/>
      <c r="AA235" s="867"/>
      <c r="AB235" s="868"/>
      <c r="AC235"/>
      <c r="AD235" s="867"/>
      <c r="AE235" s="867"/>
      <c r="AF235" s="868"/>
      <c r="AG235" s="867"/>
      <c r="AH235" s="867"/>
      <c r="AI235" s="867"/>
      <c r="AJ235" s="867"/>
      <c r="AK235" s="867"/>
    </row>
    <row r="236" spans="1:37" s="385" customFormat="1" ht="56.1" customHeight="1" thickBot="1" x14ac:dyDescent="0.35">
      <c r="C236" s="452" t="s">
        <v>1293</v>
      </c>
      <c r="D236" s="312" t="s">
        <v>748</v>
      </c>
      <c r="E236" s="312" t="s">
        <v>1198</v>
      </c>
      <c r="F236" s="312" t="s">
        <v>1018</v>
      </c>
      <c r="G236" s="312" t="s">
        <v>749</v>
      </c>
      <c r="H236" s="321" t="s">
        <v>1526</v>
      </c>
      <c r="I236" s="321" t="s">
        <v>1525</v>
      </c>
      <c r="J236" s="317"/>
      <c r="L236" s="911" t="s">
        <v>1524</v>
      </c>
      <c r="M236" s="955" t="s">
        <v>1730</v>
      </c>
      <c r="N236" s="516"/>
      <c r="O236" s="710" t="s">
        <v>1042</v>
      </c>
      <c r="P236" s="711" t="s">
        <v>1402</v>
      </c>
      <c r="Q236" s="716" t="s">
        <v>1178</v>
      </c>
      <c r="R236" s="710" t="s">
        <v>1781</v>
      </c>
      <c r="S236" s="693"/>
      <c r="T236" s="710" t="s">
        <v>1440</v>
      </c>
      <c r="U236" s="984" t="s">
        <v>1441</v>
      </c>
      <c r="V236" s="516"/>
      <c r="W236" s="985" t="s">
        <v>1442</v>
      </c>
      <c r="X236" s="710" t="s">
        <v>1443</v>
      </c>
      <c r="Y236"/>
      <c r="Z236" s="696" t="s">
        <v>1197</v>
      </c>
      <c r="AA236" s="695" t="s">
        <v>1460</v>
      </c>
      <c r="AB236" s="694" t="s">
        <v>857</v>
      </c>
      <c r="AC236"/>
      <c r="AD236" s="695" t="s">
        <v>1403</v>
      </c>
      <c r="AE236" s="695" t="s">
        <v>1415</v>
      </c>
      <c r="AF236" s="694" t="s">
        <v>1438</v>
      </c>
      <c r="AG236" s="695" t="s">
        <v>1212</v>
      </c>
      <c r="AH236" s="695" t="s">
        <v>1387</v>
      </c>
      <c r="AI236" s="695" t="s">
        <v>1731</v>
      </c>
      <c r="AJ236" s="695" t="s">
        <v>1416</v>
      </c>
      <c r="AK236" s="695" t="s">
        <v>1513</v>
      </c>
    </row>
    <row r="237" spans="1:37" ht="18" customHeight="1" thickBot="1" x14ac:dyDescent="0.4">
      <c r="A237" t="s">
        <v>1470</v>
      </c>
      <c r="C237" s="297"/>
      <c r="D237" s="438">
        <v>108</v>
      </c>
      <c r="E237" s="261" t="str">
        <f>+VLOOKUP(D237,'Conteo VACIO'!$A$8:$D$226,4,0)</f>
        <v>K4C</v>
      </c>
      <c r="F237" s="323" t="s">
        <v>1662</v>
      </c>
      <c r="G237" s="356" t="s">
        <v>1617</v>
      </c>
      <c r="H237" s="261"/>
      <c r="I237" s="476"/>
      <c r="J237" s="310"/>
      <c r="K237" s="208"/>
      <c r="L237" s="914">
        <f t="shared" ref="L237:L248" si="68">+IFERROR(Q237/P237,0)</f>
        <v>0</v>
      </c>
      <c r="M237" s="964">
        <f t="shared" ref="M237:M248" si="69">+IFERROR(U237/X237,0)</f>
        <v>0</v>
      </c>
      <c r="O237" s="957">
        <f t="shared" ref="O237:O248" si="70">IF(P237-Q237-R237&lt;0,0,P237-Q237-R237)</f>
        <v>1224</v>
      </c>
      <c r="P237" s="679">
        <f t="shared" ref="P237:P248" si="71">+IFERROR(AE237*AK237,0)</f>
        <v>1224</v>
      </c>
      <c r="Q237" s="621">
        <f t="shared" ref="Q237:Q248" si="72">+(Z237*AB237)+AA237</f>
        <v>0</v>
      </c>
      <c r="R237" s="969"/>
      <c r="S237" s="25"/>
      <c r="T237" s="657">
        <f>+IFERROR(SUMIFS('Stock CD'!D:D,D263,'Stock CD'!C:C),0)</f>
        <v>0</v>
      </c>
      <c r="U237" s="408">
        <f t="shared" ref="U237:U248" si="73">+T237+Q237</f>
        <v>0</v>
      </c>
      <c r="W237" s="657">
        <f>+IFERROR(VLOOKUP(D237,'Stock CD'!B:I,8,0),0)</f>
        <v>0</v>
      </c>
      <c r="X237" s="658">
        <f t="shared" ref="X237:X248" si="74">+W237+P237</f>
        <v>1224</v>
      </c>
      <c r="Z237" s="622">
        <f>+SUMIFS('Conteo VACIO'!F:F,'Conteo VACIO'!$A:$A,$D237)</f>
        <v>0</v>
      </c>
      <c r="AA237" s="622">
        <f>+SUMIFS('Conteo VACIO'!G:G,'Conteo VACIO'!$A:$A,$D237)</f>
        <v>0</v>
      </c>
      <c r="AB237" s="626">
        <v>1000</v>
      </c>
      <c r="AD237" s="617" t="s">
        <v>1470</v>
      </c>
      <c r="AE237" s="625">
        <f>IF(D237="Corb-LK",SUMIFS('Est Madre LK 10-25'!C:C,'Est Madre LK 10-25'!D:D,"si"),IF(D237="Corb-CH",SUMIFS('Est Madre CH 10-25'!C:C,'Est Madre CH 10-25'!D:D,"si"),0)+IFERROR(VLOOKUP(D237,'Est Madre LK 10-25'!$A:$C,3,),IFERROR(VLOOKUP(D237,'Est Madre CH 10-25'!$A:$C,3,),0)))</f>
        <v>408</v>
      </c>
      <c r="AF237" s="626"/>
      <c r="AG237" s="627">
        <v>12</v>
      </c>
      <c r="AH237" s="628"/>
      <c r="AI237" s="629"/>
      <c r="AJ237" s="627" t="s">
        <v>1653</v>
      </c>
      <c r="AK237" s="630">
        <v>3</v>
      </c>
    </row>
    <row r="238" spans="1:37" ht="18" customHeight="1" thickBot="1" x14ac:dyDescent="0.4">
      <c r="A238" t="s">
        <v>1470</v>
      </c>
      <c r="C238" s="302"/>
      <c r="D238" s="439">
        <v>186</v>
      </c>
      <c r="E238" s="260" t="str">
        <f>+VLOOKUP(D238,'Conteo VACIO'!$A$8:$D$226,4,0)</f>
        <v>K4A</v>
      </c>
      <c r="F238" s="322" t="s">
        <v>1662</v>
      </c>
      <c r="G238" s="329" t="s">
        <v>1616</v>
      </c>
      <c r="H238" s="260"/>
      <c r="I238" s="477"/>
      <c r="J238" s="310"/>
      <c r="K238" s="208"/>
      <c r="L238" s="903">
        <f t="shared" si="68"/>
        <v>1.0878136200716846</v>
      </c>
      <c r="M238" s="952">
        <f t="shared" si="69"/>
        <v>1.0878136200716846</v>
      </c>
      <c r="O238" s="957">
        <f t="shared" si="70"/>
        <v>0</v>
      </c>
      <c r="P238" s="381">
        <f t="shared" si="71"/>
        <v>5580</v>
      </c>
      <c r="Q238" s="345">
        <f t="shared" si="72"/>
        <v>6070</v>
      </c>
      <c r="R238" s="689"/>
      <c r="S238" s="23"/>
      <c r="T238" s="399">
        <f>+IFERROR(SUMIFS('Stock CD'!D:D,D267,'Stock CD'!C:C),0)</f>
        <v>0</v>
      </c>
      <c r="U238" s="405">
        <f t="shared" si="73"/>
        <v>6070</v>
      </c>
      <c r="W238" s="399">
        <f>+IFERROR(VLOOKUP(D238,'Stock CD'!B:I,8,0),0)</f>
        <v>0</v>
      </c>
      <c r="X238" s="520">
        <f t="shared" si="74"/>
        <v>5580</v>
      </c>
      <c r="Z238" s="305">
        <f>+SUMIFS('Conteo VACIO'!F:F,'Conteo VACIO'!$A:$A,$D238)</f>
        <v>5</v>
      </c>
      <c r="AA238" s="305">
        <f>+SUMIFS('Conteo VACIO'!G:G,'Conteo VACIO'!$A:$A,$D238)</f>
        <v>1070</v>
      </c>
      <c r="AB238" s="362">
        <v>1000</v>
      </c>
      <c r="AD238" s="322" t="s">
        <v>1470</v>
      </c>
      <c r="AE238" s="414">
        <f>IF(D238="Corb-LK",SUMIFS('Est Madre LK 10-25'!C:C,'Est Madre LK 10-25'!D:D,"si"),IF(D238="Corb-CH",SUMIFS('Est Madre CH 10-25'!C:C,'Est Madre CH 10-25'!D:D,"si"),0)+IFERROR(VLOOKUP(D238,'Est Madre LK 10-25'!$A:$C,3,),IFERROR(VLOOKUP(D238,'Est Madre CH 10-25'!$A:$C,3,),0)))</f>
        <v>1860</v>
      </c>
      <c r="AF238" s="362"/>
      <c r="AG238" s="260">
        <v>12</v>
      </c>
      <c r="AH238" s="325"/>
      <c r="AI238" s="601"/>
      <c r="AJ238" s="260" t="s">
        <v>1654</v>
      </c>
      <c r="AK238" s="335">
        <v>3</v>
      </c>
    </row>
    <row r="239" spans="1:37" ht="18" customHeight="1" thickBot="1" x14ac:dyDescent="0.4">
      <c r="A239" t="s">
        <v>1470</v>
      </c>
      <c r="C239" s="302"/>
      <c r="D239" s="439">
        <v>123</v>
      </c>
      <c r="E239" s="260" t="str">
        <f>+VLOOKUP(D239,'Conteo VACIO'!$A$8:$D$226,4,0)</f>
        <v>K3H</v>
      </c>
      <c r="F239" s="322" t="s">
        <v>1662</v>
      </c>
      <c r="G239" s="329" t="s">
        <v>1186</v>
      </c>
      <c r="H239" s="260"/>
      <c r="I239" s="477"/>
      <c r="J239" s="310"/>
      <c r="K239" s="208"/>
      <c r="L239" s="903">
        <f t="shared" si="68"/>
        <v>0.89731585518102375</v>
      </c>
      <c r="M239" s="952">
        <f t="shared" si="69"/>
        <v>0.89731585518102375</v>
      </c>
      <c r="O239" s="957">
        <f t="shared" si="70"/>
        <v>658</v>
      </c>
      <c r="P239" s="381">
        <f t="shared" si="71"/>
        <v>6408</v>
      </c>
      <c r="Q239" s="345">
        <f t="shared" si="72"/>
        <v>5750</v>
      </c>
      <c r="R239" s="689"/>
      <c r="S239" s="23"/>
      <c r="T239" s="399">
        <f>+IFERROR(SUMIFS('Stock CD'!D:D,D267,'Stock CD'!C:C),0)</f>
        <v>0</v>
      </c>
      <c r="U239" s="405">
        <f t="shared" si="73"/>
        <v>5750</v>
      </c>
      <c r="W239" s="399">
        <f>+IFERROR(VLOOKUP(D239,'Stock CD'!B:I,8,0),0)</f>
        <v>0</v>
      </c>
      <c r="X239" s="520">
        <f t="shared" si="74"/>
        <v>6408</v>
      </c>
      <c r="Z239" s="305">
        <f>+SUMIFS('Conteo VACIO'!F:F,'Conteo VACIO'!$A:$A,$D239)</f>
        <v>4</v>
      </c>
      <c r="AA239" s="305">
        <f>+SUMIFS('Conteo VACIO'!G:G,'Conteo VACIO'!$A:$A,$D239)</f>
        <v>1750</v>
      </c>
      <c r="AB239" s="362">
        <v>1000</v>
      </c>
      <c r="AD239" s="322" t="s">
        <v>1470</v>
      </c>
      <c r="AE239" s="414">
        <f>IF(D239="Corb-LK",SUMIFS('Est Madre LK 10-25'!C:C,'Est Madre LK 10-25'!D:D,"si"),IF(D239="Corb-CH",SUMIFS('Est Madre CH 10-25'!C:C,'Est Madre CH 10-25'!D:D,"si"),0)+IFERROR(VLOOKUP(D239,'Est Madre LK 10-25'!$A:$C,3,),IFERROR(VLOOKUP(D239,'Est Madre CH 10-25'!$A:$C,3,),0)))</f>
        <v>2136</v>
      </c>
      <c r="AF239" s="362"/>
      <c r="AG239" s="260"/>
      <c r="AH239" s="325"/>
      <c r="AI239" s="601"/>
      <c r="AJ239" s="260" t="s">
        <v>1655</v>
      </c>
      <c r="AK239" s="335">
        <v>3</v>
      </c>
    </row>
    <row r="240" spans="1:37" ht="18" customHeight="1" thickBot="1" x14ac:dyDescent="0.4">
      <c r="A240" t="s">
        <v>1470</v>
      </c>
      <c r="C240" s="302"/>
      <c r="D240" s="439">
        <v>107</v>
      </c>
      <c r="E240" s="260" t="str">
        <f>+VLOOKUP(D240,'Conteo VACIO'!$A$8:$D$226,4,0)</f>
        <v>K5A</v>
      </c>
      <c r="F240" s="322" t="s">
        <v>1662</v>
      </c>
      <c r="G240" s="329" t="s">
        <v>1618</v>
      </c>
      <c r="H240" s="260"/>
      <c r="I240" s="477"/>
      <c r="J240" s="310"/>
      <c r="K240" s="208"/>
      <c r="L240" s="903">
        <f t="shared" si="68"/>
        <v>0</v>
      </c>
      <c r="M240" s="952">
        <f t="shared" si="69"/>
        <v>0</v>
      </c>
      <c r="O240" s="957">
        <f t="shared" si="70"/>
        <v>0</v>
      </c>
      <c r="P240" s="381">
        <f t="shared" si="71"/>
        <v>0</v>
      </c>
      <c r="Q240" s="345">
        <f t="shared" si="72"/>
        <v>0</v>
      </c>
      <c r="R240" s="689"/>
      <c r="S240" s="23"/>
      <c r="T240" s="399">
        <f>+IFERROR(SUMIFS('Stock CD'!D:D,D257,'Stock CD'!C:C),0)</f>
        <v>0</v>
      </c>
      <c r="U240" s="405">
        <f t="shared" si="73"/>
        <v>0</v>
      </c>
      <c r="W240" s="399">
        <f>+IFERROR(VLOOKUP(D240,'Stock CD'!B:I,8,0),0)</f>
        <v>0</v>
      </c>
      <c r="X240" s="520">
        <f t="shared" si="74"/>
        <v>0</v>
      </c>
      <c r="Z240" s="305">
        <f>+SUMIFS('Conteo VACIO'!F:F,'Conteo VACIO'!$A:$A,$D240)</f>
        <v>0</v>
      </c>
      <c r="AA240" s="305">
        <f>+SUMIFS('Conteo VACIO'!G:G,'Conteo VACIO'!$A:$A,$D240)</f>
        <v>0</v>
      </c>
      <c r="AB240" s="362">
        <v>1000</v>
      </c>
      <c r="AD240" s="322" t="s">
        <v>1470</v>
      </c>
      <c r="AE240" s="414">
        <f>IF(D240="Corb-LK",SUMIFS('Est Madre LK 10-25'!C:C,'Est Madre LK 10-25'!D:D,"si"),IF(D240="Corb-CH",SUMIFS('Est Madre CH 10-25'!C:C,'Est Madre CH 10-25'!D:D,"si"),0)+IFERROR(VLOOKUP(D240,'Est Madre LK 10-25'!$A:$C,3,),IFERROR(VLOOKUP(D240,'Est Madre CH 10-25'!$A:$C,3,),0)))</f>
        <v>0</v>
      </c>
      <c r="AF240" s="362"/>
      <c r="AG240" s="260">
        <v>12</v>
      </c>
      <c r="AH240" s="325"/>
      <c r="AI240" s="601"/>
      <c r="AJ240" s="260" t="s">
        <v>1652</v>
      </c>
      <c r="AK240" s="335">
        <v>3</v>
      </c>
    </row>
    <row r="241" spans="1:37" ht="18" customHeight="1" thickBot="1" x14ac:dyDescent="0.4">
      <c r="A241" t="s">
        <v>1470</v>
      </c>
      <c r="C241" s="302"/>
      <c r="D241" s="439">
        <v>110</v>
      </c>
      <c r="E241" s="260" t="str">
        <f>+VLOOKUP(D241,'Conteo VACIO'!$A$8:$D$226,4,0)</f>
        <v>K3B</v>
      </c>
      <c r="F241" s="322" t="s">
        <v>1662</v>
      </c>
      <c r="G241" s="329" t="s">
        <v>1763</v>
      </c>
      <c r="H241" s="260"/>
      <c r="I241" s="477"/>
      <c r="J241" s="310"/>
      <c r="K241" s="208"/>
      <c r="L241" s="903">
        <f t="shared" si="68"/>
        <v>0.81944444444444442</v>
      </c>
      <c r="M241" s="952">
        <f t="shared" si="69"/>
        <v>0.81944444444444442</v>
      </c>
      <c r="O241" s="957">
        <f t="shared" si="70"/>
        <v>650</v>
      </c>
      <c r="P241" s="381">
        <f t="shared" si="71"/>
        <v>3600</v>
      </c>
      <c r="Q241" s="345">
        <f t="shared" si="72"/>
        <v>2950</v>
      </c>
      <c r="R241" s="689"/>
      <c r="S241" s="23"/>
      <c r="T241" s="399">
        <f>+IFERROR(SUMIFS('Stock CD'!D:D,D259,'Stock CD'!C:C),0)</f>
        <v>0</v>
      </c>
      <c r="U241" s="405">
        <f t="shared" si="73"/>
        <v>2950</v>
      </c>
      <c r="W241" s="399">
        <f>+IFERROR(VLOOKUP(D241,'Stock CD'!B:I,8,0),0)</f>
        <v>0</v>
      </c>
      <c r="X241" s="520">
        <f t="shared" si="74"/>
        <v>3600</v>
      </c>
      <c r="Z241" s="305">
        <f>+SUMIFS('Conteo VACIO'!F:F,'Conteo VACIO'!$A:$A,$D241)</f>
        <v>2</v>
      </c>
      <c r="AA241" s="305">
        <f>+SUMIFS('Conteo VACIO'!G:G,'Conteo VACIO'!$A:$A,$D241)</f>
        <v>950</v>
      </c>
      <c r="AB241" s="362">
        <v>1000</v>
      </c>
      <c r="AD241" s="322" t="s">
        <v>1470</v>
      </c>
      <c r="AE241" s="414">
        <f>IF(D241="Corb-LK",SUMIFS('Est Madre LK 10-25'!C:C,'Est Madre LK 10-25'!D:D,"si"),IF(D241="Corb-CH",SUMIFS('Est Madre CH 10-25'!C:C,'Est Madre CH 10-25'!D:D,"si"),0)+IFERROR(VLOOKUP(D241,'Est Madre LK 10-25'!$A:$C,3,),IFERROR(VLOOKUP(D241,'Est Madre CH 10-25'!$A:$C,3,),0)))</f>
        <v>1200</v>
      </c>
      <c r="AF241" s="362"/>
      <c r="AG241" s="260"/>
      <c r="AH241" s="325"/>
      <c r="AI241" s="601"/>
      <c r="AJ241" s="260" t="s">
        <v>1652</v>
      </c>
      <c r="AK241" s="335">
        <v>3</v>
      </c>
    </row>
    <row r="242" spans="1:37" ht="18" customHeight="1" thickBot="1" x14ac:dyDescent="0.4">
      <c r="A242" t="s">
        <v>1470</v>
      </c>
      <c r="C242" s="302"/>
      <c r="D242" s="439">
        <v>111</v>
      </c>
      <c r="E242" s="260" t="str">
        <f>+VLOOKUP(D242,'Conteo VACIO'!$A$8:$D$226,4,0)</f>
        <v>K3C</v>
      </c>
      <c r="F242" s="322" t="s">
        <v>1662</v>
      </c>
      <c r="G242" s="329" t="s">
        <v>1762</v>
      </c>
      <c r="H242" s="260"/>
      <c r="I242" s="477"/>
      <c r="J242" s="310"/>
      <c r="K242" s="208"/>
      <c r="L242" s="903">
        <f t="shared" si="68"/>
        <v>0.60386473429951693</v>
      </c>
      <c r="M242" s="952">
        <f t="shared" si="69"/>
        <v>0.60386473429951693</v>
      </c>
      <c r="O242" s="957">
        <f t="shared" si="70"/>
        <v>656</v>
      </c>
      <c r="P242" s="381">
        <f t="shared" si="71"/>
        <v>1656</v>
      </c>
      <c r="Q242" s="345">
        <f t="shared" si="72"/>
        <v>1000</v>
      </c>
      <c r="R242" s="689"/>
      <c r="S242" s="23"/>
      <c r="T242" s="399">
        <f>+IFERROR(SUMIFS('Stock CD'!D:D,D260,'Stock CD'!C:C),0)</f>
        <v>0</v>
      </c>
      <c r="U242" s="405">
        <f t="shared" si="73"/>
        <v>1000</v>
      </c>
      <c r="W242" s="399">
        <f>+IFERROR(VLOOKUP(D242,'Stock CD'!B:I,8,0),0)</f>
        <v>0</v>
      </c>
      <c r="X242" s="520">
        <f t="shared" si="74"/>
        <v>1656</v>
      </c>
      <c r="Z242" s="305">
        <f>+SUMIFS('Conteo VACIO'!F:F,'Conteo VACIO'!$A:$A,$D242)</f>
        <v>1</v>
      </c>
      <c r="AA242" s="305">
        <f>+SUMIFS('Conteo VACIO'!G:G,'Conteo VACIO'!$A:$A,$D242)</f>
        <v>0</v>
      </c>
      <c r="AB242" s="362">
        <v>1000</v>
      </c>
      <c r="AD242" s="322" t="s">
        <v>1470</v>
      </c>
      <c r="AE242" s="414">
        <f>IF(D242="Corb-LK",SUMIFS('Est Madre LK 10-25'!C:C,'Est Madre LK 10-25'!D:D,"si"),IF(D242="Corb-CH",SUMIFS('Est Madre CH 10-25'!C:C,'Est Madre CH 10-25'!D:D,"si"),0)+IFERROR(VLOOKUP(D242,'Est Madre LK 10-25'!$A:$C,3,),IFERROR(VLOOKUP(D242,'Est Madre CH 10-25'!$A:$C,3,),0)))</f>
        <v>552</v>
      </c>
      <c r="AF242" s="362"/>
      <c r="AG242" s="260"/>
      <c r="AH242" s="325"/>
      <c r="AI242" s="601"/>
      <c r="AJ242" s="260" t="s">
        <v>1652</v>
      </c>
      <c r="AK242" s="335">
        <v>3</v>
      </c>
    </row>
    <row r="243" spans="1:37" ht="18" customHeight="1" thickBot="1" x14ac:dyDescent="0.4">
      <c r="A243" t="s">
        <v>1470</v>
      </c>
      <c r="C243" s="302"/>
      <c r="D243" s="439">
        <v>112</v>
      </c>
      <c r="E243" s="260" t="str">
        <f>+VLOOKUP(D243,'Conteo VACIO'!$A$8:$D$226,4,0)</f>
        <v>K3D</v>
      </c>
      <c r="F243" s="322" t="s">
        <v>1662</v>
      </c>
      <c r="G243" s="329" t="s">
        <v>1629</v>
      </c>
      <c r="H243" s="260"/>
      <c r="I243" s="477"/>
      <c r="J243" s="310"/>
      <c r="K243" s="208"/>
      <c r="L243" s="903">
        <f t="shared" si="68"/>
        <v>1.8518518518518519</v>
      </c>
      <c r="M243" s="952">
        <f t="shared" si="69"/>
        <v>1.8518518518518519</v>
      </c>
      <c r="O243" s="957">
        <f t="shared" si="70"/>
        <v>0</v>
      </c>
      <c r="P243" s="381">
        <f t="shared" si="71"/>
        <v>1080</v>
      </c>
      <c r="Q243" s="345">
        <f t="shared" si="72"/>
        <v>2000</v>
      </c>
      <c r="R243" s="689"/>
      <c r="S243" s="23"/>
      <c r="T243" s="399">
        <f>+IFERROR(SUMIFS('Stock CD'!D:D,D265,'Stock CD'!C:C),0)</f>
        <v>0</v>
      </c>
      <c r="U243" s="405">
        <f t="shared" si="73"/>
        <v>2000</v>
      </c>
      <c r="W243" s="399">
        <f>+IFERROR(VLOOKUP(D243,'Stock CD'!B:I,8,0),0)</f>
        <v>0</v>
      </c>
      <c r="X243" s="520">
        <f t="shared" si="74"/>
        <v>1080</v>
      </c>
      <c r="Z243" s="305">
        <f>+SUMIFS('Conteo VACIO'!F:F,'Conteo VACIO'!$A:$A,$D243)</f>
        <v>2</v>
      </c>
      <c r="AA243" s="305">
        <f>+SUMIFS('Conteo VACIO'!G:G,'Conteo VACIO'!$A:$A,$D243)</f>
        <v>0</v>
      </c>
      <c r="AB243" s="362">
        <v>1000</v>
      </c>
      <c r="AD243" s="322" t="s">
        <v>1470</v>
      </c>
      <c r="AE243" s="414">
        <f>IF(D243="Corb-LK",SUMIFS('Est Madre LK 10-25'!C:C,'Est Madre LK 10-25'!D:D,"si"),IF(D243="Corb-CH",SUMIFS('Est Madre CH 10-25'!C:C,'Est Madre CH 10-25'!D:D,"si"),0)+IFERROR(VLOOKUP(D243,'Est Madre LK 10-25'!$A:$C,3,),IFERROR(VLOOKUP(D243,'Est Madre CH 10-25'!$A:$C,3,),0)))</f>
        <v>360</v>
      </c>
      <c r="AF243" s="362"/>
      <c r="AG243" s="260"/>
      <c r="AH243" s="325"/>
      <c r="AI243" s="601"/>
      <c r="AJ243" s="260" t="s">
        <v>1653</v>
      </c>
      <c r="AK243" s="335">
        <v>3</v>
      </c>
    </row>
    <row r="244" spans="1:37" ht="18" customHeight="1" thickBot="1" x14ac:dyDescent="0.4">
      <c r="A244" t="s">
        <v>1470</v>
      </c>
      <c r="C244" s="302"/>
      <c r="D244" s="439">
        <v>113</v>
      </c>
      <c r="E244" s="260" t="str">
        <f>+VLOOKUP(D244,'Conteo VACIO'!$A$8:$D$226,4,0)</f>
        <v>K3E</v>
      </c>
      <c r="F244" s="322" t="s">
        <v>1662</v>
      </c>
      <c r="G244" s="329" t="s">
        <v>1761</v>
      </c>
      <c r="H244" s="260"/>
      <c r="I244" s="477"/>
      <c r="J244" s="310"/>
      <c r="K244" s="208"/>
      <c r="L244" s="903">
        <f t="shared" si="68"/>
        <v>0.46296296296296297</v>
      </c>
      <c r="M244" s="952">
        <f t="shared" si="69"/>
        <v>0.46296296296296297</v>
      </c>
      <c r="O244" s="957">
        <f t="shared" si="70"/>
        <v>580</v>
      </c>
      <c r="P244" s="381">
        <f t="shared" si="71"/>
        <v>1080</v>
      </c>
      <c r="Q244" s="345">
        <f t="shared" si="72"/>
        <v>500</v>
      </c>
      <c r="R244" s="689"/>
      <c r="S244" s="23"/>
      <c r="T244" s="399">
        <f>+IFERROR(SUMIFS('Stock CD'!D:D,D266,'Stock CD'!C:C),0)</f>
        <v>0</v>
      </c>
      <c r="U244" s="405">
        <f t="shared" si="73"/>
        <v>500</v>
      </c>
      <c r="W244" s="399">
        <f>+IFERROR(VLOOKUP(D244,'Stock CD'!B:I,8,0),0)</f>
        <v>0</v>
      </c>
      <c r="X244" s="520">
        <f t="shared" si="74"/>
        <v>1080</v>
      </c>
      <c r="Z244" s="305">
        <f>+SUMIFS('Conteo VACIO'!F:F,'Conteo VACIO'!$A:$A,$D244)</f>
        <v>0</v>
      </c>
      <c r="AA244" s="305">
        <f>+SUMIFS('Conteo VACIO'!G:G,'Conteo VACIO'!$A:$A,$D244)</f>
        <v>500</v>
      </c>
      <c r="AB244" s="362">
        <v>1000</v>
      </c>
      <c r="AD244" s="322" t="s">
        <v>1470</v>
      </c>
      <c r="AE244" s="414">
        <f>IF(D244="Corb-LK",SUMIFS('Est Madre LK 10-25'!C:C,'Est Madre LK 10-25'!D:D,"si"),IF(D244="Corb-CH",SUMIFS('Est Madre CH 10-25'!C:C,'Est Madre CH 10-25'!D:D,"si"),0)+IFERROR(VLOOKUP(D244,'Est Madre LK 10-25'!$A:$C,3,),IFERROR(VLOOKUP(D244,'Est Madre CH 10-25'!$A:$C,3,),0)))</f>
        <v>360</v>
      </c>
      <c r="AF244" s="362"/>
      <c r="AG244" s="260"/>
      <c r="AH244" s="325"/>
      <c r="AI244" s="601"/>
      <c r="AJ244" s="260" t="s">
        <v>1653</v>
      </c>
      <c r="AK244" s="335">
        <v>3</v>
      </c>
    </row>
    <row r="245" spans="1:37" ht="18" customHeight="1" thickBot="1" x14ac:dyDescent="0.4">
      <c r="A245" t="s">
        <v>1470</v>
      </c>
      <c r="C245" s="302"/>
      <c r="D245" s="439">
        <v>115</v>
      </c>
      <c r="E245" s="260" t="str">
        <f>+VLOOKUP(D245,'Conteo VACIO'!$A$8:$D$226,4,0)</f>
        <v>K3F</v>
      </c>
      <c r="F245" s="322" t="s">
        <v>1662</v>
      </c>
      <c r="G245" s="329" t="s">
        <v>1193</v>
      </c>
      <c r="H245" s="260"/>
      <c r="I245" s="477"/>
      <c r="J245" s="310"/>
      <c r="K245" s="208"/>
      <c r="L245" s="903">
        <f t="shared" si="68"/>
        <v>0.55555555555555558</v>
      </c>
      <c r="M245" s="952">
        <f t="shared" si="69"/>
        <v>0.55555555555555558</v>
      </c>
      <c r="O245" s="957">
        <f t="shared" si="70"/>
        <v>416</v>
      </c>
      <c r="P245" s="381">
        <f t="shared" si="71"/>
        <v>936</v>
      </c>
      <c r="Q245" s="345">
        <f t="shared" si="72"/>
        <v>520</v>
      </c>
      <c r="R245" s="689"/>
      <c r="S245" s="23"/>
      <c r="T245" s="399">
        <f>+IFERROR(SUMIFS('Stock CD'!D:D,D258,'Stock CD'!C:C),0)</f>
        <v>0</v>
      </c>
      <c r="U245" s="405">
        <f t="shared" si="73"/>
        <v>520</v>
      </c>
      <c r="W245" s="399">
        <f>+IFERROR(VLOOKUP(D245,'Stock CD'!B:I,8,0),0)</f>
        <v>0</v>
      </c>
      <c r="X245" s="520">
        <f t="shared" si="74"/>
        <v>936</v>
      </c>
      <c r="Z245" s="305">
        <f>+SUMIFS('Conteo VACIO'!F:F,'Conteo VACIO'!$A:$A,$D245)</f>
        <v>0</v>
      </c>
      <c r="AA245" s="305">
        <f>+SUMIFS('Conteo VACIO'!G:G,'Conteo VACIO'!$A:$A,$D245)</f>
        <v>520</v>
      </c>
      <c r="AB245" s="362">
        <v>1000</v>
      </c>
      <c r="AD245" s="322" t="s">
        <v>1470</v>
      </c>
      <c r="AE245" s="414">
        <f>IF(D245="Corb-LK",SUMIFS('Est Madre LK 10-25'!C:C,'Est Madre LK 10-25'!D:D,"si"),IF(D245="Corb-CH",SUMIFS('Est Madre CH 10-25'!C:C,'Est Madre CH 10-25'!D:D,"si"),0)+IFERROR(VLOOKUP(D245,'Est Madre LK 10-25'!$A:$C,3,),IFERROR(VLOOKUP(D245,'Est Madre CH 10-25'!$A:$C,3,),0)))</f>
        <v>312</v>
      </c>
      <c r="AF245" s="362"/>
      <c r="AG245" s="260"/>
      <c r="AH245" s="325"/>
      <c r="AI245" s="601"/>
      <c r="AJ245" s="260" t="s">
        <v>1652</v>
      </c>
      <c r="AK245" s="335">
        <v>3</v>
      </c>
    </row>
    <row r="246" spans="1:37" ht="18" customHeight="1" thickBot="1" x14ac:dyDescent="0.4">
      <c r="A246" t="s">
        <v>1470</v>
      </c>
      <c r="C246" s="302"/>
      <c r="D246" s="439">
        <v>119</v>
      </c>
      <c r="E246" s="260" t="str">
        <f>+VLOOKUP(D246,'Conteo VACIO'!$A$8:$D$226,4,0)</f>
        <v>K7A</v>
      </c>
      <c r="F246" s="322" t="s">
        <v>1662</v>
      </c>
      <c r="G246" s="329" t="s">
        <v>1606</v>
      </c>
      <c r="H246" s="260"/>
      <c r="I246" s="477"/>
      <c r="J246" s="310"/>
      <c r="K246" s="208"/>
      <c r="L246" s="903">
        <f t="shared" si="68"/>
        <v>20.37037037037037</v>
      </c>
      <c r="M246" s="952">
        <f t="shared" si="69"/>
        <v>20.37037037037037</v>
      </c>
      <c r="O246" s="957">
        <f t="shared" si="70"/>
        <v>0</v>
      </c>
      <c r="P246" s="381">
        <f t="shared" si="71"/>
        <v>540</v>
      </c>
      <c r="Q246" s="345">
        <f t="shared" si="72"/>
        <v>11000</v>
      </c>
      <c r="R246" s="689"/>
      <c r="S246" s="23"/>
      <c r="T246" s="399">
        <f>+IFERROR(SUMIFS('Stock CD'!D:D,D260,'Stock CD'!C:C),0)</f>
        <v>0</v>
      </c>
      <c r="U246" s="405">
        <f t="shared" si="73"/>
        <v>11000</v>
      </c>
      <c r="W246" s="399">
        <f>+IFERROR(VLOOKUP(D246,'Stock CD'!B:I,8,0),0)</f>
        <v>0</v>
      </c>
      <c r="X246" s="520">
        <f t="shared" si="74"/>
        <v>540</v>
      </c>
      <c r="Z246" s="305">
        <f>+SUMIFS('Conteo VACIO'!F:F,'Conteo VACIO'!$A:$A,$D246)</f>
        <v>11</v>
      </c>
      <c r="AA246" s="305">
        <f>+SUMIFS('Conteo VACIO'!G:G,'Conteo VACIO'!$A:$A,$D246)</f>
        <v>0</v>
      </c>
      <c r="AB246" s="362">
        <v>1000</v>
      </c>
      <c r="AD246" s="322" t="s">
        <v>1470</v>
      </c>
      <c r="AE246" s="414">
        <f>IF(D246="Corb-LK",SUMIFS('Est Madre LK 10-25'!C:C,'Est Madre LK 10-25'!D:D,"si"),IF(D246="Corb-CH",SUMIFS('Est Madre CH 10-25'!C:C,'Est Madre CH 10-25'!D:D,"si"),0)+IFERROR(VLOOKUP(D246,'Est Madre LK 10-25'!$A:$C,3,),IFERROR(VLOOKUP(D246,'Est Madre CH 10-25'!$A:$C,3,),0)))</f>
        <v>180</v>
      </c>
      <c r="AF246" s="362"/>
      <c r="AG246" s="260">
        <v>12</v>
      </c>
      <c r="AH246" s="325"/>
      <c r="AI246" s="601"/>
      <c r="AJ246" s="260" t="s">
        <v>1652</v>
      </c>
      <c r="AK246" s="335">
        <v>3</v>
      </c>
    </row>
    <row r="247" spans="1:37" ht="18" customHeight="1" thickBot="1" x14ac:dyDescent="0.4">
      <c r="A247" t="s">
        <v>1470</v>
      </c>
      <c r="C247" s="302"/>
      <c r="D247" s="439">
        <v>121</v>
      </c>
      <c r="E247" s="260" t="str">
        <f>+VLOOKUP(D247,'Conteo VACIO'!$A$8:$D$226,4,0)</f>
        <v>K4E</v>
      </c>
      <c r="F247" s="322" t="s">
        <v>1662</v>
      </c>
      <c r="G247" s="329" t="s">
        <v>766</v>
      </c>
      <c r="H247" s="260"/>
      <c r="I247" s="477"/>
      <c r="J247" s="310"/>
      <c r="K247" s="208"/>
      <c r="L247" s="903">
        <f t="shared" si="68"/>
        <v>2.0102339181286548</v>
      </c>
      <c r="M247" s="952">
        <f t="shared" si="69"/>
        <v>2.0102339181286548</v>
      </c>
      <c r="O247" s="957">
        <f t="shared" si="70"/>
        <v>0</v>
      </c>
      <c r="P247" s="381">
        <f t="shared" si="71"/>
        <v>1368</v>
      </c>
      <c r="Q247" s="345">
        <f t="shared" si="72"/>
        <v>2750</v>
      </c>
      <c r="R247" s="689"/>
      <c r="S247" s="23"/>
      <c r="T247" s="399">
        <f>+IFERROR(SUMIFS('Stock CD'!D:D,D261,'Stock CD'!C:C),0)</f>
        <v>0</v>
      </c>
      <c r="U247" s="405">
        <f t="shared" si="73"/>
        <v>2750</v>
      </c>
      <c r="W247" s="399">
        <f>+IFERROR(VLOOKUP(D247,'Stock CD'!B:I,8,0),0)</f>
        <v>0</v>
      </c>
      <c r="X247" s="520">
        <f t="shared" si="74"/>
        <v>1368</v>
      </c>
      <c r="Z247" s="305">
        <f>+SUMIFS('Conteo VACIO'!F:F,'Conteo VACIO'!$A:$A,$D247)</f>
        <v>1</v>
      </c>
      <c r="AA247" s="305">
        <f>+SUMIFS('Conteo VACIO'!G:G,'Conteo VACIO'!$A:$A,$D247)</f>
        <v>1750</v>
      </c>
      <c r="AB247" s="362">
        <v>1000</v>
      </c>
      <c r="AD247" s="322" t="s">
        <v>1470</v>
      </c>
      <c r="AE247" s="414">
        <f>IF(D247="Corb-LK",SUMIFS('Est Madre LK 10-25'!C:C,'Est Madre LK 10-25'!D:D,"si"),IF(D247="Corb-CH",SUMIFS('Est Madre CH 10-25'!C:C,'Est Madre CH 10-25'!D:D,"si"),0)+IFERROR(VLOOKUP(D247,'Est Madre LK 10-25'!$A:$C,3,),IFERROR(VLOOKUP(D247,'Est Madre CH 10-25'!$A:$C,3,),0)))</f>
        <v>456</v>
      </c>
      <c r="AF247" s="362"/>
      <c r="AG247" s="260"/>
      <c r="AH247" s="325"/>
      <c r="AI247" s="601"/>
      <c r="AJ247" s="260" t="s">
        <v>1652</v>
      </c>
      <c r="AK247" s="335">
        <v>3</v>
      </c>
    </row>
    <row r="248" spans="1:37" ht="18" customHeight="1" thickBot="1" x14ac:dyDescent="0.4">
      <c r="A248" t="s">
        <v>1470</v>
      </c>
      <c r="C248" s="298"/>
      <c r="D248" s="449">
        <v>116</v>
      </c>
      <c r="E248" s="262" t="str">
        <f>+VLOOKUP(D248,'Conteo VACIO'!$A$8:$D$226,4,0)</f>
        <v>K3G</v>
      </c>
      <c r="F248" s="324" t="s">
        <v>1662</v>
      </c>
      <c r="G248" s="357" t="s">
        <v>1276</v>
      </c>
      <c r="H248" s="262"/>
      <c r="I248" s="478"/>
      <c r="J248" s="310"/>
      <c r="K248" s="208"/>
      <c r="L248" s="904">
        <f t="shared" si="68"/>
        <v>1.8518518518518519</v>
      </c>
      <c r="M248" s="966">
        <f t="shared" si="69"/>
        <v>1.8518518518518519</v>
      </c>
      <c r="O248" s="957">
        <f t="shared" si="70"/>
        <v>0</v>
      </c>
      <c r="P248" s="382">
        <f t="shared" si="71"/>
        <v>540</v>
      </c>
      <c r="Q248" s="347">
        <f t="shared" si="72"/>
        <v>1000</v>
      </c>
      <c r="R248" s="690"/>
      <c r="S248" s="28"/>
      <c r="T248" s="987">
        <f>+IFERROR(SUMIFS('Stock CD'!D:D,D264,'Stock CD'!C:C),0)</f>
        <v>0</v>
      </c>
      <c r="U248" s="406">
        <f t="shared" si="73"/>
        <v>1000</v>
      </c>
      <c r="W248" s="987">
        <f>+IFERROR(VLOOKUP(D248,'Stock CD'!B:I,8,0),0)</f>
        <v>0</v>
      </c>
      <c r="X248" s="988">
        <f t="shared" si="74"/>
        <v>540</v>
      </c>
      <c r="Z248" s="611">
        <f>+SUMIFS('Conteo VACIO'!F:F,'Conteo VACIO'!$A:$A,$D248)</f>
        <v>1</v>
      </c>
      <c r="AA248" s="611">
        <f>+SUMIFS('Conteo VACIO'!G:G,'Conteo VACIO'!$A:$A,$D248)</f>
        <v>0</v>
      </c>
      <c r="AB248" s="537">
        <v>1000</v>
      </c>
      <c r="AD248" s="608" t="s">
        <v>1470</v>
      </c>
      <c r="AE248" s="530">
        <f>IF(D248="Corb-LK",SUMIFS('Est Madre LK 10-25'!C:C,'Est Madre LK 10-25'!D:D,"si"),IF(D248="Corb-CH",SUMIFS('Est Madre CH 10-25'!C:C,'Est Madre CH 10-25'!D:D,"si"),0)+IFERROR(VLOOKUP(D248,'Est Madre LK 10-25'!$A:$C,3,),IFERROR(VLOOKUP(D248,'Est Madre CH 10-25'!$A:$C,3,),0)))</f>
        <v>180</v>
      </c>
      <c r="AF248" s="537"/>
      <c r="AG248" s="538"/>
      <c r="AH248" s="539"/>
      <c r="AI248" s="602"/>
      <c r="AJ248" s="538" t="s">
        <v>1653</v>
      </c>
      <c r="AK248" s="614">
        <v>3</v>
      </c>
    </row>
    <row r="249" spans="1:37" ht="7.2" customHeight="1" x14ac:dyDescent="0.35">
      <c r="C249" s="294"/>
      <c r="D249" s="294"/>
      <c r="E249" s="127"/>
      <c r="F249" s="299"/>
      <c r="G249" s="310"/>
      <c r="H249" s="127"/>
      <c r="I249" s="310"/>
      <c r="J249" s="310"/>
      <c r="K249" s="208"/>
      <c r="L249" s="458"/>
      <c r="M249" s="507"/>
      <c r="O249" s="687"/>
      <c r="P249" s="383"/>
      <c r="Q249" s="338"/>
      <c r="R249" s="687"/>
      <c r="S249" s="719"/>
      <c r="T249" s="508"/>
      <c r="U249" s="460"/>
      <c r="W249" s="508"/>
      <c r="X249" s="508"/>
      <c r="Z249" s="849"/>
      <c r="AA249" s="849"/>
      <c r="AB249" s="850"/>
      <c r="AD249" s="851"/>
      <c r="AE249" s="852"/>
      <c r="AF249" s="850"/>
      <c r="AG249" s="853"/>
      <c r="AH249" s="854"/>
      <c r="AI249" s="855"/>
      <c r="AJ249" s="853"/>
      <c r="AK249" s="851"/>
    </row>
    <row r="250" spans="1:37" ht="18" customHeight="1" x14ac:dyDescent="0.35">
      <c r="C250" s="294"/>
      <c r="D250" s="294"/>
      <c r="E250" s="127"/>
      <c r="F250" s="299"/>
      <c r="G250" s="310"/>
      <c r="H250" s="127"/>
      <c r="I250" s="310"/>
      <c r="J250" s="310"/>
      <c r="L250" s="458"/>
      <c r="M250" s="459"/>
      <c r="O250" s="687"/>
      <c r="P250" s="383"/>
      <c r="Q250" s="338"/>
      <c r="R250" s="687"/>
      <c r="T250" s="460"/>
      <c r="U250" s="460"/>
      <c r="W250" s="460"/>
      <c r="X250" s="460"/>
      <c r="Z250" s="309"/>
      <c r="AA250" s="309"/>
      <c r="AB250" s="389"/>
      <c r="AE250" s="386"/>
      <c r="AF250" s="389"/>
      <c r="AG250" s="299"/>
      <c r="AH250" s="350"/>
      <c r="AI250" s="599"/>
      <c r="AJ250" s="10"/>
    </row>
    <row r="251" spans="1:37" ht="24" thickBot="1" x14ac:dyDescent="0.5">
      <c r="D251" s="292"/>
      <c r="G251" s="457" t="s">
        <v>1496</v>
      </c>
      <c r="H251" s="501"/>
      <c r="I251" s="457"/>
      <c r="J251" s="457"/>
      <c r="L251" s="454"/>
      <c r="P251" s="292"/>
      <c r="Q251"/>
      <c r="Z251" s="292"/>
      <c r="AA251"/>
      <c r="AB251" s="292"/>
      <c r="AH251" s="847"/>
      <c r="AI251" s="848"/>
    </row>
    <row r="252" spans="1:37" ht="29.4" thickBot="1" x14ac:dyDescent="0.4">
      <c r="D252" s="292"/>
      <c r="G252" s="686" t="s">
        <v>1498</v>
      </c>
      <c r="H252" s="937" t="s">
        <v>1497</v>
      </c>
      <c r="I252" s="456"/>
      <c r="J252" s="941"/>
      <c r="L252" s="484"/>
      <c r="M252" s="351"/>
      <c r="N252" s="208"/>
      <c r="O252" s="384"/>
      <c r="P252" s="370"/>
      <c r="Q252" s="344"/>
      <c r="R252" s="384"/>
      <c r="S252" s="891"/>
      <c r="V252" s="208"/>
      <c r="Z252" s="893"/>
      <c r="AA252" s="894"/>
      <c r="AB252" s="892"/>
      <c r="AD252" s="886"/>
      <c r="AE252" s="892"/>
      <c r="AF252" s="892"/>
      <c r="AG252" s="892"/>
      <c r="AH252" s="895"/>
      <c r="AI252" s="896"/>
      <c r="AJ252" s="880"/>
      <c r="AK252" s="886"/>
    </row>
    <row r="253" spans="1:37" ht="74.7" customHeight="1" thickBot="1" x14ac:dyDescent="0.35">
      <c r="C253" s="452" t="s">
        <v>1293</v>
      </c>
      <c r="D253" s="312" t="s">
        <v>748</v>
      </c>
      <c r="E253" s="558" t="s">
        <v>1198</v>
      </c>
      <c r="F253" s="312" t="s">
        <v>1018</v>
      </c>
      <c r="G253" s="420" t="s">
        <v>1400</v>
      </c>
      <c r="H253" s="502" t="s">
        <v>1500</v>
      </c>
      <c r="I253" s="321" t="s">
        <v>1515</v>
      </c>
      <c r="J253" s="317"/>
      <c r="L253" s="291" t="s">
        <v>1388</v>
      </c>
      <c r="M253" s="970" t="s">
        <v>1439</v>
      </c>
      <c r="O253" s="321" t="s">
        <v>1479</v>
      </c>
      <c r="P253" s="314" t="s">
        <v>1512</v>
      </c>
      <c r="Q253" s="314" t="s">
        <v>1478</v>
      </c>
      <c r="R253" s="710" t="s">
        <v>1782</v>
      </c>
      <c r="T253" s="291" t="s">
        <v>1463</v>
      </c>
      <c r="U253" s="970" t="s">
        <v>1464</v>
      </c>
      <c r="W253" s="296" t="s">
        <v>1467</v>
      </c>
      <c r="X253" s="291" t="s">
        <v>1468</v>
      </c>
      <c r="Z253" s="836" t="s">
        <v>1197</v>
      </c>
      <c r="AA253" s="837" t="s">
        <v>1481</v>
      </c>
      <c r="AB253" s="835" t="s">
        <v>857</v>
      </c>
      <c r="AD253" s="837" t="s">
        <v>1403</v>
      </c>
      <c r="AE253" s="837" t="s">
        <v>1482</v>
      </c>
      <c r="AF253" s="835" t="s">
        <v>1480</v>
      </c>
      <c r="AG253" s="837" t="s">
        <v>1483</v>
      </c>
      <c r="AH253" s="838" t="s">
        <v>1387</v>
      </c>
      <c r="AI253" s="837"/>
      <c r="AJ253" s="837" t="s">
        <v>1404</v>
      </c>
      <c r="AK253" s="837" t="s">
        <v>1513</v>
      </c>
    </row>
    <row r="254" spans="1:37" ht="18.600000000000001" customHeight="1" thickBot="1" x14ac:dyDescent="0.4">
      <c r="C254" s="297">
        <v>1259700</v>
      </c>
      <c r="D254" s="438">
        <v>500</v>
      </c>
      <c r="E254" s="261" t="str">
        <f>+VLOOKUP(D254,'Conteo VACIO'!$A$8:$D$226,4,0)</f>
        <v>A2A</v>
      </c>
      <c r="F254" s="323" t="s">
        <v>746</v>
      </c>
      <c r="G254" s="356" t="s">
        <v>1395</v>
      </c>
      <c r="H254" s="261"/>
      <c r="I254" s="476"/>
      <c r="J254" s="310"/>
      <c r="L254" s="902">
        <f t="shared" ref="L254:L262" si="75">+IFERROR(Q254/P254,0)</f>
        <v>0.55555555555555558</v>
      </c>
      <c r="M254" s="948">
        <f t="shared" ref="M254:M262" si="76">+IFERROR(U254/X254,0)</f>
        <v>0.55555555555555558</v>
      </c>
      <c r="O254" s="957">
        <f t="shared" ref="O254:O262" si="77">IF(P254-Q254-R254&lt;0,0,P254-Q254-R254)</f>
        <v>0.79999999999999982</v>
      </c>
      <c r="P254" s="380">
        <f>+IFERROR(AE254*AK254,0)</f>
        <v>1.7999999999999998</v>
      </c>
      <c r="Q254" s="346">
        <f>+(Z254+(AA254/AJ254))</f>
        <v>1</v>
      </c>
      <c r="R254" s="688"/>
      <c r="T254" s="401">
        <f>+IFERROR(SUMIFS('Stock CD'!D:D,D343,'Stock CD'!C:C),0)</f>
        <v>0</v>
      </c>
      <c r="U254" s="404">
        <f t="shared" ref="U254:U262" si="78">+T254+Q254</f>
        <v>1</v>
      </c>
      <c r="W254" s="407">
        <f>+IFERROR(VLOOKUP(D254,'Stock CD'!B:I,8,0)/AB254,0)</f>
        <v>0</v>
      </c>
      <c r="X254" s="408">
        <f t="shared" ref="X254:X262" si="79">+W254+P254</f>
        <v>1.7999999999999998</v>
      </c>
      <c r="Z254" s="305">
        <f>+SUMIFS('Conteo VACIO'!F:F,'Conteo VACIO'!$A:$A,$D254)</f>
        <v>1</v>
      </c>
      <c r="AA254" s="305">
        <f>+SUMIFS('Conteo VACIO'!G:G,'Conteo VACIO'!$A:$A,$D254)</f>
        <v>0</v>
      </c>
      <c r="AB254" s="534">
        <f>200*12</f>
        <v>2400</v>
      </c>
      <c r="AD254" s="398" t="s">
        <v>1498</v>
      </c>
      <c r="AE254" s="414">
        <f>+IF(D254="Bomb-CH",SUMIFS('Est Madre CH 10-25'!C:C,'Est Madre CH 10-25'!G:G,"SI")/AB254,0)+IFERROR(VLOOKUP(D254,'Est Madre LK 10-25'!$A:$C,3,)/AB254,IFERROR(VLOOKUP(D254,'Est Madre CH 10-25'!$A:$C,3,)/AB254,0))</f>
        <v>0.6</v>
      </c>
      <c r="AF254" s="446">
        <v>1</v>
      </c>
      <c r="AG254" s="261">
        <v>12</v>
      </c>
      <c r="AH254" s="326">
        <v>0</v>
      </c>
      <c r="AI254" s="600"/>
      <c r="AJ254" s="323">
        <v>200</v>
      </c>
      <c r="AK254" s="333">
        <v>3</v>
      </c>
    </row>
    <row r="255" spans="1:37" ht="18.600000000000001" customHeight="1" thickBot="1" x14ac:dyDescent="0.4">
      <c r="C255" s="302">
        <v>1260700</v>
      </c>
      <c r="D255" s="439">
        <v>506</v>
      </c>
      <c r="E255" s="260" t="str">
        <f>+VLOOKUP(D255,'Conteo VACIO'!$A$8:$D$226,4,0)</f>
        <v>V2A</v>
      </c>
      <c r="F255" s="322" t="s">
        <v>746</v>
      </c>
      <c r="G255" s="329" t="s">
        <v>1396</v>
      </c>
      <c r="H255" s="506"/>
      <c r="I255" s="477"/>
      <c r="J255" s="310"/>
      <c r="L255" s="903">
        <f t="shared" si="75"/>
        <v>1.9227176220806796</v>
      </c>
      <c r="M255" s="949">
        <f t="shared" si="76"/>
        <v>1.9227176220806796</v>
      </c>
      <c r="O255" s="957">
        <f t="shared" si="77"/>
        <v>0</v>
      </c>
      <c r="P255" s="381">
        <f t="shared" ref="P255:P262" si="80">+IFERROR(AE255*AK255,0)</f>
        <v>23.549999999999997</v>
      </c>
      <c r="Q255" s="345">
        <f t="shared" ref="Q255:Q262" si="81">+(Z255+(AA255/AJ255))</f>
        <v>45.28</v>
      </c>
      <c r="R255" s="689"/>
      <c r="T255" s="402">
        <f>+IFERROR(SUMIFS('Stock CD'!D:D,D344,'Stock CD'!C:C),0)</f>
        <v>0</v>
      </c>
      <c r="U255" s="405">
        <f t="shared" si="78"/>
        <v>45.28</v>
      </c>
      <c r="W255" s="402">
        <f>+IFERROR(VLOOKUP(D255,'Stock CD'!B:I,8,0)/AB255,0)</f>
        <v>0</v>
      </c>
      <c r="X255" s="405">
        <f t="shared" si="79"/>
        <v>23.549999999999997</v>
      </c>
      <c r="Z255" s="305">
        <f>+SUMIFS('Conteo VACIO'!F:F,'Conteo VACIO'!$A:$A,$D255)</f>
        <v>45</v>
      </c>
      <c r="AA255" s="305">
        <f>+SUMIFS('Conteo VACIO'!G:G,'Conteo VACIO'!$A:$A,$D255)</f>
        <v>56</v>
      </c>
      <c r="AB255" s="517">
        <f>200*12</f>
        <v>2400</v>
      </c>
      <c r="AD255" s="430" t="s">
        <v>1498</v>
      </c>
      <c r="AE255" s="414">
        <f>+IF(D255="Bomb-CH",SUMIFS('Est Madre CH 10-25'!C:C,'Est Madre CH 10-25'!G:G,"SI")/AB255,0)+IFERROR(VLOOKUP(D255,'Est Madre LK 10-25'!$A:$C,3,)/AB255,IFERROR(VLOOKUP(D255,'Est Madre CH 10-25'!$A:$C,3,)/AB255,0))</f>
        <v>7.85</v>
      </c>
      <c r="AF255" s="445">
        <v>1</v>
      </c>
      <c r="AG255" s="260">
        <v>12</v>
      </c>
      <c r="AH255" s="325">
        <v>78.77</v>
      </c>
      <c r="AI255" s="601"/>
      <c r="AJ255" s="322">
        <v>200</v>
      </c>
      <c r="AK255" s="335">
        <v>3</v>
      </c>
    </row>
    <row r="256" spans="1:37" ht="18.600000000000001" customHeight="1" thickBot="1" x14ac:dyDescent="0.4">
      <c r="C256" s="302">
        <v>1279700</v>
      </c>
      <c r="D256" s="439">
        <v>510</v>
      </c>
      <c r="E256" s="260" t="str">
        <f>+VLOOKUP(D256,'Conteo VACIO'!$A$8:$D$226,4,0)</f>
        <v>CAPL2G</v>
      </c>
      <c r="F256" s="322" t="s">
        <v>746</v>
      </c>
      <c r="G256" s="329" t="s">
        <v>1397</v>
      </c>
      <c r="H256" s="506"/>
      <c r="I256" s="477"/>
      <c r="J256" s="310"/>
      <c r="L256" s="903">
        <f t="shared" si="75"/>
        <v>1.889714993804213</v>
      </c>
      <c r="M256" s="949">
        <f t="shared" si="76"/>
        <v>1.889714993804213</v>
      </c>
      <c r="O256" s="957">
        <f t="shared" si="77"/>
        <v>0</v>
      </c>
      <c r="P256" s="381">
        <f t="shared" si="80"/>
        <v>8.07</v>
      </c>
      <c r="Q256" s="345">
        <f t="shared" si="81"/>
        <v>15.25</v>
      </c>
      <c r="R256" s="689"/>
      <c r="T256" s="402">
        <f>+IFERROR(SUMIFS('Stock CD'!D:D,D345,'Stock CD'!C:C),0)</f>
        <v>0</v>
      </c>
      <c r="U256" s="405">
        <f t="shared" si="78"/>
        <v>15.25</v>
      </c>
      <c r="W256" s="402">
        <f>+IFERROR(VLOOKUP(D256,'Stock CD'!B:I,8,0)/AB256,0)</f>
        <v>0</v>
      </c>
      <c r="X256" s="405">
        <f t="shared" si="79"/>
        <v>8.07</v>
      </c>
      <c r="Z256" s="305">
        <f>+SUMIFS('Conteo VACIO'!F:F,'Conteo VACIO'!$A:$A,$D256)</f>
        <v>15</v>
      </c>
      <c r="AA256" s="305">
        <f>+SUMIFS('Conteo VACIO'!G:G,'Conteo VACIO'!$A:$A,$D256)</f>
        <v>50</v>
      </c>
      <c r="AB256" s="517">
        <v>2400</v>
      </c>
      <c r="AD256" s="430" t="s">
        <v>1498</v>
      </c>
      <c r="AE256" s="414">
        <f>+IF(D256="Bomb-CH",SUMIFS('Est Madre CH 10-25'!C:C,'Est Madre CH 10-25'!G:G,"SI")/AB256,0)+IFERROR(VLOOKUP(D256,'Est Madre LK 10-25'!$A:$C,3,)/AB256,IFERROR(VLOOKUP(D256,'Est Madre CH 10-25'!$A:$C,3,)/AB256,0))</f>
        <v>2.69</v>
      </c>
      <c r="AF256" s="445">
        <v>1</v>
      </c>
      <c r="AG256" s="260">
        <v>12</v>
      </c>
      <c r="AH256" s="325">
        <v>0</v>
      </c>
      <c r="AI256" s="601"/>
      <c r="AJ256" s="322">
        <v>200</v>
      </c>
      <c r="AK256" s="335">
        <v>3</v>
      </c>
    </row>
    <row r="257" spans="1:37" ht="18.600000000000001" thickBot="1" x14ac:dyDescent="0.4">
      <c r="C257" s="302">
        <v>2326700</v>
      </c>
      <c r="D257" s="439">
        <v>706</v>
      </c>
      <c r="E257" s="260" t="str">
        <f>+VLOOKUP(D257,'Conteo VACIO'!$A$8:$D$226,4,0)</f>
        <v>V2D</v>
      </c>
      <c r="F257" s="322" t="s">
        <v>1041</v>
      </c>
      <c r="G257" s="329" t="s">
        <v>1406</v>
      </c>
      <c r="H257" s="506"/>
      <c r="I257" s="477"/>
      <c r="J257" s="310"/>
      <c r="L257" s="903">
        <f t="shared" si="75"/>
        <v>0.29156064461407971</v>
      </c>
      <c r="M257" s="949">
        <f t="shared" si="76"/>
        <v>0.29156064461407971</v>
      </c>
      <c r="O257" s="957">
        <f t="shared" si="77"/>
        <v>33.410000000000004</v>
      </c>
      <c r="P257" s="381">
        <f t="shared" si="80"/>
        <v>47.160000000000004</v>
      </c>
      <c r="Q257" s="345">
        <f t="shared" si="81"/>
        <v>13.75</v>
      </c>
      <c r="R257" s="689"/>
      <c r="T257" s="402">
        <f>+IFERROR(SUMIFS('Stock CD'!D:D,D346,'Stock CD'!C:C),0)</f>
        <v>0</v>
      </c>
      <c r="U257" s="405">
        <f t="shared" si="78"/>
        <v>13.75</v>
      </c>
      <c r="W257" s="402">
        <f>+IFERROR(VLOOKUP(D257,'Stock CD'!B:I,8,0)/AB257,0)</f>
        <v>0</v>
      </c>
      <c r="X257" s="405">
        <f t="shared" si="79"/>
        <v>47.160000000000004</v>
      </c>
      <c r="Z257" s="305">
        <f>+SUMIFS('Conteo VACIO'!F:F,'Conteo VACIO'!$A:$A,$D257)</f>
        <v>10</v>
      </c>
      <c r="AA257" s="305">
        <f>+SUMIFS('Conteo VACIO'!G:G,'Conteo VACIO'!$A:$A,$D257)</f>
        <v>750</v>
      </c>
      <c r="AB257" s="517">
        <v>200</v>
      </c>
      <c r="AD257" s="430" t="s">
        <v>1498</v>
      </c>
      <c r="AE257" s="414">
        <f>+IF(D257="Bomb-CH",SUMIFS('Est Madre CH 10-25'!C:C,'Est Madre CH 10-25'!G:G,"SI")/AB257,0)+IFERROR(VLOOKUP(D257,'Est Madre LK 10-25'!$A:$C,3,)/AB257,IFERROR(VLOOKUP(D257,'Est Madre CH 10-25'!$A:$C,3,)/AB257,0))</f>
        <v>15.72</v>
      </c>
      <c r="AF257" s="445">
        <v>1</v>
      </c>
      <c r="AG257" s="260">
        <v>20</v>
      </c>
      <c r="AH257" s="325">
        <v>717.08130000000006</v>
      </c>
      <c r="AI257" s="601"/>
      <c r="AJ257" s="322">
        <v>200</v>
      </c>
      <c r="AK257" s="335">
        <v>3</v>
      </c>
    </row>
    <row r="258" spans="1:37" ht="18.600000000000001" thickBot="1" x14ac:dyDescent="0.4">
      <c r="C258" s="302">
        <v>1262700</v>
      </c>
      <c r="D258" s="439">
        <v>555</v>
      </c>
      <c r="E258" s="260" t="str">
        <f>+VLOOKUP(D258,'Conteo VACIO'!$A$8:$D$226,4,0)</f>
        <v>V2E</v>
      </c>
      <c r="F258" s="322" t="s">
        <v>746</v>
      </c>
      <c r="G258" s="421" t="s">
        <v>1407</v>
      </c>
      <c r="H258" s="506"/>
      <c r="I258" s="490"/>
      <c r="J258" s="300"/>
      <c r="L258" s="903">
        <f t="shared" si="75"/>
        <v>0.27777777777777773</v>
      </c>
      <c r="M258" s="949">
        <f t="shared" si="76"/>
        <v>0.27777777777777773</v>
      </c>
      <c r="O258" s="957">
        <f t="shared" si="77"/>
        <v>7.8000000000000007</v>
      </c>
      <c r="P258" s="381">
        <f t="shared" si="80"/>
        <v>10.8</v>
      </c>
      <c r="Q258" s="345">
        <f t="shared" si="81"/>
        <v>3</v>
      </c>
      <c r="R258" s="689"/>
      <c r="T258" s="402">
        <f>+IFERROR(SUMIFS('Stock CD'!D:D,D347,'Stock CD'!C:C),0)</f>
        <v>0</v>
      </c>
      <c r="U258" s="405">
        <f t="shared" si="78"/>
        <v>3</v>
      </c>
      <c r="W258" s="402">
        <f>+IFERROR(VLOOKUP(D258,'Stock CD'!B:I,8,0)/AB258,0)</f>
        <v>0</v>
      </c>
      <c r="X258" s="405">
        <f t="shared" si="79"/>
        <v>10.8</v>
      </c>
      <c r="Z258" s="305">
        <f>+SUMIFS('Conteo VACIO'!F:F,'Conteo VACIO'!$A:$A,$D258)</f>
        <v>3</v>
      </c>
      <c r="AA258" s="305">
        <f>+SUMIFS('Conteo VACIO'!G:G,'Conteo VACIO'!$A:$A,$D258)</f>
        <v>0</v>
      </c>
      <c r="AB258" s="517">
        <v>500</v>
      </c>
      <c r="AD258" s="430" t="s">
        <v>1498</v>
      </c>
      <c r="AE258" s="414">
        <f>+IF(D258="Bomb-CH",SUMIFS('Est Madre CH 10-25'!C:C,'Est Madre CH 10-25'!G:G,"SI")/AB258,0)+IFERROR(VLOOKUP(D258,'Est Madre LK 10-25'!$A:$C,3,)/AB258,IFERROR(VLOOKUP(D258,'Est Madre CH 10-25'!$A:$C,3,)/AB258,0))</f>
        <v>3.6</v>
      </c>
      <c r="AF258" s="445">
        <v>1</v>
      </c>
      <c r="AG258" s="260">
        <v>16</v>
      </c>
      <c r="AH258" s="325">
        <v>0</v>
      </c>
      <c r="AI258" s="601"/>
      <c r="AJ258" s="322">
        <v>200</v>
      </c>
      <c r="AK258" s="335">
        <v>3</v>
      </c>
    </row>
    <row r="259" spans="1:37" ht="18.600000000000001" thickBot="1" x14ac:dyDescent="0.4">
      <c r="C259" s="302">
        <v>1262700</v>
      </c>
      <c r="D259" s="439">
        <v>557</v>
      </c>
      <c r="E259" s="260" t="str">
        <f>+VLOOKUP(D259,'Conteo VACIO'!$A$8:$D$226,4,0)</f>
        <v>V1A</v>
      </c>
      <c r="F259" s="322" t="s">
        <v>746</v>
      </c>
      <c r="G259" s="421" t="s">
        <v>1408</v>
      </c>
      <c r="H259" s="260"/>
      <c r="I259" s="490"/>
      <c r="J259" s="300"/>
      <c r="L259" s="903">
        <f t="shared" si="75"/>
        <v>0</v>
      </c>
      <c r="M259" s="949">
        <f t="shared" si="76"/>
        <v>0</v>
      </c>
      <c r="O259" s="957">
        <f t="shared" si="77"/>
        <v>0.27</v>
      </c>
      <c r="P259" s="381">
        <f t="shared" si="80"/>
        <v>0.27</v>
      </c>
      <c r="Q259" s="345">
        <f t="shared" si="81"/>
        <v>0</v>
      </c>
      <c r="R259" s="689"/>
      <c r="T259" s="402">
        <f>+IFERROR(SUMIFS('Stock CD'!D:D,D348,'Stock CD'!C:C),0)</f>
        <v>0</v>
      </c>
      <c r="U259" s="405">
        <f t="shared" si="78"/>
        <v>0</v>
      </c>
      <c r="W259" s="402">
        <f>+IFERROR(VLOOKUP(D259,'Stock CD'!B:I,8,0)/AB259,0)</f>
        <v>0</v>
      </c>
      <c r="X259" s="405">
        <f t="shared" si="79"/>
        <v>0.27</v>
      </c>
      <c r="Z259" s="305">
        <f>+SUMIFS('Conteo VACIO'!F:F,'Conteo VACIO'!$A:$A,$D259)</f>
        <v>0</v>
      </c>
      <c r="AA259" s="305">
        <f>+SUMIFS('Conteo VACIO'!G:G,'Conteo VACIO'!$A:$A,$D259)</f>
        <v>0</v>
      </c>
      <c r="AB259" s="517">
        <f>200*16</f>
        <v>3200</v>
      </c>
      <c r="AD259" s="430" t="s">
        <v>1498</v>
      </c>
      <c r="AE259" s="414">
        <f>+IF(D259="Bomb-CH",SUMIFS('Est Madre CH 10-25'!C:C,'Est Madre CH 10-25'!G:G,"SI")/AB259,0)+IFERROR(VLOOKUP(D259,'Est Madre LK 10-25'!$A:$C,3,)/AB259,IFERROR(VLOOKUP(D259,'Est Madre CH 10-25'!$A:$C,3,)/AB259,0))</f>
        <v>0.09</v>
      </c>
      <c r="AF259" s="445">
        <v>1</v>
      </c>
      <c r="AG259" s="260">
        <v>16</v>
      </c>
      <c r="AH259" s="325">
        <v>0</v>
      </c>
      <c r="AI259" s="601"/>
      <c r="AJ259" s="322">
        <v>200</v>
      </c>
      <c r="AK259" s="335">
        <v>3</v>
      </c>
    </row>
    <row r="260" spans="1:37" ht="18.600000000000001" thickBot="1" x14ac:dyDescent="0.4">
      <c r="C260" s="302">
        <v>1262700</v>
      </c>
      <c r="D260" s="439">
        <v>558</v>
      </c>
      <c r="E260" s="260" t="str">
        <f>+VLOOKUP(D260,'Conteo VACIO'!$A$8:$D$226,4,0)</f>
        <v>V2B</v>
      </c>
      <c r="F260" s="322" t="s">
        <v>746</v>
      </c>
      <c r="G260" s="421" t="s">
        <v>1409</v>
      </c>
      <c r="H260" s="506"/>
      <c r="I260" s="490"/>
      <c r="J260" s="300"/>
      <c r="L260" s="903">
        <f t="shared" si="75"/>
        <v>1.6321406151914626</v>
      </c>
      <c r="M260" s="949">
        <f t="shared" si="76"/>
        <v>1.6321406151914626</v>
      </c>
      <c r="O260" s="957">
        <f t="shared" si="77"/>
        <v>0</v>
      </c>
      <c r="P260" s="381">
        <f t="shared" si="80"/>
        <v>1.99125</v>
      </c>
      <c r="Q260" s="345">
        <f t="shared" si="81"/>
        <v>3.25</v>
      </c>
      <c r="R260" s="689"/>
      <c r="T260" s="402">
        <f>+IFERROR(SUMIFS('Stock CD'!D:D,D349,'Stock CD'!C:C),0)</f>
        <v>0</v>
      </c>
      <c r="U260" s="405">
        <f t="shared" si="78"/>
        <v>3.25</v>
      </c>
      <c r="W260" s="402">
        <f>+IFERROR(VLOOKUP(D260,'Stock CD'!B:I,8,0)/AB260,0)</f>
        <v>0</v>
      </c>
      <c r="X260" s="405">
        <f t="shared" si="79"/>
        <v>1.99125</v>
      </c>
      <c r="Z260" s="305">
        <f>+SUMIFS('Conteo VACIO'!F:F,'Conteo VACIO'!$A:$A,$D260)</f>
        <v>3</v>
      </c>
      <c r="AA260" s="305">
        <f>+SUMIFS('Conteo VACIO'!G:G,'Conteo VACIO'!$A:$A,$D260)</f>
        <v>50</v>
      </c>
      <c r="AB260" s="517">
        <f>200*16</f>
        <v>3200</v>
      </c>
      <c r="AD260" s="430" t="s">
        <v>1498</v>
      </c>
      <c r="AE260" s="414">
        <f>+IF(D260="Bomb-CH",SUMIFS('Est Madre CH 10-25'!C:C,'Est Madre CH 10-25'!G:G,"SI")/AB260,0)+IFERROR(VLOOKUP(D260,'Est Madre LK 10-25'!$A:$C,3,)/AB260,IFERROR(VLOOKUP(D260,'Est Madre CH 10-25'!$A:$C,3,)/AB260,0))</f>
        <v>0.66374999999999995</v>
      </c>
      <c r="AF260" s="445">
        <v>1</v>
      </c>
      <c r="AG260" s="260">
        <v>16</v>
      </c>
      <c r="AH260" s="325">
        <v>0</v>
      </c>
      <c r="AI260" s="601"/>
      <c r="AJ260" s="322">
        <v>200</v>
      </c>
      <c r="AK260" s="335">
        <v>3</v>
      </c>
    </row>
    <row r="261" spans="1:37" ht="18.600000000000001" thickBot="1" x14ac:dyDescent="0.4">
      <c r="C261" s="302">
        <v>1262700</v>
      </c>
      <c r="D261" s="439">
        <v>654</v>
      </c>
      <c r="E261" s="260" t="str">
        <f>+VLOOKUP(D261,'Conteo VACIO'!$A$8:$D$226,4,0)</f>
        <v>V1B</v>
      </c>
      <c r="F261" s="322" t="s">
        <v>746</v>
      </c>
      <c r="G261" s="421" t="s">
        <v>1410</v>
      </c>
      <c r="H261" s="260"/>
      <c r="I261" s="490"/>
      <c r="J261" s="300"/>
      <c r="L261" s="903">
        <f t="shared" si="75"/>
        <v>0.55555555555555558</v>
      </c>
      <c r="M261" s="949">
        <f t="shared" si="76"/>
        <v>0.55555555555555558</v>
      </c>
      <c r="O261" s="957">
        <f t="shared" si="77"/>
        <v>0.38</v>
      </c>
      <c r="P261" s="381">
        <f t="shared" si="80"/>
        <v>0.85499999999999998</v>
      </c>
      <c r="Q261" s="345">
        <f t="shared" si="81"/>
        <v>0.47499999999999998</v>
      </c>
      <c r="R261" s="689"/>
      <c r="T261" s="402">
        <f>+IFERROR(SUMIFS('Stock CD'!D:D,D350,'Stock CD'!C:C),0)</f>
        <v>0</v>
      </c>
      <c r="U261" s="405">
        <f t="shared" si="78"/>
        <v>0.47499999999999998</v>
      </c>
      <c r="W261" s="402">
        <f>+IFERROR(VLOOKUP(D261,'Stock CD'!B:I,8,0)/AB261,0)</f>
        <v>0</v>
      </c>
      <c r="X261" s="405">
        <f t="shared" si="79"/>
        <v>0.85499999999999998</v>
      </c>
      <c r="Z261" s="305">
        <f>+SUMIFS('Conteo VACIO'!F:F,'Conteo VACIO'!$A:$A,$D261)</f>
        <v>0</v>
      </c>
      <c r="AA261" s="305">
        <f>+SUMIFS('Conteo VACIO'!G:G,'Conteo VACIO'!$A:$A,$D261)</f>
        <v>95</v>
      </c>
      <c r="AB261" s="517">
        <f>200*16</f>
        <v>3200</v>
      </c>
      <c r="AD261" s="430" t="s">
        <v>1498</v>
      </c>
      <c r="AE261" s="414">
        <f>+IF(D261="Bomb-CH",SUMIFS('Est Madre CH 10-25'!C:C,'Est Madre CH 10-25'!G:G,"SI")/AB261,0)+IFERROR(VLOOKUP(D261,'Est Madre LK 10-25'!$A:$C,3,)/AB261,IFERROR(VLOOKUP(D261,'Est Madre CH 10-25'!$A:$C,3,)/AB261,0))</f>
        <v>0.28499999999999998</v>
      </c>
      <c r="AF261" s="445">
        <v>1</v>
      </c>
      <c r="AG261" s="260">
        <v>16</v>
      </c>
      <c r="AH261" s="325">
        <v>0</v>
      </c>
      <c r="AI261" s="601"/>
      <c r="AJ261" s="322">
        <v>200</v>
      </c>
      <c r="AK261" s="335">
        <v>3</v>
      </c>
    </row>
    <row r="262" spans="1:37" ht="18.600000000000001" thickBot="1" x14ac:dyDescent="0.4">
      <c r="C262" s="298">
        <v>2326700</v>
      </c>
      <c r="D262" s="449" t="s">
        <v>1658</v>
      </c>
      <c r="E262" s="262" t="str">
        <f>+VLOOKUP(D262,'Conteo VACIO'!$A$8:$D$226,4,0)</f>
        <v>A2C</v>
      </c>
      <c r="F262" s="324" t="s">
        <v>1041</v>
      </c>
      <c r="G262" s="422" t="s">
        <v>1411</v>
      </c>
      <c r="H262" s="262"/>
      <c r="I262" s="491"/>
      <c r="J262" s="300"/>
      <c r="L262" s="904">
        <f t="shared" si="75"/>
        <v>11.851851851851851</v>
      </c>
      <c r="M262" s="950">
        <f t="shared" si="76"/>
        <v>11.851851851851851</v>
      </c>
      <c r="O262" s="957">
        <f t="shared" si="77"/>
        <v>0</v>
      </c>
      <c r="P262" s="382">
        <f t="shared" si="80"/>
        <v>0.67500000000000004</v>
      </c>
      <c r="Q262" s="347">
        <f t="shared" si="81"/>
        <v>8</v>
      </c>
      <c r="R262" s="690"/>
      <c r="T262" s="403">
        <f>+IFERROR(SUMIFS('Stock CD'!D:D,D351,'Stock CD'!C:C),0)</f>
        <v>0</v>
      </c>
      <c r="U262" s="406">
        <f t="shared" si="78"/>
        <v>8</v>
      </c>
      <c r="W262" s="403">
        <f>+IFERROR(VLOOKUP(D262,'Stock CD'!B:I,8,0)/AB262,0)</f>
        <v>0</v>
      </c>
      <c r="X262" s="406">
        <f t="shared" si="79"/>
        <v>0.67500000000000004</v>
      </c>
      <c r="Z262" s="611">
        <f>+SUMIFS('Conteo VACIO'!F:F,'Conteo VACIO'!$A:$A,$D262)</f>
        <v>8</v>
      </c>
      <c r="AA262" s="611">
        <f>+SUMIFS('Conteo VACIO'!G:G,'Conteo VACIO'!$A:$A,$D262)</f>
        <v>0</v>
      </c>
      <c r="AB262" s="612">
        <f>200*16</f>
        <v>3200</v>
      </c>
      <c r="AD262" s="613" t="s">
        <v>1498</v>
      </c>
      <c r="AE262" s="530">
        <f>+IF(D262="Bomb-CH",SUMIFS('Est Madre CH 10-25'!C:C,'Est Madre CH 10-25'!G:G,"SI")/AB262,0)+IFERROR(VLOOKUP(D262,'Est Madre LK 10-25'!$A:$C,3,)/AB262,IFERROR(VLOOKUP(D262,'Est Madre CH 10-25'!$A:$C,3,)/AB262,0))</f>
        <v>0.22500000000000001</v>
      </c>
      <c r="AF262" s="823">
        <v>1</v>
      </c>
      <c r="AG262" s="538">
        <v>16</v>
      </c>
      <c r="AH262" s="539">
        <v>717.08130000000006</v>
      </c>
      <c r="AI262" s="602"/>
      <c r="AJ262" s="608">
        <v>200</v>
      </c>
      <c r="AK262" s="614">
        <v>3</v>
      </c>
    </row>
    <row r="263" spans="1:37" ht="16.2" customHeight="1" x14ac:dyDescent="0.35">
      <c r="C263" s="294"/>
      <c r="D263" s="294"/>
      <c r="F263" s="299"/>
      <c r="G263" s="300"/>
      <c r="H263" s="631"/>
      <c r="I263" s="300"/>
      <c r="J263" s="300"/>
      <c r="L263" s="300"/>
      <c r="M263" s="349"/>
      <c r="O263" s="687"/>
      <c r="P263" s="383"/>
      <c r="Q263" s="338"/>
      <c r="R263" s="687"/>
      <c r="S263" s="719"/>
      <c r="T263" s="349"/>
      <c r="U263" s="349"/>
      <c r="W263" s="349"/>
      <c r="X263" s="349"/>
      <c r="Z263" s="849"/>
      <c r="AA263" s="860"/>
      <c r="AB263" s="850"/>
      <c r="AD263" s="851"/>
      <c r="AE263" s="852"/>
      <c r="AF263" s="857"/>
      <c r="AG263" s="853"/>
      <c r="AH263" s="854"/>
      <c r="AI263" s="855"/>
      <c r="AJ263" s="719"/>
      <c r="AK263" s="851"/>
    </row>
    <row r="264" spans="1:37" ht="24" thickBot="1" x14ac:dyDescent="0.5">
      <c r="C264" s="294"/>
      <c r="D264" s="294"/>
      <c r="F264" s="299"/>
      <c r="G264" s="457" t="s">
        <v>1496</v>
      </c>
      <c r="H264" s="501"/>
      <c r="I264" s="457"/>
      <c r="J264" s="457"/>
      <c r="L264" s="454"/>
      <c r="M264" s="349"/>
      <c r="O264" s="687"/>
      <c r="P264" s="383"/>
      <c r="Q264" s="338"/>
      <c r="R264" s="687"/>
      <c r="T264" s="349"/>
      <c r="U264" s="349"/>
      <c r="W264" s="349"/>
      <c r="X264" s="349"/>
      <c r="Z264" s="309"/>
      <c r="AA264" s="316"/>
      <c r="AB264" s="389"/>
      <c r="AE264" s="386"/>
      <c r="AG264" s="127"/>
      <c r="AH264" s="350"/>
      <c r="AI264" s="599"/>
    </row>
    <row r="265" spans="1:37" ht="29.4" thickBot="1" x14ac:dyDescent="0.4">
      <c r="C265" s="294"/>
      <c r="D265" s="294"/>
      <c r="F265" s="299"/>
      <c r="G265" s="686" t="s">
        <v>1470</v>
      </c>
      <c r="H265" s="937" t="s">
        <v>1497</v>
      </c>
      <c r="I265" s="456"/>
      <c r="J265" s="941"/>
      <c r="L265" s="484"/>
      <c r="M265" s="351"/>
      <c r="N265" s="208"/>
      <c r="O265" s="384"/>
      <c r="P265" s="370"/>
      <c r="Q265" s="344"/>
      <c r="R265" s="384"/>
      <c r="S265" s="891"/>
      <c r="T265" s="349"/>
      <c r="U265" s="349"/>
      <c r="V265" s="208"/>
      <c r="W265" s="349"/>
      <c r="X265" s="349"/>
      <c r="Z265" s="893"/>
      <c r="AA265" s="894"/>
      <c r="AB265" s="885"/>
      <c r="AD265" s="886"/>
      <c r="AE265" s="887"/>
      <c r="AF265" s="892"/>
      <c r="AG265" s="888"/>
      <c r="AH265" s="889"/>
      <c r="AI265" s="890"/>
      <c r="AJ265" s="880"/>
      <c r="AK265" s="886"/>
    </row>
    <row r="266" spans="1:37" ht="74.7" customHeight="1" thickBot="1" x14ac:dyDescent="0.35">
      <c r="C266" s="452" t="s">
        <v>1293</v>
      </c>
      <c r="D266" s="312" t="s">
        <v>748</v>
      </c>
      <c r="E266" s="558" t="s">
        <v>1198</v>
      </c>
      <c r="F266" s="312" t="s">
        <v>1018</v>
      </c>
      <c r="G266" s="423" t="s">
        <v>1401</v>
      </c>
      <c r="H266" s="502" t="s">
        <v>1500</v>
      </c>
      <c r="I266" s="321" t="s">
        <v>1515</v>
      </c>
      <c r="J266" s="317"/>
      <c r="L266" s="291" t="s">
        <v>1388</v>
      </c>
      <c r="M266" s="970" t="s">
        <v>1439</v>
      </c>
      <c r="O266" s="321" t="s">
        <v>1479</v>
      </c>
      <c r="P266" s="314" t="s">
        <v>1512</v>
      </c>
      <c r="Q266" s="314" t="s">
        <v>1478</v>
      </c>
      <c r="R266" s="710" t="s">
        <v>1782</v>
      </c>
      <c r="T266" s="291" t="s">
        <v>1463</v>
      </c>
      <c r="U266" s="970" t="s">
        <v>1464</v>
      </c>
      <c r="W266" s="296" t="s">
        <v>1467</v>
      </c>
      <c r="X266" s="291" t="s">
        <v>1468</v>
      </c>
      <c r="Z266" s="836" t="s">
        <v>1197</v>
      </c>
      <c r="AA266" s="837" t="s">
        <v>1481</v>
      </c>
      <c r="AB266" s="835" t="s">
        <v>857</v>
      </c>
      <c r="AD266" s="837" t="s">
        <v>1403</v>
      </c>
      <c r="AE266" s="837" t="s">
        <v>1482</v>
      </c>
      <c r="AF266" s="835" t="s">
        <v>1480</v>
      </c>
      <c r="AG266" s="837" t="s">
        <v>1483</v>
      </c>
      <c r="AH266" s="837" t="s">
        <v>1387</v>
      </c>
      <c r="AI266" s="837"/>
      <c r="AJ266" s="837" t="s">
        <v>1404</v>
      </c>
      <c r="AK266" s="837" t="s">
        <v>1513</v>
      </c>
    </row>
    <row r="267" spans="1:37" ht="18.600000000000001" thickBot="1" x14ac:dyDescent="0.4">
      <c r="A267" t="s">
        <v>1470</v>
      </c>
      <c r="C267" s="297">
        <v>1259700</v>
      </c>
      <c r="D267" s="438">
        <v>500</v>
      </c>
      <c r="E267" s="261" t="str">
        <f>+VLOOKUP(D267,'Conteo VACIO'!$A$8:$D$226,4,0)</f>
        <v>A2A</v>
      </c>
      <c r="F267" s="323" t="s">
        <v>746</v>
      </c>
      <c r="G267" s="356" t="s">
        <v>1412</v>
      </c>
      <c r="H267" s="632"/>
      <c r="I267" s="476"/>
      <c r="J267" s="310"/>
      <c r="L267" s="902">
        <f t="shared" ref="L267:L275" si="82">+IFERROR(Q267/P267,0)</f>
        <v>0.27777777777777779</v>
      </c>
      <c r="M267" s="948">
        <f t="shared" ref="M267:M275" si="83">+IFERROR(U267/X267,0)</f>
        <v>0.27777777777777779</v>
      </c>
      <c r="O267" s="957">
        <f t="shared" ref="O267:O275" si="84">IF(P267-Q267-R267&lt;0,0,P267-Q267-R267)</f>
        <v>2.5999999999999996</v>
      </c>
      <c r="P267" s="486">
        <f t="shared" ref="P267:P275" si="85">+IFERROR(AE267*AK267,0)</f>
        <v>3.5999999999999996</v>
      </c>
      <c r="Q267" s="346">
        <f t="shared" ref="Q267:Q275" si="86">+(Z267+(AA267/AJ267))</f>
        <v>1</v>
      </c>
      <c r="R267" s="751"/>
      <c r="T267" s="401">
        <f>+IFERROR(SUMIFS('Stock CD'!D:D,D356,'Stock CD'!C:C),0)</f>
        <v>0</v>
      </c>
      <c r="U267" s="404">
        <f t="shared" ref="U267:U275" si="87">+T267+Q267</f>
        <v>1</v>
      </c>
      <c r="W267" s="401">
        <f>+IFERROR(VLOOKUP(D267,'Stock CD'!B:I,8,0)/AB267,0)</f>
        <v>0</v>
      </c>
      <c r="X267" s="404">
        <f t="shared" ref="X267:X275" si="88">+W267+P267</f>
        <v>3.5999999999999996</v>
      </c>
      <c r="Z267" s="305">
        <f>+SUMIFS('Conteo VACIO'!F:F,'Conteo VACIO'!$A:$A,$D267)</f>
        <v>1</v>
      </c>
      <c r="AA267" s="305">
        <f>+SUMIFS('Conteo VACIO'!G:G,'Conteo VACIO'!$A:$A,$D267)</f>
        <v>0</v>
      </c>
      <c r="AB267" s="534">
        <f>100*12</f>
        <v>1200</v>
      </c>
      <c r="AD267" s="398" t="s">
        <v>1470</v>
      </c>
      <c r="AE267" s="414">
        <f>+IF(D267="Bomb-CH",SUMIFS('Est Madre CH 10-25'!C:C,'Est Madre CH 10-25'!G:G,"SI")/AB267,0)+IFERROR(VLOOKUP(D267,'Est Madre LK 10-25'!$A:$C,3,)/AB267,IFERROR(VLOOKUP(D267,'Est Madre CH 10-25'!$A:$C,3,)/AB267,0))</f>
        <v>1.2</v>
      </c>
      <c r="AF267" s="446">
        <v>1</v>
      </c>
      <c r="AG267" s="261">
        <v>12</v>
      </c>
      <c r="AH267" s="326">
        <v>0</v>
      </c>
      <c r="AI267" s="600"/>
      <c r="AJ267" s="323">
        <v>100</v>
      </c>
      <c r="AK267" s="333">
        <v>3</v>
      </c>
    </row>
    <row r="268" spans="1:37" ht="18.600000000000001" thickBot="1" x14ac:dyDescent="0.4">
      <c r="A268" t="s">
        <v>1470</v>
      </c>
      <c r="C268" s="302">
        <v>1260700</v>
      </c>
      <c r="D268" s="439">
        <v>506</v>
      </c>
      <c r="E268" s="260" t="str">
        <f>+VLOOKUP(D268,'Conteo VACIO'!$A$8:$D$226,4,0)</f>
        <v>V2A</v>
      </c>
      <c r="F268" s="322" t="s">
        <v>746</v>
      </c>
      <c r="G268" s="329" t="s">
        <v>1413</v>
      </c>
      <c r="H268" s="260"/>
      <c r="I268" s="477"/>
      <c r="J268" s="310"/>
      <c r="L268" s="903">
        <f t="shared" si="82"/>
        <v>0.96730360934182602</v>
      </c>
      <c r="M268" s="949">
        <f t="shared" si="83"/>
        <v>0.96730360934182602</v>
      </c>
      <c r="O268" s="957">
        <f t="shared" si="84"/>
        <v>1.539999999999992</v>
      </c>
      <c r="P268" s="487">
        <f t="shared" si="85"/>
        <v>47.099999999999994</v>
      </c>
      <c r="Q268" s="345">
        <f t="shared" si="86"/>
        <v>45.56</v>
      </c>
      <c r="R268" s="753"/>
      <c r="T268" s="402">
        <f>+IFERROR(SUMIFS('Stock CD'!D:D,D357,'Stock CD'!C:C),0)</f>
        <v>0</v>
      </c>
      <c r="U268" s="405">
        <f t="shared" si="87"/>
        <v>45.56</v>
      </c>
      <c r="W268" s="402">
        <f>+IFERROR(VLOOKUP(D268,'Stock CD'!B:I,8,0)/AB268,0)</f>
        <v>0</v>
      </c>
      <c r="X268" s="405">
        <f t="shared" si="88"/>
        <v>47.099999999999994</v>
      </c>
      <c r="Z268" s="305">
        <f>+SUMIFS('Conteo VACIO'!F:F,'Conteo VACIO'!$A:$A,$D268)</f>
        <v>45</v>
      </c>
      <c r="AA268" s="305">
        <f>+SUMIFS('Conteo VACIO'!G:G,'Conteo VACIO'!$A:$A,$D268)</f>
        <v>56</v>
      </c>
      <c r="AB268" s="517">
        <f>100*12</f>
        <v>1200</v>
      </c>
      <c r="AD268" s="430" t="s">
        <v>1470</v>
      </c>
      <c r="AE268" s="414">
        <f>+IF(D268="Bomb-CH",SUMIFS('Est Madre CH 10-25'!C:C,'Est Madre CH 10-25'!G:G,"SI")/AB268,0)+IFERROR(VLOOKUP(D268,'Est Madre LK 10-25'!$A:$C,3,)/AB268,IFERROR(VLOOKUP(D268,'Est Madre CH 10-25'!$A:$C,3,)/AB268,0))</f>
        <v>15.7</v>
      </c>
      <c r="AF268" s="445">
        <v>1</v>
      </c>
      <c r="AG268" s="260">
        <v>12</v>
      </c>
      <c r="AH268" s="325">
        <v>78.77</v>
      </c>
      <c r="AI268" s="601"/>
      <c r="AJ268" s="322">
        <v>100</v>
      </c>
      <c r="AK268" s="335">
        <v>3</v>
      </c>
    </row>
    <row r="269" spans="1:37" ht="18.600000000000001" thickBot="1" x14ac:dyDescent="0.4">
      <c r="A269" t="s">
        <v>1470</v>
      </c>
      <c r="C269" s="302">
        <v>1279700</v>
      </c>
      <c r="D269" s="439">
        <v>510</v>
      </c>
      <c r="E269" s="260" t="str">
        <f>+VLOOKUP(D269,'Conteo VACIO'!$A$8:$D$226,4,0)</f>
        <v>CAPL2G</v>
      </c>
      <c r="F269" s="322" t="s">
        <v>746</v>
      </c>
      <c r="G269" s="329" t="s">
        <v>1414</v>
      </c>
      <c r="H269" s="506"/>
      <c r="I269" s="477"/>
      <c r="J269" s="310"/>
      <c r="L269" s="903">
        <f t="shared" si="82"/>
        <v>0.9603469640644362</v>
      </c>
      <c r="M269" s="949">
        <f t="shared" si="83"/>
        <v>0.9603469640644362</v>
      </c>
      <c r="O269" s="957">
        <f t="shared" si="84"/>
        <v>0.64000000000000057</v>
      </c>
      <c r="P269" s="487">
        <f t="shared" si="85"/>
        <v>16.14</v>
      </c>
      <c r="Q269" s="345">
        <f t="shared" si="86"/>
        <v>15.5</v>
      </c>
      <c r="R269" s="753"/>
      <c r="T269" s="402">
        <f>+IFERROR(SUMIFS('Stock CD'!D:D,D358,'Stock CD'!C:C),0)</f>
        <v>0</v>
      </c>
      <c r="U269" s="405">
        <f t="shared" si="87"/>
        <v>15.5</v>
      </c>
      <c r="W269" s="402">
        <f>+IFERROR(VLOOKUP(D269,'Stock CD'!B:I,8,0)/AB269,0)</f>
        <v>0</v>
      </c>
      <c r="X269" s="405">
        <f t="shared" si="88"/>
        <v>16.14</v>
      </c>
      <c r="Z269" s="305">
        <f>+SUMIFS('Conteo VACIO'!F:F,'Conteo VACIO'!$A:$A,$D269)</f>
        <v>15</v>
      </c>
      <c r="AA269" s="305">
        <f>+SUMIFS('Conteo VACIO'!G:G,'Conteo VACIO'!$A:$A,$D269)</f>
        <v>50</v>
      </c>
      <c r="AB269" s="517">
        <v>1200</v>
      </c>
      <c r="AD269" s="430" t="s">
        <v>1470</v>
      </c>
      <c r="AE269" s="414">
        <f>+IF(D269="Bomb-CH",SUMIFS('Est Madre CH 10-25'!C:C,'Est Madre CH 10-25'!G:G,"SI")/AB269,0)+IFERROR(VLOOKUP(D269,'Est Madre LK 10-25'!$A:$C,3,)/AB269,IFERROR(VLOOKUP(D269,'Est Madre CH 10-25'!$A:$C,3,)/AB269,0))</f>
        <v>5.38</v>
      </c>
      <c r="AF269" s="445">
        <v>1</v>
      </c>
      <c r="AG269" s="260">
        <v>12</v>
      </c>
      <c r="AH269" s="325">
        <v>0</v>
      </c>
      <c r="AI269" s="601"/>
      <c r="AJ269" s="322">
        <v>100</v>
      </c>
      <c r="AK269" s="335">
        <v>3</v>
      </c>
    </row>
    <row r="270" spans="1:37" ht="18.600000000000001" thickBot="1" x14ac:dyDescent="0.4">
      <c r="A270" t="s">
        <v>1470</v>
      </c>
      <c r="C270" s="302">
        <v>2326700</v>
      </c>
      <c r="D270" s="439">
        <v>706</v>
      </c>
      <c r="E270" s="260" t="str">
        <f>+VLOOKUP(D270,'Conteo VACIO'!$A$8:$D$226,4,0)</f>
        <v>V2D</v>
      </c>
      <c r="F270" s="322" t="s">
        <v>1041</v>
      </c>
      <c r="G270" s="329" t="s">
        <v>1406</v>
      </c>
      <c r="H270" s="506"/>
      <c r="I270" s="477"/>
      <c r="J270" s="310"/>
      <c r="L270" s="903">
        <f t="shared" si="82"/>
        <v>3.7107718405428329</v>
      </c>
      <c r="M270" s="949">
        <f t="shared" si="83"/>
        <v>3.7107718405428329</v>
      </c>
      <c r="O270" s="957">
        <f t="shared" si="84"/>
        <v>0</v>
      </c>
      <c r="P270" s="487">
        <f t="shared" si="85"/>
        <v>4.7160000000000002</v>
      </c>
      <c r="Q270" s="345">
        <f t="shared" si="86"/>
        <v>17.5</v>
      </c>
      <c r="R270" s="753"/>
      <c r="T270" s="402">
        <f>+IFERROR(SUMIFS('Stock CD'!D:D,D359,'Stock CD'!C:C),0)</f>
        <v>0</v>
      </c>
      <c r="U270" s="405">
        <f t="shared" si="87"/>
        <v>17.5</v>
      </c>
      <c r="W270" s="402">
        <f>+IFERROR(VLOOKUP(D270,'Stock CD'!B:I,8,0)/AB270,0)</f>
        <v>0</v>
      </c>
      <c r="X270" s="405">
        <f t="shared" si="88"/>
        <v>4.7160000000000002</v>
      </c>
      <c r="Z270" s="305">
        <f>+SUMIFS('Conteo VACIO'!F:F,'Conteo VACIO'!$A:$A,$D270)</f>
        <v>10</v>
      </c>
      <c r="AA270" s="305">
        <f>+SUMIFS('Conteo VACIO'!G:G,'Conteo VACIO'!$A:$A,$D270)</f>
        <v>750</v>
      </c>
      <c r="AB270" s="517">
        <f>100*20</f>
        <v>2000</v>
      </c>
      <c r="AD270" s="430" t="s">
        <v>1470</v>
      </c>
      <c r="AE270" s="414">
        <f>+IF(D270="Bomb-CH",SUMIFS('Est Madre CH 10-25'!C:C,'Est Madre CH 10-25'!G:G,"SI")/AB270,0)+IFERROR(VLOOKUP(D270,'Est Madre LK 10-25'!$A:$C,3,)/AB270,IFERROR(VLOOKUP(D270,'Est Madre CH 10-25'!$A:$C,3,)/AB270,0))</f>
        <v>1.5720000000000001</v>
      </c>
      <c r="AF270" s="445">
        <v>1</v>
      </c>
      <c r="AG270" s="260">
        <v>20</v>
      </c>
      <c r="AH270" s="325">
        <v>717.08130000000006</v>
      </c>
      <c r="AI270" s="601"/>
      <c r="AJ270" s="322">
        <v>100</v>
      </c>
      <c r="AK270" s="335">
        <v>3</v>
      </c>
    </row>
    <row r="271" spans="1:37" ht="18.600000000000001" thickBot="1" x14ac:dyDescent="0.4">
      <c r="A271" t="s">
        <v>1470</v>
      </c>
      <c r="C271" s="302">
        <v>1262700</v>
      </c>
      <c r="D271" s="439">
        <v>555</v>
      </c>
      <c r="E271" s="260" t="str">
        <f>+VLOOKUP(D271,'Conteo VACIO'!$A$8:$D$226,4,0)</f>
        <v>V2E</v>
      </c>
      <c r="F271" s="322" t="s">
        <v>746</v>
      </c>
      <c r="G271" s="421" t="s">
        <v>1407</v>
      </c>
      <c r="H271" s="260"/>
      <c r="I271" s="490"/>
      <c r="J271" s="300"/>
      <c r="L271" s="903">
        <f t="shared" si="82"/>
        <v>0.88888888888888884</v>
      </c>
      <c r="M271" s="949">
        <f t="shared" si="83"/>
        <v>0.88888888888888884</v>
      </c>
      <c r="O271" s="957">
        <f t="shared" si="84"/>
        <v>0.375</v>
      </c>
      <c r="P271" s="487">
        <f t="shared" si="85"/>
        <v>3.375</v>
      </c>
      <c r="Q271" s="345">
        <f t="shared" si="86"/>
        <v>3</v>
      </c>
      <c r="R271" s="753"/>
      <c r="T271" s="402">
        <f>+IFERROR(SUMIFS('Stock CD'!D:D,D360,'Stock CD'!C:C),0)</f>
        <v>0</v>
      </c>
      <c r="U271" s="405">
        <f t="shared" si="87"/>
        <v>3</v>
      </c>
      <c r="W271" s="402">
        <f>+IFERROR(VLOOKUP(D271,'Stock CD'!B:I,8,0)/AB271,0)</f>
        <v>0</v>
      </c>
      <c r="X271" s="405">
        <f t="shared" si="88"/>
        <v>3.375</v>
      </c>
      <c r="Z271" s="305">
        <f>+SUMIFS('Conteo VACIO'!F:F,'Conteo VACIO'!$A:$A,$D271)</f>
        <v>3</v>
      </c>
      <c r="AA271" s="305">
        <f>+SUMIFS('Conteo VACIO'!G:G,'Conteo VACIO'!$A:$A,$D271)</f>
        <v>0</v>
      </c>
      <c r="AB271" s="517">
        <f>100*16</f>
        <v>1600</v>
      </c>
      <c r="AD271" s="430" t="s">
        <v>1470</v>
      </c>
      <c r="AE271" s="414">
        <f>+IF(D271="Bomb-CH",SUMIFS('Est Madre CH 10-25'!C:C,'Est Madre CH 10-25'!G:G,"SI")/AB271,0)+IFERROR(VLOOKUP(D271,'Est Madre LK 10-25'!$A:$C,3,)/AB271,IFERROR(VLOOKUP(D271,'Est Madre CH 10-25'!$A:$C,3,)/AB271,0))</f>
        <v>1.125</v>
      </c>
      <c r="AF271" s="445">
        <v>1</v>
      </c>
      <c r="AG271" s="260">
        <v>16</v>
      </c>
      <c r="AH271" s="325">
        <v>0</v>
      </c>
      <c r="AI271" s="601"/>
      <c r="AJ271" s="322">
        <v>100</v>
      </c>
      <c r="AK271" s="335">
        <v>3</v>
      </c>
    </row>
    <row r="272" spans="1:37" ht="18.600000000000001" thickBot="1" x14ac:dyDescent="0.4">
      <c r="A272" t="s">
        <v>1470</v>
      </c>
      <c r="C272" s="302">
        <v>1262700</v>
      </c>
      <c r="D272" s="439">
        <v>557</v>
      </c>
      <c r="E272" s="260" t="str">
        <f>+VLOOKUP(D272,'Conteo VACIO'!$A$8:$D$226,4,0)</f>
        <v>V1A</v>
      </c>
      <c r="F272" s="322" t="s">
        <v>746</v>
      </c>
      <c r="G272" s="421" t="s">
        <v>1408</v>
      </c>
      <c r="H272" s="260"/>
      <c r="I272" s="490"/>
      <c r="J272" s="300"/>
      <c r="L272" s="903">
        <f t="shared" si="82"/>
        <v>0</v>
      </c>
      <c r="M272" s="949">
        <f t="shared" si="83"/>
        <v>0</v>
      </c>
      <c r="O272" s="957">
        <f t="shared" si="84"/>
        <v>0.54</v>
      </c>
      <c r="P272" s="487">
        <f t="shared" si="85"/>
        <v>0.54</v>
      </c>
      <c r="Q272" s="345">
        <f t="shared" si="86"/>
        <v>0</v>
      </c>
      <c r="R272" s="753"/>
      <c r="T272" s="402">
        <f>+IFERROR(SUMIFS('Stock CD'!D:D,D361,'Stock CD'!C:C),0)</f>
        <v>0</v>
      </c>
      <c r="U272" s="405">
        <f t="shared" si="87"/>
        <v>0</v>
      </c>
      <c r="W272" s="402">
        <f>+IFERROR(VLOOKUP(D272,'Stock CD'!B:I,8,0)/AB272,0)</f>
        <v>0</v>
      </c>
      <c r="X272" s="405">
        <f t="shared" si="88"/>
        <v>0.54</v>
      </c>
      <c r="Z272" s="305">
        <f>+SUMIFS('Conteo VACIO'!F:F,'Conteo VACIO'!$A:$A,$D272)</f>
        <v>0</v>
      </c>
      <c r="AA272" s="305">
        <f>+SUMIFS('Conteo VACIO'!G:G,'Conteo VACIO'!$A:$A,$D272)</f>
        <v>0</v>
      </c>
      <c r="AB272" s="517">
        <f>100*16</f>
        <v>1600</v>
      </c>
      <c r="AD272" s="430" t="s">
        <v>1470</v>
      </c>
      <c r="AE272" s="414">
        <f>+IF(D272="Bomb-CH",SUMIFS('Est Madre CH 10-25'!C:C,'Est Madre CH 10-25'!G:G,"SI")/AB272,0)+IFERROR(VLOOKUP(D272,'Est Madre LK 10-25'!$A:$C,3,)/AB272,IFERROR(VLOOKUP(D272,'Est Madre CH 10-25'!$A:$C,3,)/AB272,0))</f>
        <v>0.18</v>
      </c>
      <c r="AF272" s="445">
        <v>1</v>
      </c>
      <c r="AG272" s="260">
        <v>16</v>
      </c>
      <c r="AH272" s="325">
        <v>0</v>
      </c>
      <c r="AI272" s="601"/>
      <c r="AJ272" s="322">
        <v>100</v>
      </c>
      <c r="AK272" s="335">
        <v>3</v>
      </c>
    </row>
    <row r="273" spans="1:37" ht="18.600000000000001" thickBot="1" x14ac:dyDescent="0.4">
      <c r="A273" t="s">
        <v>1470</v>
      </c>
      <c r="C273" s="302">
        <v>1262700</v>
      </c>
      <c r="D273" s="439">
        <v>558</v>
      </c>
      <c r="E273" s="260" t="str">
        <f>+VLOOKUP(D273,'Conteo VACIO'!$A$8:$D$226,4,0)</f>
        <v>V2B</v>
      </c>
      <c r="F273" s="322" t="s">
        <v>746</v>
      </c>
      <c r="G273" s="421" t="s">
        <v>1409</v>
      </c>
      <c r="H273" s="260"/>
      <c r="I273" s="490"/>
      <c r="J273" s="300"/>
      <c r="L273" s="903">
        <f t="shared" si="82"/>
        <v>0.87884494664155688</v>
      </c>
      <c r="M273" s="949">
        <f t="shared" si="83"/>
        <v>0.87884494664155688</v>
      </c>
      <c r="O273" s="957">
        <f t="shared" si="84"/>
        <v>0.48249999999999993</v>
      </c>
      <c r="P273" s="487">
        <f t="shared" si="85"/>
        <v>3.9824999999999999</v>
      </c>
      <c r="Q273" s="345">
        <f t="shared" si="86"/>
        <v>3.5</v>
      </c>
      <c r="R273" s="753"/>
      <c r="T273" s="402">
        <f>+IFERROR(SUMIFS('Stock CD'!D:D,D362,'Stock CD'!C:C),0)</f>
        <v>0</v>
      </c>
      <c r="U273" s="405">
        <f t="shared" si="87"/>
        <v>3.5</v>
      </c>
      <c r="W273" s="402">
        <f>+IFERROR(VLOOKUP(D273,'Stock CD'!B:I,8,0)/AB273,0)</f>
        <v>0</v>
      </c>
      <c r="X273" s="405">
        <f t="shared" si="88"/>
        <v>3.9824999999999999</v>
      </c>
      <c r="Z273" s="305">
        <f>+SUMIFS('Conteo VACIO'!F:F,'Conteo VACIO'!$A:$A,$D273)</f>
        <v>3</v>
      </c>
      <c r="AA273" s="305">
        <f>+SUMIFS('Conteo VACIO'!G:G,'Conteo VACIO'!$A:$A,$D273)</f>
        <v>50</v>
      </c>
      <c r="AB273" s="517">
        <f>100*16</f>
        <v>1600</v>
      </c>
      <c r="AD273" s="430" t="s">
        <v>1470</v>
      </c>
      <c r="AE273" s="414">
        <f>+IF(D273="Bomb-CH",SUMIFS('Est Madre CH 10-25'!C:C,'Est Madre CH 10-25'!G:G,"SI")/AB273,0)+IFERROR(VLOOKUP(D273,'Est Madre LK 10-25'!$A:$C,3,)/AB273,IFERROR(VLOOKUP(D273,'Est Madre CH 10-25'!$A:$C,3,)/AB273,0))</f>
        <v>1.3274999999999999</v>
      </c>
      <c r="AF273" s="445">
        <v>1</v>
      </c>
      <c r="AG273" s="260">
        <v>16</v>
      </c>
      <c r="AH273" s="325">
        <v>0</v>
      </c>
      <c r="AI273" s="601"/>
      <c r="AJ273" s="322">
        <v>100</v>
      </c>
      <c r="AK273" s="335">
        <v>3</v>
      </c>
    </row>
    <row r="274" spans="1:37" ht="18.600000000000001" thickBot="1" x14ac:dyDescent="0.4">
      <c r="A274" t="s">
        <v>1470</v>
      </c>
      <c r="C274" s="302">
        <v>1262700</v>
      </c>
      <c r="D274" s="439">
        <v>654</v>
      </c>
      <c r="E274" s="260" t="str">
        <f>+VLOOKUP(D274,'Conteo VACIO'!$A$8:$D$226,4,0)</f>
        <v>V1B</v>
      </c>
      <c r="F274" s="322" t="s">
        <v>746</v>
      </c>
      <c r="G274" s="421" t="s">
        <v>1410</v>
      </c>
      <c r="H274" s="260"/>
      <c r="I274" s="490"/>
      <c r="J274" s="300"/>
      <c r="L274" s="903">
        <f t="shared" si="82"/>
        <v>0.55555555555555558</v>
      </c>
      <c r="M274" s="949">
        <f t="shared" si="83"/>
        <v>0.55555555555555558</v>
      </c>
      <c r="O274" s="957">
        <f t="shared" si="84"/>
        <v>0.76</v>
      </c>
      <c r="P274" s="487">
        <f t="shared" si="85"/>
        <v>1.71</v>
      </c>
      <c r="Q274" s="345">
        <f t="shared" si="86"/>
        <v>0.95</v>
      </c>
      <c r="R274" s="753"/>
      <c r="T274" s="402">
        <f>+IFERROR(SUMIFS('Stock CD'!D:D,D363,'Stock CD'!C:C),0)</f>
        <v>0</v>
      </c>
      <c r="U274" s="405">
        <f t="shared" si="87"/>
        <v>0.95</v>
      </c>
      <c r="W274" s="402">
        <f>+IFERROR(VLOOKUP(D274,'Stock CD'!B:I,8,0)/AB274,0)</f>
        <v>0</v>
      </c>
      <c r="X274" s="405">
        <f t="shared" si="88"/>
        <v>1.71</v>
      </c>
      <c r="Z274" s="305">
        <f>+SUMIFS('Conteo VACIO'!F:F,'Conteo VACIO'!$A:$A,$D274)</f>
        <v>0</v>
      </c>
      <c r="AA274" s="305">
        <f>+SUMIFS('Conteo VACIO'!G:G,'Conteo VACIO'!$A:$A,$D274)</f>
        <v>95</v>
      </c>
      <c r="AB274" s="517">
        <f>100*16</f>
        <v>1600</v>
      </c>
      <c r="AD274" s="430" t="s">
        <v>1470</v>
      </c>
      <c r="AE274" s="414">
        <f>+IF(D274="Bomb-CH",SUMIFS('Est Madre CH 10-25'!C:C,'Est Madre CH 10-25'!G:G,"SI")/AB274,0)+IFERROR(VLOOKUP(D274,'Est Madre LK 10-25'!$A:$C,3,)/AB274,IFERROR(VLOOKUP(D274,'Est Madre CH 10-25'!$A:$C,3,)/AB274,0))</f>
        <v>0.56999999999999995</v>
      </c>
      <c r="AF274" s="445">
        <v>1</v>
      </c>
      <c r="AG274" s="260">
        <v>16</v>
      </c>
      <c r="AH274" s="325">
        <v>0</v>
      </c>
      <c r="AI274" s="601"/>
      <c r="AJ274" s="322">
        <v>100</v>
      </c>
      <c r="AK274" s="335">
        <v>3</v>
      </c>
    </row>
    <row r="275" spans="1:37" ht="18.600000000000001" thickBot="1" x14ac:dyDescent="0.4">
      <c r="A275" t="s">
        <v>1470</v>
      </c>
      <c r="C275" s="298">
        <v>2326700</v>
      </c>
      <c r="D275" s="449" t="s">
        <v>1658</v>
      </c>
      <c r="E275" s="262" t="str">
        <f>+VLOOKUP(D275,'Conteo VACIO'!$A$8:$D$226,4,0)</f>
        <v>A2C</v>
      </c>
      <c r="F275" s="324" t="s">
        <v>1041</v>
      </c>
      <c r="G275" s="422" t="s">
        <v>1411</v>
      </c>
      <c r="H275" s="262"/>
      <c r="I275" s="491"/>
      <c r="J275" s="300"/>
      <c r="L275" s="904">
        <f t="shared" si="82"/>
        <v>5.9259259259259256</v>
      </c>
      <c r="M275" s="950">
        <f t="shared" si="83"/>
        <v>5.9259259259259256</v>
      </c>
      <c r="O275" s="957">
        <f t="shared" si="84"/>
        <v>0</v>
      </c>
      <c r="P275" s="488">
        <f t="shared" si="85"/>
        <v>1.35</v>
      </c>
      <c r="Q275" s="347">
        <f t="shared" si="86"/>
        <v>8</v>
      </c>
      <c r="R275" s="755"/>
      <c r="T275" s="403">
        <f>+IFERROR(SUMIFS('Stock CD'!D:D,D364,'Stock CD'!C:C),0)</f>
        <v>0</v>
      </c>
      <c r="U275" s="406">
        <f t="shared" si="87"/>
        <v>8</v>
      </c>
      <c r="W275" s="403">
        <f>+IFERROR(VLOOKUP(D275,'Stock CD'!B:I,8,0)/AB275,0)</f>
        <v>0</v>
      </c>
      <c r="X275" s="406">
        <f t="shared" si="88"/>
        <v>1.35</v>
      </c>
      <c r="Z275" s="611">
        <f>+SUMIFS('Conteo VACIO'!F:F,'Conteo VACIO'!$A:$A,$D275)</f>
        <v>8</v>
      </c>
      <c r="AA275" s="611">
        <f>+SUMIFS('Conteo VACIO'!G:G,'Conteo VACIO'!$A:$A,$D275)</f>
        <v>0</v>
      </c>
      <c r="AB275" s="612">
        <f>100*16</f>
        <v>1600</v>
      </c>
      <c r="AD275" s="613" t="s">
        <v>1470</v>
      </c>
      <c r="AE275" s="530">
        <f>+IF(D275="Bomb-CH",SUMIFS('Est Madre CH 10-25'!C:C,'Est Madre CH 10-25'!G:G,"SI")/AB275,0)+IFERROR(VLOOKUP(D275,'Est Madre LK 10-25'!$A:$C,3,)/AB275,IFERROR(VLOOKUP(D275,'Est Madre CH 10-25'!$A:$C,3,)/AB275,0))</f>
        <v>0.45</v>
      </c>
      <c r="AF275" s="823">
        <v>1</v>
      </c>
      <c r="AG275" s="538">
        <v>16</v>
      </c>
      <c r="AH275" s="539">
        <v>717.08130000000006</v>
      </c>
      <c r="AI275" s="603"/>
      <c r="AJ275" s="324">
        <v>100</v>
      </c>
      <c r="AK275" s="337">
        <v>3</v>
      </c>
    </row>
    <row r="276" spans="1:37" ht="11.85" customHeight="1" x14ac:dyDescent="0.35">
      <c r="C276" s="208"/>
      <c r="D276" s="371"/>
      <c r="F276" s="371"/>
      <c r="G276" s="340"/>
      <c r="H276" s="749"/>
      <c r="I276" s="340"/>
      <c r="J276" s="340"/>
      <c r="L276" s="340"/>
      <c r="M276" s="351"/>
      <c r="O276" s="384"/>
      <c r="P276" s="370"/>
      <c r="Q276" s="344"/>
      <c r="R276" s="384"/>
      <c r="S276" s="719"/>
      <c r="T276" s="351"/>
      <c r="U276" s="351"/>
      <c r="W276" s="351"/>
      <c r="X276" s="351"/>
      <c r="Z276" s="862"/>
      <c r="AA276" s="861"/>
      <c r="AB276" s="862"/>
      <c r="AD276" s="851"/>
      <c r="AE276" s="857"/>
      <c r="AF276" s="857"/>
      <c r="AG276" s="857"/>
      <c r="AH276" s="719"/>
    </row>
    <row r="277" spans="1:37" ht="29.4" thickBot="1" x14ac:dyDescent="0.5">
      <c r="C277" s="208"/>
      <c r="D277" s="371"/>
      <c r="F277" s="371"/>
      <c r="G277" s="457" t="s">
        <v>1496</v>
      </c>
      <c r="H277" s="501"/>
      <c r="I277" s="457"/>
      <c r="J277" s="457"/>
      <c r="L277" s="454"/>
      <c r="M277" s="351"/>
      <c r="O277" s="384"/>
      <c r="P277" s="370"/>
      <c r="Q277" s="344"/>
      <c r="R277" s="384"/>
      <c r="T277" s="351"/>
      <c r="U277" s="351"/>
      <c r="W277" s="351"/>
      <c r="X277" s="351"/>
      <c r="Z277" s="371"/>
      <c r="AA277" s="340"/>
      <c r="AB277" s="371"/>
    </row>
    <row r="278" spans="1:37" ht="29.4" thickBot="1" x14ac:dyDescent="0.4">
      <c r="C278" s="208"/>
      <c r="D278" s="371"/>
      <c r="F278" s="371"/>
      <c r="G278" s="455" t="s">
        <v>1485</v>
      </c>
      <c r="H278" s="503" t="s">
        <v>1497</v>
      </c>
      <c r="I278" s="466"/>
      <c r="J278" s="4"/>
      <c r="L278" s="484"/>
      <c r="M278" s="351"/>
      <c r="N278" s="208"/>
      <c r="O278" s="384"/>
      <c r="P278" s="370"/>
      <c r="Q278" s="344"/>
      <c r="R278" s="384"/>
      <c r="S278" s="891"/>
      <c r="T278" s="351"/>
      <c r="U278" s="351"/>
      <c r="V278" s="208"/>
      <c r="W278" s="351"/>
      <c r="X278" s="351"/>
      <c r="Z278" s="893"/>
      <c r="AA278" s="894"/>
      <c r="AB278" s="893"/>
      <c r="AD278" s="886"/>
      <c r="AE278" s="892"/>
      <c r="AF278" s="892"/>
      <c r="AG278" s="892"/>
      <c r="AH278" s="880"/>
    </row>
    <row r="279" spans="1:37" ht="58.35" customHeight="1" thickBot="1" x14ac:dyDescent="0.35">
      <c r="C279" s="312" t="s">
        <v>1293</v>
      </c>
      <c r="D279" s="312" t="s">
        <v>748</v>
      </c>
      <c r="E279" s="312" t="s">
        <v>1198</v>
      </c>
      <c r="F279" s="312" t="s">
        <v>1018</v>
      </c>
      <c r="G279" s="328" t="s">
        <v>1207</v>
      </c>
      <c r="H279" s="502" t="s">
        <v>1500</v>
      </c>
      <c r="I279" s="321" t="s">
        <v>1515</v>
      </c>
      <c r="J279" s="317"/>
      <c r="L279" s="291" t="s">
        <v>1388</v>
      </c>
      <c r="M279" s="970" t="s">
        <v>1439</v>
      </c>
      <c r="O279" s="321" t="s">
        <v>1042</v>
      </c>
      <c r="P279" s="314" t="s">
        <v>1402</v>
      </c>
      <c r="Q279" s="311" t="s">
        <v>1178</v>
      </c>
      <c r="R279" s="710" t="s">
        <v>1781</v>
      </c>
      <c r="T279" s="291" t="s">
        <v>1440</v>
      </c>
      <c r="U279" s="970" t="s">
        <v>1441</v>
      </c>
      <c r="W279" s="296" t="s">
        <v>1442</v>
      </c>
      <c r="X279" s="291" t="s">
        <v>1443</v>
      </c>
      <c r="Z279" s="836" t="s">
        <v>1197</v>
      </c>
      <c r="AA279" s="837" t="s">
        <v>1460</v>
      </c>
      <c r="AB279" s="840" t="s">
        <v>857</v>
      </c>
      <c r="AD279" s="837" t="s">
        <v>1403</v>
      </c>
      <c r="AE279" s="836" t="s">
        <v>1415</v>
      </c>
      <c r="AF279" s="835" t="s">
        <v>1438</v>
      </c>
      <c r="AG279" s="834" t="s">
        <v>1212</v>
      </c>
      <c r="AH279" s="837" t="s">
        <v>1387</v>
      </c>
      <c r="AI279" s="317"/>
      <c r="AJ279" s="317"/>
      <c r="AK279" s="321" t="s">
        <v>1513</v>
      </c>
    </row>
    <row r="280" spans="1:37" ht="16.5" customHeight="1" thickBot="1" x14ac:dyDescent="0.4">
      <c r="A280" t="s">
        <v>1819</v>
      </c>
      <c r="C280" s="467" t="s">
        <v>1514</v>
      </c>
      <c r="D280" s="499">
        <v>34</v>
      </c>
      <c r="E280" s="261" t="str">
        <f>+VLOOKUP(D280,'Conteo VACIO'!$A$8:$D$226,4,0)</f>
        <v>B5B</v>
      </c>
      <c r="F280" s="323" t="s">
        <v>746</v>
      </c>
      <c r="G280" s="356" t="s">
        <v>1804</v>
      </c>
      <c r="H280" s="261"/>
      <c r="I280" s="476"/>
      <c r="J280" s="310"/>
      <c r="L280" s="902">
        <f>+Q280/P280</f>
        <v>1.6276041666666667</v>
      </c>
      <c r="M280" s="948">
        <f>+IFERROR(U280/X280,0)</f>
        <v>1.6276041666666667</v>
      </c>
      <c r="O280" s="957">
        <f t="shared" ref="O280:O281" si="89">IF(P280-Q280-R280&lt;0,0,P280-Q280-R280)</f>
        <v>0</v>
      </c>
      <c r="P280" s="486">
        <f>+IFERROR(AE280*AK280,0)</f>
        <v>4608</v>
      </c>
      <c r="Q280" s="346">
        <f>+(Z280*AB280)+AA280</f>
        <v>7500</v>
      </c>
      <c r="R280" s="751"/>
      <c r="T280" s="401">
        <f>+IFERROR(SUMIFS('Stock CD'!D:D,#REF!,'Stock CD'!C:C),0)</f>
        <v>0</v>
      </c>
      <c r="U280" s="404">
        <f>+T280+Q280</f>
        <v>7500</v>
      </c>
      <c r="W280" s="401">
        <f>+IFERROR(VLOOKUP(D280,'Stock CD'!B:I,8,0),0)</f>
        <v>0</v>
      </c>
      <c r="X280" s="404">
        <f>+W280+P280</f>
        <v>4608</v>
      </c>
      <c r="Z280" s="305">
        <f>+SUMIFS('Conteo VACIO'!F:F,'Conteo VACIO'!$A:$A,$D280)</f>
        <v>1</v>
      </c>
      <c r="AA280" s="305">
        <f>+SUMIFS('Conteo VACIO'!G:G,'Conteo VACIO'!$A:$A,$D280)</f>
        <v>0</v>
      </c>
      <c r="AB280" s="534">
        <v>7500</v>
      </c>
      <c r="AD280" s="398" t="s">
        <v>1485</v>
      </c>
      <c r="AE280" s="428">
        <f>+IFERROR(VLOOKUP(D280,'Est Madre LK 10-25'!A:C,3,),VLOOKUP(D280,'Est Madre CH 10-25'!A:C,3,))</f>
        <v>1536</v>
      </c>
      <c r="AF280" s="286"/>
      <c r="AG280" s="286"/>
      <c r="AH280" s="341">
        <v>0</v>
      </c>
      <c r="AI280" s="599"/>
      <c r="AK280" s="472">
        <v>3</v>
      </c>
    </row>
    <row r="281" spans="1:37" ht="16.5" customHeight="1" thickBot="1" x14ac:dyDescent="0.4">
      <c r="A281" t="s">
        <v>1819</v>
      </c>
      <c r="C281" s="298"/>
      <c r="D281" s="449">
        <v>867</v>
      </c>
      <c r="E281" s="262" t="str">
        <f>+VLOOKUP(D281,'Conteo VACIO'!$A$8:$D$226,4,0)</f>
        <v>B5C</v>
      </c>
      <c r="F281" s="324" t="s">
        <v>1041</v>
      </c>
      <c r="G281" s="357" t="s">
        <v>1804</v>
      </c>
      <c r="H281" s="262"/>
      <c r="I281" s="481"/>
      <c r="J281" s="453"/>
      <c r="L281" s="904">
        <f>+Q281/P281</f>
        <v>0</v>
      </c>
      <c r="M281" s="950">
        <f>+IFERROR(U281/X281,0)</f>
        <v>0</v>
      </c>
      <c r="O281" s="957">
        <f t="shared" si="89"/>
        <v>936</v>
      </c>
      <c r="P281" s="488">
        <f>+IFERROR(AE281*AK281,0)</f>
        <v>936</v>
      </c>
      <c r="Q281" s="347">
        <f>+(Z281*AB281)+AA281</f>
        <v>0</v>
      </c>
      <c r="R281" s="755"/>
      <c r="T281" s="403">
        <f>+IFERROR(SUMIFS('Stock CD'!D:D,#REF!,'Stock CD'!C:C),0)</f>
        <v>0</v>
      </c>
      <c r="U281" s="406">
        <f>+T281+Q281</f>
        <v>0</v>
      </c>
      <c r="W281" s="403">
        <f>+IFERROR(VLOOKUP(D281,'Stock CD'!B:I,8,0),0)</f>
        <v>0</v>
      </c>
      <c r="X281" s="406">
        <f>+W281+P281</f>
        <v>936</v>
      </c>
      <c r="Z281" s="611">
        <f>+SUMIFS('Conteo VACIO'!F:F,'Conteo VACIO'!$A:$A,$D281)</f>
        <v>0</v>
      </c>
      <c r="AA281" s="611">
        <f>+SUMIFS('Conteo VACIO'!G:G,'Conteo VACIO'!$A:$A,$D281)</f>
        <v>0</v>
      </c>
      <c r="AB281" s="612">
        <v>7500</v>
      </c>
      <c r="AD281" s="613" t="s">
        <v>1485</v>
      </c>
      <c r="AE281" s="530">
        <f>+IFERROR(VLOOKUP(D281,'Est Madre LK 10-25'!A:C,3,),VLOOKUP(D281,'Est Madre CH 10-25'!A:C,3,))</f>
        <v>312</v>
      </c>
      <c r="AF281" s="824"/>
      <c r="AG281" s="824"/>
      <c r="AH281" s="825">
        <v>0</v>
      </c>
      <c r="AI281" s="599"/>
      <c r="AK281" s="474">
        <v>3</v>
      </c>
    </row>
    <row r="282" spans="1:37" ht="16.5" customHeight="1" x14ac:dyDescent="0.35">
      <c r="C282" s="294"/>
      <c r="D282" s="294"/>
      <c r="F282" s="299"/>
      <c r="G282" s="453"/>
      <c r="H282" s="631"/>
      <c r="I282" s="453"/>
      <c r="J282" s="453"/>
      <c r="L282" s="458"/>
      <c r="M282" s="459"/>
      <c r="O282" s="687"/>
      <c r="P282" s="383"/>
      <c r="Q282" s="338"/>
      <c r="R282" s="687"/>
      <c r="S282" s="719"/>
      <c r="T282" s="460"/>
      <c r="U282" s="460"/>
      <c r="W282" s="460"/>
      <c r="X282" s="460"/>
      <c r="Z282" s="849"/>
      <c r="AA282" s="863"/>
      <c r="AB282" s="850"/>
      <c r="AD282" s="851"/>
      <c r="AE282" s="852"/>
      <c r="AF282" s="857"/>
      <c r="AG282" s="857"/>
      <c r="AH282" s="864"/>
      <c r="AI282" s="599"/>
    </row>
    <row r="283" spans="1:37" ht="29.4" thickBot="1" x14ac:dyDescent="0.5">
      <c r="C283" s="208"/>
      <c r="D283" s="371"/>
      <c r="F283" s="371"/>
      <c r="G283" s="457" t="s">
        <v>1496</v>
      </c>
      <c r="H283" s="501"/>
      <c r="I283" s="457"/>
      <c r="J283" s="457"/>
      <c r="L283" s="454"/>
      <c r="M283" s="351"/>
      <c r="O283" s="384"/>
      <c r="P283" s="370"/>
      <c r="Q283" s="344"/>
      <c r="R283" s="384"/>
      <c r="T283" s="351"/>
      <c r="U283" s="351"/>
      <c r="W283" s="351"/>
      <c r="X283" s="351"/>
      <c r="Z283" s="371"/>
      <c r="AA283" s="340"/>
      <c r="AB283" s="371"/>
    </row>
    <row r="284" spans="1:37" ht="29.4" thickBot="1" x14ac:dyDescent="0.4">
      <c r="C284" s="208"/>
      <c r="D284" s="371"/>
      <c r="F284" s="371"/>
      <c r="G284" s="455" t="s">
        <v>1471</v>
      </c>
      <c r="H284" s="503" t="s">
        <v>1497</v>
      </c>
      <c r="I284" s="456"/>
      <c r="J284" s="941"/>
      <c r="L284" s="484"/>
      <c r="M284" s="351"/>
      <c r="N284" s="208"/>
      <c r="O284" s="384"/>
      <c r="P284" s="370"/>
      <c r="Q284" s="344"/>
      <c r="R284" s="384"/>
      <c r="S284" s="891"/>
      <c r="T284" s="351"/>
      <c r="U284" s="351"/>
      <c r="V284" s="208"/>
      <c r="W284" s="351"/>
      <c r="X284" s="351"/>
      <c r="Z284" s="893"/>
      <c r="AA284" s="894"/>
      <c r="AB284" s="893"/>
      <c r="AD284" s="886"/>
      <c r="AE284" s="892"/>
      <c r="AF284" s="892"/>
      <c r="AG284" s="892"/>
      <c r="AH284" s="880"/>
    </row>
    <row r="285" spans="1:37" ht="58.35" customHeight="1" thickBot="1" x14ac:dyDescent="0.35">
      <c r="C285" s="312" t="s">
        <v>1293</v>
      </c>
      <c r="D285" s="312" t="s">
        <v>748</v>
      </c>
      <c r="E285" s="558" t="s">
        <v>1198</v>
      </c>
      <c r="F285" s="312" t="s">
        <v>1018</v>
      </c>
      <c r="G285" s="328" t="s">
        <v>1207</v>
      </c>
      <c r="H285" s="502" t="s">
        <v>1500</v>
      </c>
      <c r="I285" s="321" t="s">
        <v>1515</v>
      </c>
      <c r="J285" s="317"/>
      <c r="L285" s="321" t="s">
        <v>1388</v>
      </c>
      <c r="M285" s="970" t="s">
        <v>1439</v>
      </c>
      <c r="O285" s="321" t="s">
        <v>1042</v>
      </c>
      <c r="P285" s="314" t="s">
        <v>1402</v>
      </c>
      <c r="Q285" s="311" t="s">
        <v>1178</v>
      </c>
      <c r="R285" s="710" t="s">
        <v>1781</v>
      </c>
      <c r="T285" s="321" t="s">
        <v>1440</v>
      </c>
      <c r="U285" s="331" t="s">
        <v>1441</v>
      </c>
      <c r="W285" s="313" t="s">
        <v>1442</v>
      </c>
      <c r="X285" s="321" t="s">
        <v>1443</v>
      </c>
      <c r="Z285" s="836" t="s">
        <v>1197</v>
      </c>
      <c r="AA285" s="837" t="s">
        <v>1460</v>
      </c>
      <c r="AB285" s="839" t="s">
        <v>857</v>
      </c>
      <c r="AD285" s="837" t="s">
        <v>1403</v>
      </c>
      <c r="AE285" s="836" t="s">
        <v>1415</v>
      </c>
      <c r="AF285" s="835" t="s">
        <v>1438</v>
      </c>
      <c r="AG285" s="834" t="s">
        <v>1212</v>
      </c>
      <c r="AH285" s="837" t="s">
        <v>1387</v>
      </c>
      <c r="AI285" s="317"/>
      <c r="AJ285" s="317"/>
      <c r="AK285" s="321" t="s">
        <v>1513</v>
      </c>
    </row>
    <row r="286" spans="1:37" ht="16.5" customHeight="1" thickBot="1" x14ac:dyDescent="0.4">
      <c r="A286" t="s">
        <v>1471</v>
      </c>
      <c r="C286" s="297">
        <v>1203700</v>
      </c>
      <c r="D286" s="438">
        <v>31</v>
      </c>
      <c r="E286" s="261" t="str">
        <f>+VLOOKUP(D286,'Conteo VACIO'!$A$8:$D$226,4,0)</f>
        <v>A1B</v>
      </c>
      <c r="F286" s="323" t="s">
        <v>746</v>
      </c>
      <c r="G286" s="356" t="s">
        <v>1208</v>
      </c>
      <c r="H286" s="632"/>
      <c r="I286" s="476"/>
      <c r="J286" s="310"/>
      <c r="L286" s="902">
        <f>+Q286/P286</f>
        <v>0.625</v>
      </c>
      <c r="M286" s="948">
        <f>+IFERROR(U286/X286,0)</f>
        <v>0.625</v>
      </c>
      <c r="O286" s="957">
        <f t="shared" ref="O286:O288" si="90">IF(P286-Q286-R286&lt;0,0,P286-Q286-R286)</f>
        <v>22500</v>
      </c>
      <c r="P286" s="486">
        <v>60000</v>
      </c>
      <c r="Q286" s="346">
        <f>+(Z286*AB286)+AA286</f>
        <v>37500</v>
      </c>
      <c r="R286" s="751"/>
      <c r="T286" s="401">
        <f>+IFERROR(SUMIFS('Stock CD'!D:D,D375,'Stock CD'!C:C),0)</f>
        <v>0</v>
      </c>
      <c r="U286" s="404">
        <f>+T286+Q286</f>
        <v>37500</v>
      </c>
      <c r="W286" s="401">
        <f>+IFERROR(VLOOKUP(D286,'Stock CD'!B:I,8,0),0)</f>
        <v>0</v>
      </c>
      <c r="X286" s="404">
        <f>+W286+P286</f>
        <v>60000</v>
      </c>
      <c r="Z286" s="305">
        <f>+SUMIFS('Conteo VACIO'!F:F,'Conteo VACIO'!$A:$A,$D286)</f>
        <v>5</v>
      </c>
      <c r="AA286" s="305">
        <f>+SUMIFS('Conteo VACIO'!G:G,'Conteo VACIO'!$A:$A,$D286)</f>
        <v>0</v>
      </c>
      <c r="AB286" s="534">
        <v>7500</v>
      </c>
      <c r="AD286" s="398" t="s">
        <v>1471</v>
      </c>
      <c r="AE286" s="428">
        <f>+IFERROR(VLOOKUP(D286,'Est Madre LK 10-25'!A:C,3,),VLOOKUP(D286,'Est Madre CH 10-25'!A:C,3,))</f>
        <v>18192</v>
      </c>
      <c r="AF286" s="323">
        <v>55000</v>
      </c>
      <c r="AG286" s="286"/>
      <c r="AH286" s="341">
        <v>35</v>
      </c>
      <c r="AI286" s="599"/>
      <c r="AK286" s="472">
        <v>4</v>
      </c>
    </row>
    <row r="287" spans="1:37" ht="16.5" customHeight="1" thickBot="1" x14ac:dyDescent="0.4">
      <c r="A287" t="s">
        <v>1471</v>
      </c>
      <c r="C287" s="419">
        <v>2314700</v>
      </c>
      <c r="D287" s="439">
        <v>836</v>
      </c>
      <c r="E287" s="260" t="str">
        <f>+VLOOKUP(D287,'Conteo VACIO'!$A$8:$D$226,4,0)</f>
        <v>A1C</v>
      </c>
      <c r="F287" s="322" t="s">
        <v>746</v>
      </c>
      <c r="G287" s="329" t="s">
        <v>1210</v>
      </c>
      <c r="H287" s="260"/>
      <c r="I287" s="477"/>
      <c r="J287" s="310"/>
      <c r="L287" s="903">
        <f>+Q287/P287</f>
        <v>2.34375</v>
      </c>
      <c r="M287" s="949">
        <f>+IFERROR(U287/X287,0)</f>
        <v>2.34375</v>
      </c>
      <c r="O287" s="957">
        <f t="shared" si="90"/>
        <v>0</v>
      </c>
      <c r="P287" s="487">
        <f>+IFERROR(AE287*AK287,0)</f>
        <v>9600</v>
      </c>
      <c r="Q287" s="345">
        <f>+(Z287*AB287)+AA287</f>
        <v>22500</v>
      </c>
      <c r="R287" s="753"/>
      <c r="T287" s="402">
        <f>+IFERROR(SUMIFS('Stock CD'!D:D,D376,'Stock CD'!C:C),0)</f>
        <v>0</v>
      </c>
      <c r="U287" s="405">
        <f>+T287+Q287</f>
        <v>22500</v>
      </c>
      <c r="W287" s="402">
        <f>+IFERROR(VLOOKUP(D287,'Stock CD'!B:I,8,0),0)</f>
        <v>0</v>
      </c>
      <c r="X287" s="405">
        <f>+W287+P287</f>
        <v>9600</v>
      </c>
      <c r="Z287" s="305">
        <f>+SUMIFS('Conteo VACIO'!F:F,'Conteo VACIO'!$A:$A,$D287)</f>
        <v>3</v>
      </c>
      <c r="AA287" s="305">
        <f>+SUMIFS('Conteo VACIO'!G:G,'Conteo VACIO'!$A:$A,$D287)</f>
        <v>0</v>
      </c>
      <c r="AB287" s="517">
        <v>7500</v>
      </c>
      <c r="AD287" s="430" t="s">
        <v>1471</v>
      </c>
      <c r="AE287" s="414">
        <f>+IFERROR(VLOOKUP(D287,'Est Madre LK 10-25'!A:C,3,),VLOOKUP(D287,'Est Madre CH 10-25'!A:C,3,))</f>
        <v>2400</v>
      </c>
      <c r="AF287" s="322">
        <v>0</v>
      </c>
      <c r="AG287" s="219"/>
      <c r="AH287" s="342">
        <v>35</v>
      </c>
      <c r="AI287" s="599"/>
      <c r="AK287" s="473">
        <v>4</v>
      </c>
    </row>
    <row r="288" spans="1:37" ht="16.5" customHeight="1" thickBot="1" x14ac:dyDescent="0.4">
      <c r="A288" t="s">
        <v>1471</v>
      </c>
      <c r="C288" s="298">
        <v>1204700</v>
      </c>
      <c r="D288" s="449">
        <v>715</v>
      </c>
      <c r="E288" s="262">
        <f>+VLOOKUP(D288,'Conteo VACIO'!$A$8:$D$226,4,0)</f>
        <v>0</v>
      </c>
      <c r="F288" s="324" t="s">
        <v>1041</v>
      </c>
      <c r="G288" s="373" t="s">
        <v>1495</v>
      </c>
      <c r="H288" s="262"/>
      <c r="I288" s="481"/>
      <c r="J288" s="453"/>
      <c r="L288" s="904">
        <f>+Q288/P288</f>
        <v>0</v>
      </c>
      <c r="M288" s="950">
        <f>+IFERROR(U288/X288,0)</f>
        <v>0</v>
      </c>
      <c r="O288" s="957">
        <f t="shared" si="90"/>
        <v>768</v>
      </c>
      <c r="P288" s="488">
        <f>+IFERROR(AE288*AK288,0)</f>
        <v>768</v>
      </c>
      <c r="Q288" s="347">
        <f>+(Z288*AB288)+AA288</f>
        <v>0</v>
      </c>
      <c r="R288" s="755"/>
      <c r="T288" s="403">
        <f>+IFERROR(SUMIFS('Stock CD'!D:D,D377,'Stock CD'!C:C),0)</f>
        <v>0</v>
      </c>
      <c r="U288" s="406">
        <f>+T288+Q288</f>
        <v>0</v>
      </c>
      <c r="W288" s="403">
        <f>+IFERROR(VLOOKUP(D288,'Stock CD'!B:I,8,0),0)</f>
        <v>120</v>
      </c>
      <c r="X288" s="406">
        <f>+W288+P288</f>
        <v>888</v>
      </c>
      <c r="Z288" s="611">
        <f>+SUMIFS('Conteo VACIO'!F:F,'Conteo VACIO'!$A:$A,$D288)</f>
        <v>0</v>
      </c>
      <c r="AA288" s="611">
        <f>+SUMIFS('Conteo VACIO'!G:G,'Conteo VACIO'!$A:$A,$D288)</f>
        <v>0</v>
      </c>
      <c r="AB288" s="612">
        <v>4500</v>
      </c>
      <c r="AD288" s="613" t="s">
        <v>1471</v>
      </c>
      <c r="AE288" s="530">
        <f>+IFERROR(VLOOKUP(D288,'Est Madre LK 10-25'!A:C,3,),VLOOKUP(D288,'Est Madre CH 10-25'!A:C,3,))</f>
        <v>192</v>
      </c>
      <c r="AF288" s="608"/>
      <c r="AG288" s="824"/>
      <c r="AH288" s="825">
        <v>35</v>
      </c>
      <c r="AI288" s="599"/>
      <c r="AK288" s="474">
        <v>4</v>
      </c>
    </row>
    <row r="289" spans="1:37" ht="9" customHeight="1" x14ac:dyDescent="0.35">
      <c r="C289" s="294"/>
      <c r="D289" s="294"/>
      <c r="F289" s="299"/>
      <c r="G289" s="310"/>
      <c r="H289" s="631"/>
      <c r="I289" s="310"/>
      <c r="J289" s="310"/>
      <c r="L289" s="310"/>
      <c r="M289"/>
      <c r="P289" s="292"/>
      <c r="Q289"/>
      <c r="S289" s="719"/>
      <c r="T289"/>
      <c r="U289"/>
      <c r="W289"/>
      <c r="X289"/>
      <c r="Z289" s="849"/>
      <c r="AA289" s="860"/>
      <c r="AB289" s="850"/>
      <c r="AD289" s="851"/>
      <c r="AE289" s="857"/>
      <c r="AF289" s="857"/>
      <c r="AG289" s="857"/>
      <c r="AH289" s="719"/>
    </row>
    <row r="290" spans="1:37" ht="18.600000000000001" thickBot="1" x14ac:dyDescent="0.4">
      <c r="C290" s="294"/>
      <c r="D290" s="294"/>
      <c r="F290" s="299"/>
      <c r="G290" s="457" t="s">
        <v>1496</v>
      </c>
      <c r="H290" s="501"/>
      <c r="I290" s="457"/>
      <c r="J290" s="457"/>
      <c r="L290" s="310"/>
      <c r="M290"/>
      <c r="P290" s="292"/>
      <c r="Q290"/>
      <c r="T290"/>
      <c r="U290"/>
      <c r="W290"/>
      <c r="X290"/>
      <c r="Z290" s="309"/>
      <c r="AA290" s="316"/>
      <c r="AB290" s="389"/>
    </row>
    <row r="291" spans="1:37" ht="29.4" thickBot="1" x14ac:dyDescent="0.4">
      <c r="C291" s="294"/>
      <c r="D291" s="294"/>
      <c r="F291" s="299"/>
      <c r="G291" s="455" t="s">
        <v>1499</v>
      </c>
      <c r="H291" s="503" t="s">
        <v>1497</v>
      </c>
      <c r="I291" s="456"/>
      <c r="J291" s="941"/>
      <c r="L291" s="484"/>
      <c r="M291" s="351"/>
      <c r="N291" s="208"/>
      <c r="O291" s="384"/>
      <c r="P291" s="370"/>
      <c r="Q291" s="344"/>
      <c r="R291" s="384"/>
      <c r="S291" s="891"/>
      <c r="T291"/>
      <c r="U291"/>
      <c r="V291" s="208"/>
      <c r="W291"/>
      <c r="X291"/>
      <c r="Z291" s="893"/>
      <c r="AA291" s="894"/>
      <c r="AB291" s="885"/>
      <c r="AD291" s="886"/>
      <c r="AE291" s="892"/>
      <c r="AF291" s="892"/>
      <c r="AG291" s="892"/>
      <c r="AH291" s="880"/>
    </row>
    <row r="292" spans="1:37" s="208" customFormat="1" ht="56.1" customHeight="1" thickBot="1" x14ac:dyDescent="0.35">
      <c r="B292"/>
      <c r="C292" s="312" t="s">
        <v>1293</v>
      </c>
      <c r="D292" s="452" t="s">
        <v>748</v>
      </c>
      <c r="E292" s="558" t="s">
        <v>1198</v>
      </c>
      <c r="F292" s="592"/>
      <c r="G292" s="328" t="s">
        <v>1302</v>
      </c>
      <c r="H292" s="502" t="s">
        <v>1500</v>
      </c>
      <c r="I292" s="321" t="s">
        <v>1515</v>
      </c>
      <c r="J292" s="317"/>
      <c r="L292" s="321" t="s">
        <v>1388</v>
      </c>
      <c r="M292" s="331" t="s">
        <v>1439</v>
      </c>
      <c r="O292" s="321" t="s">
        <v>1042</v>
      </c>
      <c r="P292" s="314" t="s">
        <v>1402</v>
      </c>
      <c r="Q292" s="311" t="s">
        <v>1178</v>
      </c>
      <c r="R292" s="710" t="s">
        <v>1781</v>
      </c>
      <c r="T292" s="291" t="s">
        <v>1440</v>
      </c>
      <c r="U292" s="970" t="s">
        <v>1441</v>
      </c>
      <c r="W292" s="313" t="s">
        <v>1442</v>
      </c>
      <c r="X292" s="321" t="s">
        <v>1443</v>
      </c>
      <c r="Y292"/>
      <c r="Z292" s="836" t="s">
        <v>1197</v>
      </c>
      <c r="AA292" s="837" t="s">
        <v>1460</v>
      </c>
      <c r="AB292" s="835" t="s">
        <v>857</v>
      </c>
      <c r="AC292"/>
      <c r="AD292" s="837" t="s">
        <v>1403</v>
      </c>
      <c r="AE292" s="837" t="s">
        <v>1415</v>
      </c>
      <c r="AF292" s="835" t="s">
        <v>1438</v>
      </c>
      <c r="AG292" s="837" t="s">
        <v>1436</v>
      </c>
      <c r="AH292" s="837" t="s">
        <v>1387</v>
      </c>
      <c r="AI292" s="317"/>
      <c r="AJ292" s="317"/>
      <c r="AK292" s="321" t="s">
        <v>1513</v>
      </c>
    </row>
    <row r="293" spans="1:37" s="208" customFormat="1" ht="16.5" customHeight="1" thickBot="1" x14ac:dyDescent="0.4">
      <c r="A293" s="208" t="s">
        <v>1499</v>
      </c>
      <c r="B293"/>
      <c r="C293" s="418">
        <v>1249700</v>
      </c>
      <c r="D293" s="438" t="s">
        <v>869</v>
      </c>
      <c r="E293" s="261" t="str">
        <f>+VLOOKUP(D293,'Conteo VACIO'!$A$8:$D$226,4,0)</f>
        <v>K7B</v>
      </c>
      <c r="F293" s="438"/>
      <c r="G293" s="356" t="s">
        <v>1670</v>
      </c>
      <c r="H293" s="632"/>
      <c r="I293" s="476"/>
      <c r="J293" s="310"/>
      <c r="L293" s="903">
        <f>+Q293/P293</f>
        <v>9.075126262626263</v>
      </c>
      <c r="M293" s="949">
        <f>+IFERROR(U293/X293,0)</f>
        <v>9.075126262626263</v>
      </c>
      <c r="O293" s="957">
        <f t="shared" ref="O293:O297" si="91">IF(P293-Q293-R293&lt;0,0,P293-Q293-R293)</f>
        <v>0</v>
      </c>
      <c r="P293" s="486">
        <f>+IFERROR(AE293*AK293,0)</f>
        <v>50688</v>
      </c>
      <c r="Q293" s="346">
        <f>+(Z293*AB293)+AA293</f>
        <v>460000</v>
      </c>
      <c r="R293" s="751"/>
      <c r="T293" s="401">
        <f>+IFERROR(SUMIFS('Stock CD'!D:D,D382,'Stock CD'!C:C),0)</f>
        <v>0</v>
      </c>
      <c r="U293" s="404">
        <f>+T293+Q293</f>
        <v>460000</v>
      </c>
      <c r="W293" s="401">
        <f>+SUMIF('Stock CD'!$A:$A,G293,'Stock CD'!I:I)</f>
        <v>0</v>
      </c>
      <c r="X293" s="404">
        <f>+W293+P293</f>
        <v>50688</v>
      </c>
      <c r="Y293"/>
      <c r="Z293" s="305">
        <f>+SUMIFS('Conteo VACIO'!F:F,'Conteo VACIO'!$A:$A,$D293)</f>
        <v>23</v>
      </c>
      <c r="AA293" s="305">
        <f>+SUMIFS('Conteo VACIO'!G:G,'Conteo VACIO'!$A:$A,$D293)</f>
        <v>0</v>
      </c>
      <c r="AB293" s="534">
        <v>20000</v>
      </c>
      <c r="AC293"/>
      <c r="AD293" s="398" t="s">
        <v>1499</v>
      </c>
      <c r="AE293" s="428">
        <f>+SUMIFS('Est Madre LK 10-25'!$I:$I,'Est Madre LK 10-25'!$G:$G,"8")+SUMIFS('Est Madre CH 10-25'!$J:$J,'Est Madre CH 10-25'!$H:$H,"8")</f>
        <v>16896</v>
      </c>
      <c r="AF293" s="361">
        <v>4000</v>
      </c>
      <c r="AG293" s="361">
        <v>1000</v>
      </c>
      <c r="AH293" s="341">
        <v>1.39</v>
      </c>
      <c r="AI293" s="599"/>
      <c r="AJ293"/>
      <c r="AK293" s="489">
        <v>3</v>
      </c>
    </row>
    <row r="294" spans="1:37" ht="18.600000000000001" thickBot="1" x14ac:dyDescent="0.4">
      <c r="A294" s="208" t="s">
        <v>1499</v>
      </c>
      <c r="C294" s="419">
        <v>1248700</v>
      </c>
      <c r="D294" s="439" t="s">
        <v>869</v>
      </c>
      <c r="E294" s="260" t="str">
        <f>+VLOOKUP(D294,'Conteo VACIO'!$A$8:$D$226,4,0)</f>
        <v>K7B</v>
      </c>
      <c r="F294" s="439"/>
      <c r="G294" s="329" t="s">
        <v>1671</v>
      </c>
      <c r="H294" s="506"/>
      <c r="I294" s="477"/>
      <c r="J294" s="310"/>
      <c r="L294" s="903">
        <f>+Q294/P294</f>
        <v>3.0487400750255165</v>
      </c>
      <c r="M294" s="949">
        <f>+IFERROR(U294/X294,0)</f>
        <v>3.0487400750255165</v>
      </c>
      <c r="O294" s="957">
        <f t="shared" si="91"/>
        <v>0</v>
      </c>
      <c r="P294" s="487">
        <f>+IFERROR(AE294*AK294,0)</f>
        <v>150882</v>
      </c>
      <c r="Q294" s="345">
        <f>+(Z294*AB294)+AA294</f>
        <v>460000</v>
      </c>
      <c r="R294" s="753"/>
      <c r="T294" s="402">
        <f>+IFERROR(SUMIFS('Stock CD'!D:D,D383,'Stock CD'!C:C),0)</f>
        <v>0</v>
      </c>
      <c r="U294" s="405">
        <f>+T294+Q294</f>
        <v>460000</v>
      </c>
      <c r="W294" s="402">
        <f>+SUMIF('Stock CD'!$A:$A,G294,'Stock CD'!I:I)</f>
        <v>0</v>
      </c>
      <c r="X294" s="405">
        <f>+W294+P294</f>
        <v>150882</v>
      </c>
      <c r="Z294" s="305">
        <f>+SUMIFS('Conteo VACIO'!F:F,'Conteo VACIO'!$A:$A,$D294)</f>
        <v>23</v>
      </c>
      <c r="AA294" s="305">
        <f>+SUMIFS('Conteo VACIO'!G:G,'Conteo VACIO'!$A:$A,$D294)</f>
        <v>0</v>
      </c>
      <c r="AB294" s="517">
        <v>20000</v>
      </c>
      <c r="AD294" s="430" t="s">
        <v>1499</v>
      </c>
      <c r="AE294" s="414">
        <f>+SUMIFS('Est Madre LK 10-25'!$I:$I,'Est Madre LK 10-25'!$G:$G,"10")+SUMIFS('Est Madre CH 10-25'!$J:$J,'Est Madre CH 10-25'!$H:$H,"10")</f>
        <v>50294</v>
      </c>
      <c r="AF294" s="362">
        <v>4000</v>
      </c>
      <c r="AG294" s="362">
        <v>1000</v>
      </c>
      <c r="AH294" s="342">
        <v>1.75</v>
      </c>
      <c r="AI294" s="599"/>
      <c r="AK294" s="128">
        <v>3</v>
      </c>
    </row>
    <row r="295" spans="1:37" ht="18.600000000000001" thickBot="1" x14ac:dyDescent="0.4">
      <c r="A295" s="208" t="s">
        <v>1499</v>
      </c>
      <c r="C295" s="419">
        <v>1247700</v>
      </c>
      <c r="D295" s="439" t="s">
        <v>869</v>
      </c>
      <c r="E295" s="260" t="str">
        <f>+VLOOKUP(D295,'Conteo VACIO'!$A$8:$D$226,4,0)</f>
        <v>K7B</v>
      </c>
      <c r="F295" s="439"/>
      <c r="G295" s="329" t="s">
        <v>1672</v>
      </c>
      <c r="H295" s="260"/>
      <c r="I295" s="477"/>
      <c r="J295" s="310"/>
      <c r="L295" s="903">
        <f>+Q295/P295</f>
        <v>22.312766783081102</v>
      </c>
      <c r="M295" s="949">
        <f>+IFERROR(U295/X295,0)</f>
        <v>22.312766783081102</v>
      </c>
      <c r="O295" s="957">
        <f t="shared" si="91"/>
        <v>0</v>
      </c>
      <c r="P295" s="487">
        <f>+IFERROR(AE295*AK295,0)</f>
        <v>20616</v>
      </c>
      <c r="Q295" s="345">
        <f>+(Z295*AB295)+AA295</f>
        <v>460000</v>
      </c>
      <c r="R295" s="753"/>
      <c r="T295" s="402">
        <f>+IFERROR(SUMIFS('Stock CD'!D:D,D384,'Stock CD'!C:C),0)</f>
        <v>0</v>
      </c>
      <c r="U295" s="405">
        <f>+T295+Q295</f>
        <v>460000</v>
      </c>
      <c r="W295" s="402">
        <f>+SUMIF('Stock CD'!$A:$A,G295,'Stock CD'!I:I)</f>
        <v>0</v>
      </c>
      <c r="X295" s="405">
        <f>+W295+P295</f>
        <v>20616</v>
      </c>
      <c r="Z295" s="305">
        <f>+SUMIFS('Conteo VACIO'!F:F,'Conteo VACIO'!$A:$A,$D295)</f>
        <v>23</v>
      </c>
      <c r="AA295" s="305">
        <f>+SUMIFS('Conteo VACIO'!G:G,'Conteo VACIO'!$A:$A,$D295)</f>
        <v>0</v>
      </c>
      <c r="AB295" s="517">
        <v>20000</v>
      </c>
      <c r="AD295" s="430" t="s">
        <v>1499</v>
      </c>
      <c r="AE295" s="414">
        <f>+SUMIFS('Est Madre LK 10-25'!$I:$I,'Est Madre LK 10-25'!$G:$G,"12")+SUMIFS('Est Madre CH 10-25'!$J:$J,'Est Madre CH 10-25'!$H:$H,"12")</f>
        <v>6872</v>
      </c>
      <c r="AF295" s="362">
        <v>4000</v>
      </c>
      <c r="AG295" s="362">
        <v>1000</v>
      </c>
      <c r="AH295" s="342"/>
      <c r="AI295" s="599"/>
      <c r="AK295" s="128">
        <v>3</v>
      </c>
    </row>
    <row r="296" spans="1:37" ht="18.600000000000001" thickBot="1" x14ac:dyDescent="0.4">
      <c r="A296" s="208" t="s">
        <v>1499</v>
      </c>
      <c r="C296" s="419">
        <v>1246700</v>
      </c>
      <c r="D296" s="439" t="s">
        <v>869</v>
      </c>
      <c r="E296" s="260" t="str">
        <f>+VLOOKUP(D296,'Conteo VACIO'!$A$8:$D$226,4,0)</f>
        <v>K7B</v>
      </c>
      <c r="F296" s="439"/>
      <c r="G296" s="329" t="s">
        <v>1673</v>
      </c>
      <c r="H296" s="506"/>
      <c r="I296" s="477"/>
      <c r="J296" s="310"/>
      <c r="L296" s="903">
        <f>+Q296/P296</f>
        <v>110.15325670498085</v>
      </c>
      <c r="M296" s="949">
        <f>+IFERROR(U296/X296,0)</f>
        <v>110.15325670498085</v>
      </c>
      <c r="O296" s="957">
        <f t="shared" si="91"/>
        <v>0</v>
      </c>
      <c r="P296" s="487">
        <f>+IFERROR(AE296*AK296,0)</f>
        <v>4176</v>
      </c>
      <c r="Q296" s="345">
        <f>+(Z296*AB296)+AA296</f>
        <v>460000</v>
      </c>
      <c r="R296" s="753"/>
      <c r="T296" s="402">
        <f>+IFERROR(SUMIFS('Stock CD'!D:D,D385,'Stock CD'!C:C),0)</f>
        <v>0</v>
      </c>
      <c r="U296" s="405">
        <f>+T296+Q296</f>
        <v>460000</v>
      </c>
      <c r="W296" s="402">
        <f>+SUMIF('Stock CD'!$A:$A,G296,'Stock CD'!I:I)</f>
        <v>0</v>
      </c>
      <c r="X296" s="405">
        <f>+W296+P296</f>
        <v>4176</v>
      </c>
      <c r="Z296" s="305">
        <f>+SUMIFS('Conteo VACIO'!F:F,'Conteo VACIO'!$A:$A,$D296)</f>
        <v>23</v>
      </c>
      <c r="AA296" s="305">
        <f>+SUMIFS('Conteo VACIO'!G:G,'Conteo VACIO'!$A:$A,$D296)</f>
        <v>0</v>
      </c>
      <c r="AB296" s="517">
        <v>20000</v>
      </c>
      <c r="AD296" s="430" t="s">
        <v>1499</v>
      </c>
      <c r="AE296" s="414">
        <f>+SUMIFS('Est Madre LK 10-25'!$I:$I,'Est Madre LK 10-25'!$G:$G,"14")+SUMIFS('Est Madre CH 10-25'!$J:$J,'Est Madre CH 10-25'!$H:$H,"14")</f>
        <v>1392</v>
      </c>
      <c r="AF296" s="362">
        <v>4000</v>
      </c>
      <c r="AG296" s="362">
        <v>1000</v>
      </c>
      <c r="AH296" s="342"/>
      <c r="AI296" s="599"/>
      <c r="AK296" s="128">
        <v>3</v>
      </c>
    </row>
    <row r="297" spans="1:37" s="31" customFormat="1" ht="20.25" customHeight="1" thickBot="1" x14ac:dyDescent="0.35">
      <c r="A297" s="208" t="s">
        <v>1499</v>
      </c>
      <c r="B297"/>
      <c r="C297" s="500">
        <v>1284700</v>
      </c>
      <c r="D297" s="449" t="s">
        <v>869</v>
      </c>
      <c r="E297" s="262" t="str">
        <f>+VLOOKUP(D297,'Conteo VACIO'!$A$8:$D$226,4,0)</f>
        <v>K7B</v>
      </c>
      <c r="F297" s="449"/>
      <c r="G297" s="357" t="s">
        <v>1674</v>
      </c>
      <c r="H297" s="262"/>
      <c r="I297" s="478"/>
      <c r="J297" s="310"/>
      <c r="L297" s="916">
        <f>+Q297/P297</f>
        <v>47.737650477376505</v>
      </c>
      <c r="M297" s="971">
        <f>+IFERROR(U297/X297,0)</f>
        <v>47.737650477376505</v>
      </c>
      <c r="O297" s="957">
        <f t="shared" si="91"/>
        <v>0</v>
      </c>
      <c r="P297" s="972">
        <f>+IFERROR(AE297*AK297,0)</f>
        <v>9636</v>
      </c>
      <c r="Q297" s="973">
        <f>+(Z297*AB297)+AA297</f>
        <v>460000</v>
      </c>
      <c r="R297" s="755"/>
      <c r="T297" s="989">
        <f>+IFERROR(SUMIFS('Stock CD'!D:D,D386,'Stock CD'!C:C),0)</f>
        <v>0</v>
      </c>
      <c r="U297" s="413">
        <f>+T297+Q297</f>
        <v>460000</v>
      </c>
      <c r="W297" s="989">
        <f>+SUMIF('Stock CD'!$A:$A,G297,'Stock CD'!I:I)</f>
        <v>0</v>
      </c>
      <c r="X297" s="413">
        <f>+W297+P297</f>
        <v>9636</v>
      </c>
      <c r="Y297"/>
      <c r="Z297" s="611">
        <f>+SUMIFS('Conteo VACIO'!F:F,'Conteo VACIO'!$A:$A,$D297)</f>
        <v>23</v>
      </c>
      <c r="AA297" s="611">
        <f>+SUMIFS('Conteo VACIO'!G:G,'Conteo VACIO'!$A:$A,$D297)</f>
        <v>0</v>
      </c>
      <c r="AB297" s="826">
        <v>20000</v>
      </c>
      <c r="AC297"/>
      <c r="AD297" s="827" t="s">
        <v>1499</v>
      </c>
      <c r="AE297" s="828">
        <f>+SUMIFS('Est Madre LK 10-25'!$I:$I,'Est Madre LK 10-25'!$G:$G,"16")+SUMIFS('Est Madre CH 10-25'!$J:$J,'Est Madre CH 10-25'!$H:$H,"16")</f>
        <v>3212</v>
      </c>
      <c r="AF297" s="829">
        <v>4000</v>
      </c>
      <c r="AG297" s="829">
        <v>1000</v>
      </c>
      <c r="AH297" s="830"/>
      <c r="AI297" s="604"/>
      <c r="AK297" s="130">
        <v>3</v>
      </c>
    </row>
    <row r="298" spans="1:37" ht="12.75" customHeight="1" x14ac:dyDescent="0.35">
      <c r="C298" s="348"/>
      <c r="D298" s="294"/>
      <c r="F298" s="294"/>
      <c r="G298"/>
      <c r="H298" s="936"/>
      <c r="I298"/>
      <c r="J298"/>
      <c r="L298"/>
      <c r="M298" s="349"/>
      <c r="O298" s="687"/>
      <c r="P298" s="383"/>
      <c r="Q298" s="338"/>
      <c r="R298" s="687"/>
      <c r="S298" s="719"/>
      <c r="T298" s="349"/>
      <c r="U298" s="349"/>
      <c r="W298" s="349"/>
      <c r="X298" s="349"/>
      <c r="Z298" s="849"/>
      <c r="AA298" s="863"/>
      <c r="AB298" s="850"/>
      <c r="AD298" s="851"/>
      <c r="AE298" s="852"/>
      <c r="AF298" s="857"/>
      <c r="AG298" s="857"/>
      <c r="AH298" s="864"/>
      <c r="AI298" s="599"/>
    </row>
    <row r="299" spans="1:37" ht="18.600000000000001" thickBot="1" x14ac:dyDescent="0.4">
      <c r="C299" s="348"/>
      <c r="D299" s="294"/>
      <c r="F299" s="294"/>
      <c r="G299" s="457" t="s">
        <v>1496</v>
      </c>
      <c r="H299" s="501"/>
      <c r="I299" s="457"/>
      <c r="J299" s="457"/>
      <c r="L299"/>
      <c r="M299" s="349"/>
      <c r="O299" s="687"/>
      <c r="P299" s="383"/>
      <c r="Q299" s="338"/>
      <c r="R299" s="687"/>
      <c r="T299" s="349"/>
      <c r="U299" s="349"/>
      <c r="W299" s="349"/>
      <c r="X299" s="349"/>
      <c r="Z299" s="309"/>
      <c r="AA299" s="375"/>
      <c r="AB299" s="389"/>
      <c r="AE299" s="386"/>
      <c r="AH299" s="376"/>
      <c r="AI299" s="599"/>
    </row>
    <row r="300" spans="1:37" ht="29.4" thickBot="1" x14ac:dyDescent="0.4">
      <c r="C300" s="348"/>
      <c r="D300" s="294"/>
      <c r="F300" s="294"/>
      <c r="G300" s="455" t="s">
        <v>1472</v>
      </c>
      <c r="H300" s="503" t="s">
        <v>1497</v>
      </c>
      <c r="I300" s="456"/>
      <c r="J300" s="941"/>
      <c r="L300" s="484"/>
      <c r="M300" s="351"/>
      <c r="N300" s="208"/>
      <c r="O300" s="384"/>
      <c r="P300" s="370"/>
      <c r="Q300" s="344"/>
      <c r="R300" s="384"/>
      <c r="S300" s="891"/>
      <c r="T300" s="349"/>
      <c r="U300" s="349"/>
      <c r="V300" s="208"/>
      <c r="W300" s="349"/>
      <c r="X300" s="349"/>
      <c r="Z300" s="893"/>
      <c r="AA300" s="894"/>
      <c r="AB300" s="885"/>
      <c r="AD300" s="886"/>
      <c r="AE300" s="887"/>
      <c r="AF300" s="892"/>
      <c r="AG300" s="892"/>
      <c r="AH300" s="897"/>
      <c r="AI300" s="599"/>
    </row>
    <row r="301" spans="1:37" ht="60" customHeight="1" thickBot="1" x14ac:dyDescent="0.35">
      <c r="C301" s="312" t="s">
        <v>1293</v>
      </c>
      <c r="D301" s="452" t="s">
        <v>748</v>
      </c>
      <c r="E301" s="558" t="s">
        <v>1198</v>
      </c>
      <c r="F301" s="592"/>
      <c r="G301" s="328" t="s">
        <v>1417</v>
      </c>
      <c r="H301" s="502" t="s">
        <v>1500</v>
      </c>
      <c r="I301" s="321" t="s">
        <v>1515</v>
      </c>
      <c r="J301" s="317"/>
      <c r="L301" s="291" t="s">
        <v>1388</v>
      </c>
      <c r="M301" s="970" t="s">
        <v>1439</v>
      </c>
      <c r="O301" s="321" t="s">
        <v>1405</v>
      </c>
      <c r="P301" s="314" t="s">
        <v>1435</v>
      </c>
      <c r="Q301" s="314" t="s">
        <v>1418</v>
      </c>
      <c r="R301" s="710" t="s">
        <v>1781</v>
      </c>
      <c r="T301" s="321" t="s">
        <v>1461</v>
      </c>
      <c r="U301" s="331" t="s">
        <v>1462</v>
      </c>
      <c r="W301" s="313" t="s">
        <v>1465</v>
      </c>
      <c r="X301" s="321" t="s">
        <v>1466</v>
      </c>
      <c r="Z301" s="836" t="s">
        <v>1587</v>
      </c>
      <c r="AA301" s="837" t="s">
        <v>1460</v>
      </c>
      <c r="AB301" s="835" t="s">
        <v>1419</v>
      </c>
      <c r="AD301" s="837" t="s">
        <v>1403</v>
      </c>
      <c r="AE301" s="837" t="s">
        <v>1415</v>
      </c>
      <c r="AF301" s="835" t="s">
        <v>1491</v>
      </c>
      <c r="AG301" s="837" t="s">
        <v>1492</v>
      </c>
      <c r="AH301" s="841" t="s">
        <v>1420</v>
      </c>
      <c r="AI301" s="596"/>
      <c r="AK301" s="321" t="s">
        <v>1513</v>
      </c>
    </row>
    <row r="302" spans="1:37" ht="18.600000000000001" thickBot="1" x14ac:dyDescent="0.4">
      <c r="A302" t="s">
        <v>1820</v>
      </c>
      <c r="C302" s="418">
        <v>1251700</v>
      </c>
      <c r="D302" s="438" t="s">
        <v>869</v>
      </c>
      <c r="E302" s="261" t="str">
        <f>+VLOOKUP(D302,'Conteo VACIO'!$A$8:$D$226,4,0)</f>
        <v>K7B</v>
      </c>
      <c r="F302" s="438"/>
      <c r="G302" s="356" t="s">
        <v>1476</v>
      </c>
      <c r="H302" s="632"/>
      <c r="I302" s="476"/>
      <c r="J302" s="310"/>
      <c r="L302" s="914">
        <f>+Q302/P302</f>
        <v>6.910798122065728</v>
      </c>
      <c r="M302" s="974">
        <f>+IFERROR(U302/X302,0)</f>
        <v>6.910798122065728</v>
      </c>
      <c r="O302" s="957">
        <f t="shared" ref="O302:O303" si="92">IF(P302-Q302-R302&lt;0,0,P302-Q302-R302)</f>
        <v>0</v>
      </c>
      <c r="P302" s="486">
        <f>+IFERROR(AE302*AK302,0)</f>
        <v>53.25</v>
      </c>
      <c r="Q302" s="346">
        <f>+(Z302*AB302)+AA302</f>
        <v>368</v>
      </c>
      <c r="R302" s="751"/>
      <c r="T302" s="401">
        <f>+IFERROR(SUMIFS('Stock CD'!D:D,D391,'Stock CD'!C:C),0)</f>
        <v>0</v>
      </c>
      <c r="U302" s="404">
        <f>+T302+Q302</f>
        <v>368</v>
      </c>
      <c r="W302" s="401">
        <f>+IFERROR(VLOOKUP(G302,'Stock CD'!A:I,10,0),0)</f>
        <v>0</v>
      </c>
      <c r="X302" s="404">
        <f>+W302+P302</f>
        <v>53.25</v>
      </c>
      <c r="Z302" s="305">
        <f>+SUMIFS('Conteo VACIO'!F:F,'Conteo VACIO'!$A:$A,$D302)</f>
        <v>23</v>
      </c>
      <c r="AA302" s="305">
        <f>+SUMIFS('Conteo VACIO'!G:G,'Conteo VACIO'!$A:$A,$D302)</f>
        <v>0</v>
      </c>
      <c r="AB302" s="534">
        <v>16</v>
      </c>
      <c r="AD302" s="433" t="s">
        <v>1472</v>
      </c>
      <c r="AE302" s="436">
        <v>17.75</v>
      </c>
      <c r="AF302" s="361">
        <v>80</v>
      </c>
      <c r="AG302" s="361">
        <v>4</v>
      </c>
      <c r="AH302" s="341">
        <v>2.15</v>
      </c>
      <c r="AI302" s="599"/>
      <c r="AJ302" s="330"/>
      <c r="AK302" s="472">
        <v>3</v>
      </c>
    </row>
    <row r="303" spans="1:37" ht="18.600000000000001" thickBot="1" x14ac:dyDescent="0.4">
      <c r="A303" t="s">
        <v>1820</v>
      </c>
      <c r="C303" s="500">
        <v>1252700</v>
      </c>
      <c r="D303" s="449" t="s">
        <v>869</v>
      </c>
      <c r="E303" s="262" t="str">
        <f>+VLOOKUP(D303,'Conteo VACIO'!$A$8:$D$226,4,0)</f>
        <v>K7B</v>
      </c>
      <c r="F303" s="449"/>
      <c r="G303" s="357" t="s">
        <v>1312</v>
      </c>
      <c r="H303" s="633"/>
      <c r="I303" s="478"/>
      <c r="J303" s="310"/>
      <c r="L303" s="904">
        <f>+Q303/P303</f>
        <v>1.8140472078295915</v>
      </c>
      <c r="M303" s="950">
        <f>+IFERROR(U303/X303,0)</f>
        <v>1.8140472078295915</v>
      </c>
      <c r="O303" s="957">
        <f t="shared" si="92"/>
        <v>0</v>
      </c>
      <c r="P303" s="488">
        <f>+IFERROR(AE303*AK303,0)</f>
        <v>126.7883211678832</v>
      </c>
      <c r="Q303" s="347">
        <f>+(Z303*AB303)+AA303</f>
        <v>230</v>
      </c>
      <c r="R303" s="755"/>
      <c r="T303" s="403">
        <f>+IFERROR(SUMIFS('Stock CD'!D:D,D392,'Stock CD'!C:C),0)</f>
        <v>0</v>
      </c>
      <c r="U303" s="406">
        <f>+T303+Q303</f>
        <v>230</v>
      </c>
      <c r="W303" s="403">
        <f>+IFERROR(VLOOKUP(G303,'Stock CD'!A:I,10,0),0)</f>
        <v>0</v>
      </c>
      <c r="X303" s="406">
        <f>+W303+P303</f>
        <v>126.7883211678832</v>
      </c>
      <c r="Z303" s="305">
        <f>+SUMIFS('Conteo VACIO'!F:F,'Conteo VACIO'!$A:$A,$D303)</f>
        <v>23</v>
      </c>
      <c r="AA303" s="305">
        <f>+SUMIFS('Conteo VACIO'!G:G,'Conteo VACIO'!$A:$A,$D303)</f>
        <v>0</v>
      </c>
      <c r="AB303" s="518">
        <v>10</v>
      </c>
      <c r="AD303" s="435" t="s">
        <v>1472</v>
      </c>
      <c r="AE303" s="437">
        <v>42.262773722627735</v>
      </c>
      <c r="AF303" s="364">
        <v>50</v>
      </c>
      <c r="AG303" s="364">
        <v>1</v>
      </c>
      <c r="AH303" s="494">
        <v>4.5999999999999996</v>
      </c>
      <c r="AI303" s="597"/>
      <c r="AJ303" s="330"/>
      <c r="AK303" s="474">
        <v>3</v>
      </c>
    </row>
    <row r="304" spans="1:37" s="208" customFormat="1" ht="10.199999999999999" customHeight="1" x14ac:dyDescent="0.35">
      <c r="B304"/>
      <c r="C304" s="294"/>
      <c r="D304" s="371"/>
      <c r="E304"/>
      <c r="F304" s="371"/>
      <c r="G304" s="340"/>
      <c r="H304" s="749"/>
      <c r="I304" s="340"/>
      <c r="J304" s="340"/>
      <c r="L304" s="340"/>
      <c r="M304" s="351"/>
      <c r="O304" s="384"/>
      <c r="P304" s="370"/>
      <c r="Q304" s="344"/>
      <c r="R304" s="384"/>
      <c r="S304" s="865"/>
      <c r="T304" s="351"/>
      <c r="U304" s="351"/>
      <c r="W304" s="351"/>
      <c r="X304" s="351"/>
      <c r="Y304"/>
      <c r="Z304" s="371"/>
      <c r="AA304" s="340"/>
      <c r="AB304" s="371"/>
      <c r="AC304"/>
      <c r="AD304" s="299"/>
      <c r="AE304" s="292"/>
      <c r="AG304" s="127"/>
      <c r="AH304"/>
      <c r="AI304" s="292"/>
      <c r="AJ304" s="127"/>
      <c r="AK304" s="299"/>
    </row>
    <row r="305" spans="1:40" s="208" customFormat="1" ht="29.4" thickBot="1" x14ac:dyDescent="0.4">
      <c r="B305"/>
      <c r="C305" s="294"/>
      <c r="D305" s="371"/>
      <c r="E305"/>
      <c r="F305" s="371"/>
      <c r="G305" s="457" t="s">
        <v>1496</v>
      </c>
      <c r="H305" s="501"/>
      <c r="I305" s="457"/>
      <c r="J305" s="457"/>
      <c r="L305" s="340"/>
      <c r="M305" s="351"/>
      <c r="O305" s="384"/>
      <c r="P305" s="370"/>
      <c r="Q305" s="344"/>
      <c r="R305" s="384"/>
      <c r="T305" s="351"/>
      <c r="U305" s="351"/>
      <c r="W305" s="351"/>
      <c r="X305" s="351"/>
      <c r="Y305"/>
      <c r="Z305" s="371"/>
      <c r="AA305" s="340"/>
      <c r="AB305" s="371"/>
      <c r="AC305"/>
      <c r="AD305" s="299"/>
      <c r="AE305" s="292"/>
      <c r="AG305" s="127"/>
      <c r="AH305"/>
      <c r="AI305" s="292"/>
      <c r="AJ305" s="127"/>
      <c r="AK305" s="299"/>
    </row>
    <row r="306" spans="1:40" s="208" customFormat="1" ht="29.4" thickBot="1" x14ac:dyDescent="0.4">
      <c r="B306"/>
      <c r="C306" s="294"/>
      <c r="D306" s="371"/>
      <c r="E306"/>
      <c r="F306" s="371"/>
      <c r="G306" s="455" t="s">
        <v>1474</v>
      </c>
      <c r="H306" s="503" t="s">
        <v>1497</v>
      </c>
      <c r="I306" s="466"/>
      <c r="J306" s="4"/>
      <c r="L306" s="484"/>
      <c r="M306" s="351"/>
      <c r="O306" s="384"/>
      <c r="P306" s="370"/>
      <c r="Q306" s="344"/>
      <c r="R306" s="384"/>
      <c r="S306" s="891"/>
      <c r="T306" s="351"/>
      <c r="U306" s="351"/>
      <c r="W306" s="351"/>
      <c r="X306" s="351"/>
      <c r="Y306"/>
      <c r="Z306" s="371"/>
      <c r="AA306" s="340"/>
      <c r="AB306" s="371"/>
      <c r="AC306"/>
      <c r="AD306" s="299"/>
      <c r="AE306" s="292"/>
      <c r="AG306" s="127"/>
      <c r="AH306"/>
      <c r="AI306" s="292"/>
      <c r="AJ306" s="127"/>
      <c r="AK306" s="299"/>
    </row>
    <row r="307" spans="1:40" ht="54" customHeight="1" thickBot="1" x14ac:dyDescent="0.35">
      <c r="C307" s="312" t="s">
        <v>1293</v>
      </c>
      <c r="D307" s="452" t="s">
        <v>748</v>
      </c>
      <c r="E307" s="558" t="s">
        <v>1198</v>
      </c>
      <c r="F307" s="592"/>
      <c r="G307" s="328" t="s">
        <v>1303</v>
      </c>
      <c r="H307" s="502" t="s">
        <v>1500</v>
      </c>
      <c r="I307" s="321" t="s">
        <v>1515</v>
      </c>
      <c r="J307" s="317"/>
      <c r="L307" s="291" t="s">
        <v>1388</v>
      </c>
      <c r="M307" s="970" t="s">
        <v>1439</v>
      </c>
      <c r="O307" s="321" t="s">
        <v>1042</v>
      </c>
      <c r="P307" s="314" t="s">
        <v>1402</v>
      </c>
      <c r="Q307" s="311" t="s">
        <v>1178</v>
      </c>
      <c r="R307" s="710" t="s">
        <v>1781</v>
      </c>
      <c r="T307" s="321" t="s">
        <v>1440</v>
      </c>
      <c r="U307" s="331" t="s">
        <v>1441</v>
      </c>
      <c r="W307" s="313" t="s">
        <v>1442</v>
      </c>
      <c r="X307" s="321" t="s">
        <v>1443</v>
      </c>
      <c r="Z307" s="313" t="s">
        <v>1516</v>
      </c>
      <c r="AA307" s="321" t="s">
        <v>1460</v>
      </c>
      <c r="AB307" s="314" t="s">
        <v>1393</v>
      </c>
      <c r="AD307" s="291" t="s">
        <v>1403</v>
      </c>
      <c r="AE307" s="291" t="s">
        <v>1415</v>
      </c>
      <c r="AF307" s="296" t="s">
        <v>1438</v>
      </c>
      <c r="AG307" s="291" t="s">
        <v>1517</v>
      </c>
      <c r="AH307" s="291" t="s">
        <v>1387</v>
      </c>
      <c r="AI307" s="317"/>
      <c r="AK307" s="321" t="s">
        <v>1513</v>
      </c>
    </row>
    <row r="308" spans="1:40" ht="18.600000000000001" thickBot="1" x14ac:dyDescent="0.4">
      <c r="A308" t="s">
        <v>1474</v>
      </c>
      <c r="C308" s="418">
        <v>1256700</v>
      </c>
      <c r="D308" s="438" t="s">
        <v>869</v>
      </c>
      <c r="E308" s="261" t="str">
        <f>+VLOOKUP(D308,'Conteo VACIO'!$A$8:$D$226,4,0)</f>
        <v>K7B</v>
      </c>
      <c r="F308" s="438"/>
      <c r="G308" s="356" t="s">
        <v>1307</v>
      </c>
      <c r="H308" s="632"/>
      <c r="I308" s="476"/>
      <c r="J308" s="310"/>
      <c r="L308" s="902">
        <f>+Q308/P308</f>
        <v>15.471025459926681</v>
      </c>
      <c r="M308" s="948">
        <f>+IFERROR(U308/X308,0)</f>
        <v>15.471025459926681</v>
      </c>
      <c r="O308" s="957">
        <f t="shared" ref="O308:O312" si="93">IF(P308-Q308-R308&lt;0,0,P308-Q308-R308)</f>
        <v>0</v>
      </c>
      <c r="P308" s="486">
        <f>+IFERROR(AE308*AK308,0)</f>
        <v>118932</v>
      </c>
      <c r="Q308" s="346">
        <f>+Z308*AG308</f>
        <v>1840000</v>
      </c>
      <c r="R308" s="751"/>
      <c r="T308" s="401">
        <f>+IFERROR(SUMIFS('Stock CD'!D:D,D397,'Stock CD'!C:C),0)</f>
        <v>0</v>
      </c>
      <c r="U308" s="404">
        <f>+T308+Q308</f>
        <v>1840000</v>
      </c>
      <c r="W308" s="401">
        <f>+IFERROR(VLOOKUP(G308,'Stock CD'!A:I,10,0),0)</f>
        <v>0</v>
      </c>
      <c r="X308" s="404">
        <f>+W308+P308</f>
        <v>118932</v>
      </c>
      <c r="Z308" s="712">
        <f>+SUMIFS('Conteo VACIO'!F:F,'Conteo VACIO'!$A:$A,$D308)</f>
        <v>23</v>
      </c>
      <c r="AA308" s="304">
        <f>+SUMIFS('Conteo VACIO'!G:G,'Conteo VACIO'!$A:$A,$D308)</f>
        <v>0</v>
      </c>
      <c r="AB308" s="534">
        <v>8000</v>
      </c>
      <c r="AD308" s="398" t="s">
        <v>1474</v>
      </c>
      <c r="AE308" s="428">
        <f>SUMIFS('Est Madre LK 10-25'!$C:$C,'Est Madre LK 10-25'!$E:$E,"49x25")+SUMIFS('Est Madre CH 10-25'!$C:$C,'Est Madre CH 10-25'!$E:$E,"49x25")+IFERROR(VLOOKUP(G308,'TN ETIQUETAS'!$A$2:$D$6,4,0),0)</f>
        <v>39644</v>
      </c>
      <c r="AF308" s="361">
        <f>20*AB308</f>
        <v>160000</v>
      </c>
      <c r="AG308" s="361">
        <f>8000*10</f>
        <v>80000</v>
      </c>
      <c r="AH308" s="341">
        <v>23.82</v>
      </c>
      <c r="AI308" s="599"/>
      <c r="AK308" s="472">
        <v>3</v>
      </c>
    </row>
    <row r="309" spans="1:40" ht="18.600000000000001" thickBot="1" x14ac:dyDescent="0.4">
      <c r="A309" t="s">
        <v>1474</v>
      </c>
      <c r="C309" s="419">
        <v>1255700</v>
      </c>
      <c r="D309" s="439" t="s">
        <v>869</v>
      </c>
      <c r="E309" s="260" t="str">
        <f>+VLOOKUP(D309,'Conteo VACIO'!$A$8:$D$226,4,0)</f>
        <v>K7B</v>
      </c>
      <c r="F309" s="439"/>
      <c r="G309" s="329" t="s">
        <v>1308</v>
      </c>
      <c r="H309" s="506"/>
      <c r="I309" s="477"/>
      <c r="J309" s="310"/>
      <c r="L309" s="903">
        <f>+Q309/P309</f>
        <v>80.744251360365098</v>
      </c>
      <c r="M309" s="949">
        <f>+IFERROR(U309/X309,0)</f>
        <v>80.744251360365098</v>
      </c>
      <c r="O309" s="957">
        <f t="shared" si="93"/>
        <v>0</v>
      </c>
      <c r="P309" s="487">
        <f>+IFERROR(AE309*AK309,0)</f>
        <v>22788</v>
      </c>
      <c r="Q309" s="345">
        <f>+Z309*AG309</f>
        <v>1840000</v>
      </c>
      <c r="R309" s="753"/>
      <c r="T309" s="402">
        <f>+IFERROR(SUMIFS('Stock CD'!D:D,D398,'Stock CD'!C:C),0)</f>
        <v>0</v>
      </c>
      <c r="U309" s="405">
        <f>+T309+Q309</f>
        <v>1840000</v>
      </c>
      <c r="W309" s="402">
        <f>+IFERROR(VLOOKUP(G309,'Stock CD'!A:I,10,0),0)</f>
        <v>0</v>
      </c>
      <c r="X309" s="405">
        <f>+W309+P309</f>
        <v>22788</v>
      </c>
      <c r="Z309" s="450">
        <f>+SUMIFS('Conteo VACIO'!F:F,'Conteo VACIO'!$A:$A,$D309)</f>
        <v>23</v>
      </c>
      <c r="AA309" s="305">
        <f>+SUMIFS('Conteo VACIO'!G:G,'Conteo VACIO'!$A:$A,$D309)</f>
        <v>0</v>
      </c>
      <c r="AB309" s="517">
        <v>8000</v>
      </c>
      <c r="AD309" s="430" t="s">
        <v>1474</v>
      </c>
      <c r="AE309" s="414">
        <f>SUMIFS('Est Madre LK 10-25'!$C:$C,'Est Madre LK 10-25'!$E:$E,"38x20")+SUMIFS('Est Madre CH 10-25'!$C:$C,'Est Madre CH 10-25'!$E:$E,"38x20")+IFERROR(VLOOKUP(G309,'TN ETIQUETAS'!$A$2:$D$6,4,0),0)</f>
        <v>7596</v>
      </c>
      <c r="AF309" s="362">
        <f>8000*15</f>
        <v>120000</v>
      </c>
      <c r="AG309" s="362">
        <f>8000*10</f>
        <v>80000</v>
      </c>
      <c r="AH309" s="342">
        <v>15</v>
      </c>
      <c r="AI309" s="599"/>
      <c r="AK309" s="473">
        <v>3</v>
      </c>
    </row>
    <row r="310" spans="1:40" ht="18.600000000000001" thickBot="1" x14ac:dyDescent="0.4">
      <c r="A310" t="s">
        <v>1474</v>
      </c>
      <c r="C310" s="419">
        <v>1258700</v>
      </c>
      <c r="D310" s="439" t="s">
        <v>869</v>
      </c>
      <c r="E310" s="260" t="str">
        <f>+VLOOKUP(D310,'Conteo VACIO'!$A$8:$D$226,4,0)</f>
        <v>K7B</v>
      </c>
      <c r="F310" s="439"/>
      <c r="G310" s="329" t="s">
        <v>1309</v>
      </c>
      <c r="H310" s="506"/>
      <c r="I310" s="477"/>
      <c r="J310" s="310"/>
      <c r="L310" s="903">
        <f>+Q310/P310</f>
        <v>230</v>
      </c>
      <c r="M310" s="949">
        <f>+IFERROR(U310/X310,0)</f>
        <v>230</v>
      </c>
      <c r="O310" s="957">
        <f t="shared" si="93"/>
        <v>0</v>
      </c>
      <c r="P310" s="487">
        <f>+IFERROR(AE310*AK310,0)</f>
        <v>3000</v>
      </c>
      <c r="Q310" s="345">
        <f>+Z310*AG310</f>
        <v>690000</v>
      </c>
      <c r="R310" s="753"/>
      <c r="T310" s="402">
        <f>+IFERROR(SUMIFS('Stock CD'!D:D,D399,'Stock CD'!C:C),0)</f>
        <v>0</v>
      </c>
      <c r="U310" s="405">
        <f>+T310+Q310</f>
        <v>690000</v>
      </c>
      <c r="W310" s="402">
        <f>+IFERROR(VLOOKUP(G310,'Stock CD'!A:I,10,0),0)</f>
        <v>0</v>
      </c>
      <c r="X310" s="405">
        <f>+W310+P310</f>
        <v>3000</v>
      </c>
      <c r="Z310" s="450">
        <f>+SUMIFS('Conteo VACIO'!F:F,'Conteo VACIO'!$A:$A,$D310)</f>
        <v>23</v>
      </c>
      <c r="AA310" s="305">
        <f>+SUMIFS('Conteo VACIO'!G:G,'Conteo VACIO'!$A:$A,$D310)</f>
        <v>0</v>
      </c>
      <c r="AB310" s="517">
        <v>8000</v>
      </c>
      <c r="AD310" s="430" t="s">
        <v>1474</v>
      </c>
      <c r="AE310" s="414">
        <f>SUMIFS('Est Madre LK 10-25'!$C:$C,'Est Madre LK 10-25'!$E:$E,"100x35")+SUMIFS('Est Madre CH 10-25'!$C:$C,'Est Madre CH 10-25'!$E:$E,"100x35")+IFERROR(VLOOKUP(G310,'TN ETIQUETAS'!$A$2:$D$6,4,0),0)</f>
        <v>1000</v>
      </c>
      <c r="AF310" s="362">
        <f>20*1000</f>
        <v>20000</v>
      </c>
      <c r="AG310" s="362">
        <f>30*1000</f>
        <v>30000</v>
      </c>
      <c r="AH310" s="342">
        <v>7.15</v>
      </c>
      <c r="AI310" s="599"/>
      <c r="AK310" s="473">
        <v>3</v>
      </c>
    </row>
    <row r="311" spans="1:40" ht="18.600000000000001" thickBot="1" x14ac:dyDescent="0.4">
      <c r="A311" t="s">
        <v>1474</v>
      </c>
      <c r="C311" s="419">
        <v>1257700</v>
      </c>
      <c r="D311" s="439" t="s">
        <v>869</v>
      </c>
      <c r="E311" s="260" t="str">
        <f>+VLOOKUP(D311,'Conteo VACIO'!$A$8:$D$226,4,0)</f>
        <v>K7B</v>
      </c>
      <c r="F311" s="439"/>
      <c r="G311" s="329" t="s">
        <v>1316</v>
      </c>
      <c r="H311" s="506"/>
      <c r="I311" s="477"/>
      <c r="J311" s="310"/>
      <c r="L311" s="903">
        <f>+Q311/P311</f>
        <v>92</v>
      </c>
      <c r="M311" s="949">
        <f>+IFERROR(U311/X311,0)</f>
        <v>92</v>
      </c>
      <c r="O311" s="957">
        <f t="shared" si="93"/>
        <v>0</v>
      </c>
      <c r="P311" s="487">
        <f>+IFERROR(AE311*AK311,0)</f>
        <v>3000</v>
      </c>
      <c r="Q311" s="345">
        <f>+Z311*AG311</f>
        <v>276000</v>
      </c>
      <c r="R311" s="753"/>
      <c r="T311" s="402">
        <f>+IFERROR(SUMIFS('Stock CD'!D:D,D400,'Stock CD'!C:C),0)</f>
        <v>0</v>
      </c>
      <c r="U311" s="405">
        <f>+T311+Q311</f>
        <v>276000</v>
      </c>
      <c r="W311" s="402">
        <f>+IFERROR(VLOOKUP(G311,'Stock CD'!A:I,10,0),0)</f>
        <v>0</v>
      </c>
      <c r="X311" s="405">
        <f>+W311+P311</f>
        <v>3000</v>
      </c>
      <c r="Z311" s="450">
        <f>+SUMIFS('Conteo VACIO'!F:F,'Conteo VACIO'!$A:$A,$D311)</f>
        <v>23</v>
      </c>
      <c r="AA311" s="305">
        <f>+SUMIFS('Conteo VACIO'!G:G,'Conteo VACIO'!$A:$A,$D311)</f>
        <v>0</v>
      </c>
      <c r="AB311" s="517">
        <v>8000</v>
      </c>
      <c r="AD311" s="430" t="s">
        <v>1474</v>
      </c>
      <c r="AE311" s="414">
        <f>SUMIFS('Est Madre LK 10-25'!$C:$C,'Est Madre LK 10-25'!$E:$E,"100x65")+SUMIFS('Est Madre CH 10-25'!$C:$C,'Est Madre CH 10-25'!$E:$E,"100x65")+IFERROR(VLOOKUP(G311,'TN ETIQUETAS'!$A$2:$D$6,4,0),0)</f>
        <v>1000</v>
      </c>
      <c r="AF311" s="362">
        <f>+AG311*20</f>
        <v>240000</v>
      </c>
      <c r="AG311" s="362">
        <f>24*500</f>
        <v>12000</v>
      </c>
      <c r="AH311" s="342">
        <v>8.8000000000000007</v>
      </c>
      <c r="AI311" s="599"/>
      <c r="AK311" s="473">
        <v>3</v>
      </c>
    </row>
    <row r="312" spans="1:40" ht="18.600000000000001" thickBot="1" x14ac:dyDescent="0.4">
      <c r="A312" t="s">
        <v>1474</v>
      </c>
      <c r="C312" s="500">
        <v>1254700</v>
      </c>
      <c r="D312" s="449" t="s">
        <v>869</v>
      </c>
      <c r="E312" s="262" t="str">
        <f>+VLOOKUP(D312,'Conteo VACIO'!$A$8:$D$226,4,0)</f>
        <v>K7B</v>
      </c>
      <c r="F312" s="449"/>
      <c r="G312" s="357" t="s">
        <v>1317</v>
      </c>
      <c r="H312" s="633"/>
      <c r="I312" s="478"/>
      <c r="J312" s="310"/>
      <c r="L312" s="904">
        <f>+Q312/P312</f>
        <v>17.25</v>
      </c>
      <c r="M312" s="950">
        <f>+IFERROR(U312/X312,0)</f>
        <v>17.25</v>
      </c>
      <c r="O312" s="957">
        <f t="shared" si="93"/>
        <v>0</v>
      </c>
      <c r="P312" s="488">
        <f>+IFERROR(AE312*AK312,0)</f>
        <v>6000</v>
      </c>
      <c r="Q312" s="347">
        <f>+Z312*AG312</f>
        <v>103500</v>
      </c>
      <c r="R312" s="755"/>
      <c r="T312" s="403">
        <f>+IFERROR(SUMIFS('Stock CD'!D:D,D401,'Stock CD'!C:C),0)</f>
        <v>0</v>
      </c>
      <c r="U312" s="406">
        <f>+T312+Q312</f>
        <v>103500</v>
      </c>
      <c r="W312" s="403">
        <f>+IFERROR(VLOOKUP(G312,'Stock CD'!A:I,10,0),0)</f>
        <v>0</v>
      </c>
      <c r="X312" s="406">
        <f>+W312+P312</f>
        <v>6000</v>
      </c>
      <c r="Z312" s="451">
        <f>+SUMIFS('Conteo VACIO'!F:F,'Conteo VACIO'!$A:$A,$D312)</f>
        <v>23</v>
      </c>
      <c r="AA312" s="306">
        <f>+SUMIFS('Conteo VACIO'!G:G,'Conteo VACIO'!$A:$A,$D312)</f>
        <v>0</v>
      </c>
      <c r="AB312" s="518">
        <v>8000</v>
      </c>
      <c r="AD312" s="431" t="s">
        <v>1474</v>
      </c>
      <c r="AE312" s="429">
        <f>IFERROR(VLOOKUP(G312,'TN ETIQUETAS'!$A$2:$D$6,4,0),0)</f>
        <v>2000</v>
      </c>
      <c r="AF312" s="364">
        <f>10*AG312</f>
        <v>45000</v>
      </c>
      <c r="AG312" s="364">
        <f>10*450</f>
        <v>4500</v>
      </c>
      <c r="AH312" s="343">
        <v>15</v>
      </c>
      <c r="AI312" s="599"/>
      <c r="AK312" s="474">
        <v>3</v>
      </c>
    </row>
    <row r="313" spans="1:40" s="208" customFormat="1" ht="10.199999999999999" customHeight="1" x14ac:dyDescent="0.35">
      <c r="B313"/>
      <c r="C313" s="294"/>
      <c r="D313" s="371"/>
      <c r="E313"/>
      <c r="F313" s="371"/>
      <c r="G313" s="340"/>
      <c r="H313" s="749"/>
      <c r="I313" s="340"/>
      <c r="J313" s="340"/>
      <c r="L313" s="340"/>
      <c r="M313" s="351"/>
      <c r="O313" s="384"/>
      <c r="P313" s="370"/>
      <c r="Q313" s="344"/>
      <c r="R313" s="384"/>
      <c r="S313" s="865"/>
      <c r="T313" s="351"/>
      <c r="U313" s="351"/>
      <c r="W313" s="351"/>
      <c r="X313" s="351"/>
      <c r="Y313"/>
      <c r="Z313" s="371"/>
      <c r="AA313" s="340"/>
      <c r="AB313" s="371"/>
      <c r="AC313"/>
      <c r="AD313" s="299"/>
      <c r="AE313" s="292"/>
      <c r="AG313" s="127"/>
      <c r="AH313"/>
      <c r="AI313" s="292"/>
      <c r="AJ313" s="127"/>
      <c r="AK313" s="299"/>
    </row>
    <row r="314" spans="1:40" s="208" customFormat="1" ht="29.4" thickBot="1" x14ac:dyDescent="0.4">
      <c r="B314"/>
      <c r="C314" s="294"/>
      <c r="D314" s="371"/>
      <c r="E314"/>
      <c r="F314" s="371"/>
      <c r="G314" s="457" t="s">
        <v>1496</v>
      </c>
      <c r="H314" s="501"/>
      <c r="I314" s="457"/>
      <c r="J314" s="457"/>
      <c r="L314" s="340"/>
      <c r="M314" s="351"/>
      <c r="O314" s="384"/>
      <c r="P314" s="370"/>
      <c r="Q314" s="344"/>
      <c r="R314" s="384"/>
      <c r="T314" s="351"/>
      <c r="U314" s="351"/>
      <c r="W314" s="351"/>
      <c r="X314" s="351"/>
      <c r="Y314"/>
      <c r="Z314" s="371"/>
      <c r="AA314" s="340"/>
      <c r="AB314" s="371"/>
      <c r="AC314"/>
      <c r="AD314" s="299"/>
      <c r="AE314" s="292"/>
      <c r="AG314" s="127"/>
      <c r="AH314"/>
      <c r="AI314" s="292"/>
      <c r="AJ314" s="127"/>
      <c r="AK314" s="299"/>
    </row>
    <row r="315" spans="1:40" s="208" customFormat="1" ht="29.4" thickBot="1" x14ac:dyDescent="0.4">
      <c r="B315"/>
      <c r="C315" s="294"/>
      <c r="D315" s="371"/>
      <c r="E315"/>
      <c r="F315" s="371"/>
      <c r="G315" s="455" t="s">
        <v>1475</v>
      </c>
      <c r="H315" s="503" t="s">
        <v>1497</v>
      </c>
      <c r="I315" s="456"/>
      <c r="J315" s="941"/>
      <c r="L315" s="484"/>
      <c r="M315" s="351"/>
      <c r="O315" s="384"/>
      <c r="P315" s="370"/>
      <c r="Q315" s="344"/>
      <c r="R315" s="384"/>
      <c r="S315" s="891"/>
      <c r="T315" s="351"/>
      <c r="U315" s="351"/>
      <c r="W315" s="351"/>
      <c r="X315" s="351"/>
      <c r="Y315"/>
      <c r="Z315" s="371"/>
      <c r="AA315" s="340"/>
      <c r="AB315" s="371"/>
      <c r="AC315"/>
      <c r="AD315" s="299"/>
      <c r="AE315" s="292"/>
      <c r="AG315" s="127"/>
      <c r="AH315"/>
      <c r="AI315" s="292"/>
      <c r="AJ315" s="127"/>
      <c r="AK315" s="299"/>
    </row>
    <row r="316" spans="1:40" ht="54" customHeight="1" thickBot="1" x14ac:dyDescent="0.35">
      <c r="C316" s="312" t="s">
        <v>1293</v>
      </c>
      <c r="D316" s="452" t="s">
        <v>748</v>
      </c>
      <c r="E316" s="558" t="s">
        <v>1198</v>
      </c>
      <c r="F316" s="312" t="s">
        <v>1018</v>
      </c>
      <c r="G316" s="328" t="s">
        <v>1303</v>
      </c>
      <c r="H316" s="502" t="s">
        <v>1700</v>
      </c>
      <c r="I316" s="321" t="s">
        <v>1515</v>
      </c>
      <c r="J316" s="317"/>
      <c r="L316" s="321" t="s">
        <v>1388</v>
      </c>
      <c r="M316" s="331" t="s">
        <v>1439</v>
      </c>
      <c r="O316" s="291" t="s">
        <v>1042</v>
      </c>
      <c r="P316" s="970" t="s">
        <v>1402</v>
      </c>
      <c r="Q316" s="291" t="s">
        <v>1178</v>
      </c>
      <c r="R316" s="970" t="s">
        <v>1781</v>
      </c>
      <c r="T316" s="321" t="s">
        <v>1440</v>
      </c>
      <c r="U316" s="321" t="s">
        <v>1441</v>
      </c>
      <c r="W316" s="296" t="s">
        <v>1442</v>
      </c>
      <c r="X316" s="291" t="s">
        <v>1443</v>
      </c>
      <c r="Z316" s="313" t="s">
        <v>1437</v>
      </c>
      <c r="AA316" s="321" t="s">
        <v>1460</v>
      </c>
      <c r="AB316" s="314" t="s">
        <v>857</v>
      </c>
      <c r="AD316" s="291" t="s">
        <v>1403</v>
      </c>
      <c r="AE316" s="291" t="s">
        <v>1415</v>
      </c>
      <c r="AF316" s="296" t="s">
        <v>1438</v>
      </c>
      <c r="AG316" s="291" t="s">
        <v>1421</v>
      </c>
      <c r="AH316" s="291" t="s">
        <v>1387</v>
      </c>
      <c r="AI316" s="317"/>
      <c r="AK316" s="321" t="s">
        <v>1513</v>
      </c>
      <c r="AM316" s="321" t="s">
        <v>1822</v>
      </c>
      <c r="AN316" s="321" t="s">
        <v>1823</v>
      </c>
    </row>
    <row r="317" spans="1:40" x14ac:dyDescent="0.35">
      <c r="A317" t="s">
        <v>1475</v>
      </c>
      <c r="C317" s="418">
        <v>1202700</v>
      </c>
      <c r="D317" s="438">
        <v>504</v>
      </c>
      <c r="E317" s="261" t="str">
        <f>+VLOOKUP(D317,'Conteo VACIO'!$A$8:$D$226,4,0)</f>
        <v>C3</v>
      </c>
      <c r="F317" s="323" t="s">
        <v>746</v>
      </c>
      <c r="G317" s="374" t="s">
        <v>1432</v>
      </c>
      <c r="H317" s="632"/>
      <c r="I317" s="353"/>
      <c r="J317" s="453"/>
      <c r="L317" s="978">
        <f>+Q317/P317</f>
        <v>0.61940156279778924</v>
      </c>
      <c r="M317" s="492">
        <f>+IFERROR(U317/X317,0)</f>
        <v>0.61940156279778924</v>
      </c>
      <c r="O317" s="1046">
        <f t="shared" ref="O317:O319" si="94">IF(P317-Q317-R317&lt;0,0,P317-Q317-R317)</f>
        <v>7988</v>
      </c>
      <c r="P317" s="679">
        <f>+AE317*3</f>
        <v>20988</v>
      </c>
      <c r="Q317" s="621">
        <f>+Z317*AG317</f>
        <v>13000</v>
      </c>
      <c r="R317" s="969"/>
      <c r="T317" s="401">
        <f>+IFERROR(SUMIFS('Stock CD'!D:D,D406,'Stock CD'!C:C),0)</f>
        <v>0</v>
      </c>
      <c r="U317" s="404">
        <f>+T317+Q317</f>
        <v>13000</v>
      </c>
      <c r="W317" s="407">
        <f>+VLOOKUP(D317,'Stock CD'!B:I,8,0)</f>
        <v>0</v>
      </c>
      <c r="X317" s="408">
        <f>+W317+P317</f>
        <v>20988</v>
      </c>
      <c r="Z317" s="712">
        <f>+SUMIFS('Conteo VACIO'!F:F,'Conteo VACIO'!$A:$A,$D317)</f>
        <v>13</v>
      </c>
      <c r="AA317" s="304">
        <f>+SUMIFS('Conteo VACIO'!G:G,'Conteo VACIO'!$A:$A,$D317)</f>
        <v>1580</v>
      </c>
      <c r="AB317" s="534">
        <v>10000</v>
      </c>
      <c r="AD317" s="434" t="s">
        <v>1475</v>
      </c>
      <c r="AE317" s="414">
        <f>+IFERROR(VLOOKUP(D317,'Est Madre LK 10-25'!A:C,3,),VLOOKUP(D317,'Est Madre CH 10-25'!A:C,3,))</f>
        <v>6996</v>
      </c>
      <c r="AF317" s="362">
        <v>10000</v>
      </c>
      <c r="AG317" s="260">
        <v>1000</v>
      </c>
      <c r="AH317" s="424">
        <v>9.92</v>
      </c>
      <c r="AI317" s="599"/>
      <c r="AK317" s="472">
        <v>3</v>
      </c>
      <c r="AM317" s="398">
        <v>100</v>
      </c>
      <c r="AN317" s="333">
        <v>0</v>
      </c>
    </row>
    <row r="318" spans="1:40" x14ac:dyDescent="0.35">
      <c r="A318" t="s">
        <v>1475</v>
      </c>
      <c r="C318" s="419">
        <v>1202701</v>
      </c>
      <c r="D318" s="439">
        <v>114</v>
      </c>
      <c r="E318" s="260" t="str">
        <f>+VLOOKUP(D318,'Conteo VACIO'!$A$8:$D$226,4,0)</f>
        <v>K4B</v>
      </c>
      <c r="F318" s="322" t="s">
        <v>746</v>
      </c>
      <c r="G318" s="372" t="s">
        <v>1613</v>
      </c>
      <c r="H318" s="506"/>
      <c r="I318" s="354"/>
      <c r="J318" s="453"/>
      <c r="L318" s="980">
        <f>+Q318/P318</f>
        <v>0</v>
      </c>
      <c r="M318" s="485">
        <f>+IFERROR(U318/X318,0)</f>
        <v>0</v>
      </c>
      <c r="O318" s="921">
        <f t="shared" si="94"/>
        <v>1800</v>
      </c>
      <c r="P318" s="381">
        <f>+AE318*3</f>
        <v>1800</v>
      </c>
      <c r="Q318" s="345">
        <f>+Z318*AG318</f>
        <v>0</v>
      </c>
      <c r="R318" s="689"/>
      <c r="T318" s="402">
        <f>+IFERROR(SUMIFS('Stock CD'!D:D,D407,'Stock CD'!C:C),0)</f>
        <v>0</v>
      </c>
      <c r="U318" s="405">
        <f>+T318+Q318</f>
        <v>0</v>
      </c>
      <c r="W318" s="407">
        <f>+VLOOKUP(D318,'Stock CD'!B:I,8,0)</f>
        <v>0</v>
      </c>
      <c r="X318" s="408">
        <f>+W318+P318</f>
        <v>1800</v>
      </c>
      <c r="Z318" s="450">
        <f>+SUMIFS('Conteo VACIO'!F:F,'Conteo VACIO'!$A:$A,$D318)</f>
        <v>0</v>
      </c>
      <c r="AA318" s="305">
        <f>+SUMIFS('Conteo VACIO'!G:G,'Conteo VACIO'!$A:$A,$D318)</f>
        <v>0</v>
      </c>
      <c r="AB318" s="517">
        <v>10000</v>
      </c>
      <c r="AD318" s="434" t="s">
        <v>1475</v>
      </c>
      <c r="AE318" s="530">
        <v>600</v>
      </c>
      <c r="AF318" s="362">
        <v>10000</v>
      </c>
      <c r="AG318" s="260">
        <v>1000</v>
      </c>
      <c r="AH318" s="424">
        <v>9.92</v>
      </c>
      <c r="AI318" s="599"/>
      <c r="AK318" s="531">
        <v>3</v>
      </c>
      <c r="AM318" s="430">
        <v>100</v>
      </c>
      <c r="AN318" s="335">
        <v>0</v>
      </c>
    </row>
    <row r="319" spans="1:40" ht="18.600000000000001" thickBot="1" x14ac:dyDescent="0.4">
      <c r="A319" t="s">
        <v>1475</v>
      </c>
      <c r="C319" s="500">
        <v>2302700</v>
      </c>
      <c r="D319" s="449">
        <v>97</v>
      </c>
      <c r="E319" s="262" t="str">
        <f>+VLOOKUP(D319,'Conteo VACIO'!$A$8:$D$226,4,0)</f>
        <v>S4A</v>
      </c>
      <c r="F319" s="324" t="s">
        <v>1041</v>
      </c>
      <c r="G319" s="357" t="s">
        <v>1433</v>
      </c>
      <c r="H319" s="262"/>
      <c r="I319" s="478"/>
      <c r="J319" s="310"/>
      <c r="L319" s="979">
        <f>+Q319/P319</f>
        <v>4.4444444444444446</v>
      </c>
      <c r="M319" s="493">
        <f>+IFERROR(U319/X319,0)</f>
        <v>4.4444444444444446</v>
      </c>
      <c r="O319" s="781">
        <f t="shared" si="94"/>
        <v>0</v>
      </c>
      <c r="P319" s="382">
        <v>1350</v>
      </c>
      <c r="Q319" s="347">
        <f>+Z319*AG319</f>
        <v>6000</v>
      </c>
      <c r="R319" s="690"/>
      <c r="T319" s="403">
        <f>+IFERROR(SUMIFS('Stock CD'!D:D,D407,'Stock CD'!C:C),0)</f>
        <v>0</v>
      </c>
      <c r="U319" s="406">
        <f>+T319+Q319</f>
        <v>6000</v>
      </c>
      <c r="W319" s="403">
        <f>+VLOOKUP(D319,'Stock CD'!B:I,8,0)</f>
        <v>0</v>
      </c>
      <c r="X319" s="406">
        <f>+W319+P319</f>
        <v>1350</v>
      </c>
      <c r="Z319" s="451">
        <f>+SUMIFS('Conteo VACIO'!F:F,'Conteo VACIO'!$A:$A,$D319)</f>
        <v>6</v>
      </c>
      <c r="AA319" s="306">
        <f>+SUMIFS('Conteo VACIO'!G:G,'Conteo VACIO'!$A:$A,$D319)</f>
        <v>500</v>
      </c>
      <c r="AB319" s="518">
        <v>10000</v>
      </c>
      <c r="AD319" s="435" t="s">
        <v>1475</v>
      </c>
      <c r="AE319" s="429">
        <f>+IFERROR(VLOOKUP(D319,'Est Madre LK 10-25'!A:C,3,),VLOOKUP(D319,'Est Madre CH 10-25'!A:C,3,))</f>
        <v>840</v>
      </c>
      <c r="AF319" s="364">
        <v>10000</v>
      </c>
      <c r="AG319" s="262">
        <v>1000</v>
      </c>
      <c r="AH319" s="343">
        <v>9.92</v>
      </c>
      <c r="AI319" s="599"/>
      <c r="AK319" s="474">
        <v>3</v>
      </c>
      <c r="AM319" s="431">
        <v>0</v>
      </c>
      <c r="AN319" s="337">
        <v>100</v>
      </c>
    </row>
    <row r="320" spans="1:40" s="208" customFormat="1" ht="10.199999999999999" customHeight="1" x14ac:dyDescent="0.35">
      <c r="B320"/>
      <c r="C320" s="294"/>
      <c r="D320" s="371"/>
      <c r="E320"/>
      <c r="F320" s="371"/>
      <c r="G320" s="340"/>
      <c r="H320" s="749"/>
      <c r="I320" s="340"/>
      <c r="J320" s="340"/>
      <c r="L320" s="340"/>
      <c r="M320" s="351"/>
      <c r="O320" s="384"/>
      <c r="P320" s="370"/>
      <c r="Q320" s="344"/>
      <c r="R320" s="384"/>
      <c r="S320" s="865"/>
      <c r="T320" s="351"/>
      <c r="U320" s="351"/>
      <c r="W320" s="351"/>
      <c r="X320" s="351"/>
      <c r="Y320"/>
      <c r="Z320" s="371"/>
      <c r="AA320" s="340"/>
      <c r="AB320" s="371"/>
      <c r="AC320"/>
      <c r="AD320" s="299"/>
      <c r="AE320" s="292"/>
      <c r="AG320" s="127"/>
      <c r="AH320"/>
      <c r="AI320" s="292"/>
      <c r="AJ320" s="127"/>
      <c r="AK320" s="299"/>
    </row>
    <row r="321" spans="1:37" s="208" customFormat="1" ht="29.4" thickBot="1" x14ac:dyDescent="0.4">
      <c r="B321"/>
      <c r="C321" s="294"/>
      <c r="D321" s="371"/>
      <c r="E321"/>
      <c r="F321" s="371"/>
      <c r="G321" s="457" t="s">
        <v>1496</v>
      </c>
      <c r="H321" s="501"/>
      <c r="I321" s="457"/>
      <c r="J321" s="457"/>
      <c r="L321" s="340"/>
      <c r="M321" s="351"/>
      <c r="O321" s="384"/>
      <c r="P321" s="370"/>
      <c r="Q321" s="344"/>
      <c r="R321" s="384"/>
      <c r="T321" s="351"/>
      <c r="U321" s="351"/>
      <c r="W321" s="351"/>
      <c r="X321" s="351"/>
      <c r="Y321"/>
      <c r="Z321" s="371"/>
      <c r="AA321" s="340"/>
      <c r="AB321" s="371"/>
      <c r="AC321"/>
      <c r="AD321" s="299"/>
      <c r="AE321" s="292"/>
      <c r="AG321" s="127"/>
      <c r="AH321"/>
      <c r="AI321" s="292"/>
      <c r="AJ321" s="127"/>
      <c r="AK321" s="299"/>
    </row>
    <row r="322" spans="1:37" s="208" customFormat="1" ht="29.4" thickBot="1" x14ac:dyDescent="0.4">
      <c r="B322"/>
      <c r="C322" s="294"/>
      <c r="D322" s="371"/>
      <c r="E322"/>
      <c r="F322" s="371"/>
      <c r="G322" s="455" t="s">
        <v>1473</v>
      </c>
      <c r="H322" s="503" t="s">
        <v>1497</v>
      </c>
      <c r="I322" s="456"/>
      <c r="J322" s="941"/>
      <c r="L322" s="484"/>
      <c r="M322" s="351"/>
      <c r="O322" s="384"/>
      <c r="P322" s="370"/>
      <c r="Q322" s="344"/>
      <c r="R322" s="384"/>
      <c r="S322" s="891"/>
      <c r="T322" s="351"/>
      <c r="U322" s="351"/>
      <c r="W322" s="351"/>
      <c r="X322" s="351"/>
      <c r="Y322"/>
      <c r="Z322" s="371"/>
      <c r="AA322" s="340"/>
      <c r="AB322" s="371"/>
      <c r="AC322"/>
      <c r="AD322" s="299"/>
      <c r="AE322" s="292"/>
      <c r="AG322" s="127"/>
      <c r="AH322"/>
      <c r="AI322" s="292"/>
      <c r="AJ322" s="127"/>
      <c r="AK322" s="299"/>
    </row>
    <row r="323" spans="1:37" ht="56.25" customHeight="1" thickBot="1" x14ac:dyDescent="0.35">
      <c r="C323" s="312" t="s">
        <v>1293</v>
      </c>
      <c r="D323" s="312" t="s">
        <v>748</v>
      </c>
      <c r="E323" s="312" t="s">
        <v>1198</v>
      </c>
      <c r="F323" s="312" t="s">
        <v>1018</v>
      </c>
      <c r="G323" s="328" t="s">
        <v>1314</v>
      </c>
      <c r="H323" s="502" t="s">
        <v>1500</v>
      </c>
      <c r="I323" s="321" t="s">
        <v>1515</v>
      </c>
      <c r="J323" s="317"/>
      <c r="L323" s="291" t="s">
        <v>1388</v>
      </c>
      <c r="M323" s="970" t="s">
        <v>1439</v>
      </c>
      <c r="O323" s="291" t="s">
        <v>1042</v>
      </c>
      <c r="P323" s="293" t="s">
        <v>1402</v>
      </c>
      <c r="Q323" s="977" t="s">
        <v>1178</v>
      </c>
      <c r="R323" s="710" t="s">
        <v>1781</v>
      </c>
      <c r="T323" s="291" t="s">
        <v>1440</v>
      </c>
      <c r="U323" s="970" t="s">
        <v>1441</v>
      </c>
      <c r="W323" s="313" t="s">
        <v>1442</v>
      </c>
      <c r="X323" s="321" t="s">
        <v>1443</v>
      </c>
      <c r="Z323" s="296" t="s">
        <v>1197</v>
      </c>
      <c r="AA323" s="291" t="s">
        <v>1460</v>
      </c>
      <c r="AB323" s="293" t="s">
        <v>1447</v>
      </c>
      <c r="AD323" s="291" t="s">
        <v>1403</v>
      </c>
      <c r="AE323" s="291" t="s">
        <v>1415</v>
      </c>
      <c r="AF323" s="296" t="s">
        <v>1390</v>
      </c>
      <c r="AG323" s="291" t="s">
        <v>1490</v>
      </c>
      <c r="AH323" s="291" t="s">
        <v>1387</v>
      </c>
      <c r="AI323" s="317"/>
      <c r="AK323" s="321" t="s">
        <v>1513</v>
      </c>
    </row>
    <row r="324" spans="1:37" ht="18.600000000000001" customHeight="1" thickBot="1" x14ac:dyDescent="0.4">
      <c r="A324" t="s">
        <v>1473</v>
      </c>
      <c r="C324" s="469">
        <v>6010600</v>
      </c>
      <c r="D324" s="438">
        <v>535</v>
      </c>
      <c r="E324" s="261" t="s">
        <v>1632</v>
      </c>
      <c r="F324" s="323" t="s">
        <v>746</v>
      </c>
      <c r="G324" s="374" t="s">
        <v>1456</v>
      </c>
      <c r="H324" s="632"/>
      <c r="I324" s="479"/>
      <c r="J324" s="453"/>
      <c r="L324" s="917">
        <f t="shared" ref="L324:L329" si="95">+Q324/P324</f>
        <v>0</v>
      </c>
      <c r="M324" s="975">
        <f t="shared" ref="M324:M329" si="96">+IFERROR(U324/X324,0)</f>
        <v>0</v>
      </c>
      <c r="O324" s="957">
        <f t="shared" ref="O324:O329" si="97">IF(P324-Q324-R324&lt;0,0,P324-Q324-R324)</f>
        <v>4752</v>
      </c>
      <c r="P324" s="482">
        <f t="shared" ref="P324:P329" si="98">+IFERROR(AE324*AK324,0)</f>
        <v>4752</v>
      </c>
      <c r="Q324" s="367">
        <f>+Z324*AG324</f>
        <v>0</v>
      </c>
      <c r="R324" s="751"/>
      <c r="T324" s="409">
        <f>+IFERROR(SUMIFS('Stock CD'!D:D,D412,'Stock CD'!C:C),0)</f>
        <v>0</v>
      </c>
      <c r="U324" s="410">
        <f t="shared" ref="U324:U329" si="99">+T324+Q324</f>
        <v>0</v>
      </c>
      <c r="W324" s="409">
        <f>+VLOOKUP(D324,'Stock CD'!B:I,8,0)</f>
        <v>0</v>
      </c>
      <c r="X324" s="410">
        <f t="shared" ref="X324:X328" si="100">+W324+P324</f>
        <v>4752</v>
      </c>
      <c r="Z324" s="831">
        <f>+VLOOKUP(E324,'Conteo VACIO'!$D$221:$H$226,3,)</f>
        <v>0</v>
      </c>
      <c r="AA324" s="831">
        <f>+VLOOKUP(E324,'Conteo VACIO'!$D$221:$H$226,4,)</f>
        <v>0</v>
      </c>
      <c r="AB324" s="622"/>
      <c r="AD324" s="398" t="s">
        <v>1473</v>
      </c>
      <c r="AE324" s="428">
        <f>+IFERROR(VLOOKUP(D324,'Est Madre LK 10-25'!A:C,3,),VLOOKUP(D324,'Est Madre CH 10-25'!A:C,3,))</f>
        <v>1584</v>
      </c>
      <c r="AF324" s="361"/>
      <c r="AG324" s="361">
        <v>200</v>
      </c>
      <c r="AH324" s="415">
        <v>460</v>
      </c>
      <c r="AI324" s="604"/>
      <c r="AK324" s="472">
        <v>3</v>
      </c>
    </row>
    <row r="325" spans="1:37" ht="18.600000000000001" customHeight="1" thickBot="1" x14ac:dyDescent="0.4">
      <c r="A325" t="s">
        <v>1473</v>
      </c>
      <c r="C325" s="470">
        <v>5154600</v>
      </c>
      <c r="D325" s="439">
        <v>307</v>
      </c>
      <c r="E325" s="260" t="s">
        <v>1631</v>
      </c>
      <c r="F325" s="322" t="s">
        <v>1041</v>
      </c>
      <c r="G325" s="372" t="s">
        <v>1457</v>
      </c>
      <c r="H325" s="506"/>
      <c r="I325" s="480"/>
      <c r="J325" s="453"/>
      <c r="L325" s="918">
        <f t="shared" si="95"/>
        <v>0</v>
      </c>
      <c r="M325" s="976">
        <f t="shared" si="96"/>
        <v>0</v>
      </c>
      <c r="O325" s="957">
        <f t="shared" si="97"/>
        <v>1080</v>
      </c>
      <c r="P325" s="483">
        <f t="shared" si="98"/>
        <v>1080</v>
      </c>
      <c r="Q325" s="368">
        <f t="shared" ref="Q325:Q329" si="101">+Z325*AG325</f>
        <v>0</v>
      </c>
      <c r="R325" s="753"/>
      <c r="T325" s="411">
        <f>+IFERROR(SUMIFS('Stock CD'!D:D,D413,'Stock CD'!C:C),0)</f>
        <v>0</v>
      </c>
      <c r="U325" s="412">
        <f t="shared" si="99"/>
        <v>0</v>
      </c>
      <c r="W325" s="411">
        <f>+VLOOKUP(D325,'Stock CD'!B:I,8,0)</f>
        <v>0</v>
      </c>
      <c r="X325" s="412">
        <f t="shared" si="100"/>
        <v>1080</v>
      </c>
      <c r="Z325" s="831">
        <f>+VLOOKUP(E325,'Conteo VACIO'!$D$221:$H$226,3,)</f>
        <v>0</v>
      </c>
      <c r="AA325" s="831">
        <f>+VLOOKUP(E325,'Conteo VACIO'!$D$221:$H$226,4,)</f>
        <v>0</v>
      </c>
      <c r="AB325" s="517"/>
      <c r="AD325" s="430" t="s">
        <v>1473</v>
      </c>
      <c r="AE325" s="414">
        <f>+IFERROR(VLOOKUP(D325,'Est Madre LK 10-25'!A:C,3,),VLOOKUP(D325,'Est Madre CH 10-25'!A:C,3,))</f>
        <v>360</v>
      </c>
      <c r="AF325" s="362"/>
      <c r="AG325" s="362">
        <v>200</v>
      </c>
      <c r="AH325" s="416">
        <v>460</v>
      </c>
      <c r="AI325" s="604"/>
      <c r="AK325" s="473">
        <v>3</v>
      </c>
    </row>
    <row r="326" spans="1:37" ht="18.600000000000001" customHeight="1" thickBot="1" x14ac:dyDescent="0.4">
      <c r="A326" t="s">
        <v>1473</v>
      </c>
      <c r="C326" s="470">
        <v>6015600</v>
      </c>
      <c r="D326" s="439">
        <v>534</v>
      </c>
      <c r="E326" s="260" t="s">
        <v>1633</v>
      </c>
      <c r="F326" s="322" t="s">
        <v>746</v>
      </c>
      <c r="G326" s="372" t="s">
        <v>1487</v>
      </c>
      <c r="H326" s="506"/>
      <c r="I326" s="480"/>
      <c r="J326" s="453"/>
      <c r="L326" s="918">
        <f t="shared" si="95"/>
        <v>0</v>
      </c>
      <c r="M326" s="976">
        <f t="shared" si="96"/>
        <v>0</v>
      </c>
      <c r="O326" s="957">
        <f t="shared" si="97"/>
        <v>432</v>
      </c>
      <c r="P326" s="483">
        <f t="shared" si="98"/>
        <v>432</v>
      </c>
      <c r="Q326" s="368">
        <f t="shared" si="101"/>
        <v>0</v>
      </c>
      <c r="R326" s="753"/>
      <c r="T326" s="411">
        <f>+IFERROR(SUMIFS('Stock CD'!D:D,D414,'Stock CD'!C:C),0)</f>
        <v>0</v>
      </c>
      <c r="U326" s="412">
        <f t="shared" si="99"/>
        <v>0</v>
      </c>
      <c r="W326" s="411">
        <f>+VLOOKUP(D326,'Stock CD'!B:I,8,0)</f>
        <v>0</v>
      </c>
      <c r="X326" s="412">
        <f t="shared" si="100"/>
        <v>432</v>
      </c>
      <c r="Z326" s="831">
        <f>+VLOOKUP(E326,'Conteo VACIO'!$D$221:$H$226,3,)</f>
        <v>0</v>
      </c>
      <c r="AA326" s="831">
        <f>+VLOOKUP(E326,'Conteo VACIO'!$D$221:$H$226,4,)</f>
        <v>0</v>
      </c>
      <c r="AB326" s="517"/>
      <c r="AD326" s="430" t="s">
        <v>1473</v>
      </c>
      <c r="AE326" s="414">
        <f>+IFERROR(VLOOKUP(D326,'Est Madre LK 10-25'!A:C,3,),VLOOKUP(D326,'Est Madre CH 10-25'!A:C,3,))</f>
        <v>144</v>
      </c>
      <c r="AF326" s="362"/>
      <c r="AG326" s="362">
        <v>200</v>
      </c>
      <c r="AH326" s="416">
        <v>490</v>
      </c>
      <c r="AI326" s="604"/>
      <c r="AK326" s="473">
        <v>3</v>
      </c>
    </row>
    <row r="327" spans="1:37" ht="18.600000000000001" customHeight="1" thickBot="1" x14ac:dyDescent="0.4">
      <c r="A327" t="s">
        <v>1473</v>
      </c>
      <c r="C327" s="470">
        <v>5157600</v>
      </c>
      <c r="D327" s="439">
        <v>52</v>
      </c>
      <c r="E327" s="260" t="s">
        <v>1634</v>
      </c>
      <c r="F327" s="322" t="s">
        <v>1041</v>
      </c>
      <c r="G327" s="372" t="s">
        <v>1488</v>
      </c>
      <c r="H327" s="506"/>
      <c r="I327" s="480"/>
      <c r="J327" s="453"/>
      <c r="L327" s="918">
        <f t="shared" si="95"/>
        <v>0</v>
      </c>
      <c r="M327" s="976">
        <f t="shared" si="96"/>
        <v>0</v>
      </c>
      <c r="O327" s="957">
        <f t="shared" si="97"/>
        <v>72</v>
      </c>
      <c r="P327" s="483">
        <f t="shared" si="98"/>
        <v>72</v>
      </c>
      <c r="Q327" s="368">
        <f t="shared" si="101"/>
        <v>0</v>
      </c>
      <c r="R327" s="753"/>
      <c r="T327" s="411">
        <f>+IFERROR(SUMIFS('Stock CD'!D:D,D415,'Stock CD'!C:C),0)</f>
        <v>0</v>
      </c>
      <c r="U327" s="412">
        <f t="shared" si="99"/>
        <v>0</v>
      </c>
      <c r="W327" s="411">
        <f>+VLOOKUP(D327,'Stock CD'!B:I,8,0)</f>
        <v>0</v>
      </c>
      <c r="X327" s="412">
        <f t="shared" si="100"/>
        <v>72</v>
      </c>
      <c r="Z327" s="831">
        <f>+VLOOKUP(E327,'Conteo VACIO'!$D$221:$H$226,3,)</f>
        <v>0</v>
      </c>
      <c r="AA327" s="831">
        <f>+VLOOKUP(E327,'Conteo VACIO'!$D$221:$H$226,4,)</f>
        <v>0</v>
      </c>
      <c r="AB327" s="517"/>
      <c r="AD327" s="430" t="s">
        <v>1473</v>
      </c>
      <c r="AE327" s="414">
        <f>+IFERROR(VLOOKUP(D327,'Est Madre LK 10-25'!A:C,3,),VLOOKUP(D327,'Est Madre CH 10-25'!A:C,3,))</f>
        <v>24</v>
      </c>
      <c r="AF327" s="362"/>
      <c r="AG327" s="362">
        <v>200</v>
      </c>
      <c r="AH327" s="416">
        <v>490</v>
      </c>
      <c r="AI327" s="604"/>
      <c r="AK327" s="473">
        <v>3</v>
      </c>
    </row>
    <row r="328" spans="1:37" ht="18.75" customHeight="1" thickBot="1" x14ac:dyDescent="0.4">
      <c r="A328" t="s">
        <v>1473</v>
      </c>
      <c r="C328" s="470">
        <v>6005600</v>
      </c>
      <c r="D328" s="439">
        <v>555</v>
      </c>
      <c r="E328" s="260" t="s">
        <v>1636</v>
      </c>
      <c r="F328" s="322" t="s">
        <v>746</v>
      </c>
      <c r="G328" s="372" t="s">
        <v>1458</v>
      </c>
      <c r="H328" s="506"/>
      <c r="I328" s="480"/>
      <c r="J328" s="453"/>
      <c r="L328" s="918">
        <f t="shared" si="95"/>
        <v>0</v>
      </c>
      <c r="M328" s="976">
        <f t="shared" si="96"/>
        <v>0</v>
      </c>
      <c r="O328" s="957">
        <f t="shared" si="97"/>
        <v>5400</v>
      </c>
      <c r="P328" s="483">
        <f t="shared" si="98"/>
        <v>5400</v>
      </c>
      <c r="Q328" s="368">
        <f t="shared" si="101"/>
        <v>0</v>
      </c>
      <c r="R328" s="753"/>
      <c r="T328" s="411">
        <f>+IFERROR(SUMIFS('Stock CD'!D:D,D416,'Stock CD'!C:C),0)</f>
        <v>0</v>
      </c>
      <c r="U328" s="412">
        <f t="shared" si="99"/>
        <v>0</v>
      </c>
      <c r="W328" s="411">
        <f>+VLOOKUP(D328,'Stock CD'!B:I,8,0)</f>
        <v>0</v>
      </c>
      <c r="X328" s="412">
        <f t="shared" si="100"/>
        <v>5400</v>
      </c>
      <c r="Z328" s="831">
        <f>+VLOOKUP(E328,'Conteo VACIO'!$D$221:$H$226,3,)</f>
        <v>0</v>
      </c>
      <c r="AA328" s="831">
        <f>+VLOOKUP(E328,'Conteo VACIO'!$D$221:$H$226,4,)</f>
        <v>0</v>
      </c>
      <c r="AB328" s="517"/>
      <c r="AD328" s="430" t="s">
        <v>1473</v>
      </c>
      <c r="AE328" s="414">
        <f>+IFERROR(VLOOKUP(D328,'Est Madre LK 10-25'!A:C,3,),VLOOKUP(D328,'Est Madre CH 10-25'!A:C,3,))</f>
        <v>1800</v>
      </c>
      <c r="AF328" s="362"/>
      <c r="AG328" s="362">
        <v>2000</v>
      </c>
      <c r="AH328" s="416">
        <v>220</v>
      </c>
      <c r="AI328" s="604"/>
      <c r="AK328" s="473">
        <v>3</v>
      </c>
    </row>
    <row r="329" spans="1:37" ht="19.5" customHeight="1" thickBot="1" x14ac:dyDescent="0.4">
      <c r="A329" t="s">
        <v>1473</v>
      </c>
      <c r="C329" s="471">
        <v>5150600</v>
      </c>
      <c r="D329" s="449">
        <v>764</v>
      </c>
      <c r="E329" s="262" t="s">
        <v>1635</v>
      </c>
      <c r="F329" s="324" t="s">
        <v>1041</v>
      </c>
      <c r="G329" s="373" t="s">
        <v>1459</v>
      </c>
      <c r="H329" s="633"/>
      <c r="I329" s="481"/>
      <c r="J329" s="453"/>
      <c r="L329" s="916">
        <f t="shared" si="95"/>
        <v>0</v>
      </c>
      <c r="M329" s="971">
        <f t="shared" si="96"/>
        <v>0</v>
      </c>
      <c r="O329" s="957">
        <f t="shared" si="97"/>
        <v>1512</v>
      </c>
      <c r="P329" s="972">
        <f t="shared" si="98"/>
        <v>1512</v>
      </c>
      <c r="Q329" s="973">
        <f t="shared" si="101"/>
        <v>0</v>
      </c>
      <c r="R329" s="755"/>
      <c r="T329" s="989">
        <f>+IFERROR(SUMIFS('Stock CD'!D:D,D417,'Stock CD'!C:C),0)</f>
        <v>0</v>
      </c>
      <c r="U329" s="413">
        <f t="shared" si="99"/>
        <v>0</v>
      </c>
      <c r="W329" s="989">
        <f>+VLOOKUP(D329,'Stock CD'!B:I,8,0)</f>
        <v>0</v>
      </c>
      <c r="X329" s="413">
        <f>+W329+P329</f>
        <v>1512</v>
      </c>
      <c r="Z329" s="831">
        <f>+VLOOKUP(E329,'Conteo VACIO'!$D$221:$H$226,3,)</f>
        <v>0</v>
      </c>
      <c r="AA329" s="831">
        <f>+VLOOKUP(E329,'Conteo VACIO'!$D$221:$H$226,4,)</f>
        <v>0</v>
      </c>
      <c r="AB329" s="518"/>
      <c r="AD329" s="431" t="s">
        <v>1473</v>
      </c>
      <c r="AE329" s="429">
        <f>+IFERROR(VLOOKUP(D329,'Est Madre LK 10-25'!A:C,3,),VLOOKUP(D329,'Est Madre CH 10-25'!A:C,3,))</f>
        <v>504</v>
      </c>
      <c r="AF329" s="364"/>
      <c r="AG329" s="364">
        <v>1500</v>
      </c>
      <c r="AH329" s="417">
        <v>220</v>
      </c>
      <c r="AI329" s="604"/>
      <c r="AK329" s="474">
        <v>3</v>
      </c>
    </row>
    <row r="330" spans="1:37" ht="19.5" customHeight="1" x14ac:dyDescent="0.35">
      <c r="C330" s="998"/>
      <c r="D330" s="294"/>
      <c r="E330" s="127"/>
      <c r="F330" s="299"/>
      <c r="G330" s="453"/>
      <c r="H330" s="631"/>
      <c r="I330" s="453"/>
      <c r="J330" s="453"/>
      <c r="L330" s="999"/>
      <c r="M330" s="1000"/>
      <c r="O330" s="687"/>
      <c r="P330" s="1001"/>
      <c r="Q330" s="1002"/>
      <c r="R330" s="687"/>
      <c r="T330" s="1003"/>
      <c r="U330" s="1003"/>
      <c r="W330" s="1003"/>
      <c r="X330" s="1003"/>
      <c r="Z330" s="309"/>
      <c r="AA330" s="309"/>
      <c r="AB330" s="389"/>
      <c r="AE330" s="386"/>
      <c r="AF330" s="389"/>
      <c r="AG330" s="389"/>
      <c r="AH330" s="1004"/>
      <c r="AI330" s="604"/>
    </row>
    <row r="331" spans="1:37" s="208" customFormat="1" ht="29.4" thickBot="1" x14ac:dyDescent="0.4">
      <c r="B331"/>
      <c r="C331" s="294"/>
      <c r="D331" s="371"/>
      <c r="E331"/>
      <c r="F331" s="371"/>
      <c r="G331" s="457" t="s">
        <v>1496</v>
      </c>
      <c r="H331" s="501"/>
      <c r="I331" s="457"/>
      <c r="J331" s="457"/>
      <c r="L331" s="340"/>
      <c r="M331" s="351"/>
      <c r="O331" s="384"/>
      <c r="P331" s="370"/>
      <c r="Q331" s="344"/>
      <c r="R331" s="384"/>
      <c r="T331" s="351"/>
      <c r="U331" s="351"/>
      <c r="W331" s="351"/>
      <c r="X331" s="351"/>
      <c r="Y331"/>
      <c r="Z331" s="371"/>
      <c r="AA331" s="340"/>
      <c r="AB331" s="371"/>
      <c r="AC331"/>
      <c r="AD331" s="299"/>
      <c r="AE331" s="292"/>
      <c r="AG331" s="127"/>
      <c r="AH331"/>
      <c r="AI331" s="292"/>
      <c r="AJ331" s="127"/>
      <c r="AK331" s="299"/>
    </row>
    <row r="332" spans="1:37" s="208" customFormat="1" ht="29.4" thickBot="1" x14ac:dyDescent="0.4">
      <c r="B332"/>
      <c r="C332" s="294"/>
      <c r="D332" s="371"/>
      <c r="E332"/>
      <c r="F332" s="371"/>
      <c r="G332" s="455" t="s">
        <v>1806</v>
      </c>
      <c r="H332" s="503" t="s">
        <v>520</v>
      </c>
      <c r="I332" s="456"/>
      <c r="J332" s="941"/>
      <c r="L332" s="484"/>
      <c r="M332" s="351"/>
      <c r="O332" s="384"/>
      <c r="P332" s="370"/>
      <c r="Q332" s="344"/>
      <c r="R332" s="384"/>
      <c r="S332" s="891"/>
      <c r="T332" s="351"/>
      <c r="U332" s="351"/>
      <c r="W332" s="351"/>
      <c r="X332" s="351"/>
      <c r="Y332"/>
      <c r="Z332" s="371"/>
      <c r="AA332" s="340"/>
      <c r="AB332" s="371"/>
      <c r="AC332"/>
      <c r="AD332" s="299"/>
      <c r="AE332" s="292"/>
      <c r="AG332" s="127"/>
      <c r="AH332"/>
      <c r="AI332" s="292"/>
      <c r="AJ332" s="127"/>
      <c r="AK332" s="299"/>
    </row>
    <row r="333" spans="1:37" ht="56.25" customHeight="1" thickBot="1" x14ac:dyDescent="0.35">
      <c r="C333" s="312" t="s">
        <v>1293</v>
      </c>
      <c r="D333" s="312" t="s">
        <v>748</v>
      </c>
      <c r="E333" s="312" t="s">
        <v>1198</v>
      </c>
      <c r="F333" s="312" t="s">
        <v>1018</v>
      </c>
      <c r="G333" s="328" t="s">
        <v>1805</v>
      </c>
      <c r="H333" s="502" t="s">
        <v>1500</v>
      </c>
      <c r="I333" s="321" t="s">
        <v>1515</v>
      </c>
      <c r="J333" s="317"/>
      <c r="L333" s="321" t="s">
        <v>1388</v>
      </c>
      <c r="M333" s="331" t="s">
        <v>1439</v>
      </c>
      <c r="O333" s="321" t="s">
        <v>1042</v>
      </c>
      <c r="P333" s="314" t="s">
        <v>1402</v>
      </c>
      <c r="Q333" s="311" t="s">
        <v>1178</v>
      </c>
      <c r="R333" s="514" t="s">
        <v>1781</v>
      </c>
      <c r="T333" s="291" t="s">
        <v>1440</v>
      </c>
      <c r="U333" s="970" t="s">
        <v>1441</v>
      </c>
      <c r="W333" s="313" t="s">
        <v>1442</v>
      </c>
      <c r="X333" s="321" t="s">
        <v>1443</v>
      </c>
      <c r="Z333" s="313" t="s">
        <v>1197</v>
      </c>
      <c r="AA333" s="321" t="s">
        <v>1460</v>
      </c>
      <c r="AB333" s="314" t="s">
        <v>1807</v>
      </c>
      <c r="AD333" s="291" t="s">
        <v>1403</v>
      </c>
      <c r="AE333" s="291" t="s">
        <v>1415</v>
      </c>
      <c r="AF333" s="296" t="s">
        <v>1438</v>
      </c>
      <c r="AG333" s="291" t="s">
        <v>1490</v>
      </c>
      <c r="AH333" s="291" t="s">
        <v>1387</v>
      </c>
      <c r="AI333" s="317"/>
      <c r="AK333" s="321" t="s">
        <v>1513</v>
      </c>
    </row>
    <row r="334" spans="1:37" ht="18.600000000000001" customHeight="1" thickBot="1" x14ac:dyDescent="0.4">
      <c r="A334" t="s">
        <v>1806</v>
      </c>
      <c r="C334" s="1007">
        <v>1376700</v>
      </c>
      <c r="D334" s="924" t="s">
        <v>1797</v>
      </c>
      <c r="E334" s="647" t="s">
        <v>1810</v>
      </c>
      <c r="F334" s="635" t="s">
        <v>1797</v>
      </c>
      <c r="G334" s="1008" t="s">
        <v>1808</v>
      </c>
      <c r="H334" s="748"/>
      <c r="I334" s="1009"/>
      <c r="J334" s="453"/>
      <c r="L334" s="1012">
        <f t="shared" ref="L334" si="102">+Q334/P334</f>
        <v>0</v>
      </c>
      <c r="M334" s="1013">
        <f t="shared" ref="M334" si="103">+IFERROR(U334/X334,0)</f>
        <v>0</v>
      </c>
      <c r="O334" s="925">
        <f t="shared" ref="O334" si="104">IF(P334-Q334-R334&lt;0,0,P334-Q334-R334)</f>
        <v>2124</v>
      </c>
      <c r="P334" s="1010">
        <f t="shared" ref="P334" si="105">+IFERROR(AE334*AK334,0)</f>
        <v>2124</v>
      </c>
      <c r="Q334" s="1011">
        <f>+Z334*AG334</f>
        <v>0</v>
      </c>
      <c r="R334" s="961"/>
      <c r="T334" s="1014">
        <f>+IFERROR(SUMIFS('Stock CD'!D:D,D422,'Stock CD'!C:C),0)</f>
        <v>0</v>
      </c>
      <c r="U334" s="1015">
        <f t="shared" ref="U334" si="106">+T334+Q334</f>
        <v>0</v>
      </c>
      <c r="W334" s="1014">
        <f>+VLOOKUP(G334,'Stock CD'!A:I,9,0)</f>
        <v>0</v>
      </c>
      <c r="X334" s="1015">
        <f t="shared" ref="X334" si="107">+W334+P334</f>
        <v>2124</v>
      </c>
      <c r="Z334" s="1016">
        <f>+VLOOKUP(E334,'Conteo VACIO'!$D$221:$H$227,3,)</f>
        <v>0</v>
      </c>
      <c r="AA334" s="642">
        <f>+VLOOKUP(E334,'Conteo VACIO'!$D$221:$H$227,4,)</f>
        <v>0</v>
      </c>
      <c r="AB334" s="643">
        <v>6500</v>
      </c>
      <c r="AD334" s="644" t="s">
        <v>1806</v>
      </c>
      <c r="AE334" s="645">
        <f>+SUMIFS('Est Madre LK 10-25'!$C:$C,'Est Madre LK 10-25'!$J:$J,"SI")+SUMIFS('Est Madre CH 10-25'!$C:$C,'Est Madre CH 10-25'!$J:$J,"SI")</f>
        <v>708</v>
      </c>
      <c r="AF334" s="646">
        <v>6500</v>
      </c>
      <c r="AG334" s="646">
        <v>6500</v>
      </c>
      <c r="AH334" s="1017">
        <v>1.08</v>
      </c>
      <c r="AI334" s="604"/>
      <c r="AK334" s="473">
        <v>3</v>
      </c>
    </row>
    <row r="335" spans="1:37" s="208" customFormat="1" ht="28.8" x14ac:dyDescent="0.35">
      <c r="B335"/>
      <c r="C335" s="294"/>
      <c r="D335" s="371"/>
      <c r="E335"/>
      <c r="F335" s="371"/>
      <c r="G335" s="1005"/>
      <c r="H335" s="1006"/>
      <c r="I335" s="941"/>
      <c r="J335" s="941"/>
      <c r="L335" s="484"/>
      <c r="M335" s="351"/>
      <c r="O335" s="384"/>
      <c r="P335" s="370"/>
      <c r="Q335" s="344"/>
      <c r="R335" s="384"/>
      <c r="T335" s="351"/>
      <c r="U335" s="351"/>
      <c r="W335" s="351"/>
      <c r="X335" s="351"/>
      <c r="Y335"/>
      <c r="Z335" s="371"/>
      <c r="AA335" s="340"/>
      <c r="AB335" s="371"/>
      <c r="AC335"/>
      <c r="AD335" s="299"/>
      <c r="AE335" s="292"/>
      <c r="AG335" s="127"/>
      <c r="AH335"/>
      <c r="AI335" s="292"/>
      <c r="AJ335" s="127"/>
      <c r="AK335" s="299"/>
    </row>
    <row r="336" spans="1:37" s="208" customFormat="1" ht="28.8" x14ac:dyDescent="0.35">
      <c r="B336"/>
      <c r="C336" s="294"/>
      <c r="D336" s="371"/>
      <c r="E336"/>
      <c r="F336" s="371"/>
      <c r="G336" s="1005"/>
      <c r="H336" s="1006"/>
      <c r="I336" s="941"/>
      <c r="J336" s="941"/>
      <c r="L336" s="484"/>
      <c r="M336" s="351"/>
      <c r="O336" s="384"/>
      <c r="P336" s="370"/>
      <c r="Q336" s="344"/>
      <c r="R336" s="384"/>
      <c r="T336" s="351"/>
      <c r="U336" s="351"/>
      <c r="W336" s="351"/>
      <c r="X336" s="351"/>
      <c r="Y336"/>
      <c r="Z336" s="371"/>
      <c r="AA336" s="340"/>
      <c r="AB336" s="371"/>
      <c r="AC336"/>
      <c r="AD336" s="299"/>
      <c r="AE336" s="292"/>
      <c r="AG336" s="127"/>
      <c r="AH336"/>
      <c r="AI336" s="292"/>
      <c r="AJ336" s="127"/>
      <c r="AK336" s="299"/>
    </row>
    <row r="337" spans="2:37" s="208" customFormat="1" ht="28.8" x14ac:dyDescent="0.35">
      <c r="B337"/>
      <c r="C337" s="294"/>
      <c r="D337" s="371"/>
      <c r="E337"/>
      <c r="F337" s="371"/>
      <c r="G337" s="1005"/>
      <c r="H337" s="1006"/>
      <c r="I337" s="941"/>
      <c r="J337" s="941"/>
      <c r="L337" s="484"/>
      <c r="M337" s="351"/>
      <c r="O337" s="384"/>
      <c r="P337" s="370"/>
      <c r="Q337" s="344"/>
      <c r="R337" s="384"/>
      <c r="T337" s="351"/>
      <c r="U337" s="351"/>
      <c r="W337" s="351"/>
      <c r="X337" s="351"/>
      <c r="Y337"/>
      <c r="Z337" s="371"/>
      <c r="AA337" s="340"/>
      <c r="AB337" s="371"/>
      <c r="AC337"/>
      <c r="AD337" s="299"/>
      <c r="AE337" s="292"/>
      <c r="AG337" s="127"/>
      <c r="AH337"/>
      <c r="AI337" s="292"/>
      <c r="AJ337" s="127"/>
      <c r="AK337" s="299"/>
    </row>
    <row r="338" spans="2:37" s="208" customFormat="1" ht="28.8" x14ac:dyDescent="0.35">
      <c r="B338"/>
      <c r="C338" s="294"/>
      <c r="D338" s="371"/>
      <c r="E338"/>
      <c r="F338" s="371"/>
      <c r="G338" s="1005"/>
      <c r="H338" s="1006"/>
      <c r="I338" s="941"/>
      <c r="J338" s="941"/>
      <c r="L338" s="484"/>
      <c r="M338" s="351"/>
      <c r="O338" s="384"/>
      <c r="P338" s="370"/>
      <c r="Q338" s="344"/>
      <c r="R338" s="384"/>
      <c r="T338" s="351"/>
      <c r="U338" s="351"/>
      <c r="W338" s="351"/>
      <c r="X338" s="351"/>
      <c r="Y338"/>
      <c r="Z338" s="371"/>
      <c r="AA338" s="340"/>
      <c r="AB338" s="371"/>
      <c r="AC338"/>
      <c r="AD338" s="299"/>
      <c r="AE338" s="292"/>
      <c r="AG338" s="127"/>
      <c r="AH338"/>
      <c r="AI338" s="292"/>
      <c r="AJ338" s="127"/>
      <c r="AK338" s="299"/>
    </row>
    <row r="339" spans="2:37" ht="19.5" customHeight="1" x14ac:dyDescent="0.35">
      <c r="C339" s="998"/>
      <c r="D339" s="294"/>
      <c r="E339" s="127"/>
      <c r="F339" s="299"/>
      <c r="G339" s="453"/>
      <c r="H339" s="631"/>
      <c r="I339" s="453"/>
      <c r="J339" s="453"/>
      <c r="L339" s="999"/>
      <c r="M339" s="1000"/>
      <c r="O339" s="687"/>
      <c r="P339" s="1001"/>
      <c r="Q339" s="1002"/>
      <c r="R339" s="687"/>
      <c r="T339" s="1003"/>
      <c r="U339" s="1003"/>
      <c r="W339" s="1003"/>
      <c r="X339" s="1003"/>
      <c r="Z339" s="309"/>
      <c r="AA339" s="309"/>
      <c r="AB339" s="389"/>
      <c r="AE339" s="386"/>
      <c r="AF339" s="389"/>
      <c r="AG339" s="389"/>
      <c r="AH339" s="1004"/>
      <c r="AI339" s="604"/>
    </row>
    <row r="340" spans="2:37" x14ac:dyDescent="0.35">
      <c r="D340" s="292"/>
      <c r="G340"/>
      <c r="I340"/>
      <c r="J340"/>
      <c r="L340"/>
      <c r="P340" s="292"/>
      <c r="Q340"/>
      <c r="S340" s="719"/>
      <c r="Z340" s="292"/>
      <c r="AA340"/>
      <c r="AB340" s="292"/>
    </row>
    <row r="341" spans="2:37" ht="18.600000000000001" thickBot="1" x14ac:dyDescent="0.4">
      <c r="D341" s="292"/>
      <c r="G341"/>
      <c r="I341"/>
      <c r="J341"/>
      <c r="L341" s="880"/>
      <c r="M341" s="892"/>
      <c r="O341" s="898"/>
      <c r="P341" s="892"/>
      <c r="Q341" s="880"/>
      <c r="R341" s="898"/>
      <c r="S341" s="880"/>
      <c r="T341" s="892"/>
      <c r="U341" s="892"/>
      <c r="Z341" s="292"/>
      <c r="AA341"/>
      <c r="AB341" s="292"/>
    </row>
    <row r="342" spans="2:37" ht="34.200000000000003" thickBot="1" x14ac:dyDescent="0.7">
      <c r="D342" s="369" t="s">
        <v>1423</v>
      </c>
      <c r="F342" s="363"/>
      <c r="G342" s="363"/>
      <c r="H342" s="938"/>
      <c r="I342" s="498"/>
      <c r="J342" s="498"/>
      <c r="L342" s="842"/>
      <c r="M342" s="843"/>
      <c r="O342" s="844"/>
      <c r="P342" s="842"/>
      <c r="Q342" s="843"/>
      <c r="R342" s="844"/>
      <c r="T342" s="843"/>
      <c r="U342" s="843"/>
      <c r="W342" s="365"/>
      <c r="X342" s="365"/>
      <c r="Z342" s="363"/>
      <c r="AA342" s="365"/>
      <c r="AB342" s="363"/>
      <c r="AD342" s="432"/>
      <c r="AE342" s="363"/>
      <c r="AF342" s="363"/>
      <c r="AG342" s="363"/>
      <c r="AH342" s="365"/>
      <c r="AI342" s="363"/>
      <c r="AJ342" s="366"/>
    </row>
    <row r="343" spans="2:37" ht="18.600000000000001" thickBot="1" x14ac:dyDescent="0.4">
      <c r="D343" s="292"/>
      <c r="G343"/>
      <c r="I343"/>
      <c r="J343"/>
      <c r="L343"/>
      <c r="P343" s="292"/>
      <c r="Q343"/>
      <c r="Z343" s="292"/>
      <c r="AA343"/>
      <c r="AB343" s="292"/>
    </row>
    <row r="344" spans="2:37" ht="54.6" customHeight="1" x14ac:dyDescent="0.35">
      <c r="C344" s="312" t="s">
        <v>1293</v>
      </c>
      <c r="D344" s="312" t="s">
        <v>748</v>
      </c>
      <c r="F344" s="312" t="s">
        <v>1018</v>
      </c>
      <c r="G344" s="328" t="s">
        <v>1422</v>
      </c>
      <c r="H344" s="328"/>
      <c r="I344" s="339"/>
      <c r="J344" s="339"/>
      <c r="L344" s="757"/>
      <c r="M344" s="294"/>
      <c r="O344" s="331" t="s">
        <v>1042</v>
      </c>
      <c r="P344" s="314" t="s">
        <v>1399</v>
      </c>
      <c r="Q344" s="311" t="s">
        <v>1178</v>
      </c>
      <c r="R344" s="321"/>
      <c r="T344" s="294"/>
      <c r="U344" s="294"/>
      <c r="W344" s="294"/>
      <c r="X344" s="294"/>
      <c r="Z344" s="313" t="s">
        <v>1197</v>
      </c>
      <c r="AA344" s="313" t="s">
        <v>1196</v>
      </c>
      <c r="AB344" s="314" t="s">
        <v>857</v>
      </c>
      <c r="AE344" s="321" t="s">
        <v>1415</v>
      </c>
      <c r="AF344" s="314" t="s">
        <v>1390</v>
      </c>
      <c r="AG344" s="321" t="s">
        <v>1212</v>
      </c>
      <c r="AH344" s="321" t="s">
        <v>1387</v>
      </c>
      <c r="AI344" s="321"/>
      <c r="AJ344" s="321" t="s">
        <v>1416</v>
      </c>
    </row>
    <row r="345" spans="2:37" ht="18" customHeight="1" thickBot="1" x14ac:dyDescent="0.4">
      <c r="C345" s="294"/>
      <c r="D345" s="294">
        <v>556</v>
      </c>
      <c r="F345" s="324" t="s">
        <v>746</v>
      </c>
      <c r="G345" s="310" t="s">
        <v>818</v>
      </c>
      <c r="H345" s="127"/>
      <c r="I345" s="310"/>
      <c r="J345" s="310"/>
      <c r="L345" s="458"/>
      <c r="M345" s="507"/>
      <c r="O345" s="687"/>
      <c r="P345" s="383"/>
      <c r="Q345" s="338"/>
      <c r="R345" s="687"/>
      <c r="T345" s="508"/>
      <c r="U345" s="460"/>
      <c r="W345" s="508"/>
      <c r="X345" s="508"/>
      <c r="Z345" s="309"/>
      <c r="AA345" s="316"/>
      <c r="AB345" s="389"/>
      <c r="AE345" s="386"/>
      <c r="AF345" s="389"/>
      <c r="AG345" s="127"/>
      <c r="AH345" s="350"/>
      <c r="AI345" s="599"/>
      <c r="AJ345" s="127"/>
    </row>
    <row r="346" spans="2:37" ht="18" customHeight="1" thickBot="1" x14ac:dyDescent="0.4">
      <c r="C346" s="294"/>
      <c r="D346" s="294">
        <v>553</v>
      </c>
      <c r="F346" s="324" t="s">
        <v>746</v>
      </c>
      <c r="G346" s="310" t="s">
        <v>1530</v>
      </c>
      <c r="H346" s="127"/>
      <c r="I346" s="310"/>
      <c r="J346" s="310"/>
      <c r="L346" s="458"/>
      <c r="M346" s="507"/>
      <c r="O346" s="687"/>
      <c r="P346" s="383"/>
      <c r="Q346" s="338"/>
      <c r="R346" s="687"/>
      <c r="T346" s="508"/>
      <c r="U346" s="460"/>
      <c r="W346" s="508"/>
      <c r="X346" s="508"/>
      <c r="Z346" s="309"/>
      <c r="AA346" s="316"/>
      <c r="AB346" s="389"/>
      <c r="AE346" s="386"/>
      <c r="AF346" s="389"/>
      <c r="AG346" s="127"/>
      <c r="AH346" s="350"/>
      <c r="AI346" s="599"/>
      <c r="AJ346" s="127"/>
    </row>
    <row r="347" spans="2:37" ht="18" customHeight="1" thickBot="1" x14ac:dyDescent="0.4">
      <c r="C347" s="294"/>
      <c r="D347" s="294">
        <v>573</v>
      </c>
      <c r="F347" s="324" t="s">
        <v>746</v>
      </c>
      <c r="G347" s="310" t="s">
        <v>1531</v>
      </c>
      <c r="H347" s="127"/>
      <c r="I347" s="310"/>
      <c r="J347" s="310"/>
      <c r="L347" s="458"/>
      <c r="M347" s="507"/>
      <c r="O347" s="687"/>
      <c r="P347" s="383"/>
      <c r="Q347" s="338"/>
      <c r="R347" s="687"/>
      <c r="T347" s="508"/>
      <c r="U347" s="460"/>
      <c r="W347" s="508"/>
      <c r="X347" s="508"/>
      <c r="Z347" s="309"/>
      <c r="AA347" s="316"/>
      <c r="AB347" s="389"/>
      <c r="AE347" s="386"/>
      <c r="AF347" s="389"/>
      <c r="AG347" s="127"/>
      <c r="AH347" s="350"/>
      <c r="AI347" s="599"/>
      <c r="AJ347" s="127"/>
    </row>
    <row r="348" spans="2:37" ht="18" customHeight="1" thickBot="1" x14ac:dyDescent="0.4">
      <c r="C348" s="294"/>
      <c r="D348" s="294">
        <v>563</v>
      </c>
      <c r="F348" s="324" t="s">
        <v>746</v>
      </c>
      <c r="G348" s="310" t="s">
        <v>1532</v>
      </c>
      <c r="H348" s="127"/>
      <c r="I348" s="310"/>
      <c r="J348" s="310"/>
      <c r="L348" s="458"/>
      <c r="M348" s="507"/>
      <c r="O348" s="687"/>
      <c r="P348" s="383"/>
      <c r="Q348" s="338"/>
      <c r="R348" s="687"/>
      <c r="T348" s="508"/>
      <c r="U348" s="460"/>
      <c r="W348" s="508"/>
      <c r="X348" s="508"/>
      <c r="Z348" s="309"/>
      <c r="AA348" s="316"/>
      <c r="AB348" s="389"/>
      <c r="AE348" s="386"/>
      <c r="AF348" s="389"/>
      <c r="AG348" s="127"/>
      <c r="AH348" s="350"/>
      <c r="AI348" s="599"/>
      <c r="AJ348" s="127"/>
    </row>
    <row r="349" spans="2:37" ht="18" customHeight="1" x14ac:dyDescent="0.35">
      <c r="C349" s="294"/>
      <c r="D349" s="302">
        <v>398</v>
      </c>
      <c r="F349" s="322" t="s">
        <v>746</v>
      </c>
      <c r="G349" s="329" t="s">
        <v>1528</v>
      </c>
      <c r="H349" s="260"/>
      <c r="I349" s="738"/>
      <c r="J349" s="310"/>
      <c r="L349" s="741">
        <f>+IFERROR(Q349/P349,0)</f>
        <v>0</v>
      </c>
      <c r="M349" s="787">
        <f>+IFERROR(U349/X349,0)</f>
        <v>0</v>
      </c>
      <c r="O349" s="797">
        <f>IF(P349-Q349&lt;0,0,P349-Q349)</f>
        <v>0</v>
      </c>
      <c r="P349" s="381">
        <f>+IFERROR(AE349*AK349,0)</f>
        <v>0</v>
      </c>
      <c r="Q349" s="345">
        <f>+(Z349*AB349)+AA349</f>
        <v>0</v>
      </c>
      <c r="R349" s="691"/>
      <c r="T349" s="509">
        <f>+IFERROR(SUMIF('Stock CD'!#REF!,'Pedido VACIO'!#REF!,'Stock CD'!D:D),0)</f>
        <v>0</v>
      </c>
      <c r="U349" s="783">
        <f>+T349+Q349</f>
        <v>0</v>
      </c>
      <c r="W349" s="792" t="e">
        <f>+VLOOKUP(D349,'Stock CD'!B:I,8,0)</f>
        <v>#N/A</v>
      </c>
      <c r="X349" s="509" t="e">
        <f>+W349+P349</f>
        <v>#N/A</v>
      </c>
      <c r="Z349" s="305"/>
      <c r="AA349" s="307"/>
      <c r="AB349" s="362"/>
      <c r="AD349" s="430" t="s">
        <v>1470</v>
      </c>
      <c r="AE349" s="414"/>
      <c r="AF349" s="362"/>
      <c r="AG349" s="260"/>
      <c r="AH349" s="325"/>
      <c r="AI349" s="601"/>
      <c r="AJ349" s="260"/>
      <c r="AK349" s="322">
        <v>3</v>
      </c>
    </row>
    <row r="350" spans="2:37" ht="18" customHeight="1" x14ac:dyDescent="0.35">
      <c r="C350" s="294"/>
      <c r="D350" s="302">
        <v>399</v>
      </c>
      <c r="F350" s="322" t="s">
        <v>746</v>
      </c>
      <c r="G350" s="329" t="s">
        <v>1529</v>
      </c>
      <c r="H350" s="260"/>
      <c r="I350" s="738"/>
      <c r="J350" s="310"/>
      <c r="L350" s="741">
        <f>+IFERROR(Q350/P350,0)</f>
        <v>0</v>
      </c>
      <c r="M350" s="787">
        <f>+IFERROR(U350/X350,0)</f>
        <v>0</v>
      </c>
      <c r="O350" s="797">
        <f>IF(P350-Q350&lt;0,0,P350-Q350)</f>
        <v>0</v>
      </c>
      <c r="P350" s="381">
        <f>+IFERROR(AE350*AK350,0)</f>
        <v>0</v>
      </c>
      <c r="Q350" s="345">
        <f>+(Z350*AB350)+AA350</f>
        <v>0</v>
      </c>
      <c r="R350" s="691"/>
      <c r="T350" s="509">
        <f>+IFERROR(SUMIF('Stock CD'!#REF!,'Pedido VACIO'!#REF!,'Stock CD'!D:D),0)</f>
        <v>0</v>
      </c>
      <c r="U350" s="783">
        <f>+T350+Q350</f>
        <v>0</v>
      </c>
      <c r="W350" s="792" t="e">
        <f>+VLOOKUP(D350,'Stock CD'!B:I,8,0)</f>
        <v>#N/A</v>
      </c>
      <c r="X350" s="509" t="e">
        <f>+W350+P350</f>
        <v>#N/A</v>
      </c>
      <c r="Z350" s="305"/>
      <c r="AA350" s="307"/>
      <c r="AB350" s="362"/>
      <c r="AD350" s="430" t="s">
        <v>1470</v>
      </c>
      <c r="AE350" s="414"/>
      <c r="AF350" s="362"/>
      <c r="AG350" s="260"/>
      <c r="AH350" s="325"/>
      <c r="AI350" s="601"/>
      <c r="AJ350" s="260"/>
      <c r="AK350" s="322">
        <v>3</v>
      </c>
    </row>
    <row r="351" spans="2:37" ht="18" customHeight="1" x14ac:dyDescent="0.35">
      <c r="C351" s="294"/>
      <c r="D351" s="302">
        <v>400</v>
      </c>
      <c r="F351" s="322" t="s">
        <v>746</v>
      </c>
      <c r="G351" s="329" t="s">
        <v>1518</v>
      </c>
      <c r="H351" s="260"/>
      <c r="I351" s="738"/>
      <c r="J351" s="310"/>
      <c r="L351" s="741">
        <f>+IFERROR(Q351/P351,0)</f>
        <v>0</v>
      </c>
      <c r="M351" s="787">
        <f>+IFERROR(U351/X351,0)</f>
        <v>0</v>
      </c>
      <c r="O351" s="797">
        <f>IF(P351-Q351&lt;0,0,P351-Q351)</f>
        <v>0</v>
      </c>
      <c r="P351" s="381">
        <f>+IFERROR(AE351*AK351,0)</f>
        <v>0</v>
      </c>
      <c r="Q351" s="345">
        <f>+(Z351*AB351)+AA351</f>
        <v>0</v>
      </c>
      <c r="R351" s="691"/>
      <c r="T351" s="509">
        <f>+IFERROR(SUMIF('Stock CD'!#REF!,'Pedido VACIO'!#REF!,'Stock CD'!D:D),0)</f>
        <v>0</v>
      </c>
      <c r="U351" s="783">
        <f>+T351+Q351</f>
        <v>0</v>
      </c>
      <c r="W351" s="792" t="e">
        <f>+VLOOKUP(D351,'Stock CD'!B:I,8,0)</f>
        <v>#N/A</v>
      </c>
      <c r="X351" s="509" t="e">
        <f>+W351+P351</f>
        <v>#N/A</v>
      </c>
      <c r="Z351" s="305"/>
      <c r="AA351" s="307"/>
      <c r="AB351" s="362"/>
      <c r="AD351" s="430" t="s">
        <v>1470</v>
      </c>
      <c r="AE351" s="414"/>
      <c r="AF351" s="362"/>
      <c r="AG351" s="260"/>
      <c r="AH351" s="325"/>
      <c r="AI351" s="601"/>
      <c r="AJ351" s="260"/>
      <c r="AK351" s="322">
        <v>3</v>
      </c>
    </row>
    <row r="352" spans="2:37" s="208" customFormat="1" ht="16.2" customHeight="1" x14ac:dyDescent="0.35">
      <c r="B352"/>
      <c r="C352" s="302"/>
      <c r="D352" s="439">
        <v>59</v>
      </c>
      <c r="E352"/>
      <c r="F352" s="322" t="s">
        <v>1041</v>
      </c>
      <c r="G352" s="329" t="s">
        <v>556</v>
      </c>
      <c r="H352" s="260"/>
      <c r="I352" s="310"/>
      <c r="J352" s="310"/>
      <c r="L352" s="799"/>
      <c r="M352" s="315"/>
      <c r="O352" s="797" t="e">
        <f>IF(P352-Q352&lt;0,0,P352-Q352)</f>
        <v>#REF!</v>
      </c>
      <c r="P352" s="362" t="e">
        <f>+AE352*#REF!</f>
        <v>#REF!</v>
      </c>
      <c r="Q352" s="301">
        <f>+(Z352*AB352)+AA352</f>
        <v>0</v>
      </c>
      <c r="R352" s="691"/>
      <c r="T352" s="315"/>
      <c r="U352" s="315"/>
      <c r="W352" s="315"/>
      <c r="X352" s="315"/>
      <c r="Y352"/>
      <c r="Z352" s="305"/>
      <c r="AA352" s="307"/>
      <c r="AB352" s="362"/>
      <c r="AC352"/>
      <c r="AD352" s="299"/>
      <c r="AE352" s="387"/>
      <c r="AF352" s="352"/>
      <c r="AG352" s="260"/>
      <c r="AH352" s="23"/>
      <c r="AI352" s="605"/>
      <c r="AJ352" s="354"/>
      <c r="AK352" s="299"/>
    </row>
    <row r="353" spans="2:38" s="208" customFormat="1" ht="16.2" customHeight="1" x14ac:dyDescent="0.35">
      <c r="B353"/>
      <c r="C353" s="302"/>
      <c r="D353" s="439">
        <v>824</v>
      </c>
      <c r="E353"/>
      <c r="F353" s="322" t="s">
        <v>1041</v>
      </c>
      <c r="G353" s="329" t="s">
        <v>1133</v>
      </c>
      <c r="H353" s="260"/>
      <c r="I353" s="310"/>
      <c r="J353" s="310"/>
      <c r="L353" s="799"/>
      <c r="M353" s="315"/>
      <c r="O353" s="797"/>
      <c r="P353" s="362"/>
      <c r="Q353" s="301"/>
      <c r="R353" s="691"/>
      <c r="T353" s="315"/>
      <c r="U353" s="315"/>
      <c r="W353" s="315"/>
      <c r="X353" s="315"/>
      <c r="Y353"/>
      <c r="Z353" s="305"/>
      <c r="AA353" s="307"/>
      <c r="AB353" s="362"/>
      <c r="AC353"/>
      <c r="AD353" s="299"/>
      <c r="AE353" s="387"/>
      <c r="AF353" s="352"/>
      <c r="AG353" s="260">
        <v>25</v>
      </c>
      <c r="AH353" s="23"/>
      <c r="AI353" s="605"/>
      <c r="AJ353" s="354" t="s">
        <v>1214</v>
      </c>
      <c r="AK353" s="299"/>
    </row>
    <row r="354" spans="2:38" s="208" customFormat="1" ht="16.2" customHeight="1" x14ac:dyDescent="0.35">
      <c r="B354"/>
      <c r="C354" s="302"/>
      <c r="D354" s="439">
        <v>825</v>
      </c>
      <c r="E354"/>
      <c r="F354" s="322" t="s">
        <v>1041</v>
      </c>
      <c r="G354" s="372" t="s">
        <v>1134</v>
      </c>
      <c r="H354" s="260"/>
      <c r="I354" s="453"/>
      <c r="J354" s="453"/>
      <c r="L354" s="800"/>
      <c r="M354" s="315"/>
      <c r="O354" s="797"/>
      <c r="P354" s="362"/>
      <c r="Q354" s="301"/>
      <c r="R354" s="691"/>
      <c r="T354" s="315"/>
      <c r="U354" s="315"/>
      <c r="W354" s="315"/>
      <c r="X354" s="315"/>
      <c r="Y354"/>
      <c r="Z354" s="305"/>
      <c r="AA354" s="378"/>
      <c r="AB354" s="362"/>
      <c r="AC354"/>
      <c r="AD354" s="299"/>
      <c r="AE354" s="387"/>
      <c r="AF354" s="352"/>
      <c r="AG354" s="260">
        <v>25</v>
      </c>
      <c r="AH354" s="23"/>
      <c r="AI354" s="605"/>
      <c r="AJ354" s="354" t="s">
        <v>1214</v>
      </c>
      <c r="AK354" s="299"/>
    </row>
    <row r="355" spans="2:38" s="208" customFormat="1" ht="16.2" customHeight="1" x14ac:dyDescent="0.35">
      <c r="B355"/>
      <c r="C355" s="302"/>
      <c r="D355" s="439">
        <v>901</v>
      </c>
      <c r="E355"/>
      <c r="F355" s="322" t="s">
        <v>1041</v>
      </c>
      <c r="G355" s="329" t="s">
        <v>1171</v>
      </c>
      <c r="H355" s="260"/>
      <c r="I355" s="310"/>
      <c r="J355" s="310"/>
      <c r="L355" s="799"/>
      <c r="M355" s="315"/>
      <c r="O355" s="797"/>
      <c r="P355" s="362"/>
      <c r="Q355" s="301"/>
      <c r="R355" s="691"/>
      <c r="T355" s="315"/>
      <c r="U355" s="315"/>
      <c r="W355" s="315"/>
      <c r="X355" s="315"/>
      <c r="Y355"/>
      <c r="Z355" s="305"/>
      <c r="AA355" s="307"/>
      <c r="AB355" s="362"/>
      <c r="AC355"/>
      <c r="AD355" s="299"/>
      <c r="AE355" s="387"/>
      <c r="AF355" s="352"/>
      <c r="AG355" s="260">
        <v>25</v>
      </c>
      <c r="AH355" s="23"/>
      <c r="AI355" s="605"/>
      <c r="AJ355" s="354" t="s">
        <v>1214</v>
      </c>
      <c r="AK355" s="299"/>
    </row>
    <row r="356" spans="2:38" s="208" customFormat="1" ht="16.2" customHeight="1" x14ac:dyDescent="0.35">
      <c r="B356"/>
      <c r="C356" s="302"/>
      <c r="D356" s="439">
        <v>902</v>
      </c>
      <c r="E356"/>
      <c r="F356" s="322" t="s">
        <v>1041</v>
      </c>
      <c r="G356" s="329" t="s">
        <v>1172</v>
      </c>
      <c r="H356" s="260"/>
      <c r="I356" s="310"/>
      <c r="J356" s="310"/>
      <c r="L356" s="799"/>
      <c r="M356" s="315"/>
      <c r="O356" s="797"/>
      <c r="P356" s="362"/>
      <c r="Q356" s="301"/>
      <c r="R356" s="691"/>
      <c r="T356" s="315"/>
      <c r="U356" s="315"/>
      <c r="W356" s="315"/>
      <c r="X356" s="315"/>
      <c r="Y356"/>
      <c r="Z356" s="305"/>
      <c r="AA356" s="307"/>
      <c r="AB356" s="362"/>
      <c r="AC356"/>
      <c r="AD356" s="299"/>
      <c r="AE356" s="387"/>
      <c r="AF356" s="352"/>
      <c r="AG356" s="260">
        <v>25</v>
      </c>
      <c r="AH356" s="23"/>
      <c r="AI356" s="605"/>
      <c r="AJ356" s="354" t="s">
        <v>1214</v>
      </c>
      <c r="AK356" s="299"/>
    </row>
    <row r="357" spans="2:38" s="208" customFormat="1" ht="16.2" customHeight="1" x14ac:dyDescent="0.35">
      <c r="B357"/>
      <c r="C357" s="302"/>
      <c r="D357" s="439">
        <v>910</v>
      </c>
      <c r="E357"/>
      <c r="F357" s="322" t="s">
        <v>1041</v>
      </c>
      <c r="G357" s="329" t="s">
        <v>1174</v>
      </c>
      <c r="H357" s="260"/>
      <c r="I357" s="310"/>
      <c r="J357" s="310"/>
      <c r="L357" s="799"/>
      <c r="M357" s="315"/>
      <c r="O357" s="797"/>
      <c r="P357" s="362"/>
      <c r="Q357" s="301"/>
      <c r="R357" s="691"/>
      <c r="T357" s="315"/>
      <c r="U357" s="315"/>
      <c r="W357" s="315"/>
      <c r="X357" s="315"/>
      <c r="Y357"/>
      <c r="Z357" s="305"/>
      <c r="AA357" s="307"/>
      <c r="AB357" s="362"/>
      <c r="AC357"/>
      <c r="AD357" s="299"/>
      <c r="AE357" s="387"/>
      <c r="AF357" s="352"/>
      <c r="AG357" s="260">
        <v>25</v>
      </c>
      <c r="AH357" s="23"/>
      <c r="AI357" s="605"/>
      <c r="AJ357" s="354" t="s">
        <v>1214</v>
      </c>
      <c r="AK357" s="299"/>
    </row>
    <row r="358" spans="2:38" s="208" customFormat="1" ht="16.2" customHeight="1" x14ac:dyDescent="0.35">
      <c r="B358"/>
      <c r="C358" s="302"/>
      <c r="D358" s="439">
        <v>911</v>
      </c>
      <c r="E358"/>
      <c r="F358" s="322" t="s">
        <v>1041</v>
      </c>
      <c r="G358" s="329" t="s">
        <v>1175</v>
      </c>
      <c r="H358" s="260"/>
      <c r="I358" s="310"/>
      <c r="J358" s="310"/>
      <c r="L358" s="799"/>
      <c r="M358" s="315"/>
      <c r="O358" s="797"/>
      <c r="P358" s="362"/>
      <c r="Q358" s="301"/>
      <c r="R358" s="691"/>
      <c r="T358" s="315"/>
      <c r="U358" s="315"/>
      <c r="W358" s="315"/>
      <c r="X358" s="315"/>
      <c r="Y358"/>
      <c r="Z358" s="305"/>
      <c r="AA358" s="307"/>
      <c r="AB358" s="362"/>
      <c r="AC358"/>
      <c r="AD358" s="299"/>
      <c r="AE358" s="387"/>
      <c r="AF358" s="352"/>
      <c r="AG358" s="260">
        <v>25</v>
      </c>
      <c r="AH358" s="23"/>
      <c r="AI358" s="605"/>
      <c r="AJ358" s="354" t="s">
        <v>1214</v>
      </c>
      <c r="AK358" s="299"/>
    </row>
    <row r="359" spans="2:38" s="208" customFormat="1" ht="16.2" customHeight="1" x14ac:dyDescent="0.35">
      <c r="B359"/>
      <c r="C359" s="302"/>
      <c r="D359" s="439">
        <v>920</v>
      </c>
      <c r="E359"/>
      <c r="F359" s="322" t="s">
        <v>1041</v>
      </c>
      <c r="G359" s="329" t="s">
        <v>1176</v>
      </c>
      <c r="H359" s="260"/>
      <c r="I359" s="310"/>
      <c r="J359" s="310"/>
      <c r="L359" s="799"/>
      <c r="M359" s="315"/>
      <c r="O359" s="797"/>
      <c r="P359" s="362"/>
      <c r="Q359" s="301"/>
      <c r="R359" s="691"/>
      <c r="T359" s="315"/>
      <c r="U359" s="315"/>
      <c r="W359" s="315"/>
      <c r="X359" s="315"/>
      <c r="Y359"/>
      <c r="Z359" s="305"/>
      <c r="AA359" s="307"/>
      <c r="AB359" s="362"/>
      <c r="AC359"/>
      <c r="AD359" s="299"/>
      <c r="AE359" s="387"/>
      <c r="AF359" s="352"/>
      <c r="AG359" s="260">
        <v>25</v>
      </c>
      <c r="AH359" s="23"/>
      <c r="AI359" s="605"/>
      <c r="AJ359" s="354" t="s">
        <v>1214</v>
      </c>
      <c r="AK359" s="299"/>
    </row>
    <row r="360" spans="2:38" s="208" customFormat="1" ht="16.2" customHeight="1" thickBot="1" x14ac:dyDescent="0.4">
      <c r="B360"/>
      <c r="C360" s="298"/>
      <c r="D360" s="449">
        <v>922</v>
      </c>
      <c r="E360"/>
      <c r="F360" s="324" t="s">
        <v>1041</v>
      </c>
      <c r="G360" s="357" t="s">
        <v>1177</v>
      </c>
      <c r="H360" s="262"/>
      <c r="I360" s="310"/>
      <c r="J360" s="310"/>
      <c r="L360" s="801"/>
      <c r="M360" s="315"/>
      <c r="O360" s="796"/>
      <c r="P360" s="364"/>
      <c r="Q360" s="303"/>
      <c r="R360" s="692"/>
      <c r="T360" s="315"/>
      <c r="U360" s="315"/>
      <c r="W360" s="315"/>
      <c r="X360" s="315"/>
      <c r="Y360"/>
      <c r="Z360" s="306"/>
      <c r="AA360" s="308"/>
      <c r="AB360" s="364"/>
      <c r="AC360"/>
      <c r="AD360" s="299"/>
      <c r="AE360" s="388"/>
      <c r="AF360" s="358"/>
      <c r="AG360" s="262">
        <v>25</v>
      </c>
      <c r="AH360" s="29"/>
      <c r="AI360" s="606"/>
      <c r="AJ360" s="359" t="s">
        <v>1214</v>
      </c>
      <c r="AK360" s="299"/>
    </row>
    <row r="361" spans="2:38" ht="18" customHeight="1" x14ac:dyDescent="0.35">
      <c r="C361" s="419">
        <v>1206700</v>
      </c>
      <c r="D361" s="439">
        <v>396</v>
      </c>
      <c r="F361" s="322" t="s">
        <v>746</v>
      </c>
      <c r="G361" s="329" t="s">
        <v>1192</v>
      </c>
      <c r="H361" s="260"/>
      <c r="I361" s="310"/>
      <c r="J361" s="310"/>
      <c r="L361" s="741">
        <f t="shared" ref="L361:L370" si="108">+IFERROR(Q361/P361,0)</f>
        <v>0</v>
      </c>
      <c r="M361" s="790">
        <f t="shared" ref="M361:M366" si="109">+IFERROR(U361/X361,0)</f>
        <v>0</v>
      </c>
      <c r="O361" s="753" t="e">
        <f>IF(P361-Q361-#REF!&lt;0,0,P361-Q361-#REF!)</f>
        <v>#REF!</v>
      </c>
      <c r="P361" s="381">
        <f>+IFERROR(AE361*#REF!,0)</f>
        <v>0</v>
      </c>
      <c r="Q361" s="345">
        <f t="shared" ref="Q361:Q366" si="110">+(Z361*AB361)+AA361</f>
        <v>0</v>
      </c>
      <c r="R361" s="745"/>
      <c r="T361" s="400">
        <f>+IFERROR(SUMIF('Stock CD'!#REF!,'Pedido VACIO'!#REF!,'Stock CD'!D:D),0)</f>
        <v>0</v>
      </c>
      <c r="U361" s="783">
        <f t="shared" ref="U361:U370" si="111">+T361+Q361</f>
        <v>0</v>
      </c>
      <c r="W361" s="791">
        <f>+VLOOKUP(D361,'Stock CD'!B:I,8,0)</f>
        <v>0</v>
      </c>
      <c r="X361" s="405">
        <f t="shared" ref="X361:X370" si="112">+W361+P361</f>
        <v>0</v>
      </c>
      <c r="Z361" s="305"/>
      <c r="AA361" s="305"/>
      <c r="AB361" s="362">
        <v>1000</v>
      </c>
      <c r="AD361" s="430" t="s">
        <v>1470</v>
      </c>
      <c r="AE361" s="414"/>
      <c r="AF361" s="362">
        <v>12000</v>
      </c>
      <c r="AG361" s="260">
        <v>12</v>
      </c>
      <c r="AH361" s="325">
        <v>68.570279999999997</v>
      </c>
      <c r="AI361" s="607"/>
      <c r="AJ361" s="354" t="s">
        <v>1213</v>
      </c>
      <c r="AK361" s="299">
        <v>3</v>
      </c>
    </row>
    <row r="362" spans="2:38" ht="18" customHeight="1" x14ac:dyDescent="0.35">
      <c r="C362" s="419">
        <v>2315700</v>
      </c>
      <c r="D362" s="439">
        <v>710</v>
      </c>
      <c r="F362" s="322" t="s">
        <v>1041</v>
      </c>
      <c r="G362" s="329" t="s">
        <v>1192</v>
      </c>
      <c r="H362" s="260"/>
      <c r="I362" s="310"/>
      <c r="J362" s="310"/>
      <c r="L362" s="741">
        <f t="shared" si="108"/>
        <v>0</v>
      </c>
      <c r="M362" s="790">
        <f t="shared" si="109"/>
        <v>0</v>
      </c>
      <c r="O362" s="753" t="e">
        <f>IF(P362-Q362-#REF!&lt;0,0,P362-Q362-#REF!)</f>
        <v>#REF!</v>
      </c>
      <c r="P362" s="381">
        <f>+IFERROR(AE362*#REF!,0)</f>
        <v>0</v>
      </c>
      <c r="Q362" s="345">
        <f t="shared" si="110"/>
        <v>0</v>
      </c>
      <c r="R362" s="745"/>
      <c r="T362" s="400">
        <f>+IFERROR(SUMIF('Stock CD'!#REF!,'Pedido VACIO'!#REF!,'Stock CD'!D:D),0)</f>
        <v>0</v>
      </c>
      <c r="U362" s="783">
        <f t="shared" si="111"/>
        <v>0</v>
      </c>
      <c r="W362" s="791">
        <f>+VLOOKUP(D362,'Stock CD'!B:I,8,0)</f>
        <v>0</v>
      </c>
      <c r="X362" s="405">
        <f t="shared" si="112"/>
        <v>0</v>
      </c>
      <c r="Z362" s="305"/>
      <c r="AA362" s="305"/>
      <c r="AB362" s="362">
        <v>1000</v>
      </c>
      <c r="AD362" s="430" t="s">
        <v>1470</v>
      </c>
      <c r="AE362" s="414"/>
      <c r="AF362" s="362">
        <v>12000</v>
      </c>
      <c r="AG362" s="260">
        <v>12</v>
      </c>
      <c r="AH362" s="325">
        <v>68.570279999999997</v>
      </c>
      <c r="AI362" s="607"/>
      <c r="AJ362" s="354" t="s">
        <v>1220</v>
      </c>
    </row>
    <row r="363" spans="2:38" ht="18" customHeight="1" x14ac:dyDescent="0.35">
      <c r="C363" s="419">
        <v>2319700</v>
      </c>
      <c r="D363" s="439">
        <v>724</v>
      </c>
      <c r="F363" s="322" t="s">
        <v>1041</v>
      </c>
      <c r="G363" s="329" t="s">
        <v>1386</v>
      </c>
      <c r="H363" s="260"/>
      <c r="I363" s="310"/>
      <c r="J363" s="310"/>
      <c r="L363" s="741">
        <f t="shared" si="108"/>
        <v>0</v>
      </c>
      <c r="M363" s="790">
        <f t="shared" si="109"/>
        <v>0</v>
      </c>
      <c r="O363" s="753" t="e">
        <f>IF(P363-Q363-#REF!&lt;0,0,P363-Q363-#REF!)</f>
        <v>#REF!</v>
      </c>
      <c r="P363" s="381">
        <f>+IFERROR(AE363*#REF!,0)</f>
        <v>0</v>
      </c>
      <c r="Q363" s="345">
        <f t="shared" si="110"/>
        <v>0</v>
      </c>
      <c r="R363" s="745"/>
      <c r="T363" s="400">
        <f>+IFERROR(SUMIF('Stock CD'!#REF!,'Pedido VACIO'!#REF!,'Stock CD'!D:D),0)</f>
        <v>0</v>
      </c>
      <c r="U363" s="783">
        <f t="shared" si="111"/>
        <v>0</v>
      </c>
      <c r="W363" s="791">
        <f>+VLOOKUP(D363,'Stock CD'!B:I,8,0)</f>
        <v>0</v>
      </c>
      <c r="X363" s="405">
        <f t="shared" si="112"/>
        <v>0</v>
      </c>
      <c r="Z363" s="305"/>
      <c r="AA363" s="305"/>
      <c r="AB363" s="362">
        <v>1000</v>
      </c>
      <c r="AD363" s="430" t="s">
        <v>1470</v>
      </c>
      <c r="AE363" s="414"/>
      <c r="AF363" s="362">
        <v>12000</v>
      </c>
      <c r="AG363" s="260">
        <v>6</v>
      </c>
      <c r="AH363" s="325">
        <v>115.9353</v>
      </c>
      <c r="AI363" s="607"/>
      <c r="AJ363" s="355" t="s">
        <v>1222</v>
      </c>
    </row>
    <row r="364" spans="2:38" ht="18" customHeight="1" x14ac:dyDescent="0.35">
      <c r="C364" s="419">
        <v>2319700</v>
      </c>
      <c r="D364" s="439">
        <v>617</v>
      </c>
      <c r="F364" s="322" t="s">
        <v>1041</v>
      </c>
      <c r="G364" s="329" t="s">
        <v>1096</v>
      </c>
      <c r="H364" s="260"/>
      <c r="I364" s="310"/>
      <c r="J364" s="310"/>
      <c r="L364" s="741">
        <f t="shared" si="108"/>
        <v>0</v>
      </c>
      <c r="M364" s="790">
        <f t="shared" si="109"/>
        <v>0</v>
      </c>
      <c r="O364" s="753" t="e">
        <f>IF(P364-Q364-#REF!&lt;0,0,P364-Q364-#REF!)</f>
        <v>#REF!</v>
      </c>
      <c r="P364" s="381">
        <f>+IFERROR(AE364*#REF!,0)</f>
        <v>0</v>
      </c>
      <c r="Q364" s="345">
        <f t="shared" si="110"/>
        <v>0</v>
      </c>
      <c r="R364" s="745"/>
      <c r="T364" s="400">
        <f>+IFERROR(SUMIF('Stock CD'!#REF!,'Pedido VACIO'!#REF!,'Stock CD'!D:D),0)</f>
        <v>0</v>
      </c>
      <c r="U364" s="783">
        <f t="shared" si="111"/>
        <v>0</v>
      </c>
      <c r="W364" s="791">
        <f>+VLOOKUP(D364,'Stock CD'!B:I,8,0)</f>
        <v>0</v>
      </c>
      <c r="X364" s="405">
        <f t="shared" si="112"/>
        <v>0</v>
      </c>
      <c r="Z364" s="305"/>
      <c r="AA364" s="305"/>
      <c r="AB364" s="362">
        <v>1000</v>
      </c>
      <c r="AD364" s="430" t="s">
        <v>1470</v>
      </c>
      <c r="AE364" s="414"/>
      <c r="AF364" s="362">
        <v>12000</v>
      </c>
      <c r="AG364" s="260">
        <v>6</v>
      </c>
      <c r="AH364" s="325">
        <v>115.9353</v>
      </c>
      <c r="AI364" s="607"/>
      <c r="AJ364" s="355" t="s">
        <v>1222</v>
      </c>
    </row>
    <row r="365" spans="2:38" ht="18" customHeight="1" x14ac:dyDescent="0.35">
      <c r="C365" s="419">
        <v>2319700</v>
      </c>
      <c r="D365" s="439">
        <v>765</v>
      </c>
      <c r="F365" s="322" t="s">
        <v>1041</v>
      </c>
      <c r="G365" s="329" t="s">
        <v>818</v>
      </c>
      <c r="H365" s="260"/>
      <c r="I365" s="310"/>
      <c r="J365" s="310"/>
      <c r="L365" s="741">
        <f t="shared" si="108"/>
        <v>0</v>
      </c>
      <c r="M365" s="790">
        <f t="shared" si="109"/>
        <v>0</v>
      </c>
      <c r="O365" s="753" t="e">
        <f>IF(P365-Q365-#REF!&lt;0,0,P365-Q365-#REF!)</f>
        <v>#REF!</v>
      </c>
      <c r="P365" s="381">
        <f>+IFERROR(AE365*#REF!,0)</f>
        <v>0</v>
      </c>
      <c r="Q365" s="345">
        <f t="shared" si="110"/>
        <v>0</v>
      </c>
      <c r="R365" s="745"/>
      <c r="T365" s="400">
        <f>+IFERROR(SUMIF('Stock CD'!#REF!,'Pedido VACIO'!#REF!,'Stock CD'!D:D),0)</f>
        <v>0</v>
      </c>
      <c r="U365" s="783">
        <f t="shared" si="111"/>
        <v>0</v>
      </c>
      <c r="W365" s="791">
        <v>0</v>
      </c>
      <c r="X365" s="405">
        <f t="shared" si="112"/>
        <v>0</v>
      </c>
      <c r="Z365" s="305"/>
      <c r="AA365" s="305"/>
      <c r="AB365" s="362">
        <v>1000</v>
      </c>
      <c r="AD365" s="430" t="s">
        <v>1470</v>
      </c>
      <c r="AE365" s="414"/>
      <c r="AF365" s="362">
        <v>12000</v>
      </c>
      <c r="AG365" s="260">
        <v>6</v>
      </c>
      <c r="AH365" s="325">
        <v>115.9353</v>
      </c>
      <c r="AI365" s="607"/>
      <c r="AJ365" s="354" t="s">
        <v>1222</v>
      </c>
    </row>
    <row r="366" spans="2:38" ht="18" customHeight="1" x14ac:dyDescent="0.35">
      <c r="C366" s="419">
        <v>2319700</v>
      </c>
      <c r="D366" s="439">
        <v>879</v>
      </c>
      <c r="F366" s="322" t="s">
        <v>1041</v>
      </c>
      <c r="G366" s="329" t="s">
        <v>1380</v>
      </c>
      <c r="H366" s="260"/>
      <c r="I366" s="310"/>
      <c r="J366" s="310"/>
      <c r="L366" s="741">
        <f t="shared" si="108"/>
        <v>0</v>
      </c>
      <c r="M366" s="790">
        <f t="shared" si="109"/>
        <v>0</v>
      </c>
      <c r="O366" s="753" t="e">
        <f>IF(P366-Q366-#REF!&lt;0,0,P366-Q366-#REF!)</f>
        <v>#REF!</v>
      </c>
      <c r="P366" s="381">
        <f>+IFERROR(AE366*#REF!,0)</f>
        <v>0</v>
      </c>
      <c r="Q366" s="345">
        <f t="shared" si="110"/>
        <v>0</v>
      </c>
      <c r="R366" s="745"/>
      <c r="T366" s="400">
        <f>+IFERROR(SUMIF('Stock CD'!#REF!,'Pedido VACIO'!#REF!,'Stock CD'!D:D),0)</f>
        <v>0</v>
      </c>
      <c r="U366" s="783">
        <f t="shared" si="111"/>
        <v>0</v>
      </c>
      <c r="W366" s="791">
        <f>+VLOOKUP(D366,'Stock CD'!B:I,8,0)</f>
        <v>0</v>
      </c>
      <c r="X366" s="405">
        <f t="shared" si="112"/>
        <v>0</v>
      </c>
      <c r="Z366" s="305"/>
      <c r="AA366" s="305"/>
      <c r="AB366" s="362">
        <v>1000</v>
      </c>
      <c r="AD366" s="430" t="s">
        <v>1470</v>
      </c>
      <c r="AE366" s="414"/>
      <c r="AF366" s="362">
        <v>12000</v>
      </c>
      <c r="AG366" s="260">
        <v>6</v>
      </c>
      <c r="AH366" s="325">
        <v>115.9353</v>
      </c>
      <c r="AI366" s="607"/>
      <c r="AJ366" s="354" t="s">
        <v>1222</v>
      </c>
    </row>
    <row r="367" spans="2:38" ht="18" customHeight="1" x14ac:dyDescent="0.35">
      <c r="C367" s="302"/>
      <c r="D367" s="533">
        <v>25</v>
      </c>
      <c r="F367" s="322" t="s">
        <v>746</v>
      </c>
      <c r="G367" s="329" t="s">
        <v>1663</v>
      </c>
      <c r="H367" s="260"/>
      <c r="I367" s="738"/>
      <c r="J367" s="310"/>
      <c r="K367" s="208"/>
      <c r="L367" s="741">
        <f t="shared" si="108"/>
        <v>0</v>
      </c>
      <c r="M367" s="787">
        <f>+IFERROR(U367/X367,0)</f>
        <v>0</v>
      </c>
      <c r="O367" s="753">
        <f>IF(P367-Q367&lt;0,0,P367-Q367)</f>
        <v>0</v>
      </c>
      <c r="P367" s="487">
        <f>+IFERROR(AE367*AK367,0)</f>
        <v>0</v>
      </c>
      <c r="Q367" s="345">
        <f>+(Z367*AB367)+AA367</f>
        <v>0</v>
      </c>
      <c r="R367" s="744"/>
      <c r="T367" s="399">
        <f>+IFERROR(SUMIFS('Stock CD'!D:D,D318,'Stock CD'!C:C),0)</f>
        <v>0</v>
      </c>
      <c r="U367" s="783">
        <f t="shared" si="111"/>
        <v>0</v>
      </c>
      <c r="W367" s="792">
        <f>+IFERROR(VLOOKUP(D367,'Stock CD'!B:I,8,0),0)</f>
        <v>0</v>
      </c>
      <c r="X367" s="520">
        <f t="shared" si="112"/>
        <v>0</v>
      </c>
      <c r="Z367" s="305">
        <f>+SUMIFS('Conteo VACIO'!F:F,'Conteo VACIO'!$A:$A,$D367)</f>
        <v>0</v>
      </c>
      <c r="AA367" s="305">
        <f>+SUMIFS('Conteo VACIO'!G:G,'Conteo VACIO'!$A:$A,$D367)</f>
        <v>0</v>
      </c>
      <c r="AB367" s="517">
        <v>1000</v>
      </c>
      <c r="AD367" s="430" t="s">
        <v>1470</v>
      </c>
      <c r="AE367" s="414">
        <f>IF(D367="Corb-LK",SUMIFS('Est Madre LK 10-25'!C:C,'Est Madre LK 10-25'!D:D,"si"),IF(D367="Corb-CH",SUMIFS('Est Madre CH 10-25'!C:C,'Est Madre CH 10-25'!D:D,"si"),0)+IFERROR(VLOOKUP(D367,'Est Madre LK 10-25'!$A:$C,3,),IFERROR(VLOOKUP(D367,'Est Madre CH 10-25'!$A:$C,3,),0)))</f>
        <v>0</v>
      </c>
      <c r="AF367" s="362"/>
      <c r="AG367" s="260"/>
      <c r="AH367" s="325"/>
      <c r="AI367" s="601"/>
      <c r="AJ367" s="260"/>
      <c r="AK367" s="322">
        <v>3</v>
      </c>
    </row>
    <row r="368" spans="2:38" ht="18" customHeight="1" x14ac:dyDescent="0.35">
      <c r="C368" s="302">
        <v>1216700</v>
      </c>
      <c r="D368" s="533" t="s">
        <v>869</v>
      </c>
      <c r="F368" s="322" t="s">
        <v>746</v>
      </c>
      <c r="G368" s="329" t="s">
        <v>1454</v>
      </c>
      <c r="H368" s="260"/>
      <c r="I368" s="738"/>
      <c r="J368" s="310"/>
      <c r="K368" s="208"/>
      <c r="L368" s="741">
        <f t="shared" si="108"/>
        <v>0</v>
      </c>
      <c r="M368" s="786">
        <f>+IFERROR(U368/X368,0)</f>
        <v>0</v>
      </c>
      <c r="N368" s="208"/>
      <c r="O368" s="753">
        <f>IF(P368-Q368&lt;0,0,P368-Q368)</f>
        <v>0</v>
      </c>
      <c r="P368" s="487">
        <f>+IFERROR(AE368*AK368,0)</f>
        <v>0</v>
      </c>
      <c r="Q368" s="345">
        <f>+(Z368*AB368)+AA368</f>
        <v>115000</v>
      </c>
      <c r="R368" s="744"/>
      <c r="S368" s="208"/>
      <c r="T368" s="402">
        <f>+IFERROR(SUMIFS('Stock CD'!D:D,D316,'Stock CD'!C:C),0)</f>
        <v>0</v>
      </c>
      <c r="U368" s="783">
        <f t="shared" si="111"/>
        <v>115000</v>
      </c>
      <c r="V368" s="208"/>
      <c r="W368" s="791">
        <f>+IFERROR(VLOOKUP(D368,'Stock CD'!B:I,8,0),0)</f>
        <v>0</v>
      </c>
      <c r="X368" s="405">
        <f t="shared" si="112"/>
        <v>0</v>
      </c>
      <c r="Z368" s="305">
        <f>+SUMIFS('Conteo VACIO'!F:F,'Conteo VACIO'!$A:$A,$D368)</f>
        <v>23</v>
      </c>
      <c r="AA368" s="305">
        <f>+SUMIFS('Conteo VACIO'!G:G,'Conteo VACIO'!$A:$A,$D368)</f>
        <v>0</v>
      </c>
      <c r="AB368" s="517">
        <v>5000</v>
      </c>
      <c r="AD368" s="430" t="s">
        <v>1470</v>
      </c>
      <c r="AE368" s="414">
        <f>IF(D368="Corb-LK",SUMIFS('Est Madre LK 10-25'!C:C,'Est Madre LK 10-25'!D:D,"si"),IF(D368="Corb-CH",SUMIFS('Est Madre CH 10-25'!C:C,'Est Madre CH 10-25'!D:D,"si"),0)+IFERROR(VLOOKUP(D368,'Est Madre LK 10-25'!$A:$C,3,),IFERROR(VLOOKUP(D368,'Est Madre CH 10-25'!$A:$C,3,),0)))</f>
        <v>0</v>
      </c>
      <c r="AF368" s="362">
        <v>12000</v>
      </c>
      <c r="AG368" s="322"/>
      <c r="AH368" s="325">
        <v>14.8635</v>
      </c>
      <c r="AI368" s="601"/>
      <c r="AJ368" s="295"/>
      <c r="AK368" s="322">
        <v>3</v>
      </c>
      <c r="AL368" s="208"/>
    </row>
    <row r="369" spans="3:37" ht="18" customHeight="1" thickBot="1" x14ac:dyDescent="0.4">
      <c r="C369" s="615">
        <v>1217700</v>
      </c>
      <c r="D369" s="616" t="s">
        <v>1657</v>
      </c>
      <c r="F369" s="617" t="s">
        <v>746</v>
      </c>
      <c r="G369" s="618" t="s">
        <v>1502</v>
      </c>
      <c r="H369" s="619"/>
      <c r="I369" s="739"/>
      <c r="J369" s="310"/>
      <c r="L369" s="742">
        <f t="shared" si="108"/>
        <v>0</v>
      </c>
      <c r="M369" s="789">
        <f>+IFERROR(U369/X369,0)</f>
        <v>0</v>
      </c>
      <c r="O369" s="798">
        <f>IF(P369-Q369&lt;0,0,P369-Q369)</f>
        <v>94176</v>
      </c>
      <c r="P369" s="620">
        <f>+IFERROR(AE369*AK369,0)</f>
        <v>94176</v>
      </c>
      <c r="Q369" s="621">
        <f>+(Z369*AB369)+AA369</f>
        <v>0</v>
      </c>
      <c r="R369" s="746"/>
      <c r="T369" s="407">
        <f>+IFERROR(SUMIFS('Stock CD'!D:D,D42,'Stock CD'!C:C),0)</f>
        <v>0</v>
      </c>
      <c r="U369" s="785">
        <f t="shared" si="111"/>
        <v>0</v>
      </c>
      <c r="W369" s="794">
        <f>SUMIFS('Stock CD'!I:I,'Stock CD'!A:A,G369)</f>
        <v>0</v>
      </c>
      <c r="X369" s="408">
        <f t="shared" si="112"/>
        <v>94176</v>
      </c>
      <c r="Z369" s="622">
        <f>+SUMIFS('Conteo VACIO'!F:F,'Conteo VACIO'!$A:$A,$D369)</f>
        <v>0</v>
      </c>
      <c r="AA369" s="622">
        <f>+SUMIFS('Conteo VACIO'!G:G,'Conteo VACIO'!$A:$A,$D369)</f>
        <v>0</v>
      </c>
      <c r="AB369" s="623">
        <v>2500</v>
      </c>
      <c r="AD369" s="624" t="s">
        <v>1470</v>
      </c>
      <c r="AE369" s="625">
        <f>IF(D369="Corb-LK",SUMIFS('Est Madre LK 10-25'!C:C,'Est Madre LK 10-25'!D:D,"si"),IF(D369="Corb-CH",SUMIFS('Est Madre CH 10-25'!C:C,'Est Madre CH 10-25'!D:D,"si"),0)+IFERROR(VLOOKUP(D369,'Est Madre LK 10-25'!$A:$C,3,),IFERROR(VLOOKUP(D369,'Est Madre CH 10-25'!$A:$C,3,),0)))</f>
        <v>31392</v>
      </c>
      <c r="AF369" s="626">
        <v>25000</v>
      </c>
      <c r="AG369" s="627">
        <v>25</v>
      </c>
      <c r="AH369" s="628">
        <v>31.048200000000001</v>
      </c>
      <c r="AI369" s="629"/>
      <c r="AJ369" s="627" t="s">
        <v>1665</v>
      </c>
      <c r="AK369" s="322">
        <v>3</v>
      </c>
    </row>
    <row r="370" spans="3:37" ht="18" customHeight="1" x14ac:dyDescent="0.35">
      <c r="C370" s="684"/>
      <c r="D370" s="297">
        <v>28</v>
      </c>
      <c r="E370" s="489" t="str">
        <f>+VLOOKUP(D370,'Conteo VACIO'!$A$8:$D$226,4,0)</f>
        <v>L2C</v>
      </c>
      <c r="F370" s="323" t="s">
        <v>746</v>
      </c>
      <c r="G370" s="356" t="s">
        <v>1664</v>
      </c>
      <c r="H370" s="261"/>
      <c r="I370" s="737"/>
      <c r="J370" s="310"/>
      <c r="K370" s="208"/>
      <c r="L370" s="740">
        <f t="shared" si="108"/>
        <v>0</v>
      </c>
      <c r="M370" s="788">
        <f>+IFERROR(U370/X370,0)</f>
        <v>0</v>
      </c>
      <c r="O370" s="751">
        <f>IF(P370-Q370&lt;0,0,P370-Q370)</f>
        <v>0</v>
      </c>
      <c r="P370" s="486">
        <f>+IFERROR(AE370*AK370,0)</f>
        <v>0</v>
      </c>
      <c r="Q370" s="346">
        <f>+(Z370*AB370)+AA370</f>
        <v>4750</v>
      </c>
      <c r="R370" s="743"/>
      <c r="S370" s="199"/>
      <c r="T370" s="464">
        <f>+IFERROR(SUMIFS('Stock CD'!D:D,D319,'Stock CD'!C:C),0)</f>
        <v>0</v>
      </c>
      <c r="U370" s="782">
        <f t="shared" si="111"/>
        <v>4750</v>
      </c>
      <c r="W370" s="793">
        <f>+IFERROR(VLOOKUP(D370,'Stock CD'!B:I,8,0),0)</f>
        <v>0</v>
      </c>
      <c r="X370" s="674">
        <f t="shared" si="112"/>
        <v>0</v>
      </c>
      <c r="Z370" s="304">
        <f>+SUMIFS('Conteo VACIO'!F:F,'Conteo VACIO'!$A:$A,$D370)</f>
        <v>3</v>
      </c>
      <c r="AA370" s="304">
        <f>+SUMIFS('Conteo VACIO'!G:G,'Conteo VACIO'!$A:$A,$D370)</f>
        <v>1750</v>
      </c>
      <c r="AB370" s="534">
        <v>1000</v>
      </c>
      <c r="AD370" s="398" t="s">
        <v>1470</v>
      </c>
      <c r="AE370" s="428">
        <f>IF(D370="Corb-LK",SUMIFS('Est Madre LK 10-25'!C:C,'Est Madre LK 10-25'!D:D,"si"),IF(D370="Corb-CH",SUMIFS('Est Madre CH 10-25'!C:C,'Est Madre CH 10-25'!D:D,"si"),0)+IFERROR(VLOOKUP(D370,'Est Madre LK 10-25'!$A:$C,3,),IFERROR(VLOOKUP(D370,'Est Madre CH 10-25'!$A:$C,3,),0)))</f>
        <v>0</v>
      </c>
      <c r="AF370" s="361"/>
      <c r="AG370" s="261"/>
      <c r="AH370" s="720"/>
      <c r="AI370" s="722" t="s">
        <v>1733</v>
      </c>
      <c r="AJ370" s="261" t="s">
        <v>1678</v>
      </c>
      <c r="AK370" s="333">
        <v>3</v>
      </c>
    </row>
    <row r="371" spans="3:37" x14ac:dyDescent="0.35">
      <c r="D371" s="292"/>
      <c r="G371"/>
      <c r="I371"/>
      <c r="J371"/>
      <c r="L371"/>
      <c r="P371" s="292"/>
      <c r="Q371"/>
      <c r="Z371" s="292"/>
      <c r="AA371"/>
      <c r="AB371" s="292"/>
    </row>
    <row r="372" spans="3:37" x14ac:dyDescent="0.35">
      <c r="D372" s="292"/>
      <c r="G372"/>
      <c r="I372"/>
      <c r="J372"/>
      <c r="L372"/>
      <c r="P372" s="292"/>
      <c r="Q372"/>
      <c r="Z372" s="292"/>
      <c r="AA372"/>
      <c r="AB372" s="292"/>
    </row>
    <row r="373" spans="3:37" x14ac:dyDescent="0.35">
      <c r="D373" s="292"/>
      <c r="G373"/>
      <c r="I373"/>
      <c r="J373"/>
      <c r="L373"/>
      <c r="P373" s="292"/>
      <c r="Q373"/>
      <c r="Z373" s="292"/>
      <c r="AA373"/>
      <c r="AB373" s="292"/>
    </row>
    <row r="374" spans="3:37" x14ac:dyDescent="0.35">
      <c r="D374" s="292"/>
      <c r="G374"/>
      <c r="I374"/>
      <c r="J374"/>
      <c r="L374"/>
      <c r="P374" s="292"/>
      <c r="Q374"/>
      <c r="Z374" s="292"/>
      <c r="AA374"/>
      <c r="AB374" s="292"/>
    </row>
    <row r="375" spans="3:37" x14ac:dyDescent="0.35">
      <c r="D375" s="292"/>
      <c r="G375"/>
      <c r="I375"/>
      <c r="J375"/>
      <c r="L375"/>
      <c r="P375" s="292"/>
      <c r="Q375"/>
      <c r="Z375" s="292"/>
      <c r="AA375"/>
      <c r="AB375" s="292"/>
    </row>
    <row r="376" spans="3:37" x14ac:dyDescent="0.35">
      <c r="D376" s="292"/>
      <c r="G376"/>
      <c r="I376"/>
      <c r="J376"/>
      <c r="L376"/>
      <c r="P376" s="292"/>
      <c r="Q376"/>
      <c r="Z376" s="292"/>
      <c r="AA376"/>
      <c r="AB376" s="292"/>
    </row>
    <row r="377" spans="3:37" x14ac:dyDescent="0.35">
      <c r="D377" s="292"/>
      <c r="G377"/>
      <c r="I377"/>
      <c r="J377"/>
      <c r="L377"/>
      <c r="P377" s="292"/>
      <c r="Q377"/>
      <c r="Z377" s="292"/>
      <c r="AA377"/>
      <c r="AB377" s="292"/>
    </row>
    <row r="378" spans="3:37" x14ac:dyDescent="0.35">
      <c r="D378" s="292"/>
      <c r="G378"/>
      <c r="I378"/>
      <c r="J378"/>
      <c r="L378"/>
      <c r="P378" s="292"/>
      <c r="Q378"/>
      <c r="Z378" s="292"/>
      <c r="AA378"/>
      <c r="AB378" s="292"/>
    </row>
    <row r="379" spans="3:37" x14ac:dyDescent="0.35">
      <c r="D379" s="292"/>
      <c r="G379"/>
      <c r="I379"/>
      <c r="J379"/>
      <c r="L379"/>
      <c r="P379" s="292"/>
      <c r="Q379"/>
      <c r="Z379" s="292"/>
      <c r="AA379"/>
      <c r="AB379" s="292"/>
    </row>
    <row r="380" spans="3:37" x14ac:dyDescent="0.35">
      <c r="D380" s="292"/>
      <c r="G380"/>
      <c r="I380"/>
      <c r="J380"/>
      <c r="L380"/>
      <c r="P380" s="292"/>
      <c r="Q380"/>
      <c r="Z380" s="292"/>
      <c r="AA380"/>
      <c r="AB380" s="292"/>
    </row>
    <row r="381" spans="3:37" ht="18.600000000000001" thickBot="1" x14ac:dyDescent="0.4">
      <c r="D381" s="292"/>
      <c r="G381"/>
      <c r="I381"/>
      <c r="J381"/>
      <c r="L381"/>
      <c r="P381" s="292"/>
      <c r="Q381"/>
      <c r="Z381" s="292"/>
      <c r="AA381"/>
      <c r="AB381" s="292"/>
    </row>
    <row r="382" spans="3:37" ht="18.600000000000001" thickBot="1" x14ac:dyDescent="0.4">
      <c r="D382" s="292"/>
      <c r="G382" s="558" t="s">
        <v>1650</v>
      </c>
      <c r="H382" s="558">
        <v>12816</v>
      </c>
      <c r="I382"/>
      <c r="J382"/>
      <c r="L382"/>
      <c r="P382" s="292"/>
      <c r="Q382"/>
      <c r="Z382" s="292"/>
      <c r="AA382"/>
      <c r="AB382" s="292"/>
    </row>
    <row r="383" spans="3:37" ht="18.600000000000001" thickBot="1" x14ac:dyDescent="0.4">
      <c r="D383" s="292"/>
      <c r="G383" s="557" t="s">
        <v>1651</v>
      </c>
      <c r="H383" s="557">
        <v>16000</v>
      </c>
      <c r="I383"/>
      <c r="J383"/>
      <c r="L383"/>
      <c r="P383" s="292"/>
      <c r="Q383"/>
      <c r="Z383" s="292"/>
      <c r="AA383"/>
      <c r="AB383" s="292"/>
    </row>
    <row r="384" spans="3:37" x14ac:dyDescent="0.35">
      <c r="D384" s="292"/>
      <c r="G384"/>
      <c r="I384"/>
      <c r="J384"/>
      <c r="L384"/>
      <c r="P384" s="292"/>
      <c r="Q384"/>
      <c r="Z384" s="292"/>
      <c r="AA384"/>
      <c r="AB384" s="292"/>
    </row>
    <row r="385" spans="4:28" x14ac:dyDescent="0.35">
      <c r="D385" s="292"/>
      <c r="G385"/>
      <c r="I385"/>
      <c r="J385"/>
      <c r="L385"/>
      <c r="P385" s="292"/>
      <c r="Q385"/>
      <c r="Z385" s="292"/>
      <c r="AA385"/>
      <c r="AB385" s="292"/>
    </row>
    <row r="386" spans="4:28" x14ac:dyDescent="0.35">
      <c r="D386" s="292"/>
      <c r="G386"/>
      <c r="I386"/>
      <c r="J386"/>
      <c r="L386"/>
      <c r="P386" s="292"/>
      <c r="Q386"/>
      <c r="Z386" s="292"/>
      <c r="AA386"/>
      <c r="AB386" s="292"/>
    </row>
    <row r="387" spans="4:28" x14ac:dyDescent="0.35">
      <c r="D387" s="292"/>
      <c r="G387"/>
      <c r="I387"/>
      <c r="J387"/>
      <c r="L387"/>
      <c r="P387" s="292"/>
      <c r="Q387"/>
      <c r="Z387" s="292"/>
      <c r="AA387"/>
      <c r="AB387" s="292"/>
    </row>
    <row r="388" spans="4:28" x14ac:dyDescent="0.35">
      <c r="D388" s="292"/>
      <c r="G388"/>
      <c r="I388"/>
      <c r="J388"/>
      <c r="L388"/>
      <c r="P388" s="292"/>
      <c r="Q388"/>
      <c r="Z388" s="292"/>
      <c r="AA388"/>
      <c r="AB388" s="292"/>
    </row>
    <row r="389" spans="4:28" x14ac:dyDescent="0.35">
      <c r="D389" s="292"/>
      <c r="G389"/>
      <c r="I389"/>
      <c r="J389"/>
      <c r="L389"/>
      <c r="P389" s="292"/>
      <c r="Q389"/>
      <c r="Z389" s="292"/>
      <c r="AA389"/>
      <c r="AB389" s="292"/>
    </row>
    <row r="390" spans="4:28" x14ac:dyDescent="0.35">
      <c r="D390" s="292"/>
      <c r="G390"/>
      <c r="I390"/>
      <c r="J390"/>
      <c r="L390"/>
      <c r="P390" s="292">
        <v>5040</v>
      </c>
      <c r="Q390"/>
      <c r="Z390" s="292"/>
      <c r="AA390"/>
      <c r="AB390" s="292"/>
    </row>
    <row r="391" spans="4:28" x14ac:dyDescent="0.35">
      <c r="D391" s="292"/>
      <c r="G391"/>
      <c r="I391"/>
      <c r="J391"/>
      <c r="L391"/>
      <c r="P391" s="292"/>
      <c r="Q391"/>
      <c r="Z391" s="292"/>
      <c r="AA391"/>
      <c r="AB391" s="292"/>
    </row>
    <row r="392" spans="4:28" x14ac:dyDescent="0.35">
      <c r="D392" s="292"/>
      <c r="G392"/>
      <c r="I392"/>
      <c r="J392"/>
      <c r="L392"/>
      <c r="P392" s="292"/>
      <c r="Q392"/>
      <c r="Z392" s="292"/>
      <c r="AA392"/>
      <c r="AB392" s="292"/>
    </row>
    <row r="393" spans="4:28" x14ac:dyDescent="0.35">
      <c r="D393" s="292"/>
      <c r="G393"/>
      <c r="I393"/>
      <c r="J393"/>
      <c r="L393"/>
      <c r="P393" s="292"/>
      <c r="Q393"/>
      <c r="Z393" s="292"/>
      <c r="AA393"/>
      <c r="AB393" s="292"/>
    </row>
    <row r="394" spans="4:28" x14ac:dyDescent="0.35">
      <c r="D394" s="292"/>
      <c r="G394"/>
      <c r="I394"/>
      <c r="J394"/>
      <c r="L394"/>
      <c r="P394" s="292"/>
      <c r="Q394"/>
      <c r="Z394" s="292"/>
      <c r="AA394"/>
      <c r="AB394" s="292"/>
    </row>
    <row r="395" spans="4:28" x14ac:dyDescent="0.35">
      <c r="D395" s="292"/>
      <c r="G395"/>
      <c r="I395"/>
      <c r="J395"/>
      <c r="L395"/>
      <c r="P395" s="292"/>
      <c r="Q395"/>
      <c r="Z395" s="292"/>
      <c r="AA395"/>
      <c r="AB395" s="292"/>
    </row>
    <row r="396" spans="4:28" x14ac:dyDescent="0.35">
      <c r="D396" s="292"/>
      <c r="G396"/>
      <c r="I396"/>
      <c r="J396"/>
      <c r="L396"/>
      <c r="P396" s="292"/>
      <c r="Q396"/>
      <c r="Z396" s="292"/>
      <c r="AA396"/>
      <c r="AB396" s="292"/>
    </row>
    <row r="397" spans="4:28" x14ac:dyDescent="0.35">
      <c r="D397" s="292"/>
      <c r="G397"/>
      <c r="I397"/>
      <c r="J397"/>
      <c r="L397"/>
      <c r="P397" s="292"/>
      <c r="Q397"/>
      <c r="Z397" s="292"/>
      <c r="AA397"/>
      <c r="AB397" s="292"/>
    </row>
    <row r="398" spans="4:28" x14ac:dyDescent="0.35">
      <c r="D398" s="292"/>
      <c r="G398"/>
      <c r="I398"/>
      <c r="J398"/>
      <c r="L398"/>
      <c r="P398" s="292"/>
      <c r="Q398"/>
      <c r="Z398" s="292"/>
      <c r="AA398"/>
      <c r="AB398" s="292"/>
    </row>
    <row r="399" spans="4:28" x14ac:dyDescent="0.35">
      <c r="D399" s="292"/>
      <c r="G399"/>
      <c r="I399"/>
      <c r="J399"/>
      <c r="L399"/>
      <c r="P399" s="292"/>
      <c r="Q399"/>
      <c r="Z399" s="292"/>
      <c r="AA399"/>
      <c r="AB399" s="292"/>
    </row>
  </sheetData>
  <autoFilter ref="C8:AK382" xr:uid="{00000000-0009-0000-0000-00000B000000}">
    <filterColumn colId="2" showButton="0"/>
  </autoFilter>
  <mergeCells count="22">
    <mergeCell ref="C222:I222"/>
    <mergeCell ref="C235:I235"/>
    <mergeCell ref="C127:I127"/>
    <mergeCell ref="C132:I132"/>
    <mergeCell ref="C89:I89"/>
    <mergeCell ref="C221:I221"/>
    <mergeCell ref="C216:I216"/>
    <mergeCell ref="C212:I212"/>
    <mergeCell ref="C169:I169"/>
    <mergeCell ref="C166:I166"/>
    <mergeCell ref="C7:I7"/>
    <mergeCell ref="C126:I126"/>
    <mergeCell ref="C5:F5"/>
    <mergeCell ref="C62:I62"/>
    <mergeCell ref="C94:I94"/>
    <mergeCell ref="C122:I122"/>
    <mergeCell ref="C118:I118"/>
    <mergeCell ref="C15:I15"/>
    <mergeCell ref="C20:I20"/>
    <mergeCell ref="C29:I29"/>
    <mergeCell ref="C32:I32"/>
    <mergeCell ref="C8:I8"/>
  </mergeCells>
  <printOptions horizontalCentered="1" verticalCentered="1"/>
  <pageMargins left="0.23622047244094491" right="0.23622047244094491" top="0.70866141732283472" bottom="0.70866141732283472" header="0.31496062992125984" footer="0.31496062992125984"/>
  <pageSetup scale="47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617E-2CFD-41B2-99C6-FB5D874BC777}">
  <sheetPr>
    <tabColor theme="6" tint="0.59999389629810485"/>
    <pageSetUpPr fitToPage="1"/>
  </sheetPr>
  <dimension ref="A2:AO95"/>
  <sheetViews>
    <sheetView view="pageBreakPreview" zoomScale="85" zoomScaleNormal="70" zoomScaleSheetLayoutView="85" workbookViewId="0">
      <selection activeCell="D11" sqref="D11:J11"/>
    </sheetView>
  </sheetViews>
  <sheetFormatPr baseColWidth="10" defaultRowHeight="14.4" x14ac:dyDescent="0.3"/>
  <cols>
    <col min="1" max="1" width="11.5546875" style="1059"/>
    <col min="2" max="2" width="0" hidden="1" customWidth="1"/>
    <col min="3" max="3" width="10.33203125" hidden="1" customWidth="1"/>
    <col min="4" max="4" width="5.44140625" bestFit="1" customWidth="1"/>
    <col min="5" max="5" width="8" hidden="1" customWidth="1"/>
    <col min="6" max="6" width="3.5546875" bestFit="1" customWidth="1"/>
    <col min="7" max="7" width="35.88671875" bestFit="1" customWidth="1"/>
    <col min="8" max="8" width="9.6640625" style="292" bestFit="1" customWidth="1"/>
    <col min="9" max="9" width="8.88671875" customWidth="1"/>
    <col min="10" max="12" width="11.5546875" hidden="1" customWidth="1"/>
    <col min="13" max="13" width="8.109375" hidden="1" customWidth="1"/>
    <col min="14" max="14" width="1.6640625" hidden="1" customWidth="1"/>
    <col min="15" max="15" width="9.6640625" hidden="1" customWidth="1"/>
    <col min="16" max="16" width="10.33203125" hidden="1" customWidth="1"/>
    <col min="17" max="17" width="11.5546875" hidden="1" customWidth="1"/>
    <col min="18" max="18" width="11.33203125" hidden="1" customWidth="1"/>
    <col min="19" max="19" width="1.6640625" hidden="1" customWidth="1"/>
    <col min="20" max="20" width="10.6640625" hidden="1" customWidth="1"/>
    <col min="21" max="21" width="11.33203125" hidden="1" customWidth="1"/>
    <col min="22" max="22" width="1.5546875" hidden="1" customWidth="1"/>
    <col min="23" max="23" width="9.6640625" hidden="1" customWidth="1"/>
    <col min="24" max="24" width="11.5546875" hidden="1" customWidth="1"/>
    <col min="25" max="25" width="1" hidden="1" customWidth="1"/>
    <col min="26" max="26" width="10.33203125" hidden="1" customWidth="1"/>
    <col min="27" max="27" width="8" hidden="1" customWidth="1"/>
    <col min="28" max="28" width="11.44140625" hidden="1" customWidth="1"/>
    <col min="29" max="29" width="4.5546875" hidden="1" customWidth="1"/>
    <col min="30" max="30" width="12.88671875" hidden="1" customWidth="1"/>
    <col min="31" max="31" width="9.88671875" hidden="1" customWidth="1"/>
    <col min="32" max="32" width="11" hidden="1" customWidth="1"/>
    <col min="33" max="33" width="8.109375" hidden="1" customWidth="1"/>
    <col min="34" max="34" width="11.88671875" hidden="1" customWidth="1"/>
    <col min="35" max="35" width="9.6640625" hidden="1" customWidth="1"/>
    <col min="36" max="36" width="8.88671875" hidden="1" customWidth="1"/>
    <col min="37" max="37" width="7.6640625" hidden="1" customWidth="1"/>
  </cols>
  <sheetData>
    <row r="2" spans="1:39" ht="15" thickBot="1" x14ac:dyDescent="0.35"/>
    <row r="3" spans="1:39" ht="14.4" customHeight="1" x14ac:dyDescent="0.3">
      <c r="D3" s="1123" t="s">
        <v>1680</v>
      </c>
      <c r="E3" s="1124"/>
      <c r="F3" s="1124"/>
      <c r="G3" s="1124"/>
      <c r="H3" s="1124"/>
      <c r="I3" s="1124"/>
      <c r="J3" s="1124"/>
      <c r="K3" s="1124"/>
      <c r="L3" s="1124"/>
      <c r="M3" s="1124"/>
      <c r="N3" s="1124"/>
      <c r="O3" s="1124"/>
      <c r="P3" s="1124"/>
      <c r="Q3" s="1124"/>
      <c r="R3" s="1124"/>
      <c r="S3" s="1124"/>
      <c r="T3" s="1124"/>
      <c r="U3" s="1124"/>
      <c r="V3" s="1124"/>
      <c r="W3" s="1124"/>
      <c r="X3" s="1124"/>
      <c r="Y3" s="1124"/>
      <c r="Z3" s="1124"/>
      <c r="AA3" s="1124"/>
      <c r="AB3" s="1124"/>
      <c r="AC3" s="1124"/>
      <c r="AD3" s="1124"/>
      <c r="AE3" s="1124"/>
      <c r="AF3" s="1124"/>
      <c r="AG3" s="1124"/>
      <c r="AH3" s="1124"/>
      <c r="AI3" s="1124"/>
      <c r="AJ3" s="1124"/>
      <c r="AK3" s="1124"/>
      <c r="AL3" s="1125"/>
    </row>
    <row r="4" spans="1:39" ht="14.4" customHeight="1" x14ac:dyDescent="0.3">
      <c r="D4" s="1126"/>
      <c r="E4" s="1127"/>
      <c r="F4" s="1127"/>
      <c r="G4" s="1127"/>
      <c r="H4" s="1127"/>
      <c r="I4" s="1127"/>
      <c r="J4" s="1127"/>
      <c r="K4" s="1127"/>
      <c r="L4" s="1127"/>
      <c r="M4" s="1127"/>
      <c r="N4" s="1127"/>
      <c r="O4" s="1127"/>
      <c r="P4" s="1127"/>
      <c r="Q4" s="1127"/>
      <c r="R4" s="1127"/>
      <c r="S4" s="1127"/>
      <c r="T4" s="1127"/>
      <c r="U4" s="1127"/>
      <c r="V4" s="1127"/>
      <c r="W4" s="1127"/>
      <c r="X4" s="1127"/>
      <c r="Y4" s="1127"/>
      <c r="Z4" s="1127"/>
      <c r="AA4" s="1127"/>
      <c r="AB4" s="1127"/>
      <c r="AC4" s="1127"/>
      <c r="AD4" s="1127"/>
      <c r="AE4" s="1127"/>
      <c r="AF4" s="1127"/>
      <c r="AG4" s="1127"/>
      <c r="AH4" s="1127"/>
      <c r="AI4" s="1127"/>
      <c r="AJ4" s="1127"/>
      <c r="AK4" s="1127"/>
      <c r="AL4" s="1128"/>
    </row>
    <row r="5" spans="1:39" ht="15" customHeight="1" thickBot="1" x14ac:dyDescent="0.35">
      <c r="D5" s="1129"/>
      <c r="E5" s="1130"/>
      <c r="F5" s="1130"/>
      <c r="G5" s="1130"/>
      <c r="H5" s="1130"/>
      <c r="I5" s="1130"/>
      <c r="J5" s="1130"/>
      <c r="K5" s="1130"/>
      <c r="L5" s="1130"/>
      <c r="M5" s="1130"/>
      <c r="N5" s="1130"/>
      <c r="O5" s="1130"/>
      <c r="P5" s="1130"/>
      <c r="Q5" s="1130"/>
      <c r="R5" s="1130"/>
      <c r="S5" s="1130"/>
      <c r="T5" s="1130"/>
      <c r="U5" s="1130"/>
      <c r="V5" s="1130"/>
      <c r="W5" s="1130"/>
      <c r="X5" s="1130"/>
      <c r="Y5" s="1130"/>
      <c r="Z5" s="1130"/>
      <c r="AA5" s="1130"/>
      <c r="AB5" s="1130"/>
      <c r="AC5" s="1130"/>
      <c r="AD5" s="1130"/>
      <c r="AE5" s="1130"/>
      <c r="AF5" s="1130"/>
      <c r="AG5" s="1130"/>
      <c r="AH5" s="1130"/>
      <c r="AI5" s="1130"/>
      <c r="AJ5" s="1130"/>
      <c r="AK5" s="1130"/>
      <c r="AL5" s="1131"/>
    </row>
    <row r="6" spans="1:39" ht="14.4" customHeight="1" x14ac:dyDescent="0.3">
      <c r="D6" s="1287" t="s">
        <v>1687</v>
      </c>
      <c r="E6" s="1257"/>
      <c r="F6" s="1257"/>
      <c r="G6" s="1257"/>
      <c r="H6" s="1258"/>
      <c r="I6" s="1283">
        <v>46031</v>
      </c>
      <c r="J6" s="1284"/>
      <c r="K6" s="1284"/>
      <c r="L6" s="1284"/>
      <c r="M6" s="1284"/>
      <c r="N6" s="1284"/>
      <c r="O6" s="1284"/>
      <c r="P6" s="1284"/>
      <c r="Q6" s="1284"/>
      <c r="R6" s="1284"/>
      <c r="S6" s="1284"/>
      <c r="T6" s="1284"/>
      <c r="U6" s="1284"/>
      <c r="V6" s="1284"/>
      <c r="W6" s="1284"/>
      <c r="X6" s="1284"/>
      <c r="Y6" s="1284"/>
      <c r="Z6" s="1284"/>
      <c r="AA6" s="1284"/>
      <c r="AB6" s="1284"/>
      <c r="AC6" s="1284"/>
      <c r="AD6" s="1284"/>
      <c r="AE6" s="1284"/>
      <c r="AF6" s="1284"/>
      <c r="AG6" s="1284"/>
      <c r="AH6" s="1284"/>
      <c r="AI6" s="1284"/>
      <c r="AJ6" s="1284"/>
      <c r="AK6" s="1284"/>
      <c r="AL6" s="1285"/>
    </row>
    <row r="7" spans="1:39" ht="15" customHeight="1" thickBot="1" x14ac:dyDescent="0.35">
      <c r="D7" s="1166"/>
      <c r="E7" s="1240"/>
      <c r="F7" s="1240"/>
      <c r="G7" s="1240"/>
      <c r="H7" s="1167"/>
      <c r="I7" s="1159"/>
      <c r="J7" s="1286"/>
      <c r="K7" s="1286"/>
      <c r="L7" s="1286"/>
      <c r="M7" s="1286"/>
      <c r="N7" s="1286"/>
      <c r="O7" s="1286"/>
      <c r="P7" s="1286"/>
      <c r="Q7" s="1286"/>
      <c r="R7" s="1286"/>
      <c r="S7" s="1286"/>
      <c r="T7" s="1286"/>
      <c r="U7" s="1286"/>
      <c r="V7" s="1286"/>
      <c r="W7" s="1286"/>
      <c r="X7" s="1286"/>
      <c r="Y7" s="1286"/>
      <c r="Z7" s="1286"/>
      <c r="AA7" s="1286"/>
      <c r="AB7" s="1286"/>
      <c r="AC7" s="1286"/>
      <c r="AD7" s="1286"/>
      <c r="AE7" s="1286"/>
      <c r="AF7" s="1286"/>
      <c r="AG7" s="1286"/>
      <c r="AH7" s="1286"/>
      <c r="AI7" s="1286"/>
      <c r="AJ7" s="1286"/>
      <c r="AK7" s="1286"/>
      <c r="AL7" s="1160"/>
    </row>
    <row r="9" spans="1:39" ht="25.8" x14ac:dyDescent="0.3">
      <c r="A9" s="1288" t="s">
        <v>1693</v>
      </c>
      <c r="B9" s="1288"/>
      <c r="C9" s="1288"/>
      <c r="D9" s="1288"/>
      <c r="E9" s="1288"/>
      <c r="F9" s="1288"/>
      <c r="G9" s="1288"/>
      <c r="H9" s="1288"/>
      <c r="I9" s="1288"/>
      <c r="J9" s="1288"/>
      <c r="K9" s="1288"/>
      <c r="L9" s="1288"/>
      <c r="M9" s="1288"/>
      <c r="N9" s="1288"/>
      <c r="O9" s="1288"/>
      <c r="P9" s="1288"/>
      <c r="Q9" s="1288"/>
      <c r="R9" s="1288"/>
      <c r="S9" s="1288"/>
      <c r="T9" s="1288"/>
      <c r="U9" s="1288"/>
      <c r="V9" s="1288"/>
      <c r="W9" s="1288"/>
      <c r="X9" s="1288"/>
      <c r="Y9" s="1288"/>
      <c r="Z9" s="1288"/>
      <c r="AA9" s="1288"/>
      <c r="AB9" s="1288"/>
      <c r="AC9" s="1288"/>
      <c r="AD9" s="1288"/>
      <c r="AE9" s="1288"/>
      <c r="AF9" s="1288"/>
      <c r="AG9" s="1288"/>
      <c r="AH9" s="1288"/>
      <c r="AI9" s="1288"/>
      <c r="AJ9" s="1288"/>
      <c r="AK9" s="1288"/>
      <c r="AL9" s="1288"/>
      <c r="AM9" s="1288"/>
    </row>
    <row r="10" spans="1:39" ht="16.2" customHeight="1" x14ac:dyDescent="0.3">
      <c r="A10" s="1058"/>
      <c r="B10" s="1058"/>
      <c r="C10" s="1058"/>
      <c r="D10" s="1058"/>
      <c r="E10" s="1058"/>
      <c r="F10" s="1058"/>
      <c r="G10" s="1058"/>
      <c r="H10" s="1058"/>
      <c r="I10" s="1058"/>
      <c r="J10" s="1058"/>
      <c r="K10" s="1058"/>
      <c r="L10" s="1058"/>
      <c r="M10" s="1058"/>
      <c r="N10" s="1058"/>
      <c r="O10" s="1058"/>
      <c r="P10" s="1058"/>
      <c r="Q10" s="1058"/>
      <c r="R10" s="1058"/>
      <c r="S10" s="1058"/>
      <c r="T10" s="1058"/>
      <c r="U10" s="1058"/>
      <c r="V10" s="1058"/>
      <c r="W10" s="1058"/>
      <c r="X10" s="1058"/>
      <c r="Y10" s="1058"/>
      <c r="Z10" s="1058"/>
      <c r="AA10" s="1058"/>
      <c r="AB10" s="1058"/>
      <c r="AC10" s="1058"/>
      <c r="AD10" s="1058"/>
      <c r="AE10" s="1058"/>
      <c r="AF10" s="1058"/>
      <c r="AG10" s="1058"/>
      <c r="AH10" s="1058"/>
      <c r="AI10" s="1058"/>
      <c r="AJ10" s="1058"/>
      <c r="AK10" s="1058"/>
      <c r="AL10" s="1058"/>
      <c r="AM10" s="1058"/>
    </row>
    <row r="11" spans="1:39" ht="25.8" x14ac:dyDescent="0.5">
      <c r="D11" s="1271" t="s">
        <v>1679</v>
      </c>
      <c r="E11" s="1271"/>
      <c r="F11" s="1271"/>
      <c r="G11" s="1271"/>
      <c r="H11" s="1271"/>
      <c r="I11" s="1271"/>
      <c r="J11" s="1271"/>
    </row>
    <row r="12" spans="1:39" ht="13.95" customHeight="1" thickBot="1" x14ac:dyDescent="0.55000000000000004">
      <c r="D12" s="939"/>
      <c r="E12" s="939"/>
      <c r="F12" s="939"/>
      <c r="G12" s="939"/>
      <c r="H12" s="939"/>
      <c r="I12" s="939"/>
      <c r="J12" s="939"/>
    </row>
    <row r="13" spans="1:39" s="385" customFormat="1" ht="30" customHeight="1" thickBot="1" x14ac:dyDescent="0.35">
      <c r="A13" s="1064"/>
      <c r="C13" s="1272" t="s">
        <v>1769</v>
      </c>
      <c r="D13" s="1278"/>
      <c r="E13" s="1278"/>
      <c r="F13" s="1278"/>
      <c r="G13" s="1278"/>
      <c r="H13" s="1278"/>
      <c r="I13" s="1279"/>
      <c r="J13" s="339"/>
      <c r="L13" s="845"/>
      <c r="M13" s="846"/>
      <c r="N13" s="516"/>
      <c r="O13" s="784"/>
      <c r="P13" s="727"/>
      <c r="Q13" s="727"/>
      <c r="R13" s="784"/>
      <c r="S13" s="516"/>
      <c r="T13" s="784"/>
      <c r="U13" s="784"/>
      <c r="V13" s="516"/>
      <c r="W13" s="784"/>
      <c r="X13" s="784"/>
      <c r="Y13"/>
      <c r="Z13" s="784"/>
      <c r="AA13" s="784"/>
      <c r="AB13" s="727"/>
      <c r="AC13"/>
      <c r="AD13" s="784"/>
      <c r="AE13" s="784"/>
      <c r="AF13" s="727"/>
      <c r="AG13" s="784"/>
      <c r="AH13" s="784"/>
      <c r="AI13" s="784"/>
      <c r="AJ13" s="784"/>
      <c r="AK13" s="784"/>
      <c r="AL13" s="1491" t="s">
        <v>1585</v>
      </c>
      <c r="AM13" s="1491" t="s">
        <v>1585</v>
      </c>
    </row>
    <row r="14" spans="1:39" ht="18" customHeight="1" thickBot="1" x14ac:dyDescent="0.4">
      <c r="A14"/>
      <c r="C14" s="682">
        <v>1281700</v>
      </c>
      <c r="D14" s="297">
        <v>519</v>
      </c>
      <c r="E14" s="261" t="s">
        <v>1546</v>
      </c>
      <c r="F14" s="323" t="s">
        <v>746</v>
      </c>
      <c r="G14" s="356" t="s">
        <v>1745</v>
      </c>
      <c r="H14" s="632">
        <v>1000</v>
      </c>
      <c r="I14" s="1249">
        <v>3</v>
      </c>
      <c r="J14" s="310"/>
      <c r="L14" s="903">
        <v>0.83333333333333337</v>
      </c>
      <c r="M14" s="949">
        <v>0.83333333333333337</v>
      </c>
      <c r="O14" s="752">
        <v>400</v>
      </c>
      <c r="P14" s="487">
        <v>2400</v>
      </c>
      <c r="Q14" s="345">
        <v>2000</v>
      </c>
      <c r="R14" s="753"/>
      <c r="S14" s="714"/>
      <c r="T14" s="402">
        <v>0</v>
      </c>
      <c r="U14" s="405">
        <v>2000</v>
      </c>
      <c r="W14" s="402">
        <v>0</v>
      </c>
      <c r="X14" s="405">
        <v>2400</v>
      </c>
      <c r="Z14" s="305">
        <v>2</v>
      </c>
      <c r="AA14" s="305">
        <v>0</v>
      </c>
      <c r="AB14" s="362">
        <v>1000</v>
      </c>
      <c r="AD14" s="322" t="s">
        <v>1470</v>
      </c>
      <c r="AE14" s="414">
        <v>600</v>
      </c>
      <c r="AF14" s="362">
        <v>12000</v>
      </c>
      <c r="AG14" s="260">
        <v>10</v>
      </c>
      <c r="AH14" s="325">
        <v>68.570279999999997</v>
      </c>
      <c r="AI14" s="601" t="s">
        <v>1758</v>
      </c>
      <c r="AJ14" s="260" t="s">
        <v>1213</v>
      </c>
      <c r="AK14" s="333">
        <v>4</v>
      </c>
      <c r="AL14" s="1492"/>
      <c r="AM14" s="1249"/>
    </row>
    <row r="15" spans="1:39" ht="18" customHeight="1" thickBot="1" x14ac:dyDescent="0.4">
      <c r="A15"/>
      <c r="C15" s="681">
        <v>1206700</v>
      </c>
      <c r="D15" s="302">
        <v>395</v>
      </c>
      <c r="E15" s="260" t="s">
        <v>1534</v>
      </c>
      <c r="F15" s="322" t="s">
        <v>746</v>
      </c>
      <c r="G15" s="329" t="s">
        <v>786</v>
      </c>
      <c r="H15" s="506">
        <v>1000</v>
      </c>
      <c r="I15" s="1292"/>
      <c r="J15" s="310"/>
      <c r="L15" s="903">
        <v>0.59166666666666667</v>
      </c>
      <c r="M15" s="949">
        <v>0.59166666666666667</v>
      </c>
      <c r="O15" s="752">
        <v>980</v>
      </c>
      <c r="P15" s="487">
        <v>2400</v>
      </c>
      <c r="Q15" s="345">
        <v>1420</v>
      </c>
      <c r="R15" s="753"/>
      <c r="S15" s="714"/>
      <c r="T15" s="402">
        <v>0</v>
      </c>
      <c r="U15" s="405">
        <v>1420</v>
      </c>
      <c r="W15" s="402">
        <v>0</v>
      </c>
      <c r="X15" s="405">
        <v>2400</v>
      </c>
      <c r="Z15" s="305">
        <v>1</v>
      </c>
      <c r="AA15" s="305">
        <v>420</v>
      </c>
      <c r="AB15" s="362">
        <v>1000</v>
      </c>
      <c r="AD15" s="322" t="s">
        <v>1470</v>
      </c>
      <c r="AE15" s="414">
        <v>600</v>
      </c>
      <c r="AF15" s="362">
        <v>12000</v>
      </c>
      <c r="AG15" s="260">
        <v>12</v>
      </c>
      <c r="AH15" s="325">
        <v>68.570279999999997</v>
      </c>
      <c r="AI15" s="601" t="s">
        <v>1758</v>
      </c>
      <c r="AJ15" s="260" t="s">
        <v>1213</v>
      </c>
      <c r="AK15" s="333">
        <v>4</v>
      </c>
      <c r="AL15" s="1493"/>
      <c r="AM15" s="1292"/>
    </row>
    <row r="16" spans="1:39" ht="18" customHeight="1" thickBot="1" x14ac:dyDescent="0.4">
      <c r="A16"/>
      <c r="C16" s="682">
        <v>2374700</v>
      </c>
      <c r="D16" s="302">
        <v>550</v>
      </c>
      <c r="E16" s="260" t="s">
        <v>1548</v>
      </c>
      <c r="F16" s="322" t="s">
        <v>746</v>
      </c>
      <c r="G16" s="329" t="s">
        <v>1319</v>
      </c>
      <c r="H16" s="506">
        <v>5000</v>
      </c>
      <c r="I16" s="1292"/>
      <c r="J16" s="310"/>
      <c r="L16" s="903">
        <v>0.22843567251461988</v>
      </c>
      <c r="M16" s="949">
        <v>0.22843567251461988</v>
      </c>
      <c r="O16" s="752">
        <v>4222</v>
      </c>
      <c r="P16" s="487">
        <v>5472</v>
      </c>
      <c r="Q16" s="345">
        <v>1250</v>
      </c>
      <c r="R16" s="753"/>
      <c r="S16" s="714"/>
      <c r="T16" s="402">
        <v>0</v>
      </c>
      <c r="U16" s="405">
        <v>1250</v>
      </c>
      <c r="W16" s="402">
        <v>0</v>
      </c>
      <c r="X16" s="405">
        <v>5472</v>
      </c>
      <c r="Z16" s="305">
        <v>1</v>
      </c>
      <c r="AA16" s="305">
        <v>250</v>
      </c>
      <c r="AB16" s="362">
        <v>1000</v>
      </c>
      <c r="AD16" s="322" t="s">
        <v>1470</v>
      </c>
      <c r="AE16" s="414">
        <v>1368</v>
      </c>
      <c r="AF16" s="362">
        <v>12000</v>
      </c>
      <c r="AG16" s="260">
        <v>12</v>
      </c>
      <c r="AH16" s="325">
        <v>43.269300000000001</v>
      </c>
      <c r="AI16" s="601" t="s">
        <v>1758</v>
      </c>
      <c r="AJ16" s="260" t="s">
        <v>1213</v>
      </c>
      <c r="AK16" s="333">
        <v>4</v>
      </c>
      <c r="AL16" s="1493"/>
      <c r="AM16" s="1292"/>
    </row>
    <row r="17" spans="1:39" ht="18.600000000000001" thickBot="1" x14ac:dyDescent="0.4">
      <c r="A17"/>
      <c r="C17" s="682">
        <v>1270700</v>
      </c>
      <c r="D17" s="302">
        <v>229</v>
      </c>
      <c r="E17" s="260" t="s">
        <v>853</v>
      </c>
      <c r="F17" s="322" t="s">
        <v>746</v>
      </c>
      <c r="G17" s="329" t="s">
        <v>1191</v>
      </c>
      <c r="H17" s="506">
        <v>4000</v>
      </c>
      <c r="I17" s="1292"/>
      <c r="J17" s="310"/>
      <c r="L17" s="903">
        <v>0</v>
      </c>
      <c r="M17" s="949">
        <v>0</v>
      </c>
      <c r="O17" s="752">
        <v>4032</v>
      </c>
      <c r="P17" s="487">
        <v>4032</v>
      </c>
      <c r="Q17" s="345">
        <v>0</v>
      </c>
      <c r="R17" s="753"/>
      <c r="S17" s="714"/>
      <c r="T17" s="402">
        <v>0</v>
      </c>
      <c r="U17" s="405">
        <v>0</v>
      </c>
      <c r="W17" s="402">
        <v>0</v>
      </c>
      <c r="X17" s="405">
        <v>4032</v>
      </c>
      <c r="Z17" s="305">
        <v>0</v>
      </c>
      <c r="AA17" s="305">
        <v>0</v>
      </c>
      <c r="AB17" s="362">
        <v>1000</v>
      </c>
      <c r="AD17" s="322" t="s">
        <v>1470</v>
      </c>
      <c r="AE17" s="414">
        <v>1008</v>
      </c>
      <c r="AF17" s="362">
        <v>12000</v>
      </c>
      <c r="AG17" s="260">
        <v>12</v>
      </c>
      <c r="AH17" s="325">
        <v>0</v>
      </c>
      <c r="AI17" s="601" t="s">
        <v>1758</v>
      </c>
      <c r="AJ17" s="260" t="s">
        <v>1213</v>
      </c>
      <c r="AK17" s="333">
        <v>4</v>
      </c>
      <c r="AL17" s="1493"/>
      <c r="AM17" s="1292"/>
    </row>
    <row r="18" spans="1:39" ht="18" customHeight="1" thickBot="1" x14ac:dyDescent="0.4">
      <c r="A18"/>
      <c r="C18" s="682">
        <v>1266700</v>
      </c>
      <c r="D18" s="302">
        <v>560</v>
      </c>
      <c r="E18" s="260" t="s">
        <v>1540</v>
      </c>
      <c r="F18" s="322" t="s">
        <v>746</v>
      </c>
      <c r="G18" s="329" t="s">
        <v>1335</v>
      </c>
      <c r="H18" s="506">
        <v>3000</v>
      </c>
      <c r="I18" s="1292"/>
      <c r="J18" s="310"/>
      <c r="L18" s="903">
        <v>7.575757575757576E-2</v>
      </c>
      <c r="M18" s="949">
        <v>7.575757575757576E-2</v>
      </c>
      <c r="O18" s="752">
        <v>2440</v>
      </c>
      <c r="P18" s="487">
        <v>2640</v>
      </c>
      <c r="Q18" s="345">
        <v>200</v>
      </c>
      <c r="R18" s="753"/>
      <c r="S18" s="714"/>
      <c r="T18" s="402">
        <v>0</v>
      </c>
      <c r="U18" s="405">
        <v>200</v>
      </c>
      <c r="W18" s="402">
        <v>0</v>
      </c>
      <c r="X18" s="405">
        <v>2640</v>
      </c>
      <c r="Z18" s="305">
        <v>0</v>
      </c>
      <c r="AA18" s="305">
        <v>200</v>
      </c>
      <c r="AB18" s="362">
        <v>1000</v>
      </c>
      <c r="AD18" s="322" t="s">
        <v>1470</v>
      </c>
      <c r="AE18" s="414">
        <v>660</v>
      </c>
      <c r="AF18" s="362">
        <v>12000</v>
      </c>
      <c r="AG18" s="260">
        <v>12</v>
      </c>
      <c r="AH18" s="325">
        <v>0</v>
      </c>
      <c r="AI18" s="601" t="s">
        <v>1758</v>
      </c>
      <c r="AJ18" s="260" t="s">
        <v>1213</v>
      </c>
      <c r="AK18" s="333">
        <v>4</v>
      </c>
      <c r="AL18" s="1493"/>
      <c r="AM18" s="1292"/>
    </row>
    <row r="19" spans="1:39" ht="18" customHeight="1" thickBot="1" x14ac:dyDescent="0.4">
      <c r="A19"/>
      <c r="C19" s="682">
        <v>1268700</v>
      </c>
      <c r="D19" s="546">
        <v>507</v>
      </c>
      <c r="E19" s="1060" t="s">
        <v>1535</v>
      </c>
      <c r="F19" s="1061" t="s">
        <v>746</v>
      </c>
      <c r="G19" s="1062" t="s">
        <v>243</v>
      </c>
      <c r="H19" s="1063">
        <v>3000</v>
      </c>
      <c r="I19" s="1292"/>
      <c r="J19" s="310"/>
      <c r="L19" s="903">
        <v>9.4696969696969696E-2</v>
      </c>
      <c r="M19" s="949">
        <v>9.4696969696969696E-2</v>
      </c>
      <c r="O19" s="752">
        <v>2868</v>
      </c>
      <c r="P19" s="487">
        <v>3168</v>
      </c>
      <c r="Q19" s="345">
        <v>300</v>
      </c>
      <c r="R19" s="753"/>
      <c r="S19" s="714"/>
      <c r="T19" s="402">
        <v>0</v>
      </c>
      <c r="U19" s="405">
        <v>300</v>
      </c>
      <c r="W19" s="402">
        <v>0</v>
      </c>
      <c r="X19" s="405">
        <v>3168</v>
      </c>
      <c r="Z19" s="305">
        <v>0</v>
      </c>
      <c r="AA19" s="305">
        <v>300</v>
      </c>
      <c r="AB19" s="362">
        <v>1000</v>
      </c>
      <c r="AD19" s="322" t="s">
        <v>1470</v>
      </c>
      <c r="AE19" s="414">
        <v>792</v>
      </c>
      <c r="AF19" s="362">
        <v>12000</v>
      </c>
      <c r="AG19" s="260">
        <v>12</v>
      </c>
      <c r="AH19" s="325">
        <v>0</v>
      </c>
      <c r="AI19" s="601" t="s">
        <v>1758</v>
      </c>
      <c r="AJ19" s="260" t="s">
        <v>1213</v>
      </c>
      <c r="AK19" s="333">
        <v>4</v>
      </c>
      <c r="AL19" s="1493"/>
      <c r="AM19" s="1292"/>
    </row>
    <row r="20" spans="1:39" ht="18" customHeight="1" thickBot="1" x14ac:dyDescent="0.4">
      <c r="A20"/>
      <c r="C20" s="681">
        <v>1206700</v>
      </c>
      <c r="D20" s="302">
        <v>518</v>
      </c>
      <c r="E20" s="260" t="s">
        <v>1566</v>
      </c>
      <c r="F20" s="322" t="s">
        <v>746</v>
      </c>
      <c r="G20" s="329" t="s">
        <v>1343</v>
      </c>
      <c r="H20" s="506">
        <v>1000</v>
      </c>
      <c r="I20" s="1292"/>
      <c r="J20" s="310"/>
      <c r="L20" s="903">
        <v>0.70673076923076927</v>
      </c>
      <c r="M20" s="949">
        <v>0.70673076923076927</v>
      </c>
      <c r="O20" s="752">
        <v>915</v>
      </c>
      <c r="P20" s="487">
        <v>3120</v>
      </c>
      <c r="Q20" s="345">
        <v>2205</v>
      </c>
      <c r="R20" s="753"/>
      <c r="S20" s="714"/>
      <c r="T20" s="402">
        <v>0</v>
      </c>
      <c r="U20" s="405">
        <v>2205</v>
      </c>
      <c r="W20" s="402">
        <v>0</v>
      </c>
      <c r="X20" s="405">
        <v>3120</v>
      </c>
      <c r="Z20" s="305">
        <v>1</v>
      </c>
      <c r="AA20" s="305">
        <v>1205</v>
      </c>
      <c r="AB20" s="362">
        <v>1000</v>
      </c>
      <c r="AD20" s="322" t="s">
        <v>1470</v>
      </c>
      <c r="AE20" s="414">
        <v>780</v>
      </c>
      <c r="AF20" s="362">
        <v>12000</v>
      </c>
      <c r="AG20" s="260">
        <v>12</v>
      </c>
      <c r="AH20" s="325">
        <v>68.570279999999997</v>
      </c>
      <c r="AI20" s="601" t="s">
        <v>1758</v>
      </c>
      <c r="AJ20" s="260" t="s">
        <v>1213</v>
      </c>
      <c r="AK20" s="333">
        <v>4</v>
      </c>
      <c r="AL20" s="1493"/>
      <c r="AM20" s="1292"/>
    </row>
    <row r="21" spans="1:39" ht="18" customHeight="1" x14ac:dyDescent="0.35">
      <c r="A21"/>
      <c r="C21" s="682"/>
      <c r="D21" s="302">
        <v>207</v>
      </c>
      <c r="E21" s="260" t="s">
        <v>851</v>
      </c>
      <c r="F21" s="322" t="s">
        <v>746</v>
      </c>
      <c r="G21" s="329" t="s">
        <v>1753</v>
      </c>
      <c r="H21" s="506">
        <v>1000</v>
      </c>
      <c r="I21" s="1292"/>
      <c r="J21" s="310"/>
      <c r="L21" s="903">
        <v>0</v>
      </c>
      <c r="M21" s="952">
        <v>0</v>
      </c>
      <c r="O21" s="752">
        <v>960</v>
      </c>
      <c r="P21" s="487">
        <v>960</v>
      </c>
      <c r="Q21" s="345">
        <v>0</v>
      </c>
      <c r="R21" s="753"/>
      <c r="S21" s="714"/>
      <c r="T21" s="399">
        <v>0</v>
      </c>
      <c r="U21" s="405">
        <v>0</v>
      </c>
      <c r="W21" s="399">
        <v>0</v>
      </c>
      <c r="X21" s="520">
        <v>960</v>
      </c>
      <c r="Z21" s="305">
        <v>0</v>
      </c>
      <c r="AA21" s="305">
        <v>0</v>
      </c>
      <c r="AB21" s="362">
        <v>1000</v>
      </c>
      <c r="AD21" s="322" t="s">
        <v>1470</v>
      </c>
      <c r="AE21" s="414">
        <v>240</v>
      </c>
      <c r="AF21" s="362">
        <v>12000</v>
      </c>
      <c r="AG21" s="260">
        <v>12</v>
      </c>
      <c r="AH21" s="325">
        <v>68.569999999999993</v>
      </c>
      <c r="AI21" s="601" t="s">
        <v>1758</v>
      </c>
      <c r="AJ21" s="260" t="s">
        <v>1213</v>
      </c>
      <c r="AK21" s="333">
        <v>4</v>
      </c>
      <c r="AL21" s="1493"/>
      <c r="AM21" s="1292"/>
    </row>
    <row r="22" spans="1:39" ht="18.75" customHeight="1" thickBot="1" x14ac:dyDescent="0.4">
      <c r="A22"/>
      <c r="C22" s="1070"/>
      <c r="D22" s="298"/>
      <c r="E22" s="262" t="e">
        <v>#N/A</v>
      </c>
      <c r="F22" s="324" t="s">
        <v>746</v>
      </c>
      <c r="G22" s="357" t="s">
        <v>1777</v>
      </c>
      <c r="H22" s="633">
        <v>5000</v>
      </c>
      <c r="I22" s="1250"/>
      <c r="J22" s="310"/>
      <c r="L22" s="915">
        <v>0</v>
      </c>
      <c r="M22" s="993">
        <v>0</v>
      </c>
      <c r="O22" s="994">
        <v>0</v>
      </c>
      <c r="P22" s="995">
        <v>0</v>
      </c>
      <c r="Q22" s="609">
        <v>0</v>
      </c>
      <c r="R22" s="996"/>
      <c r="T22" s="802">
        <v>0</v>
      </c>
      <c r="U22" s="610">
        <v>0</v>
      </c>
      <c r="W22" s="802">
        <v>0</v>
      </c>
      <c r="X22" s="610">
        <v>0</v>
      </c>
      <c r="Z22" s="611">
        <v>0</v>
      </c>
      <c r="AA22" s="611">
        <v>0</v>
      </c>
      <c r="AB22" s="612">
        <v>1001</v>
      </c>
      <c r="AD22" s="613" t="s">
        <v>1470</v>
      </c>
      <c r="AE22" s="530">
        <v>0</v>
      </c>
      <c r="AF22" s="537">
        <v>12000</v>
      </c>
      <c r="AG22" s="538">
        <v>12</v>
      </c>
      <c r="AH22" s="539">
        <v>61.336709999999997</v>
      </c>
      <c r="AI22" s="602" t="s">
        <v>1758</v>
      </c>
      <c r="AJ22" s="538" t="s">
        <v>1667</v>
      </c>
      <c r="AK22" s="614">
        <v>4</v>
      </c>
      <c r="AL22" s="1494"/>
      <c r="AM22" s="1250"/>
    </row>
    <row r="23" spans="1:39" ht="18.75" customHeight="1" x14ac:dyDescent="0.35">
      <c r="A23"/>
      <c r="C23" s="294"/>
      <c r="D23" s="294"/>
      <c r="E23" s="127"/>
      <c r="F23" s="299"/>
      <c r="G23" s="310"/>
      <c r="H23" s="631"/>
      <c r="I23" s="310"/>
      <c r="J23" s="310"/>
      <c r="L23" s="458"/>
      <c r="M23" s="459"/>
      <c r="O23" s="687"/>
      <c r="P23" s="383"/>
      <c r="Q23" s="338"/>
      <c r="R23" s="687"/>
      <c r="T23" s="460"/>
      <c r="U23" s="460"/>
      <c r="W23" s="460"/>
      <c r="X23" s="460"/>
      <c r="Z23" s="309"/>
      <c r="AA23" s="309"/>
      <c r="AB23" s="389"/>
      <c r="AD23" s="299"/>
      <c r="AE23" s="386"/>
      <c r="AF23" s="389"/>
      <c r="AG23" s="127"/>
      <c r="AH23" s="350"/>
      <c r="AI23" s="599"/>
      <c r="AJ23" s="127"/>
      <c r="AK23" s="299"/>
    </row>
    <row r="24" spans="1:39" s="385" customFormat="1" ht="30" customHeight="1" thickBot="1" x14ac:dyDescent="0.35">
      <c r="A24" s="1059"/>
      <c r="C24" s="1289" t="s">
        <v>1779</v>
      </c>
      <c r="D24" s="1290"/>
      <c r="E24" s="1290"/>
      <c r="F24" s="1290"/>
      <c r="G24" s="1290"/>
      <c r="H24" s="1290"/>
      <c r="I24" s="1291"/>
      <c r="J24" s="339"/>
      <c r="L24" s="845"/>
      <c r="M24" s="846"/>
      <c r="N24" s="516"/>
      <c r="O24" s="784"/>
      <c r="P24" s="727"/>
      <c r="Q24" s="727"/>
      <c r="R24" s="784"/>
      <c r="S24" s="516"/>
      <c r="T24" s="784"/>
      <c r="U24" s="784"/>
      <c r="V24" s="516"/>
      <c r="W24" s="784"/>
      <c r="X24" s="784"/>
      <c r="Y24"/>
      <c r="Z24" s="784"/>
      <c r="AA24" s="784"/>
      <c r="AB24" s="727"/>
      <c r="AC24"/>
      <c r="AD24" s="784"/>
      <c r="AE24" s="784"/>
      <c r="AF24" s="727"/>
      <c r="AG24" s="784"/>
      <c r="AH24" s="784"/>
      <c r="AI24" s="784"/>
      <c r="AJ24" s="784"/>
      <c r="AK24" s="784"/>
      <c r="AL24" s="1491" t="s">
        <v>1585</v>
      </c>
      <c r="AM24" s="1491" t="s">
        <v>1585</v>
      </c>
    </row>
    <row r="25" spans="1:39" ht="18" customHeight="1" x14ac:dyDescent="0.35">
      <c r="C25" s="419">
        <v>1206700</v>
      </c>
      <c r="D25" s="439">
        <v>535</v>
      </c>
      <c r="E25" s="260" t="s">
        <v>1632</v>
      </c>
      <c r="F25" s="322" t="s">
        <v>746</v>
      </c>
      <c r="G25" s="329" t="s">
        <v>1315</v>
      </c>
      <c r="H25" s="506">
        <v>4000</v>
      </c>
      <c r="I25" s="1276">
        <v>4</v>
      </c>
      <c r="J25" s="310"/>
      <c r="L25" s="458">
        <v>0</v>
      </c>
      <c r="M25" s="459"/>
      <c r="O25" s="687">
        <v>4752</v>
      </c>
      <c r="P25" s="383">
        <v>4752</v>
      </c>
      <c r="Q25" s="338">
        <v>0</v>
      </c>
      <c r="R25" s="687"/>
      <c r="T25" s="460">
        <v>0</v>
      </c>
      <c r="U25" s="460">
        <v>0</v>
      </c>
      <c r="W25" s="460">
        <v>0</v>
      </c>
      <c r="X25" s="460">
        <v>4752</v>
      </c>
      <c r="Z25" s="309">
        <v>0</v>
      </c>
      <c r="AA25" s="309">
        <v>0</v>
      </c>
      <c r="AB25" s="389">
        <v>1000</v>
      </c>
      <c r="AD25" s="299" t="s">
        <v>1470</v>
      </c>
      <c r="AE25" s="386">
        <v>1584</v>
      </c>
      <c r="AF25" s="389">
        <v>25000</v>
      </c>
      <c r="AG25" s="127">
        <v>25</v>
      </c>
      <c r="AH25" s="350">
        <v>0</v>
      </c>
      <c r="AI25" s="599" t="s">
        <v>1732</v>
      </c>
      <c r="AJ25" s="127" t="s">
        <v>1666</v>
      </c>
      <c r="AK25" s="299">
        <v>3</v>
      </c>
      <c r="AL25" s="1276"/>
      <c r="AM25" s="1276"/>
    </row>
    <row r="26" spans="1:39" ht="18" x14ac:dyDescent="0.35">
      <c r="C26" s="419">
        <v>1206700</v>
      </c>
      <c r="D26" s="439">
        <v>562</v>
      </c>
      <c r="E26" s="260" t="s">
        <v>842</v>
      </c>
      <c r="F26" s="322" t="s">
        <v>746</v>
      </c>
      <c r="G26" s="329" t="s">
        <v>1398</v>
      </c>
      <c r="H26" s="506">
        <v>2000</v>
      </c>
      <c r="I26" s="1276"/>
      <c r="J26" s="310"/>
      <c r="L26" s="458">
        <v>0.4861111111111111</v>
      </c>
      <c r="M26" s="459">
        <v>0.4861111111111111</v>
      </c>
      <c r="O26" s="687">
        <v>1850</v>
      </c>
      <c r="P26" s="383">
        <v>3600</v>
      </c>
      <c r="Q26" s="338">
        <v>1750</v>
      </c>
      <c r="R26" s="687"/>
      <c r="T26" s="460">
        <v>0</v>
      </c>
      <c r="U26" s="460">
        <v>1750</v>
      </c>
      <c r="W26" s="460">
        <v>0</v>
      </c>
      <c r="X26" s="460">
        <v>3600</v>
      </c>
      <c r="Z26" s="309">
        <v>1</v>
      </c>
      <c r="AA26" s="309">
        <v>750</v>
      </c>
      <c r="AB26" s="389">
        <v>1000</v>
      </c>
      <c r="AD26" s="299" t="s">
        <v>1470</v>
      </c>
      <c r="AE26" s="386">
        <v>1200</v>
      </c>
      <c r="AF26" s="389">
        <v>12000</v>
      </c>
      <c r="AG26" s="127">
        <v>12</v>
      </c>
      <c r="AH26" s="350">
        <v>68.570279999999997</v>
      </c>
      <c r="AI26" s="599" t="s">
        <v>1732</v>
      </c>
      <c r="AJ26" s="127" t="s">
        <v>1666</v>
      </c>
      <c r="AK26" s="299">
        <v>3</v>
      </c>
      <c r="AL26" s="1276"/>
      <c r="AM26" s="1276"/>
    </row>
    <row r="27" spans="1:39" ht="18" x14ac:dyDescent="0.35">
      <c r="C27" s="419">
        <v>1206700</v>
      </c>
      <c r="D27" s="439">
        <v>559</v>
      </c>
      <c r="E27" s="260" t="s">
        <v>1537</v>
      </c>
      <c r="F27" s="322" t="s">
        <v>746</v>
      </c>
      <c r="G27" s="329" t="s">
        <v>1740</v>
      </c>
      <c r="H27" s="506">
        <v>1000</v>
      </c>
      <c r="I27" s="1276"/>
      <c r="J27" s="310"/>
      <c r="L27" s="458">
        <v>0.31793842034805891</v>
      </c>
      <c r="M27" s="459">
        <v>0.31793842034805891</v>
      </c>
      <c r="O27" s="687">
        <v>2038</v>
      </c>
      <c r="P27" s="383">
        <v>2988</v>
      </c>
      <c r="Q27" s="338">
        <v>950</v>
      </c>
      <c r="R27" s="687"/>
      <c r="T27" s="460">
        <v>0</v>
      </c>
      <c r="U27" s="460">
        <v>950</v>
      </c>
      <c r="W27" s="460">
        <v>0</v>
      </c>
      <c r="X27" s="460">
        <v>2988</v>
      </c>
      <c r="Z27" s="309">
        <v>0</v>
      </c>
      <c r="AA27" s="309">
        <v>950</v>
      </c>
      <c r="AB27" s="389">
        <v>1000</v>
      </c>
      <c r="AD27" s="299" t="s">
        <v>1470</v>
      </c>
      <c r="AE27" s="386">
        <v>996</v>
      </c>
      <c r="AF27" s="389">
        <v>12000</v>
      </c>
      <c r="AG27" s="127">
        <v>12</v>
      </c>
      <c r="AH27" s="350">
        <v>68.570279999999997</v>
      </c>
      <c r="AI27" s="599" t="s">
        <v>1732</v>
      </c>
      <c r="AJ27" s="127" t="s">
        <v>1666</v>
      </c>
      <c r="AK27" s="299">
        <v>3</v>
      </c>
      <c r="AL27" s="1276"/>
      <c r="AM27" s="1276"/>
    </row>
    <row r="28" spans="1:39" ht="18.75" customHeight="1" x14ac:dyDescent="0.35">
      <c r="C28" s="419">
        <v>1217700</v>
      </c>
      <c r="D28" s="439">
        <v>325</v>
      </c>
      <c r="E28" s="260" t="s">
        <v>1569</v>
      </c>
      <c r="F28" s="322" t="s">
        <v>746</v>
      </c>
      <c r="G28" s="329" t="s">
        <v>771</v>
      </c>
      <c r="H28" s="506">
        <v>4000</v>
      </c>
      <c r="I28" s="1276"/>
      <c r="J28" s="310"/>
      <c r="L28" s="458">
        <v>0.3546099290780142</v>
      </c>
      <c r="M28" s="459">
        <v>0.3546099290780142</v>
      </c>
      <c r="O28" s="687">
        <v>4368</v>
      </c>
      <c r="P28" s="383">
        <v>6768</v>
      </c>
      <c r="Q28" s="338">
        <v>2400</v>
      </c>
      <c r="R28" s="687"/>
      <c r="T28" s="460">
        <v>0</v>
      </c>
      <c r="U28" s="460">
        <v>2400</v>
      </c>
      <c r="W28" s="460">
        <v>0</v>
      </c>
      <c r="X28" s="460">
        <v>6768</v>
      </c>
      <c r="Z28" s="309">
        <v>0</v>
      </c>
      <c r="AA28" s="309">
        <v>2400</v>
      </c>
      <c r="AB28" s="389">
        <v>2500</v>
      </c>
      <c r="AD28" s="299" t="s">
        <v>1470</v>
      </c>
      <c r="AE28" s="386">
        <v>2256</v>
      </c>
      <c r="AF28" s="389">
        <v>12000</v>
      </c>
      <c r="AG28" s="127">
        <v>30</v>
      </c>
      <c r="AH28" s="350">
        <v>31.048200000000001</v>
      </c>
      <c r="AI28" s="599" t="s">
        <v>1732</v>
      </c>
      <c r="AJ28" s="127" t="s">
        <v>1666</v>
      </c>
      <c r="AK28" s="299">
        <v>3</v>
      </c>
      <c r="AL28" s="1276"/>
      <c r="AM28" s="1276"/>
    </row>
    <row r="29" spans="1:39" ht="18" customHeight="1" x14ac:dyDescent="0.35">
      <c r="C29" s="419">
        <v>1206700</v>
      </c>
      <c r="D29" s="439">
        <v>570</v>
      </c>
      <c r="E29" s="260" t="s">
        <v>1538</v>
      </c>
      <c r="F29" s="322" t="s">
        <v>746</v>
      </c>
      <c r="G29" s="329" t="s">
        <v>1185</v>
      </c>
      <c r="H29" s="506">
        <v>1000</v>
      </c>
      <c r="I29" s="1276"/>
      <c r="J29" s="310"/>
      <c r="L29" s="458">
        <v>0</v>
      </c>
      <c r="M29" s="459">
        <v>0</v>
      </c>
      <c r="O29" s="687">
        <v>1296</v>
      </c>
      <c r="P29" s="383">
        <v>1296</v>
      </c>
      <c r="Q29" s="338">
        <v>0</v>
      </c>
      <c r="R29" s="687"/>
      <c r="T29" s="460">
        <v>0</v>
      </c>
      <c r="U29" s="460">
        <v>0</v>
      </c>
      <c r="W29" s="460">
        <v>0</v>
      </c>
      <c r="X29" s="460">
        <v>1296</v>
      </c>
      <c r="Z29" s="309">
        <v>0</v>
      </c>
      <c r="AA29" s="309">
        <v>0</v>
      </c>
      <c r="AB29" s="389">
        <v>1000</v>
      </c>
      <c r="AD29" s="299" t="s">
        <v>1470</v>
      </c>
      <c r="AE29" s="386">
        <v>432</v>
      </c>
      <c r="AF29" s="389">
        <v>12000</v>
      </c>
      <c r="AG29" s="127">
        <v>12</v>
      </c>
      <c r="AH29" s="350">
        <v>68.570279999999997</v>
      </c>
      <c r="AI29" s="599" t="s">
        <v>1732</v>
      </c>
      <c r="AJ29" s="127" t="s">
        <v>1666</v>
      </c>
      <c r="AK29" s="299">
        <v>3</v>
      </c>
      <c r="AL29" s="1276"/>
      <c r="AM29" s="1276"/>
    </row>
    <row r="30" spans="1:39" ht="18.75" customHeight="1" x14ac:dyDescent="0.35">
      <c r="C30" s="419">
        <v>1217700</v>
      </c>
      <c r="D30" s="439">
        <v>315</v>
      </c>
      <c r="E30" s="260" t="s">
        <v>1430</v>
      </c>
      <c r="F30" s="322" t="s">
        <v>746</v>
      </c>
      <c r="G30" s="329" t="s">
        <v>766</v>
      </c>
      <c r="H30" s="506">
        <v>6000</v>
      </c>
      <c r="I30" s="1276"/>
      <c r="J30" s="310"/>
      <c r="L30" s="458">
        <v>0.41152263374485598</v>
      </c>
      <c r="M30" s="459">
        <v>0.41152263374485598</v>
      </c>
      <c r="O30" s="687">
        <v>5720</v>
      </c>
      <c r="P30" s="383">
        <v>9720</v>
      </c>
      <c r="Q30" s="338">
        <v>4000</v>
      </c>
      <c r="R30" s="687"/>
      <c r="T30" s="460">
        <v>0</v>
      </c>
      <c r="U30" s="460">
        <v>4000</v>
      </c>
      <c r="W30" s="460">
        <v>0</v>
      </c>
      <c r="X30" s="460">
        <v>9720</v>
      </c>
      <c r="Z30" s="309">
        <v>1</v>
      </c>
      <c r="AA30" s="309">
        <v>1500</v>
      </c>
      <c r="AB30" s="389">
        <v>2500</v>
      </c>
      <c r="AD30" s="299" t="s">
        <v>1470</v>
      </c>
      <c r="AE30" s="386">
        <v>3240</v>
      </c>
      <c r="AF30" s="389">
        <v>12000</v>
      </c>
      <c r="AG30" s="127">
        <v>30</v>
      </c>
      <c r="AH30" s="350">
        <v>31.048200000000001</v>
      </c>
      <c r="AI30" s="599" t="s">
        <v>1732</v>
      </c>
      <c r="AJ30" s="127" t="s">
        <v>1666</v>
      </c>
      <c r="AK30" s="299">
        <v>3</v>
      </c>
      <c r="AL30" s="1276"/>
      <c r="AM30" s="1276"/>
    </row>
    <row r="31" spans="1:39" ht="18" customHeight="1" thickBot="1" x14ac:dyDescent="0.4">
      <c r="C31" s="500">
        <v>1206700</v>
      </c>
      <c r="D31" s="449">
        <v>546</v>
      </c>
      <c r="E31" s="262" t="s">
        <v>476</v>
      </c>
      <c r="F31" s="324" t="s">
        <v>746</v>
      </c>
      <c r="G31" s="357" t="s">
        <v>1741</v>
      </c>
      <c r="H31" s="633">
        <v>7000</v>
      </c>
      <c r="I31" s="1277"/>
      <c r="J31" s="310"/>
      <c r="L31" s="458">
        <v>0.67592592592592593</v>
      </c>
      <c r="M31" s="459">
        <v>0.67592592592592593</v>
      </c>
      <c r="O31" s="687">
        <v>7000</v>
      </c>
      <c r="P31" s="383">
        <v>21600</v>
      </c>
      <c r="Q31" s="338">
        <v>14600</v>
      </c>
      <c r="R31" s="687"/>
      <c r="T31" s="460">
        <v>0</v>
      </c>
      <c r="U31" s="460">
        <v>14600</v>
      </c>
      <c r="W31" s="460">
        <v>0</v>
      </c>
      <c r="X31" s="460">
        <v>21600</v>
      </c>
      <c r="Z31" s="309">
        <v>12</v>
      </c>
      <c r="AA31" s="309">
        <v>2600</v>
      </c>
      <c r="AB31" s="389">
        <v>1000</v>
      </c>
      <c r="AD31" s="299" t="s">
        <v>1470</v>
      </c>
      <c r="AE31" s="386">
        <v>7200</v>
      </c>
      <c r="AF31" s="389">
        <v>12000</v>
      </c>
      <c r="AG31" s="127">
        <v>6</v>
      </c>
      <c r="AH31" s="350">
        <v>68.570279999999997</v>
      </c>
      <c r="AI31" s="599" t="s">
        <v>1732</v>
      </c>
      <c r="AJ31" s="127" t="s">
        <v>1666</v>
      </c>
      <c r="AK31" s="299">
        <v>3</v>
      </c>
      <c r="AL31" s="1277"/>
      <c r="AM31" s="1277"/>
    </row>
    <row r="32" spans="1:39" ht="18" customHeight="1" thickBot="1" x14ac:dyDescent="0.4">
      <c r="C32" s="348"/>
      <c r="D32" s="294"/>
      <c r="E32" s="127"/>
      <c r="F32" s="299"/>
      <c r="G32" s="310"/>
      <c r="H32" s="631"/>
      <c r="I32" s="127"/>
      <c r="J32" s="310"/>
      <c r="L32" s="458"/>
      <c r="M32" s="459"/>
      <c r="O32" s="687"/>
      <c r="P32" s="383"/>
      <c r="Q32" s="338"/>
      <c r="R32" s="687"/>
      <c r="T32" s="460"/>
      <c r="U32" s="460"/>
      <c r="W32" s="460"/>
      <c r="X32" s="460"/>
      <c r="Z32" s="309"/>
      <c r="AA32" s="309"/>
      <c r="AB32" s="389"/>
      <c r="AD32" s="299"/>
      <c r="AE32" s="386"/>
      <c r="AF32" s="389"/>
      <c r="AG32" s="127"/>
      <c r="AH32" s="350"/>
      <c r="AI32" s="599"/>
      <c r="AJ32" s="127"/>
      <c r="AK32" s="299"/>
    </row>
    <row r="33" spans="1:41" s="385" customFormat="1" ht="30" customHeight="1" thickBot="1" x14ac:dyDescent="0.35">
      <c r="A33" s="1064"/>
      <c r="C33" s="1272" t="s">
        <v>1765</v>
      </c>
      <c r="D33" s="1273"/>
      <c r="E33" s="1273"/>
      <c r="F33" s="1273"/>
      <c r="G33" s="1273"/>
      <c r="H33" s="1273"/>
      <c r="I33" s="1274"/>
      <c r="J33" s="339"/>
      <c r="L33" s="845"/>
      <c r="M33" s="846"/>
      <c r="N33" s="516"/>
      <c r="O33" s="784"/>
      <c r="P33" s="727"/>
      <c r="Q33" s="727"/>
      <c r="R33" s="784"/>
      <c r="S33" s="516"/>
      <c r="T33" s="784"/>
      <c r="U33" s="784"/>
      <c r="V33" s="516"/>
      <c r="W33" s="784"/>
      <c r="X33" s="784"/>
      <c r="Y33"/>
      <c r="Z33" s="784"/>
      <c r="AA33" s="784"/>
      <c r="AB33" s="727"/>
      <c r="AC33"/>
      <c r="AD33" s="784"/>
      <c r="AE33" s="784"/>
      <c r="AF33" s="727"/>
      <c r="AG33" s="784"/>
      <c r="AH33" s="784"/>
      <c r="AI33" s="784"/>
      <c r="AJ33" s="784"/>
      <c r="AK33" s="784"/>
      <c r="AL33" s="1491" t="s">
        <v>1585</v>
      </c>
      <c r="AM33" s="1491" t="s">
        <v>1585</v>
      </c>
    </row>
    <row r="34" spans="1:41" ht="18" customHeight="1" x14ac:dyDescent="0.35">
      <c r="C34" s="615">
        <v>1261700</v>
      </c>
      <c r="D34" s="762">
        <v>531</v>
      </c>
      <c r="E34" s="627" t="s">
        <v>841</v>
      </c>
      <c r="F34" s="617" t="s">
        <v>746</v>
      </c>
      <c r="G34" s="618" t="s">
        <v>1199</v>
      </c>
      <c r="H34" s="619">
        <v>1000</v>
      </c>
      <c r="I34" s="1275">
        <v>5</v>
      </c>
      <c r="J34" s="310"/>
      <c r="L34" s="458">
        <v>0.75520833333333337</v>
      </c>
      <c r="M34" s="459">
        <v>0.75520833333333337</v>
      </c>
      <c r="O34" s="687">
        <v>1410</v>
      </c>
      <c r="P34" s="383">
        <v>5760</v>
      </c>
      <c r="Q34" s="338">
        <v>4350</v>
      </c>
      <c r="R34" s="687"/>
      <c r="T34" s="460">
        <v>0</v>
      </c>
      <c r="U34" s="460">
        <v>4350</v>
      </c>
      <c r="W34" s="460">
        <v>0</v>
      </c>
      <c r="X34" s="460">
        <v>5760</v>
      </c>
      <c r="Z34" s="309">
        <v>4</v>
      </c>
      <c r="AA34" s="309">
        <v>350</v>
      </c>
      <c r="AB34" s="389">
        <v>1000</v>
      </c>
      <c r="AD34" s="299" t="s">
        <v>1470</v>
      </c>
      <c r="AE34" s="386">
        <v>1440</v>
      </c>
      <c r="AF34" s="389">
        <v>12000</v>
      </c>
      <c r="AG34" s="127">
        <v>12</v>
      </c>
      <c r="AH34" s="350">
        <v>0</v>
      </c>
      <c r="AI34" s="599" t="s">
        <v>1758</v>
      </c>
      <c r="AJ34" s="127" t="s">
        <v>1213</v>
      </c>
      <c r="AK34" s="299">
        <v>4</v>
      </c>
      <c r="AL34" s="1275"/>
      <c r="AM34" s="1275"/>
    </row>
    <row r="35" spans="1:41" ht="18" customHeight="1" x14ac:dyDescent="0.35">
      <c r="C35" s="302">
        <v>1261700</v>
      </c>
      <c r="D35" s="439">
        <v>521</v>
      </c>
      <c r="E35" s="260" t="s">
        <v>1555</v>
      </c>
      <c r="F35" s="322" t="s">
        <v>746</v>
      </c>
      <c r="G35" s="329" t="s">
        <v>803</v>
      </c>
      <c r="H35" s="506">
        <v>2000</v>
      </c>
      <c r="I35" s="1276"/>
      <c r="J35" s="310"/>
      <c r="L35" s="458">
        <v>0.73198198198198194</v>
      </c>
      <c r="M35" s="459">
        <v>0.73198198198198194</v>
      </c>
      <c r="O35" s="687">
        <v>2380</v>
      </c>
      <c r="P35" s="383">
        <v>8880</v>
      </c>
      <c r="Q35" s="338">
        <v>6500</v>
      </c>
      <c r="R35" s="687"/>
      <c r="T35" s="460">
        <v>0</v>
      </c>
      <c r="U35" s="460">
        <v>6500</v>
      </c>
      <c r="W35" s="460">
        <v>0</v>
      </c>
      <c r="X35" s="460">
        <v>8880</v>
      </c>
      <c r="Z35" s="309">
        <v>6</v>
      </c>
      <c r="AA35" s="309">
        <v>500</v>
      </c>
      <c r="AB35" s="389">
        <v>1000</v>
      </c>
      <c r="AD35" s="299" t="s">
        <v>1470</v>
      </c>
      <c r="AE35" s="386">
        <v>2220</v>
      </c>
      <c r="AF35" s="389">
        <v>12000</v>
      </c>
      <c r="AG35" s="127">
        <v>12</v>
      </c>
      <c r="AH35" s="350">
        <v>0</v>
      </c>
      <c r="AI35" s="599" t="s">
        <v>1758</v>
      </c>
      <c r="AJ35" s="127" t="s">
        <v>1213</v>
      </c>
      <c r="AK35" s="299">
        <v>4</v>
      </c>
      <c r="AL35" s="1276"/>
      <c r="AM35" s="1276"/>
    </row>
    <row r="36" spans="1:41" ht="18" customHeight="1" x14ac:dyDescent="0.35">
      <c r="C36" s="302">
        <v>1261700</v>
      </c>
      <c r="D36" s="439">
        <v>523</v>
      </c>
      <c r="E36" s="260" t="s">
        <v>1558</v>
      </c>
      <c r="F36" s="322" t="s">
        <v>746</v>
      </c>
      <c r="G36" s="329" t="s">
        <v>1325</v>
      </c>
      <c r="H36" s="506">
        <v>3000</v>
      </c>
      <c r="I36" s="1276"/>
      <c r="J36" s="310"/>
      <c r="L36" s="458">
        <v>0.56463068181818177</v>
      </c>
      <c r="M36" s="459">
        <v>0.56463068181818177</v>
      </c>
      <c r="O36" s="687">
        <v>3678</v>
      </c>
      <c r="P36" s="383">
        <v>8448</v>
      </c>
      <c r="Q36" s="338">
        <v>4770</v>
      </c>
      <c r="R36" s="687"/>
      <c r="T36" s="460">
        <v>0</v>
      </c>
      <c r="U36" s="460">
        <v>4770</v>
      </c>
      <c r="W36" s="460">
        <v>0</v>
      </c>
      <c r="X36" s="460">
        <v>8448</v>
      </c>
      <c r="Z36" s="309">
        <v>4</v>
      </c>
      <c r="AA36" s="309">
        <v>770</v>
      </c>
      <c r="AB36" s="389">
        <v>1000</v>
      </c>
      <c r="AD36" s="299" t="s">
        <v>1470</v>
      </c>
      <c r="AE36" s="386">
        <v>2112</v>
      </c>
      <c r="AF36" s="389">
        <v>12000</v>
      </c>
      <c r="AG36" s="127">
        <v>12</v>
      </c>
      <c r="AH36" s="350">
        <v>0</v>
      </c>
      <c r="AI36" s="599" t="s">
        <v>1758</v>
      </c>
      <c r="AJ36" s="127" t="s">
        <v>1213</v>
      </c>
      <c r="AK36" s="299">
        <v>4</v>
      </c>
      <c r="AL36" s="1276"/>
      <c r="AM36" s="1276"/>
    </row>
    <row r="37" spans="1:41" s="208" customFormat="1" ht="16.2" customHeight="1" x14ac:dyDescent="0.35">
      <c r="A37" s="1059"/>
      <c r="B37"/>
      <c r="C37" s="302">
        <v>1261700</v>
      </c>
      <c r="D37" s="439">
        <v>530</v>
      </c>
      <c r="E37" s="260" t="s">
        <v>467</v>
      </c>
      <c r="F37" s="322" t="s">
        <v>746</v>
      </c>
      <c r="G37" s="329" t="s">
        <v>1223</v>
      </c>
      <c r="H37" s="506">
        <v>8000</v>
      </c>
      <c r="I37" s="1276"/>
      <c r="J37" s="310"/>
      <c r="K37"/>
      <c r="L37" s="458">
        <v>0.34375</v>
      </c>
      <c r="M37" s="459">
        <v>0.34375</v>
      </c>
      <c r="N37"/>
      <c r="O37" s="687">
        <v>9450</v>
      </c>
      <c r="P37" s="383">
        <v>14400</v>
      </c>
      <c r="Q37" s="338">
        <v>4950</v>
      </c>
      <c r="R37" s="687"/>
      <c r="S37"/>
      <c r="T37" s="460">
        <v>0</v>
      </c>
      <c r="U37" s="460">
        <v>4950</v>
      </c>
      <c r="V37"/>
      <c r="W37" s="460">
        <v>0</v>
      </c>
      <c r="X37" s="460">
        <v>14400</v>
      </c>
      <c r="Y37"/>
      <c r="Z37" s="309">
        <v>4</v>
      </c>
      <c r="AA37" s="309">
        <v>950</v>
      </c>
      <c r="AB37" s="389">
        <v>1000</v>
      </c>
      <c r="AC37"/>
      <c r="AD37" s="299" t="s">
        <v>1470</v>
      </c>
      <c r="AE37" s="386">
        <v>3600</v>
      </c>
      <c r="AF37" s="389">
        <v>12000</v>
      </c>
      <c r="AG37" s="127">
        <v>12</v>
      </c>
      <c r="AH37" s="350">
        <v>0</v>
      </c>
      <c r="AI37" s="599" t="s">
        <v>1758</v>
      </c>
      <c r="AJ37" s="127" t="s">
        <v>1213</v>
      </c>
      <c r="AK37" s="299">
        <v>4</v>
      </c>
      <c r="AL37" s="1276"/>
      <c r="AM37" s="1276"/>
      <c r="AN37"/>
    </row>
    <row r="38" spans="1:41" ht="18" customHeight="1" thickBot="1" x14ac:dyDescent="0.4">
      <c r="C38" s="298">
        <v>1261700</v>
      </c>
      <c r="D38" s="449">
        <v>520</v>
      </c>
      <c r="E38" s="262" t="s">
        <v>1424</v>
      </c>
      <c r="F38" s="324" t="s">
        <v>746</v>
      </c>
      <c r="G38" s="357" t="s">
        <v>802</v>
      </c>
      <c r="H38" s="633">
        <v>10000</v>
      </c>
      <c r="I38" s="1277"/>
      <c r="J38" s="310"/>
      <c r="L38" s="458">
        <v>2.5881410256410258E-2</v>
      </c>
      <c r="M38" s="459">
        <v>2.5881410256410258E-2</v>
      </c>
      <c r="O38" s="687">
        <v>12157</v>
      </c>
      <c r="P38" s="383">
        <v>12480</v>
      </c>
      <c r="Q38" s="338">
        <v>323</v>
      </c>
      <c r="R38" s="687"/>
      <c r="T38" s="460">
        <v>0</v>
      </c>
      <c r="U38" s="460">
        <v>323</v>
      </c>
      <c r="W38" s="460">
        <v>0</v>
      </c>
      <c r="X38" s="460">
        <v>12480</v>
      </c>
      <c r="Z38" s="309">
        <v>0</v>
      </c>
      <c r="AA38" s="309">
        <v>323</v>
      </c>
      <c r="AB38" s="389">
        <v>1000</v>
      </c>
      <c r="AD38" s="299" t="s">
        <v>1470</v>
      </c>
      <c r="AE38" s="386">
        <v>3120</v>
      </c>
      <c r="AF38" s="389">
        <v>12000</v>
      </c>
      <c r="AG38" s="127">
        <v>12</v>
      </c>
      <c r="AH38" s="350">
        <v>0</v>
      </c>
      <c r="AI38" s="599" t="s">
        <v>1758</v>
      </c>
      <c r="AJ38" s="127" t="s">
        <v>1213</v>
      </c>
      <c r="AK38" s="299">
        <v>4</v>
      </c>
      <c r="AL38" s="1277"/>
      <c r="AM38" s="1277"/>
    </row>
    <row r="39" spans="1:41" ht="18" customHeight="1" x14ac:dyDescent="0.35">
      <c r="C39" s="294"/>
      <c r="D39" s="294"/>
      <c r="E39" s="127"/>
      <c r="F39" s="299"/>
      <c r="G39" s="310"/>
      <c r="H39" s="631"/>
      <c r="I39" s="127"/>
      <c r="J39" s="310"/>
      <c r="L39" s="458"/>
      <c r="M39" s="459"/>
      <c r="O39" s="687"/>
      <c r="P39" s="383"/>
      <c r="Q39" s="338"/>
      <c r="R39" s="687"/>
      <c r="T39" s="460"/>
      <c r="U39" s="460"/>
      <c r="W39" s="460"/>
      <c r="X39" s="460"/>
      <c r="Z39" s="309"/>
      <c r="AA39" s="309"/>
      <c r="AB39" s="389"/>
      <c r="AD39" s="299"/>
      <c r="AE39" s="386"/>
      <c r="AF39" s="389"/>
      <c r="AG39" s="127"/>
      <c r="AH39" s="350"/>
      <c r="AI39" s="599"/>
      <c r="AJ39" s="127"/>
      <c r="AK39" s="299"/>
    </row>
    <row r="40" spans="1:41" ht="18" customHeight="1" thickBot="1" x14ac:dyDescent="0.4">
      <c r="C40" s="348"/>
      <c r="D40" s="294"/>
      <c r="E40" s="127"/>
      <c r="F40" s="299"/>
      <c r="G40" s="310"/>
      <c r="H40" s="631"/>
      <c r="I40" s="127"/>
      <c r="J40" s="310"/>
      <c r="L40" s="458"/>
      <c r="M40" s="459"/>
      <c r="O40" s="687"/>
      <c r="P40" s="383"/>
      <c r="Q40" s="338"/>
      <c r="R40" s="687"/>
      <c r="T40" s="460"/>
      <c r="U40" s="460"/>
      <c r="W40" s="460"/>
      <c r="X40" s="460"/>
      <c r="Z40" s="309"/>
      <c r="AA40" s="309"/>
      <c r="AB40" s="389"/>
      <c r="AD40" s="299"/>
      <c r="AE40" s="386"/>
      <c r="AF40" s="389"/>
      <c r="AG40" s="127"/>
      <c r="AH40" s="350"/>
      <c r="AI40" s="599"/>
      <c r="AJ40" s="127"/>
      <c r="AK40" s="299"/>
    </row>
    <row r="41" spans="1:41" s="385" customFormat="1" ht="30" customHeight="1" thickBot="1" x14ac:dyDescent="0.35">
      <c r="A41" s="1064"/>
      <c r="C41" s="1272" t="s">
        <v>1767</v>
      </c>
      <c r="D41" s="1273"/>
      <c r="E41" s="1273"/>
      <c r="F41" s="1273"/>
      <c r="G41" s="1273"/>
      <c r="H41" s="1273"/>
      <c r="I41" s="1274"/>
      <c r="J41" s="339"/>
      <c r="L41" s="845"/>
      <c r="M41" s="846"/>
      <c r="N41" s="516"/>
      <c r="O41" s="784"/>
      <c r="P41" s="727"/>
      <c r="Q41" s="727"/>
      <c r="R41" s="784"/>
      <c r="S41" s="516"/>
      <c r="T41" s="784"/>
      <c r="U41" s="784"/>
      <c r="V41" s="516"/>
      <c r="W41" s="784"/>
      <c r="X41" s="784"/>
      <c r="Y41" s="516"/>
      <c r="Z41" s="784"/>
      <c r="AA41" s="784"/>
      <c r="AB41" s="727"/>
      <c r="AC41" s="516"/>
      <c r="AD41" s="784"/>
      <c r="AE41" s="784"/>
      <c r="AF41" s="727"/>
      <c r="AG41" s="784"/>
      <c r="AH41" s="784"/>
      <c r="AI41" s="784"/>
      <c r="AJ41" s="784"/>
      <c r="AK41" s="784"/>
    </row>
    <row r="42" spans="1:41" s="385" customFormat="1" ht="56.1" customHeight="1" x14ac:dyDescent="0.3">
      <c r="A42" s="1064"/>
      <c r="C42" s="294" t="s">
        <v>1293</v>
      </c>
      <c r="D42" s="615" t="s">
        <v>748</v>
      </c>
      <c r="E42" s="762" t="s">
        <v>1198</v>
      </c>
      <c r="F42" s="762" t="s">
        <v>1018</v>
      </c>
      <c r="G42" s="762" t="s">
        <v>749</v>
      </c>
      <c r="H42" s="1067" t="s">
        <v>1526</v>
      </c>
      <c r="I42" s="1068" t="s">
        <v>1525</v>
      </c>
      <c r="J42" s="317"/>
      <c r="L42" s="845" t="s">
        <v>1524</v>
      </c>
      <c r="M42" s="1065" t="s">
        <v>1730</v>
      </c>
      <c r="N42" s="516"/>
      <c r="O42" s="784" t="s">
        <v>1042</v>
      </c>
      <c r="P42" s="727" t="s">
        <v>1402</v>
      </c>
      <c r="Q42" s="727" t="s">
        <v>1178</v>
      </c>
      <c r="R42" s="784" t="s">
        <v>1781</v>
      </c>
      <c r="S42" s="516"/>
      <c r="T42" s="784" t="s">
        <v>1440</v>
      </c>
      <c r="U42" s="784" t="s">
        <v>1441</v>
      </c>
      <c r="V42" s="516"/>
      <c r="W42" s="784" t="s">
        <v>1442</v>
      </c>
      <c r="X42" s="784" t="s">
        <v>1443</v>
      </c>
      <c r="Y42" s="516"/>
      <c r="Z42" s="784" t="s">
        <v>1197</v>
      </c>
      <c r="AA42" s="784" t="s">
        <v>1460</v>
      </c>
      <c r="AB42" s="727" t="s">
        <v>857</v>
      </c>
      <c r="AC42" s="516"/>
      <c r="AD42" s="784" t="s">
        <v>1403</v>
      </c>
      <c r="AE42" s="784" t="s">
        <v>1415</v>
      </c>
      <c r="AF42" s="727" t="s">
        <v>1438</v>
      </c>
      <c r="AG42" s="784" t="s">
        <v>1212</v>
      </c>
      <c r="AH42" s="784" t="s">
        <v>1387</v>
      </c>
      <c r="AI42" s="784" t="s">
        <v>1731</v>
      </c>
      <c r="AJ42" s="784" t="s">
        <v>1416</v>
      </c>
      <c r="AK42" s="784" t="s">
        <v>1513</v>
      </c>
      <c r="AL42" s="1491" t="s">
        <v>1585</v>
      </c>
      <c r="AM42" s="1491" t="s">
        <v>1585</v>
      </c>
    </row>
    <row r="43" spans="1:41" ht="18" customHeight="1" x14ac:dyDescent="0.35">
      <c r="C43" s="348">
        <v>1206700</v>
      </c>
      <c r="D43" s="302">
        <v>502</v>
      </c>
      <c r="E43" s="260" t="s">
        <v>469</v>
      </c>
      <c r="F43" s="322" t="s">
        <v>746</v>
      </c>
      <c r="G43" s="329" t="s">
        <v>1735</v>
      </c>
      <c r="H43" s="260">
        <v>9000</v>
      </c>
      <c r="I43" s="1276">
        <v>6</v>
      </c>
      <c r="J43" s="310"/>
      <c r="L43" s="458">
        <v>0.57263630089717044</v>
      </c>
      <c r="M43" s="459">
        <v>0.57263630089717044</v>
      </c>
      <c r="O43" s="687">
        <v>7431</v>
      </c>
      <c r="P43" s="383">
        <v>17388</v>
      </c>
      <c r="Q43" s="338">
        <v>9957</v>
      </c>
      <c r="R43" s="687"/>
      <c r="T43" s="460">
        <v>0</v>
      </c>
      <c r="U43" s="460">
        <v>9957</v>
      </c>
      <c r="W43" s="460">
        <v>0</v>
      </c>
      <c r="X43" s="460">
        <v>17388</v>
      </c>
      <c r="Z43" s="309">
        <v>8</v>
      </c>
      <c r="AA43" s="309">
        <v>1957</v>
      </c>
      <c r="AB43" s="389">
        <v>1000</v>
      </c>
      <c r="AD43" s="299" t="s">
        <v>1470</v>
      </c>
      <c r="AE43" s="386">
        <v>5796</v>
      </c>
      <c r="AF43" s="389">
        <v>12000</v>
      </c>
      <c r="AG43" s="127">
        <v>6</v>
      </c>
      <c r="AH43" s="350">
        <v>68.570279999999997</v>
      </c>
      <c r="AI43" s="599" t="s">
        <v>1758</v>
      </c>
      <c r="AJ43" s="127" t="s">
        <v>1493</v>
      </c>
      <c r="AK43" s="299">
        <v>3</v>
      </c>
      <c r="AL43" s="1276"/>
      <c r="AM43" s="1276"/>
    </row>
    <row r="44" spans="1:41" ht="18" customHeight="1" x14ac:dyDescent="0.35">
      <c r="C44" s="348">
        <v>1206700</v>
      </c>
      <c r="D44" s="302">
        <v>512</v>
      </c>
      <c r="E44" s="260" t="s">
        <v>1553</v>
      </c>
      <c r="F44" s="322" t="s">
        <v>746</v>
      </c>
      <c r="G44" s="329" t="s">
        <v>1737</v>
      </c>
      <c r="H44" s="260">
        <v>1200</v>
      </c>
      <c r="I44" s="1276"/>
      <c r="J44" s="310"/>
      <c r="L44" s="458">
        <v>1.3687600644122384</v>
      </c>
      <c r="M44" s="459">
        <v>1.3687600644122384</v>
      </c>
      <c r="O44" s="687">
        <v>0</v>
      </c>
      <c r="P44" s="383">
        <v>4968</v>
      </c>
      <c r="Q44" s="338">
        <v>6800</v>
      </c>
      <c r="R44" s="687"/>
      <c r="T44" s="460">
        <v>0</v>
      </c>
      <c r="U44" s="460">
        <v>6800</v>
      </c>
      <c r="W44" s="460">
        <v>0</v>
      </c>
      <c r="X44" s="460">
        <v>4968</v>
      </c>
      <c r="Z44" s="309">
        <v>5</v>
      </c>
      <c r="AA44" s="309">
        <v>1800</v>
      </c>
      <c r="AB44" s="389">
        <v>1000</v>
      </c>
      <c r="AD44" s="299" t="s">
        <v>1470</v>
      </c>
      <c r="AE44" s="386">
        <v>1656</v>
      </c>
      <c r="AF44" s="389">
        <v>12000</v>
      </c>
      <c r="AG44" s="127">
        <v>6</v>
      </c>
      <c r="AH44" s="350">
        <v>68.570279999999997</v>
      </c>
      <c r="AI44" s="599" t="s">
        <v>1758</v>
      </c>
      <c r="AJ44" s="127" t="s">
        <v>1493</v>
      </c>
      <c r="AK44" s="299">
        <v>3</v>
      </c>
      <c r="AL44" s="1276"/>
      <c r="AM44" s="1276"/>
    </row>
    <row r="45" spans="1:41" ht="18" customHeight="1" thickBot="1" x14ac:dyDescent="0.4">
      <c r="C45" s="348">
        <v>1206700</v>
      </c>
      <c r="D45" s="298">
        <v>501</v>
      </c>
      <c r="E45" s="262" t="s">
        <v>470</v>
      </c>
      <c r="F45" s="324" t="s">
        <v>746</v>
      </c>
      <c r="G45" s="357" t="s">
        <v>1736</v>
      </c>
      <c r="H45" s="262">
        <v>10200</v>
      </c>
      <c r="I45" s="1277"/>
      <c r="J45" s="310"/>
      <c r="L45" s="458">
        <v>0.27729552469135804</v>
      </c>
      <c r="M45" s="459">
        <v>0.27729552469135804</v>
      </c>
      <c r="O45" s="687">
        <v>14986</v>
      </c>
      <c r="P45" s="383">
        <v>20736</v>
      </c>
      <c r="Q45" s="338">
        <v>5750</v>
      </c>
      <c r="R45" s="687"/>
      <c r="T45" s="460">
        <v>0</v>
      </c>
      <c r="U45" s="460">
        <v>5750</v>
      </c>
      <c r="W45" s="460">
        <v>0</v>
      </c>
      <c r="X45" s="460">
        <v>20736</v>
      </c>
      <c r="Z45" s="309">
        <v>5</v>
      </c>
      <c r="AA45" s="309">
        <v>750</v>
      </c>
      <c r="AB45" s="389">
        <v>1000</v>
      </c>
      <c r="AD45" s="299" t="s">
        <v>1470</v>
      </c>
      <c r="AE45" s="386">
        <v>6912</v>
      </c>
      <c r="AF45" s="389">
        <v>12000</v>
      </c>
      <c r="AG45" s="127">
        <v>6</v>
      </c>
      <c r="AH45" s="350">
        <v>68.570279999999997</v>
      </c>
      <c r="AI45" s="599" t="s">
        <v>1758</v>
      </c>
      <c r="AJ45" s="127" t="s">
        <v>1493</v>
      </c>
      <c r="AK45" s="299">
        <v>3</v>
      </c>
      <c r="AL45" s="1277"/>
      <c r="AM45" s="1277"/>
    </row>
    <row r="46" spans="1:41" ht="18" customHeight="1" thickBot="1" x14ac:dyDescent="0.4">
      <c r="C46" s="348"/>
      <c r="D46" s="294"/>
      <c r="E46" s="127"/>
      <c r="F46" s="299"/>
      <c r="G46" s="310"/>
      <c r="H46" s="631"/>
      <c r="I46" s="127"/>
      <c r="J46" s="310"/>
      <c r="L46" s="458"/>
      <c r="M46" s="459"/>
      <c r="O46" s="687"/>
      <c r="P46" s="383"/>
      <c r="Q46" s="338"/>
      <c r="R46" s="687"/>
      <c r="T46" s="460"/>
      <c r="U46" s="460"/>
      <c r="W46" s="460"/>
      <c r="X46" s="460"/>
      <c r="Z46" s="309"/>
      <c r="AA46" s="309"/>
      <c r="AB46" s="389"/>
      <c r="AD46" s="299"/>
      <c r="AE46" s="386"/>
      <c r="AF46" s="389"/>
      <c r="AG46" s="127"/>
      <c r="AH46" s="350"/>
      <c r="AI46" s="599"/>
      <c r="AJ46" s="127"/>
      <c r="AK46" s="299"/>
    </row>
    <row r="47" spans="1:41" s="385" customFormat="1" ht="30" customHeight="1" thickBot="1" x14ac:dyDescent="0.35">
      <c r="A47" s="1064"/>
      <c r="C47" s="1280" t="s">
        <v>1766</v>
      </c>
      <c r="D47" s="1281"/>
      <c r="E47" s="1281"/>
      <c r="F47" s="1281"/>
      <c r="G47" s="1281"/>
      <c r="H47" s="1281"/>
      <c r="I47" s="1282"/>
      <c r="J47" s="339"/>
      <c r="L47" s="845"/>
      <c r="M47" s="846"/>
      <c r="N47" s="516"/>
      <c r="O47" s="784"/>
      <c r="P47" s="727"/>
      <c r="Q47" s="727"/>
      <c r="R47" s="784"/>
      <c r="S47" s="516"/>
      <c r="T47" s="784"/>
      <c r="U47" s="784"/>
      <c r="V47" s="516"/>
      <c r="W47" s="784"/>
      <c r="X47" s="784"/>
      <c r="Y47" s="516"/>
      <c r="Z47" s="784"/>
      <c r="AA47" s="784"/>
      <c r="AB47" s="727"/>
      <c r="AC47" s="516"/>
      <c r="AD47" s="784"/>
      <c r="AE47" s="784"/>
      <c r="AF47" s="727"/>
      <c r="AG47" s="784"/>
      <c r="AH47" s="784"/>
      <c r="AI47" s="784"/>
      <c r="AJ47" s="784"/>
      <c r="AK47" s="784"/>
      <c r="AL47" s="1491" t="s">
        <v>1585</v>
      </c>
      <c r="AM47" s="1491" t="s">
        <v>1585</v>
      </c>
      <c r="AO47"/>
    </row>
    <row r="48" spans="1:41" ht="18" customHeight="1" x14ac:dyDescent="0.35">
      <c r="C48" s="615">
        <v>1207700</v>
      </c>
      <c r="D48" s="762">
        <v>513</v>
      </c>
      <c r="E48" s="627" t="s">
        <v>459</v>
      </c>
      <c r="F48" s="617" t="s">
        <v>746</v>
      </c>
      <c r="G48" s="618" t="s">
        <v>1183</v>
      </c>
      <c r="H48" s="627">
        <v>18000</v>
      </c>
      <c r="I48" s="1275">
        <v>7</v>
      </c>
      <c r="J48" s="310"/>
      <c r="L48" s="458">
        <v>0.64088478722625064</v>
      </c>
      <c r="M48" s="459">
        <v>0.64088478722625064</v>
      </c>
      <c r="O48" s="687">
        <v>19612</v>
      </c>
      <c r="P48" s="383">
        <v>54612</v>
      </c>
      <c r="Q48" s="338">
        <v>35000</v>
      </c>
      <c r="R48" s="687"/>
      <c r="T48" s="460">
        <v>0</v>
      </c>
      <c r="U48" s="460">
        <v>35000</v>
      </c>
      <c r="W48" s="460">
        <v>0</v>
      </c>
      <c r="X48" s="460">
        <v>54612</v>
      </c>
      <c r="Z48" s="309">
        <v>35</v>
      </c>
      <c r="AA48" s="309">
        <v>0</v>
      </c>
      <c r="AB48" s="389">
        <v>1000</v>
      </c>
      <c r="AD48" s="299" t="s">
        <v>1470</v>
      </c>
      <c r="AE48" s="386">
        <v>18204</v>
      </c>
      <c r="AF48" s="389">
        <v>12000</v>
      </c>
      <c r="AG48" s="127">
        <v>12</v>
      </c>
      <c r="AH48" s="350">
        <v>61.336709999999997</v>
      </c>
      <c r="AI48" s="599" t="s">
        <v>1758</v>
      </c>
      <c r="AJ48" s="127" t="s">
        <v>1667</v>
      </c>
      <c r="AK48" s="299">
        <v>3</v>
      </c>
      <c r="AL48" s="1275"/>
      <c r="AM48" s="1275"/>
    </row>
    <row r="49" spans="1:39" ht="18" customHeight="1" thickBot="1" x14ac:dyDescent="0.4">
      <c r="C49" s="298">
        <v>1207700</v>
      </c>
      <c r="D49" s="449">
        <v>505</v>
      </c>
      <c r="E49" s="262" t="s">
        <v>460</v>
      </c>
      <c r="F49" s="324" t="s">
        <v>746</v>
      </c>
      <c r="G49" s="357" t="s">
        <v>1186</v>
      </c>
      <c r="H49" s="262">
        <v>54000</v>
      </c>
      <c r="I49" s="1277"/>
      <c r="J49" s="310"/>
      <c r="L49" s="458">
        <v>0.39205555555555555</v>
      </c>
      <c r="M49" s="459">
        <v>0.39205555555555555</v>
      </c>
      <c r="O49" s="687">
        <v>54715</v>
      </c>
      <c r="P49" s="383">
        <v>90000</v>
      </c>
      <c r="Q49" s="338">
        <v>35285</v>
      </c>
      <c r="R49" s="687"/>
      <c r="T49" s="460">
        <v>0</v>
      </c>
      <c r="U49" s="460">
        <v>35285</v>
      </c>
      <c r="W49" s="460">
        <v>0</v>
      </c>
      <c r="X49" s="460">
        <v>90000</v>
      </c>
      <c r="Z49" s="309">
        <v>35</v>
      </c>
      <c r="AA49" s="309">
        <v>285</v>
      </c>
      <c r="AB49" s="389">
        <v>1000</v>
      </c>
      <c r="AD49" s="299" t="s">
        <v>1470</v>
      </c>
      <c r="AE49" s="386">
        <v>30000</v>
      </c>
      <c r="AF49" s="389">
        <v>12000</v>
      </c>
      <c r="AG49" s="127">
        <v>12</v>
      </c>
      <c r="AH49" s="350">
        <v>61.336709999999997</v>
      </c>
      <c r="AI49" s="599" t="s">
        <v>1758</v>
      </c>
      <c r="AJ49" s="127" t="s">
        <v>1667</v>
      </c>
      <c r="AK49" s="299">
        <v>3</v>
      </c>
      <c r="AL49" s="1277"/>
      <c r="AM49" s="1277"/>
    </row>
    <row r="50" spans="1:39" ht="18" customHeight="1" thickBot="1" x14ac:dyDescent="0.4">
      <c r="C50" s="348"/>
      <c r="D50" s="294"/>
      <c r="E50" s="127"/>
      <c r="F50" s="299"/>
      <c r="G50" s="310"/>
      <c r="H50" s="631"/>
      <c r="I50" s="127"/>
      <c r="J50" s="310"/>
      <c r="L50" s="458"/>
      <c r="M50" s="459"/>
      <c r="O50" s="687"/>
      <c r="P50" s="383"/>
      <c r="Q50" s="338"/>
      <c r="R50" s="687"/>
      <c r="T50" s="460"/>
      <c r="U50" s="460"/>
      <c r="W50" s="460"/>
      <c r="X50" s="460"/>
      <c r="Z50" s="309"/>
      <c r="AA50" s="309"/>
      <c r="AB50" s="389"/>
      <c r="AD50" s="299"/>
      <c r="AE50" s="386"/>
      <c r="AF50" s="389"/>
      <c r="AG50" s="127"/>
      <c r="AH50" s="350"/>
      <c r="AI50" s="599"/>
      <c r="AJ50" s="127"/>
      <c r="AK50" s="299"/>
    </row>
    <row r="51" spans="1:39" s="385" customFormat="1" ht="30" customHeight="1" thickBot="1" x14ac:dyDescent="0.35">
      <c r="A51" s="1064"/>
      <c r="C51" s="1272" t="s">
        <v>1768</v>
      </c>
      <c r="D51" s="1273"/>
      <c r="E51" s="1273"/>
      <c r="F51" s="1273"/>
      <c r="G51" s="1273"/>
      <c r="H51" s="1273"/>
      <c r="I51" s="1274"/>
      <c r="J51" s="339"/>
      <c r="L51" s="845"/>
      <c r="M51" s="846"/>
      <c r="N51" s="516"/>
      <c r="O51" s="784"/>
      <c r="P51" s="727"/>
      <c r="Q51" s="727"/>
      <c r="R51" s="784"/>
      <c r="S51" s="516"/>
      <c r="T51" s="784"/>
      <c r="U51" s="784"/>
      <c r="V51" s="516"/>
      <c r="W51" s="784"/>
      <c r="X51" s="784"/>
      <c r="Y51"/>
      <c r="Z51" s="784"/>
      <c r="AA51" s="784"/>
      <c r="AB51" s="727"/>
      <c r="AC51"/>
      <c r="AD51" s="784"/>
      <c r="AE51" s="784"/>
      <c r="AF51" s="727"/>
      <c r="AG51" s="784"/>
      <c r="AH51" s="784"/>
      <c r="AI51" s="784"/>
      <c r="AJ51" s="784"/>
      <c r="AK51" s="784"/>
      <c r="AL51" s="1491" t="s">
        <v>1585</v>
      </c>
      <c r="AM51" s="1491" t="s">
        <v>1585</v>
      </c>
    </row>
    <row r="52" spans="1:39" ht="18" customHeight="1" thickBot="1" x14ac:dyDescent="0.4">
      <c r="C52" s="593">
        <v>1273700</v>
      </c>
      <c r="D52" s="1057">
        <v>504</v>
      </c>
      <c r="E52" s="672" t="s">
        <v>466</v>
      </c>
      <c r="F52" s="662" t="s">
        <v>746</v>
      </c>
      <c r="G52" s="663" t="s">
        <v>1194</v>
      </c>
      <c r="H52" s="1069">
        <v>12000</v>
      </c>
      <c r="I52" s="1056">
        <v>8</v>
      </c>
      <c r="J52" s="310"/>
      <c r="L52" s="458">
        <v>0.52101200686106341</v>
      </c>
      <c r="M52" s="459">
        <v>0.52101200686106341</v>
      </c>
      <c r="O52" s="687">
        <v>13404</v>
      </c>
      <c r="P52" s="383">
        <v>27984</v>
      </c>
      <c r="Q52" s="338">
        <v>14580</v>
      </c>
      <c r="R52" s="687"/>
      <c r="T52" s="460">
        <v>0</v>
      </c>
      <c r="U52" s="460">
        <v>14580</v>
      </c>
      <c r="W52" s="460">
        <v>0</v>
      </c>
      <c r="X52" s="460">
        <v>27984</v>
      </c>
      <c r="Z52" s="309">
        <v>13</v>
      </c>
      <c r="AA52" s="309">
        <v>1580</v>
      </c>
      <c r="AB52" s="389">
        <v>1000</v>
      </c>
      <c r="AD52" s="299" t="s">
        <v>1470</v>
      </c>
      <c r="AE52" s="386">
        <v>6996</v>
      </c>
      <c r="AF52" s="389">
        <v>12000</v>
      </c>
      <c r="AG52" s="127">
        <v>12</v>
      </c>
      <c r="AH52" s="350">
        <v>0</v>
      </c>
      <c r="AI52" s="599" t="s">
        <v>1758</v>
      </c>
      <c r="AJ52" s="127" t="s">
        <v>1213</v>
      </c>
      <c r="AK52" s="299">
        <v>4</v>
      </c>
      <c r="AL52" s="1087"/>
      <c r="AM52" s="1087"/>
    </row>
    <row r="53" spans="1:39" ht="18" customHeight="1" thickBot="1" x14ac:dyDescent="0.4">
      <c r="C53" s="348"/>
      <c r="D53" s="294"/>
      <c r="E53" s="127"/>
      <c r="F53" s="299"/>
      <c r="G53" s="310"/>
      <c r="H53" s="631"/>
      <c r="I53" s="310"/>
      <c r="J53" s="310"/>
      <c r="L53" s="458"/>
      <c r="M53" s="459"/>
      <c r="O53" s="687"/>
      <c r="P53" s="383"/>
      <c r="Q53" s="338"/>
      <c r="R53" s="687"/>
      <c r="T53" s="460"/>
      <c r="U53" s="460"/>
      <c r="W53" s="460"/>
      <c r="X53" s="460"/>
      <c r="Z53" s="309"/>
      <c r="AA53" s="309"/>
      <c r="AB53" s="389"/>
      <c r="AD53" s="299"/>
      <c r="AE53" s="386"/>
      <c r="AF53" s="389"/>
      <c r="AG53" s="127"/>
      <c r="AH53" s="350"/>
      <c r="AI53" s="599"/>
      <c r="AJ53" s="127"/>
      <c r="AK53" s="299"/>
    </row>
    <row r="54" spans="1:39" s="385" customFormat="1" ht="30" customHeight="1" thickBot="1" x14ac:dyDescent="0.35">
      <c r="A54" s="1064"/>
      <c r="C54" s="1272" t="s">
        <v>1780</v>
      </c>
      <c r="D54" s="1273"/>
      <c r="E54" s="1273"/>
      <c r="F54" s="1273"/>
      <c r="G54" s="1273"/>
      <c r="H54" s="1273"/>
      <c r="I54" s="1274"/>
      <c r="J54" s="339"/>
      <c r="L54" s="845"/>
      <c r="M54" s="846"/>
      <c r="N54" s="516"/>
      <c r="O54" s="784"/>
      <c r="P54" s="727"/>
      <c r="Q54" s="727"/>
      <c r="R54" s="784"/>
      <c r="S54" s="516"/>
      <c r="T54" s="784"/>
      <c r="U54" s="784"/>
      <c r="V54" s="516"/>
      <c r="W54" s="784"/>
      <c r="X54" s="784"/>
      <c r="Y54"/>
      <c r="Z54" s="784"/>
      <c r="AA54" s="784"/>
      <c r="AB54" s="727"/>
      <c r="AC54"/>
      <c r="AD54" s="784"/>
      <c r="AE54" s="784"/>
      <c r="AF54" s="727"/>
      <c r="AG54" s="784"/>
      <c r="AH54" s="784"/>
      <c r="AI54" s="784"/>
      <c r="AJ54" s="784"/>
      <c r="AK54" s="784"/>
      <c r="AL54" s="1491" t="s">
        <v>1585</v>
      </c>
      <c r="AM54" s="1491" t="s">
        <v>1585</v>
      </c>
    </row>
    <row r="55" spans="1:39" ht="18" customHeight="1" x14ac:dyDescent="0.35">
      <c r="C55" s="761">
        <v>1206700</v>
      </c>
      <c r="D55" s="762">
        <v>544</v>
      </c>
      <c r="E55" s="627" t="s">
        <v>482</v>
      </c>
      <c r="F55" s="617" t="s">
        <v>746</v>
      </c>
      <c r="G55" s="618" t="s">
        <v>1193</v>
      </c>
      <c r="H55" s="619">
        <v>21000</v>
      </c>
      <c r="I55" s="1275">
        <v>9</v>
      </c>
      <c r="J55" s="310"/>
      <c r="L55" s="458">
        <v>0.66988210075026799</v>
      </c>
      <c r="M55" s="459">
        <v>0.66988210075026799</v>
      </c>
      <c r="O55" s="687">
        <v>7392</v>
      </c>
      <c r="P55" s="383">
        <v>22392</v>
      </c>
      <c r="Q55" s="338">
        <v>15000</v>
      </c>
      <c r="R55" s="687"/>
      <c r="T55" s="460">
        <v>0</v>
      </c>
      <c r="U55" s="460">
        <v>15000</v>
      </c>
      <c r="W55" s="460">
        <v>0</v>
      </c>
      <c r="X55" s="460">
        <v>22392</v>
      </c>
      <c r="Z55" s="309">
        <v>13</v>
      </c>
      <c r="AA55" s="309">
        <v>2000</v>
      </c>
      <c r="AB55" s="389">
        <v>1000</v>
      </c>
      <c r="AD55" s="299" t="s">
        <v>1470</v>
      </c>
      <c r="AE55" s="386">
        <v>7464</v>
      </c>
      <c r="AF55" s="389">
        <v>12000</v>
      </c>
      <c r="AG55" s="127">
        <v>30</v>
      </c>
      <c r="AH55" s="350">
        <v>68.570279999999997</v>
      </c>
      <c r="AI55" s="599" t="s">
        <v>1733</v>
      </c>
      <c r="AJ55" s="127" t="s">
        <v>1678</v>
      </c>
      <c r="AK55" s="299">
        <v>3</v>
      </c>
      <c r="AL55" s="1275"/>
      <c r="AM55" s="1275"/>
    </row>
    <row r="56" spans="1:39" ht="18" customHeight="1" x14ac:dyDescent="0.35">
      <c r="C56" s="302"/>
      <c r="D56" s="439">
        <v>580</v>
      </c>
      <c r="E56" s="260" t="s">
        <v>1580</v>
      </c>
      <c r="F56" s="322" t="s">
        <v>746</v>
      </c>
      <c r="G56" s="329" t="s">
        <v>1273</v>
      </c>
      <c r="H56" s="506">
        <v>2000</v>
      </c>
      <c r="I56" s="1276"/>
      <c r="J56" s="310"/>
      <c r="K56" s="208"/>
      <c r="L56" s="458">
        <v>0.55555555555555558</v>
      </c>
      <c r="M56" s="507">
        <v>0.55555555555555558</v>
      </c>
      <c r="O56" s="687">
        <v>800</v>
      </c>
      <c r="P56" s="383">
        <v>1800</v>
      </c>
      <c r="Q56" s="338">
        <v>1000</v>
      </c>
      <c r="R56" s="687"/>
      <c r="T56" s="508">
        <v>0</v>
      </c>
      <c r="U56" s="460">
        <v>1000</v>
      </c>
      <c r="W56" s="508">
        <v>0</v>
      </c>
      <c r="X56" s="508">
        <v>1800</v>
      </c>
      <c r="Z56" s="309">
        <v>1</v>
      </c>
      <c r="AA56" s="309">
        <v>0</v>
      </c>
      <c r="AB56" s="389">
        <v>1000</v>
      </c>
      <c r="AD56" s="299" t="s">
        <v>1470</v>
      </c>
      <c r="AE56" s="386">
        <v>600</v>
      </c>
      <c r="AF56" s="389"/>
      <c r="AG56" s="127"/>
      <c r="AH56" s="350"/>
      <c r="AI56" s="599" t="s">
        <v>1733</v>
      </c>
      <c r="AJ56" s="127" t="s">
        <v>1678</v>
      </c>
      <c r="AK56" s="299">
        <v>3</v>
      </c>
      <c r="AL56" s="1276"/>
      <c r="AM56" s="1276"/>
    </row>
    <row r="57" spans="1:39" ht="18" customHeight="1" x14ac:dyDescent="0.35">
      <c r="C57" s="419">
        <v>1217700</v>
      </c>
      <c r="D57" s="439">
        <v>27</v>
      </c>
      <c r="E57" s="260" t="s">
        <v>1254</v>
      </c>
      <c r="F57" s="322" t="s">
        <v>746</v>
      </c>
      <c r="G57" s="329" t="s">
        <v>1363</v>
      </c>
      <c r="H57" s="506">
        <v>2000</v>
      </c>
      <c r="I57" s="1276"/>
      <c r="J57" s="310"/>
      <c r="L57" s="458">
        <v>0.96040189125295505</v>
      </c>
      <c r="M57" s="459">
        <v>0.96040189125295505</v>
      </c>
      <c r="O57" s="687">
        <v>536</v>
      </c>
      <c r="P57" s="383">
        <v>13536</v>
      </c>
      <c r="Q57" s="338">
        <v>13000</v>
      </c>
      <c r="R57" s="687"/>
      <c r="T57" s="460">
        <v>0</v>
      </c>
      <c r="U57" s="460">
        <v>13000</v>
      </c>
      <c r="W57" s="460">
        <v>0</v>
      </c>
      <c r="X57" s="460">
        <v>13536</v>
      </c>
      <c r="Z57" s="309">
        <v>5</v>
      </c>
      <c r="AA57" s="309">
        <v>500</v>
      </c>
      <c r="AB57" s="389">
        <v>2500</v>
      </c>
      <c r="AD57" s="299" t="s">
        <v>1470</v>
      </c>
      <c r="AE57" s="386">
        <v>4512</v>
      </c>
      <c r="AF57" s="389">
        <v>12000</v>
      </c>
      <c r="AG57" s="127">
        <v>30</v>
      </c>
      <c r="AH57" s="350">
        <v>31.048200000000001</v>
      </c>
      <c r="AI57" s="599" t="s">
        <v>1733</v>
      </c>
      <c r="AJ57" s="127" t="s">
        <v>1678</v>
      </c>
      <c r="AK57" s="299">
        <v>3</v>
      </c>
      <c r="AL57" s="1276"/>
      <c r="AM57" s="1276"/>
    </row>
    <row r="58" spans="1:39" ht="18" customHeight="1" x14ac:dyDescent="0.35">
      <c r="C58" s="419">
        <v>1217700</v>
      </c>
      <c r="D58" s="439">
        <v>225</v>
      </c>
      <c r="E58" s="260" t="s">
        <v>1564</v>
      </c>
      <c r="F58" s="322" t="s">
        <v>746</v>
      </c>
      <c r="G58" s="329" t="s">
        <v>1326</v>
      </c>
      <c r="H58" s="506">
        <v>2000</v>
      </c>
      <c r="I58" s="1276"/>
      <c r="J58" s="310"/>
      <c r="L58" s="458">
        <v>0.90972222222222221</v>
      </c>
      <c r="M58" s="459">
        <v>0.90972222222222221</v>
      </c>
      <c r="O58" s="687">
        <v>650</v>
      </c>
      <c r="P58" s="383">
        <v>7200</v>
      </c>
      <c r="Q58" s="338">
        <v>6550</v>
      </c>
      <c r="R58" s="687"/>
      <c r="T58" s="460">
        <v>0</v>
      </c>
      <c r="U58" s="460">
        <v>6550</v>
      </c>
      <c r="W58" s="460">
        <v>0</v>
      </c>
      <c r="X58" s="460">
        <v>7200</v>
      </c>
      <c r="Z58" s="309">
        <v>2</v>
      </c>
      <c r="AA58" s="309">
        <v>1550</v>
      </c>
      <c r="AB58" s="389">
        <v>2500</v>
      </c>
      <c r="AD58" s="299" t="s">
        <v>1470</v>
      </c>
      <c r="AE58" s="386">
        <v>2400</v>
      </c>
      <c r="AF58" s="389">
        <v>12000</v>
      </c>
      <c r="AG58" s="127">
        <v>30</v>
      </c>
      <c r="AH58" s="350">
        <v>31.048200000000001</v>
      </c>
      <c r="AI58" s="599" t="s">
        <v>1733</v>
      </c>
      <c r="AJ58" s="127" t="s">
        <v>1678</v>
      </c>
      <c r="AK58" s="299">
        <v>3</v>
      </c>
      <c r="AL58" s="1276"/>
      <c r="AM58" s="1276"/>
    </row>
    <row r="59" spans="1:39" ht="18" customHeight="1" x14ac:dyDescent="0.35">
      <c r="C59" s="419">
        <v>1217700</v>
      </c>
      <c r="D59" s="439">
        <v>393</v>
      </c>
      <c r="E59" s="260" t="s">
        <v>1429</v>
      </c>
      <c r="F59" s="322" t="s">
        <v>746</v>
      </c>
      <c r="G59" s="329" t="s">
        <v>1352</v>
      </c>
      <c r="H59" s="506">
        <v>1000</v>
      </c>
      <c r="I59" s="1276"/>
      <c r="J59" s="310"/>
      <c r="L59" s="458">
        <v>0.80128205128205132</v>
      </c>
      <c r="M59" s="459">
        <v>0.80128205128205132</v>
      </c>
      <c r="O59" s="687">
        <v>186</v>
      </c>
      <c r="P59" s="383">
        <v>936</v>
      </c>
      <c r="Q59" s="338">
        <v>750</v>
      </c>
      <c r="R59" s="687"/>
      <c r="T59" s="460">
        <v>0</v>
      </c>
      <c r="U59" s="460">
        <v>750</v>
      </c>
      <c r="W59" s="460">
        <v>0</v>
      </c>
      <c r="X59" s="460">
        <v>936</v>
      </c>
      <c r="Z59" s="309">
        <v>0</v>
      </c>
      <c r="AA59" s="309">
        <v>750</v>
      </c>
      <c r="AB59" s="389">
        <v>2500</v>
      </c>
      <c r="AD59" s="299" t="s">
        <v>1470</v>
      </c>
      <c r="AE59" s="386">
        <v>312</v>
      </c>
      <c r="AF59" s="389">
        <v>12000</v>
      </c>
      <c r="AG59" s="127">
        <v>30</v>
      </c>
      <c r="AH59" s="350">
        <v>31.048200000000001</v>
      </c>
      <c r="AI59" s="599" t="s">
        <v>1732</v>
      </c>
      <c r="AJ59" s="127" t="s">
        <v>1666</v>
      </c>
      <c r="AK59" s="299">
        <v>3</v>
      </c>
      <c r="AL59" s="1276"/>
      <c r="AM59" s="1276"/>
    </row>
    <row r="60" spans="1:39" ht="18" customHeight="1" thickBot="1" x14ac:dyDescent="0.4">
      <c r="C60" s="500">
        <v>1217700</v>
      </c>
      <c r="D60" s="449">
        <v>222</v>
      </c>
      <c r="E60" s="262" t="s">
        <v>1250</v>
      </c>
      <c r="F60" s="324" t="s">
        <v>746</v>
      </c>
      <c r="G60" s="357" t="s">
        <v>1347</v>
      </c>
      <c r="H60" s="633">
        <v>2000</v>
      </c>
      <c r="I60" s="1277"/>
      <c r="J60" s="310"/>
      <c r="L60" s="458">
        <v>0.55555555555555558</v>
      </c>
      <c r="M60" s="459">
        <v>0.55555555555555558</v>
      </c>
      <c r="O60" s="687">
        <v>800</v>
      </c>
      <c r="P60" s="383">
        <v>1800</v>
      </c>
      <c r="Q60" s="338">
        <v>1000</v>
      </c>
      <c r="R60" s="687"/>
      <c r="T60" s="460">
        <v>0</v>
      </c>
      <c r="U60" s="460">
        <v>1000</v>
      </c>
      <c r="W60" s="460">
        <v>0</v>
      </c>
      <c r="X60" s="460">
        <v>1800</v>
      </c>
      <c r="Z60" s="309">
        <v>0</v>
      </c>
      <c r="AA60" s="309">
        <v>1000</v>
      </c>
      <c r="AB60" s="389">
        <v>2500</v>
      </c>
      <c r="AD60" s="299" t="s">
        <v>1470</v>
      </c>
      <c r="AE60" s="386">
        <v>600</v>
      </c>
      <c r="AF60" s="389">
        <v>12000</v>
      </c>
      <c r="AG60" s="127">
        <v>30</v>
      </c>
      <c r="AH60" s="350">
        <v>31.048200000000001</v>
      </c>
      <c r="AI60" s="599" t="s">
        <v>1732</v>
      </c>
      <c r="AJ60" s="127" t="s">
        <v>1666</v>
      </c>
      <c r="AK60" s="299">
        <v>3</v>
      </c>
      <c r="AL60" s="1277"/>
      <c r="AM60" s="1277"/>
    </row>
    <row r="61" spans="1:39" ht="18.600000000000001" thickBot="1" x14ac:dyDescent="0.4">
      <c r="B61" s="348"/>
      <c r="C61" s="294"/>
      <c r="D61" s="127"/>
      <c r="E61" s="299"/>
      <c r="F61" s="310"/>
      <c r="G61" s="631"/>
      <c r="H61" s="453"/>
      <c r="J61" s="458"/>
      <c r="K61" s="459"/>
      <c r="M61" s="687"/>
      <c r="N61" s="383"/>
      <c r="O61" s="338"/>
      <c r="P61" s="687"/>
      <c r="R61" s="460"/>
      <c r="S61" s="460"/>
      <c r="U61" s="460"/>
      <c r="V61" s="460"/>
      <c r="X61" s="309"/>
      <c r="Y61" s="309"/>
      <c r="Z61" s="389"/>
      <c r="AB61" s="299"/>
      <c r="AC61" s="386"/>
      <c r="AD61" s="389"/>
      <c r="AE61" s="127"/>
      <c r="AF61" s="350"/>
      <c r="AG61" s="599"/>
      <c r="AH61" s="127"/>
      <c r="AI61" s="299"/>
    </row>
    <row r="62" spans="1:39" ht="74.7" customHeight="1" thickBot="1" x14ac:dyDescent="0.35">
      <c r="A62"/>
      <c r="C62" s="452" t="s">
        <v>1293</v>
      </c>
      <c r="D62" s="312" t="s">
        <v>748</v>
      </c>
      <c r="E62" s="312" t="s">
        <v>1198</v>
      </c>
      <c r="F62" s="312" t="s">
        <v>1018</v>
      </c>
      <c r="G62" s="423" t="s">
        <v>1401</v>
      </c>
      <c r="H62" s="502" t="s">
        <v>1500</v>
      </c>
      <c r="I62" s="321" t="s">
        <v>1515</v>
      </c>
      <c r="J62" s="317"/>
      <c r="L62" s="291" t="s">
        <v>1388</v>
      </c>
      <c r="M62" s="970" t="s">
        <v>1439</v>
      </c>
      <c r="O62" s="321" t="s">
        <v>1479</v>
      </c>
      <c r="P62" s="314" t="s">
        <v>1512</v>
      </c>
      <c r="Q62" s="314" t="s">
        <v>1478</v>
      </c>
      <c r="R62" s="710" t="s">
        <v>1782</v>
      </c>
      <c r="T62" s="291" t="s">
        <v>1463</v>
      </c>
      <c r="U62" s="970" t="s">
        <v>1464</v>
      </c>
      <c r="W62" s="296" t="s">
        <v>1467</v>
      </c>
      <c r="X62" s="291" t="s">
        <v>1468</v>
      </c>
      <c r="Z62" s="836" t="s">
        <v>1197</v>
      </c>
      <c r="AA62" s="837" t="s">
        <v>1481</v>
      </c>
      <c r="AB62" s="835" t="s">
        <v>857</v>
      </c>
      <c r="AD62" s="837" t="s">
        <v>1403</v>
      </c>
      <c r="AE62" s="837" t="s">
        <v>1482</v>
      </c>
      <c r="AF62" s="835" t="s">
        <v>1480</v>
      </c>
      <c r="AG62" s="837" t="s">
        <v>1483</v>
      </c>
      <c r="AH62" s="837" t="s">
        <v>1387</v>
      </c>
      <c r="AI62" s="837"/>
      <c r="AJ62" s="837" t="s">
        <v>1404</v>
      </c>
      <c r="AK62" s="837" t="s">
        <v>1513</v>
      </c>
      <c r="AL62" s="1491" t="s">
        <v>1585</v>
      </c>
      <c r="AM62" s="1491" t="s">
        <v>1585</v>
      </c>
    </row>
    <row r="63" spans="1:39" ht="18.600000000000001" thickBot="1" x14ac:dyDescent="0.4">
      <c r="A63"/>
      <c r="C63" s="684">
        <v>1259700</v>
      </c>
      <c r="D63" s="297">
        <v>500</v>
      </c>
      <c r="E63" s="261" t="s">
        <v>839</v>
      </c>
      <c r="F63" s="323" t="s">
        <v>746</v>
      </c>
      <c r="G63" s="356" t="s">
        <v>1412</v>
      </c>
      <c r="H63" s="632">
        <v>4</v>
      </c>
      <c r="I63" s="476"/>
      <c r="J63" s="310"/>
      <c r="L63" s="902">
        <v>0.27777777777777779</v>
      </c>
      <c r="M63" s="948">
        <v>0.27777777777777779</v>
      </c>
      <c r="O63" s="957">
        <v>2.5999999999999996</v>
      </c>
      <c r="P63" s="486">
        <v>3.5999999999999996</v>
      </c>
      <c r="Q63" s="346">
        <v>1</v>
      </c>
      <c r="R63" s="751"/>
      <c r="T63" s="401">
        <v>0</v>
      </c>
      <c r="U63" s="404">
        <v>1</v>
      </c>
      <c r="W63" s="401">
        <v>0</v>
      </c>
      <c r="X63" s="404">
        <v>3.5999999999999996</v>
      </c>
      <c r="Z63" s="305">
        <v>1</v>
      </c>
      <c r="AA63" s="305">
        <v>0</v>
      </c>
      <c r="AB63" s="534">
        <v>1200</v>
      </c>
      <c r="AD63" s="398" t="s">
        <v>1470</v>
      </c>
      <c r="AE63" s="414">
        <v>1.2</v>
      </c>
      <c r="AF63" s="446">
        <v>1</v>
      </c>
      <c r="AG63" s="261">
        <v>12</v>
      </c>
      <c r="AH63" s="326">
        <v>0</v>
      </c>
      <c r="AI63" s="600"/>
      <c r="AJ63" s="323">
        <v>100</v>
      </c>
      <c r="AK63" s="333">
        <v>3</v>
      </c>
    </row>
    <row r="64" spans="1:39" ht="18.600000000000001" thickBot="1" x14ac:dyDescent="0.4">
      <c r="A64"/>
      <c r="C64" s="682">
        <v>1260700</v>
      </c>
      <c r="D64" s="302">
        <v>506</v>
      </c>
      <c r="E64" s="260" t="s">
        <v>1200</v>
      </c>
      <c r="F64" s="322" t="s">
        <v>746</v>
      </c>
      <c r="G64" s="329" t="s">
        <v>1413</v>
      </c>
      <c r="H64" s="260">
        <v>3</v>
      </c>
      <c r="I64" s="477"/>
      <c r="J64" s="310"/>
      <c r="L64" s="903">
        <v>0.96730360934182602</v>
      </c>
      <c r="M64" s="949">
        <v>0.96730360934182602</v>
      </c>
      <c r="O64" s="957">
        <v>1.539999999999992</v>
      </c>
      <c r="P64" s="487">
        <v>47.099999999999994</v>
      </c>
      <c r="Q64" s="345">
        <v>45.56</v>
      </c>
      <c r="R64" s="753"/>
      <c r="T64" s="402">
        <v>0</v>
      </c>
      <c r="U64" s="405">
        <v>45.56</v>
      </c>
      <c r="W64" s="402">
        <v>0</v>
      </c>
      <c r="X64" s="405">
        <v>47.099999999999994</v>
      </c>
      <c r="Z64" s="305">
        <v>45</v>
      </c>
      <c r="AA64" s="305">
        <v>56</v>
      </c>
      <c r="AB64" s="517">
        <v>1200</v>
      </c>
      <c r="AD64" s="430" t="s">
        <v>1470</v>
      </c>
      <c r="AE64" s="414">
        <v>15.7</v>
      </c>
      <c r="AF64" s="445">
        <v>1</v>
      </c>
      <c r="AG64" s="260">
        <v>12</v>
      </c>
      <c r="AH64" s="325">
        <v>78.77</v>
      </c>
      <c r="AI64" s="601"/>
      <c r="AJ64" s="322">
        <v>100</v>
      </c>
      <c r="AK64" s="335">
        <v>3</v>
      </c>
    </row>
    <row r="65" spans="1:39" ht="18.600000000000001" thickBot="1" x14ac:dyDescent="0.4">
      <c r="A65"/>
      <c r="C65" s="1070">
        <v>1279700</v>
      </c>
      <c r="D65" s="298">
        <v>510</v>
      </c>
      <c r="E65" s="262" t="s">
        <v>866</v>
      </c>
      <c r="F65" s="324" t="s">
        <v>746</v>
      </c>
      <c r="G65" s="357" t="s">
        <v>1414</v>
      </c>
      <c r="H65" s="633">
        <v>3</v>
      </c>
      <c r="I65" s="478"/>
      <c r="J65" s="310"/>
      <c r="L65" s="915">
        <v>0.9603469640644362</v>
      </c>
      <c r="M65" s="993">
        <v>0.9603469640644362</v>
      </c>
      <c r="O65" s="1072">
        <v>0.64000000000000057</v>
      </c>
      <c r="P65" s="995">
        <v>16.14</v>
      </c>
      <c r="Q65" s="609">
        <v>15.5</v>
      </c>
      <c r="R65" s="996"/>
      <c r="T65" s="802">
        <v>0</v>
      </c>
      <c r="U65" s="610">
        <v>15.5</v>
      </c>
      <c r="W65" s="802">
        <v>0</v>
      </c>
      <c r="X65" s="610">
        <v>16.14</v>
      </c>
      <c r="Z65" s="611">
        <v>15</v>
      </c>
      <c r="AA65" s="611">
        <v>50</v>
      </c>
      <c r="AB65" s="612">
        <v>1200</v>
      </c>
      <c r="AD65" s="613" t="s">
        <v>1470</v>
      </c>
      <c r="AE65" s="530">
        <v>5.38</v>
      </c>
      <c r="AF65" s="823">
        <v>1</v>
      </c>
      <c r="AG65" s="538">
        <v>12</v>
      </c>
      <c r="AH65" s="539">
        <v>0</v>
      </c>
      <c r="AI65" s="602"/>
      <c r="AJ65" s="608">
        <v>100</v>
      </c>
      <c r="AK65" s="614">
        <v>3</v>
      </c>
    </row>
    <row r="66" spans="1:39" ht="3.6" customHeight="1" thickBot="1" x14ac:dyDescent="0.4">
      <c r="A66"/>
      <c r="C66" s="294"/>
      <c r="D66" s="294"/>
      <c r="E66" s="127"/>
      <c r="F66" s="299"/>
      <c r="G66" s="310"/>
      <c r="H66" s="631"/>
      <c r="I66" s="310"/>
      <c r="J66" s="310"/>
      <c r="L66" s="458"/>
      <c r="M66" s="459"/>
      <c r="O66" s="687"/>
      <c r="P66" s="383"/>
      <c r="Q66" s="338"/>
      <c r="R66" s="687"/>
      <c r="T66" s="460"/>
      <c r="U66" s="460"/>
      <c r="W66" s="460"/>
      <c r="X66" s="460"/>
      <c r="Z66" s="309"/>
      <c r="AA66" s="309"/>
      <c r="AB66" s="389"/>
      <c r="AD66" s="299"/>
      <c r="AE66" s="386"/>
      <c r="AF66" s="1071"/>
      <c r="AG66" s="127"/>
      <c r="AH66" s="350"/>
      <c r="AI66" s="599"/>
      <c r="AJ66" s="299"/>
      <c r="AK66" s="299"/>
    </row>
    <row r="67" spans="1:39" ht="18.600000000000001" thickBot="1" x14ac:dyDescent="0.4">
      <c r="A67"/>
      <c r="C67" s="1074">
        <v>1262700</v>
      </c>
      <c r="D67" s="297">
        <v>555</v>
      </c>
      <c r="E67" s="261" t="s">
        <v>1248</v>
      </c>
      <c r="F67" s="323" t="s">
        <v>746</v>
      </c>
      <c r="G67" s="1075" t="s">
        <v>1407</v>
      </c>
      <c r="H67" s="261">
        <v>6</v>
      </c>
      <c r="I67" s="1076"/>
      <c r="J67" s="300"/>
      <c r="L67" s="914">
        <v>0.88888888888888884</v>
      </c>
      <c r="M67" s="974">
        <v>0.88888888888888884</v>
      </c>
      <c r="O67" s="957">
        <v>0.375</v>
      </c>
      <c r="P67" s="620">
        <v>3.375</v>
      </c>
      <c r="Q67" s="621">
        <v>3</v>
      </c>
      <c r="R67" s="798"/>
      <c r="T67" s="407">
        <v>0</v>
      </c>
      <c r="U67" s="408">
        <v>3</v>
      </c>
      <c r="W67" s="407">
        <v>0</v>
      </c>
      <c r="X67" s="408">
        <v>3.375</v>
      </c>
      <c r="Z67" s="622">
        <v>3</v>
      </c>
      <c r="AA67" s="622">
        <v>0</v>
      </c>
      <c r="AB67" s="623">
        <v>1600</v>
      </c>
      <c r="AD67" s="624" t="s">
        <v>1470</v>
      </c>
      <c r="AE67" s="625">
        <v>1.125</v>
      </c>
      <c r="AF67" s="1073">
        <v>1</v>
      </c>
      <c r="AG67" s="627">
        <v>16</v>
      </c>
      <c r="AH67" s="628">
        <v>0</v>
      </c>
      <c r="AI67" s="629"/>
      <c r="AJ67" s="617">
        <v>100</v>
      </c>
      <c r="AK67" s="630">
        <v>3</v>
      </c>
    </row>
    <row r="68" spans="1:39" ht="18.600000000000001" thickBot="1" x14ac:dyDescent="0.4">
      <c r="A68"/>
      <c r="C68" s="682">
        <v>1262700</v>
      </c>
      <c r="D68" s="302">
        <v>557</v>
      </c>
      <c r="E68" s="260" t="s">
        <v>1246</v>
      </c>
      <c r="F68" s="322" t="s">
        <v>746</v>
      </c>
      <c r="G68" s="421" t="s">
        <v>1408</v>
      </c>
      <c r="H68" s="260">
        <v>2</v>
      </c>
      <c r="I68" s="490"/>
      <c r="J68" s="300"/>
      <c r="L68" s="903">
        <v>0</v>
      </c>
      <c r="M68" s="949">
        <v>0</v>
      </c>
      <c r="O68" s="957">
        <v>0.54</v>
      </c>
      <c r="P68" s="487">
        <v>0.54</v>
      </c>
      <c r="Q68" s="345">
        <v>0</v>
      </c>
      <c r="R68" s="753"/>
      <c r="T68" s="402">
        <v>0</v>
      </c>
      <c r="U68" s="405">
        <v>0</v>
      </c>
      <c r="W68" s="402">
        <v>0</v>
      </c>
      <c r="X68" s="405">
        <v>0.54</v>
      </c>
      <c r="Z68" s="305">
        <v>0</v>
      </c>
      <c r="AA68" s="305">
        <v>0</v>
      </c>
      <c r="AB68" s="517">
        <v>1600</v>
      </c>
      <c r="AD68" s="430" t="s">
        <v>1470</v>
      </c>
      <c r="AE68" s="414">
        <v>0.18</v>
      </c>
      <c r="AF68" s="445">
        <v>1</v>
      </c>
      <c r="AG68" s="260">
        <v>16</v>
      </c>
      <c r="AH68" s="325">
        <v>0</v>
      </c>
      <c r="AI68" s="601"/>
      <c r="AJ68" s="322">
        <v>100</v>
      </c>
      <c r="AK68" s="335">
        <v>3</v>
      </c>
    </row>
    <row r="69" spans="1:39" ht="18.600000000000001" thickBot="1" x14ac:dyDescent="0.4">
      <c r="A69"/>
      <c r="C69" s="682">
        <v>1262700</v>
      </c>
      <c r="D69" s="298">
        <v>654</v>
      </c>
      <c r="E69" s="262" t="s">
        <v>1247</v>
      </c>
      <c r="F69" s="324" t="s">
        <v>746</v>
      </c>
      <c r="G69" s="422" t="s">
        <v>1410</v>
      </c>
      <c r="H69" s="262">
        <v>2</v>
      </c>
      <c r="I69" s="491"/>
      <c r="J69" s="300"/>
      <c r="L69" s="903">
        <v>0.55555555555555558</v>
      </c>
      <c r="M69" s="949">
        <v>0.55555555555555558</v>
      </c>
      <c r="O69" s="957">
        <v>0.76</v>
      </c>
      <c r="P69" s="487">
        <v>1.71</v>
      </c>
      <c r="Q69" s="345">
        <v>0.95</v>
      </c>
      <c r="R69" s="753"/>
      <c r="T69" s="402">
        <v>0</v>
      </c>
      <c r="U69" s="405">
        <v>0.95</v>
      </c>
      <c r="W69" s="402">
        <v>0</v>
      </c>
      <c r="X69" s="405">
        <v>1.71</v>
      </c>
      <c r="Z69" s="305">
        <v>0</v>
      </c>
      <c r="AA69" s="305">
        <v>95</v>
      </c>
      <c r="AB69" s="517">
        <v>1600</v>
      </c>
      <c r="AD69" s="430" t="s">
        <v>1470</v>
      </c>
      <c r="AE69" s="414">
        <v>0.56999999999999995</v>
      </c>
      <c r="AF69" s="445">
        <v>1</v>
      </c>
      <c r="AG69" s="260">
        <v>16</v>
      </c>
      <c r="AH69" s="325">
        <v>0</v>
      </c>
      <c r="AI69" s="601"/>
      <c r="AJ69" s="322">
        <v>100</v>
      </c>
      <c r="AK69" s="335">
        <v>3</v>
      </c>
    </row>
    <row r="70" spans="1:39" ht="18" x14ac:dyDescent="0.35">
      <c r="A70"/>
      <c r="C70" s="294"/>
      <c r="D70" s="294"/>
      <c r="E70" s="127"/>
      <c r="F70" s="299"/>
      <c r="G70" s="300"/>
      <c r="H70" s="127"/>
      <c r="I70" s="300"/>
      <c r="J70" s="300"/>
      <c r="L70" s="458"/>
      <c r="M70" s="459"/>
      <c r="O70" s="687"/>
      <c r="P70" s="383"/>
      <c r="Q70" s="338"/>
      <c r="R70" s="687"/>
      <c r="T70" s="460"/>
      <c r="U70" s="460"/>
      <c r="W70" s="460"/>
      <c r="X70" s="460"/>
      <c r="Z70" s="309"/>
      <c r="AA70" s="309"/>
      <c r="AB70" s="389"/>
      <c r="AD70" s="299"/>
      <c r="AE70" s="386"/>
      <c r="AF70" s="1071"/>
      <c r="AG70" s="127"/>
      <c r="AH70" s="350"/>
      <c r="AI70" s="599"/>
      <c r="AJ70" s="299"/>
      <c r="AK70" s="299"/>
    </row>
    <row r="71" spans="1:39" ht="18" x14ac:dyDescent="0.35">
      <c r="A71"/>
      <c r="C71" s="294"/>
      <c r="D71" s="294"/>
      <c r="E71" s="127"/>
      <c r="F71" s="299"/>
      <c r="G71" s="300"/>
      <c r="H71" s="127"/>
      <c r="I71" s="300"/>
      <c r="J71" s="300"/>
      <c r="L71" s="458"/>
      <c r="M71" s="459"/>
      <c r="O71" s="687"/>
      <c r="P71" s="383"/>
      <c r="Q71" s="338"/>
      <c r="R71" s="687"/>
      <c r="T71" s="460"/>
      <c r="U71" s="460"/>
      <c r="W71" s="460"/>
      <c r="X71" s="460"/>
      <c r="Z71" s="309"/>
      <c r="AA71" s="309"/>
      <c r="AB71" s="389"/>
      <c r="AD71" s="299"/>
      <c r="AE71" s="386"/>
      <c r="AF71" s="1071"/>
      <c r="AG71" s="127"/>
      <c r="AH71" s="350"/>
      <c r="AI71" s="599"/>
      <c r="AJ71" s="299"/>
      <c r="AK71" s="299"/>
    </row>
    <row r="72" spans="1:39" ht="18" x14ac:dyDescent="0.35">
      <c r="A72"/>
      <c r="C72" s="294"/>
      <c r="D72" s="294"/>
      <c r="E72" s="127"/>
      <c r="F72" s="299"/>
      <c r="G72" s="300"/>
      <c r="H72" s="127"/>
      <c r="I72" s="300"/>
      <c r="J72" s="300"/>
      <c r="L72" s="458"/>
      <c r="M72" s="459"/>
      <c r="O72" s="687"/>
      <c r="P72" s="383"/>
      <c r="Q72" s="338"/>
      <c r="R72" s="687"/>
      <c r="T72" s="460"/>
      <c r="U72" s="460"/>
      <c r="W72" s="460"/>
      <c r="X72" s="460"/>
      <c r="Z72" s="309"/>
      <c r="AA72" s="309"/>
      <c r="AB72" s="389"/>
      <c r="AD72" s="299"/>
      <c r="AE72" s="386"/>
      <c r="AF72" s="1071"/>
      <c r="AG72" s="127"/>
      <c r="AH72" s="350"/>
      <c r="AI72" s="599"/>
      <c r="AJ72" s="299"/>
      <c r="AK72" s="299"/>
    </row>
    <row r="73" spans="1:39" ht="18" x14ac:dyDescent="0.35">
      <c r="B73" s="294"/>
      <c r="C73" s="294"/>
      <c r="D73" s="127"/>
      <c r="E73" s="299"/>
      <c r="F73" s="310"/>
      <c r="G73" s="631"/>
      <c r="H73" s="453"/>
      <c r="J73" s="458"/>
      <c r="K73" s="459"/>
      <c r="M73" s="687"/>
      <c r="N73" s="383"/>
      <c r="O73" s="338"/>
      <c r="P73" s="687"/>
      <c r="R73" s="460"/>
      <c r="S73" s="460"/>
      <c r="U73" s="460"/>
      <c r="V73" s="460"/>
      <c r="X73" s="309"/>
      <c r="Y73" s="309"/>
      <c r="Z73" s="389"/>
      <c r="AB73" s="299"/>
      <c r="AC73" s="386"/>
      <c r="AD73" s="389"/>
      <c r="AE73" s="127"/>
      <c r="AF73" s="350"/>
      <c r="AG73" s="599"/>
      <c r="AH73" s="127"/>
      <c r="AI73" s="299"/>
    </row>
    <row r="74" spans="1:39" ht="28.8" x14ac:dyDescent="0.55000000000000004">
      <c r="B74" s="294"/>
      <c r="C74" s="294"/>
      <c r="D74" s="1270" t="s">
        <v>1695</v>
      </c>
      <c r="E74" s="1270"/>
      <c r="F74" s="1270"/>
      <c r="G74" s="1270"/>
      <c r="H74" s="453"/>
      <c r="J74" s="458"/>
      <c r="K74" s="459"/>
      <c r="M74" s="687"/>
      <c r="N74" s="383"/>
      <c r="O74" s="338"/>
      <c r="P74" s="687"/>
      <c r="R74" s="460"/>
      <c r="S74" s="460"/>
      <c r="U74" s="460"/>
      <c r="V74" s="460"/>
      <c r="X74" s="309"/>
      <c r="Y74" s="309"/>
      <c r="Z74" s="389"/>
      <c r="AB74" s="299"/>
      <c r="AC74" s="386"/>
      <c r="AD74" s="389"/>
      <c r="AE74" s="127"/>
      <c r="AF74" s="350"/>
      <c r="AG74" s="599"/>
      <c r="AH74" s="127"/>
      <c r="AI74" s="299"/>
    </row>
    <row r="75" spans="1:39" ht="19.95" customHeight="1" thickBot="1" x14ac:dyDescent="0.4">
      <c r="B75" s="294"/>
      <c r="C75" s="294"/>
      <c r="D75" s="127"/>
      <c r="E75" s="299"/>
      <c r="F75" s="310"/>
      <c r="G75" s="631"/>
      <c r="H75" s="453"/>
      <c r="J75" s="458"/>
      <c r="K75" s="459"/>
      <c r="M75" s="687"/>
      <c r="N75" s="383"/>
      <c r="O75" s="338"/>
      <c r="P75" s="687"/>
      <c r="R75" s="460"/>
      <c r="S75" s="460"/>
      <c r="U75" s="460"/>
      <c r="V75" s="460"/>
      <c r="X75" s="309"/>
      <c r="Y75" s="309"/>
      <c r="Z75" s="389"/>
      <c r="AB75" s="299"/>
      <c r="AC75" s="386"/>
      <c r="AD75" s="389"/>
      <c r="AE75" s="127"/>
      <c r="AF75" s="350"/>
      <c r="AG75" s="599"/>
      <c r="AH75" s="127"/>
      <c r="AI75" s="299"/>
    </row>
    <row r="76" spans="1:39" s="385" customFormat="1" ht="30" customHeight="1" thickBot="1" x14ac:dyDescent="0.35">
      <c r="A76" s="1064"/>
      <c r="C76" s="1272" t="s">
        <v>1828</v>
      </c>
      <c r="D76" s="1273"/>
      <c r="E76" s="1273"/>
      <c r="F76" s="1273"/>
      <c r="G76" s="1273"/>
      <c r="H76" s="1273"/>
      <c r="I76" s="1274"/>
      <c r="J76" s="339"/>
      <c r="L76" s="845"/>
      <c r="M76" s="846"/>
      <c r="N76" s="516"/>
      <c r="O76" s="784"/>
      <c r="P76" s="727"/>
      <c r="Q76" s="727"/>
      <c r="R76" s="784"/>
      <c r="S76" s="516"/>
      <c r="T76" s="784"/>
      <c r="U76" s="784"/>
      <c r="V76" s="516"/>
      <c r="W76" s="784"/>
      <c r="X76" s="784"/>
      <c r="Y76"/>
      <c r="Z76" s="784"/>
      <c r="AA76" s="784"/>
      <c r="AB76" s="727"/>
      <c r="AC76"/>
      <c r="AD76" s="784"/>
      <c r="AE76" s="784"/>
      <c r="AF76" s="727"/>
      <c r="AG76" s="784"/>
      <c r="AH76" s="784"/>
      <c r="AI76" s="784"/>
      <c r="AJ76" s="784"/>
      <c r="AK76" s="784"/>
      <c r="AL76" s="1491" t="s">
        <v>1585</v>
      </c>
      <c r="AM76" s="1491" t="s">
        <v>1585</v>
      </c>
    </row>
    <row r="77" spans="1:39" ht="18" customHeight="1" x14ac:dyDescent="0.35">
      <c r="C77" s="761">
        <v>2315700</v>
      </c>
      <c r="D77" s="762">
        <v>858</v>
      </c>
      <c r="E77" s="627" t="s">
        <v>1029</v>
      </c>
      <c r="F77" s="617" t="s">
        <v>1041</v>
      </c>
      <c r="G77" s="618" t="s">
        <v>1377</v>
      </c>
      <c r="H77" s="619">
        <v>1000</v>
      </c>
      <c r="I77" s="1275">
        <v>1</v>
      </c>
      <c r="J77" s="310"/>
      <c r="L77" s="458">
        <v>0</v>
      </c>
      <c r="M77" s="459">
        <v>0</v>
      </c>
      <c r="O77" s="687">
        <v>480</v>
      </c>
      <c r="P77" s="383">
        <v>480</v>
      </c>
      <c r="Q77" s="338">
        <v>0</v>
      </c>
      <c r="R77" s="687"/>
      <c r="T77" s="460">
        <v>0</v>
      </c>
      <c r="U77" s="460">
        <v>0</v>
      </c>
      <c r="W77" s="460">
        <v>0</v>
      </c>
      <c r="X77" s="460">
        <v>480</v>
      </c>
      <c r="Z77" s="309">
        <v>0</v>
      </c>
      <c r="AA77" s="309">
        <v>0</v>
      </c>
      <c r="AB77" s="389">
        <v>1000</v>
      </c>
      <c r="AD77" s="299" t="s">
        <v>1470</v>
      </c>
      <c r="AE77" s="386">
        <v>96</v>
      </c>
      <c r="AF77" s="389">
        <v>25000</v>
      </c>
      <c r="AG77" s="127">
        <v>25</v>
      </c>
      <c r="AH77" s="350">
        <v>68.570279999999997</v>
      </c>
      <c r="AI77" s="599" t="s">
        <v>1732</v>
      </c>
      <c r="AJ77" s="127" t="s">
        <v>1666</v>
      </c>
      <c r="AK77" s="299">
        <v>5</v>
      </c>
      <c r="AL77" s="1275"/>
      <c r="AM77" s="1275"/>
    </row>
    <row r="78" spans="1:39" ht="18" customHeight="1" x14ac:dyDescent="0.35">
      <c r="C78" s="419">
        <v>2315700</v>
      </c>
      <c r="D78" s="439">
        <v>848</v>
      </c>
      <c r="E78" s="260" t="s">
        <v>1029</v>
      </c>
      <c r="F78" s="322" t="s">
        <v>1041</v>
      </c>
      <c r="G78" s="775" t="s">
        <v>771</v>
      </c>
      <c r="H78" s="506">
        <v>1000</v>
      </c>
      <c r="I78" s="1276"/>
      <c r="J78" s="310"/>
      <c r="L78" s="458">
        <v>0</v>
      </c>
      <c r="M78" s="459">
        <v>0</v>
      </c>
      <c r="O78" s="687">
        <v>480</v>
      </c>
      <c r="P78" s="383">
        <v>480</v>
      </c>
      <c r="Q78" s="338">
        <v>0</v>
      </c>
      <c r="R78" s="687"/>
      <c r="T78" s="460">
        <v>0</v>
      </c>
      <c r="U78" s="460">
        <v>0</v>
      </c>
      <c r="W78" s="460">
        <v>0</v>
      </c>
      <c r="X78" s="460">
        <v>480</v>
      </c>
      <c r="Z78" s="309">
        <v>0</v>
      </c>
      <c r="AA78" s="309">
        <v>0</v>
      </c>
      <c r="AB78" s="389">
        <v>1000</v>
      </c>
      <c r="AD78" s="299" t="s">
        <v>1470</v>
      </c>
      <c r="AE78" s="386">
        <v>96</v>
      </c>
      <c r="AF78" s="389">
        <v>25000</v>
      </c>
      <c r="AG78" s="127">
        <v>25</v>
      </c>
      <c r="AH78" s="350"/>
      <c r="AI78" s="599" t="s">
        <v>1732</v>
      </c>
      <c r="AJ78" s="127" t="s">
        <v>1666</v>
      </c>
      <c r="AK78" s="299">
        <v>5</v>
      </c>
      <c r="AL78" s="1276"/>
      <c r="AM78" s="1276"/>
    </row>
    <row r="79" spans="1:39" ht="18" customHeight="1" x14ac:dyDescent="0.35">
      <c r="C79" s="419">
        <v>2315700</v>
      </c>
      <c r="D79" s="439">
        <v>307</v>
      </c>
      <c r="E79" s="260" t="s">
        <v>1029</v>
      </c>
      <c r="F79" s="322" t="s">
        <v>1041</v>
      </c>
      <c r="G79" s="775" t="s">
        <v>1089</v>
      </c>
      <c r="H79" s="506">
        <v>3000</v>
      </c>
      <c r="I79" s="1276"/>
      <c r="J79" s="310"/>
      <c r="L79" s="458">
        <v>0</v>
      </c>
      <c r="M79" s="459">
        <v>0</v>
      </c>
      <c r="O79" s="687">
        <v>1800</v>
      </c>
      <c r="P79" s="383">
        <v>1800</v>
      </c>
      <c r="Q79" s="338">
        <v>0</v>
      </c>
      <c r="R79" s="687"/>
      <c r="T79" s="460">
        <v>0</v>
      </c>
      <c r="U79" s="460">
        <v>0</v>
      </c>
      <c r="W79" s="460">
        <v>0</v>
      </c>
      <c r="X79" s="460">
        <v>1800</v>
      </c>
      <c r="Z79" s="309">
        <v>0</v>
      </c>
      <c r="AA79" s="309">
        <v>0</v>
      </c>
      <c r="AB79" s="389">
        <v>1000</v>
      </c>
      <c r="AD79" s="299" t="s">
        <v>1470</v>
      </c>
      <c r="AE79" s="386">
        <v>360</v>
      </c>
      <c r="AF79" s="389">
        <v>25000</v>
      </c>
      <c r="AG79" s="127">
        <v>25</v>
      </c>
      <c r="AH79" s="350"/>
      <c r="AI79" s="599" t="s">
        <v>1732</v>
      </c>
      <c r="AJ79" s="127" t="s">
        <v>1666</v>
      </c>
      <c r="AK79" s="299">
        <v>5</v>
      </c>
      <c r="AL79" s="1276"/>
      <c r="AM79" s="1276"/>
    </row>
    <row r="80" spans="1:39" ht="18" customHeight="1" x14ac:dyDescent="0.35">
      <c r="C80" s="419">
        <v>2315700</v>
      </c>
      <c r="D80" s="439">
        <v>842</v>
      </c>
      <c r="E80" s="260" t="s">
        <v>1029</v>
      </c>
      <c r="F80" s="322" t="s">
        <v>1041</v>
      </c>
      <c r="G80" s="775" t="s">
        <v>1137</v>
      </c>
      <c r="H80" s="506">
        <v>2000</v>
      </c>
      <c r="I80" s="1276"/>
      <c r="J80" s="310"/>
      <c r="L80" s="458">
        <v>0</v>
      </c>
      <c r="M80" s="459">
        <v>0</v>
      </c>
      <c r="O80" s="687">
        <v>1320</v>
      </c>
      <c r="P80" s="383">
        <v>1320</v>
      </c>
      <c r="Q80" s="338">
        <v>0</v>
      </c>
      <c r="R80" s="687"/>
      <c r="T80" s="460">
        <v>0</v>
      </c>
      <c r="U80" s="460">
        <v>0</v>
      </c>
      <c r="W80" s="460">
        <v>0</v>
      </c>
      <c r="X80" s="460">
        <v>1320</v>
      </c>
      <c r="Z80" s="309">
        <v>0</v>
      </c>
      <c r="AA80" s="309">
        <v>0</v>
      </c>
      <c r="AB80" s="389">
        <v>1000</v>
      </c>
      <c r="AD80" s="299" t="s">
        <v>1470</v>
      </c>
      <c r="AE80" s="386">
        <v>264</v>
      </c>
      <c r="AF80" s="389">
        <v>25000</v>
      </c>
      <c r="AG80" s="127">
        <v>25</v>
      </c>
      <c r="AH80" s="350"/>
      <c r="AI80" s="599" t="s">
        <v>1732</v>
      </c>
      <c r="AJ80" s="127" t="s">
        <v>1666</v>
      </c>
      <c r="AK80" s="299">
        <v>5</v>
      </c>
      <c r="AL80" s="1276"/>
      <c r="AM80" s="1276"/>
    </row>
    <row r="81" spans="1:39" ht="18" customHeight="1" x14ac:dyDescent="0.35">
      <c r="C81" s="419">
        <v>2315700</v>
      </c>
      <c r="D81" s="439">
        <v>844</v>
      </c>
      <c r="E81" s="260" t="s">
        <v>1029</v>
      </c>
      <c r="F81" s="322" t="s">
        <v>1041</v>
      </c>
      <c r="G81" s="775" t="s">
        <v>1139</v>
      </c>
      <c r="H81" s="506">
        <v>1000</v>
      </c>
      <c r="I81" s="1276"/>
      <c r="J81" s="310"/>
      <c r="L81" s="458">
        <v>0</v>
      </c>
      <c r="M81" s="459">
        <v>0</v>
      </c>
      <c r="O81" s="687">
        <v>480</v>
      </c>
      <c r="P81" s="383">
        <v>480</v>
      </c>
      <c r="Q81" s="338">
        <v>0</v>
      </c>
      <c r="R81" s="687"/>
      <c r="T81" s="460">
        <v>0</v>
      </c>
      <c r="U81" s="460">
        <v>0</v>
      </c>
      <c r="W81" s="460">
        <v>0</v>
      </c>
      <c r="X81" s="460">
        <v>480</v>
      </c>
      <c r="Z81" s="309">
        <v>0</v>
      </c>
      <c r="AA81" s="309">
        <v>0</v>
      </c>
      <c r="AB81" s="389">
        <v>1000</v>
      </c>
      <c r="AD81" s="299" t="s">
        <v>1470</v>
      </c>
      <c r="AE81" s="386">
        <v>96</v>
      </c>
      <c r="AF81" s="389">
        <v>25000</v>
      </c>
      <c r="AG81" s="127">
        <v>25</v>
      </c>
      <c r="AH81" s="350"/>
      <c r="AI81" s="599" t="s">
        <v>1732</v>
      </c>
      <c r="AJ81" s="127" t="s">
        <v>1666</v>
      </c>
      <c r="AK81" s="299">
        <v>5</v>
      </c>
      <c r="AL81" s="1276"/>
      <c r="AM81" s="1276"/>
    </row>
    <row r="82" spans="1:39" ht="18" customHeight="1" x14ac:dyDescent="0.35">
      <c r="C82" s="419">
        <v>2315700</v>
      </c>
      <c r="D82" s="439">
        <v>858</v>
      </c>
      <c r="E82" s="260" t="s">
        <v>1029</v>
      </c>
      <c r="F82" s="322" t="s">
        <v>1041</v>
      </c>
      <c r="G82" s="775" t="s">
        <v>823</v>
      </c>
      <c r="H82" s="506">
        <v>1000</v>
      </c>
      <c r="I82" s="1276"/>
      <c r="J82" s="310"/>
      <c r="L82" s="458">
        <v>0</v>
      </c>
      <c r="M82" s="459">
        <v>0</v>
      </c>
      <c r="O82" s="687">
        <v>480</v>
      </c>
      <c r="P82" s="383">
        <v>480</v>
      </c>
      <c r="Q82" s="338">
        <v>0</v>
      </c>
      <c r="R82" s="687"/>
      <c r="T82" s="460">
        <v>0</v>
      </c>
      <c r="U82" s="460">
        <v>0</v>
      </c>
      <c r="W82" s="460">
        <v>0</v>
      </c>
      <c r="X82" s="460">
        <v>480</v>
      </c>
      <c r="Z82" s="309">
        <v>0</v>
      </c>
      <c r="AA82" s="309">
        <v>0</v>
      </c>
      <c r="AB82" s="389">
        <v>1000</v>
      </c>
      <c r="AD82" s="299" t="s">
        <v>1470</v>
      </c>
      <c r="AE82" s="386">
        <v>96</v>
      </c>
      <c r="AF82" s="389">
        <v>25000</v>
      </c>
      <c r="AG82" s="127">
        <v>25</v>
      </c>
      <c r="AH82" s="350"/>
      <c r="AI82" s="599" t="s">
        <v>1732</v>
      </c>
      <c r="AJ82" s="127" t="s">
        <v>1666</v>
      </c>
      <c r="AK82" s="299">
        <v>5</v>
      </c>
      <c r="AL82" s="1276"/>
      <c r="AM82" s="1276"/>
    </row>
    <row r="83" spans="1:39" ht="18" customHeight="1" x14ac:dyDescent="0.35">
      <c r="C83" s="419">
        <v>2315700</v>
      </c>
      <c r="D83" s="439">
        <v>846</v>
      </c>
      <c r="E83" s="260" t="s">
        <v>1029</v>
      </c>
      <c r="F83" s="322" t="s">
        <v>1041</v>
      </c>
      <c r="G83" s="775" t="s">
        <v>1141</v>
      </c>
      <c r="H83" s="506">
        <v>1000</v>
      </c>
      <c r="I83" s="1276"/>
      <c r="J83" s="310"/>
      <c r="L83" s="458">
        <v>0.53030303030303028</v>
      </c>
      <c r="M83" s="459">
        <v>0.53030303030303028</v>
      </c>
      <c r="O83" s="687">
        <v>620</v>
      </c>
      <c r="P83" s="383">
        <v>1320</v>
      </c>
      <c r="Q83" s="338">
        <v>700</v>
      </c>
      <c r="R83" s="687"/>
      <c r="T83" s="460">
        <v>0</v>
      </c>
      <c r="U83" s="460">
        <v>700</v>
      </c>
      <c r="W83" s="460">
        <v>0</v>
      </c>
      <c r="X83" s="460">
        <v>1320</v>
      </c>
      <c r="Z83" s="309">
        <v>0</v>
      </c>
      <c r="AA83" s="309">
        <v>700</v>
      </c>
      <c r="AB83" s="389">
        <v>1000</v>
      </c>
      <c r="AD83" s="299" t="s">
        <v>1470</v>
      </c>
      <c r="AE83" s="386">
        <v>264</v>
      </c>
      <c r="AF83" s="389">
        <v>25000</v>
      </c>
      <c r="AG83" s="127">
        <v>25</v>
      </c>
      <c r="AH83" s="350"/>
      <c r="AI83" s="599" t="s">
        <v>1732</v>
      </c>
      <c r="AJ83" s="127" t="s">
        <v>1666</v>
      </c>
      <c r="AK83" s="299">
        <v>5</v>
      </c>
      <c r="AL83" s="1276"/>
      <c r="AM83" s="1276"/>
    </row>
    <row r="84" spans="1:39" ht="18" customHeight="1" x14ac:dyDescent="0.35">
      <c r="C84" s="419">
        <v>2315700</v>
      </c>
      <c r="D84" s="439">
        <v>847</v>
      </c>
      <c r="E84" s="260" t="s">
        <v>1029</v>
      </c>
      <c r="F84" s="322" t="s">
        <v>1041</v>
      </c>
      <c r="G84" s="775" t="s">
        <v>1142</v>
      </c>
      <c r="H84" s="506">
        <v>8000</v>
      </c>
      <c r="I84" s="1276"/>
      <c r="J84" s="310"/>
      <c r="L84" s="458">
        <v>0</v>
      </c>
      <c r="M84" s="459">
        <v>0</v>
      </c>
      <c r="O84" s="687">
        <v>6240</v>
      </c>
      <c r="P84" s="383">
        <v>6240</v>
      </c>
      <c r="Q84" s="338">
        <v>0</v>
      </c>
      <c r="R84" s="687"/>
      <c r="T84" s="460">
        <v>0</v>
      </c>
      <c r="U84" s="460">
        <v>0</v>
      </c>
      <c r="W84" s="460">
        <v>0</v>
      </c>
      <c r="X84" s="460">
        <v>6240</v>
      </c>
      <c r="Z84" s="309">
        <v>0</v>
      </c>
      <c r="AA84" s="309">
        <v>0</v>
      </c>
      <c r="AB84" s="389">
        <v>1000</v>
      </c>
      <c r="AD84" s="299" t="s">
        <v>1470</v>
      </c>
      <c r="AE84" s="386">
        <v>1248</v>
      </c>
      <c r="AF84" s="389">
        <v>25000</v>
      </c>
      <c r="AG84" s="127">
        <v>25</v>
      </c>
      <c r="AH84" s="350"/>
      <c r="AI84" s="599" t="s">
        <v>1732</v>
      </c>
      <c r="AJ84" s="127" t="s">
        <v>1666</v>
      </c>
      <c r="AK84" s="299">
        <v>5</v>
      </c>
      <c r="AL84" s="1276"/>
      <c r="AM84" s="1276"/>
    </row>
    <row r="85" spans="1:39" ht="18" customHeight="1" x14ac:dyDescent="0.35">
      <c r="C85" s="419">
        <v>2315700</v>
      </c>
      <c r="D85" s="439">
        <v>609</v>
      </c>
      <c r="E85" s="260" t="s">
        <v>1029</v>
      </c>
      <c r="F85" s="322" t="s">
        <v>1041</v>
      </c>
      <c r="G85" s="775" t="s">
        <v>1094</v>
      </c>
      <c r="H85" s="506">
        <v>3000</v>
      </c>
      <c r="I85" s="1276"/>
      <c r="J85" s="310"/>
      <c r="L85" s="458">
        <v>0</v>
      </c>
      <c r="M85" s="459">
        <v>0</v>
      </c>
      <c r="O85" s="687">
        <v>2400</v>
      </c>
      <c r="P85" s="383">
        <v>2400</v>
      </c>
      <c r="Q85" s="338">
        <v>0</v>
      </c>
      <c r="R85" s="687"/>
      <c r="T85" s="460">
        <v>0</v>
      </c>
      <c r="U85" s="460">
        <v>0</v>
      </c>
      <c r="W85" s="460">
        <v>0</v>
      </c>
      <c r="X85" s="460">
        <v>2400</v>
      </c>
      <c r="Z85" s="309">
        <v>0</v>
      </c>
      <c r="AA85" s="309">
        <v>0</v>
      </c>
      <c r="AB85" s="389">
        <v>1000</v>
      </c>
      <c r="AD85" s="299" t="s">
        <v>1470</v>
      </c>
      <c r="AE85" s="386">
        <v>480</v>
      </c>
      <c r="AF85" s="389">
        <v>25000</v>
      </c>
      <c r="AG85" s="127">
        <v>25</v>
      </c>
      <c r="AH85" s="350"/>
      <c r="AI85" s="599" t="s">
        <v>1732</v>
      </c>
      <c r="AJ85" s="127" t="s">
        <v>1666</v>
      </c>
      <c r="AK85" s="299">
        <v>5</v>
      </c>
      <c r="AL85" s="1276"/>
      <c r="AM85" s="1276"/>
    </row>
    <row r="86" spans="1:39" ht="18" customHeight="1" thickBot="1" x14ac:dyDescent="0.4">
      <c r="C86" s="500">
        <v>2315700</v>
      </c>
      <c r="D86" s="449">
        <v>789</v>
      </c>
      <c r="E86" s="262" t="s">
        <v>1029</v>
      </c>
      <c r="F86" s="324" t="s">
        <v>1041</v>
      </c>
      <c r="G86" s="776" t="s">
        <v>1127</v>
      </c>
      <c r="H86" s="633">
        <v>4000</v>
      </c>
      <c r="I86" s="1277"/>
      <c r="J86" s="310"/>
      <c r="L86" s="458">
        <v>0</v>
      </c>
      <c r="M86" s="459">
        <v>0</v>
      </c>
      <c r="O86" s="687">
        <v>3000</v>
      </c>
      <c r="P86" s="383">
        <v>3000</v>
      </c>
      <c r="Q86" s="338">
        <v>0</v>
      </c>
      <c r="R86" s="687"/>
      <c r="T86" s="460">
        <v>0</v>
      </c>
      <c r="U86" s="460">
        <v>0</v>
      </c>
      <c r="W86" s="460">
        <v>0</v>
      </c>
      <c r="X86" s="460">
        <v>3000</v>
      </c>
      <c r="Z86" s="309">
        <v>0</v>
      </c>
      <c r="AA86" s="309">
        <v>0</v>
      </c>
      <c r="AB86" s="389">
        <v>1000</v>
      </c>
      <c r="AD86" s="299" t="s">
        <v>1470</v>
      </c>
      <c r="AE86" s="386">
        <v>600</v>
      </c>
      <c r="AF86" s="389">
        <v>25000</v>
      </c>
      <c r="AG86" s="127">
        <v>25</v>
      </c>
      <c r="AH86" s="350"/>
      <c r="AI86" s="599" t="s">
        <v>1732</v>
      </c>
      <c r="AJ86" s="127" t="s">
        <v>1666</v>
      </c>
      <c r="AK86" s="299">
        <v>5</v>
      </c>
      <c r="AL86" s="1277"/>
      <c r="AM86" s="1277"/>
    </row>
    <row r="87" spans="1:39" ht="18" customHeight="1" thickBot="1" x14ac:dyDescent="0.4">
      <c r="C87" s="348"/>
      <c r="D87" s="294"/>
      <c r="E87" s="127"/>
      <c r="F87" s="299"/>
      <c r="G87" s="928"/>
      <c r="H87" s="631"/>
      <c r="I87" s="127"/>
      <c r="J87" s="310"/>
      <c r="L87" s="458"/>
      <c r="M87" s="459"/>
      <c r="O87" s="687"/>
      <c r="P87" s="383"/>
      <c r="Q87" s="338"/>
      <c r="R87" s="687"/>
      <c r="T87" s="460"/>
      <c r="U87" s="460"/>
      <c r="W87" s="460"/>
      <c r="X87" s="460"/>
      <c r="Z87" s="309"/>
      <c r="AA87" s="309"/>
      <c r="AB87" s="389"/>
      <c r="AD87" s="299"/>
      <c r="AE87" s="386"/>
      <c r="AF87" s="389"/>
      <c r="AG87" s="127"/>
      <c r="AH87" s="350"/>
      <c r="AI87" s="599"/>
      <c r="AJ87" s="127"/>
      <c r="AK87" s="299"/>
    </row>
    <row r="88" spans="1:39" s="385" customFormat="1" ht="30" customHeight="1" thickBot="1" x14ac:dyDescent="0.35">
      <c r="A88" s="1064"/>
      <c r="C88" s="1272" t="s">
        <v>1798</v>
      </c>
      <c r="D88" s="1273"/>
      <c r="E88" s="1273"/>
      <c r="F88" s="1273"/>
      <c r="G88" s="1273"/>
      <c r="H88" s="1273"/>
      <c r="I88" s="1274"/>
      <c r="J88" s="339"/>
      <c r="L88" s="845"/>
      <c r="M88" s="846"/>
      <c r="N88" s="516"/>
      <c r="O88" s="784"/>
      <c r="P88" s="727"/>
      <c r="Q88" s="727"/>
      <c r="R88" s="784"/>
      <c r="S88" s="516"/>
      <c r="T88" s="784"/>
      <c r="U88" s="784"/>
      <c r="V88" s="516"/>
      <c r="W88" s="784"/>
      <c r="X88" s="784"/>
      <c r="Y88"/>
      <c r="Z88" s="784"/>
      <c r="AA88" s="784"/>
      <c r="AB88" s="727"/>
      <c r="AC88"/>
      <c r="AD88" s="784"/>
      <c r="AE88" s="784"/>
      <c r="AF88" s="727"/>
      <c r="AG88" s="784"/>
      <c r="AH88" s="784"/>
      <c r="AI88" s="784"/>
      <c r="AJ88" s="784"/>
      <c r="AK88" s="784"/>
      <c r="AL88" s="1491" t="s">
        <v>1585</v>
      </c>
      <c r="AM88" s="1491" t="s">
        <v>1585</v>
      </c>
    </row>
    <row r="89" spans="1:39" ht="18" customHeight="1" x14ac:dyDescent="0.35">
      <c r="C89" s="761">
        <v>2320700</v>
      </c>
      <c r="D89" s="762">
        <v>730</v>
      </c>
      <c r="E89" s="627" t="s">
        <v>1258</v>
      </c>
      <c r="F89" s="617" t="s">
        <v>1041</v>
      </c>
      <c r="G89" s="618" t="s">
        <v>1223</v>
      </c>
      <c r="H89" s="619">
        <v>3000</v>
      </c>
      <c r="I89" s="1275">
        <v>2</v>
      </c>
      <c r="J89" s="310"/>
      <c r="L89" s="458">
        <v>0.3125</v>
      </c>
      <c r="M89" s="459">
        <v>0.3125</v>
      </c>
      <c r="O89" s="687">
        <v>1650</v>
      </c>
      <c r="P89" s="383">
        <v>2400</v>
      </c>
      <c r="Q89" s="338">
        <v>750</v>
      </c>
      <c r="R89" s="687"/>
      <c r="T89" s="460">
        <v>0</v>
      </c>
      <c r="U89" s="460">
        <v>750</v>
      </c>
      <c r="W89" s="460">
        <v>0</v>
      </c>
      <c r="X89" s="460">
        <v>2400</v>
      </c>
      <c r="Z89" s="309">
        <v>0</v>
      </c>
      <c r="AA89" s="309">
        <v>750</v>
      </c>
      <c r="AB89" s="389">
        <v>1000</v>
      </c>
      <c r="AD89" s="299" t="s">
        <v>1470</v>
      </c>
      <c r="AE89" s="386">
        <v>600</v>
      </c>
      <c r="AF89" s="389">
        <v>12000</v>
      </c>
      <c r="AG89" s="127">
        <v>8</v>
      </c>
      <c r="AH89" s="350">
        <v>86.485752000000005</v>
      </c>
      <c r="AI89" s="599" t="s">
        <v>1829</v>
      </c>
      <c r="AJ89" s="127" t="s">
        <v>1662</v>
      </c>
      <c r="AK89" s="299">
        <v>4</v>
      </c>
      <c r="AL89" s="1275"/>
      <c r="AM89" s="1275"/>
    </row>
    <row r="90" spans="1:39" ht="18" customHeight="1" x14ac:dyDescent="0.35">
      <c r="C90" s="419">
        <v>2319700</v>
      </c>
      <c r="D90" s="439">
        <v>723</v>
      </c>
      <c r="E90" s="260" t="s">
        <v>902</v>
      </c>
      <c r="F90" s="322" t="s">
        <v>1041</v>
      </c>
      <c r="G90" s="329" t="s">
        <v>1184</v>
      </c>
      <c r="H90" s="506">
        <v>2000</v>
      </c>
      <c r="I90" s="1276"/>
      <c r="J90" s="310"/>
      <c r="L90" s="458">
        <v>0</v>
      </c>
      <c r="M90" s="459">
        <v>0</v>
      </c>
      <c r="O90" s="687">
        <v>1488</v>
      </c>
      <c r="P90" s="383">
        <v>1488</v>
      </c>
      <c r="Q90" s="338">
        <v>0</v>
      </c>
      <c r="R90" s="687"/>
      <c r="T90" s="460">
        <v>0</v>
      </c>
      <c r="U90" s="460">
        <v>0</v>
      </c>
      <c r="W90" s="460">
        <v>0</v>
      </c>
      <c r="X90" s="460">
        <v>1488</v>
      </c>
      <c r="Z90" s="309">
        <v>0</v>
      </c>
      <c r="AA90" s="309">
        <v>0</v>
      </c>
      <c r="AB90" s="389">
        <v>1000</v>
      </c>
      <c r="AD90" s="299" t="s">
        <v>1470</v>
      </c>
      <c r="AE90" s="386">
        <v>372</v>
      </c>
      <c r="AF90" s="389">
        <v>12000</v>
      </c>
      <c r="AG90" s="127">
        <v>6</v>
      </c>
      <c r="AH90" s="350">
        <v>115.9353</v>
      </c>
      <c r="AI90" s="599" t="s">
        <v>1829</v>
      </c>
      <c r="AJ90" s="127" t="s">
        <v>1662</v>
      </c>
      <c r="AK90" s="299">
        <v>4</v>
      </c>
      <c r="AL90" s="1276"/>
      <c r="AM90" s="1276"/>
    </row>
    <row r="91" spans="1:39" ht="18" customHeight="1" x14ac:dyDescent="0.35">
      <c r="C91" s="419">
        <v>2320700</v>
      </c>
      <c r="D91" s="439">
        <v>731</v>
      </c>
      <c r="E91" s="260" t="s">
        <v>1259</v>
      </c>
      <c r="F91" s="322" t="s">
        <v>1041</v>
      </c>
      <c r="G91" s="329" t="s">
        <v>1199</v>
      </c>
      <c r="H91" s="506">
        <v>2000</v>
      </c>
      <c r="I91" s="1276"/>
      <c r="J91" s="310"/>
      <c r="L91" s="458">
        <v>0</v>
      </c>
      <c r="M91" s="459">
        <v>0</v>
      </c>
      <c r="O91" s="687">
        <v>1056</v>
      </c>
      <c r="P91" s="383">
        <v>1056</v>
      </c>
      <c r="Q91" s="338">
        <v>0</v>
      </c>
      <c r="R91" s="687"/>
      <c r="T91" s="460">
        <v>0</v>
      </c>
      <c r="U91" s="460">
        <v>0</v>
      </c>
      <c r="W91" s="460">
        <v>0</v>
      </c>
      <c r="X91" s="460">
        <v>1056</v>
      </c>
      <c r="Z91" s="309">
        <v>0</v>
      </c>
      <c r="AA91" s="309">
        <v>0</v>
      </c>
      <c r="AB91" s="389">
        <v>1000</v>
      </c>
      <c r="AD91" s="299" t="s">
        <v>1470</v>
      </c>
      <c r="AE91" s="386">
        <v>264</v>
      </c>
      <c r="AF91" s="389">
        <v>12000</v>
      </c>
      <c r="AG91" s="127">
        <v>8</v>
      </c>
      <c r="AH91" s="350">
        <v>86.485752000000005</v>
      </c>
      <c r="AI91" s="599" t="s">
        <v>1829</v>
      </c>
      <c r="AJ91" s="127" t="s">
        <v>1662</v>
      </c>
      <c r="AK91" s="299">
        <v>4</v>
      </c>
      <c r="AL91" s="1276"/>
      <c r="AM91" s="1276"/>
    </row>
    <row r="92" spans="1:39" ht="18" customHeight="1" x14ac:dyDescent="0.35">
      <c r="C92" s="419">
        <v>2315700</v>
      </c>
      <c r="D92" s="439">
        <v>725</v>
      </c>
      <c r="E92" s="260" t="s">
        <v>888</v>
      </c>
      <c r="F92" s="322" t="s">
        <v>1041</v>
      </c>
      <c r="G92" s="329" t="s">
        <v>805</v>
      </c>
      <c r="H92" s="506">
        <v>1000</v>
      </c>
      <c r="I92" s="1276"/>
      <c r="J92" s="310"/>
      <c r="L92" s="458">
        <v>0.52083333333333337</v>
      </c>
      <c r="M92" s="459">
        <v>0.52083333333333337</v>
      </c>
      <c r="O92" s="687">
        <v>920</v>
      </c>
      <c r="P92" s="383">
        <v>1920</v>
      </c>
      <c r="Q92" s="338">
        <v>1000</v>
      </c>
      <c r="R92" s="687"/>
      <c r="T92" s="460">
        <v>0</v>
      </c>
      <c r="U92" s="460">
        <v>1000</v>
      </c>
      <c r="W92" s="460">
        <v>0</v>
      </c>
      <c r="X92" s="460">
        <v>1920</v>
      </c>
      <c r="Z92" s="309">
        <v>1</v>
      </c>
      <c r="AA92" s="309">
        <v>0</v>
      </c>
      <c r="AB92" s="389">
        <v>1000</v>
      </c>
      <c r="AD92" s="299" t="s">
        <v>1470</v>
      </c>
      <c r="AE92" s="386">
        <v>480</v>
      </c>
      <c r="AF92" s="389">
        <v>12000</v>
      </c>
      <c r="AG92" s="127">
        <v>8</v>
      </c>
      <c r="AH92" s="350">
        <v>68.570279999999997</v>
      </c>
      <c r="AI92" s="599" t="s">
        <v>1829</v>
      </c>
      <c r="AJ92" s="127" t="s">
        <v>1662</v>
      </c>
      <c r="AK92" s="299">
        <v>4</v>
      </c>
      <c r="AL92" s="1276"/>
      <c r="AM92" s="1276"/>
    </row>
    <row r="93" spans="1:39" ht="18" customHeight="1" thickBot="1" x14ac:dyDescent="0.4">
      <c r="C93" s="500">
        <v>2319700</v>
      </c>
      <c r="D93" s="449">
        <v>809</v>
      </c>
      <c r="E93" s="262" t="s">
        <v>908</v>
      </c>
      <c r="F93" s="324" t="s">
        <v>1041</v>
      </c>
      <c r="G93" s="357" t="s">
        <v>1757</v>
      </c>
      <c r="H93" s="633">
        <v>8000</v>
      </c>
      <c r="I93" s="1277"/>
      <c r="J93" s="310"/>
      <c r="L93" s="458">
        <v>0</v>
      </c>
      <c r="M93" s="459">
        <v>0</v>
      </c>
      <c r="O93" s="687">
        <v>5184</v>
      </c>
      <c r="P93" s="383">
        <v>5184</v>
      </c>
      <c r="Q93" s="338">
        <v>0</v>
      </c>
      <c r="R93" s="687"/>
      <c r="T93" s="460">
        <v>0</v>
      </c>
      <c r="U93" s="460">
        <v>0</v>
      </c>
      <c r="W93" s="460">
        <v>0</v>
      </c>
      <c r="X93" s="460">
        <v>5184</v>
      </c>
      <c r="Z93" s="309">
        <v>0</v>
      </c>
      <c r="AA93" s="309">
        <v>0</v>
      </c>
      <c r="AB93" s="389">
        <v>1000</v>
      </c>
      <c r="AD93" s="299" t="s">
        <v>1470</v>
      </c>
      <c r="AE93" s="386">
        <v>1296</v>
      </c>
      <c r="AF93" s="389">
        <v>12000</v>
      </c>
      <c r="AG93" s="127">
        <v>6</v>
      </c>
      <c r="AH93" s="350">
        <v>115.9353</v>
      </c>
      <c r="AI93" s="599" t="s">
        <v>1829</v>
      </c>
      <c r="AJ93" s="127" t="s">
        <v>1662</v>
      </c>
      <c r="AK93" s="299">
        <v>4</v>
      </c>
      <c r="AL93" s="1277"/>
      <c r="AM93" s="1277"/>
    </row>
    <row r="94" spans="1:39" s="385" customFormat="1" ht="18" x14ac:dyDescent="0.3">
      <c r="A94" s="1064"/>
      <c r="B94" s="1066"/>
      <c r="C94" s="1066"/>
      <c r="D94" s="1066"/>
      <c r="E94" s="1066"/>
      <c r="F94" s="1066"/>
      <c r="G94" s="1066"/>
      <c r="H94" s="1066"/>
      <c r="I94" s="1066"/>
      <c r="J94" s="1066"/>
      <c r="K94" s="1066"/>
      <c r="L94" s="1066"/>
      <c r="M94" s="1066"/>
      <c r="N94" s="1066"/>
      <c r="O94" s="1066"/>
      <c r="P94" s="1066"/>
      <c r="Q94" s="1066"/>
      <c r="R94" s="1066"/>
      <c r="S94" s="1066"/>
      <c r="T94" s="1066"/>
      <c r="U94" s="1066"/>
      <c r="V94" s="1066"/>
      <c r="W94" s="1066"/>
      <c r="X94" s="1066"/>
      <c r="Y94" s="1066"/>
      <c r="Z94" s="1066"/>
      <c r="AA94" s="1066"/>
      <c r="AB94" s="1066"/>
      <c r="AC94" s="1066"/>
      <c r="AD94" s="1066"/>
      <c r="AE94" s="1066"/>
      <c r="AF94" s="1066"/>
      <c r="AG94" s="1066"/>
      <c r="AH94" s="1066"/>
      <c r="AI94" s="1066"/>
      <c r="AJ94" s="1066"/>
      <c r="AK94" s="1066"/>
    </row>
    <row r="95" spans="1:39" s="208" customFormat="1" ht="18" x14ac:dyDescent="0.3">
      <c r="A95" s="1059"/>
      <c r="B95" s="1066"/>
      <c r="C95" s="1066"/>
      <c r="D95" s="1066"/>
      <c r="E95" s="1066"/>
      <c r="F95" s="1066"/>
      <c r="G95" s="1066"/>
      <c r="H95" s="1066"/>
      <c r="I95" s="1066"/>
      <c r="J95" s="1066"/>
      <c r="K95" s="1066"/>
      <c r="L95" s="1066"/>
      <c r="M95" s="1066"/>
      <c r="N95" s="1066"/>
      <c r="O95" s="1066"/>
      <c r="P95" s="1066"/>
      <c r="Q95" s="1066"/>
      <c r="R95" s="1066"/>
      <c r="S95" s="1066"/>
      <c r="T95" s="1066"/>
      <c r="U95" s="1066"/>
      <c r="V95" s="1066"/>
      <c r="W95" s="1066"/>
      <c r="X95" s="1066"/>
      <c r="Y95" s="1066"/>
      <c r="Z95" s="1066"/>
      <c r="AA95" s="1066"/>
      <c r="AB95" s="1066"/>
      <c r="AC95" s="1066"/>
      <c r="AD95" s="1066"/>
      <c r="AE95" s="1066"/>
      <c r="AF95" s="1066"/>
      <c r="AG95" s="1066"/>
      <c r="AH95" s="1066"/>
      <c r="AI95" s="1066"/>
      <c r="AJ95" s="1066"/>
      <c r="AK95" s="1066"/>
      <c r="AL95"/>
    </row>
  </sheetData>
  <sortState xmlns:xlrd2="http://schemas.microsoft.com/office/spreadsheetml/2017/richdata2" ref="B76:J79">
    <sortCondition ref="J76:J79"/>
  </sortState>
  <mergeCells count="39">
    <mergeCell ref="AL77:AL86"/>
    <mergeCell ref="AM77:AM86"/>
    <mergeCell ref="AL89:AL93"/>
    <mergeCell ref="AM89:AM93"/>
    <mergeCell ref="AL43:AL45"/>
    <mergeCell ref="AM43:AM45"/>
    <mergeCell ref="AL48:AL49"/>
    <mergeCell ref="AM48:AM49"/>
    <mergeCell ref="AL55:AL60"/>
    <mergeCell ref="AM55:AM60"/>
    <mergeCell ref="AM25:AM31"/>
    <mergeCell ref="AL34:AL38"/>
    <mergeCell ref="AM34:AM38"/>
    <mergeCell ref="C47:I47"/>
    <mergeCell ref="C33:I33"/>
    <mergeCell ref="C51:I51"/>
    <mergeCell ref="I6:AL7"/>
    <mergeCell ref="D3:AL5"/>
    <mergeCell ref="D6:H7"/>
    <mergeCell ref="A9:AM9"/>
    <mergeCell ref="C24:I24"/>
    <mergeCell ref="I14:I22"/>
    <mergeCell ref="AL14:AL22"/>
    <mergeCell ref="AM14:AM22"/>
    <mergeCell ref="AL25:AL31"/>
    <mergeCell ref="D74:G74"/>
    <mergeCell ref="D11:J11"/>
    <mergeCell ref="C88:I88"/>
    <mergeCell ref="I77:I86"/>
    <mergeCell ref="C13:I13"/>
    <mergeCell ref="C54:I54"/>
    <mergeCell ref="I89:I93"/>
    <mergeCell ref="I55:I60"/>
    <mergeCell ref="I25:I31"/>
    <mergeCell ref="I34:I38"/>
    <mergeCell ref="I48:I49"/>
    <mergeCell ref="I43:I45"/>
    <mergeCell ref="C76:I76"/>
    <mergeCell ref="C41:I41"/>
  </mergeCells>
  <pageMargins left="0.7" right="0.7" top="0.75" bottom="0.75" header="0.3" footer="0.3"/>
  <pageSetup scale="92" fitToHeight="0" orientation="portrait" r:id="rId1"/>
  <rowBreaks count="3" manualBreakCount="3">
    <brk id="39" max="38" man="1"/>
    <brk id="71" max="38" man="1"/>
    <brk id="96" max="38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  <pageSetUpPr fitToPage="1"/>
  </sheetPr>
  <dimension ref="A1:K277"/>
  <sheetViews>
    <sheetView topLeftCell="A201" zoomScaleNormal="100" workbookViewId="0">
      <selection activeCell="J15" sqref="J15"/>
    </sheetView>
  </sheetViews>
  <sheetFormatPr baseColWidth="10" defaultRowHeight="15.6" x14ac:dyDescent="0.3"/>
  <cols>
    <col min="1" max="1" width="7.109375" style="208" customWidth="1"/>
    <col min="2" max="2" width="6.44140625" style="292" customWidth="1"/>
    <col min="3" max="3" width="37.6640625" style="1" customWidth="1"/>
    <col min="4" max="4" width="9.6640625" style="209" customWidth="1"/>
    <col min="5" max="5" width="9.6640625" style="209" hidden="1" customWidth="1"/>
    <col min="6" max="6" width="10.6640625" style="1" customWidth="1"/>
    <col min="7" max="7" width="11.33203125" style="1" customWidth="1"/>
    <col min="8" max="8" width="10" style="379" customWidth="1"/>
    <col min="9" max="9" width="0.88671875" customWidth="1"/>
    <col min="10" max="10" width="10.5546875" customWidth="1"/>
    <col min="11" max="11" width="11.33203125" customWidth="1"/>
  </cols>
  <sheetData>
    <row r="1" spans="1:11" ht="41.25" customHeight="1" thickBot="1" x14ac:dyDescent="0.35">
      <c r="A1" s="1293" t="s">
        <v>1826</v>
      </c>
      <c r="B1" s="1294"/>
      <c r="C1" s="1294"/>
      <c r="D1" s="1294"/>
      <c r="E1" s="1294"/>
      <c r="F1" s="1294"/>
      <c r="G1" s="706"/>
      <c r="H1" s="548"/>
    </row>
    <row r="2" spans="1:11" ht="10.35" customHeight="1" thickBot="1" x14ac:dyDescent="0.35">
      <c r="A2" s="292"/>
      <c r="D2"/>
      <c r="E2"/>
      <c r="F2" s="292"/>
      <c r="G2" s="292"/>
      <c r="H2" s="292"/>
    </row>
    <row r="3" spans="1:11" s="31" customFormat="1" ht="23.7" customHeight="1" thickBot="1" x14ac:dyDescent="0.35">
      <c r="B3" s="461"/>
      <c r="C3" s="463" t="s">
        <v>1389</v>
      </c>
      <c r="D3" s="1297">
        <f ca="1">+TODAY()</f>
        <v>46052</v>
      </c>
      <c r="E3" s="1298"/>
      <c r="F3" s="1299"/>
      <c r="G3" s="475"/>
      <c r="H3" s="425"/>
      <c r="J3" s="426"/>
      <c r="K3" s="427"/>
    </row>
    <row r="4" spans="1:11" ht="10.35" customHeight="1" thickBot="1" x14ac:dyDescent="0.35">
      <c r="A4" s="292"/>
      <c r="D4"/>
      <c r="E4"/>
      <c r="F4"/>
      <c r="G4" s="292"/>
      <c r="H4" s="292"/>
    </row>
    <row r="5" spans="1:11" s="31" customFormat="1" ht="23.7" customHeight="1" thickBot="1" x14ac:dyDescent="0.35">
      <c r="A5"/>
      <c r="B5"/>
      <c r="C5" s="462" t="s">
        <v>1469</v>
      </c>
      <c r="D5" s="1096"/>
      <c r="E5" s="1300"/>
      <c r="F5" s="1097"/>
      <c r="G5" s="292"/>
      <c r="H5" s="425"/>
      <c r="J5" s="426"/>
      <c r="K5" s="427"/>
    </row>
    <row r="6" spans="1:11" ht="10.35" customHeight="1" thickBot="1" x14ac:dyDescent="0.35">
      <c r="A6" s="292"/>
      <c r="D6"/>
      <c r="E6"/>
      <c r="F6"/>
      <c r="G6" s="292"/>
      <c r="H6" s="292"/>
    </row>
    <row r="7" spans="1:11" s="385" customFormat="1" ht="56.1" customHeight="1" thickBot="1" x14ac:dyDescent="0.35">
      <c r="A7" s="312" t="s">
        <v>748</v>
      </c>
      <c r="B7" s="312" t="s">
        <v>1018</v>
      </c>
      <c r="C7" s="312" t="s">
        <v>749</v>
      </c>
      <c r="D7" s="452" t="s">
        <v>1198</v>
      </c>
      <c r="E7" s="313" t="s">
        <v>1647</v>
      </c>
      <c r="F7" s="313" t="s">
        <v>1197</v>
      </c>
      <c r="G7" s="321" t="s">
        <v>1460</v>
      </c>
      <c r="H7" s="314" t="s">
        <v>857</v>
      </c>
      <c r="I7" s="209"/>
      <c r="J7" s="291" t="s">
        <v>1623</v>
      </c>
    </row>
    <row r="8" spans="1:11" ht="18" customHeight="1" x14ac:dyDescent="0.3">
      <c r="A8" s="302">
        <v>248</v>
      </c>
      <c r="B8" s="260" t="s">
        <v>746</v>
      </c>
      <c r="C8" s="260" t="s">
        <v>1320</v>
      </c>
      <c r="D8" s="439" t="s">
        <v>939</v>
      </c>
      <c r="E8" s="555" t="e">
        <f>+VLOOKUP(A8,#REF!,10,0)/H8</f>
        <v>#REF!</v>
      </c>
      <c r="F8" s="305">
        <v>1</v>
      </c>
      <c r="G8" s="305">
        <v>1248</v>
      </c>
      <c r="H8" s="543">
        <v>2500</v>
      </c>
      <c r="I8" s="1"/>
      <c r="J8" s="128">
        <f>+(F8*H8)+G8</f>
        <v>3748</v>
      </c>
    </row>
    <row r="9" spans="1:11" ht="16.2" customHeight="1" x14ac:dyDescent="0.35">
      <c r="A9" s="302">
        <v>500</v>
      </c>
      <c r="B9" s="322" t="s">
        <v>746</v>
      </c>
      <c r="C9" s="260" t="s">
        <v>1412</v>
      </c>
      <c r="D9" s="439" t="s">
        <v>839</v>
      </c>
      <c r="E9" s="555" t="e">
        <f>+VLOOKUP(A9,#REF!,10,0)</f>
        <v>#REF!</v>
      </c>
      <c r="F9" s="305"/>
      <c r="G9" s="305"/>
      <c r="H9" s="517">
        <f>100*12</f>
        <v>1200</v>
      </c>
      <c r="J9" s="473">
        <f t="shared" ref="J9:J72" si="0">+(F9*H9)+G9</f>
        <v>0</v>
      </c>
    </row>
    <row r="10" spans="1:11" ht="18" customHeight="1" x14ac:dyDescent="0.3">
      <c r="A10" s="302">
        <v>505</v>
      </c>
      <c r="B10" s="260" t="s">
        <v>746</v>
      </c>
      <c r="C10" s="260" t="s">
        <v>1186</v>
      </c>
      <c r="D10" s="439" t="s">
        <v>460</v>
      </c>
      <c r="E10" s="555" t="e">
        <f>+VLOOKUP(A10,#REF!,10,0)/H10</f>
        <v>#REF!</v>
      </c>
      <c r="F10" s="305">
        <v>35</v>
      </c>
      <c r="G10" s="305">
        <v>285</v>
      </c>
      <c r="H10" s="543">
        <v>1000</v>
      </c>
      <c r="I10" s="1"/>
      <c r="J10" s="128">
        <f t="shared" si="0"/>
        <v>35285</v>
      </c>
    </row>
    <row r="11" spans="1:11" ht="18" customHeight="1" x14ac:dyDescent="0.3">
      <c r="A11" s="302">
        <v>586</v>
      </c>
      <c r="B11" s="260" t="s">
        <v>746</v>
      </c>
      <c r="C11" s="260" t="s">
        <v>1509</v>
      </c>
      <c r="D11" s="439" t="s">
        <v>484</v>
      </c>
      <c r="E11" s="555" t="e">
        <f>+VLOOKUP(A11,#REF!,10,0)/H11</f>
        <v>#REF!</v>
      </c>
      <c r="F11" s="305">
        <v>36</v>
      </c>
      <c r="G11" s="305">
        <v>950</v>
      </c>
      <c r="H11" s="543">
        <v>1000</v>
      </c>
      <c r="I11" s="1"/>
      <c r="J11" s="128">
        <f t="shared" si="0"/>
        <v>36950</v>
      </c>
    </row>
    <row r="12" spans="1:11" ht="18" customHeight="1" x14ac:dyDescent="0.3">
      <c r="A12" s="302">
        <v>587</v>
      </c>
      <c r="B12" s="260" t="s">
        <v>746</v>
      </c>
      <c r="C12" s="260" t="s">
        <v>1322</v>
      </c>
      <c r="D12" s="439" t="s">
        <v>464</v>
      </c>
      <c r="E12" s="555" t="e">
        <f>+VLOOKUP(A12,#REF!,10,0)/H12</f>
        <v>#REF!</v>
      </c>
      <c r="F12" s="305">
        <v>5</v>
      </c>
      <c r="G12" s="305">
        <v>250</v>
      </c>
      <c r="H12" s="543">
        <v>1000</v>
      </c>
      <c r="I12" s="1"/>
      <c r="J12" s="128">
        <f t="shared" si="0"/>
        <v>5250</v>
      </c>
    </row>
    <row r="13" spans="1:11" ht="18" customHeight="1" x14ac:dyDescent="0.3">
      <c r="A13" s="302">
        <v>513</v>
      </c>
      <c r="B13" s="260" t="s">
        <v>746</v>
      </c>
      <c r="C13" s="260" t="s">
        <v>1183</v>
      </c>
      <c r="D13" s="439" t="s">
        <v>459</v>
      </c>
      <c r="E13" s="555" t="e">
        <f>+VLOOKUP(A13,#REF!,10,0)/H13</f>
        <v>#REF!</v>
      </c>
      <c r="F13" s="305">
        <v>35</v>
      </c>
      <c r="G13" s="305"/>
      <c r="H13" s="543">
        <v>1000</v>
      </c>
      <c r="I13" s="1"/>
      <c r="J13" s="128">
        <f t="shared" si="0"/>
        <v>35000</v>
      </c>
    </row>
    <row r="14" spans="1:11" ht="18" customHeight="1" x14ac:dyDescent="0.3">
      <c r="A14" s="302">
        <v>504</v>
      </c>
      <c r="B14" s="260" t="s">
        <v>746</v>
      </c>
      <c r="C14" s="260" t="s">
        <v>1194</v>
      </c>
      <c r="D14" s="439" t="s">
        <v>466</v>
      </c>
      <c r="E14" s="555" t="e">
        <f>+VLOOKUP(A14,#REF!,10,0)/H14</f>
        <v>#REF!</v>
      </c>
      <c r="F14" s="305">
        <v>13</v>
      </c>
      <c r="G14" s="305">
        <v>1580</v>
      </c>
      <c r="H14" s="543">
        <v>1000</v>
      </c>
      <c r="I14" s="1"/>
      <c r="J14" s="128">
        <f>+(F14*H14)+G14</f>
        <v>14580</v>
      </c>
    </row>
    <row r="15" spans="1:11" ht="18" customHeight="1" x14ac:dyDescent="0.3">
      <c r="A15" s="302">
        <v>546</v>
      </c>
      <c r="B15" s="260" t="s">
        <v>746</v>
      </c>
      <c r="C15" s="260" t="s">
        <v>1340</v>
      </c>
      <c r="D15" s="439" t="s">
        <v>476</v>
      </c>
      <c r="E15" s="555" t="e">
        <f>+VLOOKUP(A15,#REF!,10,0)/H15</f>
        <v>#REF!</v>
      </c>
      <c r="F15" s="305">
        <v>12</v>
      </c>
      <c r="G15" s="305">
        <v>2600</v>
      </c>
      <c r="H15" s="543">
        <v>1000</v>
      </c>
      <c r="I15" s="1"/>
      <c r="J15" s="128">
        <f t="shared" si="0"/>
        <v>14600</v>
      </c>
    </row>
    <row r="16" spans="1:11" ht="18" customHeight="1" x14ac:dyDescent="0.3">
      <c r="A16" s="302">
        <v>66</v>
      </c>
      <c r="B16" s="260" t="s">
        <v>746</v>
      </c>
      <c r="C16" s="260" t="s">
        <v>1265</v>
      </c>
      <c r="D16" s="439" t="s">
        <v>1554</v>
      </c>
      <c r="E16" s="555" t="e">
        <f>+VLOOKUP(A16,#REF!,10,0)/H16</f>
        <v>#REF!</v>
      </c>
      <c r="F16" s="305">
        <v>10</v>
      </c>
      <c r="G16" s="305">
        <v>1390</v>
      </c>
      <c r="H16" s="543">
        <v>1000</v>
      </c>
      <c r="I16" s="1"/>
      <c r="J16" s="128">
        <f t="shared" si="0"/>
        <v>11390</v>
      </c>
    </row>
    <row r="17" spans="1:10" ht="18" customHeight="1" x14ac:dyDescent="0.3">
      <c r="A17" s="302">
        <v>512</v>
      </c>
      <c r="B17" s="260" t="s">
        <v>746</v>
      </c>
      <c r="C17" s="260" t="s">
        <v>1337</v>
      </c>
      <c r="D17" s="439" t="s">
        <v>1553</v>
      </c>
      <c r="E17" s="555" t="e">
        <f>+VLOOKUP(A17,#REF!,10,0)/H17</f>
        <v>#REF!</v>
      </c>
      <c r="F17" s="305">
        <v>5</v>
      </c>
      <c r="G17" s="305">
        <v>1800</v>
      </c>
      <c r="H17" s="543">
        <v>1000</v>
      </c>
      <c r="I17" s="1"/>
      <c r="J17" s="128">
        <f t="shared" si="0"/>
        <v>6800</v>
      </c>
    </row>
    <row r="18" spans="1:10" ht="18" customHeight="1" x14ac:dyDescent="0.3">
      <c r="A18" s="302">
        <v>501</v>
      </c>
      <c r="B18" s="260" t="s">
        <v>746</v>
      </c>
      <c r="C18" s="260" t="s">
        <v>1189</v>
      </c>
      <c r="D18" s="439" t="s">
        <v>470</v>
      </c>
      <c r="E18" s="555" t="e">
        <f>+VLOOKUP(A18,#REF!,10,0)/H18</f>
        <v>#REF!</v>
      </c>
      <c r="F18" s="305">
        <v>5</v>
      </c>
      <c r="G18" s="305">
        <v>750</v>
      </c>
      <c r="H18" s="543">
        <v>1000</v>
      </c>
      <c r="I18" s="1"/>
      <c r="J18" s="128">
        <f t="shared" si="0"/>
        <v>5750</v>
      </c>
    </row>
    <row r="19" spans="1:10" ht="18" customHeight="1" x14ac:dyDescent="0.3">
      <c r="A19" s="302">
        <v>502</v>
      </c>
      <c r="B19" s="260" t="s">
        <v>746</v>
      </c>
      <c r="C19" s="260" t="s">
        <v>1318</v>
      </c>
      <c r="D19" s="439" t="s">
        <v>469</v>
      </c>
      <c r="E19" s="555" t="e">
        <f>+VLOOKUP(A19,#REF!,10,0)/H19</f>
        <v>#REF!</v>
      </c>
      <c r="F19" s="305">
        <v>8</v>
      </c>
      <c r="G19" s="305">
        <v>1957</v>
      </c>
      <c r="H19" s="543">
        <v>1000</v>
      </c>
      <c r="I19" s="1"/>
      <c r="J19" s="128">
        <f t="shared" si="0"/>
        <v>9957</v>
      </c>
    </row>
    <row r="20" spans="1:10" ht="18" customHeight="1" x14ac:dyDescent="0.3">
      <c r="A20" s="302">
        <v>521</v>
      </c>
      <c r="B20" s="260" t="s">
        <v>746</v>
      </c>
      <c r="C20" s="260" t="s">
        <v>803</v>
      </c>
      <c r="D20" s="439" t="s">
        <v>1555</v>
      </c>
      <c r="E20" s="555" t="e">
        <f>+VLOOKUP(A20,#REF!,10,0)/H20</f>
        <v>#REF!</v>
      </c>
      <c r="F20" s="305">
        <v>6</v>
      </c>
      <c r="G20" s="305">
        <v>500</v>
      </c>
      <c r="H20" s="543">
        <v>1000</v>
      </c>
      <c r="I20" s="1"/>
      <c r="J20" s="128">
        <f t="shared" si="0"/>
        <v>6500</v>
      </c>
    </row>
    <row r="21" spans="1:10" ht="18" customHeight="1" x14ac:dyDescent="0.3">
      <c r="A21" s="302">
        <v>525</v>
      </c>
      <c r="B21" s="260" t="s">
        <v>746</v>
      </c>
      <c r="C21" s="260" t="s">
        <v>805</v>
      </c>
      <c r="D21" s="439" t="s">
        <v>1556</v>
      </c>
      <c r="E21" s="555" t="e">
        <f>+VLOOKUP(A21,#REF!,10,0)/H21</f>
        <v>#REF!</v>
      </c>
      <c r="F21" s="305">
        <v>6</v>
      </c>
      <c r="G21" s="305">
        <v>750</v>
      </c>
      <c r="H21" s="543">
        <v>1000</v>
      </c>
      <c r="I21" s="1"/>
      <c r="J21" s="128">
        <f t="shared" si="0"/>
        <v>6750</v>
      </c>
    </row>
    <row r="22" spans="1:10" ht="18" customHeight="1" x14ac:dyDescent="0.3">
      <c r="A22" s="302">
        <v>520</v>
      </c>
      <c r="B22" s="260" t="s">
        <v>746</v>
      </c>
      <c r="C22" s="260" t="s">
        <v>802</v>
      </c>
      <c r="D22" s="439" t="s">
        <v>1424</v>
      </c>
      <c r="E22" s="555" t="e">
        <f>+VLOOKUP(A22,#REF!,10,0)/H22</f>
        <v>#REF!</v>
      </c>
      <c r="F22" s="305">
        <v>0</v>
      </c>
      <c r="G22" s="305">
        <v>323</v>
      </c>
      <c r="H22" s="543">
        <v>1000</v>
      </c>
      <c r="I22" s="1"/>
      <c r="J22" s="128">
        <f t="shared" si="0"/>
        <v>323</v>
      </c>
    </row>
    <row r="23" spans="1:10" ht="18" customHeight="1" x14ac:dyDescent="0.3">
      <c r="A23" s="302">
        <v>581</v>
      </c>
      <c r="B23" s="260" t="s">
        <v>746</v>
      </c>
      <c r="C23" s="260" t="s">
        <v>1321</v>
      </c>
      <c r="D23" s="439" t="s">
        <v>1557</v>
      </c>
      <c r="E23" s="555" t="e">
        <f>+VLOOKUP(A23,#REF!,10,0)/H23</f>
        <v>#REF!</v>
      </c>
      <c r="F23" s="305">
        <v>8</v>
      </c>
      <c r="G23" s="305">
        <v>200</v>
      </c>
      <c r="H23" s="543">
        <v>1000</v>
      </c>
      <c r="I23" s="1"/>
      <c r="J23" s="128">
        <f t="shared" si="0"/>
        <v>8200</v>
      </c>
    </row>
    <row r="24" spans="1:10" ht="18" customHeight="1" x14ac:dyDescent="0.3">
      <c r="A24" s="302">
        <v>530</v>
      </c>
      <c r="B24" s="260" t="s">
        <v>746</v>
      </c>
      <c r="C24" s="260" t="s">
        <v>1223</v>
      </c>
      <c r="D24" s="439" t="s">
        <v>467</v>
      </c>
      <c r="E24" s="555" t="e">
        <f>+VLOOKUP(A24,#REF!,10,0)/H24</f>
        <v>#REF!</v>
      </c>
      <c r="F24" s="305">
        <v>4</v>
      </c>
      <c r="G24" s="305">
        <v>950</v>
      </c>
      <c r="H24" s="543">
        <v>1000</v>
      </c>
      <c r="I24" s="1"/>
      <c r="J24" s="128">
        <f t="shared" si="0"/>
        <v>4950</v>
      </c>
    </row>
    <row r="25" spans="1:10" ht="18" customHeight="1" x14ac:dyDescent="0.3">
      <c r="A25" s="302">
        <v>523</v>
      </c>
      <c r="B25" s="260" t="s">
        <v>746</v>
      </c>
      <c r="C25" s="260" t="s">
        <v>1325</v>
      </c>
      <c r="D25" s="439" t="s">
        <v>1558</v>
      </c>
      <c r="E25" s="555" t="e">
        <f>+VLOOKUP(A25,#REF!,10,0)/H25</f>
        <v>#REF!</v>
      </c>
      <c r="F25" s="305">
        <v>4</v>
      </c>
      <c r="G25" s="305">
        <v>770</v>
      </c>
      <c r="H25" s="543">
        <v>1000</v>
      </c>
      <c r="I25" s="1"/>
      <c r="J25" s="128">
        <f t="shared" si="0"/>
        <v>4770</v>
      </c>
    </row>
    <row r="26" spans="1:10" ht="18.75" customHeight="1" x14ac:dyDescent="0.3">
      <c r="A26" s="302">
        <v>531</v>
      </c>
      <c r="B26" s="260" t="s">
        <v>746</v>
      </c>
      <c r="C26" s="260" t="s">
        <v>1199</v>
      </c>
      <c r="D26" s="439" t="s">
        <v>841</v>
      </c>
      <c r="E26" s="555" t="e">
        <f>+VLOOKUP(A26,#REF!,10,0)/H26</f>
        <v>#REF!</v>
      </c>
      <c r="F26" s="305">
        <v>4</v>
      </c>
      <c r="G26" s="305">
        <v>350</v>
      </c>
      <c r="H26" s="543">
        <v>1000</v>
      </c>
      <c r="I26" s="1"/>
      <c r="J26" s="128">
        <f t="shared" si="0"/>
        <v>4350</v>
      </c>
    </row>
    <row r="27" spans="1:10" ht="18" customHeight="1" x14ac:dyDescent="0.3">
      <c r="A27" s="302">
        <v>280</v>
      </c>
      <c r="B27" s="260" t="s">
        <v>746</v>
      </c>
      <c r="C27" s="260" t="s">
        <v>1331</v>
      </c>
      <c r="D27" s="439" t="s">
        <v>1559</v>
      </c>
      <c r="E27" s="555" t="e">
        <f>+VLOOKUP(A27,#REF!,10,0)/H27</f>
        <v>#REF!</v>
      </c>
      <c r="F27" s="305">
        <v>10</v>
      </c>
      <c r="G27" s="305"/>
      <c r="H27" s="543">
        <v>1000</v>
      </c>
      <c r="I27" s="1"/>
      <c r="J27" s="128">
        <f t="shared" si="0"/>
        <v>10000</v>
      </c>
    </row>
    <row r="28" spans="1:10" ht="18" customHeight="1" x14ac:dyDescent="0.3">
      <c r="A28" s="302">
        <v>544</v>
      </c>
      <c r="B28" s="260" t="s">
        <v>746</v>
      </c>
      <c r="C28" s="260" t="s">
        <v>1193</v>
      </c>
      <c r="D28" s="439" t="s">
        <v>482</v>
      </c>
      <c r="E28" s="555" t="e">
        <f>+VLOOKUP(A28,#REF!,10,0)/H28</f>
        <v>#REF!</v>
      </c>
      <c r="F28" s="305">
        <v>13</v>
      </c>
      <c r="G28" s="305">
        <v>2000</v>
      </c>
      <c r="H28" s="543">
        <v>1000</v>
      </c>
      <c r="I28" s="1"/>
      <c r="J28" s="128">
        <f t="shared" si="0"/>
        <v>15000</v>
      </c>
    </row>
    <row r="29" spans="1:10" ht="18" customHeight="1" x14ac:dyDescent="0.3">
      <c r="A29" s="302">
        <v>562</v>
      </c>
      <c r="B29" s="260" t="s">
        <v>746</v>
      </c>
      <c r="C29" s="260" t="s">
        <v>1398</v>
      </c>
      <c r="D29" s="439" t="s">
        <v>842</v>
      </c>
      <c r="E29" s="555" t="e">
        <f>+VLOOKUP(A29,#REF!,10,0)/H29</f>
        <v>#REF!</v>
      </c>
      <c r="F29" s="305">
        <v>1</v>
      </c>
      <c r="G29" s="305">
        <v>750</v>
      </c>
      <c r="H29" s="543">
        <v>1000</v>
      </c>
      <c r="I29" s="1"/>
      <c r="J29" s="128">
        <f t="shared" si="0"/>
        <v>1750</v>
      </c>
    </row>
    <row r="30" spans="1:10" ht="18" customHeight="1" x14ac:dyDescent="0.3">
      <c r="A30" s="302">
        <v>564</v>
      </c>
      <c r="B30" s="260" t="s">
        <v>746</v>
      </c>
      <c r="C30" s="260" t="s">
        <v>1341</v>
      </c>
      <c r="D30" s="439" t="s">
        <v>843</v>
      </c>
      <c r="E30" s="555" t="e">
        <f>+VLOOKUP(A30,#REF!,10,0)/H30</f>
        <v>#REF!</v>
      </c>
      <c r="F30" s="305">
        <v>0</v>
      </c>
      <c r="G30" s="305">
        <v>1255</v>
      </c>
      <c r="H30" s="543">
        <v>1000</v>
      </c>
      <c r="I30" s="1"/>
      <c r="J30" s="128">
        <f t="shared" si="0"/>
        <v>1255</v>
      </c>
    </row>
    <row r="31" spans="1:10" ht="18" customHeight="1" x14ac:dyDescent="0.3">
      <c r="A31" s="302">
        <v>575</v>
      </c>
      <c r="B31" s="260" t="s">
        <v>746</v>
      </c>
      <c r="C31" s="260" t="s">
        <v>1328</v>
      </c>
      <c r="D31" s="439" t="s">
        <v>844</v>
      </c>
      <c r="E31" s="555" t="e">
        <f>+VLOOKUP(A31,#REF!,10,0)/H31</f>
        <v>#REF!</v>
      </c>
      <c r="F31" s="305">
        <v>2</v>
      </c>
      <c r="G31" s="305">
        <v>250</v>
      </c>
      <c r="H31" s="543">
        <v>2500</v>
      </c>
      <c r="I31" s="1"/>
      <c r="J31" s="128">
        <f t="shared" si="0"/>
        <v>5250</v>
      </c>
    </row>
    <row r="32" spans="1:10" ht="18" customHeight="1" x14ac:dyDescent="0.3">
      <c r="A32" s="302">
        <v>579</v>
      </c>
      <c r="B32" s="260" t="s">
        <v>746</v>
      </c>
      <c r="C32" s="260" t="s">
        <v>1330</v>
      </c>
      <c r="D32" s="439" t="s">
        <v>845</v>
      </c>
      <c r="E32" s="555" t="e">
        <f>+VLOOKUP(A32,#REF!,10,0)/H32</f>
        <v>#REF!</v>
      </c>
      <c r="F32" s="305">
        <v>1</v>
      </c>
      <c r="G32" s="305">
        <v>550</v>
      </c>
      <c r="H32" s="543">
        <v>2500</v>
      </c>
      <c r="I32" s="1"/>
      <c r="J32" s="128">
        <f t="shared" si="0"/>
        <v>3050</v>
      </c>
    </row>
    <row r="33" spans="1:10" ht="18" customHeight="1" x14ac:dyDescent="0.3">
      <c r="A33" s="302">
        <v>321</v>
      </c>
      <c r="B33" s="260" t="s">
        <v>746</v>
      </c>
      <c r="C33" s="260" t="s">
        <v>1336</v>
      </c>
      <c r="D33" s="439" t="s">
        <v>847</v>
      </c>
      <c r="E33" s="555" t="e">
        <f>+VLOOKUP(A33,#REF!,10,0)/H33</f>
        <v>#REF!</v>
      </c>
      <c r="F33" s="305">
        <v>5</v>
      </c>
      <c r="G33" s="305"/>
      <c r="H33" s="543">
        <v>2500</v>
      </c>
      <c r="I33" s="1"/>
      <c r="J33" s="128">
        <f t="shared" si="0"/>
        <v>12500</v>
      </c>
    </row>
    <row r="34" spans="1:10" ht="18" customHeight="1" x14ac:dyDescent="0.3">
      <c r="A34" s="302">
        <v>577</v>
      </c>
      <c r="B34" s="260" t="s">
        <v>746</v>
      </c>
      <c r="C34" s="260" t="s">
        <v>1329</v>
      </c>
      <c r="D34" s="439" t="s">
        <v>1560</v>
      </c>
      <c r="E34" s="555" t="e">
        <f>+VLOOKUP(A34,#REF!,10,0)/H34</f>
        <v>#REF!</v>
      </c>
      <c r="F34" s="305">
        <v>2</v>
      </c>
      <c r="G34" s="305">
        <v>2430</v>
      </c>
      <c r="H34" s="543">
        <v>2500</v>
      </c>
      <c r="I34" s="1"/>
      <c r="J34" s="128">
        <f t="shared" si="0"/>
        <v>7430</v>
      </c>
    </row>
    <row r="35" spans="1:10" ht="16.2" customHeight="1" x14ac:dyDescent="0.3">
      <c r="A35" s="302">
        <v>311</v>
      </c>
      <c r="B35" s="260" t="s">
        <v>746</v>
      </c>
      <c r="C35" s="260" t="s">
        <v>1227</v>
      </c>
      <c r="D35" s="439" t="s">
        <v>1425</v>
      </c>
      <c r="E35" s="555" t="e">
        <f>+VLOOKUP(A35,#REF!,10,0)/H35</f>
        <v>#REF!</v>
      </c>
      <c r="F35" s="305">
        <v>0</v>
      </c>
      <c r="G35" s="305">
        <v>1200</v>
      </c>
      <c r="H35" s="543">
        <v>1000</v>
      </c>
      <c r="I35" s="1"/>
      <c r="J35" s="128">
        <f t="shared" si="0"/>
        <v>1200</v>
      </c>
    </row>
    <row r="36" spans="1:10" ht="18" customHeight="1" x14ac:dyDescent="0.3">
      <c r="A36" s="302">
        <v>312</v>
      </c>
      <c r="B36" s="260" t="s">
        <v>746</v>
      </c>
      <c r="C36" s="260" t="s">
        <v>1342</v>
      </c>
      <c r="D36" s="439" t="s">
        <v>1533</v>
      </c>
      <c r="E36" s="555" t="e">
        <f>+VLOOKUP(A36,#REF!,10,0)/H36</f>
        <v>#REF!</v>
      </c>
      <c r="F36" s="305">
        <v>0</v>
      </c>
      <c r="G36" s="305">
        <v>1230</v>
      </c>
      <c r="H36" s="543">
        <v>1000</v>
      </c>
      <c r="I36" s="1"/>
      <c r="J36" s="128">
        <f t="shared" si="0"/>
        <v>1230</v>
      </c>
    </row>
    <row r="37" spans="1:10" ht="18" customHeight="1" x14ac:dyDescent="0.3">
      <c r="A37" s="302">
        <v>395</v>
      </c>
      <c r="B37" s="260" t="s">
        <v>746</v>
      </c>
      <c r="C37" s="260" t="s">
        <v>786</v>
      </c>
      <c r="D37" s="439" t="s">
        <v>1534</v>
      </c>
      <c r="E37" s="555" t="e">
        <f>+VLOOKUP(A37,#REF!,10,0)/H37</f>
        <v>#REF!</v>
      </c>
      <c r="F37" s="305">
        <v>1</v>
      </c>
      <c r="G37" s="305">
        <v>420</v>
      </c>
      <c r="H37" s="543">
        <v>1000</v>
      </c>
      <c r="I37" s="1"/>
      <c r="J37" s="128">
        <f t="shared" si="0"/>
        <v>1420</v>
      </c>
    </row>
    <row r="38" spans="1:10" ht="18" customHeight="1" x14ac:dyDescent="0.3">
      <c r="A38" s="302">
        <v>507</v>
      </c>
      <c r="B38" s="260" t="s">
        <v>746</v>
      </c>
      <c r="C38" s="260" t="s">
        <v>243</v>
      </c>
      <c r="D38" s="439" t="s">
        <v>1535</v>
      </c>
      <c r="E38" s="555" t="e">
        <f>+VLOOKUP(A38,#REF!,10,0)/H38</f>
        <v>#REF!</v>
      </c>
      <c r="F38" s="305">
        <v>0</v>
      </c>
      <c r="G38" s="305">
        <v>300</v>
      </c>
      <c r="H38" s="543">
        <v>1000</v>
      </c>
      <c r="I38" s="1"/>
      <c r="J38" s="128">
        <f t="shared" si="0"/>
        <v>300</v>
      </c>
    </row>
    <row r="39" spans="1:10" ht="18" customHeight="1" x14ac:dyDescent="0.3">
      <c r="A39" s="302">
        <v>517</v>
      </c>
      <c r="B39" s="260" t="s">
        <v>746</v>
      </c>
      <c r="C39" s="260" t="s">
        <v>1367</v>
      </c>
      <c r="D39" s="439" t="s">
        <v>849</v>
      </c>
      <c r="E39" s="555" t="e">
        <f>+VLOOKUP(A39,#REF!,10,0)/H39</f>
        <v>#REF!</v>
      </c>
      <c r="F39" s="305">
        <v>0</v>
      </c>
      <c r="G39" s="305"/>
      <c r="H39" s="543">
        <v>1000</v>
      </c>
      <c r="I39" s="1"/>
      <c r="J39" s="128">
        <f t="shared" si="0"/>
        <v>0</v>
      </c>
    </row>
    <row r="40" spans="1:10" ht="18" customHeight="1" x14ac:dyDescent="0.3">
      <c r="A40" s="302">
        <v>532</v>
      </c>
      <c r="B40" s="260" t="s">
        <v>746</v>
      </c>
      <c r="C40" s="260" t="s">
        <v>1182</v>
      </c>
      <c r="D40" s="439" t="s">
        <v>850</v>
      </c>
      <c r="E40" s="555" t="e">
        <f>+VLOOKUP(A40,#REF!,10,0)/H40</f>
        <v>#REF!</v>
      </c>
      <c r="F40" s="305">
        <v>1</v>
      </c>
      <c r="G40" s="305">
        <v>750</v>
      </c>
      <c r="H40" s="543">
        <v>1000</v>
      </c>
      <c r="I40" s="1"/>
      <c r="J40" s="128">
        <f t="shared" si="0"/>
        <v>1750</v>
      </c>
    </row>
    <row r="41" spans="1:10" ht="18.75" customHeight="1" x14ac:dyDescent="0.3">
      <c r="A41" s="302">
        <v>548</v>
      </c>
      <c r="B41" s="260" t="s">
        <v>746</v>
      </c>
      <c r="C41" s="260" t="s">
        <v>1187</v>
      </c>
      <c r="D41" s="439" t="s">
        <v>1536</v>
      </c>
      <c r="E41" s="555" t="e">
        <f>+VLOOKUP(A41,#REF!,10,0)/H41</f>
        <v>#REF!</v>
      </c>
      <c r="F41" s="305">
        <v>1</v>
      </c>
      <c r="G41" s="305">
        <v>500</v>
      </c>
      <c r="H41" s="543">
        <v>1000</v>
      </c>
      <c r="I41" s="1"/>
      <c r="J41" s="128">
        <f t="shared" si="0"/>
        <v>1500</v>
      </c>
    </row>
    <row r="42" spans="1:10" ht="18" customHeight="1" x14ac:dyDescent="0.3">
      <c r="A42" s="302">
        <v>559</v>
      </c>
      <c r="B42" s="260" t="s">
        <v>746</v>
      </c>
      <c r="C42" s="260" t="s">
        <v>1334</v>
      </c>
      <c r="D42" s="439" t="s">
        <v>1537</v>
      </c>
      <c r="E42" s="555" t="e">
        <f>+VLOOKUP(A42,#REF!,10,0)/H42</f>
        <v>#REF!</v>
      </c>
      <c r="F42" s="305">
        <v>0</v>
      </c>
      <c r="G42" s="305">
        <v>950</v>
      </c>
      <c r="H42" s="543">
        <v>1000</v>
      </c>
      <c r="I42" s="1"/>
      <c r="J42" s="128">
        <f t="shared" si="0"/>
        <v>950</v>
      </c>
    </row>
    <row r="43" spans="1:10" ht="18" customHeight="1" x14ac:dyDescent="0.3">
      <c r="A43" s="302">
        <v>570</v>
      </c>
      <c r="B43" s="260" t="s">
        <v>746</v>
      </c>
      <c r="C43" s="260" t="s">
        <v>1185</v>
      </c>
      <c r="D43" s="439" t="s">
        <v>1538</v>
      </c>
      <c r="E43" s="555" t="e">
        <f>+VLOOKUP(A43,#REF!,10,0)/H43</f>
        <v>#REF!</v>
      </c>
      <c r="F43" s="305">
        <v>0</v>
      </c>
      <c r="G43" s="305"/>
      <c r="H43" s="543">
        <v>1000</v>
      </c>
      <c r="I43" s="1"/>
      <c r="J43" s="128">
        <f t="shared" si="0"/>
        <v>0</v>
      </c>
    </row>
    <row r="44" spans="1:10" ht="18" customHeight="1" x14ac:dyDescent="0.3">
      <c r="A44" s="302">
        <v>207</v>
      </c>
      <c r="B44" s="260" t="s">
        <v>746</v>
      </c>
      <c r="C44" s="260" t="s">
        <v>1520</v>
      </c>
      <c r="D44" s="439" t="s">
        <v>851</v>
      </c>
      <c r="E44" s="555" t="e">
        <f>+VLOOKUP(A44,#REF!,10,0)/H44</f>
        <v>#REF!</v>
      </c>
      <c r="F44" s="305">
        <v>0</v>
      </c>
      <c r="G44" s="305"/>
      <c r="H44" s="543">
        <v>1000</v>
      </c>
      <c r="I44" s="1"/>
      <c r="J44" s="128">
        <f t="shared" si="0"/>
        <v>0</v>
      </c>
    </row>
    <row r="45" spans="1:10" ht="18" customHeight="1" x14ac:dyDescent="0.3">
      <c r="A45" s="302">
        <v>208</v>
      </c>
      <c r="B45" s="260" t="s">
        <v>746</v>
      </c>
      <c r="C45" s="260" t="s">
        <v>1521</v>
      </c>
      <c r="D45" s="439" t="s">
        <v>852</v>
      </c>
      <c r="E45" s="555" t="e">
        <f>+VLOOKUP(A45,#REF!,10,0)/H45</f>
        <v>#REF!</v>
      </c>
      <c r="F45" s="305">
        <v>0</v>
      </c>
      <c r="G45" s="305"/>
      <c r="H45" s="543">
        <v>1000</v>
      </c>
      <c r="I45" s="1"/>
      <c r="J45" s="128">
        <f t="shared" si="0"/>
        <v>0</v>
      </c>
    </row>
    <row r="46" spans="1:10" ht="18" customHeight="1" x14ac:dyDescent="0.3">
      <c r="A46" s="302">
        <v>229</v>
      </c>
      <c r="B46" s="260" t="s">
        <v>746</v>
      </c>
      <c r="C46" s="260" t="s">
        <v>1191</v>
      </c>
      <c r="D46" s="439" t="s">
        <v>853</v>
      </c>
      <c r="E46" s="555" t="e">
        <f>+VLOOKUP(A46,#REF!,10,0)/H46</f>
        <v>#REF!</v>
      </c>
      <c r="F46" s="305">
        <v>0</v>
      </c>
      <c r="G46" s="305"/>
      <c r="H46" s="543">
        <v>1000</v>
      </c>
      <c r="I46" s="1"/>
      <c r="J46" s="128">
        <f t="shared" si="0"/>
        <v>0</v>
      </c>
    </row>
    <row r="47" spans="1:10" ht="18" customHeight="1" x14ac:dyDescent="0.3">
      <c r="A47" s="302">
        <v>511</v>
      </c>
      <c r="B47" s="260" t="s">
        <v>746</v>
      </c>
      <c r="C47" s="260" t="s">
        <v>1338</v>
      </c>
      <c r="D47" s="439" t="s">
        <v>1539</v>
      </c>
      <c r="E47" s="555" t="e">
        <f>+VLOOKUP(A47,#REF!,10,0)/H47</f>
        <v>#REF!</v>
      </c>
      <c r="F47" s="305">
        <v>2</v>
      </c>
      <c r="G47" s="305">
        <v>860</v>
      </c>
      <c r="H47" s="543">
        <v>1000</v>
      </c>
      <c r="I47" s="1"/>
      <c r="J47" s="128">
        <f t="shared" si="0"/>
        <v>2860</v>
      </c>
    </row>
    <row r="48" spans="1:10" ht="18" customHeight="1" x14ac:dyDescent="0.3">
      <c r="A48" s="302">
        <v>560</v>
      </c>
      <c r="B48" s="260" t="s">
        <v>746</v>
      </c>
      <c r="C48" s="260" t="s">
        <v>1335</v>
      </c>
      <c r="D48" s="439" t="s">
        <v>1540</v>
      </c>
      <c r="E48" s="555" t="e">
        <f>+VLOOKUP(A48,#REF!,10,0)/H48</f>
        <v>#REF!</v>
      </c>
      <c r="F48" s="305">
        <v>0</v>
      </c>
      <c r="G48" s="305">
        <v>200</v>
      </c>
      <c r="H48" s="543">
        <v>1000</v>
      </c>
      <c r="I48" s="1"/>
      <c r="J48" s="128">
        <f t="shared" si="0"/>
        <v>200</v>
      </c>
    </row>
    <row r="49" spans="1:10" ht="18" customHeight="1" x14ac:dyDescent="0.3">
      <c r="A49" s="302">
        <v>561</v>
      </c>
      <c r="B49" s="260" t="s">
        <v>746</v>
      </c>
      <c r="C49" s="260" t="s">
        <v>1527</v>
      </c>
      <c r="D49" s="439" t="s">
        <v>855</v>
      </c>
      <c r="E49" s="555" t="e">
        <f>+VLOOKUP(A49,#REF!,10,0)/H49</f>
        <v>#REF!</v>
      </c>
      <c r="F49" s="305">
        <v>0</v>
      </c>
      <c r="G49" s="305"/>
      <c r="H49" s="543">
        <v>1000</v>
      </c>
      <c r="I49" s="1"/>
      <c r="J49" s="128">
        <f t="shared" si="0"/>
        <v>0</v>
      </c>
    </row>
    <row r="50" spans="1:10" ht="18" customHeight="1" x14ac:dyDescent="0.3">
      <c r="A50" s="302">
        <v>565</v>
      </c>
      <c r="B50" s="260" t="s">
        <v>746</v>
      </c>
      <c r="C50" s="260" t="s">
        <v>1327</v>
      </c>
      <c r="D50" s="439" t="s">
        <v>854</v>
      </c>
      <c r="E50" s="555" t="e">
        <f>+VLOOKUP(A50,#REF!,10,0)/H50</f>
        <v>#REF!</v>
      </c>
      <c r="F50" s="305">
        <v>2</v>
      </c>
      <c r="G50" s="305">
        <v>480</v>
      </c>
      <c r="H50" s="543">
        <v>1000</v>
      </c>
      <c r="I50" s="1"/>
      <c r="J50" s="128">
        <f t="shared" si="0"/>
        <v>2480</v>
      </c>
    </row>
    <row r="51" spans="1:10" ht="18" customHeight="1" x14ac:dyDescent="0.3">
      <c r="A51" s="302">
        <v>594</v>
      </c>
      <c r="B51" s="260" t="s">
        <v>746</v>
      </c>
      <c r="C51" s="260" t="s">
        <v>1508</v>
      </c>
      <c r="D51" s="439" t="s">
        <v>1541</v>
      </c>
      <c r="E51" s="555" t="e">
        <f>+VLOOKUP(A51,#REF!,10,0)/H51</f>
        <v>#REF!</v>
      </c>
      <c r="F51" s="305">
        <v>2</v>
      </c>
      <c r="G51" s="305"/>
      <c r="H51" s="543">
        <v>1000</v>
      </c>
      <c r="I51" s="1"/>
      <c r="J51" s="128">
        <f t="shared" si="0"/>
        <v>2000</v>
      </c>
    </row>
    <row r="52" spans="1:10" ht="18" customHeight="1" x14ac:dyDescent="0.3">
      <c r="A52" s="302">
        <v>595</v>
      </c>
      <c r="B52" s="260" t="s">
        <v>746</v>
      </c>
      <c r="C52" s="260" t="s">
        <v>1507</v>
      </c>
      <c r="D52" s="439" t="s">
        <v>1542</v>
      </c>
      <c r="E52" s="555" t="e">
        <f>+VLOOKUP(A52,#REF!,10,0)/H52</f>
        <v>#REF!</v>
      </c>
      <c r="F52" s="305">
        <v>2</v>
      </c>
      <c r="G52" s="305">
        <v>900</v>
      </c>
      <c r="H52" s="543">
        <v>1000</v>
      </c>
      <c r="I52" s="1"/>
      <c r="J52" s="128">
        <f t="shared" si="0"/>
        <v>2900</v>
      </c>
    </row>
    <row r="53" spans="1:10" ht="18" customHeight="1" x14ac:dyDescent="0.3">
      <c r="A53" s="302">
        <v>596</v>
      </c>
      <c r="B53" s="260" t="s">
        <v>746</v>
      </c>
      <c r="C53" s="260" t="s">
        <v>1506</v>
      </c>
      <c r="D53" s="439" t="s">
        <v>1543</v>
      </c>
      <c r="E53" s="555" t="e">
        <f>+VLOOKUP(A53,#REF!,10,0)/H53</f>
        <v>#REF!</v>
      </c>
      <c r="F53" s="305">
        <v>1</v>
      </c>
      <c r="G53" s="305">
        <v>1230</v>
      </c>
      <c r="H53" s="543">
        <v>1000</v>
      </c>
      <c r="I53" s="1"/>
      <c r="J53" s="128">
        <f t="shared" si="0"/>
        <v>2230</v>
      </c>
    </row>
    <row r="54" spans="1:10" ht="18" customHeight="1" x14ac:dyDescent="0.3">
      <c r="A54" s="302">
        <v>542</v>
      </c>
      <c r="B54" s="260" t="s">
        <v>746</v>
      </c>
      <c r="C54" s="260" t="s">
        <v>1179</v>
      </c>
      <c r="D54" s="439" t="s">
        <v>856</v>
      </c>
      <c r="E54" s="555" t="e">
        <f>+VLOOKUP(A54,#REF!,10,0)/H54</f>
        <v>#REF!</v>
      </c>
      <c r="F54" s="305">
        <v>0</v>
      </c>
      <c r="G54" s="305">
        <v>1240</v>
      </c>
      <c r="H54" s="543">
        <v>1000</v>
      </c>
      <c r="I54" s="1"/>
      <c r="J54" s="128">
        <f t="shared" si="0"/>
        <v>1240</v>
      </c>
    </row>
    <row r="55" spans="1:10" ht="18.75" customHeight="1" x14ac:dyDescent="0.3">
      <c r="A55" s="302">
        <v>543</v>
      </c>
      <c r="B55" s="260" t="s">
        <v>746</v>
      </c>
      <c r="C55" s="260" t="s">
        <v>1180</v>
      </c>
      <c r="D55" s="439" t="s">
        <v>846</v>
      </c>
      <c r="E55" s="555" t="e">
        <f>+VLOOKUP(A55,#REF!,10,0)/H55</f>
        <v>#REF!</v>
      </c>
      <c r="F55" s="305">
        <v>1</v>
      </c>
      <c r="G55" s="305">
        <v>440</v>
      </c>
      <c r="H55" s="543">
        <v>1000</v>
      </c>
      <c r="I55" s="1"/>
      <c r="J55" s="128">
        <f t="shared" si="0"/>
        <v>1440</v>
      </c>
    </row>
    <row r="56" spans="1:10" ht="18" customHeight="1" x14ac:dyDescent="0.3">
      <c r="A56" s="302">
        <v>58</v>
      </c>
      <c r="B56" s="260" t="s">
        <v>746</v>
      </c>
      <c r="C56" s="260" t="s">
        <v>1364</v>
      </c>
      <c r="D56" s="439" t="s">
        <v>1544</v>
      </c>
      <c r="E56" s="555" t="e">
        <f>+VLOOKUP(A56,#REF!,10,0)/H56</f>
        <v>#REF!</v>
      </c>
      <c r="F56" s="305">
        <v>1</v>
      </c>
      <c r="G56" s="305">
        <v>800</v>
      </c>
      <c r="H56" s="543">
        <v>1000</v>
      </c>
      <c r="I56" s="1"/>
      <c r="J56" s="128">
        <f t="shared" si="0"/>
        <v>1800</v>
      </c>
    </row>
    <row r="57" spans="1:10" ht="18" customHeight="1" x14ac:dyDescent="0.3">
      <c r="A57" s="302">
        <v>569</v>
      </c>
      <c r="B57" s="260" t="s">
        <v>746</v>
      </c>
      <c r="C57" s="260" t="s">
        <v>1333</v>
      </c>
      <c r="D57" s="439" t="s">
        <v>1545</v>
      </c>
      <c r="E57" s="555" t="e">
        <f>+VLOOKUP(A57,#REF!,10,0)/H57</f>
        <v>#REF!</v>
      </c>
      <c r="F57" s="305">
        <v>1</v>
      </c>
      <c r="G57" s="305">
        <v>460</v>
      </c>
      <c r="H57" s="543">
        <v>1000</v>
      </c>
      <c r="I57" s="1"/>
      <c r="J57" s="128">
        <f t="shared" si="0"/>
        <v>1460</v>
      </c>
    </row>
    <row r="58" spans="1:10" ht="18" customHeight="1" x14ac:dyDescent="0.3">
      <c r="A58" s="302">
        <v>519</v>
      </c>
      <c r="B58" s="260" t="s">
        <v>746</v>
      </c>
      <c r="C58" s="260" t="s">
        <v>1332</v>
      </c>
      <c r="D58" s="439" t="s">
        <v>1546</v>
      </c>
      <c r="E58" s="555" t="e">
        <f>+VLOOKUP(A58,#REF!,10,0)/H58</f>
        <v>#REF!</v>
      </c>
      <c r="F58" s="305">
        <v>2</v>
      </c>
      <c r="G58" s="305"/>
      <c r="H58" s="543">
        <v>1000</v>
      </c>
      <c r="I58" s="1"/>
      <c r="J58" s="128">
        <f t="shared" si="0"/>
        <v>2000</v>
      </c>
    </row>
    <row r="59" spans="1:10" ht="18" customHeight="1" x14ac:dyDescent="0.3">
      <c r="A59" s="302">
        <v>508</v>
      </c>
      <c r="B59" s="260" t="s">
        <v>746</v>
      </c>
      <c r="C59" s="260" t="s">
        <v>1190</v>
      </c>
      <c r="D59" s="439" t="s">
        <v>1547</v>
      </c>
      <c r="E59" s="555" t="e">
        <f>+VLOOKUP(A59,#REF!,10,0)/H59</f>
        <v>#REF!</v>
      </c>
      <c r="F59" s="305">
        <v>2</v>
      </c>
      <c r="G59" s="305">
        <v>570</v>
      </c>
      <c r="H59" s="543">
        <v>1000</v>
      </c>
      <c r="I59" s="1"/>
      <c r="J59" s="128">
        <f t="shared" si="0"/>
        <v>2570</v>
      </c>
    </row>
    <row r="60" spans="1:10" ht="18" customHeight="1" x14ac:dyDescent="0.3">
      <c r="A60" s="302">
        <v>550</v>
      </c>
      <c r="B60" s="260" t="s">
        <v>746</v>
      </c>
      <c r="C60" s="260" t="s">
        <v>1319</v>
      </c>
      <c r="D60" s="439" t="s">
        <v>1548</v>
      </c>
      <c r="E60" s="555" t="e">
        <f>+VLOOKUP(A60,#REF!,10,0)/H60</f>
        <v>#REF!</v>
      </c>
      <c r="F60" s="305">
        <v>1</v>
      </c>
      <c r="G60" s="305">
        <v>250</v>
      </c>
      <c r="H60" s="543">
        <v>1000</v>
      </c>
      <c r="I60" s="1"/>
      <c r="J60" s="128">
        <f t="shared" si="0"/>
        <v>1250</v>
      </c>
    </row>
    <row r="61" spans="1:10" ht="18" customHeight="1" x14ac:dyDescent="0.3">
      <c r="A61" s="302">
        <v>547</v>
      </c>
      <c r="B61" s="260" t="s">
        <v>746</v>
      </c>
      <c r="C61" s="260" t="s">
        <v>1188</v>
      </c>
      <c r="D61" s="439" t="s">
        <v>1552</v>
      </c>
      <c r="E61" s="555" t="e">
        <f>+VLOOKUP(A61,#REF!,10,0)/H61</f>
        <v>#REF!</v>
      </c>
      <c r="F61" s="305">
        <v>0</v>
      </c>
      <c r="G61" s="305"/>
      <c r="H61" s="543">
        <v>500</v>
      </c>
      <c r="I61" s="1"/>
      <c r="J61" s="128">
        <f t="shared" si="0"/>
        <v>0</v>
      </c>
    </row>
    <row r="62" spans="1:10" ht="18" customHeight="1" x14ac:dyDescent="0.3">
      <c r="A62" s="302">
        <v>57</v>
      </c>
      <c r="B62" s="260" t="s">
        <v>746</v>
      </c>
      <c r="C62" s="260" t="s">
        <v>1365</v>
      </c>
      <c r="D62" s="439" t="s">
        <v>1549</v>
      </c>
      <c r="E62" s="555" t="e">
        <f>+VLOOKUP(A62,#REF!,10,0)/H62</f>
        <v>#REF!</v>
      </c>
      <c r="F62" s="305">
        <v>2</v>
      </c>
      <c r="G62" s="305">
        <v>500</v>
      </c>
      <c r="H62" s="543">
        <v>1000</v>
      </c>
      <c r="I62" s="1"/>
      <c r="J62" s="128">
        <f t="shared" si="0"/>
        <v>2500</v>
      </c>
    </row>
    <row r="63" spans="1:10" ht="18" customHeight="1" x14ac:dyDescent="0.3">
      <c r="A63" s="302">
        <v>498</v>
      </c>
      <c r="B63" s="260" t="s">
        <v>746</v>
      </c>
      <c r="C63" s="260" t="s">
        <v>1519</v>
      </c>
      <c r="D63" s="439" t="s">
        <v>1550</v>
      </c>
      <c r="E63" s="555" t="e">
        <f>+VLOOKUP(A63,#REF!,10,0)/H63</f>
        <v>#REF!</v>
      </c>
      <c r="F63" s="305">
        <v>3</v>
      </c>
      <c r="G63" s="305">
        <v>190</v>
      </c>
      <c r="H63" s="543">
        <v>1000</v>
      </c>
      <c r="I63" s="1"/>
      <c r="J63" s="128">
        <f t="shared" si="0"/>
        <v>3190</v>
      </c>
    </row>
    <row r="64" spans="1:10" ht="18" customHeight="1" x14ac:dyDescent="0.3">
      <c r="A64" s="302">
        <v>499</v>
      </c>
      <c r="B64" s="260" t="s">
        <v>746</v>
      </c>
      <c r="C64" s="260" t="s">
        <v>1339</v>
      </c>
      <c r="D64" s="439" t="s">
        <v>1551</v>
      </c>
      <c r="E64" s="555" t="e">
        <f>+VLOOKUP(A64,#REF!,10,0)/H64</f>
        <v>#REF!</v>
      </c>
      <c r="F64" s="305">
        <v>1</v>
      </c>
      <c r="G64" s="305">
        <v>250</v>
      </c>
      <c r="H64" s="543">
        <v>1000</v>
      </c>
      <c r="I64" s="1"/>
      <c r="J64" s="128">
        <f t="shared" si="0"/>
        <v>1250</v>
      </c>
    </row>
    <row r="65" spans="1:10" ht="18" customHeight="1" x14ac:dyDescent="0.3">
      <c r="A65" s="302">
        <v>518</v>
      </c>
      <c r="B65" s="260" t="s">
        <v>746</v>
      </c>
      <c r="C65" s="260" t="s">
        <v>1343</v>
      </c>
      <c r="D65" s="439" t="s">
        <v>1566</v>
      </c>
      <c r="E65" s="555" t="e">
        <f>+VLOOKUP(A65,#REF!,10,0)/H65</f>
        <v>#REF!</v>
      </c>
      <c r="F65" s="305">
        <v>1</v>
      </c>
      <c r="G65" s="305">
        <v>1205</v>
      </c>
      <c r="H65" s="543">
        <v>1000</v>
      </c>
      <c r="I65" s="1"/>
      <c r="J65" s="128">
        <f t="shared" si="0"/>
        <v>2205</v>
      </c>
    </row>
    <row r="66" spans="1:10" ht="18" customHeight="1" x14ac:dyDescent="0.3">
      <c r="A66" s="302">
        <v>551</v>
      </c>
      <c r="B66" s="260" t="s">
        <v>746</v>
      </c>
      <c r="C66" s="260" t="s">
        <v>1344</v>
      </c>
      <c r="D66" s="439" t="s">
        <v>1565</v>
      </c>
      <c r="E66" s="555" t="e">
        <f>+VLOOKUP(A66,#REF!,10,0)/H66</f>
        <v>#REF!</v>
      </c>
      <c r="F66" s="305">
        <v>1</v>
      </c>
      <c r="G66" s="305">
        <v>590</v>
      </c>
      <c r="H66" s="543">
        <v>1000</v>
      </c>
      <c r="I66" s="1"/>
      <c r="J66" s="128">
        <f t="shared" si="0"/>
        <v>1590</v>
      </c>
    </row>
    <row r="67" spans="1:10" ht="18" customHeight="1" x14ac:dyDescent="0.3">
      <c r="A67" s="302">
        <v>299</v>
      </c>
      <c r="B67" s="260" t="s">
        <v>746</v>
      </c>
      <c r="C67" s="260" t="s">
        <v>1324</v>
      </c>
      <c r="D67" s="439" t="s">
        <v>1567</v>
      </c>
      <c r="E67" s="555" t="e">
        <f>+VLOOKUP(A67,#REF!,10,0)/H67</f>
        <v>#REF!</v>
      </c>
      <c r="F67" s="305">
        <v>1</v>
      </c>
      <c r="G67" s="305"/>
      <c r="H67" s="543">
        <v>1000</v>
      </c>
      <c r="I67" s="1"/>
      <c r="J67" s="128">
        <f t="shared" si="0"/>
        <v>1000</v>
      </c>
    </row>
    <row r="68" spans="1:10" ht="18" customHeight="1" x14ac:dyDescent="0.3">
      <c r="A68" s="302">
        <v>580</v>
      </c>
      <c r="B68" s="260" t="s">
        <v>746</v>
      </c>
      <c r="C68" s="260" t="s">
        <v>1273</v>
      </c>
      <c r="D68" s="439" t="s">
        <v>1580</v>
      </c>
      <c r="E68" s="555" t="e">
        <f>+VLOOKUP(A68,#REF!,10,0)/H68</f>
        <v>#REF!</v>
      </c>
      <c r="F68" s="305">
        <v>1</v>
      </c>
      <c r="G68" s="305"/>
      <c r="H68" s="543">
        <v>1000</v>
      </c>
      <c r="I68" s="1"/>
      <c r="J68" s="128">
        <f t="shared" si="0"/>
        <v>1000</v>
      </c>
    </row>
    <row r="69" spans="1:10" ht="18" customHeight="1" x14ac:dyDescent="0.3">
      <c r="A69" s="302">
        <v>193</v>
      </c>
      <c r="B69" s="260" t="s">
        <v>1662</v>
      </c>
      <c r="C69" s="260" t="s">
        <v>1622</v>
      </c>
      <c r="D69" s="439" t="s">
        <v>1645</v>
      </c>
      <c r="E69" s="555" t="e">
        <f>+VLOOKUP(A69,#REF!,10,0)/H69</f>
        <v>#REF!</v>
      </c>
      <c r="F69" s="305">
        <v>0</v>
      </c>
      <c r="G69" s="305"/>
      <c r="H69" s="543">
        <v>1000</v>
      </c>
      <c r="I69" s="1"/>
      <c r="J69" s="128">
        <f t="shared" si="0"/>
        <v>0</v>
      </c>
    </row>
    <row r="70" spans="1:10" ht="18" customHeight="1" x14ac:dyDescent="0.3">
      <c r="A70" s="302" t="s">
        <v>869</v>
      </c>
      <c r="B70" s="260" t="s">
        <v>1662</v>
      </c>
      <c r="C70" s="260" t="s">
        <v>1777</v>
      </c>
      <c r="D70" s="439" t="s">
        <v>1778</v>
      </c>
      <c r="E70" s="555"/>
      <c r="F70" s="305">
        <v>6</v>
      </c>
      <c r="G70" s="305"/>
      <c r="H70" s="543">
        <v>1000</v>
      </c>
      <c r="I70" s="1"/>
      <c r="J70" s="128">
        <f t="shared" si="0"/>
        <v>6000</v>
      </c>
    </row>
    <row r="71" spans="1:10" ht="18" customHeight="1" x14ac:dyDescent="0.3">
      <c r="A71" s="302">
        <v>101</v>
      </c>
      <c r="B71" s="260" t="s">
        <v>1646</v>
      </c>
      <c r="C71" s="260" t="s">
        <v>1189</v>
      </c>
      <c r="D71" s="439" t="s">
        <v>916</v>
      </c>
      <c r="E71" s="555" t="e">
        <f>+VLOOKUP(A71,#REF!,10,0)/H71</f>
        <v>#REF!</v>
      </c>
      <c r="F71" s="305">
        <v>5</v>
      </c>
      <c r="G71" s="305"/>
      <c r="H71" s="543">
        <v>1000</v>
      </c>
      <c r="I71" s="1"/>
      <c r="J71" s="128">
        <f t="shared" si="0"/>
        <v>5000</v>
      </c>
    </row>
    <row r="72" spans="1:10" ht="18" customHeight="1" x14ac:dyDescent="0.3">
      <c r="A72" s="302">
        <v>110</v>
      </c>
      <c r="B72" s="260" t="s">
        <v>1652</v>
      </c>
      <c r="C72" s="260" t="s">
        <v>1626</v>
      </c>
      <c r="D72" s="439" t="s">
        <v>928</v>
      </c>
      <c r="E72" s="555" t="e">
        <f>+VLOOKUP(A72,#REF!,10,0)/H72</f>
        <v>#REF!</v>
      </c>
      <c r="F72" s="305">
        <v>2</v>
      </c>
      <c r="G72" s="305">
        <v>950</v>
      </c>
      <c r="H72" s="543">
        <v>1000</v>
      </c>
      <c r="I72" s="1"/>
      <c r="J72" s="128">
        <f t="shared" si="0"/>
        <v>2950</v>
      </c>
    </row>
    <row r="73" spans="1:10" ht="18" customHeight="1" x14ac:dyDescent="0.3">
      <c r="A73" s="302">
        <v>111</v>
      </c>
      <c r="B73" s="260" t="s">
        <v>1652</v>
      </c>
      <c r="C73" s="260" t="s">
        <v>1627</v>
      </c>
      <c r="D73" s="439" t="s">
        <v>1639</v>
      </c>
      <c r="E73" s="555" t="e">
        <f>+VLOOKUP(A73,#REF!,10,0)/H73</f>
        <v>#REF!</v>
      </c>
      <c r="F73" s="305">
        <v>1</v>
      </c>
      <c r="G73" s="305"/>
      <c r="H73" s="543">
        <v>1000</v>
      </c>
      <c r="I73" s="1"/>
      <c r="J73" s="128">
        <f t="shared" ref="J73:J136" si="1">+(F73*H73)+G73</f>
        <v>1000</v>
      </c>
    </row>
    <row r="74" spans="1:10" ht="18" customHeight="1" x14ac:dyDescent="0.3">
      <c r="A74" s="302">
        <v>112</v>
      </c>
      <c r="B74" s="260" t="s">
        <v>1653</v>
      </c>
      <c r="C74" s="260" t="s">
        <v>1629</v>
      </c>
      <c r="D74" s="439" t="s">
        <v>1641</v>
      </c>
      <c r="E74" s="555" t="e">
        <f>+VLOOKUP(A74,#REF!,10,0)/H74</f>
        <v>#REF!</v>
      </c>
      <c r="F74" s="305">
        <v>2</v>
      </c>
      <c r="G74" s="305"/>
      <c r="H74" s="543">
        <v>1000</v>
      </c>
      <c r="I74" s="1"/>
      <c r="J74" s="128">
        <f t="shared" si="1"/>
        <v>2000</v>
      </c>
    </row>
    <row r="75" spans="1:10" ht="18" customHeight="1" x14ac:dyDescent="0.3">
      <c r="A75" s="302">
        <v>113</v>
      </c>
      <c r="B75" s="260" t="s">
        <v>1653</v>
      </c>
      <c r="C75" s="260" t="s">
        <v>1630</v>
      </c>
      <c r="D75" s="439" t="s">
        <v>1642</v>
      </c>
      <c r="E75" s="555" t="e">
        <f>+VLOOKUP(A75,#REF!,10,0)/H75</f>
        <v>#REF!</v>
      </c>
      <c r="F75" s="305">
        <v>0</v>
      </c>
      <c r="G75" s="305">
        <v>500</v>
      </c>
      <c r="H75" s="543">
        <v>1000</v>
      </c>
      <c r="I75" s="1"/>
      <c r="J75" s="128">
        <f t="shared" si="1"/>
        <v>500</v>
      </c>
    </row>
    <row r="76" spans="1:10" ht="18" customHeight="1" x14ac:dyDescent="0.3">
      <c r="A76" s="302">
        <v>115</v>
      </c>
      <c r="B76" s="260" t="s">
        <v>1652</v>
      </c>
      <c r="C76" s="260" t="s">
        <v>1193</v>
      </c>
      <c r="D76" s="439" t="s">
        <v>1640</v>
      </c>
      <c r="E76" s="555" t="e">
        <f>+VLOOKUP(A76,#REF!,10,0)/H76</f>
        <v>#REF!</v>
      </c>
      <c r="F76" s="305">
        <v>0</v>
      </c>
      <c r="G76" s="305">
        <v>520</v>
      </c>
      <c r="H76" s="543">
        <v>1000</v>
      </c>
      <c r="I76" s="1"/>
      <c r="J76" s="128">
        <f t="shared" si="1"/>
        <v>520</v>
      </c>
    </row>
    <row r="77" spans="1:10" ht="18" customHeight="1" x14ac:dyDescent="0.3">
      <c r="A77" s="302">
        <v>116</v>
      </c>
      <c r="B77" s="260" t="s">
        <v>1653</v>
      </c>
      <c r="C77" s="260" t="s">
        <v>1276</v>
      </c>
      <c r="D77" s="439" t="s">
        <v>1643</v>
      </c>
      <c r="E77" s="555" t="e">
        <f>+VLOOKUP(A77,#REF!,10,0)/H77</f>
        <v>#REF!</v>
      </c>
      <c r="F77" s="305">
        <v>1</v>
      </c>
      <c r="G77" s="305"/>
      <c r="H77" s="543">
        <v>1000</v>
      </c>
      <c r="I77" s="1"/>
      <c r="J77" s="128">
        <f t="shared" si="1"/>
        <v>1000</v>
      </c>
    </row>
    <row r="78" spans="1:10" ht="18" customHeight="1" x14ac:dyDescent="0.3">
      <c r="A78" s="302">
        <v>117</v>
      </c>
      <c r="B78" s="260" t="s">
        <v>1646</v>
      </c>
      <c r="C78" s="260" t="s">
        <v>1659</v>
      </c>
      <c r="D78" s="439" t="s">
        <v>1660</v>
      </c>
      <c r="E78" s="555"/>
      <c r="F78" s="305">
        <v>0</v>
      </c>
      <c r="G78" s="305"/>
      <c r="H78" s="543">
        <v>1000</v>
      </c>
      <c r="I78" s="1"/>
      <c r="J78" s="128">
        <f t="shared" si="1"/>
        <v>0</v>
      </c>
    </row>
    <row r="79" spans="1:10" ht="18" customHeight="1" x14ac:dyDescent="0.3">
      <c r="A79" s="302">
        <v>123</v>
      </c>
      <c r="B79" s="260" t="s">
        <v>1655</v>
      </c>
      <c r="C79" s="260" t="s">
        <v>1186</v>
      </c>
      <c r="D79" s="439" t="s">
        <v>1644</v>
      </c>
      <c r="E79" s="555" t="e">
        <f>+VLOOKUP(A79,#REF!,10,0)/H79</f>
        <v>#REF!</v>
      </c>
      <c r="F79" s="305">
        <v>4</v>
      </c>
      <c r="G79" s="305">
        <v>1750</v>
      </c>
      <c r="H79" s="543">
        <v>1000</v>
      </c>
      <c r="I79" s="1"/>
      <c r="J79" s="128">
        <f t="shared" si="1"/>
        <v>5750</v>
      </c>
    </row>
    <row r="80" spans="1:10" ht="18" customHeight="1" x14ac:dyDescent="0.3">
      <c r="A80" s="302">
        <v>121</v>
      </c>
      <c r="B80" s="260" t="s">
        <v>1652</v>
      </c>
      <c r="C80" s="260" t="s">
        <v>766</v>
      </c>
      <c r="D80" s="439" t="s">
        <v>1661</v>
      </c>
      <c r="E80" s="555" t="e">
        <f>+VLOOKUP(A80,#REF!,10,0)/H80</f>
        <v>#REF!</v>
      </c>
      <c r="F80" s="305">
        <v>1</v>
      </c>
      <c r="G80" s="305">
        <v>1750</v>
      </c>
      <c r="H80" s="543">
        <v>1000</v>
      </c>
      <c r="I80" s="1"/>
      <c r="J80" s="128">
        <f t="shared" si="1"/>
        <v>2750</v>
      </c>
    </row>
    <row r="81" spans="1:10" ht="18" customHeight="1" x14ac:dyDescent="0.3">
      <c r="A81" s="302">
        <v>186</v>
      </c>
      <c r="B81" s="260" t="s">
        <v>1654</v>
      </c>
      <c r="C81" s="260" t="s">
        <v>1616</v>
      </c>
      <c r="D81" s="439" t="s">
        <v>1571</v>
      </c>
      <c r="E81" s="555" t="e">
        <f>+VLOOKUP(A81,#REF!,10,0)/H81</f>
        <v>#REF!</v>
      </c>
      <c r="F81" s="305">
        <v>5</v>
      </c>
      <c r="G81" s="305">
        <v>1070</v>
      </c>
      <c r="H81" s="543">
        <v>1000</v>
      </c>
      <c r="I81" s="1"/>
      <c r="J81" s="128">
        <f t="shared" si="1"/>
        <v>6070</v>
      </c>
    </row>
    <row r="82" spans="1:10" ht="18" customHeight="1" x14ac:dyDescent="0.3">
      <c r="A82" s="302">
        <v>114</v>
      </c>
      <c r="B82" s="260" t="s">
        <v>1646</v>
      </c>
      <c r="C82" s="260" t="s">
        <v>1628</v>
      </c>
      <c r="D82" s="439" t="s">
        <v>1572</v>
      </c>
      <c r="E82" s="555" t="e">
        <f>+VLOOKUP(A82,#REF!,10,0)/H82</f>
        <v>#REF!</v>
      </c>
      <c r="F82" s="305">
        <v>0</v>
      </c>
      <c r="G82" s="305"/>
      <c r="H82" s="543">
        <v>1000</v>
      </c>
      <c r="I82" s="1"/>
      <c r="J82" s="128">
        <f t="shared" si="1"/>
        <v>0</v>
      </c>
    </row>
    <row r="83" spans="1:10" ht="18" customHeight="1" x14ac:dyDescent="0.3">
      <c r="A83" s="302">
        <v>108</v>
      </c>
      <c r="B83" s="260" t="s">
        <v>1653</v>
      </c>
      <c r="C83" s="260" t="s">
        <v>1617</v>
      </c>
      <c r="D83" s="439" t="s">
        <v>1573</v>
      </c>
      <c r="E83" s="555" t="e">
        <f>+VLOOKUP(A83,#REF!,10,0)/H83</f>
        <v>#REF!</v>
      </c>
      <c r="F83" s="305">
        <v>0</v>
      </c>
      <c r="G83" s="305"/>
      <c r="H83" s="543">
        <v>1000</v>
      </c>
      <c r="I83" s="1"/>
      <c r="J83" s="128">
        <f t="shared" si="1"/>
        <v>0</v>
      </c>
    </row>
    <row r="84" spans="1:10" ht="18" customHeight="1" x14ac:dyDescent="0.3">
      <c r="A84" s="302">
        <v>104</v>
      </c>
      <c r="B84" s="260" t="s">
        <v>1646</v>
      </c>
      <c r="C84" s="260" t="s">
        <v>1619</v>
      </c>
      <c r="D84" s="439" t="s">
        <v>1577</v>
      </c>
      <c r="E84" s="555" t="e">
        <f>+VLOOKUP(A84,#REF!,10,0)/H84</f>
        <v>#REF!</v>
      </c>
      <c r="F84" s="305">
        <v>3</v>
      </c>
      <c r="G84" s="305">
        <v>440</v>
      </c>
      <c r="H84" s="543">
        <v>1000</v>
      </c>
      <c r="I84" s="1"/>
      <c r="J84" s="128">
        <f t="shared" si="1"/>
        <v>3440</v>
      </c>
    </row>
    <row r="85" spans="1:10" ht="18" customHeight="1" x14ac:dyDescent="0.3">
      <c r="A85" s="546">
        <v>107</v>
      </c>
      <c r="B85" s="260" t="s">
        <v>1652</v>
      </c>
      <c r="C85" s="260" t="s">
        <v>1618</v>
      </c>
      <c r="D85" s="439" t="s">
        <v>1574</v>
      </c>
      <c r="E85" s="555" t="e">
        <f>+VLOOKUP(A85,#REF!,10,0)/H85</f>
        <v>#REF!</v>
      </c>
      <c r="F85" s="305">
        <v>0</v>
      </c>
      <c r="G85" s="305"/>
      <c r="H85" s="543">
        <v>1000</v>
      </c>
      <c r="I85" s="1"/>
      <c r="J85" s="128">
        <f t="shared" si="1"/>
        <v>0</v>
      </c>
    </row>
    <row r="86" spans="1:10" ht="18" customHeight="1" x14ac:dyDescent="0.3">
      <c r="A86" s="302">
        <v>103</v>
      </c>
      <c r="B86" s="260" t="s">
        <v>1646</v>
      </c>
      <c r="C86" s="260" t="s">
        <v>1414</v>
      </c>
      <c r="D86" s="439" t="s">
        <v>1575</v>
      </c>
      <c r="E86" s="555" t="e">
        <f>+VLOOKUP(A86,#REF!,10,0)/H86</f>
        <v>#REF!</v>
      </c>
      <c r="F86" s="305">
        <v>1</v>
      </c>
      <c r="G86" s="305">
        <v>750</v>
      </c>
      <c r="H86" s="543">
        <v>1000</v>
      </c>
      <c r="I86" s="1"/>
      <c r="J86" s="128">
        <f t="shared" si="1"/>
        <v>1750</v>
      </c>
    </row>
    <row r="87" spans="1:10" ht="18" customHeight="1" x14ac:dyDescent="0.3">
      <c r="A87" s="302">
        <v>102</v>
      </c>
      <c r="B87" s="260" t="s">
        <v>1646</v>
      </c>
      <c r="C87" s="260" t="s">
        <v>1582</v>
      </c>
      <c r="D87" s="439" t="s">
        <v>1576</v>
      </c>
      <c r="E87" s="555" t="e">
        <f>+VLOOKUP(A87,#REF!,10,0)/H87</f>
        <v>#REF!</v>
      </c>
      <c r="F87" s="305">
        <v>0</v>
      </c>
      <c r="G87" s="305"/>
      <c r="H87" s="543">
        <v>1000</v>
      </c>
      <c r="I87" s="1"/>
      <c r="J87" s="128">
        <f t="shared" si="1"/>
        <v>0</v>
      </c>
    </row>
    <row r="88" spans="1:10" ht="18" customHeight="1" x14ac:dyDescent="0.3">
      <c r="A88" s="546">
        <v>109</v>
      </c>
      <c r="B88" s="260" t="s">
        <v>1646</v>
      </c>
      <c r="C88" s="260" t="s">
        <v>1584</v>
      </c>
      <c r="D88" s="439" t="s">
        <v>1578</v>
      </c>
      <c r="E88" s="555" t="e">
        <f>+VLOOKUP(A88,#REF!,10,0)/H88</f>
        <v>#REF!</v>
      </c>
      <c r="F88" s="305">
        <v>0</v>
      </c>
      <c r="G88" s="305">
        <v>300</v>
      </c>
      <c r="H88" s="543">
        <v>1000</v>
      </c>
      <c r="I88" s="1"/>
      <c r="J88" s="128">
        <f t="shared" si="1"/>
        <v>300</v>
      </c>
    </row>
    <row r="89" spans="1:10" ht="18" customHeight="1" x14ac:dyDescent="0.3">
      <c r="A89" s="302">
        <v>119</v>
      </c>
      <c r="B89" s="260" t="s">
        <v>1652</v>
      </c>
      <c r="C89" s="260" t="s">
        <v>1606</v>
      </c>
      <c r="D89" s="439" t="s">
        <v>1579</v>
      </c>
      <c r="E89" s="555" t="e">
        <f>+VLOOKUP(A89,#REF!,10,0)/H89</f>
        <v>#REF!</v>
      </c>
      <c r="F89" s="305">
        <v>11</v>
      </c>
      <c r="G89" s="305"/>
      <c r="H89" s="543">
        <v>1000</v>
      </c>
      <c r="I89" s="1"/>
      <c r="J89" s="128">
        <f t="shared" si="1"/>
        <v>11000</v>
      </c>
    </row>
    <row r="90" spans="1:10" ht="18" customHeight="1" x14ac:dyDescent="0.3">
      <c r="A90" s="302">
        <v>332</v>
      </c>
      <c r="B90" s="260" t="s">
        <v>746</v>
      </c>
      <c r="C90" s="260" t="s">
        <v>1353</v>
      </c>
      <c r="D90" s="439" t="s">
        <v>918</v>
      </c>
      <c r="E90" s="555" t="e">
        <f>+VLOOKUP(A90,#REF!,10,0)/H90</f>
        <v>#REF!</v>
      </c>
      <c r="F90" s="305">
        <v>0</v>
      </c>
      <c r="G90" s="305">
        <v>1800</v>
      </c>
      <c r="H90" s="543">
        <v>2500</v>
      </c>
      <c r="I90" s="1"/>
      <c r="J90" s="128">
        <f t="shared" si="1"/>
        <v>1800</v>
      </c>
    </row>
    <row r="91" spans="1:10" ht="18" customHeight="1" x14ac:dyDescent="0.3">
      <c r="A91" s="302">
        <v>334</v>
      </c>
      <c r="B91" s="260" t="s">
        <v>746</v>
      </c>
      <c r="C91" s="260" t="s">
        <v>1354</v>
      </c>
      <c r="D91" s="439" t="s">
        <v>920</v>
      </c>
      <c r="E91" s="555" t="e">
        <f>+VLOOKUP(A91,#REF!,10,0)/H91</f>
        <v>#REF!</v>
      </c>
      <c r="F91" s="305">
        <v>0</v>
      </c>
      <c r="G91" s="305"/>
      <c r="H91" s="543">
        <v>2500</v>
      </c>
      <c r="I91" s="1"/>
      <c r="J91" s="128">
        <f t="shared" si="1"/>
        <v>0</v>
      </c>
    </row>
    <row r="92" spans="1:10" ht="18" customHeight="1" x14ac:dyDescent="0.3">
      <c r="A92" s="302">
        <v>336</v>
      </c>
      <c r="B92" s="260" t="s">
        <v>746</v>
      </c>
      <c r="C92" s="260" t="s">
        <v>1356</v>
      </c>
      <c r="D92" s="439" t="s">
        <v>1240</v>
      </c>
      <c r="E92" s="555" t="e">
        <f>+VLOOKUP(A92,#REF!,10,0)/H92</f>
        <v>#REF!</v>
      </c>
      <c r="F92" s="305">
        <v>2</v>
      </c>
      <c r="G92" s="305">
        <v>250</v>
      </c>
      <c r="H92" s="543">
        <v>2500</v>
      </c>
      <c r="I92" s="1"/>
      <c r="J92" s="128">
        <f t="shared" si="1"/>
        <v>5250</v>
      </c>
    </row>
    <row r="93" spans="1:10" ht="18" customHeight="1" x14ac:dyDescent="0.3">
      <c r="A93" s="302">
        <v>337</v>
      </c>
      <c r="B93" s="260" t="s">
        <v>746</v>
      </c>
      <c r="C93" s="260" t="s">
        <v>1357</v>
      </c>
      <c r="D93" s="439" t="s">
        <v>1241</v>
      </c>
      <c r="E93" s="555" t="e">
        <f>+VLOOKUP(A93,#REF!,10,0)/H93</f>
        <v>#REF!</v>
      </c>
      <c r="F93" s="305">
        <v>0</v>
      </c>
      <c r="G93" s="305">
        <v>2000</v>
      </c>
      <c r="H93" s="543">
        <v>2500</v>
      </c>
      <c r="I93" s="1"/>
      <c r="J93" s="128">
        <f t="shared" si="1"/>
        <v>2000</v>
      </c>
    </row>
    <row r="94" spans="1:10" ht="18" customHeight="1" x14ac:dyDescent="0.3">
      <c r="A94" s="302">
        <v>338</v>
      </c>
      <c r="B94" s="260" t="s">
        <v>746</v>
      </c>
      <c r="C94" s="260" t="s">
        <v>1358</v>
      </c>
      <c r="D94" s="439" t="s">
        <v>1242</v>
      </c>
      <c r="E94" s="555" t="e">
        <f>+VLOOKUP(A94,#REF!,10,0)/H94</f>
        <v>#REF!</v>
      </c>
      <c r="F94" s="305">
        <v>1</v>
      </c>
      <c r="G94" s="305">
        <v>490</v>
      </c>
      <c r="H94" s="543">
        <v>2500</v>
      </c>
      <c r="I94" s="1"/>
      <c r="J94" s="128">
        <f t="shared" si="1"/>
        <v>2990</v>
      </c>
    </row>
    <row r="95" spans="1:10" ht="18" customHeight="1" x14ac:dyDescent="0.3">
      <c r="A95" s="302">
        <v>389</v>
      </c>
      <c r="B95" s="260" t="s">
        <v>746</v>
      </c>
      <c r="C95" s="260" t="s">
        <v>1368</v>
      </c>
      <c r="D95" s="439" t="s">
        <v>1431</v>
      </c>
      <c r="E95" s="555" t="e">
        <f>+VLOOKUP(A95,#REF!,10,0)/H95</f>
        <v>#REF!</v>
      </c>
      <c r="F95" s="305">
        <v>1</v>
      </c>
      <c r="G95" s="305">
        <v>500</v>
      </c>
      <c r="H95" s="543">
        <v>2500</v>
      </c>
      <c r="I95" s="1"/>
      <c r="J95" s="128">
        <f t="shared" si="1"/>
        <v>3000</v>
      </c>
    </row>
    <row r="96" spans="1:10" ht="18" customHeight="1" x14ac:dyDescent="0.3">
      <c r="A96" s="302">
        <v>315</v>
      </c>
      <c r="B96" s="260" t="s">
        <v>746</v>
      </c>
      <c r="C96" s="260" t="s">
        <v>766</v>
      </c>
      <c r="D96" s="439" t="s">
        <v>1430</v>
      </c>
      <c r="E96" s="555" t="e">
        <f>+VLOOKUP(A96,#REF!,10,0)/H96</f>
        <v>#REF!</v>
      </c>
      <c r="F96" s="305">
        <v>1</v>
      </c>
      <c r="G96" s="305">
        <v>1500</v>
      </c>
      <c r="H96" s="543">
        <v>2500</v>
      </c>
      <c r="I96" s="1"/>
      <c r="J96" s="128">
        <f t="shared" si="1"/>
        <v>4000</v>
      </c>
    </row>
    <row r="97" spans="1:10" ht="18" customHeight="1" x14ac:dyDescent="0.3">
      <c r="A97" s="302">
        <v>390</v>
      </c>
      <c r="B97" s="260" t="s">
        <v>746</v>
      </c>
      <c r="C97" s="260" t="s">
        <v>1359</v>
      </c>
      <c r="D97" s="439" t="s">
        <v>1568</v>
      </c>
      <c r="E97" s="555" t="e">
        <f>+VLOOKUP(A97,#REF!,10,0)/H97</f>
        <v>#REF!</v>
      </c>
      <c r="F97" s="305">
        <v>0</v>
      </c>
      <c r="G97" s="305">
        <v>1250</v>
      </c>
      <c r="H97" s="543">
        <v>2500</v>
      </c>
      <c r="I97" s="1"/>
      <c r="J97" s="128">
        <f t="shared" si="1"/>
        <v>1250</v>
      </c>
    </row>
    <row r="98" spans="1:10" ht="18" customHeight="1" x14ac:dyDescent="0.3">
      <c r="A98" s="302">
        <v>27</v>
      </c>
      <c r="B98" s="260" t="s">
        <v>746</v>
      </c>
      <c r="C98" s="260" t="s">
        <v>1363</v>
      </c>
      <c r="D98" s="439" t="s">
        <v>1254</v>
      </c>
      <c r="E98" s="555" t="e">
        <f>+VLOOKUP(A98,#REF!,10,0)/H98</f>
        <v>#REF!</v>
      </c>
      <c r="F98" s="305">
        <v>5</v>
      </c>
      <c r="G98" s="305">
        <v>500</v>
      </c>
      <c r="H98" s="543">
        <v>2500</v>
      </c>
      <c r="I98" s="1"/>
      <c r="J98" s="128">
        <f t="shared" si="1"/>
        <v>13000</v>
      </c>
    </row>
    <row r="99" spans="1:10" ht="18" customHeight="1" x14ac:dyDescent="0.3">
      <c r="A99" s="302">
        <v>26</v>
      </c>
      <c r="B99" s="260" t="s">
        <v>746</v>
      </c>
      <c r="C99" s="260" t="s">
        <v>1362</v>
      </c>
      <c r="D99" s="439" t="s">
        <v>1255</v>
      </c>
      <c r="E99" s="555" t="e">
        <f>+VLOOKUP(A99,#REF!,10,0)/H99</f>
        <v>#REF!</v>
      </c>
      <c r="F99" s="305">
        <v>12</v>
      </c>
      <c r="G99" s="305">
        <v>2180</v>
      </c>
      <c r="H99" s="543">
        <v>2500</v>
      </c>
      <c r="I99" s="1"/>
      <c r="J99" s="128">
        <f t="shared" si="1"/>
        <v>32180</v>
      </c>
    </row>
    <row r="100" spans="1:10" ht="18" customHeight="1" x14ac:dyDescent="0.3">
      <c r="A100" s="302">
        <v>28</v>
      </c>
      <c r="B100" s="260" t="s">
        <v>746</v>
      </c>
      <c r="C100" s="260" t="s">
        <v>1637</v>
      </c>
      <c r="D100" s="439" t="s">
        <v>922</v>
      </c>
      <c r="E100" s="555" t="e">
        <f>+VLOOKUP(A100,#REF!,10,0)/H100</f>
        <v>#REF!</v>
      </c>
      <c r="F100" s="305">
        <v>3</v>
      </c>
      <c r="G100" s="305">
        <v>1750</v>
      </c>
      <c r="H100" s="543">
        <v>1000</v>
      </c>
      <c r="I100" s="1"/>
      <c r="J100" s="128">
        <f t="shared" si="1"/>
        <v>4750</v>
      </c>
    </row>
    <row r="101" spans="1:10" ht="18" customHeight="1" x14ac:dyDescent="0.3">
      <c r="A101" s="302">
        <v>325</v>
      </c>
      <c r="B101" s="260" t="s">
        <v>746</v>
      </c>
      <c r="C101" s="260" t="s">
        <v>771</v>
      </c>
      <c r="D101" s="439" t="s">
        <v>1569</v>
      </c>
      <c r="E101" s="555" t="e">
        <f>+VLOOKUP(A101,#REF!,10,0)/H101</f>
        <v>#REF!</v>
      </c>
      <c r="F101" s="305">
        <v>0</v>
      </c>
      <c r="G101" s="305">
        <v>2400</v>
      </c>
      <c r="H101" s="543">
        <v>2500</v>
      </c>
      <c r="I101" s="1"/>
      <c r="J101" s="128">
        <f t="shared" si="1"/>
        <v>2400</v>
      </c>
    </row>
    <row r="102" spans="1:10" ht="18" customHeight="1" x14ac:dyDescent="0.3">
      <c r="A102" s="302">
        <v>223</v>
      </c>
      <c r="B102" s="260" t="s">
        <v>746</v>
      </c>
      <c r="C102" s="260" t="s">
        <v>1346</v>
      </c>
      <c r="D102" s="439" t="s">
        <v>1249</v>
      </c>
      <c r="E102" s="555" t="e">
        <f>+VLOOKUP(A102,#REF!,10,0)/H102</f>
        <v>#REF!</v>
      </c>
      <c r="F102" s="305">
        <v>0</v>
      </c>
      <c r="G102" s="305">
        <v>1120</v>
      </c>
      <c r="H102" s="543">
        <v>2500</v>
      </c>
      <c r="I102" s="1"/>
      <c r="J102" s="128">
        <f t="shared" si="1"/>
        <v>1120</v>
      </c>
    </row>
    <row r="103" spans="1:10" ht="18" customHeight="1" x14ac:dyDescent="0.3">
      <c r="A103" s="302">
        <v>222</v>
      </c>
      <c r="B103" s="260" t="s">
        <v>746</v>
      </c>
      <c r="C103" s="260" t="s">
        <v>1347</v>
      </c>
      <c r="D103" s="439" t="s">
        <v>1250</v>
      </c>
      <c r="E103" s="555" t="e">
        <f>+VLOOKUP(A103,#REF!,10,0)/H103</f>
        <v>#REF!</v>
      </c>
      <c r="F103" s="305">
        <v>0</v>
      </c>
      <c r="G103" s="305">
        <v>1000</v>
      </c>
      <c r="H103" s="543">
        <v>2500</v>
      </c>
      <c r="I103" s="1"/>
      <c r="J103" s="128">
        <f t="shared" si="1"/>
        <v>1000</v>
      </c>
    </row>
    <row r="104" spans="1:10" ht="18" customHeight="1" x14ac:dyDescent="0.3">
      <c r="A104" s="302">
        <v>333</v>
      </c>
      <c r="B104" s="260" t="s">
        <v>746</v>
      </c>
      <c r="C104" s="260" t="s">
        <v>1181</v>
      </c>
      <c r="D104" s="439" t="s">
        <v>1562</v>
      </c>
      <c r="E104" s="555" t="e">
        <f>+VLOOKUP(A104,#REF!,10,0)/H104</f>
        <v>#REF!</v>
      </c>
      <c r="F104" s="305">
        <v>1</v>
      </c>
      <c r="G104" s="305"/>
      <c r="H104" s="543">
        <v>2500</v>
      </c>
      <c r="I104" s="1"/>
      <c r="J104" s="128">
        <f t="shared" si="1"/>
        <v>2500</v>
      </c>
    </row>
    <row r="105" spans="1:10" ht="18" customHeight="1" x14ac:dyDescent="0.3">
      <c r="A105" s="302">
        <v>221</v>
      </c>
      <c r="B105" s="260" t="s">
        <v>746</v>
      </c>
      <c r="C105" s="260" t="s">
        <v>1348</v>
      </c>
      <c r="D105" s="439" t="s">
        <v>1251</v>
      </c>
      <c r="E105" s="555" t="e">
        <f>+VLOOKUP(A105,#REF!,10,0)/H105</f>
        <v>#REF!</v>
      </c>
      <c r="F105" s="305">
        <v>0</v>
      </c>
      <c r="G105" s="305">
        <v>1230</v>
      </c>
      <c r="H105" s="543">
        <v>2500</v>
      </c>
      <c r="I105" s="1"/>
      <c r="J105" s="128">
        <f t="shared" si="1"/>
        <v>1230</v>
      </c>
    </row>
    <row r="106" spans="1:10" ht="18" customHeight="1" x14ac:dyDescent="0.3">
      <c r="A106" s="302">
        <v>224</v>
      </c>
      <c r="B106" s="260" t="s">
        <v>746</v>
      </c>
      <c r="C106" s="260" t="s">
        <v>1349</v>
      </c>
      <c r="D106" s="439" t="s">
        <v>1427</v>
      </c>
      <c r="E106" s="555" t="e">
        <f>+VLOOKUP(A106,#REF!,10,0)/H106</f>
        <v>#REF!</v>
      </c>
      <c r="F106" s="305">
        <v>2</v>
      </c>
      <c r="G106" s="305"/>
      <c r="H106" s="543">
        <v>2500</v>
      </c>
      <c r="I106" s="1"/>
      <c r="J106" s="128">
        <f t="shared" si="1"/>
        <v>5000</v>
      </c>
    </row>
    <row r="107" spans="1:10" ht="18" customHeight="1" x14ac:dyDescent="0.3">
      <c r="A107" s="302">
        <v>220</v>
      </c>
      <c r="B107" s="260" t="s">
        <v>746</v>
      </c>
      <c r="C107" s="260" t="s">
        <v>1345</v>
      </c>
      <c r="D107" s="439" t="s">
        <v>1426</v>
      </c>
      <c r="E107" s="555" t="e">
        <f>+VLOOKUP(A107,#REF!,10,0)/H107</f>
        <v>#REF!</v>
      </c>
      <c r="F107" s="305">
        <v>2</v>
      </c>
      <c r="G107" s="305">
        <v>1120</v>
      </c>
      <c r="H107" s="543">
        <v>2500</v>
      </c>
      <c r="I107" s="1"/>
      <c r="J107" s="128">
        <f t="shared" si="1"/>
        <v>6120</v>
      </c>
    </row>
    <row r="108" spans="1:10" ht="18" customHeight="1" x14ac:dyDescent="0.3">
      <c r="A108" s="302">
        <v>392</v>
      </c>
      <c r="B108" s="260" t="s">
        <v>746</v>
      </c>
      <c r="C108" s="260" t="s">
        <v>1350</v>
      </c>
      <c r="D108" s="439" t="s">
        <v>1252</v>
      </c>
      <c r="E108" s="555" t="e">
        <f>+VLOOKUP(A108,#REF!,10,0)/H108</f>
        <v>#REF!</v>
      </c>
      <c r="F108" s="305">
        <v>0</v>
      </c>
      <c r="G108" s="305">
        <v>1000</v>
      </c>
      <c r="H108" s="543">
        <v>2500</v>
      </c>
      <c r="I108" s="1"/>
      <c r="J108" s="128">
        <f t="shared" si="1"/>
        <v>1000</v>
      </c>
    </row>
    <row r="109" spans="1:10" ht="18" customHeight="1" x14ac:dyDescent="0.3">
      <c r="A109" s="302">
        <v>394</v>
      </c>
      <c r="B109" s="260" t="s">
        <v>746</v>
      </c>
      <c r="C109" s="260" t="s">
        <v>785</v>
      </c>
      <c r="D109" s="439" t="s">
        <v>1253</v>
      </c>
      <c r="E109" s="555" t="e">
        <f>+VLOOKUP(A109,#REF!,10,0)/H109</f>
        <v>#REF!</v>
      </c>
      <c r="F109" s="305">
        <v>0</v>
      </c>
      <c r="G109" s="305">
        <v>2000</v>
      </c>
      <c r="H109" s="543">
        <v>2500</v>
      </c>
      <c r="I109" s="1"/>
      <c r="J109" s="128">
        <f t="shared" si="1"/>
        <v>2000</v>
      </c>
    </row>
    <row r="110" spans="1:10" ht="18" customHeight="1" x14ac:dyDescent="0.3">
      <c r="A110" s="302">
        <v>225</v>
      </c>
      <c r="B110" s="260" t="s">
        <v>746</v>
      </c>
      <c r="C110" s="260" t="s">
        <v>1326</v>
      </c>
      <c r="D110" s="439" t="s">
        <v>1564</v>
      </c>
      <c r="E110" s="555" t="e">
        <f>+VLOOKUP(A110,#REF!,10,0)/H110</f>
        <v>#REF!</v>
      </c>
      <c r="F110" s="305">
        <v>2</v>
      </c>
      <c r="G110" s="305">
        <v>1550</v>
      </c>
      <c r="H110" s="543">
        <v>2500</v>
      </c>
      <c r="I110" s="1"/>
      <c r="J110" s="128">
        <f t="shared" si="1"/>
        <v>6550</v>
      </c>
    </row>
    <row r="111" spans="1:10" ht="18" customHeight="1" x14ac:dyDescent="0.3">
      <c r="A111" s="302">
        <v>391</v>
      </c>
      <c r="B111" s="260" t="s">
        <v>746</v>
      </c>
      <c r="C111" s="260" t="s">
        <v>1351</v>
      </c>
      <c r="D111" s="439" t="s">
        <v>1428</v>
      </c>
      <c r="E111" s="555" t="e">
        <f>+VLOOKUP(A111,#REF!,10,0)/H111</f>
        <v>#REF!</v>
      </c>
      <c r="F111" s="305">
        <v>0</v>
      </c>
      <c r="G111" s="305">
        <v>1220</v>
      </c>
      <c r="H111" s="543">
        <v>2500</v>
      </c>
      <c r="I111" s="1"/>
      <c r="J111" s="128">
        <f t="shared" si="1"/>
        <v>1220</v>
      </c>
    </row>
    <row r="112" spans="1:10" ht="18" customHeight="1" x14ac:dyDescent="0.3">
      <c r="A112" s="302">
        <v>393</v>
      </c>
      <c r="B112" s="260" t="s">
        <v>746</v>
      </c>
      <c r="C112" s="260" t="s">
        <v>1352</v>
      </c>
      <c r="D112" s="439" t="s">
        <v>1429</v>
      </c>
      <c r="E112" s="555" t="e">
        <f>+VLOOKUP(A112,#REF!,10,0)/H112</f>
        <v>#REF!</v>
      </c>
      <c r="F112" s="305">
        <v>0</v>
      </c>
      <c r="G112" s="305">
        <v>750</v>
      </c>
      <c r="H112" s="543">
        <v>2500</v>
      </c>
      <c r="I112" s="1"/>
      <c r="J112" s="128">
        <f t="shared" si="1"/>
        <v>750</v>
      </c>
    </row>
    <row r="113" spans="1:10" ht="18" customHeight="1" x14ac:dyDescent="0.3">
      <c r="A113" s="302">
        <v>29</v>
      </c>
      <c r="B113" s="260" t="s">
        <v>746</v>
      </c>
      <c r="C113" s="260" t="s">
        <v>1323</v>
      </c>
      <c r="D113" s="439" t="s">
        <v>1561</v>
      </c>
      <c r="E113" s="555" t="e">
        <f>+VLOOKUP(A113,#REF!,10,0)/H113</f>
        <v>#REF!</v>
      </c>
      <c r="F113" s="305">
        <v>1</v>
      </c>
      <c r="G113" s="305"/>
      <c r="H113" s="543">
        <v>2500</v>
      </c>
      <c r="I113" s="1"/>
      <c r="J113" s="128">
        <f t="shared" si="1"/>
        <v>2500</v>
      </c>
    </row>
    <row r="114" spans="1:10" ht="18" customHeight="1" thickBot="1" x14ac:dyDescent="0.35">
      <c r="A114" s="302">
        <v>30</v>
      </c>
      <c r="B114" s="260" t="s">
        <v>746</v>
      </c>
      <c r="C114" s="260" t="s">
        <v>1361</v>
      </c>
      <c r="D114" s="439" t="s">
        <v>1563</v>
      </c>
      <c r="E114" s="555" t="e">
        <f>+VLOOKUP(A114,#REF!,10,0)/H114</f>
        <v>#REF!</v>
      </c>
      <c r="F114" s="305">
        <v>2</v>
      </c>
      <c r="G114" s="305"/>
      <c r="H114" s="543">
        <v>2500</v>
      </c>
      <c r="I114" s="1"/>
      <c r="J114" s="128">
        <f t="shared" si="1"/>
        <v>5000</v>
      </c>
    </row>
    <row r="115" spans="1:10" ht="18" customHeight="1" x14ac:dyDescent="0.3">
      <c r="A115" s="297">
        <v>862</v>
      </c>
      <c r="B115" s="261" t="s">
        <v>1041</v>
      </c>
      <c r="C115" s="261" t="s">
        <v>1276</v>
      </c>
      <c r="D115" s="438" t="s">
        <v>871</v>
      </c>
      <c r="E115" s="556" t="e">
        <f>+VLOOKUP(A115,#REF!,10,0)/H115</f>
        <v>#REF!</v>
      </c>
      <c r="F115" s="305">
        <v>1</v>
      </c>
      <c r="G115" s="305">
        <v>300</v>
      </c>
      <c r="H115" s="547">
        <v>1000</v>
      </c>
      <c r="I115" s="1"/>
      <c r="J115" s="489">
        <f t="shared" si="1"/>
        <v>1300</v>
      </c>
    </row>
    <row r="116" spans="1:10" ht="18" customHeight="1" x14ac:dyDescent="0.3">
      <c r="A116" s="302">
        <v>859</v>
      </c>
      <c r="B116" s="260" t="s">
        <v>1041</v>
      </c>
      <c r="C116" s="260" t="s">
        <v>1369</v>
      </c>
      <c r="D116" s="439" t="s">
        <v>874</v>
      </c>
      <c r="E116" s="555" t="e">
        <f>+VLOOKUP(A116,#REF!,10,0)/H116</f>
        <v>#REF!</v>
      </c>
      <c r="F116" s="305">
        <v>1</v>
      </c>
      <c r="G116" s="305"/>
      <c r="H116" s="543">
        <v>1000</v>
      </c>
      <c r="I116" s="1"/>
      <c r="J116" s="128">
        <f t="shared" si="1"/>
        <v>1000</v>
      </c>
    </row>
    <row r="117" spans="1:10" ht="18" customHeight="1" x14ac:dyDescent="0.3">
      <c r="A117" s="302">
        <v>720</v>
      </c>
      <c r="B117" s="260" t="s">
        <v>1041</v>
      </c>
      <c r="C117" s="260" t="s">
        <v>1179</v>
      </c>
      <c r="D117" s="439" t="s">
        <v>872</v>
      </c>
      <c r="E117" s="555" t="e">
        <f>+VLOOKUP(A117,#REF!,10,0)/H117</f>
        <v>#REF!</v>
      </c>
      <c r="F117" s="305">
        <v>2</v>
      </c>
      <c r="G117" s="305">
        <v>280</v>
      </c>
      <c r="H117" s="543">
        <v>1000</v>
      </c>
      <c r="I117" s="1"/>
      <c r="J117" s="128">
        <f t="shared" si="1"/>
        <v>2280</v>
      </c>
    </row>
    <row r="118" spans="1:10" ht="18" customHeight="1" x14ac:dyDescent="0.3">
      <c r="A118" s="302">
        <v>722</v>
      </c>
      <c r="B118" s="260" t="s">
        <v>1041</v>
      </c>
      <c r="C118" s="260" t="s">
        <v>1180</v>
      </c>
      <c r="D118" s="439" t="s">
        <v>873</v>
      </c>
      <c r="E118" s="555" t="e">
        <f>+VLOOKUP(A118,#REF!,10,0)/H118</f>
        <v>#REF!</v>
      </c>
      <c r="F118" s="305">
        <v>0</v>
      </c>
      <c r="G118" s="305">
        <v>270</v>
      </c>
      <c r="H118" s="543">
        <v>1000</v>
      </c>
      <c r="I118" s="1"/>
      <c r="J118" s="128">
        <f t="shared" si="1"/>
        <v>270</v>
      </c>
    </row>
    <row r="119" spans="1:10" ht="18" customHeight="1" x14ac:dyDescent="0.3">
      <c r="A119" s="302">
        <v>54</v>
      </c>
      <c r="B119" s="260" t="s">
        <v>1041</v>
      </c>
      <c r="C119" s="260" t="s">
        <v>1381</v>
      </c>
      <c r="D119" s="439" t="s">
        <v>893</v>
      </c>
      <c r="E119" s="555" t="e">
        <f>+VLOOKUP(A119,#REF!,10,0)/H119</f>
        <v>#REF!</v>
      </c>
      <c r="F119" s="305">
        <v>1</v>
      </c>
      <c r="G119" s="305">
        <v>550</v>
      </c>
      <c r="H119" s="543">
        <v>1000</v>
      </c>
      <c r="I119" s="1"/>
      <c r="J119" s="128">
        <f t="shared" si="1"/>
        <v>1550</v>
      </c>
    </row>
    <row r="120" spans="1:10" ht="18" customHeight="1" x14ac:dyDescent="0.3">
      <c r="A120" s="302">
        <v>702</v>
      </c>
      <c r="B120" s="260" t="s">
        <v>1041</v>
      </c>
      <c r="C120" s="260" t="s">
        <v>1370</v>
      </c>
      <c r="D120" s="439" t="s">
        <v>900</v>
      </c>
      <c r="E120" s="555" t="e">
        <f>+VLOOKUP(A120,#REF!,10,0)/H120</f>
        <v>#REF!</v>
      </c>
      <c r="F120" s="305">
        <v>4</v>
      </c>
      <c r="G120" s="305">
        <v>610</v>
      </c>
      <c r="H120" s="543">
        <v>1000</v>
      </c>
      <c r="I120" s="1"/>
      <c r="J120" s="128">
        <f t="shared" si="1"/>
        <v>4610</v>
      </c>
    </row>
    <row r="121" spans="1:10" ht="18" customHeight="1" x14ac:dyDescent="0.3">
      <c r="A121" s="302">
        <v>707</v>
      </c>
      <c r="B121" s="260" t="s">
        <v>1041</v>
      </c>
      <c r="C121" s="260" t="s">
        <v>243</v>
      </c>
      <c r="D121" s="439" t="s">
        <v>894</v>
      </c>
      <c r="E121" s="555" t="e">
        <f>+VLOOKUP(A121,#REF!,10,0)/H121</f>
        <v>#REF!</v>
      </c>
      <c r="F121" s="305">
        <v>2</v>
      </c>
      <c r="G121" s="305">
        <v>900</v>
      </c>
      <c r="H121" s="543">
        <v>1000</v>
      </c>
      <c r="I121" s="1"/>
      <c r="J121" s="128">
        <f t="shared" si="1"/>
        <v>2900</v>
      </c>
    </row>
    <row r="122" spans="1:10" ht="18" customHeight="1" x14ac:dyDescent="0.3">
      <c r="A122" s="302">
        <v>701</v>
      </c>
      <c r="B122" s="260" t="s">
        <v>1041</v>
      </c>
      <c r="C122" s="260" t="s">
        <v>1189</v>
      </c>
      <c r="D122" s="439" t="s">
        <v>901</v>
      </c>
      <c r="E122" s="555" t="e">
        <f>+VLOOKUP(A122,#REF!,10,0)/H122</f>
        <v>#REF!</v>
      </c>
      <c r="F122" s="305">
        <v>11</v>
      </c>
      <c r="G122" s="305">
        <v>270</v>
      </c>
      <c r="H122" s="543">
        <v>1000</v>
      </c>
      <c r="I122" s="1"/>
      <c r="J122" s="128">
        <f t="shared" si="1"/>
        <v>11270</v>
      </c>
    </row>
    <row r="123" spans="1:10" ht="18" customHeight="1" x14ac:dyDescent="0.3">
      <c r="A123" s="302">
        <v>723</v>
      </c>
      <c r="B123" s="260" t="s">
        <v>1041</v>
      </c>
      <c r="C123" s="260" t="s">
        <v>1184</v>
      </c>
      <c r="D123" s="439" t="s">
        <v>902</v>
      </c>
      <c r="E123" s="555" t="e">
        <f>+VLOOKUP(A123,#REF!,10,0)/H123</f>
        <v>#REF!</v>
      </c>
      <c r="F123" s="305">
        <v>0</v>
      </c>
      <c r="G123" s="305"/>
      <c r="H123" s="543">
        <v>1000</v>
      </c>
      <c r="I123" s="1"/>
      <c r="J123" s="128">
        <f t="shared" si="1"/>
        <v>0</v>
      </c>
    </row>
    <row r="124" spans="1:10" ht="18" customHeight="1" x14ac:dyDescent="0.3">
      <c r="A124" s="302">
        <v>864</v>
      </c>
      <c r="B124" s="260" t="s">
        <v>1041</v>
      </c>
      <c r="C124" s="260" t="s">
        <v>1187</v>
      </c>
      <c r="D124" s="439" t="s">
        <v>879</v>
      </c>
      <c r="E124" s="555" t="e">
        <f>+VLOOKUP(A124,#REF!,10,0)/H124</f>
        <v>#REF!</v>
      </c>
      <c r="F124" s="305">
        <v>3</v>
      </c>
      <c r="G124" s="305"/>
      <c r="H124" s="543">
        <v>1000</v>
      </c>
      <c r="I124" s="1"/>
      <c r="J124" s="128">
        <f t="shared" si="1"/>
        <v>3000</v>
      </c>
    </row>
    <row r="125" spans="1:10" ht="18" customHeight="1" x14ac:dyDescent="0.3">
      <c r="A125" s="302">
        <v>802</v>
      </c>
      <c r="B125" s="260" t="s">
        <v>1041</v>
      </c>
      <c r="C125" s="260" t="s">
        <v>1193</v>
      </c>
      <c r="D125" s="439" t="s">
        <v>880</v>
      </c>
      <c r="E125" s="555" t="e">
        <f>+VLOOKUP(A125,#REF!,10,0)/H125</f>
        <v>#REF!</v>
      </c>
      <c r="F125" s="305">
        <v>2</v>
      </c>
      <c r="G125" s="305">
        <v>300</v>
      </c>
      <c r="H125" s="543">
        <v>1000</v>
      </c>
      <c r="I125" s="1"/>
      <c r="J125" s="128">
        <f t="shared" si="1"/>
        <v>2300</v>
      </c>
    </row>
    <row r="126" spans="1:10" ht="18" customHeight="1" x14ac:dyDescent="0.3">
      <c r="A126" s="302">
        <v>719</v>
      </c>
      <c r="B126" s="260" t="s">
        <v>1041</v>
      </c>
      <c r="C126" s="260" t="s">
        <v>1371</v>
      </c>
      <c r="D126" s="439" t="s">
        <v>1039</v>
      </c>
      <c r="E126" s="555" t="e">
        <f>+VLOOKUP(A126,#REF!,10,0)/H126</f>
        <v>#REF!</v>
      </c>
      <c r="F126" s="305">
        <v>0</v>
      </c>
      <c r="G126" s="305">
        <v>1000</v>
      </c>
      <c r="H126" s="543">
        <v>1000</v>
      </c>
      <c r="I126" s="1"/>
      <c r="J126" s="128">
        <f t="shared" si="1"/>
        <v>1000</v>
      </c>
    </row>
    <row r="127" spans="1:10" ht="18" customHeight="1" x14ac:dyDescent="0.3">
      <c r="A127" s="302">
        <v>99</v>
      </c>
      <c r="B127" s="260" t="s">
        <v>1041</v>
      </c>
      <c r="C127" s="260" t="s">
        <v>1504</v>
      </c>
      <c r="D127" s="439" t="s">
        <v>1035</v>
      </c>
      <c r="E127" s="555" t="e">
        <f>+VLOOKUP(A127,#REF!,10,0)/H127</f>
        <v>#REF!</v>
      </c>
      <c r="F127" s="305">
        <v>6</v>
      </c>
      <c r="G127" s="305">
        <v>900</v>
      </c>
      <c r="H127" s="543">
        <v>1000</v>
      </c>
      <c r="I127" s="1"/>
      <c r="J127" s="128">
        <f t="shared" si="1"/>
        <v>6900</v>
      </c>
    </row>
    <row r="128" spans="1:10" ht="18" customHeight="1" x14ac:dyDescent="0.3">
      <c r="A128" s="302">
        <v>732</v>
      </c>
      <c r="B128" s="260" t="s">
        <v>1041</v>
      </c>
      <c r="C128" s="260" t="s">
        <v>1372</v>
      </c>
      <c r="D128" s="439" t="s">
        <v>1033</v>
      </c>
      <c r="E128" s="555" t="e">
        <f>+VLOOKUP(A128,#REF!,10,0)/H128</f>
        <v>#REF!</v>
      </c>
      <c r="F128" s="305">
        <v>1</v>
      </c>
      <c r="G128" s="305"/>
      <c r="H128" s="543">
        <v>1000</v>
      </c>
      <c r="I128" s="1"/>
      <c r="J128" s="128">
        <f t="shared" si="1"/>
        <v>1000</v>
      </c>
    </row>
    <row r="129" spans="1:10" ht="18" customHeight="1" x14ac:dyDescent="0.3">
      <c r="A129" s="302">
        <v>700</v>
      </c>
      <c r="B129" s="260" t="s">
        <v>1041</v>
      </c>
      <c r="C129" s="260" t="s">
        <v>1373</v>
      </c>
      <c r="D129" s="439" t="s">
        <v>870</v>
      </c>
      <c r="E129" s="555" t="e">
        <f>+VLOOKUP(A129,#REF!,10,0)/H129</f>
        <v>#REF!</v>
      </c>
      <c r="F129" s="305">
        <v>8</v>
      </c>
      <c r="G129" s="305"/>
      <c r="H129" s="543">
        <v>2000</v>
      </c>
      <c r="I129" s="1"/>
      <c r="J129" s="128">
        <f t="shared" si="1"/>
        <v>16000</v>
      </c>
    </row>
    <row r="130" spans="1:10" ht="18" customHeight="1" x14ac:dyDescent="0.3">
      <c r="A130" s="302">
        <v>615</v>
      </c>
      <c r="B130" s="260" t="s">
        <v>1041</v>
      </c>
      <c r="C130" s="260" t="s">
        <v>1195</v>
      </c>
      <c r="D130" s="439" t="s">
        <v>882</v>
      </c>
      <c r="E130" s="555" t="e">
        <f>+VLOOKUP(A130,#REF!,10,0)/H130</f>
        <v>#REF!</v>
      </c>
      <c r="F130" s="305">
        <v>1</v>
      </c>
      <c r="G130" s="305">
        <v>500</v>
      </c>
      <c r="H130" s="543">
        <v>1000</v>
      </c>
      <c r="I130" s="1"/>
      <c r="J130" s="128">
        <f t="shared" si="1"/>
        <v>1500</v>
      </c>
    </row>
    <row r="131" spans="1:10" ht="18" customHeight="1" x14ac:dyDescent="0.3">
      <c r="A131" s="302">
        <v>817</v>
      </c>
      <c r="B131" s="260" t="s">
        <v>1041</v>
      </c>
      <c r="C131" s="260" t="s">
        <v>1328</v>
      </c>
      <c r="D131" s="439" t="s">
        <v>883</v>
      </c>
      <c r="E131" s="555" t="e">
        <f>+VLOOKUP(A131,#REF!,10,0)/H131</f>
        <v>#REF!</v>
      </c>
      <c r="F131" s="305">
        <v>1</v>
      </c>
      <c r="G131" s="305"/>
      <c r="H131" s="543">
        <v>1000</v>
      </c>
      <c r="I131" s="1"/>
      <c r="J131" s="128">
        <f t="shared" si="1"/>
        <v>1000</v>
      </c>
    </row>
    <row r="132" spans="1:10" ht="18" customHeight="1" x14ac:dyDescent="0.3">
      <c r="A132" s="302">
        <v>857</v>
      </c>
      <c r="B132" s="260" t="s">
        <v>1041</v>
      </c>
      <c r="C132" s="260" t="s">
        <v>1374</v>
      </c>
      <c r="D132" s="439" t="s">
        <v>884</v>
      </c>
      <c r="E132" s="555" t="e">
        <f>+VLOOKUP(A132,#REF!,10,0)/H132</f>
        <v>#REF!</v>
      </c>
      <c r="F132" s="305">
        <v>0</v>
      </c>
      <c r="G132" s="305"/>
      <c r="H132" s="543">
        <v>1000</v>
      </c>
      <c r="I132" s="1"/>
      <c r="J132" s="128">
        <f t="shared" si="1"/>
        <v>0</v>
      </c>
    </row>
    <row r="133" spans="1:10" ht="18" customHeight="1" x14ac:dyDescent="0.3">
      <c r="A133" s="302">
        <v>53</v>
      </c>
      <c r="B133" s="260" t="s">
        <v>1041</v>
      </c>
      <c r="C133" s="260" t="s">
        <v>1383</v>
      </c>
      <c r="D133" s="439" t="s">
        <v>896</v>
      </c>
      <c r="E133" s="555" t="e">
        <f>+VLOOKUP(A133,#REF!,10,0)/H133</f>
        <v>#REF!</v>
      </c>
      <c r="F133" s="305">
        <v>1</v>
      </c>
      <c r="G133" s="305"/>
      <c r="H133" s="543">
        <v>1000</v>
      </c>
      <c r="I133" s="1"/>
      <c r="J133" s="128">
        <f t="shared" si="1"/>
        <v>1000</v>
      </c>
    </row>
    <row r="134" spans="1:10" ht="18" customHeight="1" x14ac:dyDescent="0.3">
      <c r="A134" s="302">
        <v>856</v>
      </c>
      <c r="B134" s="260" t="s">
        <v>1041</v>
      </c>
      <c r="C134" s="260" t="s">
        <v>1342</v>
      </c>
      <c r="D134" s="439" t="s">
        <v>886</v>
      </c>
      <c r="E134" s="555" t="e">
        <f>+VLOOKUP(A134,#REF!,10,0)/H134</f>
        <v>#REF!</v>
      </c>
      <c r="F134" s="305">
        <v>0</v>
      </c>
      <c r="G134" s="305">
        <v>340</v>
      </c>
      <c r="H134" s="543">
        <v>1000</v>
      </c>
      <c r="I134" s="1"/>
      <c r="J134" s="128">
        <f t="shared" si="1"/>
        <v>340</v>
      </c>
    </row>
    <row r="135" spans="1:10" ht="18" customHeight="1" x14ac:dyDescent="0.3">
      <c r="A135" s="302">
        <v>730</v>
      </c>
      <c r="B135" s="260" t="s">
        <v>1041</v>
      </c>
      <c r="C135" s="260" t="s">
        <v>1223</v>
      </c>
      <c r="D135" s="439" t="s">
        <v>1258</v>
      </c>
      <c r="E135" s="555" t="e">
        <f>+VLOOKUP(A135,#REF!,10,0)/H135</f>
        <v>#REF!</v>
      </c>
      <c r="F135" s="305">
        <v>0</v>
      </c>
      <c r="G135" s="305">
        <v>750</v>
      </c>
      <c r="H135" s="543">
        <v>1000</v>
      </c>
      <c r="I135" s="1"/>
      <c r="J135" s="128">
        <f t="shared" si="1"/>
        <v>750</v>
      </c>
    </row>
    <row r="136" spans="1:10" ht="18" customHeight="1" x14ac:dyDescent="0.3">
      <c r="A136" s="302">
        <v>800</v>
      </c>
      <c r="B136" s="260" t="s">
        <v>1041</v>
      </c>
      <c r="C136" s="260" t="s">
        <v>1375</v>
      </c>
      <c r="D136" s="439" t="s">
        <v>898</v>
      </c>
      <c r="E136" s="555" t="e">
        <f>+VLOOKUP(A136,#REF!,10,0)/H136</f>
        <v>#REF!</v>
      </c>
      <c r="F136" s="305">
        <v>0</v>
      </c>
      <c r="G136" s="305">
        <v>750</v>
      </c>
      <c r="H136" s="543">
        <v>1000</v>
      </c>
      <c r="I136" s="1"/>
      <c r="J136" s="128">
        <f t="shared" si="1"/>
        <v>750</v>
      </c>
    </row>
    <row r="137" spans="1:10" ht="18" customHeight="1" x14ac:dyDescent="0.3">
      <c r="A137" s="302">
        <v>709</v>
      </c>
      <c r="B137" s="260" t="s">
        <v>1041</v>
      </c>
      <c r="C137" s="260" t="s">
        <v>786</v>
      </c>
      <c r="D137" s="439" t="s">
        <v>887</v>
      </c>
      <c r="E137" s="555" t="e">
        <f>+VLOOKUP(A137,#REF!,10,0)/H137</f>
        <v>#REF!</v>
      </c>
      <c r="F137" s="305">
        <v>0</v>
      </c>
      <c r="G137" s="305"/>
      <c r="H137" s="543">
        <v>1000</v>
      </c>
      <c r="I137" s="1"/>
      <c r="J137" s="128">
        <f t="shared" ref="J137:J200" si="2">+(F137*H137)+G137</f>
        <v>0</v>
      </c>
    </row>
    <row r="138" spans="1:10" ht="18" customHeight="1" x14ac:dyDescent="0.3">
      <c r="A138" s="302">
        <v>725</v>
      </c>
      <c r="B138" s="260" t="s">
        <v>1041</v>
      </c>
      <c r="C138" s="260" t="s">
        <v>805</v>
      </c>
      <c r="D138" s="439" t="s">
        <v>888</v>
      </c>
      <c r="E138" s="555" t="e">
        <f>+VLOOKUP(A138,#REF!,10,0)/H138</f>
        <v>#REF!</v>
      </c>
      <c r="F138" s="305">
        <v>1</v>
      </c>
      <c r="G138" s="305"/>
      <c r="H138" s="543">
        <v>1000</v>
      </c>
      <c r="I138" s="1"/>
      <c r="J138" s="128">
        <f t="shared" si="2"/>
        <v>1000</v>
      </c>
    </row>
    <row r="139" spans="1:10" ht="18" customHeight="1" x14ac:dyDescent="0.3">
      <c r="A139" s="302">
        <v>760</v>
      </c>
      <c r="B139" s="260" t="s">
        <v>1041</v>
      </c>
      <c r="C139" s="260" t="s">
        <v>1376</v>
      </c>
      <c r="D139" s="439" t="s">
        <v>911</v>
      </c>
      <c r="E139" s="555" t="e">
        <f>+VLOOKUP(A139,#REF!,10,0)/H139</f>
        <v>#REF!</v>
      </c>
      <c r="F139" s="305">
        <v>4</v>
      </c>
      <c r="G139" s="305"/>
      <c r="H139" s="543">
        <v>1000</v>
      </c>
      <c r="I139" s="1"/>
      <c r="J139" s="128">
        <f t="shared" si="2"/>
        <v>4000</v>
      </c>
    </row>
    <row r="140" spans="1:10" ht="18" customHeight="1" x14ac:dyDescent="0.3">
      <c r="A140" s="302">
        <v>840</v>
      </c>
      <c r="B140" s="260" t="s">
        <v>1041</v>
      </c>
      <c r="C140" s="260" t="s">
        <v>1336</v>
      </c>
      <c r="D140" s="439" t="s">
        <v>910</v>
      </c>
      <c r="E140" s="555" t="e">
        <f>+VLOOKUP(A140,#REF!,10,0)/H140</f>
        <v>#REF!</v>
      </c>
      <c r="F140" s="305">
        <v>2</v>
      </c>
      <c r="G140" s="305"/>
      <c r="H140" s="543">
        <v>2500</v>
      </c>
      <c r="I140" s="1"/>
      <c r="J140" s="128">
        <f t="shared" si="2"/>
        <v>5000</v>
      </c>
    </row>
    <row r="141" spans="1:10" ht="18" customHeight="1" x14ac:dyDescent="0.3">
      <c r="A141" s="302">
        <v>713</v>
      </c>
      <c r="B141" s="260" t="s">
        <v>1041</v>
      </c>
      <c r="C141" s="260" t="s">
        <v>1183</v>
      </c>
      <c r="D141" s="439" t="s">
        <v>1027</v>
      </c>
      <c r="E141" s="555" t="e">
        <f>+VLOOKUP(A141,#REF!,10,0)/H141</f>
        <v>#REF!</v>
      </c>
      <c r="F141" s="305">
        <v>6</v>
      </c>
      <c r="G141" s="305">
        <v>700</v>
      </c>
      <c r="H141" s="543">
        <v>1000</v>
      </c>
      <c r="I141" s="1"/>
      <c r="J141" s="128">
        <f t="shared" si="2"/>
        <v>6700</v>
      </c>
    </row>
    <row r="142" spans="1:10" ht="18" customHeight="1" x14ac:dyDescent="0.3">
      <c r="A142" s="302">
        <v>55</v>
      </c>
      <c r="B142" s="260" t="s">
        <v>1041</v>
      </c>
      <c r="C142" s="260" t="s">
        <v>1384</v>
      </c>
      <c r="D142" s="439" t="s">
        <v>1256</v>
      </c>
      <c r="E142" s="555" t="e">
        <f>+VLOOKUP(A142,#REF!,10,0)/H142</f>
        <v>#REF!</v>
      </c>
      <c r="F142" s="305">
        <v>2</v>
      </c>
      <c r="G142" s="305"/>
      <c r="H142" s="543">
        <v>1000</v>
      </c>
      <c r="I142" s="1"/>
      <c r="J142" s="128">
        <f t="shared" si="2"/>
        <v>2000</v>
      </c>
    </row>
    <row r="143" spans="1:10" ht="18" customHeight="1" thickBot="1" x14ac:dyDescent="0.35">
      <c r="A143" s="302">
        <v>43</v>
      </c>
      <c r="B143" s="260" t="s">
        <v>1041</v>
      </c>
      <c r="C143" s="260" t="s">
        <v>1338</v>
      </c>
      <c r="D143" s="439" t="s">
        <v>1040</v>
      </c>
      <c r="E143" s="555" t="e">
        <f>+VLOOKUP(A143,#REF!,10,0)/H143</f>
        <v>#REF!</v>
      </c>
      <c r="F143" s="305">
        <v>2</v>
      </c>
      <c r="G143" s="305"/>
      <c r="H143" s="543">
        <v>1000</v>
      </c>
      <c r="I143" s="1"/>
      <c r="J143" s="128">
        <f t="shared" si="2"/>
        <v>2000</v>
      </c>
    </row>
    <row r="144" spans="1:10" ht="18" customHeight="1" x14ac:dyDescent="0.35">
      <c r="A144" s="583">
        <v>848</v>
      </c>
      <c r="B144" s="260" t="s">
        <v>1041</v>
      </c>
      <c r="C144" s="773" t="s">
        <v>771</v>
      </c>
      <c r="D144" s="439" t="s">
        <v>1029</v>
      </c>
      <c r="E144" s="555"/>
      <c r="F144" s="305">
        <v>0</v>
      </c>
      <c r="G144" s="305"/>
      <c r="H144" s="543">
        <v>1000</v>
      </c>
      <c r="I144" s="1"/>
      <c r="J144" s="128">
        <f t="shared" si="2"/>
        <v>0</v>
      </c>
    </row>
    <row r="145" spans="1:10" ht="18" customHeight="1" x14ac:dyDescent="0.35">
      <c r="A145" s="774">
        <v>910</v>
      </c>
      <c r="B145" s="260" t="s">
        <v>1041</v>
      </c>
      <c r="C145" s="775" t="s">
        <v>1174</v>
      </c>
      <c r="D145" s="439" t="s">
        <v>1029</v>
      </c>
      <c r="E145" s="555"/>
      <c r="F145" s="305">
        <v>1</v>
      </c>
      <c r="G145" s="305">
        <v>1000</v>
      </c>
      <c r="H145" s="543">
        <v>1000</v>
      </c>
      <c r="I145" s="1"/>
      <c r="J145" s="128">
        <f t="shared" si="2"/>
        <v>2000</v>
      </c>
    </row>
    <row r="146" spans="1:10" ht="18" customHeight="1" thickBot="1" x14ac:dyDescent="0.4">
      <c r="A146" s="584" t="s">
        <v>1783</v>
      </c>
      <c r="B146" s="260" t="s">
        <v>1041</v>
      </c>
      <c r="C146" s="776" t="s">
        <v>1784</v>
      </c>
      <c r="D146" s="439" t="s">
        <v>1029</v>
      </c>
      <c r="E146" s="555"/>
      <c r="F146" s="305">
        <v>0</v>
      </c>
      <c r="G146" s="305"/>
      <c r="H146" s="543">
        <v>1000</v>
      </c>
      <c r="I146" s="1"/>
      <c r="J146" s="128">
        <f t="shared" si="2"/>
        <v>0</v>
      </c>
    </row>
    <row r="147" spans="1:10" ht="18" customHeight="1" x14ac:dyDescent="0.35">
      <c r="A147" s="777" t="s">
        <v>1785</v>
      </c>
      <c r="B147" s="260" t="s">
        <v>1041</v>
      </c>
      <c r="C147" s="773" t="s">
        <v>1082</v>
      </c>
      <c r="D147" s="439" t="s">
        <v>1029</v>
      </c>
      <c r="E147" s="555"/>
      <c r="F147" s="305">
        <v>0</v>
      </c>
      <c r="G147" s="305"/>
      <c r="H147" s="543">
        <v>1000</v>
      </c>
      <c r="I147" s="1"/>
      <c r="J147" s="128">
        <f t="shared" si="2"/>
        <v>0</v>
      </c>
    </row>
    <row r="148" spans="1:10" ht="18" customHeight="1" x14ac:dyDescent="0.35">
      <c r="A148" s="774">
        <v>307</v>
      </c>
      <c r="B148" s="260" t="s">
        <v>1041</v>
      </c>
      <c r="C148" s="775" t="s">
        <v>1089</v>
      </c>
      <c r="D148" s="439" t="s">
        <v>1029</v>
      </c>
      <c r="E148" s="555"/>
      <c r="F148" s="305">
        <v>0</v>
      </c>
      <c r="G148" s="305"/>
      <c r="H148" s="543">
        <v>1000</v>
      </c>
      <c r="I148" s="1"/>
      <c r="J148" s="128">
        <f t="shared" si="2"/>
        <v>0</v>
      </c>
    </row>
    <row r="149" spans="1:10" ht="18" customHeight="1" x14ac:dyDescent="0.35">
      <c r="A149" s="774">
        <v>453</v>
      </c>
      <c r="B149" s="260" t="s">
        <v>1041</v>
      </c>
      <c r="C149" s="775" t="s">
        <v>1786</v>
      </c>
      <c r="D149" s="439" t="s">
        <v>1029</v>
      </c>
      <c r="E149" s="555"/>
      <c r="F149" s="305">
        <v>0</v>
      </c>
      <c r="G149" s="305"/>
      <c r="H149" s="543">
        <v>1000</v>
      </c>
      <c r="I149" s="1"/>
      <c r="J149" s="128">
        <f t="shared" si="2"/>
        <v>0</v>
      </c>
    </row>
    <row r="150" spans="1:10" ht="18" customHeight="1" x14ac:dyDescent="0.35">
      <c r="A150" s="774">
        <v>456</v>
      </c>
      <c r="B150" s="260" t="s">
        <v>1041</v>
      </c>
      <c r="C150" s="775" t="s">
        <v>1787</v>
      </c>
      <c r="D150" s="439" t="s">
        <v>1029</v>
      </c>
      <c r="E150" s="555"/>
      <c r="F150" s="305">
        <v>0</v>
      </c>
      <c r="G150" s="305"/>
      <c r="H150" s="543">
        <v>1000</v>
      </c>
      <c r="I150" s="1"/>
      <c r="J150" s="128">
        <f t="shared" si="2"/>
        <v>0</v>
      </c>
    </row>
    <row r="151" spans="1:10" ht="18" customHeight="1" x14ac:dyDescent="0.35">
      <c r="A151" s="774">
        <v>630</v>
      </c>
      <c r="B151" s="260" t="s">
        <v>1041</v>
      </c>
      <c r="C151" s="775" t="s">
        <v>1788</v>
      </c>
      <c r="D151" s="439" t="s">
        <v>1029</v>
      </c>
      <c r="E151" s="555"/>
      <c r="F151" s="305">
        <v>0</v>
      </c>
      <c r="G151" s="305"/>
      <c r="H151" s="543">
        <v>1000</v>
      </c>
      <c r="I151" s="1"/>
      <c r="J151" s="128">
        <f t="shared" si="2"/>
        <v>0</v>
      </c>
    </row>
    <row r="152" spans="1:10" ht="18" customHeight="1" x14ac:dyDescent="0.35">
      <c r="A152" s="774">
        <v>631</v>
      </c>
      <c r="B152" s="260" t="s">
        <v>1041</v>
      </c>
      <c r="C152" s="775" t="s">
        <v>1789</v>
      </c>
      <c r="D152" s="439" t="s">
        <v>1029</v>
      </c>
      <c r="E152" s="555"/>
      <c r="F152" s="305">
        <v>0</v>
      </c>
      <c r="G152" s="305"/>
      <c r="H152" s="543">
        <v>1000</v>
      </c>
      <c r="I152" s="1"/>
      <c r="J152" s="128">
        <f t="shared" si="2"/>
        <v>0</v>
      </c>
    </row>
    <row r="153" spans="1:10" ht="18" customHeight="1" x14ac:dyDescent="0.35">
      <c r="A153" s="774">
        <v>632</v>
      </c>
      <c r="B153" s="260" t="s">
        <v>1041</v>
      </c>
      <c r="C153" s="775" t="s">
        <v>1790</v>
      </c>
      <c r="D153" s="439" t="s">
        <v>1029</v>
      </c>
      <c r="E153" s="555"/>
      <c r="F153" s="305">
        <v>0</v>
      </c>
      <c r="G153" s="305"/>
      <c r="H153" s="543">
        <v>1000</v>
      </c>
      <c r="I153" s="1"/>
      <c r="J153" s="128">
        <f t="shared" si="2"/>
        <v>0</v>
      </c>
    </row>
    <row r="154" spans="1:10" ht="18" customHeight="1" x14ac:dyDescent="0.35">
      <c r="A154" s="774">
        <v>633</v>
      </c>
      <c r="B154" s="260" t="s">
        <v>1041</v>
      </c>
      <c r="C154" s="775" t="s">
        <v>1354</v>
      </c>
      <c r="D154" s="439" t="s">
        <v>1029</v>
      </c>
      <c r="E154" s="555"/>
      <c r="F154" s="305">
        <v>0</v>
      </c>
      <c r="G154" s="305"/>
      <c r="H154" s="543">
        <v>1000</v>
      </c>
      <c r="I154" s="1"/>
      <c r="J154" s="128">
        <f t="shared" si="2"/>
        <v>0</v>
      </c>
    </row>
    <row r="155" spans="1:10" ht="18" customHeight="1" x14ac:dyDescent="0.35">
      <c r="A155" s="774">
        <v>634</v>
      </c>
      <c r="B155" s="260" t="s">
        <v>1041</v>
      </c>
      <c r="C155" s="775" t="s">
        <v>1791</v>
      </c>
      <c r="D155" s="439" t="s">
        <v>1029</v>
      </c>
      <c r="E155" s="555"/>
      <c r="F155" s="305">
        <v>0</v>
      </c>
      <c r="G155" s="305"/>
      <c r="H155" s="543">
        <v>1000</v>
      </c>
      <c r="I155" s="1"/>
      <c r="J155" s="128">
        <f t="shared" si="2"/>
        <v>0</v>
      </c>
    </row>
    <row r="156" spans="1:10" ht="18" customHeight="1" x14ac:dyDescent="0.35">
      <c r="A156" s="774">
        <v>635</v>
      </c>
      <c r="B156" s="260" t="s">
        <v>1041</v>
      </c>
      <c r="C156" s="775" t="s">
        <v>1792</v>
      </c>
      <c r="D156" s="439" t="s">
        <v>1029</v>
      </c>
      <c r="E156" s="555"/>
      <c r="F156" s="305">
        <v>0</v>
      </c>
      <c r="G156" s="305"/>
      <c r="H156" s="543">
        <v>1000</v>
      </c>
      <c r="I156" s="1"/>
      <c r="J156" s="128">
        <f t="shared" si="2"/>
        <v>0</v>
      </c>
    </row>
    <row r="157" spans="1:10" ht="18" customHeight="1" x14ac:dyDescent="0.35">
      <c r="A157" s="774">
        <v>636</v>
      </c>
      <c r="B157" s="260" t="s">
        <v>1041</v>
      </c>
      <c r="C157" s="775" t="s">
        <v>1793</v>
      </c>
      <c r="D157" s="439" t="s">
        <v>1029</v>
      </c>
      <c r="E157" s="555"/>
      <c r="F157" s="305">
        <v>0</v>
      </c>
      <c r="G157" s="305"/>
      <c r="H157" s="543">
        <v>1000</v>
      </c>
      <c r="I157" s="1"/>
      <c r="J157" s="128">
        <f t="shared" si="2"/>
        <v>0</v>
      </c>
    </row>
    <row r="158" spans="1:10" ht="18" customHeight="1" x14ac:dyDescent="0.35">
      <c r="A158" s="774">
        <v>637</v>
      </c>
      <c r="B158" s="260" t="s">
        <v>1041</v>
      </c>
      <c r="C158" s="775" t="s">
        <v>1794</v>
      </c>
      <c r="D158" s="439" t="s">
        <v>1029</v>
      </c>
      <c r="E158" s="555"/>
      <c r="F158" s="305">
        <v>0</v>
      </c>
      <c r="G158" s="305"/>
      <c r="H158" s="543">
        <v>1000</v>
      </c>
      <c r="I158" s="1"/>
      <c r="J158" s="128">
        <f t="shared" si="2"/>
        <v>0</v>
      </c>
    </row>
    <row r="159" spans="1:10" ht="18" customHeight="1" x14ac:dyDescent="0.35">
      <c r="A159" s="774">
        <v>842</v>
      </c>
      <c r="B159" s="260" t="s">
        <v>1041</v>
      </c>
      <c r="C159" s="775" t="s">
        <v>1137</v>
      </c>
      <c r="D159" s="439" t="s">
        <v>1029</v>
      </c>
      <c r="E159" s="555"/>
      <c r="F159" s="305">
        <v>0</v>
      </c>
      <c r="G159" s="305"/>
      <c r="H159" s="543">
        <v>1000</v>
      </c>
      <c r="I159" s="1"/>
      <c r="J159" s="128">
        <f t="shared" si="2"/>
        <v>0</v>
      </c>
    </row>
    <row r="160" spans="1:10" ht="18" customHeight="1" x14ac:dyDescent="0.35">
      <c r="A160" s="774">
        <v>843</v>
      </c>
      <c r="B160" s="260" t="s">
        <v>1041</v>
      </c>
      <c r="C160" s="775" t="s">
        <v>1138</v>
      </c>
      <c r="D160" s="439" t="s">
        <v>1029</v>
      </c>
      <c r="E160" s="555"/>
      <c r="F160" s="305">
        <v>0</v>
      </c>
      <c r="G160" s="305"/>
      <c r="H160" s="543">
        <v>1000</v>
      </c>
      <c r="I160" s="1"/>
      <c r="J160" s="128">
        <f t="shared" si="2"/>
        <v>0</v>
      </c>
    </row>
    <row r="161" spans="1:10" ht="18" customHeight="1" x14ac:dyDescent="0.35">
      <c r="A161" s="774">
        <v>844</v>
      </c>
      <c r="B161" s="260" t="s">
        <v>1041</v>
      </c>
      <c r="C161" s="775" t="s">
        <v>1139</v>
      </c>
      <c r="D161" s="439" t="s">
        <v>1029</v>
      </c>
      <c r="E161" s="555"/>
      <c r="F161" s="305">
        <v>0</v>
      </c>
      <c r="G161" s="305"/>
      <c r="H161" s="543">
        <v>1000</v>
      </c>
      <c r="I161" s="1"/>
      <c r="J161" s="128">
        <f t="shared" si="2"/>
        <v>0</v>
      </c>
    </row>
    <row r="162" spans="1:10" ht="18" customHeight="1" x14ac:dyDescent="0.35">
      <c r="A162" s="774">
        <v>845</v>
      </c>
      <c r="B162" s="260" t="s">
        <v>1041</v>
      </c>
      <c r="C162" s="775" t="s">
        <v>1140</v>
      </c>
      <c r="D162" s="439" t="s">
        <v>1029</v>
      </c>
      <c r="E162" s="555"/>
      <c r="F162" s="305">
        <v>0</v>
      </c>
      <c r="G162" s="305">
        <v>700</v>
      </c>
      <c r="H162" s="543">
        <v>1000</v>
      </c>
      <c r="I162" s="1"/>
      <c r="J162" s="128">
        <f t="shared" si="2"/>
        <v>700</v>
      </c>
    </row>
    <row r="163" spans="1:10" ht="18" customHeight="1" x14ac:dyDescent="0.35">
      <c r="A163" s="774">
        <v>846</v>
      </c>
      <c r="B163" s="260" t="s">
        <v>1041</v>
      </c>
      <c r="C163" s="775" t="s">
        <v>1141</v>
      </c>
      <c r="D163" s="439" t="s">
        <v>1029</v>
      </c>
      <c r="E163" s="555"/>
      <c r="F163" s="305">
        <v>0</v>
      </c>
      <c r="G163" s="305">
        <v>700</v>
      </c>
      <c r="H163" s="543">
        <v>1000</v>
      </c>
      <c r="I163" s="1"/>
      <c r="J163" s="128">
        <f t="shared" si="2"/>
        <v>700</v>
      </c>
    </row>
    <row r="164" spans="1:10" ht="18" customHeight="1" x14ac:dyDescent="0.35">
      <c r="A164" s="774">
        <v>847</v>
      </c>
      <c r="B164" s="260" t="s">
        <v>1041</v>
      </c>
      <c r="C164" s="775" t="s">
        <v>1142</v>
      </c>
      <c r="D164" s="439" t="s">
        <v>1029</v>
      </c>
      <c r="E164" s="555"/>
      <c r="F164" s="305">
        <v>0</v>
      </c>
      <c r="G164" s="305"/>
      <c r="H164" s="543">
        <v>1000</v>
      </c>
      <c r="I164" s="1"/>
      <c r="J164" s="128">
        <f t="shared" si="2"/>
        <v>0</v>
      </c>
    </row>
    <row r="165" spans="1:10" ht="18" customHeight="1" x14ac:dyDescent="0.35">
      <c r="A165" s="774">
        <v>856</v>
      </c>
      <c r="B165" s="260" t="s">
        <v>1041</v>
      </c>
      <c r="C165" s="775" t="s">
        <v>1144</v>
      </c>
      <c r="D165" s="439" t="s">
        <v>1029</v>
      </c>
      <c r="E165" s="555"/>
      <c r="F165" s="305">
        <v>0</v>
      </c>
      <c r="G165" s="305"/>
      <c r="H165" s="543">
        <v>1000</v>
      </c>
      <c r="I165" s="1"/>
      <c r="J165" s="128">
        <f t="shared" si="2"/>
        <v>0</v>
      </c>
    </row>
    <row r="166" spans="1:10" ht="18" customHeight="1" x14ac:dyDescent="0.35">
      <c r="A166" s="774">
        <v>857</v>
      </c>
      <c r="B166" s="260" t="s">
        <v>1041</v>
      </c>
      <c r="C166" s="775" t="s">
        <v>1145</v>
      </c>
      <c r="D166" s="439" t="s">
        <v>1029</v>
      </c>
      <c r="E166" s="555"/>
      <c r="F166" s="305">
        <v>0</v>
      </c>
      <c r="G166" s="305"/>
      <c r="H166" s="543">
        <v>1000</v>
      </c>
      <c r="I166" s="1"/>
      <c r="J166" s="128">
        <f t="shared" si="2"/>
        <v>0</v>
      </c>
    </row>
    <row r="167" spans="1:10" ht="18" customHeight="1" x14ac:dyDescent="0.35">
      <c r="A167" s="774">
        <v>858</v>
      </c>
      <c r="B167" s="260" t="s">
        <v>1041</v>
      </c>
      <c r="C167" s="775" t="s">
        <v>823</v>
      </c>
      <c r="D167" s="439" t="s">
        <v>1029</v>
      </c>
      <c r="E167" s="555"/>
      <c r="F167" s="305">
        <v>0</v>
      </c>
      <c r="G167" s="305"/>
      <c r="H167" s="543">
        <v>1000</v>
      </c>
      <c r="I167" s="1"/>
      <c r="J167" s="128">
        <f t="shared" si="2"/>
        <v>0</v>
      </c>
    </row>
    <row r="168" spans="1:10" ht="18" customHeight="1" thickBot="1" x14ac:dyDescent="0.4">
      <c r="A168" s="584">
        <v>859</v>
      </c>
      <c r="B168" s="260" t="s">
        <v>1041</v>
      </c>
      <c r="C168" s="776" t="s">
        <v>819</v>
      </c>
      <c r="D168" s="439" t="s">
        <v>1029</v>
      </c>
      <c r="E168" s="555"/>
      <c r="F168" s="305">
        <v>0</v>
      </c>
      <c r="G168" s="305"/>
      <c r="H168" s="543">
        <v>1000</v>
      </c>
      <c r="I168" s="1"/>
      <c r="J168" s="128">
        <f t="shared" si="2"/>
        <v>0</v>
      </c>
    </row>
    <row r="169" spans="1:10" ht="18" customHeight="1" x14ac:dyDescent="0.35">
      <c r="A169" s="583">
        <v>609</v>
      </c>
      <c r="B169" s="260" t="s">
        <v>1041</v>
      </c>
      <c r="C169" s="773" t="s">
        <v>1094</v>
      </c>
      <c r="D169" s="439" t="s">
        <v>1029</v>
      </c>
      <c r="E169" s="555"/>
      <c r="F169" s="305">
        <v>0</v>
      </c>
      <c r="G169" s="305"/>
      <c r="H169" s="543">
        <v>1000</v>
      </c>
      <c r="I169" s="1"/>
      <c r="J169" s="128">
        <f t="shared" si="2"/>
        <v>0</v>
      </c>
    </row>
    <row r="170" spans="1:10" ht="18" customHeight="1" thickBot="1" x14ac:dyDescent="0.4">
      <c r="A170" s="584">
        <v>789</v>
      </c>
      <c r="B170" s="260" t="s">
        <v>1041</v>
      </c>
      <c r="C170" s="776" t="s">
        <v>1127</v>
      </c>
      <c r="D170" s="439" t="s">
        <v>1029</v>
      </c>
      <c r="E170" s="555"/>
      <c r="F170" s="305">
        <v>0</v>
      </c>
      <c r="G170" s="305"/>
      <c r="H170" s="543">
        <v>1000</v>
      </c>
      <c r="I170" s="1"/>
      <c r="J170" s="128">
        <f t="shared" si="2"/>
        <v>0</v>
      </c>
    </row>
    <row r="171" spans="1:10" ht="18" customHeight="1" thickBot="1" x14ac:dyDescent="0.4">
      <c r="A171" s="778">
        <v>615</v>
      </c>
      <c r="B171" s="260" t="s">
        <v>1041</v>
      </c>
      <c r="C171" s="779" t="s">
        <v>799</v>
      </c>
      <c r="D171" s="439" t="s">
        <v>1029</v>
      </c>
      <c r="E171" s="555"/>
      <c r="F171" s="305">
        <v>0</v>
      </c>
      <c r="G171" s="305"/>
      <c r="H171" s="543">
        <v>1000</v>
      </c>
      <c r="I171" s="1"/>
      <c r="J171" s="128">
        <f t="shared" si="2"/>
        <v>0</v>
      </c>
    </row>
    <row r="172" spans="1:10" ht="18" customHeight="1" x14ac:dyDescent="0.35">
      <c r="A172" s="583">
        <v>828</v>
      </c>
      <c r="B172" s="260" t="s">
        <v>1041</v>
      </c>
      <c r="C172" s="773" t="s">
        <v>1795</v>
      </c>
      <c r="D172" s="439" t="s">
        <v>1029</v>
      </c>
      <c r="E172" s="555"/>
      <c r="F172" s="305">
        <v>2</v>
      </c>
      <c r="G172" s="305"/>
      <c r="H172" s="543">
        <v>1000</v>
      </c>
      <c r="I172" s="1"/>
      <c r="J172" s="128">
        <f t="shared" si="2"/>
        <v>2000</v>
      </c>
    </row>
    <row r="173" spans="1:10" ht="18" customHeight="1" thickBot="1" x14ac:dyDescent="0.4">
      <c r="A173" s="584">
        <v>830</v>
      </c>
      <c r="B173" s="260" t="s">
        <v>1041</v>
      </c>
      <c r="C173" s="776" t="s">
        <v>1796</v>
      </c>
      <c r="D173" s="439" t="s">
        <v>1029</v>
      </c>
      <c r="E173" s="555"/>
      <c r="F173" s="305">
        <v>0</v>
      </c>
      <c r="G173" s="305">
        <v>1290</v>
      </c>
      <c r="H173" s="543">
        <v>1000</v>
      </c>
      <c r="I173" s="1"/>
      <c r="J173" s="128">
        <f t="shared" si="2"/>
        <v>1290</v>
      </c>
    </row>
    <row r="174" spans="1:10" ht="18" customHeight="1" x14ac:dyDescent="0.3">
      <c r="A174" s="302">
        <v>809</v>
      </c>
      <c r="B174" s="260" t="s">
        <v>1041</v>
      </c>
      <c r="C174" s="260" t="s">
        <v>1505</v>
      </c>
      <c r="D174" s="439" t="s">
        <v>908</v>
      </c>
      <c r="E174" s="555" t="e">
        <f>+VLOOKUP(A174,#REF!,10,0)/H174</f>
        <v>#REF!</v>
      </c>
      <c r="F174" s="305">
        <v>0</v>
      </c>
      <c r="G174" s="305"/>
      <c r="H174" s="543">
        <v>1000</v>
      </c>
      <c r="I174" s="1"/>
      <c r="J174" s="128">
        <f t="shared" si="2"/>
        <v>0</v>
      </c>
    </row>
    <row r="175" spans="1:10" ht="18" customHeight="1" x14ac:dyDescent="0.3">
      <c r="A175" s="302">
        <v>816</v>
      </c>
      <c r="B175" s="260" t="s">
        <v>1041</v>
      </c>
      <c r="C175" s="260" t="s">
        <v>1330</v>
      </c>
      <c r="D175" s="439" t="s">
        <v>892</v>
      </c>
      <c r="E175" s="555" t="e">
        <f>+VLOOKUP(A175,#REF!,10,0)/H175</f>
        <v>#REF!</v>
      </c>
      <c r="F175" s="305">
        <v>2</v>
      </c>
      <c r="G175" s="305">
        <v>260</v>
      </c>
      <c r="H175" s="543">
        <v>1000</v>
      </c>
      <c r="I175" s="1"/>
      <c r="J175" s="128">
        <f t="shared" si="2"/>
        <v>2260</v>
      </c>
    </row>
    <row r="176" spans="1:10" ht="18" customHeight="1" x14ac:dyDescent="0.3">
      <c r="A176" s="302">
        <v>858</v>
      </c>
      <c r="B176" s="260" t="s">
        <v>1041</v>
      </c>
      <c r="C176" s="260" t="s">
        <v>1377</v>
      </c>
      <c r="D176" s="439" t="s">
        <v>1260</v>
      </c>
      <c r="E176" s="555" t="e">
        <f>+VLOOKUP(A176,#REF!,10,0)/H176</f>
        <v>#REF!</v>
      </c>
      <c r="F176" s="305">
        <v>0</v>
      </c>
      <c r="G176" s="305"/>
      <c r="H176" s="543">
        <v>1000</v>
      </c>
      <c r="I176" s="1"/>
      <c r="J176" s="128">
        <f t="shared" si="2"/>
        <v>0</v>
      </c>
    </row>
    <row r="177" spans="1:10" ht="18" customHeight="1" x14ac:dyDescent="0.3">
      <c r="A177" s="302">
        <v>863</v>
      </c>
      <c r="B177" s="260" t="s">
        <v>1041</v>
      </c>
      <c r="C177" s="260" t="s">
        <v>1510</v>
      </c>
      <c r="D177" s="439" t="s">
        <v>1261</v>
      </c>
      <c r="E177" s="555" t="e">
        <f>+VLOOKUP(A177,#REF!,10,0)/H177</f>
        <v>#REF!</v>
      </c>
      <c r="F177" s="305">
        <v>0</v>
      </c>
      <c r="G177" s="305"/>
      <c r="H177" s="543">
        <v>1000</v>
      </c>
      <c r="I177" s="1"/>
      <c r="J177" s="128">
        <f t="shared" si="2"/>
        <v>0</v>
      </c>
    </row>
    <row r="178" spans="1:10" ht="18" customHeight="1" x14ac:dyDescent="0.3">
      <c r="A178" s="302">
        <v>878</v>
      </c>
      <c r="B178" s="260" t="s">
        <v>1041</v>
      </c>
      <c r="C178" s="260" t="s">
        <v>1344</v>
      </c>
      <c r="D178" s="439" t="s">
        <v>1262</v>
      </c>
      <c r="E178" s="555" t="e">
        <f>+VLOOKUP(A178,#REF!,10,0)/H178</f>
        <v>#REF!</v>
      </c>
      <c r="F178" s="305">
        <v>1</v>
      </c>
      <c r="G178" s="305">
        <v>275</v>
      </c>
      <c r="H178" s="543">
        <v>1000</v>
      </c>
      <c r="I178" s="1"/>
      <c r="J178" s="128">
        <f t="shared" si="2"/>
        <v>1275</v>
      </c>
    </row>
    <row r="179" spans="1:10" ht="18" customHeight="1" x14ac:dyDescent="0.3">
      <c r="A179" s="302">
        <v>735</v>
      </c>
      <c r="B179" s="260" t="s">
        <v>1041</v>
      </c>
      <c r="C179" s="260" t="s">
        <v>1379</v>
      </c>
      <c r="D179" s="439" t="s">
        <v>1263</v>
      </c>
      <c r="E179" s="555" t="e">
        <f>+VLOOKUP(A179,#REF!,10,0)/H179</f>
        <v>#REF!</v>
      </c>
      <c r="F179" s="305">
        <v>2</v>
      </c>
      <c r="G179" s="305">
        <v>500</v>
      </c>
      <c r="H179" s="543">
        <v>1000</v>
      </c>
      <c r="I179" s="1"/>
      <c r="J179" s="128">
        <f t="shared" si="2"/>
        <v>2500</v>
      </c>
    </row>
    <row r="180" spans="1:10" ht="18" customHeight="1" x14ac:dyDescent="0.3">
      <c r="A180" s="302">
        <v>97</v>
      </c>
      <c r="B180" s="260" t="s">
        <v>1041</v>
      </c>
      <c r="C180" s="260" t="s">
        <v>1385</v>
      </c>
      <c r="D180" s="439" t="s">
        <v>1257</v>
      </c>
      <c r="E180" s="555" t="e">
        <f>+VLOOKUP(A180,#REF!,10,0)/H180</f>
        <v>#REF!</v>
      </c>
      <c r="F180" s="305">
        <v>6</v>
      </c>
      <c r="G180" s="305">
        <v>500</v>
      </c>
      <c r="H180" s="543">
        <v>1000</v>
      </c>
      <c r="I180" s="1"/>
      <c r="J180" s="128">
        <f t="shared" si="2"/>
        <v>6500</v>
      </c>
    </row>
    <row r="181" spans="1:10" ht="18" customHeight="1" x14ac:dyDescent="0.3">
      <c r="A181" s="302">
        <v>731</v>
      </c>
      <c r="B181" s="260" t="s">
        <v>1041</v>
      </c>
      <c r="C181" s="260" t="s">
        <v>1199</v>
      </c>
      <c r="D181" s="439" t="s">
        <v>1259</v>
      </c>
      <c r="E181" s="555" t="e">
        <f>+VLOOKUP(A181,#REF!,10,0)/H181</f>
        <v>#REF!</v>
      </c>
      <c r="F181" s="305">
        <v>0</v>
      </c>
      <c r="G181" s="305"/>
      <c r="H181" s="543">
        <v>1000</v>
      </c>
      <c r="I181" s="1"/>
      <c r="J181" s="128">
        <f t="shared" si="2"/>
        <v>0</v>
      </c>
    </row>
    <row r="182" spans="1:10" ht="36" x14ac:dyDescent="0.35">
      <c r="A182" s="302" t="s">
        <v>748</v>
      </c>
      <c r="B182" s="439" t="s">
        <v>1018</v>
      </c>
      <c r="C182" s="544" t="s">
        <v>1400</v>
      </c>
      <c r="D182" s="439" t="s">
        <v>1198</v>
      </c>
      <c r="E182" s="439"/>
      <c r="F182" s="305"/>
      <c r="G182" s="305"/>
      <c r="H182" s="545" t="s">
        <v>857</v>
      </c>
      <c r="J182" s="473"/>
    </row>
    <row r="183" spans="1:10" ht="18.600000000000001" customHeight="1" x14ac:dyDescent="0.35">
      <c r="A183" s="302">
        <v>500</v>
      </c>
      <c r="B183" s="322" t="s">
        <v>746</v>
      </c>
      <c r="C183" s="260" t="s">
        <v>1395</v>
      </c>
      <c r="D183" s="439" t="s">
        <v>839</v>
      </c>
      <c r="E183" s="305" t="e">
        <f>+VLOOKUP(A183,#REF!,10,0)</f>
        <v>#REF!</v>
      </c>
      <c r="F183" s="305">
        <v>1</v>
      </c>
      <c r="G183" s="305"/>
      <c r="H183" s="517">
        <f>200*12</f>
        <v>2400</v>
      </c>
      <c r="J183" s="473">
        <f t="shared" si="2"/>
        <v>2400</v>
      </c>
    </row>
    <row r="184" spans="1:10" ht="18.600000000000001" customHeight="1" x14ac:dyDescent="0.35">
      <c r="A184" s="302">
        <v>506</v>
      </c>
      <c r="B184" s="322" t="s">
        <v>746</v>
      </c>
      <c r="C184" s="260" t="s">
        <v>1396</v>
      </c>
      <c r="D184" s="439" t="s">
        <v>1200</v>
      </c>
      <c r="E184" s="305" t="e">
        <f>+VLOOKUP(A184,#REF!,10,0)</f>
        <v>#REF!</v>
      </c>
      <c r="F184" s="305">
        <v>6</v>
      </c>
      <c r="G184" s="305">
        <v>56</v>
      </c>
      <c r="H184" s="517">
        <f>200*12</f>
        <v>2400</v>
      </c>
      <c r="J184" s="473">
        <f t="shared" si="2"/>
        <v>14456</v>
      </c>
    </row>
    <row r="185" spans="1:10" ht="18.600000000000001" customHeight="1" x14ac:dyDescent="0.35">
      <c r="A185" s="302">
        <v>510</v>
      </c>
      <c r="B185" s="322" t="s">
        <v>746</v>
      </c>
      <c r="C185" s="260" t="s">
        <v>1397</v>
      </c>
      <c r="D185" s="439" t="s">
        <v>866</v>
      </c>
      <c r="E185" s="305" t="e">
        <f>+VLOOKUP(A185,#REF!,10,0)</f>
        <v>#REF!</v>
      </c>
      <c r="F185" s="305">
        <v>10</v>
      </c>
      <c r="G185" s="305">
        <v>50</v>
      </c>
      <c r="H185" s="517">
        <v>2400</v>
      </c>
      <c r="J185" s="473">
        <f t="shared" si="2"/>
        <v>24050</v>
      </c>
    </row>
    <row r="186" spans="1:10" ht="16.2" customHeight="1" x14ac:dyDescent="0.35">
      <c r="A186" s="302">
        <v>706</v>
      </c>
      <c r="B186" s="322" t="s">
        <v>1041</v>
      </c>
      <c r="C186" s="260" t="s">
        <v>1406</v>
      </c>
      <c r="D186" s="439" t="s">
        <v>1202</v>
      </c>
      <c r="E186" s="305" t="e">
        <f>+VLOOKUP(A186,#REF!,10,0)</f>
        <v>#REF!</v>
      </c>
      <c r="F186" s="305">
        <v>10</v>
      </c>
      <c r="G186" s="305">
        <v>750</v>
      </c>
      <c r="H186" s="517">
        <v>200</v>
      </c>
      <c r="J186" s="473">
        <f t="shared" si="2"/>
        <v>2750</v>
      </c>
    </row>
    <row r="187" spans="1:10" ht="16.2" customHeight="1" x14ac:dyDescent="0.35">
      <c r="A187" s="302">
        <v>555</v>
      </c>
      <c r="B187" s="322" t="s">
        <v>746</v>
      </c>
      <c r="C187" s="260" t="s">
        <v>1407</v>
      </c>
      <c r="D187" s="439" t="s">
        <v>1248</v>
      </c>
      <c r="E187" s="305" t="e">
        <f>+VLOOKUP(A187,#REF!,10,0)</f>
        <v>#REF!</v>
      </c>
      <c r="F187" s="305">
        <v>0</v>
      </c>
      <c r="G187" s="305"/>
      <c r="H187" s="517">
        <v>500</v>
      </c>
      <c r="J187" s="473">
        <f t="shared" si="2"/>
        <v>0</v>
      </c>
    </row>
    <row r="188" spans="1:10" ht="16.2" customHeight="1" x14ac:dyDescent="0.35">
      <c r="A188" s="302">
        <v>557</v>
      </c>
      <c r="B188" s="322" t="s">
        <v>746</v>
      </c>
      <c r="C188" s="260" t="s">
        <v>1408</v>
      </c>
      <c r="D188" s="439" t="s">
        <v>1246</v>
      </c>
      <c r="E188" s="305" t="e">
        <f>+VLOOKUP(A188,#REF!,10,0)</f>
        <v>#REF!</v>
      </c>
      <c r="F188" s="305">
        <v>0</v>
      </c>
      <c r="G188" s="305"/>
      <c r="H188" s="517">
        <f>200*16</f>
        <v>3200</v>
      </c>
      <c r="J188" s="473">
        <f t="shared" si="2"/>
        <v>0</v>
      </c>
    </row>
    <row r="189" spans="1:10" ht="16.2" customHeight="1" x14ac:dyDescent="0.35">
      <c r="A189" s="302">
        <v>558</v>
      </c>
      <c r="B189" s="322" t="s">
        <v>746</v>
      </c>
      <c r="C189" s="260" t="s">
        <v>1409</v>
      </c>
      <c r="D189" s="439" t="s">
        <v>1205</v>
      </c>
      <c r="E189" s="305" t="e">
        <f>+VLOOKUP(A189,#REF!,10,0)</f>
        <v>#REF!</v>
      </c>
      <c r="F189" s="305">
        <v>2</v>
      </c>
      <c r="G189" s="305"/>
      <c r="H189" s="517">
        <f>200*16</f>
        <v>3200</v>
      </c>
      <c r="J189" s="473">
        <f t="shared" si="2"/>
        <v>6400</v>
      </c>
    </row>
    <row r="190" spans="1:10" ht="16.2" customHeight="1" x14ac:dyDescent="0.35">
      <c r="A190" s="302">
        <v>654</v>
      </c>
      <c r="B190" s="322" t="s">
        <v>746</v>
      </c>
      <c r="C190" s="260" t="s">
        <v>1410</v>
      </c>
      <c r="D190" s="439" t="s">
        <v>1247</v>
      </c>
      <c r="E190" s="305" t="e">
        <f>+VLOOKUP(A190,#REF!,10,0)</f>
        <v>#REF!</v>
      </c>
      <c r="F190" s="305">
        <v>0</v>
      </c>
      <c r="G190" s="305"/>
      <c r="H190" s="517">
        <f>200*16</f>
        <v>3200</v>
      </c>
      <c r="J190" s="473">
        <f t="shared" si="2"/>
        <v>0</v>
      </c>
    </row>
    <row r="191" spans="1:10" ht="16.2" customHeight="1" x14ac:dyDescent="0.35">
      <c r="A191" s="302" t="s">
        <v>1658</v>
      </c>
      <c r="B191" s="322" t="s">
        <v>1041</v>
      </c>
      <c r="C191" s="260" t="s">
        <v>1411</v>
      </c>
      <c r="D191" s="439" t="s">
        <v>1201</v>
      </c>
      <c r="E191" s="305" t="e">
        <f>+VLOOKUP(A191,#REF!,10,0)</f>
        <v>#REF!</v>
      </c>
      <c r="F191" s="305">
        <v>2</v>
      </c>
      <c r="G191" s="305"/>
      <c r="H191" s="517">
        <f>200*16</f>
        <v>3200</v>
      </c>
      <c r="J191" s="473">
        <f t="shared" si="2"/>
        <v>6400</v>
      </c>
    </row>
    <row r="192" spans="1:10" ht="46.5" customHeight="1" x14ac:dyDescent="0.35">
      <c r="A192" s="302" t="s">
        <v>748</v>
      </c>
      <c r="B192" s="439" t="s">
        <v>1018</v>
      </c>
      <c r="C192" s="544" t="s">
        <v>1401</v>
      </c>
      <c r="D192" s="439" t="s">
        <v>1198</v>
      </c>
      <c r="E192" s="439"/>
      <c r="F192" s="305"/>
      <c r="G192" s="305"/>
      <c r="H192" s="545" t="s">
        <v>857</v>
      </c>
      <c r="J192" s="473"/>
    </row>
    <row r="193" spans="1:11" ht="16.2" customHeight="1" x14ac:dyDescent="0.35">
      <c r="A193" s="302">
        <v>506</v>
      </c>
      <c r="B193" s="322" t="s">
        <v>746</v>
      </c>
      <c r="C193" s="260" t="s">
        <v>1413</v>
      </c>
      <c r="D193" s="439" t="s">
        <v>1206</v>
      </c>
      <c r="E193" s="555" t="e">
        <f>+VLOOKUP(A193,#REF!,10,0)</f>
        <v>#REF!</v>
      </c>
      <c r="F193" s="305">
        <v>39</v>
      </c>
      <c r="G193" s="305"/>
      <c r="H193" s="517">
        <f>100*12</f>
        <v>1200</v>
      </c>
      <c r="J193" s="473">
        <f t="shared" si="2"/>
        <v>46800</v>
      </c>
    </row>
    <row r="194" spans="1:11" ht="16.2" customHeight="1" x14ac:dyDescent="0.35">
      <c r="A194" s="302">
        <v>510</v>
      </c>
      <c r="B194" s="322" t="s">
        <v>746</v>
      </c>
      <c r="C194" s="260" t="s">
        <v>1414</v>
      </c>
      <c r="D194" s="439" t="s">
        <v>1205</v>
      </c>
      <c r="E194" s="555" t="e">
        <f>+VLOOKUP(A194,#REF!,10,0)</f>
        <v>#REF!</v>
      </c>
      <c r="F194" s="305">
        <v>5</v>
      </c>
      <c r="G194" s="305"/>
      <c r="H194" s="517">
        <v>1200</v>
      </c>
      <c r="J194" s="473">
        <f t="shared" si="2"/>
        <v>6000</v>
      </c>
    </row>
    <row r="195" spans="1:11" ht="16.2" customHeight="1" x14ac:dyDescent="0.35">
      <c r="A195" s="302">
        <v>706</v>
      </c>
      <c r="B195" s="322" t="s">
        <v>1041</v>
      </c>
      <c r="C195" s="260" t="s">
        <v>1406</v>
      </c>
      <c r="D195" s="439" t="s">
        <v>1204</v>
      </c>
      <c r="E195" s="555" t="e">
        <f>+VLOOKUP(A195,#REF!,10,0)</f>
        <v>#REF!</v>
      </c>
      <c r="F195" s="305">
        <v>0</v>
      </c>
      <c r="G195" s="305"/>
      <c r="H195" s="517">
        <f>100*20</f>
        <v>2000</v>
      </c>
      <c r="J195" s="473">
        <f t="shared" si="2"/>
        <v>0</v>
      </c>
    </row>
    <row r="196" spans="1:11" ht="16.2" customHeight="1" x14ac:dyDescent="0.35">
      <c r="A196" s="302">
        <v>555</v>
      </c>
      <c r="B196" s="322" t="s">
        <v>746</v>
      </c>
      <c r="C196" s="260" t="s">
        <v>1407</v>
      </c>
      <c r="D196" s="439" t="s">
        <v>1248</v>
      </c>
      <c r="E196" s="555" t="e">
        <f>+VLOOKUP(A196,#REF!,10,0)</f>
        <v>#REF!</v>
      </c>
      <c r="F196" s="305">
        <v>3</v>
      </c>
      <c r="G196" s="305"/>
      <c r="H196" s="517">
        <f>100*16</f>
        <v>1600</v>
      </c>
      <c r="J196" s="473">
        <f t="shared" si="2"/>
        <v>4800</v>
      </c>
    </row>
    <row r="197" spans="1:11" ht="16.2" customHeight="1" x14ac:dyDescent="0.35">
      <c r="A197" s="302">
        <v>557</v>
      </c>
      <c r="B197" s="322" t="s">
        <v>746</v>
      </c>
      <c r="C197" s="260" t="s">
        <v>1408</v>
      </c>
      <c r="D197" s="439" t="s">
        <v>1246</v>
      </c>
      <c r="E197" s="555" t="e">
        <f>+VLOOKUP(A197,#REF!,10,0)</f>
        <v>#REF!</v>
      </c>
      <c r="F197" s="305">
        <v>0</v>
      </c>
      <c r="G197" s="541"/>
      <c r="H197" s="517">
        <f>100*16</f>
        <v>1600</v>
      </c>
      <c r="J197" s="473">
        <f t="shared" si="2"/>
        <v>0</v>
      </c>
    </row>
    <row r="198" spans="1:11" ht="16.2" customHeight="1" x14ac:dyDescent="0.35">
      <c r="A198" s="302">
        <v>558</v>
      </c>
      <c r="B198" s="322" t="s">
        <v>746</v>
      </c>
      <c r="C198" s="260" t="s">
        <v>1409</v>
      </c>
      <c r="D198" s="439" t="s">
        <v>1205</v>
      </c>
      <c r="E198" s="555" t="e">
        <f>+VLOOKUP(A198,#REF!,10,0)</f>
        <v>#REF!</v>
      </c>
      <c r="F198" s="305">
        <v>1</v>
      </c>
      <c r="G198" s="305">
        <v>50</v>
      </c>
      <c r="H198" s="517">
        <f>100*16</f>
        <v>1600</v>
      </c>
      <c r="J198" s="473">
        <f t="shared" si="2"/>
        <v>1650</v>
      </c>
    </row>
    <row r="199" spans="1:11" ht="16.2" customHeight="1" x14ac:dyDescent="0.35">
      <c r="A199" s="302">
        <v>654</v>
      </c>
      <c r="B199" s="322" t="s">
        <v>746</v>
      </c>
      <c r="C199" s="260" t="s">
        <v>1410</v>
      </c>
      <c r="D199" s="439" t="s">
        <v>1247</v>
      </c>
      <c r="E199" s="555" t="e">
        <f>+VLOOKUP(A199,#REF!,10,0)</f>
        <v>#REF!</v>
      </c>
      <c r="F199" s="305">
        <v>0</v>
      </c>
      <c r="G199" s="305">
        <v>95</v>
      </c>
      <c r="H199" s="517">
        <f>100*16</f>
        <v>1600</v>
      </c>
      <c r="J199" s="473">
        <f t="shared" si="2"/>
        <v>95</v>
      </c>
    </row>
    <row r="200" spans="1:11" ht="16.2" customHeight="1" x14ac:dyDescent="0.35">
      <c r="A200" s="302" t="s">
        <v>1658</v>
      </c>
      <c r="B200" s="322" t="s">
        <v>1041</v>
      </c>
      <c r="C200" s="260" t="s">
        <v>1411</v>
      </c>
      <c r="D200" s="439" t="s">
        <v>1203</v>
      </c>
      <c r="E200" s="555" t="e">
        <f>+VLOOKUP(A200,#REF!,10,0)</f>
        <v>#REF!</v>
      </c>
      <c r="F200" s="305">
        <v>6</v>
      </c>
      <c r="G200" s="305"/>
      <c r="H200" s="517">
        <f>100*16</f>
        <v>1600</v>
      </c>
      <c r="J200" s="473">
        <f t="shared" si="2"/>
        <v>9600</v>
      </c>
    </row>
    <row r="201" spans="1:11" ht="16.5" customHeight="1" x14ac:dyDescent="0.35">
      <c r="A201" s="542">
        <v>34</v>
      </c>
      <c r="B201" s="322" t="s">
        <v>746</v>
      </c>
      <c r="C201" s="260" t="s">
        <v>1209</v>
      </c>
      <c r="D201" s="439" t="s">
        <v>840</v>
      </c>
      <c r="E201" s="439"/>
      <c r="F201" s="305">
        <v>1</v>
      </c>
      <c r="G201" s="305"/>
      <c r="H201" s="517">
        <v>7500</v>
      </c>
      <c r="J201" s="473">
        <f t="shared" ref="J201:J233" si="3">+(F201*H201)+G201</f>
        <v>7500</v>
      </c>
    </row>
    <row r="202" spans="1:11" ht="16.5" customHeight="1" x14ac:dyDescent="0.35">
      <c r="A202" s="302">
        <v>867</v>
      </c>
      <c r="B202" s="322" t="s">
        <v>1041</v>
      </c>
      <c r="C202" s="260" t="s">
        <v>1211</v>
      </c>
      <c r="D202" s="439" t="s">
        <v>1486</v>
      </c>
      <c r="E202" s="439"/>
      <c r="F202" s="305">
        <v>0</v>
      </c>
      <c r="G202" s="305"/>
      <c r="H202" s="517">
        <v>7500</v>
      </c>
      <c r="J202" s="473">
        <f t="shared" si="3"/>
        <v>0</v>
      </c>
    </row>
    <row r="203" spans="1:11" ht="16.5" customHeight="1" x14ac:dyDescent="0.35">
      <c r="A203" s="302">
        <v>31</v>
      </c>
      <c r="B203" s="322" t="s">
        <v>746</v>
      </c>
      <c r="C203" s="260" t="s">
        <v>1208</v>
      </c>
      <c r="D203" s="439" t="s">
        <v>1014</v>
      </c>
      <c r="E203" s="439"/>
      <c r="F203" s="305">
        <v>5</v>
      </c>
      <c r="G203" s="305"/>
      <c r="H203" s="517">
        <v>7500</v>
      </c>
      <c r="J203" s="473">
        <f t="shared" si="3"/>
        <v>37500</v>
      </c>
    </row>
    <row r="204" spans="1:11" ht="16.5" customHeight="1" x14ac:dyDescent="0.35">
      <c r="A204" s="302">
        <v>836</v>
      </c>
      <c r="B204" s="322" t="s">
        <v>746</v>
      </c>
      <c r="C204" s="260" t="s">
        <v>1210</v>
      </c>
      <c r="D204" s="439" t="s">
        <v>1038</v>
      </c>
      <c r="E204" s="439"/>
      <c r="F204" s="305">
        <v>3</v>
      </c>
      <c r="G204" s="305"/>
      <c r="H204" s="517">
        <v>7500</v>
      </c>
      <c r="J204" s="473">
        <f t="shared" si="3"/>
        <v>22500</v>
      </c>
    </row>
    <row r="205" spans="1:11" ht="16.5" customHeight="1" x14ac:dyDescent="0.35">
      <c r="A205" s="302">
        <v>715</v>
      </c>
      <c r="B205" s="322" t="s">
        <v>1041</v>
      </c>
      <c r="C205" s="260" t="s">
        <v>1495</v>
      </c>
      <c r="D205" s="439"/>
      <c r="E205" s="439"/>
      <c r="F205" s="305">
        <v>0</v>
      </c>
      <c r="G205" s="305"/>
      <c r="H205" s="517">
        <v>4500</v>
      </c>
      <c r="J205" s="473">
        <f t="shared" si="3"/>
        <v>0</v>
      </c>
    </row>
    <row r="206" spans="1:11" s="208" customFormat="1" ht="16.5" customHeight="1" x14ac:dyDescent="0.35">
      <c r="A206" s="1295" t="s">
        <v>869</v>
      </c>
      <c r="B206" s="1296"/>
      <c r="C206" s="260" t="s">
        <v>1294</v>
      </c>
      <c r="D206" s="439" t="s">
        <v>1288</v>
      </c>
      <c r="E206" s="439"/>
      <c r="F206" s="305">
        <v>0</v>
      </c>
      <c r="G206" s="305"/>
      <c r="H206" s="517">
        <v>20000</v>
      </c>
      <c r="J206" s="473">
        <f t="shared" si="3"/>
        <v>0</v>
      </c>
      <c r="K206"/>
    </row>
    <row r="207" spans="1:11" ht="36" x14ac:dyDescent="0.35">
      <c r="A207" s="1295" t="s">
        <v>869</v>
      </c>
      <c r="B207" s="1296"/>
      <c r="C207" s="260" t="s">
        <v>1295</v>
      </c>
      <c r="D207" s="439" t="s">
        <v>1289</v>
      </c>
      <c r="E207" s="439"/>
      <c r="F207" s="541">
        <v>1</v>
      </c>
      <c r="G207" s="541" t="s">
        <v>1481</v>
      </c>
      <c r="H207" s="517">
        <v>20000</v>
      </c>
      <c r="J207" s="473"/>
    </row>
    <row r="208" spans="1:11" ht="18" x14ac:dyDescent="0.35">
      <c r="A208" s="1295" t="s">
        <v>869</v>
      </c>
      <c r="B208" s="1296"/>
      <c r="C208" s="260" t="s">
        <v>1296</v>
      </c>
      <c r="D208" s="439" t="s">
        <v>1290</v>
      </c>
      <c r="E208" s="439"/>
      <c r="F208" s="305">
        <v>0</v>
      </c>
      <c r="G208" s="307"/>
      <c r="H208" s="517">
        <v>20000</v>
      </c>
      <c r="J208" s="473">
        <f t="shared" si="3"/>
        <v>0</v>
      </c>
    </row>
    <row r="209" spans="1:10" ht="18" x14ac:dyDescent="0.35">
      <c r="A209" s="1295" t="s">
        <v>869</v>
      </c>
      <c r="B209" s="1296"/>
      <c r="C209" s="260" t="s">
        <v>1297</v>
      </c>
      <c r="D209" s="439" t="s">
        <v>1291</v>
      </c>
      <c r="E209" s="439"/>
      <c r="F209" s="305">
        <v>0</v>
      </c>
      <c r="G209" s="307"/>
      <c r="H209" s="517">
        <v>20000</v>
      </c>
      <c r="J209" s="473">
        <f t="shared" si="3"/>
        <v>0</v>
      </c>
    </row>
    <row r="210" spans="1:10" s="31" customFormat="1" ht="20.25" customHeight="1" x14ac:dyDescent="0.3">
      <c r="A210" s="1295" t="s">
        <v>869</v>
      </c>
      <c r="B210" s="1296"/>
      <c r="C210" s="260" t="s">
        <v>1298</v>
      </c>
      <c r="D210" s="540" t="s">
        <v>1292</v>
      </c>
      <c r="E210" s="540"/>
      <c r="F210" s="305">
        <v>1</v>
      </c>
      <c r="G210" s="307"/>
      <c r="H210" s="543">
        <v>20000</v>
      </c>
      <c r="J210" s="128">
        <f t="shared" si="3"/>
        <v>20000</v>
      </c>
    </row>
    <row r="211" spans="1:10" ht="18" x14ac:dyDescent="0.35">
      <c r="A211" s="1295" t="s">
        <v>869</v>
      </c>
      <c r="B211" s="1296"/>
      <c r="C211" s="260" t="s">
        <v>1476</v>
      </c>
      <c r="D211" s="439"/>
      <c r="E211" s="439"/>
      <c r="F211" s="305"/>
      <c r="G211" s="307"/>
      <c r="H211" s="517">
        <v>16</v>
      </c>
      <c r="J211" s="473">
        <f t="shared" si="3"/>
        <v>0</v>
      </c>
    </row>
    <row r="212" spans="1:10" ht="18" x14ac:dyDescent="0.35">
      <c r="A212" s="1295" t="s">
        <v>869</v>
      </c>
      <c r="B212" s="1296"/>
      <c r="C212" s="260" t="s">
        <v>1312</v>
      </c>
      <c r="D212" s="439" t="s">
        <v>1313</v>
      </c>
      <c r="E212" s="439"/>
      <c r="F212" s="305"/>
      <c r="G212" s="307"/>
      <c r="H212" s="517">
        <v>10</v>
      </c>
      <c r="J212" s="473">
        <f t="shared" si="3"/>
        <v>0</v>
      </c>
    </row>
    <row r="213" spans="1:10" ht="18" x14ac:dyDescent="0.35">
      <c r="A213" s="1295" t="s">
        <v>869</v>
      </c>
      <c r="B213" s="1296"/>
      <c r="C213" s="260" t="s">
        <v>1307</v>
      </c>
      <c r="D213" s="439" t="s">
        <v>1304</v>
      </c>
      <c r="E213" s="439"/>
      <c r="F213" s="305">
        <v>3</v>
      </c>
      <c r="G213" s="307"/>
      <c r="H213" s="517">
        <v>8000</v>
      </c>
      <c r="J213" s="473">
        <f t="shared" si="3"/>
        <v>24000</v>
      </c>
    </row>
    <row r="214" spans="1:10" ht="18" x14ac:dyDescent="0.35">
      <c r="A214" s="1295" t="s">
        <v>869</v>
      </c>
      <c r="B214" s="1296"/>
      <c r="C214" s="260" t="s">
        <v>1308</v>
      </c>
      <c r="D214" s="439" t="s">
        <v>1305</v>
      </c>
      <c r="E214" s="439"/>
      <c r="F214" s="305">
        <v>7</v>
      </c>
      <c r="G214" s="307"/>
      <c r="H214" s="517">
        <v>8000</v>
      </c>
      <c r="J214" s="473">
        <f t="shared" si="3"/>
        <v>56000</v>
      </c>
    </row>
    <row r="215" spans="1:10" ht="18" x14ac:dyDescent="0.35">
      <c r="A215" s="1295" t="s">
        <v>869</v>
      </c>
      <c r="B215" s="1296"/>
      <c r="C215" s="260" t="s">
        <v>1309</v>
      </c>
      <c r="D215" s="439" t="s">
        <v>1306</v>
      </c>
      <c r="E215" s="439"/>
      <c r="F215" s="305">
        <v>2</v>
      </c>
      <c r="G215" s="307"/>
      <c r="H215" s="517">
        <v>8000</v>
      </c>
      <c r="J215" s="473">
        <f t="shared" si="3"/>
        <v>16000</v>
      </c>
    </row>
    <row r="216" spans="1:10" ht="18" x14ac:dyDescent="0.35">
      <c r="A216" s="1295" t="s">
        <v>869</v>
      </c>
      <c r="B216" s="1296"/>
      <c r="C216" s="260" t="s">
        <v>1316</v>
      </c>
      <c r="D216" s="439"/>
      <c r="E216" s="439"/>
      <c r="F216" s="305">
        <v>1</v>
      </c>
      <c r="G216" s="307"/>
      <c r="H216" s="517">
        <v>8000</v>
      </c>
      <c r="J216" s="473">
        <f t="shared" si="3"/>
        <v>8000</v>
      </c>
    </row>
    <row r="217" spans="1:10" ht="18" x14ac:dyDescent="0.35">
      <c r="A217" s="1295" t="s">
        <v>869</v>
      </c>
      <c r="B217" s="1296"/>
      <c r="C217" s="260" t="s">
        <v>1317</v>
      </c>
      <c r="D217" s="439" t="s">
        <v>1477</v>
      </c>
      <c r="E217" s="439"/>
      <c r="F217" s="305">
        <v>2</v>
      </c>
      <c r="G217" s="307"/>
      <c r="H217" s="517">
        <v>8000</v>
      </c>
      <c r="J217" s="473">
        <f t="shared" si="3"/>
        <v>16000</v>
      </c>
    </row>
    <row r="218" spans="1:10" ht="18" x14ac:dyDescent="0.35">
      <c r="A218" s="302">
        <v>504</v>
      </c>
      <c r="B218" s="322" t="s">
        <v>746</v>
      </c>
      <c r="C218" s="260" t="s">
        <v>1432</v>
      </c>
      <c r="D218" s="439" t="s">
        <v>926</v>
      </c>
      <c r="E218" s="439"/>
      <c r="F218" s="305">
        <v>0</v>
      </c>
      <c r="G218" s="307"/>
      <c r="H218" s="517">
        <v>10000</v>
      </c>
      <c r="J218" s="473">
        <f t="shared" si="3"/>
        <v>0</v>
      </c>
    </row>
    <row r="219" spans="1:10" ht="18" x14ac:dyDescent="0.35">
      <c r="A219" s="302">
        <v>114</v>
      </c>
      <c r="B219" s="322" t="s">
        <v>746</v>
      </c>
      <c r="C219" s="260" t="s">
        <v>1613</v>
      </c>
      <c r="D219" s="439" t="s">
        <v>1614</v>
      </c>
      <c r="E219" s="439"/>
      <c r="F219" s="305">
        <v>0</v>
      </c>
      <c r="G219" s="307"/>
      <c r="H219" s="517">
        <v>10000</v>
      </c>
      <c r="J219" s="473">
        <f t="shared" si="3"/>
        <v>0</v>
      </c>
    </row>
    <row r="220" spans="1:10" ht="18" x14ac:dyDescent="0.35">
      <c r="A220" s="302">
        <v>97</v>
      </c>
      <c r="B220" s="322" t="s">
        <v>1041</v>
      </c>
      <c r="C220" s="260" t="s">
        <v>1433</v>
      </c>
      <c r="D220" s="439" t="s">
        <v>913</v>
      </c>
      <c r="E220" s="439"/>
      <c r="F220" s="305"/>
      <c r="G220" s="307"/>
      <c r="H220" s="517">
        <v>10000</v>
      </c>
      <c r="J220" s="473">
        <f t="shared" si="3"/>
        <v>0</v>
      </c>
    </row>
    <row r="221" spans="1:10" ht="18.600000000000001" customHeight="1" x14ac:dyDescent="0.35">
      <c r="A221" s="302">
        <v>535</v>
      </c>
      <c r="B221" s="322" t="s">
        <v>746</v>
      </c>
      <c r="C221" s="260" t="s">
        <v>1456</v>
      </c>
      <c r="D221" s="377" t="s">
        <v>1632</v>
      </c>
      <c r="E221" s="377"/>
      <c r="F221" s="305"/>
      <c r="G221" s="307"/>
      <c r="H221" s="517">
        <v>200</v>
      </c>
      <c r="J221" s="473">
        <f t="shared" si="3"/>
        <v>0</v>
      </c>
    </row>
    <row r="222" spans="1:10" ht="18.600000000000001" customHeight="1" x14ac:dyDescent="0.35">
      <c r="A222" s="302">
        <v>307</v>
      </c>
      <c r="B222" s="322" t="s">
        <v>1041</v>
      </c>
      <c r="C222" s="260" t="s">
        <v>1457</v>
      </c>
      <c r="D222" s="377" t="s">
        <v>1631</v>
      </c>
      <c r="E222" s="377"/>
      <c r="F222" s="305"/>
      <c r="G222" s="307"/>
      <c r="H222" s="517">
        <v>200</v>
      </c>
      <c r="J222" s="473">
        <f t="shared" si="3"/>
        <v>0</v>
      </c>
    </row>
    <row r="223" spans="1:10" ht="18.600000000000001" customHeight="1" x14ac:dyDescent="0.35">
      <c r="A223" s="302">
        <v>534</v>
      </c>
      <c r="B223" s="322" t="s">
        <v>746</v>
      </c>
      <c r="C223" s="260" t="s">
        <v>1487</v>
      </c>
      <c r="D223" s="377" t="s">
        <v>1633</v>
      </c>
      <c r="E223" s="377"/>
      <c r="F223" s="305"/>
      <c r="G223" s="307"/>
      <c r="H223" s="517">
        <v>200</v>
      </c>
      <c r="J223" s="473">
        <f t="shared" si="3"/>
        <v>0</v>
      </c>
    </row>
    <row r="224" spans="1:10" ht="18.600000000000001" customHeight="1" x14ac:dyDescent="0.35">
      <c r="A224" s="302">
        <v>52</v>
      </c>
      <c r="B224" s="322" t="s">
        <v>1041</v>
      </c>
      <c r="C224" s="260" t="s">
        <v>1488</v>
      </c>
      <c r="D224" s="377" t="s">
        <v>1634</v>
      </c>
      <c r="E224" s="377"/>
      <c r="F224" s="305"/>
      <c r="G224" s="307"/>
      <c r="H224" s="517">
        <v>200</v>
      </c>
      <c r="J224" s="473">
        <f t="shared" si="3"/>
        <v>0</v>
      </c>
    </row>
    <row r="225" spans="1:11" ht="38.85" customHeight="1" x14ac:dyDescent="0.35">
      <c r="A225" s="302">
        <v>555</v>
      </c>
      <c r="B225" s="322" t="s">
        <v>746</v>
      </c>
      <c r="C225" s="260" t="s">
        <v>1458</v>
      </c>
      <c r="D225" s="549" t="s">
        <v>1636</v>
      </c>
      <c r="E225" s="549"/>
      <c r="F225" s="305"/>
      <c r="G225" s="307"/>
      <c r="H225" s="517">
        <v>2000</v>
      </c>
      <c r="J225" s="473">
        <f t="shared" si="3"/>
        <v>0</v>
      </c>
    </row>
    <row r="226" spans="1:11" ht="38.85" customHeight="1" x14ac:dyDescent="0.35">
      <c r="A226" s="302">
        <v>764</v>
      </c>
      <c r="B226" s="322" t="s">
        <v>1041</v>
      </c>
      <c r="C226" s="260" t="s">
        <v>1459</v>
      </c>
      <c r="D226" s="549" t="s">
        <v>1635</v>
      </c>
      <c r="E226" s="549"/>
      <c r="F226" s="305"/>
      <c r="G226" s="307"/>
      <c r="H226" s="517">
        <v>1500</v>
      </c>
      <c r="J226" s="473">
        <f t="shared" si="3"/>
        <v>0</v>
      </c>
    </row>
    <row r="227" spans="1:11" ht="39.9" customHeight="1" thickBot="1" x14ac:dyDescent="0.4">
      <c r="A227" s="298" t="s">
        <v>1797</v>
      </c>
      <c r="B227" s="262" t="s">
        <v>1797</v>
      </c>
      <c r="C227" s="262" t="s">
        <v>1808</v>
      </c>
      <c r="D227" s="1020" t="s">
        <v>1810</v>
      </c>
      <c r="E227" s="550"/>
      <c r="F227" s="306">
        <v>0</v>
      </c>
      <c r="G227" s="308"/>
      <c r="H227" s="518">
        <v>6500</v>
      </c>
      <c r="J227" s="474">
        <f t="shared" si="3"/>
        <v>0</v>
      </c>
    </row>
    <row r="228" spans="1:11" ht="18" x14ac:dyDescent="0.3">
      <c r="A228" s="292"/>
      <c r="D228"/>
      <c r="E228"/>
      <c r="F228" s="622"/>
      <c r="G228" s="1019"/>
      <c r="H228" s="292"/>
    </row>
    <row r="229" spans="1:11" ht="18" customHeight="1" x14ac:dyDescent="0.3">
      <c r="A229" s="661">
        <v>25</v>
      </c>
      <c r="B229" s="701" t="s">
        <v>746</v>
      </c>
      <c r="C229" s="701" t="s">
        <v>1638</v>
      </c>
      <c r="D229" s="701" t="s">
        <v>1570</v>
      </c>
      <c r="E229" s="702" t="e">
        <f>+VLOOKUP(A229,#REF!,10,0)/H229</f>
        <v>#REF!</v>
      </c>
      <c r="F229" s="305"/>
      <c r="G229" s="307"/>
      <c r="H229" s="703">
        <v>1000</v>
      </c>
      <c r="I229" s="704"/>
      <c r="J229" s="705">
        <f t="shared" si="3"/>
        <v>0</v>
      </c>
    </row>
    <row r="230" spans="1:11" ht="18" customHeight="1" x14ac:dyDescent="0.3">
      <c r="A230" s="661" t="s">
        <v>1657</v>
      </c>
      <c r="B230" s="701" t="s">
        <v>746</v>
      </c>
      <c r="C230" s="701" t="s">
        <v>1502</v>
      </c>
      <c r="D230" s="701" t="s">
        <v>474</v>
      </c>
      <c r="E230" s="702" t="e">
        <f>+VLOOKUP(A230,#REF!,10,0)/H230</f>
        <v>#REF!</v>
      </c>
      <c r="F230" s="305"/>
      <c r="G230" s="307"/>
      <c r="H230" s="703">
        <v>2500</v>
      </c>
      <c r="I230" s="704"/>
      <c r="J230" s="705">
        <f t="shared" si="3"/>
        <v>0</v>
      </c>
    </row>
    <row r="231" spans="1:11" s="208" customFormat="1" ht="16.2" customHeight="1" x14ac:dyDescent="0.3">
      <c r="A231" s="302" t="s">
        <v>869</v>
      </c>
      <c r="B231" s="260" t="s">
        <v>746</v>
      </c>
      <c r="C231" s="260" t="s">
        <v>1454</v>
      </c>
      <c r="D231" s="439" t="s">
        <v>848</v>
      </c>
      <c r="E231" s="555" t="e">
        <f>+VLOOKUP(A231,#REF!,10,0)/H231</f>
        <v>#REF!</v>
      </c>
      <c r="F231" s="305"/>
      <c r="G231" s="307"/>
      <c r="H231" s="543">
        <v>5000</v>
      </c>
      <c r="J231" s="128">
        <f t="shared" si="3"/>
        <v>0</v>
      </c>
      <c r="K231"/>
    </row>
    <row r="232" spans="1:11" ht="18" customHeight="1" x14ac:dyDescent="0.3">
      <c r="A232" s="302" t="s">
        <v>869</v>
      </c>
      <c r="B232" s="260" t="s">
        <v>1041</v>
      </c>
      <c r="C232" s="260" t="s">
        <v>1455</v>
      </c>
      <c r="D232" s="439" t="s">
        <v>909</v>
      </c>
      <c r="E232" s="555" t="e">
        <f>+VLOOKUP(A232,#REF!,10,0)/H232</f>
        <v>#REF!</v>
      </c>
      <c r="F232" s="305"/>
      <c r="G232" s="307"/>
      <c r="H232" s="543">
        <v>5000</v>
      </c>
      <c r="I232" s="1"/>
      <c r="J232" s="128">
        <f t="shared" si="3"/>
        <v>0</v>
      </c>
    </row>
    <row r="233" spans="1:11" ht="18" customHeight="1" x14ac:dyDescent="0.3">
      <c r="A233" s="302" t="s">
        <v>1656</v>
      </c>
      <c r="B233" s="260" t="s">
        <v>1041</v>
      </c>
      <c r="C233" s="260" t="s">
        <v>1501</v>
      </c>
      <c r="D233" s="439" t="s">
        <v>1029</v>
      </c>
      <c r="E233" s="555" t="e">
        <f>+VLOOKUP(A233,#REF!,10,0)/H233</f>
        <v>#REF!</v>
      </c>
      <c r="F233" s="305"/>
      <c r="G233" s="307"/>
      <c r="H233" s="543">
        <v>2500</v>
      </c>
      <c r="I233" s="1"/>
      <c r="J233" s="128">
        <f t="shared" si="3"/>
        <v>0</v>
      </c>
    </row>
    <row r="234" spans="1:11" ht="18" x14ac:dyDescent="0.3">
      <c r="A234" s="292"/>
      <c r="D234"/>
      <c r="E234"/>
      <c r="F234" s="305"/>
      <c r="G234" s="307"/>
      <c r="H234" s="292"/>
    </row>
    <row r="235" spans="1:11" ht="18" x14ac:dyDescent="0.3">
      <c r="A235" s="292"/>
      <c r="D235"/>
      <c r="E235"/>
      <c r="F235" s="305"/>
      <c r="G235" s="307"/>
      <c r="H235" s="292"/>
    </row>
    <row r="236" spans="1:11" ht="18" x14ac:dyDescent="0.3">
      <c r="A236" s="292"/>
      <c r="D236"/>
      <c r="E236"/>
      <c r="F236" s="305"/>
      <c r="G236" s="307"/>
      <c r="H236" s="292"/>
    </row>
    <row r="237" spans="1:11" ht="18" x14ac:dyDescent="0.3">
      <c r="A237" s="292"/>
      <c r="D237"/>
      <c r="E237"/>
      <c r="F237" s="305"/>
      <c r="G237" s="307"/>
      <c r="H237" s="292"/>
    </row>
    <row r="238" spans="1:11" ht="18" x14ac:dyDescent="0.3">
      <c r="A238" s="292"/>
      <c r="D238"/>
      <c r="E238"/>
      <c r="F238" s="305"/>
      <c r="G238" s="307"/>
      <c r="H238" s="292"/>
    </row>
    <row r="239" spans="1:11" ht="18" x14ac:dyDescent="0.3">
      <c r="A239" s="292"/>
      <c r="D239"/>
      <c r="E239"/>
      <c r="F239" s="305"/>
      <c r="G239" s="307"/>
      <c r="H239" s="292"/>
    </row>
    <row r="240" spans="1:11" ht="18" x14ac:dyDescent="0.3">
      <c r="A240" s="292"/>
      <c r="D240"/>
      <c r="E240"/>
      <c r="F240" s="305"/>
      <c r="G240" s="307"/>
      <c r="H240" s="292"/>
    </row>
    <row r="241" spans="1:8" ht="18" x14ac:dyDescent="0.3">
      <c r="A241" s="292"/>
      <c r="D241"/>
      <c r="E241"/>
      <c r="F241" s="305"/>
      <c r="G241" s="307"/>
      <c r="H241" s="292"/>
    </row>
    <row r="242" spans="1:8" ht="18.600000000000001" thickBot="1" x14ac:dyDescent="0.35">
      <c r="A242" s="292"/>
      <c r="D242"/>
      <c r="E242"/>
      <c r="F242" s="306"/>
      <c r="G242" s="307"/>
      <c r="H242" s="292"/>
    </row>
    <row r="243" spans="1:8" ht="14.4" x14ac:dyDescent="0.3">
      <c r="A243" s="292"/>
      <c r="D243"/>
      <c r="E243"/>
      <c r="F243" s="292"/>
      <c r="G243" s="292"/>
      <c r="H243" s="292"/>
    </row>
    <row r="244" spans="1:8" ht="18" x14ac:dyDescent="0.3">
      <c r="A244" s="292"/>
      <c r="D244"/>
      <c r="E244"/>
      <c r="F244" s="305"/>
      <c r="G244" s="305"/>
      <c r="H244" s="292"/>
    </row>
    <row r="245" spans="1:8" ht="18" x14ac:dyDescent="0.3">
      <c r="A245" s="292"/>
      <c r="D245"/>
      <c r="E245"/>
      <c r="F245" s="305"/>
      <c r="G245" s="305"/>
      <c r="H245" s="292"/>
    </row>
    <row r="246" spans="1:8" ht="18" x14ac:dyDescent="0.3">
      <c r="A246" s="292"/>
      <c r="D246"/>
      <c r="E246"/>
      <c r="F246" s="305">
        <v>0</v>
      </c>
      <c r="G246" s="305">
        <v>6</v>
      </c>
      <c r="H246" s="292"/>
    </row>
    <row r="247" spans="1:8" ht="18" x14ac:dyDescent="0.3">
      <c r="A247" s="292"/>
      <c r="D247"/>
      <c r="E247"/>
      <c r="F247" s="305">
        <v>0</v>
      </c>
      <c r="G247" s="305">
        <v>6</v>
      </c>
      <c r="H247" s="292"/>
    </row>
    <row r="248" spans="1:8" ht="18" x14ac:dyDescent="0.3">
      <c r="A248" s="292"/>
      <c r="D248"/>
      <c r="E248"/>
      <c r="F248" s="305"/>
      <c r="G248" s="305"/>
      <c r="H248" s="292"/>
    </row>
    <row r="249" spans="1:8" ht="14.4" x14ac:dyDescent="0.3">
      <c r="A249" s="292"/>
      <c r="D249"/>
      <c r="E249"/>
      <c r="F249" s="292"/>
      <c r="G249" s="292"/>
      <c r="H249" s="292"/>
    </row>
    <row r="250" spans="1:8" ht="14.4" x14ac:dyDescent="0.3">
      <c r="A250" s="292"/>
      <c r="D250"/>
      <c r="E250"/>
      <c r="F250" s="292"/>
      <c r="G250" s="292"/>
      <c r="H250" s="292"/>
    </row>
    <row r="251" spans="1:8" ht="14.4" x14ac:dyDescent="0.3">
      <c r="A251" s="292"/>
      <c r="D251"/>
      <c r="E251"/>
      <c r="F251" s="292"/>
      <c r="G251" s="292"/>
      <c r="H251" s="292"/>
    </row>
    <row r="252" spans="1:8" ht="14.4" x14ac:dyDescent="0.3">
      <c r="A252" s="292"/>
      <c r="D252"/>
      <c r="E252"/>
      <c r="F252" s="292"/>
      <c r="G252" s="292"/>
      <c r="H252" s="292"/>
    </row>
    <row r="253" spans="1:8" ht="14.4" x14ac:dyDescent="0.3">
      <c r="A253" s="292"/>
      <c r="D253"/>
      <c r="E253"/>
      <c r="F253" s="292"/>
      <c r="G253" s="292"/>
      <c r="H253" s="292"/>
    </row>
    <row r="254" spans="1:8" ht="14.4" x14ac:dyDescent="0.3">
      <c r="A254" s="292"/>
      <c r="D254"/>
      <c r="E254"/>
      <c r="F254" s="292"/>
      <c r="G254" s="292"/>
      <c r="H254" s="292"/>
    </row>
    <row r="255" spans="1:8" ht="14.4" x14ac:dyDescent="0.3">
      <c r="A255" s="292"/>
      <c r="D255"/>
      <c r="E255"/>
      <c r="F255" s="292"/>
      <c r="G255" s="292"/>
      <c r="H255" s="292"/>
    </row>
    <row r="256" spans="1:8" ht="14.4" x14ac:dyDescent="0.3">
      <c r="A256" s="292"/>
      <c r="D256"/>
      <c r="E256"/>
      <c r="F256" s="292"/>
      <c r="G256" s="292"/>
      <c r="H256" s="292"/>
    </row>
    <row r="257" spans="1:8" ht="14.4" x14ac:dyDescent="0.3">
      <c r="A257" s="292"/>
      <c r="D257"/>
      <c r="E257"/>
      <c r="F257" s="292"/>
      <c r="G257" s="292"/>
      <c r="H257" s="292"/>
    </row>
    <row r="258" spans="1:8" ht="14.4" x14ac:dyDescent="0.3">
      <c r="A258" s="292"/>
      <c r="D258"/>
      <c r="E258"/>
      <c r="F258" s="292"/>
      <c r="G258" s="292"/>
      <c r="H258" s="292"/>
    </row>
    <row r="259" spans="1:8" ht="14.4" x14ac:dyDescent="0.3">
      <c r="A259" s="292"/>
      <c r="D259"/>
      <c r="E259"/>
      <c r="F259" s="292"/>
      <c r="G259" s="292"/>
      <c r="H259" s="292"/>
    </row>
    <row r="260" spans="1:8" ht="14.4" x14ac:dyDescent="0.3">
      <c r="A260" s="292"/>
      <c r="D260"/>
      <c r="E260"/>
      <c r="F260" s="292"/>
      <c r="G260" s="292"/>
      <c r="H260" s="292"/>
    </row>
    <row r="261" spans="1:8" ht="14.4" x14ac:dyDescent="0.3">
      <c r="A261" s="292"/>
      <c r="D261"/>
      <c r="E261"/>
      <c r="F261" s="292"/>
      <c r="G261" s="292"/>
      <c r="H261" s="292"/>
    </row>
    <row r="262" spans="1:8" ht="14.4" x14ac:dyDescent="0.3">
      <c r="A262" s="292"/>
      <c r="D262"/>
      <c r="E262"/>
      <c r="F262" s="292"/>
      <c r="G262" s="292"/>
      <c r="H262" s="292"/>
    </row>
    <row r="263" spans="1:8" x14ac:dyDescent="0.3">
      <c r="F263" s="292"/>
      <c r="G263" s="292"/>
    </row>
    <row r="264" spans="1:8" x14ac:dyDescent="0.3">
      <c r="F264" s="292"/>
      <c r="G264" s="292"/>
    </row>
    <row r="265" spans="1:8" x14ac:dyDescent="0.3">
      <c r="F265" s="292"/>
      <c r="G265" s="292"/>
    </row>
    <row r="266" spans="1:8" x14ac:dyDescent="0.3">
      <c r="F266" s="292"/>
      <c r="G266" s="292"/>
    </row>
    <row r="267" spans="1:8" x14ac:dyDescent="0.3">
      <c r="F267" s="292"/>
      <c r="G267" s="292"/>
    </row>
    <row r="268" spans="1:8" x14ac:dyDescent="0.3">
      <c r="F268" s="292"/>
      <c r="G268" s="292"/>
    </row>
    <row r="269" spans="1:8" x14ac:dyDescent="0.3">
      <c r="F269" s="292"/>
      <c r="G269" s="292"/>
    </row>
    <row r="270" spans="1:8" x14ac:dyDescent="0.3">
      <c r="F270" s="292"/>
      <c r="G270" s="292"/>
    </row>
    <row r="271" spans="1:8" x14ac:dyDescent="0.3">
      <c r="F271" s="292"/>
      <c r="G271" s="292"/>
    </row>
    <row r="272" spans="1:8" x14ac:dyDescent="0.3">
      <c r="F272" s="292"/>
      <c r="G272" s="292"/>
    </row>
    <row r="273" spans="6:7" x14ac:dyDescent="0.3">
      <c r="F273" s="292"/>
      <c r="G273" s="292"/>
    </row>
    <row r="274" spans="6:7" x14ac:dyDescent="0.3">
      <c r="F274" s="292"/>
      <c r="G274" s="292"/>
    </row>
    <row r="275" spans="6:7" x14ac:dyDescent="0.3">
      <c r="F275" s="292"/>
      <c r="G275" s="292"/>
    </row>
    <row r="276" spans="6:7" x14ac:dyDescent="0.3">
      <c r="F276" s="292"/>
      <c r="G276" s="292"/>
    </row>
    <row r="277" spans="6:7" x14ac:dyDescent="0.3">
      <c r="F277" s="292"/>
      <c r="G277" s="292"/>
    </row>
  </sheetData>
  <autoFilter ref="A7:K226" xr:uid="{00000000-0009-0000-0000-00000C000000}"/>
  <mergeCells count="15">
    <mergeCell ref="A216:B216"/>
    <mergeCell ref="A217:B217"/>
    <mergeCell ref="A210:B210"/>
    <mergeCell ref="A211:B211"/>
    <mergeCell ref="A212:B212"/>
    <mergeCell ref="A213:B213"/>
    <mergeCell ref="A214:B214"/>
    <mergeCell ref="A215:B215"/>
    <mergeCell ref="A1:F1"/>
    <mergeCell ref="A209:B209"/>
    <mergeCell ref="D3:F3"/>
    <mergeCell ref="D5:F5"/>
    <mergeCell ref="A206:B206"/>
    <mergeCell ref="A207:B207"/>
    <mergeCell ref="A208:B208"/>
  </mergeCells>
  <phoneticPr fontId="48" type="noConversion"/>
  <printOptions horizontalCentered="1" verticalCentered="1"/>
  <pageMargins left="7.874015748031496E-2" right="7.874015748031496E-2" top="0.23622047244094491" bottom="0.15748031496062992" header="0" footer="0"/>
  <pageSetup fitToHeight="0" orientation="portrait" r:id="rId1"/>
  <ignoredErrors>
    <ignoredError sqref="E9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5"/>
  <sheetViews>
    <sheetView workbookViewId="0">
      <selection activeCell="G12" sqref="G12"/>
    </sheetView>
  </sheetViews>
  <sheetFormatPr baseColWidth="10" defaultRowHeight="14.4" x14ac:dyDescent="0.3"/>
  <cols>
    <col min="3" max="3" width="14.33203125" customWidth="1"/>
  </cols>
  <sheetData>
    <row r="1" spans="1:5" ht="15" thickBot="1" x14ac:dyDescent="0.35"/>
    <row r="2" spans="1:5" ht="54.6" thickBot="1" x14ac:dyDescent="0.35">
      <c r="A2" s="312" t="s">
        <v>748</v>
      </c>
      <c r="B2" s="312" t="s">
        <v>1018</v>
      </c>
      <c r="C2" s="312" t="s">
        <v>749</v>
      </c>
      <c r="D2" s="314" t="s">
        <v>1402</v>
      </c>
      <c r="E2" s="321" t="s">
        <v>1416</v>
      </c>
    </row>
    <row r="3" spans="1:5" ht="18" x14ac:dyDescent="0.35">
      <c r="A3" s="438">
        <v>862</v>
      </c>
      <c r="B3" s="323" t="s">
        <v>1041</v>
      </c>
      <c r="C3" s="356" t="s">
        <v>1276</v>
      </c>
      <c r="D3" s="380">
        <v>540</v>
      </c>
      <c r="E3" s="353" t="s">
        <v>1220</v>
      </c>
    </row>
    <row r="4" spans="1:5" ht="18" x14ac:dyDescent="0.35">
      <c r="A4" s="439">
        <v>859</v>
      </c>
      <c r="B4" s="322" t="s">
        <v>1041</v>
      </c>
      <c r="C4" s="329" t="s">
        <v>1369</v>
      </c>
      <c r="D4" s="381">
        <v>720</v>
      </c>
      <c r="E4" s="354" t="s">
        <v>1220</v>
      </c>
    </row>
    <row r="5" spans="1:5" ht="18" x14ac:dyDescent="0.35">
      <c r="A5" s="439">
        <v>720</v>
      </c>
      <c r="B5" s="322" t="s">
        <v>1041</v>
      </c>
      <c r="C5" s="329" t="s">
        <v>1179</v>
      </c>
      <c r="D5" s="381">
        <v>300</v>
      </c>
      <c r="E5" s="354" t="s">
        <v>1220</v>
      </c>
    </row>
    <row r="6" spans="1:5" ht="18" x14ac:dyDescent="0.35">
      <c r="A6" s="439">
        <v>722</v>
      </c>
      <c r="B6" s="322" t="s">
        <v>1041</v>
      </c>
      <c r="C6" s="329" t="s">
        <v>1180</v>
      </c>
      <c r="D6" s="381">
        <v>180</v>
      </c>
      <c r="E6" s="354" t="s">
        <v>1220</v>
      </c>
    </row>
    <row r="7" spans="1:5" ht="18" x14ac:dyDescent="0.35">
      <c r="A7" s="439">
        <v>710</v>
      </c>
      <c r="B7" s="322" t="s">
        <v>1041</v>
      </c>
      <c r="C7" s="329" t="s">
        <v>1192</v>
      </c>
      <c r="D7" s="381">
        <v>0</v>
      </c>
      <c r="E7" s="354" t="s">
        <v>1220</v>
      </c>
    </row>
    <row r="8" spans="1:5" ht="18" x14ac:dyDescent="0.35">
      <c r="A8" s="439">
        <v>864</v>
      </c>
      <c r="B8" s="322" t="s">
        <v>1041</v>
      </c>
      <c r="C8" s="329" t="s">
        <v>1187</v>
      </c>
      <c r="D8" s="381">
        <v>360</v>
      </c>
      <c r="E8" s="354" t="s">
        <v>1220</v>
      </c>
    </row>
    <row r="9" spans="1:5" ht="18" x14ac:dyDescent="0.35">
      <c r="A9" s="439">
        <v>802</v>
      </c>
      <c r="B9" s="322" t="s">
        <v>1041</v>
      </c>
      <c r="C9" s="329" t="s">
        <v>1193</v>
      </c>
      <c r="D9" s="381">
        <v>5400</v>
      </c>
      <c r="E9" s="354" t="s">
        <v>1220</v>
      </c>
    </row>
    <row r="10" spans="1:5" ht="18" x14ac:dyDescent="0.35">
      <c r="A10" s="439">
        <v>615</v>
      </c>
      <c r="B10" s="322" t="s">
        <v>1041</v>
      </c>
      <c r="C10" s="329" t="s">
        <v>1195</v>
      </c>
      <c r="D10" s="381">
        <v>450</v>
      </c>
      <c r="E10" s="355" t="s">
        <v>1220</v>
      </c>
    </row>
    <row r="11" spans="1:5" ht="18" x14ac:dyDescent="0.35">
      <c r="A11" s="439">
        <v>857</v>
      </c>
      <c r="B11" s="322" t="s">
        <v>1041</v>
      </c>
      <c r="C11" s="329" t="s">
        <v>1374</v>
      </c>
      <c r="D11" s="381">
        <v>144</v>
      </c>
      <c r="E11" s="354" t="s">
        <v>1220</v>
      </c>
    </row>
    <row r="12" spans="1:5" ht="18" x14ac:dyDescent="0.35">
      <c r="A12" s="439">
        <v>856</v>
      </c>
      <c r="B12" s="322" t="s">
        <v>1041</v>
      </c>
      <c r="C12" s="329" t="s">
        <v>1342</v>
      </c>
      <c r="D12" s="381">
        <v>288</v>
      </c>
      <c r="E12" s="354" t="s">
        <v>1220</v>
      </c>
    </row>
    <row r="13" spans="1:5" ht="18" x14ac:dyDescent="0.35">
      <c r="A13" s="439">
        <v>709</v>
      </c>
      <c r="B13" s="322" t="s">
        <v>1041</v>
      </c>
      <c r="C13" s="329" t="s">
        <v>786</v>
      </c>
      <c r="D13" s="381">
        <v>180</v>
      </c>
      <c r="E13" s="354" t="s">
        <v>1220</v>
      </c>
    </row>
    <row r="14" spans="1:5" ht="18" x14ac:dyDescent="0.35">
      <c r="A14" s="439">
        <v>858</v>
      </c>
      <c r="B14" s="322" t="s">
        <v>1041</v>
      </c>
      <c r="C14" s="329" t="s">
        <v>1377</v>
      </c>
      <c r="D14" s="381">
        <v>360</v>
      </c>
      <c r="E14" s="354" t="s">
        <v>1220</v>
      </c>
    </row>
    <row r="15" spans="1:5" ht="18" x14ac:dyDescent="0.35">
      <c r="A15" s="439">
        <v>863</v>
      </c>
      <c r="B15" s="322" t="s">
        <v>1041</v>
      </c>
      <c r="C15" s="329" t="s">
        <v>1378</v>
      </c>
      <c r="D15" s="381">
        <v>288</v>
      </c>
      <c r="E15" s="354" t="s">
        <v>1220</v>
      </c>
    </row>
    <row r="16" spans="1:5" ht="15" thickBot="1" x14ac:dyDescent="0.35"/>
    <row r="17" spans="1:5" ht="54" x14ac:dyDescent="0.3">
      <c r="A17" s="312" t="s">
        <v>748</v>
      </c>
      <c r="B17" s="312" t="s">
        <v>1018</v>
      </c>
      <c r="C17" s="312" t="s">
        <v>749</v>
      </c>
      <c r="D17" s="314" t="s">
        <v>1402</v>
      </c>
      <c r="E17" s="321" t="s">
        <v>1416</v>
      </c>
    </row>
    <row r="18" spans="1:5" ht="18" x14ac:dyDescent="0.35">
      <c r="A18" s="439">
        <v>719</v>
      </c>
      <c r="B18" s="322" t="s">
        <v>1041</v>
      </c>
      <c r="C18" s="329" t="s">
        <v>1371</v>
      </c>
      <c r="D18" s="381">
        <v>432</v>
      </c>
      <c r="E18" s="354" t="s">
        <v>1493</v>
      </c>
    </row>
    <row r="19" spans="1:5" ht="18" x14ac:dyDescent="0.35">
      <c r="A19" s="439">
        <v>99</v>
      </c>
      <c r="B19" s="322" t="s">
        <v>1041</v>
      </c>
      <c r="C19" s="329" t="s">
        <v>1382</v>
      </c>
      <c r="D19" s="381">
        <v>4428</v>
      </c>
      <c r="E19" s="354" t="s">
        <v>1493</v>
      </c>
    </row>
    <row r="20" spans="1:5" ht="18" x14ac:dyDescent="0.35">
      <c r="A20" s="439">
        <v>732</v>
      </c>
      <c r="B20" s="322" t="s">
        <v>1041</v>
      </c>
      <c r="C20" s="329" t="s">
        <v>1372</v>
      </c>
      <c r="D20" s="381">
        <v>432</v>
      </c>
      <c r="E20" s="354" t="s">
        <v>1493</v>
      </c>
    </row>
    <row r="21" spans="1:5" ht="18" x14ac:dyDescent="0.35">
      <c r="A21" s="439">
        <v>817</v>
      </c>
      <c r="B21" s="322" t="s">
        <v>1041</v>
      </c>
      <c r="C21" s="329" t="s">
        <v>1328</v>
      </c>
      <c r="D21" s="381">
        <v>264</v>
      </c>
      <c r="E21" s="354" t="s">
        <v>1493</v>
      </c>
    </row>
    <row r="22" spans="1:5" ht="18" x14ac:dyDescent="0.35">
      <c r="A22" s="439">
        <v>713</v>
      </c>
      <c r="B22" s="322" t="s">
        <v>1041</v>
      </c>
      <c r="C22" s="329" t="s">
        <v>1183</v>
      </c>
      <c r="D22" s="381">
        <v>6126</v>
      </c>
      <c r="E22" s="354" t="s">
        <v>1493</v>
      </c>
    </row>
    <row r="23" spans="1:5" ht="18" x14ac:dyDescent="0.35">
      <c r="A23" s="439">
        <v>43</v>
      </c>
      <c r="B23" s="322" t="s">
        <v>1041</v>
      </c>
      <c r="C23" s="329" t="s">
        <v>1338</v>
      </c>
      <c r="D23" s="381">
        <v>720</v>
      </c>
      <c r="E23" s="354" t="s">
        <v>1493</v>
      </c>
    </row>
    <row r="24" spans="1:5" ht="18" x14ac:dyDescent="0.35">
      <c r="A24" s="439">
        <v>816</v>
      </c>
      <c r="B24" s="322" t="s">
        <v>1041</v>
      </c>
      <c r="C24" s="329" t="s">
        <v>1330</v>
      </c>
      <c r="D24" s="381">
        <v>600</v>
      </c>
      <c r="E24" s="354" t="s">
        <v>1493</v>
      </c>
    </row>
    <row r="25" spans="1:5" ht="18" x14ac:dyDescent="0.35">
      <c r="A25" s="439">
        <v>878</v>
      </c>
      <c r="B25" s="322" t="s">
        <v>1041</v>
      </c>
      <c r="C25" s="329" t="s">
        <v>1344</v>
      </c>
      <c r="D25" s="381">
        <v>600</v>
      </c>
      <c r="E25" s="354" t="s">
        <v>1493</v>
      </c>
    </row>
    <row r="26" spans="1:5" ht="18" x14ac:dyDescent="0.35">
      <c r="A26" s="439">
        <v>735</v>
      </c>
      <c r="B26" s="322" t="s">
        <v>1041</v>
      </c>
      <c r="C26" s="329" t="s">
        <v>1379</v>
      </c>
      <c r="D26" s="381">
        <v>0</v>
      </c>
      <c r="E26" s="354" t="s">
        <v>1493</v>
      </c>
    </row>
    <row r="27" spans="1:5" ht="18" x14ac:dyDescent="0.35">
      <c r="A27" s="439">
        <v>97</v>
      </c>
      <c r="B27" s="322" t="s">
        <v>1041</v>
      </c>
      <c r="C27" s="329" t="s">
        <v>1385</v>
      </c>
      <c r="D27" s="381">
        <v>1350</v>
      </c>
      <c r="E27" s="354" t="s">
        <v>1493</v>
      </c>
    </row>
    <row r="28" spans="1:5" ht="18" x14ac:dyDescent="0.35">
      <c r="A28" s="439">
        <v>99</v>
      </c>
      <c r="B28" s="322" t="s">
        <v>1041</v>
      </c>
      <c r="C28" s="329" t="s">
        <v>1382</v>
      </c>
      <c r="D28" s="381">
        <v>4428</v>
      </c>
      <c r="E28" s="354" t="s">
        <v>1493</v>
      </c>
    </row>
    <row r="29" spans="1:5" ht="15" thickBot="1" x14ac:dyDescent="0.35"/>
    <row r="30" spans="1:5" ht="54" x14ac:dyDescent="0.3">
      <c r="A30" s="312" t="s">
        <v>748</v>
      </c>
      <c r="B30" s="312" t="s">
        <v>1018</v>
      </c>
      <c r="C30" s="312" t="s">
        <v>749</v>
      </c>
      <c r="D30" s="314" t="s">
        <v>1402</v>
      </c>
      <c r="E30" s="321" t="s">
        <v>1416</v>
      </c>
    </row>
    <row r="31" spans="1:5" ht="18" x14ac:dyDescent="0.35">
      <c r="A31" s="439">
        <v>504</v>
      </c>
      <c r="B31" s="322" t="s">
        <v>746</v>
      </c>
      <c r="C31" s="329" t="s">
        <v>1194</v>
      </c>
      <c r="D31" s="381">
        <v>24000</v>
      </c>
      <c r="E31" s="354" t="s">
        <v>1219</v>
      </c>
    </row>
    <row r="32" spans="1:5" ht="15" thickBot="1" x14ac:dyDescent="0.35"/>
    <row r="33" spans="1:5" ht="54" x14ac:dyDescent="0.3">
      <c r="A33" s="312" t="s">
        <v>748</v>
      </c>
      <c r="B33" s="312" t="s">
        <v>1018</v>
      </c>
      <c r="C33" s="312" t="s">
        <v>749</v>
      </c>
      <c r="D33" s="314" t="s">
        <v>1402</v>
      </c>
      <c r="E33" s="321" t="s">
        <v>1416</v>
      </c>
    </row>
    <row r="34" spans="1:5" ht="18" x14ac:dyDescent="0.35">
      <c r="A34" s="439">
        <v>502</v>
      </c>
      <c r="B34" s="322" t="s">
        <v>746</v>
      </c>
      <c r="C34" s="329" t="s">
        <v>1318</v>
      </c>
      <c r="D34" s="381">
        <v>19260</v>
      </c>
      <c r="E34" s="354" t="s">
        <v>1217</v>
      </c>
    </row>
    <row r="35" spans="1:5" ht="18" x14ac:dyDescent="0.35">
      <c r="A35" s="439">
        <v>501</v>
      </c>
      <c r="B35" s="322" t="s">
        <v>746</v>
      </c>
      <c r="C35" s="329" t="s">
        <v>1189</v>
      </c>
      <c r="D35" s="381">
        <v>18000</v>
      </c>
      <c r="E35" s="354" t="s">
        <v>1217</v>
      </c>
    </row>
    <row r="36" spans="1:5" ht="18" x14ac:dyDescent="0.35">
      <c r="A36" s="439">
        <v>512</v>
      </c>
      <c r="B36" s="322" t="s">
        <v>746</v>
      </c>
      <c r="C36" s="329" t="s">
        <v>1337</v>
      </c>
      <c r="D36" s="381">
        <v>12264</v>
      </c>
      <c r="E36" s="354" t="s">
        <v>1217</v>
      </c>
    </row>
    <row r="37" spans="1:5" ht="18" x14ac:dyDescent="0.35">
      <c r="A37" s="439">
        <v>66</v>
      </c>
      <c r="B37" s="322" t="s">
        <v>746</v>
      </c>
      <c r="C37" s="329" t="s">
        <v>1366</v>
      </c>
      <c r="D37" s="381">
        <v>6600</v>
      </c>
      <c r="E37" s="354" t="s">
        <v>1217</v>
      </c>
    </row>
    <row r="38" spans="1:5" ht="15" thickBot="1" x14ac:dyDescent="0.35"/>
    <row r="39" spans="1:5" ht="54" x14ac:dyDescent="0.3">
      <c r="A39" s="312" t="s">
        <v>748</v>
      </c>
      <c r="B39" s="312" t="s">
        <v>1018</v>
      </c>
      <c r="C39" s="312" t="s">
        <v>749</v>
      </c>
      <c r="D39" s="314" t="s">
        <v>1402</v>
      </c>
      <c r="E39" s="321" t="s">
        <v>1416</v>
      </c>
    </row>
    <row r="40" spans="1:5" ht="18" x14ac:dyDescent="0.35">
      <c r="A40" s="439">
        <v>702</v>
      </c>
      <c r="B40" s="322" t="s">
        <v>1041</v>
      </c>
      <c r="C40" s="329" t="s">
        <v>1370</v>
      </c>
      <c r="D40" s="381">
        <v>3000</v>
      </c>
      <c r="E40" s="354" t="s">
        <v>1222</v>
      </c>
    </row>
    <row r="41" spans="1:5" ht="18" x14ac:dyDescent="0.35">
      <c r="A41" s="439">
        <v>701</v>
      </c>
      <c r="B41" s="322" t="s">
        <v>1041</v>
      </c>
      <c r="C41" s="329" t="s">
        <v>1189</v>
      </c>
      <c r="D41" s="381">
        <v>2400</v>
      </c>
      <c r="E41" s="354" t="s">
        <v>1222</v>
      </c>
    </row>
    <row r="42" spans="1:5" ht="18" x14ac:dyDescent="0.35">
      <c r="A42" s="439">
        <v>723</v>
      </c>
      <c r="B42" s="322" t="s">
        <v>1041</v>
      </c>
      <c r="C42" s="329" t="s">
        <v>1184</v>
      </c>
      <c r="D42" s="381">
        <v>1080</v>
      </c>
      <c r="E42" s="354" t="s">
        <v>1222</v>
      </c>
    </row>
    <row r="43" spans="1:5" ht="18" x14ac:dyDescent="0.35">
      <c r="A43" s="439">
        <v>724</v>
      </c>
      <c r="B43" s="322" t="s">
        <v>1041</v>
      </c>
      <c r="C43" s="329" t="s">
        <v>1386</v>
      </c>
      <c r="D43" s="381">
        <v>0</v>
      </c>
      <c r="E43" s="355" t="s">
        <v>1222</v>
      </c>
    </row>
    <row r="44" spans="1:5" ht="18" x14ac:dyDescent="0.35">
      <c r="A44" s="439">
        <v>617</v>
      </c>
      <c r="B44" s="322" t="s">
        <v>1041</v>
      </c>
      <c r="C44" s="329" t="s">
        <v>1096</v>
      </c>
      <c r="D44" s="381">
        <v>0</v>
      </c>
      <c r="E44" s="355" t="s">
        <v>1222</v>
      </c>
    </row>
    <row r="45" spans="1:5" ht="18" x14ac:dyDescent="0.35">
      <c r="A45" s="439">
        <v>765</v>
      </c>
      <c r="B45" s="322" t="s">
        <v>1041</v>
      </c>
      <c r="C45" s="329" t="s">
        <v>818</v>
      </c>
      <c r="D45" s="381">
        <v>0</v>
      </c>
      <c r="E45" s="354" t="s">
        <v>1222</v>
      </c>
    </row>
    <row r="46" spans="1:5" ht="18" x14ac:dyDescent="0.35">
      <c r="A46" s="439">
        <v>879</v>
      </c>
      <c r="B46" s="322" t="s">
        <v>1041</v>
      </c>
      <c r="C46" s="329" t="s">
        <v>1380</v>
      </c>
      <c r="D46" s="381">
        <v>360</v>
      </c>
      <c r="E46" s="354" t="s">
        <v>1222</v>
      </c>
    </row>
    <row r="47" spans="1:5" ht="18" x14ac:dyDescent="0.35">
      <c r="A47" s="439">
        <v>809</v>
      </c>
      <c r="B47" s="322" t="s">
        <v>1041</v>
      </c>
      <c r="C47" s="329" t="s">
        <v>1129</v>
      </c>
      <c r="D47" s="381">
        <v>2400</v>
      </c>
      <c r="E47" s="354" t="s">
        <v>1222</v>
      </c>
    </row>
    <row r="48" spans="1:5" ht="15" thickBot="1" x14ac:dyDescent="0.35"/>
    <row r="49" spans="1:5" ht="54" x14ac:dyDescent="0.3">
      <c r="A49" s="312" t="s">
        <v>748</v>
      </c>
      <c r="B49" s="312" t="s">
        <v>1018</v>
      </c>
      <c r="C49" s="312" t="s">
        <v>749</v>
      </c>
      <c r="D49" s="314" t="s">
        <v>1402</v>
      </c>
      <c r="E49" s="321" t="s">
        <v>1416</v>
      </c>
    </row>
    <row r="50" spans="1:5" ht="18" x14ac:dyDescent="0.35">
      <c r="A50" s="439">
        <v>546</v>
      </c>
      <c r="B50" s="322" t="s">
        <v>746</v>
      </c>
      <c r="C50" s="329" t="s">
        <v>1340</v>
      </c>
      <c r="D50" s="381">
        <v>27000</v>
      </c>
      <c r="E50" s="354" t="s">
        <v>1218</v>
      </c>
    </row>
    <row r="51" spans="1:5" ht="18" x14ac:dyDescent="0.35">
      <c r="A51" s="439">
        <v>544</v>
      </c>
      <c r="B51" s="322" t="s">
        <v>746</v>
      </c>
      <c r="C51" s="329" t="s">
        <v>1193</v>
      </c>
      <c r="D51" s="381">
        <v>24000</v>
      </c>
      <c r="E51" s="354" t="s">
        <v>1218</v>
      </c>
    </row>
    <row r="52" spans="1:5" ht="15" thickBot="1" x14ac:dyDescent="0.35"/>
    <row r="53" spans="1:5" ht="54" x14ac:dyDescent="0.3">
      <c r="A53" s="312" t="s">
        <v>748</v>
      </c>
      <c r="B53" s="312" t="s">
        <v>1018</v>
      </c>
      <c r="C53" s="312" t="s">
        <v>749</v>
      </c>
      <c r="D53" s="314" t="s">
        <v>1402</v>
      </c>
      <c r="E53" s="321" t="s">
        <v>1416</v>
      </c>
    </row>
    <row r="54" spans="1:5" ht="18" x14ac:dyDescent="0.35">
      <c r="A54" s="439">
        <v>54</v>
      </c>
      <c r="B54" s="322" t="s">
        <v>1041</v>
      </c>
      <c r="C54" s="329" t="s">
        <v>1381</v>
      </c>
      <c r="D54" s="381">
        <v>180</v>
      </c>
      <c r="E54" s="354" t="s">
        <v>1221</v>
      </c>
    </row>
    <row r="55" spans="1:5" ht="18" x14ac:dyDescent="0.35">
      <c r="A55" s="439">
        <v>707</v>
      </c>
      <c r="B55" s="322" t="s">
        <v>1041</v>
      </c>
      <c r="C55" s="329" t="s">
        <v>243</v>
      </c>
      <c r="D55" s="381">
        <v>180</v>
      </c>
      <c r="E55" s="354" t="s">
        <v>1221</v>
      </c>
    </row>
    <row r="56" spans="1:5" ht="18" x14ac:dyDescent="0.35">
      <c r="A56" s="439">
        <v>53</v>
      </c>
      <c r="B56" s="322" t="s">
        <v>1041</v>
      </c>
      <c r="C56" s="329" t="s">
        <v>1383</v>
      </c>
      <c r="D56" s="381">
        <v>300</v>
      </c>
      <c r="E56" s="354" t="s">
        <v>1221</v>
      </c>
    </row>
    <row r="57" spans="1:5" ht="18" x14ac:dyDescent="0.35">
      <c r="A57" s="439">
        <v>730</v>
      </c>
      <c r="B57" s="322" t="s">
        <v>1041</v>
      </c>
      <c r="C57" s="329" t="s">
        <v>1223</v>
      </c>
      <c r="D57" s="381">
        <v>3240</v>
      </c>
      <c r="E57" s="354" t="s">
        <v>1221</v>
      </c>
    </row>
    <row r="58" spans="1:5" ht="18" x14ac:dyDescent="0.35">
      <c r="A58" s="439">
        <v>800</v>
      </c>
      <c r="B58" s="322" t="s">
        <v>1041</v>
      </c>
      <c r="C58" s="329" t="s">
        <v>1375</v>
      </c>
      <c r="D58" s="381">
        <v>330</v>
      </c>
      <c r="E58" s="354" t="s">
        <v>1221</v>
      </c>
    </row>
    <row r="59" spans="1:5" ht="18" x14ac:dyDescent="0.35">
      <c r="A59" s="439">
        <v>725</v>
      </c>
      <c r="B59" s="322" t="s">
        <v>1041</v>
      </c>
      <c r="C59" s="329" t="s">
        <v>805</v>
      </c>
      <c r="D59" s="381">
        <v>1500</v>
      </c>
      <c r="E59" s="354" t="s">
        <v>1221</v>
      </c>
    </row>
    <row r="60" spans="1:5" ht="18" x14ac:dyDescent="0.35">
      <c r="A60" s="439">
        <v>55</v>
      </c>
      <c r="B60" s="322" t="s">
        <v>1041</v>
      </c>
      <c r="C60" s="329" t="s">
        <v>1384</v>
      </c>
      <c r="D60" s="381">
        <v>432</v>
      </c>
      <c r="E60" s="354" t="s">
        <v>1221</v>
      </c>
    </row>
    <row r="61" spans="1:5" ht="18" x14ac:dyDescent="0.35">
      <c r="A61" s="439">
        <v>731</v>
      </c>
      <c r="B61" s="322" t="s">
        <v>1041</v>
      </c>
      <c r="C61" s="329" t="s">
        <v>1199</v>
      </c>
      <c r="D61" s="381">
        <v>1512</v>
      </c>
      <c r="E61" s="354" t="s">
        <v>1221</v>
      </c>
    </row>
    <row r="62" spans="1:5" ht="15" thickBot="1" x14ac:dyDescent="0.35"/>
    <row r="63" spans="1:5" ht="54" x14ac:dyDescent="0.3">
      <c r="A63" s="312" t="s">
        <v>748</v>
      </c>
      <c r="B63" s="312" t="s">
        <v>1018</v>
      </c>
      <c r="C63" s="312" t="s">
        <v>749</v>
      </c>
      <c r="D63" s="314" t="s">
        <v>1402</v>
      </c>
      <c r="E63" s="321" t="s">
        <v>1416</v>
      </c>
    </row>
    <row r="64" spans="1:5" ht="18" x14ac:dyDescent="0.35">
      <c r="A64" s="439" t="s">
        <v>869</v>
      </c>
      <c r="B64" s="322" t="s">
        <v>746</v>
      </c>
      <c r="C64" s="329" t="s">
        <v>502</v>
      </c>
      <c r="D64" s="381">
        <v>130428</v>
      </c>
      <c r="E64" s="354" t="s">
        <v>1215</v>
      </c>
    </row>
    <row r="65" spans="1:5" ht="18" x14ac:dyDescent="0.35">
      <c r="A65" s="439" t="s">
        <v>869</v>
      </c>
      <c r="B65" s="322" t="s">
        <v>1041</v>
      </c>
      <c r="C65" s="329" t="s">
        <v>502</v>
      </c>
      <c r="D65" s="381">
        <v>59004</v>
      </c>
      <c r="E65" s="354" t="s">
        <v>1215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J313"/>
  <sheetViews>
    <sheetView topLeftCell="A296" workbookViewId="0">
      <selection activeCell="B296" sqref="B1:H1048576"/>
    </sheetView>
  </sheetViews>
  <sheetFormatPr baseColWidth="10" defaultRowHeight="14.4" x14ac:dyDescent="0.3"/>
  <cols>
    <col min="1" max="1" width="29.88671875" customWidth="1"/>
    <col min="2" max="2" width="7.88671875" customWidth="1"/>
    <col min="3" max="3" width="7.5546875" customWidth="1"/>
    <col min="4" max="4" width="7.88671875" customWidth="1"/>
    <col min="5" max="5" width="6.88671875" customWidth="1"/>
    <col min="6" max="6" width="3.109375" customWidth="1"/>
    <col min="7" max="7" width="8.88671875" customWidth="1"/>
    <col min="8" max="8" width="7.6640625" customWidth="1"/>
    <col min="9" max="10" width="8.88671875" customWidth="1"/>
  </cols>
  <sheetData>
    <row r="1" spans="1:10" ht="18" x14ac:dyDescent="0.35">
      <c r="A1" s="1301" t="s">
        <v>1450</v>
      </c>
      <c r="B1" s="1302"/>
      <c r="C1" s="1302"/>
      <c r="D1" s="1302"/>
      <c r="E1" s="1303"/>
      <c r="F1" s="390"/>
      <c r="G1" s="1307" t="s">
        <v>1434</v>
      </c>
      <c r="H1" s="1308"/>
      <c r="I1" s="1308"/>
      <c r="J1" s="1309"/>
    </row>
    <row r="2" spans="1:10" ht="18.600000000000001" thickBot="1" x14ac:dyDescent="0.4">
      <c r="A2" s="1304"/>
      <c r="B2" s="1305"/>
      <c r="C2" s="1305"/>
      <c r="D2" s="1305"/>
      <c r="E2" s="1306"/>
      <c r="F2" s="390"/>
      <c r="G2" s="1310"/>
      <c r="H2" s="1311"/>
      <c r="I2" s="1311"/>
      <c r="J2" s="1312"/>
    </row>
    <row r="3" spans="1:10" ht="55.5" customHeight="1" thickBot="1" x14ac:dyDescent="0.35">
      <c r="A3" s="321" t="s">
        <v>1451</v>
      </c>
      <c r="B3" s="392" t="s">
        <v>1444</v>
      </c>
      <c r="C3" s="321" t="s">
        <v>1445</v>
      </c>
      <c r="D3" s="393" t="s">
        <v>1448</v>
      </c>
      <c r="E3" s="291" t="s">
        <v>1446</v>
      </c>
      <c r="F3" s="394"/>
      <c r="G3" s="391" t="s">
        <v>1449</v>
      </c>
      <c r="H3" s="391" t="s">
        <v>1447</v>
      </c>
      <c r="I3" s="391" t="s">
        <v>1452</v>
      </c>
      <c r="J3" s="391" t="s">
        <v>1453</v>
      </c>
    </row>
    <row r="4" spans="1:10" ht="18" x14ac:dyDescent="0.35">
      <c r="A4" s="395">
        <v>248</v>
      </c>
      <c r="B4" s="438">
        <v>248</v>
      </c>
      <c r="C4" s="323">
        <f>+IFERROR(VLOOKUP(B4,'Stock ISIS LK'!A:D,4,0),IFERROR(VLOOKUP(B4,'Stock ISIS CH'!A:D,4,0),0))</f>
        <v>0</v>
      </c>
      <c r="D4" s="261">
        <f>+C4*E4</f>
        <v>0</v>
      </c>
      <c r="E4" s="333">
        <v>1</v>
      </c>
      <c r="G4" s="464">
        <f>+J4/H4</f>
        <v>0</v>
      </c>
      <c r="H4" s="323">
        <v>12</v>
      </c>
      <c r="I4" s="323">
        <f>+G4*H4*E4</f>
        <v>0</v>
      </c>
      <c r="J4" s="333">
        <f>+IFERROR(VLOOKUP(B4,#REF!,3,0),IFERROR(VLOOKUP(B4,#REF!,3,0),0))</f>
        <v>0</v>
      </c>
    </row>
    <row r="5" spans="1:10" ht="18" x14ac:dyDescent="0.35">
      <c r="A5" s="396">
        <v>550</v>
      </c>
      <c r="B5" s="439">
        <v>550</v>
      </c>
      <c r="C5" s="322">
        <f>+IFERROR(VLOOKUP(B5,'Stock ISIS LK'!A:D,4,0),IFERROR(VLOOKUP(B5,'Stock ISIS CH'!A:D,4,0),0))</f>
        <v>0</v>
      </c>
      <c r="D5" s="322">
        <f t="shared" ref="D5:D141" si="0">+C5*E5</f>
        <v>0</v>
      </c>
      <c r="E5" s="335">
        <v>1</v>
      </c>
      <c r="G5" s="399">
        <f t="shared" ref="G5:G69" si="1">+J5/H5</f>
        <v>0</v>
      </c>
      <c r="H5" s="322">
        <v>36</v>
      </c>
      <c r="I5" s="322">
        <f t="shared" ref="I5:I69" si="2">+G5*H5*E5</f>
        <v>0</v>
      </c>
      <c r="J5" s="335">
        <f>+IFERROR(VLOOKUP(B5,#REF!,3,0),IFERROR(VLOOKUP(B5,#REF!,3,0),0))</f>
        <v>0</v>
      </c>
    </row>
    <row r="6" spans="1:10" ht="18" x14ac:dyDescent="0.35">
      <c r="A6" s="396">
        <v>581</v>
      </c>
      <c r="B6" s="439">
        <v>581</v>
      </c>
      <c r="C6" s="322">
        <f>+IFERROR(VLOOKUP(B6,'Stock ISIS LK'!A:D,4,0),IFERROR(VLOOKUP(B6,'Stock ISIS CH'!A:D,4,0),0))</f>
        <v>0</v>
      </c>
      <c r="D6" s="322">
        <f t="shared" si="0"/>
        <v>0</v>
      </c>
      <c r="E6" s="335">
        <v>1</v>
      </c>
      <c r="G6" s="399">
        <f t="shared" si="1"/>
        <v>0</v>
      </c>
      <c r="H6" s="322">
        <v>12</v>
      </c>
      <c r="I6" s="322">
        <f t="shared" si="2"/>
        <v>0</v>
      </c>
      <c r="J6" s="335">
        <f>+IFERROR(VLOOKUP(B6,#REF!,3,0),IFERROR(VLOOKUP(B6,#REF!,3,0),0))</f>
        <v>0</v>
      </c>
    </row>
    <row r="7" spans="1:10" ht="18" x14ac:dyDescent="0.35">
      <c r="A7" s="396">
        <v>587</v>
      </c>
      <c r="B7" s="439">
        <v>587</v>
      </c>
      <c r="C7" s="322">
        <f>+IFERROR(VLOOKUP(B7,'Stock ISIS LK'!A:D,4,0),IFERROR(VLOOKUP(B7,'Stock ISIS CH'!A:D,4,0),0))</f>
        <v>0</v>
      </c>
      <c r="D7" s="322">
        <f t="shared" si="0"/>
        <v>0</v>
      </c>
      <c r="E7" s="335">
        <v>1</v>
      </c>
      <c r="G7" s="399">
        <f t="shared" si="1"/>
        <v>0</v>
      </c>
      <c r="H7" s="322">
        <v>12</v>
      </c>
      <c r="I7" s="322">
        <f t="shared" si="2"/>
        <v>0</v>
      </c>
      <c r="J7" s="335">
        <f>+IFERROR(VLOOKUP(B7,#REF!,3,0),IFERROR(VLOOKUP(B7,#REF!,3,0),0))</f>
        <v>0</v>
      </c>
    </row>
    <row r="8" spans="1:10" ht="18" x14ac:dyDescent="0.35">
      <c r="A8" s="396">
        <v>542</v>
      </c>
      <c r="B8" s="439">
        <v>542</v>
      </c>
      <c r="C8" s="322">
        <f>+IFERROR(VLOOKUP(B8,'Stock ISIS LK'!A:D,4,0),IFERROR(VLOOKUP(B8,'Stock ISIS CH'!A:D,4,0),0))</f>
        <v>0</v>
      </c>
      <c r="D8" s="322">
        <f t="shared" si="0"/>
        <v>0</v>
      </c>
      <c r="E8" s="335">
        <v>1</v>
      </c>
      <c r="G8" s="399">
        <f t="shared" si="1"/>
        <v>0</v>
      </c>
      <c r="H8" s="322">
        <v>12</v>
      </c>
      <c r="I8" s="322">
        <f t="shared" si="2"/>
        <v>0</v>
      </c>
      <c r="J8" s="335">
        <f>+IFERROR(VLOOKUP(B8,#REF!,3,0),IFERROR(VLOOKUP(B8,#REF!,3,0),0))</f>
        <v>0</v>
      </c>
    </row>
    <row r="9" spans="1:10" ht="18" x14ac:dyDescent="0.35">
      <c r="A9" s="396">
        <v>543</v>
      </c>
      <c r="B9" s="439">
        <v>543</v>
      </c>
      <c r="C9" s="322">
        <f>+IFERROR(VLOOKUP(B9,'Stock ISIS LK'!A:D,4,0),IFERROR(VLOOKUP(B9,'Stock ISIS CH'!A:D,4,0),0))</f>
        <v>0</v>
      </c>
      <c r="D9" s="322">
        <f t="shared" si="0"/>
        <v>0</v>
      </c>
      <c r="E9" s="335">
        <v>1</v>
      </c>
      <c r="G9" s="399">
        <f t="shared" si="1"/>
        <v>0</v>
      </c>
      <c r="H9" s="322">
        <v>12</v>
      </c>
      <c r="I9" s="322">
        <f t="shared" si="2"/>
        <v>0</v>
      </c>
      <c r="J9" s="335">
        <f>+IFERROR(VLOOKUP(B9,#REF!,3,0),IFERROR(VLOOKUP(B9,#REF!,3,0),0))</f>
        <v>0</v>
      </c>
    </row>
    <row r="10" spans="1:10" ht="18" x14ac:dyDescent="0.35">
      <c r="A10" s="396">
        <v>29</v>
      </c>
      <c r="B10" s="439">
        <v>29</v>
      </c>
      <c r="C10" s="322">
        <f>+IFERROR(VLOOKUP(B10,'Stock ISIS LK'!A:D,4,0),IFERROR(VLOOKUP(B10,'Stock ISIS CH'!A:D,4,0),0))</f>
        <v>0</v>
      </c>
      <c r="D10" s="322">
        <f t="shared" si="0"/>
        <v>0</v>
      </c>
      <c r="E10" s="335">
        <v>1</v>
      </c>
      <c r="G10" s="399">
        <f t="shared" si="1"/>
        <v>0</v>
      </c>
      <c r="H10" s="322">
        <v>24</v>
      </c>
      <c r="I10" s="322">
        <f t="shared" si="2"/>
        <v>0</v>
      </c>
      <c r="J10" s="335">
        <f>+IFERROR(VLOOKUP(B10,#REF!,3,0),IFERROR(VLOOKUP(B10,#REF!,3,0),0))</f>
        <v>0</v>
      </c>
    </row>
    <row r="11" spans="1:10" ht="18" x14ac:dyDescent="0.35">
      <c r="A11" s="396">
        <v>333</v>
      </c>
      <c r="B11" s="439">
        <v>333</v>
      </c>
      <c r="C11" s="322">
        <f>+IFERROR(VLOOKUP(B11,'Stock ISIS LK'!A:D,4,0),IFERROR(VLOOKUP(B11,'Stock ISIS CH'!A:D,4,0),0))</f>
        <v>0</v>
      </c>
      <c r="D11" s="322">
        <f t="shared" si="0"/>
        <v>0</v>
      </c>
      <c r="E11" s="335">
        <v>1</v>
      </c>
      <c r="G11" s="399">
        <f t="shared" si="1"/>
        <v>0</v>
      </c>
      <c r="H11" s="322">
        <v>12</v>
      </c>
      <c r="I11" s="322">
        <f t="shared" si="2"/>
        <v>0</v>
      </c>
      <c r="J11" s="335">
        <f>+IFERROR(VLOOKUP(B11,#REF!,3,0),IFERROR(VLOOKUP(B11,#REF!,3,0),0))</f>
        <v>0</v>
      </c>
    </row>
    <row r="12" spans="1:10" ht="18" x14ac:dyDescent="0.35">
      <c r="A12" s="396">
        <v>30</v>
      </c>
      <c r="B12" s="439">
        <v>30</v>
      </c>
      <c r="C12" s="322">
        <f>+IFERROR(VLOOKUP(B12,'Stock ISIS LK'!A:D,4,0),IFERROR(VLOOKUP(B12,'Stock ISIS CH'!A:D,4,0),0))</f>
        <v>0</v>
      </c>
      <c r="D12" s="322">
        <f t="shared" si="0"/>
        <v>0</v>
      </c>
      <c r="E12" s="335">
        <v>1</v>
      </c>
      <c r="G12" s="399">
        <f t="shared" si="1"/>
        <v>0</v>
      </c>
      <c r="H12" s="322">
        <v>24</v>
      </c>
      <c r="I12" s="322">
        <f t="shared" si="2"/>
        <v>0</v>
      </c>
      <c r="J12" s="335">
        <f>+IFERROR(VLOOKUP(B12,#REF!,3,0),IFERROR(VLOOKUP(B12,#REF!,3,0),0))</f>
        <v>0</v>
      </c>
    </row>
    <row r="13" spans="1:10" ht="18" x14ac:dyDescent="0.35">
      <c r="A13" s="396">
        <v>26</v>
      </c>
      <c r="B13" s="439">
        <v>26</v>
      </c>
      <c r="C13" s="322">
        <f>+IFERROR(VLOOKUP(B13,'Stock ISIS LK'!A:D,4,0),IFERROR(VLOOKUP(B13,'Stock ISIS CH'!A:D,4,0),0))</f>
        <v>0</v>
      </c>
      <c r="D13" s="322">
        <f t="shared" si="0"/>
        <v>0</v>
      </c>
      <c r="E13" s="335">
        <v>1</v>
      </c>
      <c r="G13" s="399">
        <f t="shared" si="1"/>
        <v>0</v>
      </c>
      <c r="H13" s="322">
        <v>24</v>
      </c>
      <c r="I13" s="322">
        <f t="shared" si="2"/>
        <v>0</v>
      </c>
      <c r="J13" s="335">
        <f>+IFERROR(VLOOKUP(B13,#REF!,3,0),IFERROR(VLOOKUP(B13,#REF!,3,0),0))</f>
        <v>0</v>
      </c>
    </row>
    <row r="14" spans="1:10" ht="18" x14ac:dyDescent="0.35">
      <c r="A14" s="302" t="s">
        <v>1454</v>
      </c>
      <c r="B14" s="439">
        <v>246</v>
      </c>
      <c r="C14" s="322">
        <f>+IFERROR(VLOOKUP(B14,'Stock ISIS LK'!A:D,4,0),IFERROR(VLOOKUP(B14,'Stock ISIS CH'!A:D,4,0),0))</f>
        <v>0</v>
      </c>
      <c r="D14" s="322">
        <f t="shared" si="0"/>
        <v>0</v>
      </c>
      <c r="E14" s="335">
        <v>1</v>
      </c>
      <c r="G14" s="399">
        <f t="shared" si="1"/>
        <v>0</v>
      </c>
      <c r="H14" s="322">
        <v>6</v>
      </c>
      <c r="I14" s="322">
        <f t="shared" si="2"/>
        <v>0</v>
      </c>
      <c r="J14" s="335">
        <f>+IFERROR(VLOOKUP(B14,#REF!,3,0),IFERROR(VLOOKUP(B14,#REF!,3,0),0))</f>
        <v>0</v>
      </c>
    </row>
    <row r="15" spans="1:10" ht="18" x14ac:dyDescent="0.35">
      <c r="A15" s="302" t="s">
        <v>1454</v>
      </c>
      <c r="B15" s="439" t="s">
        <v>1054</v>
      </c>
      <c r="C15" s="322">
        <f>+IFERROR(VLOOKUP(B15,'Stock ISIS LK'!A:D,4,0),IFERROR(VLOOKUP(B15,'Stock ISIS CH'!A:D,4,0),0))</f>
        <v>0</v>
      </c>
      <c r="D15" s="322">
        <f t="shared" si="0"/>
        <v>0</v>
      </c>
      <c r="E15" s="335">
        <v>1</v>
      </c>
      <c r="G15" s="399">
        <f t="shared" si="1"/>
        <v>0</v>
      </c>
      <c r="H15" s="322">
        <v>24</v>
      </c>
      <c r="I15" s="322">
        <f t="shared" si="2"/>
        <v>0</v>
      </c>
      <c r="J15" s="335">
        <f>+IFERROR(VLOOKUP(B15,#REF!,3,0),IFERROR(VLOOKUP(B15,#REF!,3,0),0))</f>
        <v>0</v>
      </c>
    </row>
    <row r="16" spans="1:10" ht="18" x14ac:dyDescent="0.35">
      <c r="A16" s="302" t="s">
        <v>1455</v>
      </c>
      <c r="B16" s="439" t="s">
        <v>1078</v>
      </c>
      <c r="C16" s="322">
        <f>+IFERROR(VLOOKUP(B16,'Stock ISIS LK'!A:D,4,0),IFERROR(VLOOKUP(B16,'Stock ISIS CH'!A:D,4,0),0))</f>
        <v>0</v>
      </c>
      <c r="D16" s="322">
        <f t="shared" si="0"/>
        <v>0</v>
      </c>
      <c r="E16" s="335">
        <v>1</v>
      </c>
      <c r="G16" s="399">
        <f t="shared" si="1"/>
        <v>0</v>
      </c>
      <c r="H16" s="322">
        <v>24</v>
      </c>
      <c r="I16" s="322">
        <f t="shared" si="2"/>
        <v>0</v>
      </c>
      <c r="J16" s="335">
        <f>+IFERROR(VLOOKUP(B16,#REF!,3,0),IFERROR(VLOOKUP(B16,#REF!,3,0),0))</f>
        <v>0</v>
      </c>
    </row>
    <row r="17" spans="1:10" ht="18" x14ac:dyDescent="0.35">
      <c r="A17" s="302" t="s">
        <v>1455</v>
      </c>
      <c r="B17" s="439">
        <v>839</v>
      </c>
      <c r="C17" s="322">
        <f>+IFERROR(VLOOKUP(B17,'Stock ISIS LK'!A:D,4,0),IFERROR(VLOOKUP(B17,'Stock ISIS CH'!A:D,4,0),0))</f>
        <v>0</v>
      </c>
      <c r="D17" s="322">
        <f t="shared" si="0"/>
        <v>0</v>
      </c>
      <c r="E17" s="335">
        <v>1</v>
      </c>
      <c r="G17" s="399">
        <f>+J17/H17</f>
        <v>0</v>
      </c>
      <c r="H17" s="322">
        <v>36</v>
      </c>
      <c r="I17" s="322">
        <f>+G17*H17*E17</f>
        <v>0</v>
      </c>
      <c r="J17" s="335">
        <f>+IFERROR(VLOOKUP(B17,#REF!,3,0),IFERROR(VLOOKUP(B17,#REF!,3,0),0))</f>
        <v>0</v>
      </c>
    </row>
    <row r="18" spans="1:10" ht="18" x14ac:dyDescent="0.35">
      <c r="A18" s="396">
        <v>513</v>
      </c>
      <c r="B18" s="439">
        <v>513</v>
      </c>
      <c r="C18" s="322">
        <f>+IFERROR(VLOOKUP(B18,'Stock ISIS LK'!A:D,4,0),IFERROR(VLOOKUP(B18,'Stock ISIS CH'!A:D,4,0),0))</f>
        <v>0</v>
      </c>
      <c r="D18" s="322">
        <f t="shared" si="0"/>
        <v>0</v>
      </c>
      <c r="E18" s="335">
        <v>1</v>
      </c>
      <c r="G18" s="399">
        <f t="shared" si="1"/>
        <v>0</v>
      </c>
      <c r="H18" s="322">
        <v>12</v>
      </c>
      <c r="I18" s="322">
        <f t="shared" si="2"/>
        <v>0</v>
      </c>
      <c r="J18" s="335">
        <f>+IFERROR(VLOOKUP(B18,#REF!,3,0),IFERROR(VLOOKUP(B18,#REF!,3,0),0))</f>
        <v>0</v>
      </c>
    </row>
    <row r="19" spans="1:10" ht="18" x14ac:dyDescent="0.35">
      <c r="A19" s="396">
        <v>525</v>
      </c>
      <c r="B19" s="439">
        <v>525</v>
      </c>
      <c r="C19" s="322">
        <f>+IFERROR(VLOOKUP(B19,'Stock ISIS LK'!A:D,4,0),IFERROR(VLOOKUP(B19,'Stock ISIS CH'!A:D,4,0),0))</f>
        <v>0</v>
      </c>
      <c r="D19" s="322">
        <f t="shared" si="0"/>
        <v>0</v>
      </c>
      <c r="E19" s="335">
        <v>1</v>
      </c>
      <c r="G19" s="399">
        <f t="shared" si="1"/>
        <v>0</v>
      </c>
      <c r="H19" s="322">
        <v>24</v>
      </c>
      <c r="I19" s="322">
        <f t="shared" si="2"/>
        <v>0</v>
      </c>
      <c r="J19" s="335">
        <f>+IFERROR(VLOOKUP(B19,#REF!,3,0),IFERROR(VLOOKUP(B19,#REF!,3,0),0))</f>
        <v>0</v>
      </c>
    </row>
    <row r="20" spans="1:10" ht="18" x14ac:dyDescent="0.35">
      <c r="A20" s="396">
        <v>532</v>
      </c>
      <c r="B20" s="439">
        <v>532</v>
      </c>
      <c r="C20" s="322">
        <f>+IFERROR(VLOOKUP(B20,'Stock ISIS LK'!A:D,4,0),IFERROR(VLOOKUP(B20,'Stock ISIS CH'!A:D,4,0),0))</f>
        <v>0</v>
      </c>
      <c r="D20" s="322">
        <f t="shared" si="0"/>
        <v>0</v>
      </c>
      <c r="E20" s="335">
        <v>1</v>
      </c>
      <c r="G20" s="399">
        <f t="shared" si="1"/>
        <v>0</v>
      </c>
      <c r="H20" s="322">
        <v>24</v>
      </c>
      <c r="I20" s="322">
        <f t="shared" si="2"/>
        <v>0</v>
      </c>
      <c r="J20" s="335">
        <f>+IFERROR(VLOOKUP(B20,#REF!,3,0),IFERROR(VLOOKUP(B20,#REF!,3,0),0))</f>
        <v>0</v>
      </c>
    </row>
    <row r="21" spans="1:10" ht="18" x14ac:dyDescent="0.35">
      <c r="A21" s="396">
        <v>27</v>
      </c>
      <c r="B21" s="439">
        <v>27</v>
      </c>
      <c r="C21" s="322">
        <f>+IFERROR(VLOOKUP(B21,'Stock ISIS LK'!A:D,4,0),IFERROR(VLOOKUP(B21,'Stock ISIS CH'!A:D,4,0),0))</f>
        <v>0</v>
      </c>
      <c r="D21" s="322">
        <f t="shared" si="0"/>
        <v>0</v>
      </c>
      <c r="E21" s="335">
        <v>1</v>
      </c>
      <c r="G21" s="399">
        <f t="shared" si="1"/>
        <v>0</v>
      </c>
      <c r="H21" s="322">
        <v>24</v>
      </c>
      <c r="I21" s="322">
        <f t="shared" si="2"/>
        <v>0</v>
      </c>
      <c r="J21" s="335">
        <f>+IFERROR(VLOOKUP(B21,#REF!,3,0),IFERROR(VLOOKUP(B21,#REF!,3,0),0))</f>
        <v>0</v>
      </c>
    </row>
    <row r="22" spans="1:10" ht="18" x14ac:dyDescent="0.35">
      <c r="A22" s="396">
        <v>521</v>
      </c>
      <c r="B22" s="439">
        <v>521</v>
      </c>
      <c r="C22" s="322">
        <f>+IFERROR(VLOOKUP(B22,'Stock ISIS LK'!A:D,4,0),IFERROR(VLOOKUP(B22,'Stock ISIS CH'!A:D,4,0),0))</f>
        <v>0</v>
      </c>
      <c r="D22" s="322">
        <f t="shared" si="0"/>
        <v>0</v>
      </c>
      <c r="E22" s="335">
        <v>1</v>
      </c>
      <c r="G22" s="399">
        <f t="shared" si="1"/>
        <v>0</v>
      </c>
      <c r="H22" s="322">
        <v>12</v>
      </c>
      <c r="I22" s="322">
        <f t="shared" si="2"/>
        <v>0</v>
      </c>
      <c r="J22" s="335">
        <f>+IFERROR(VLOOKUP(B22,#REF!,3,0),IFERROR(VLOOKUP(B22,#REF!,3,0),0))</f>
        <v>0</v>
      </c>
    </row>
    <row r="23" spans="1:10" ht="18" x14ac:dyDescent="0.35">
      <c r="A23" s="396">
        <v>594</v>
      </c>
      <c r="B23" s="439">
        <v>594</v>
      </c>
      <c r="C23" s="322">
        <f>+IFERROR(VLOOKUP(B23,'Stock ISIS LK'!A:D,4,0),IFERROR(VLOOKUP(B23,'Stock ISIS CH'!A:D,4,0),0))</f>
        <v>0</v>
      </c>
      <c r="D23" s="322">
        <f t="shared" si="0"/>
        <v>0</v>
      </c>
      <c r="E23" s="335">
        <v>1</v>
      </c>
      <c r="G23" s="399">
        <f t="shared" si="1"/>
        <v>0</v>
      </c>
      <c r="H23" s="322">
        <v>12</v>
      </c>
      <c r="I23" s="322">
        <f t="shared" si="2"/>
        <v>0</v>
      </c>
      <c r="J23" s="335">
        <f>+IFERROR(VLOOKUP(B23,#REF!,3,0),IFERROR(VLOOKUP(B23,#REF!,3,0),0))</f>
        <v>0</v>
      </c>
    </row>
    <row r="24" spans="1:10" ht="18" x14ac:dyDescent="0.35">
      <c r="A24" s="396">
        <v>595</v>
      </c>
      <c r="B24" s="439">
        <v>595</v>
      </c>
      <c r="C24" s="322">
        <f>+IFERROR(VLOOKUP(B24,'Stock ISIS LK'!A:D,4,0),IFERROR(VLOOKUP(B24,'Stock ISIS CH'!A:D,4,0),0))</f>
        <v>0</v>
      </c>
      <c r="D24" s="322">
        <f t="shared" si="0"/>
        <v>0</v>
      </c>
      <c r="E24" s="335">
        <v>1</v>
      </c>
      <c r="G24" s="399">
        <f t="shared" si="1"/>
        <v>0</v>
      </c>
      <c r="H24" s="322">
        <v>12</v>
      </c>
      <c r="I24" s="322">
        <f t="shared" si="2"/>
        <v>0</v>
      </c>
      <c r="J24" s="335">
        <f>+IFERROR(VLOOKUP(B24,#REF!,3,0),IFERROR(VLOOKUP(B24,#REF!,3,0),0))</f>
        <v>0</v>
      </c>
    </row>
    <row r="25" spans="1:10" ht="18" x14ac:dyDescent="0.35">
      <c r="A25" s="396">
        <v>596</v>
      </c>
      <c r="B25" s="439">
        <v>596</v>
      </c>
      <c r="C25" s="322">
        <f>+IFERROR(VLOOKUP(B25,'Stock ISIS LK'!A:D,4,0),IFERROR(VLOOKUP(B25,'Stock ISIS CH'!A:D,4,0),0))</f>
        <v>0</v>
      </c>
      <c r="D25" s="322">
        <f t="shared" si="0"/>
        <v>0</v>
      </c>
      <c r="E25" s="335">
        <v>1</v>
      </c>
      <c r="G25" s="399">
        <f t="shared" si="1"/>
        <v>0</v>
      </c>
      <c r="H25" s="322">
        <v>12</v>
      </c>
      <c r="I25" s="322">
        <f t="shared" si="2"/>
        <v>0</v>
      </c>
      <c r="J25" s="335">
        <f>+IFERROR(VLOOKUP(B25,#REF!,3,0),IFERROR(VLOOKUP(B25,#REF!,3,0),0))</f>
        <v>0</v>
      </c>
    </row>
    <row r="26" spans="1:10" ht="18" x14ac:dyDescent="0.35">
      <c r="A26" s="396">
        <v>523</v>
      </c>
      <c r="B26" s="439">
        <v>523</v>
      </c>
      <c r="C26" s="322">
        <f>+IFERROR(VLOOKUP(B26,'Stock ISIS LK'!A:D,4,0),IFERROR(VLOOKUP(B26,'Stock ISIS CH'!A:D,4,0),0))</f>
        <v>0</v>
      </c>
      <c r="D26" s="322">
        <f t="shared" si="0"/>
        <v>0</v>
      </c>
      <c r="E26" s="335">
        <v>1</v>
      </c>
      <c r="G26" s="399">
        <f t="shared" si="1"/>
        <v>0</v>
      </c>
      <c r="H26" s="322">
        <v>12</v>
      </c>
      <c r="I26" s="322">
        <f t="shared" si="2"/>
        <v>0</v>
      </c>
      <c r="J26" s="335">
        <f>+IFERROR(VLOOKUP(B26,#REF!,3,0),IFERROR(VLOOKUP(B26,#REF!,3,0),0))</f>
        <v>0</v>
      </c>
    </row>
    <row r="27" spans="1:10" ht="18" x14ac:dyDescent="0.35">
      <c r="A27" s="302" t="s">
        <v>1502</v>
      </c>
      <c r="B27" s="439">
        <v>321</v>
      </c>
      <c r="C27" s="322">
        <f>+IFERROR(VLOOKUP(B27,'Stock ISIS LK'!A:D,4,0),IFERROR(VLOOKUP(B27,'Stock ISIS CH'!A:D,4,0),0))</f>
        <v>0</v>
      </c>
      <c r="D27" s="322">
        <f t="shared" si="0"/>
        <v>0</v>
      </c>
      <c r="E27" s="335">
        <v>1</v>
      </c>
      <c r="G27" s="399">
        <f t="shared" si="1"/>
        <v>0</v>
      </c>
      <c r="H27" s="322">
        <v>12</v>
      </c>
      <c r="I27" s="322">
        <f t="shared" si="2"/>
        <v>0</v>
      </c>
      <c r="J27" s="335">
        <f>+IFERROR(VLOOKUP(B27,#REF!,3,0),IFERROR(VLOOKUP(B27,#REF!,3,0),0))</f>
        <v>0</v>
      </c>
    </row>
    <row r="28" spans="1:10" ht="18" x14ac:dyDescent="0.35">
      <c r="A28" s="302" t="s">
        <v>1502</v>
      </c>
      <c r="B28" s="439">
        <v>325</v>
      </c>
      <c r="C28" s="322">
        <f>+IFERROR(VLOOKUP(B28,'Stock ISIS LK'!A:D,4,0),IFERROR(VLOOKUP(B28,'Stock ISIS CH'!A:D,4,0),0))</f>
        <v>0</v>
      </c>
      <c r="D28" s="322">
        <f t="shared" si="0"/>
        <v>0</v>
      </c>
      <c r="E28" s="335">
        <v>1</v>
      </c>
      <c r="G28" s="399">
        <f t="shared" si="1"/>
        <v>0</v>
      </c>
      <c r="H28" s="322">
        <v>24</v>
      </c>
      <c r="I28" s="322">
        <f t="shared" si="2"/>
        <v>0</v>
      </c>
      <c r="J28" s="335">
        <f>+IFERROR(VLOOKUP(B28,#REF!,3,0),IFERROR(VLOOKUP(B28,#REF!,3,0),0))</f>
        <v>0</v>
      </c>
    </row>
    <row r="29" spans="1:10" ht="18" x14ac:dyDescent="0.35">
      <c r="A29" s="302" t="s">
        <v>1502</v>
      </c>
      <c r="B29" s="439">
        <v>26</v>
      </c>
      <c r="C29" s="322">
        <f>+IFERROR(VLOOKUP(B29,'Stock ISIS LK'!A:D,4,0),IFERROR(VLOOKUP(B29,'Stock ISIS CH'!A:D,4,0),0))</f>
        <v>0</v>
      </c>
      <c r="D29" s="322">
        <f t="shared" si="0"/>
        <v>0</v>
      </c>
      <c r="E29" s="335">
        <v>1</v>
      </c>
      <c r="G29" s="399">
        <f t="shared" si="1"/>
        <v>0</v>
      </c>
      <c r="H29" s="322">
        <v>24</v>
      </c>
      <c r="I29" s="322">
        <f t="shared" si="2"/>
        <v>0</v>
      </c>
      <c r="J29" s="335">
        <f>+IFERROR(VLOOKUP(B29,#REF!,3,0),IFERROR(VLOOKUP(B29,#REF!,3,0),0))</f>
        <v>0</v>
      </c>
    </row>
    <row r="30" spans="1:10" ht="18" x14ac:dyDescent="0.35">
      <c r="A30" s="302" t="s">
        <v>1502</v>
      </c>
      <c r="B30" s="439">
        <v>315</v>
      </c>
      <c r="C30" s="322">
        <f>+IFERROR(VLOOKUP(B30,'Stock ISIS LK'!A:D,4,0),IFERROR(VLOOKUP(B30,'Stock ISIS CH'!A:D,4,0),0))</f>
        <v>0</v>
      </c>
      <c r="D30" s="322">
        <f t="shared" si="0"/>
        <v>0</v>
      </c>
      <c r="E30" s="335">
        <v>1</v>
      </c>
      <c r="G30" s="399">
        <f t="shared" si="1"/>
        <v>0</v>
      </c>
      <c r="H30" s="322">
        <v>12</v>
      </c>
      <c r="I30" s="322">
        <f t="shared" si="2"/>
        <v>0</v>
      </c>
      <c r="J30" s="335">
        <f>+IFERROR(VLOOKUP(B30,#REF!,3,0),IFERROR(VLOOKUP(B30,#REF!,3,0),0))</f>
        <v>0</v>
      </c>
    </row>
    <row r="31" spans="1:10" ht="18" x14ac:dyDescent="0.35">
      <c r="A31" s="302" t="s">
        <v>1502</v>
      </c>
      <c r="B31" s="439">
        <v>225</v>
      </c>
      <c r="C31" s="322">
        <f>+IFERROR(VLOOKUP(B31,'Stock ISIS LK'!A:D,4,0),IFERROR(VLOOKUP(B31,'Stock ISIS CH'!A:D,4,0),0))</f>
        <v>0</v>
      </c>
      <c r="D31" s="322">
        <f t="shared" si="0"/>
        <v>0</v>
      </c>
      <c r="E31" s="335">
        <v>1</v>
      </c>
      <c r="G31" s="399">
        <f t="shared" si="1"/>
        <v>0</v>
      </c>
      <c r="H31" s="322">
        <v>12</v>
      </c>
      <c r="I31" s="322">
        <f t="shared" si="2"/>
        <v>0</v>
      </c>
      <c r="J31" s="335">
        <f>+IFERROR(VLOOKUP(B31,#REF!,3,0),IFERROR(VLOOKUP(B31,#REF!,3,0),0))</f>
        <v>0</v>
      </c>
    </row>
    <row r="32" spans="1:10" ht="18" x14ac:dyDescent="0.35">
      <c r="A32" s="302" t="s">
        <v>1502</v>
      </c>
      <c r="B32" s="439">
        <v>248</v>
      </c>
      <c r="C32" s="322">
        <f>+IFERROR(VLOOKUP(B32,'Stock ISIS LK'!A:D,4,0),IFERROR(VLOOKUP(B32,'Stock ISIS CH'!A:D,4,0),0))</f>
        <v>0</v>
      </c>
      <c r="D32" s="322">
        <f t="shared" si="0"/>
        <v>0</v>
      </c>
      <c r="E32" s="335">
        <v>1</v>
      </c>
      <c r="G32" s="399">
        <f t="shared" si="1"/>
        <v>0</v>
      </c>
      <c r="H32" s="322">
        <v>12</v>
      </c>
      <c r="I32" s="322">
        <f t="shared" si="2"/>
        <v>0</v>
      </c>
      <c r="J32" s="335">
        <f>+IFERROR(VLOOKUP(B32,#REF!,3,0),IFERROR(VLOOKUP(B32,#REF!,3,0),0))</f>
        <v>0</v>
      </c>
    </row>
    <row r="33" spans="1:10" ht="18" x14ac:dyDescent="0.35">
      <c r="A33" s="302" t="s">
        <v>1502</v>
      </c>
      <c r="B33" s="439">
        <v>221</v>
      </c>
      <c r="C33" s="322">
        <f>+IFERROR(VLOOKUP(B33,'Stock ISIS LK'!A:D,4,0),IFERROR(VLOOKUP(B33,'Stock ISIS CH'!A:D,4,0),0))</f>
        <v>0</v>
      </c>
      <c r="D33" s="322">
        <f t="shared" si="0"/>
        <v>0</v>
      </c>
      <c r="E33" s="335">
        <v>1</v>
      </c>
      <c r="G33" s="399">
        <f t="shared" si="1"/>
        <v>0</v>
      </c>
      <c r="H33" s="322">
        <v>12</v>
      </c>
      <c r="I33" s="322">
        <f t="shared" si="2"/>
        <v>0</v>
      </c>
      <c r="J33" s="335">
        <f>+IFERROR(VLOOKUP(B33,#REF!,3,0),IFERROR(VLOOKUP(B33,#REF!,3,0),0))</f>
        <v>0</v>
      </c>
    </row>
    <row r="34" spans="1:10" ht="18" x14ac:dyDescent="0.35">
      <c r="A34" s="302" t="s">
        <v>1502</v>
      </c>
      <c r="B34" s="439">
        <v>393</v>
      </c>
      <c r="C34" s="322">
        <f>+IFERROR(VLOOKUP(B34,'Stock ISIS LK'!A:D,4,0),IFERROR(VLOOKUP(B34,'Stock ISIS CH'!A:D,4,0),0))</f>
        <v>0</v>
      </c>
      <c r="D34" s="322">
        <f t="shared" si="0"/>
        <v>0</v>
      </c>
      <c r="E34" s="335">
        <v>1</v>
      </c>
      <c r="G34" s="399">
        <f t="shared" si="1"/>
        <v>0</v>
      </c>
      <c r="H34" s="322">
        <v>24</v>
      </c>
      <c r="I34" s="322">
        <f t="shared" si="2"/>
        <v>0</v>
      </c>
      <c r="J34" s="335">
        <f>+IFERROR(VLOOKUP(B34,#REF!,3,0),IFERROR(VLOOKUP(B34,#REF!,3,0),0))</f>
        <v>0</v>
      </c>
    </row>
    <row r="35" spans="1:10" ht="18" x14ac:dyDescent="0.35">
      <c r="A35" s="302" t="s">
        <v>1502</v>
      </c>
      <c r="B35" s="439">
        <v>222</v>
      </c>
      <c r="C35" s="322">
        <f>+IFERROR(VLOOKUP(B35,'Stock ISIS LK'!A:D,4,0),IFERROR(VLOOKUP(B35,'Stock ISIS CH'!A:D,4,0),0))</f>
        <v>0</v>
      </c>
      <c r="D35" s="322">
        <f t="shared" si="0"/>
        <v>0</v>
      </c>
      <c r="E35" s="335">
        <v>1</v>
      </c>
      <c r="G35" s="399">
        <f t="shared" si="1"/>
        <v>0</v>
      </c>
      <c r="H35" s="322">
        <v>12</v>
      </c>
      <c r="I35" s="322">
        <f t="shared" si="2"/>
        <v>0</v>
      </c>
      <c r="J35" s="335">
        <f>+IFERROR(VLOOKUP(B35,#REF!,3,0),IFERROR(VLOOKUP(B35,#REF!,3,0),0))</f>
        <v>0</v>
      </c>
    </row>
    <row r="36" spans="1:10" ht="18" x14ac:dyDescent="0.35">
      <c r="A36" s="302" t="s">
        <v>1502</v>
      </c>
      <c r="B36" s="439">
        <v>534</v>
      </c>
      <c r="C36" s="322">
        <f>+IFERROR(VLOOKUP(B36,'Stock ISIS LK'!A:D,4,0),IFERROR(VLOOKUP(B36,'Stock ISIS CH'!A:D,4,0),0))</f>
        <v>0</v>
      </c>
      <c r="D36" s="322">
        <f t="shared" si="0"/>
        <v>0</v>
      </c>
      <c r="E36" s="335">
        <v>1</v>
      </c>
      <c r="G36" s="399">
        <f t="shared" si="1"/>
        <v>0</v>
      </c>
      <c r="H36" s="322">
        <v>24</v>
      </c>
      <c r="I36" s="322">
        <f t="shared" si="2"/>
        <v>0</v>
      </c>
      <c r="J36" s="335">
        <f>+IFERROR(VLOOKUP(B36,#REF!,3,0),IFERROR(VLOOKUP(B36,#REF!,3,0),0))</f>
        <v>0</v>
      </c>
    </row>
    <row r="37" spans="1:10" ht="18" x14ac:dyDescent="0.35">
      <c r="A37" s="302" t="s">
        <v>1502</v>
      </c>
      <c r="B37" s="439">
        <v>392</v>
      </c>
      <c r="C37" s="322">
        <f>+IFERROR(VLOOKUP(B37,'Stock ISIS LK'!A:D,4,0),IFERROR(VLOOKUP(B37,'Stock ISIS CH'!A:D,4,0),0))</f>
        <v>0</v>
      </c>
      <c r="D37" s="322">
        <f t="shared" si="0"/>
        <v>0</v>
      </c>
      <c r="E37" s="335">
        <v>1</v>
      </c>
      <c r="G37" s="399">
        <f t="shared" si="1"/>
        <v>0</v>
      </c>
      <c r="H37" s="322">
        <v>24</v>
      </c>
      <c r="I37" s="322">
        <f t="shared" si="2"/>
        <v>0</v>
      </c>
      <c r="J37" s="335">
        <f>+IFERROR(VLOOKUP(B37,#REF!,3,0),IFERROR(VLOOKUP(B37,#REF!,3,0),0))</f>
        <v>0</v>
      </c>
    </row>
    <row r="38" spans="1:10" ht="18" x14ac:dyDescent="0.35">
      <c r="A38" s="302" t="s">
        <v>1502</v>
      </c>
      <c r="B38" s="439">
        <v>224</v>
      </c>
      <c r="C38" s="322">
        <f>+IFERROR(VLOOKUP(B38,'Stock ISIS LK'!A:D,4,0),IFERROR(VLOOKUP(B38,'Stock ISIS CH'!A:D,4,0),0))</f>
        <v>0</v>
      </c>
      <c r="D38" s="322">
        <f t="shared" si="0"/>
        <v>0</v>
      </c>
      <c r="E38" s="335">
        <v>1</v>
      </c>
      <c r="G38" s="399">
        <f t="shared" si="1"/>
        <v>0</v>
      </c>
      <c r="H38" s="322">
        <v>12</v>
      </c>
      <c r="I38" s="322">
        <f t="shared" si="2"/>
        <v>0</v>
      </c>
      <c r="J38" s="335">
        <f>+IFERROR(VLOOKUP(B38,#REF!,3,0),IFERROR(VLOOKUP(B38,#REF!,3,0),0))</f>
        <v>0</v>
      </c>
    </row>
    <row r="39" spans="1:10" ht="18" x14ac:dyDescent="0.35">
      <c r="A39" s="302" t="s">
        <v>1502</v>
      </c>
      <c r="B39" s="439">
        <v>394</v>
      </c>
      <c r="C39" s="322">
        <f>+IFERROR(VLOOKUP(B39,'Stock ISIS LK'!A:D,4,0),IFERROR(VLOOKUP(B39,'Stock ISIS CH'!A:D,4,0),0))</f>
        <v>0</v>
      </c>
      <c r="D39" s="322">
        <f t="shared" si="0"/>
        <v>0</v>
      </c>
      <c r="E39" s="335">
        <v>1</v>
      </c>
      <c r="G39" s="399">
        <f t="shared" si="1"/>
        <v>0</v>
      </c>
      <c r="H39" s="322">
        <v>24</v>
      </c>
      <c r="I39" s="322">
        <f t="shared" si="2"/>
        <v>0</v>
      </c>
      <c r="J39" s="335">
        <f>+IFERROR(VLOOKUP(B39,#REF!,3,0),IFERROR(VLOOKUP(B39,#REF!,3,0),0))</f>
        <v>0</v>
      </c>
    </row>
    <row r="40" spans="1:10" ht="18" x14ac:dyDescent="0.35">
      <c r="A40" s="302" t="s">
        <v>1502</v>
      </c>
      <c r="B40" s="439">
        <v>220</v>
      </c>
      <c r="C40" s="322">
        <f>+IFERROR(VLOOKUP(B40,'Stock ISIS LK'!A:D,4,0),IFERROR(VLOOKUP(B40,'Stock ISIS CH'!A:D,4,0),0))</f>
        <v>0</v>
      </c>
      <c r="D40" s="322">
        <f t="shared" si="0"/>
        <v>0</v>
      </c>
      <c r="E40" s="335">
        <v>1</v>
      </c>
      <c r="G40" s="399">
        <f t="shared" si="1"/>
        <v>0</v>
      </c>
      <c r="H40" s="322">
        <v>12</v>
      </c>
      <c r="I40" s="322">
        <f t="shared" si="2"/>
        <v>0</v>
      </c>
      <c r="J40" s="335">
        <f>+IFERROR(VLOOKUP(B40,#REF!,3,0),IFERROR(VLOOKUP(B40,#REF!,3,0),0))</f>
        <v>0</v>
      </c>
    </row>
    <row r="41" spans="1:10" ht="18" x14ac:dyDescent="0.35">
      <c r="A41" s="302" t="s">
        <v>1502</v>
      </c>
      <c r="B41" s="439">
        <v>355</v>
      </c>
      <c r="C41" s="322">
        <f>+IFERROR(VLOOKUP(B41,'Stock ISIS LK'!A:D,4,0),IFERROR(VLOOKUP(B41,'Stock ISIS CH'!A:D,4,0),0))</f>
        <v>0</v>
      </c>
      <c r="D41" s="322">
        <f t="shared" si="0"/>
        <v>0</v>
      </c>
      <c r="E41" s="335">
        <v>1</v>
      </c>
      <c r="G41" s="399">
        <f t="shared" si="1"/>
        <v>0</v>
      </c>
      <c r="H41" s="322">
        <v>24</v>
      </c>
      <c r="I41" s="322">
        <f t="shared" si="2"/>
        <v>0</v>
      </c>
      <c r="J41" s="335">
        <f>+IFERROR(VLOOKUP(B41,#REF!,3,0),IFERROR(VLOOKUP(B41,#REF!,3,0),0))</f>
        <v>0</v>
      </c>
    </row>
    <row r="42" spans="1:10" ht="18" x14ac:dyDescent="0.35">
      <c r="A42" s="302" t="s">
        <v>1502</v>
      </c>
      <c r="B42" s="439">
        <v>535</v>
      </c>
      <c r="C42" s="322">
        <f>+IFERROR(VLOOKUP(B42,'Stock ISIS LK'!A:D,4,0),IFERROR(VLOOKUP(B42,'Stock ISIS CH'!A:D,4,0),0))</f>
        <v>0</v>
      </c>
      <c r="D42" s="322">
        <f t="shared" si="0"/>
        <v>0</v>
      </c>
      <c r="E42" s="335">
        <v>1</v>
      </c>
      <c r="G42" s="399">
        <f t="shared" si="1"/>
        <v>0</v>
      </c>
      <c r="H42" s="322">
        <v>24</v>
      </c>
      <c r="I42" s="322">
        <f t="shared" si="2"/>
        <v>0</v>
      </c>
      <c r="J42" s="335">
        <f>+IFERROR(VLOOKUP(B42,#REF!,3,0),IFERROR(VLOOKUP(B42,#REF!,3,0),0))</f>
        <v>0</v>
      </c>
    </row>
    <row r="43" spans="1:10" ht="18" x14ac:dyDescent="0.35">
      <c r="A43" s="302" t="s">
        <v>1502</v>
      </c>
      <c r="B43" s="439">
        <v>333</v>
      </c>
      <c r="C43" s="322">
        <f>+IFERROR(VLOOKUP(B43,'Stock ISIS LK'!A:D,4,0),IFERROR(VLOOKUP(B43,'Stock ISIS CH'!A:D,4,0),0))</f>
        <v>0</v>
      </c>
      <c r="D43" s="322">
        <f t="shared" si="0"/>
        <v>0</v>
      </c>
      <c r="E43" s="335">
        <v>1</v>
      </c>
      <c r="G43" s="399">
        <f t="shared" si="1"/>
        <v>0</v>
      </c>
      <c r="H43" s="322">
        <v>12</v>
      </c>
      <c r="I43" s="322">
        <f t="shared" si="2"/>
        <v>0</v>
      </c>
      <c r="J43" s="335">
        <f>+IFERROR(VLOOKUP(B43,#REF!,3,0),IFERROR(VLOOKUP(B43,#REF!,3,0),0))</f>
        <v>0</v>
      </c>
    </row>
    <row r="44" spans="1:10" ht="18" x14ac:dyDescent="0.35">
      <c r="A44" s="302" t="s">
        <v>1502</v>
      </c>
      <c r="B44" s="439">
        <v>223</v>
      </c>
      <c r="C44" s="322">
        <f>+IFERROR(VLOOKUP(B44,'Stock ISIS LK'!A:D,4,0),IFERROR(VLOOKUP(B44,'Stock ISIS CH'!A:D,4,0),0))</f>
        <v>0</v>
      </c>
      <c r="D44" s="322">
        <f t="shared" si="0"/>
        <v>0</v>
      </c>
      <c r="E44" s="335">
        <v>1</v>
      </c>
      <c r="G44" s="399">
        <f t="shared" si="1"/>
        <v>0</v>
      </c>
      <c r="H44" s="322">
        <v>12</v>
      </c>
      <c r="I44" s="322">
        <f t="shared" si="2"/>
        <v>0</v>
      </c>
      <c r="J44" s="335">
        <f>+IFERROR(VLOOKUP(B44,#REF!,3,0),IFERROR(VLOOKUP(B44,#REF!,3,0),0))</f>
        <v>0</v>
      </c>
    </row>
    <row r="45" spans="1:10" ht="18" x14ac:dyDescent="0.35">
      <c r="A45" s="302" t="s">
        <v>1502</v>
      </c>
      <c r="B45" s="439">
        <v>332</v>
      </c>
      <c r="C45" s="322">
        <f>+IFERROR(VLOOKUP(B45,'Stock ISIS LK'!A:D,4,0),IFERROR(VLOOKUP(B45,'Stock ISIS CH'!A:D,4,0),0))</f>
        <v>0</v>
      </c>
      <c r="D45" s="322">
        <f t="shared" si="0"/>
        <v>0</v>
      </c>
      <c r="E45" s="335">
        <v>1</v>
      </c>
      <c r="G45" s="399">
        <f t="shared" si="1"/>
        <v>0</v>
      </c>
      <c r="H45" s="322">
        <v>24</v>
      </c>
      <c r="I45" s="322">
        <f t="shared" si="2"/>
        <v>0</v>
      </c>
      <c r="J45" s="335">
        <f>+IFERROR(VLOOKUP(B45,#REF!,3,0),IFERROR(VLOOKUP(B45,#REF!,3,0),0))</f>
        <v>0</v>
      </c>
    </row>
    <row r="46" spans="1:10" ht="18" x14ac:dyDescent="0.35">
      <c r="A46" s="302" t="s">
        <v>1502</v>
      </c>
      <c r="B46" s="439">
        <v>390</v>
      </c>
      <c r="C46" s="322">
        <f>+IFERROR(VLOOKUP(B46,'Stock ISIS LK'!A:D,4,0),IFERROR(VLOOKUP(B46,'Stock ISIS CH'!A:D,4,0),0))</f>
        <v>0</v>
      </c>
      <c r="D46" s="322">
        <f t="shared" si="0"/>
        <v>0</v>
      </c>
      <c r="E46" s="335">
        <v>1</v>
      </c>
      <c r="G46" s="399">
        <f t="shared" si="1"/>
        <v>0</v>
      </c>
      <c r="H46" s="322">
        <v>24</v>
      </c>
      <c r="I46" s="322">
        <f t="shared" si="2"/>
        <v>0</v>
      </c>
      <c r="J46" s="335">
        <f>+IFERROR(VLOOKUP(B46,#REF!,3,0),IFERROR(VLOOKUP(B46,#REF!,3,0),0))</f>
        <v>0</v>
      </c>
    </row>
    <row r="47" spans="1:10" ht="18" x14ac:dyDescent="0.35">
      <c r="A47" s="302" t="s">
        <v>1502</v>
      </c>
      <c r="B47" s="439">
        <v>336</v>
      </c>
      <c r="C47" s="322">
        <f>+IFERROR(VLOOKUP(B47,'Stock ISIS LK'!A:D,4,0),IFERROR(VLOOKUP(B47,'Stock ISIS CH'!A:D,4,0),0))</f>
        <v>0</v>
      </c>
      <c r="D47" s="322">
        <f t="shared" si="0"/>
        <v>0</v>
      </c>
      <c r="E47" s="335">
        <v>1</v>
      </c>
      <c r="G47" s="399">
        <f t="shared" si="1"/>
        <v>0</v>
      </c>
      <c r="H47" s="322">
        <v>12</v>
      </c>
      <c r="I47" s="322">
        <f t="shared" si="2"/>
        <v>0</v>
      </c>
      <c r="J47" s="335">
        <f>+IFERROR(VLOOKUP(B47,#REF!,3,0),IFERROR(VLOOKUP(B47,#REF!,3,0),0))</f>
        <v>0</v>
      </c>
    </row>
    <row r="48" spans="1:10" ht="18" x14ac:dyDescent="0.35">
      <c r="A48" s="302" t="s">
        <v>1502</v>
      </c>
      <c r="B48" s="439">
        <v>593</v>
      </c>
      <c r="C48" s="322">
        <f>+IFERROR(VLOOKUP(B48,'Stock ISIS LK'!A:D,4,0),IFERROR(VLOOKUP(B48,'Stock ISIS CH'!A:D,4,0),0))</f>
        <v>0</v>
      </c>
      <c r="D48" s="322">
        <f t="shared" si="0"/>
        <v>0</v>
      </c>
      <c r="E48" s="335">
        <v>1</v>
      </c>
      <c r="G48" s="399">
        <f t="shared" si="1"/>
        <v>0</v>
      </c>
      <c r="H48" s="322">
        <v>12</v>
      </c>
      <c r="I48" s="322">
        <f t="shared" si="2"/>
        <v>0</v>
      </c>
      <c r="J48" s="335">
        <f>+IFERROR(VLOOKUP(B48,#REF!,3,0),IFERROR(VLOOKUP(B48,#REF!,3,0),0))</f>
        <v>0</v>
      </c>
    </row>
    <row r="49" spans="1:10" ht="18" x14ac:dyDescent="0.35">
      <c r="A49" s="302" t="s">
        <v>1502</v>
      </c>
      <c r="B49" s="439">
        <v>391</v>
      </c>
      <c r="C49" s="322">
        <f>+IFERROR(VLOOKUP(B49,'Stock ISIS LK'!A:D,4,0),IFERROR(VLOOKUP(B49,'Stock ISIS CH'!A:D,4,0),0))</f>
        <v>0</v>
      </c>
      <c r="D49" s="322">
        <f t="shared" si="0"/>
        <v>0</v>
      </c>
      <c r="E49" s="335">
        <v>1</v>
      </c>
      <c r="G49" s="399">
        <f t="shared" si="1"/>
        <v>0</v>
      </c>
      <c r="H49" s="322">
        <v>24</v>
      </c>
      <c r="I49" s="322">
        <f t="shared" si="2"/>
        <v>0</v>
      </c>
      <c r="J49" s="335">
        <f>+IFERROR(VLOOKUP(B49,#REF!,3,0),IFERROR(VLOOKUP(B49,#REF!,3,0),0))</f>
        <v>0</v>
      </c>
    </row>
    <row r="50" spans="1:10" ht="18" x14ac:dyDescent="0.35">
      <c r="A50" s="302" t="s">
        <v>1502</v>
      </c>
      <c r="B50" s="439">
        <v>334</v>
      </c>
      <c r="C50" s="322">
        <f>+IFERROR(VLOOKUP(B50,'Stock ISIS LK'!A:D,4,0),IFERROR(VLOOKUP(B50,'Stock ISIS CH'!A:D,4,0),0))</f>
        <v>0</v>
      </c>
      <c r="D50" s="322">
        <f t="shared" si="0"/>
        <v>0</v>
      </c>
      <c r="E50" s="335">
        <v>1</v>
      </c>
      <c r="G50" s="399">
        <f t="shared" si="1"/>
        <v>0</v>
      </c>
      <c r="H50" s="322">
        <v>24</v>
      </c>
      <c r="I50" s="322">
        <f t="shared" si="2"/>
        <v>0</v>
      </c>
      <c r="J50" s="335">
        <f>+IFERROR(VLOOKUP(B50,#REF!,3,0),IFERROR(VLOOKUP(B50,#REF!,3,0),0))</f>
        <v>0</v>
      </c>
    </row>
    <row r="51" spans="1:10" ht="18" x14ac:dyDescent="0.35">
      <c r="A51" s="302" t="s">
        <v>1502</v>
      </c>
      <c r="B51" s="439">
        <v>338</v>
      </c>
      <c r="C51" s="322">
        <f>+IFERROR(VLOOKUP(B51,'Stock ISIS LK'!A:D,4,0),IFERROR(VLOOKUP(B51,'Stock ISIS CH'!A:D,4,0),0))</f>
        <v>0</v>
      </c>
      <c r="D51" s="322">
        <f t="shared" si="0"/>
        <v>0</v>
      </c>
      <c r="E51" s="335">
        <v>1</v>
      </c>
      <c r="G51" s="399">
        <f t="shared" si="1"/>
        <v>0</v>
      </c>
      <c r="H51" s="322">
        <v>24</v>
      </c>
      <c r="I51" s="322">
        <f t="shared" si="2"/>
        <v>0</v>
      </c>
      <c r="J51" s="335">
        <f>+IFERROR(VLOOKUP(B51,#REF!,3,0),IFERROR(VLOOKUP(B51,#REF!,3,0),0))</f>
        <v>0</v>
      </c>
    </row>
    <row r="52" spans="1:10" ht="18" x14ac:dyDescent="0.35">
      <c r="A52" s="302" t="s">
        <v>1502</v>
      </c>
      <c r="B52" s="439">
        <v>326</v>
      </c>
      <c r="C52" s="322">
        <f>+IFERROR(VLOOKUP(B52,'Stock ISIS LK'!A:D,4,0),IFERROR(VLOOKUP(B52,'Stock ISIS CH'!A:D,4,0),0))</f>
        <v>0</v>
      </c>
      <c r="D52" s="322">
        <f t="shared" si="0"/>
        <v>0</v>
      </c>
      <c r="E52" s="335">
        <v>1</v>
      </c>
      <c r="G52" s="399">
        <f t="shared" si="1"/>
        <v>0</v>
      </c>
      <c r="H52" s="322">
        <v>24</v>
      </c>
      <c r="I52" s="322">
        <f t="shared" si="2"/>
        <v>0</v>
      </c>
      <c r="J52" s="335">
        <f>+IFERROR(VLOOKUP(B52,#REF!,3,0),IFERROR(VLOOKUP(B52,#REF!,3,0),0))</f>
        <v>0</v>
      </c>
    </row>
    <row r="53" spans="1:10" ht="18" x14ac:dyDescent="0.35">
      <c r="A53" s="302" t="s">
        <v>1502</v>
      </c>
      <c r="B53" s="439">
        <v>592</v>
      </c>
      <c r="C53" s="322">
        <f>+IFERROR(VLOOKUP(B53,'Stock ISIS LK'!A:D,4,0),IFERROR(VLOOKUP(B53,'Stock ISIS CH'!A:D,4,0),0))</f>
        <v>0</v>
      </c>
      <c r="D53" s="322">
        <f t="shared" si="0"/>
        <v>0</v>
      </c>
      <c r="E53" s="335">
        <v>1</v>
      </c>
      <c r="G53" s="399">
        <f t="shared" si="1"/>
        <v>0</v>
      </c>
      <c r="H53" s="322">
        <v>12</v>
      </c>
      <c r="I53" s="322">
        <f t="shared" si="2"/>
        <v>0</v>
      </c>
      <c r="J53" s="335">
        <f>+IFERROR(VLOOKUP(B53,#REF!,3,0),IFERROR(VLOOKUP(B53,#REF!,3,0),0))</f>
        <v>0</v>
      </c>
    </row>
    <row r="54" spans="1:10" ht="18" x14ac:dyDescent="0.35">
      <c r="A54" s="302" t="s">
        <v>1502</v>
      </c>
      <c r="B54" s="439">
        <v>335</v>
      </c>
      <c r="C54" s="322">
        <f>+IFERROR(VLOOKUP(B54,'Stock ISIS LK'!A:D,4,0),IFERROR(VLOOKUP(B54,'Stock ISIS CH'!A:D,4,0),0))</f>
        <v>0</v>
      </c>
      <c r="D54" s="322">
        <f t="shared" si="0"/>
        <v>0</v>
      </c>
      <c r="E54" s="335">
        <v>1</v>
      </c>
      <c r="G54" s="399">
        <f t="shared" si="1"/>
        <v>0</v>
      </c>
      <c r="H54" s="322">
        <v>24</v>
      </c>
      <c r="I54" s="322">
        <f t="shared" si="2"/>
        <v>0</v>
      </c>
      <c r="J54" s="335">
        <f>+IFERROR(VLOOKUP(B54,#REF!,3,0),IFERROR(VLOOKUP(B54,#REF!,3,0),0))</f>
        <v>0</v>
      </c>
    </row>
    <row r="55" spans="1:10" ht="18" x14ac:dyDescent="0.35">
      <c r="A55" s="302" t="s">
        <v>1502</v>
      </c>
      <c r="B55" s="439">
        <v>337</v>
      </c>
      <c r="C55" s="322">
        <f>+IFERROR(VLOOKUP(B55,'Stock ISIS LK'!A:D,4,0),IFERROR(VLOOKUP(B55,'Stock ISIS CH'!A:D,4,0),0))</f>
        <v>0</v>
      </c>
      <c r="D55" s="322">
        <f t="shared" si="0"/>
        <v>0</v>
      </c>
      <c r="E55" s="335">
        <v>1</v>
      </c>
      <c r="G55" s="399">
        <f t="shared" si="1"/>
        <v>0</v>
      </c>
      <c r="H55" s="322">
        <v>24</v>
      </c>
      <c r="I55" s="322">
        <f t="shared" si="2"/>
        <v>0</v>
      </c>
      <c r="J55" s="335">
        <f>+IFERROR(VLOOKUP(B55,#REF!,3,0),IFERROR(VLOOKUP(B55,#REF!,3,0),0))</f>
        <v>0</v>
      </c>
    </row>
    <row r="56" spans="1:10" ht="18" x14ac:dyDescent="0.35">
      <c r="A56" s="302" t="s">
        <v>1502</v>
      </c>
      <c r="B56" s="439">
        <v>27</v>
      </c>
      <c r="C56" s="322">
        <f>+IFERROR(VLOOKUP(B56,'Stock ISIS LK'!A:D,4,0),IFERROR(VLOOKUP(B56,'Stock ISIS CH'!A:D,4,0),0))</f>
        <v>0</v>
      </c>
      <c r="D56" s="322">
        <f t="shared" si="0"/>
        <v>0</v>
      </c>
      <c r="E56" s="335">
        <v>1</v>
      </c>
      <c r="G56" s="399">
        <f t="shared" si="1"/>
        <v>0</v>
      </c>
      <c r="H56" s="322">
        <v>24</v>
      </c>
      <c r="I56" s="322">
        <f t="shared" si="2"/>
        <v>0</v>
      </c>
      <c r="J56" s="335">
        <f>+IFERROR(VLOOKUP(B56,#REF!,3,0),IFERROR(VLOOKUP(B56,#REF!,3,0),0))</f>
        <v>0</v>
      </c>
    </row>
    <row r="57" spans="1:10" ht="18" x14ac:dyDescent="0.35">
      <c r="A57" s="302" t="s">
        <v>1502</v>
      </c>
      <c r="B57" s="439">
        <v>29</v>
      </c>
      <c r="C57" s="322">
        <f>+IFERROR(VLOOKUP(B57,'Stock ISIS LK'!A:D,4,0),IFERROR(VLOOKUP(B57,'Stock ISIS CH'!A:D,4,0),0))</f>
        <v>0</v>
      </c>
      <c r="D57" s="322">
        <f t="shared" si="0"/>
        <v>0</v>
      </c>
      <c r="E57" s="335">
        <v>1</v>
      </c>
      <c r="G57" s="399">
        <f t="shared" si="1"/>
        <v>0</v>
      </c>
      <c r="H57" s="322">
        <v>24</v>
      </c>
      <c r="I57" s="322">
        <f t="shared" si="2"/>
        <v>0</v>
      </c>
      <c r="J57" s="335">
        <f>+IFERROR(VLOOKUP(B57,#REF!,3,0),IFERROR(VLOOKUP(B57,#REF!,3,0),0))</f>
        <v>0</v>
      </c>
    </row>
    <row r="58" spans="1:10" ht="18" x14ac:dyDescent="0.35">
      <c r="A58" s="302" t="s">
        <v>1502</v>
      </c>
      <c r="B58" s="439">
        <v>30</v>
      </c>
      <c r="C58" s="322">
        <f>+IFERROR(VLOOKUP(B58,'Stock ISIS LK'!A:D,4,0),IFERROR(VLOOKUP(B58,'Stock ISIS CH'!A:D,4,0),0))</f>
        <v>0</v>
      </c>
      <c r="D58" s="322">
        <f t="shared" si="0"/>
        <v>0</v>
      </c>
      <c r="E58" s="335">
        <v>1</v>
      </c>
      <c r="G58" s="399">
        <f t="shared" si="1"/>
        <v>0</v>
      </c>
      <c r="H58" s="322">
        <v>24</v>
      </c>
      <c r="I58" s="322">
        <f t="shared" si="2"/>
        <v>0</v>
      </c>
      <c r="J58" s="335">
        <f>+IFERROR(VLOOKUP(B58,#REF!,3,0),IFERROR(VLOOKUP(B58,#REF!,3,0),0))</f>
        <v>0</v>
      </c>
    </row>
    <row r="59" spans="1:10" ht="18" x14ac:dyDescent="0.35">
      <c r="A59" s="302" t="s">
        <v>1501</v>
      </c>
      <c r="B59" s="439">
        <v>52</v>
      </c>
      <c r="C59" s="322">
        <f>+IFERROR(VLOOKUP(B59,'Stock ISIS LK'!A:D,4,0),IFERROR(VLOOKUP(B59,'Stock ISIS CH'!A:D,4,0),0))</f>
        <v>0</v>
      </c>
      <c r="D59" s="322">
        <f t="shared" si="0"/>
        <v>0</v>
      </c>
      <c r="E59" s="335">
        <v>1</v>
      </c>
      <c r="G59" s="399">
        <f t="shared" si="1"/>
        <v>0</v>
      </c>
      <c r="H59" s="322">
        <v>12</v>
      </c>
      <c r="I59" s="322">
        <f t="shared" si="2"/>
        <v>0</v>
      </c>
      <c r="J59" s="335">
        <f>+IFERROR(VLOOKUP(B59,#REF!,3,0),IFERROR(VLOOKUP(B59,#REF!,3,0),0))</f>
        <v>0</v>
      </c>
    </row>
    <row r="60" spans="1:10" ht="18" x14ac:dyDescent="0.35">
      <c r="A60" s="302" t="s">
        <v>1501</v>
      </c>
      <c r="B60" s="439">
        <v>307</v>
      </c>
      <c r="C60" s="322">
        <f>+IFERROR(VLOOKUP(B60,'Stock ISIS LK'!A:D,4,0),IFERROR(VLOOKUP(B60,'Stock ISIS CH'!A:D,4,0),0))</f>
        <v>0</v>
      </c>
      <c r="D60" s="322">
        <f t="shared" si="0"/>
        <v>0</v>
      </c>
      <c r="E60" s="335">
        <v>1</v>
      </c>
      <c r="G60" s="399">
        <f t="shared" si="1"/>
        <v>0</v>
      </c>
      <c r="H60" s="322">
        <v>24</v>
      </c>
      <c r="I60" s="322">
        <f t="shared" si="2"/>
        <v>0</v>
      </c>
      <c r="J60" s="335">
        <f>+IFERROR(VLOOKUP(B60,#REF!,3,0),IFERROR(VLOOKUP(B60,#REF!,3,0),0))</f>
        <v>0</v>
      </c>
    </row>
    <row r="61" spans="1:10" ht="18" x14ac:dyDescent="0.35">
      <c r="A61" s="302" t="s">
        <v>1501</v>
      </c>
      <c r="B61" s="439">
        <v>453</v>
      </c>
      <c r="C61" s="322">
        <f>+IFERROR(VLOOKUP(B61,'Stock ISIS LK'!A:D,4,0),IFERROR(VLOOKUP(B61,'Stock ISIS CH'!A:D,4,0),0))</f>
        <v>0</v>
      </c>
      <c r="D61" s="322">
        <f t="shared" si="0"/>
        <v>0</v>
      </c>
      <c r="E61" s="335">
        <v>1</v>
      </c>
      <c r="G61" s="399">
        <f t="shared" si="1"/>
        <v>0</v>
      </c>
      <c r="H61" s="322">
        <v>24</v>
      </c>
      <c r="I61" s="322">
        <f t="shared" si="2"/>
        <v>0</v>
      </c>
      <c r="J61" s="335">
        <f>+IFERROR(VLOOKUP(B61,#REF!,3,0),IFERROR(VLOOKUP(B61,#REF!,3,0),0))</f>
        <v>0</v>
      </c>
    </row>
    <row r="62" spans="1:10" ht="18" x14ac:dyDescent="0.35">
      <c r="A62" s="302" t="s">
        <v>1501</v>
      </c>
      <c r="B62" s="439">
        <v>454</v>
      </c>
      <c r="C62" s="322">
        <f>+IFERROR(VLOOKUP(B62,'Stock ISIS LK'!A:D,4,0),IFERROR(VLOOKUP(B62,'Stock ISIS CH'!A:D,4,0),0))</f>
        <v>0</v>
      </c>
      <c r="D62" s="322">
        <f t="shared" si="0"/>
        <v>0</v>
      </c>
      <c r="E62" s="335">
        <v>1</v>
      </c>
      <c r="G62" s="399">
        <f t="shared" si="1"/>
        <v>0</v>
      </c>
      <c r="H62" s="322">
        <v>24</v>
      </c>
      <c r="I62" s="322">
        <f t="shared" si="2"/>
        <v>0</v>
      </c>
      <c r="J62" s="335">
        <f>+IFERROR(VLOOKUP(B62,#REF!,3,0),IFERROR(VLOOKUP(B62,#REF!,3,0),0))</f>
        <v>0</v>
      </c>
    </row>
    <row r="63" spans="1:10" ht="18" x14ac:dyDescent="0.35">
      <c r="A63" s="302" t="s">
        <v>1501</v>
      </c>
      <c r="B63" s="439">
        <v>455</v>
      </c>
      <c r="C63" s="322">
        <f>+IFERROR(VLOOKUP(B63,'Stock ISIS LK'!A:D,4,0),IFERROR(VLOOKUP(B63,'Stock ISIS CH'!A:D,4,0),0))</f>
        <v>0</v>
      </c>
      <c r="D63" s="322">
        <f t="shared" si="0"/>
        <v>0</v>
      </c>
      <c r="E63" s="335">
        <v>1</v>
      </c>
      <c r="G63" s="399">
        <f t="shared" si="1"/>
        <v>0</v>
      </c>
      <c r="H63" s="322">
        <v>24</v>
      </c>
      <c r="I63" s="322">
        <f t="shared" si="2"/>
        <v>0</v>
      </c>
      <c r="J63" s="335">
        <f>+IFERROR(VLOOKUP(B63,#REF!,3,0),IFERROR(VLOOKUP(B63,#REF!,3,0),0))</f>
        <v>0</v>
      </c>
    </row>
    <row r="64" spans="1:10" ht="18" x14ac:dyDescent="0.35">
      <c r="A64" s="302" t="s">
        <v>1501</v>
      </c>
      <c r="B64" s="439">
        <v>456</v>
      </c>
      <c r="C64" s="322">
        <f>+IFERROR(VLOOKUP(B64,'Stock ISIS LK'!A:D,4,0),IFERROR(VLOOKUP(B64,'Stock ISIS CH'!A:D,4,0),0))</f>
        <v>0</v>
      </c>
      <c r="D64" s="322">
        <f t="shared" si="0"/>
        <v>0</v>
      </c>
      <c r="E64" s="335">
        <v>1</v>
      </c>
      <c r="G64" s="399">
        <f t="shared" si="1"/>
        <v>0</v>
      </c>
      <c r="H64" s="322">
        <v>24</v>
      </c>
      <c r="I64" s="322">
        <f t="shared" si="2"/>
        <v>0</v>
      </c>
      <c r="J64" s="335">
        <f>+IFERROR(VLOOKUP(B64,#REF!,3,0),IFERROR(VLOOKUP(B64,#REF!,3,0),0))</f>
        <v>0</v>
      </c>
    </row>
    <row r="65" spans="1:10" ht="18" x14ac:dyDescent="0.35">
      <c r="A65" s="302" t="s">
        <v>1501</v>
      </c>
      <c r="B65" s="439">
        <v>609</v>
      </c>
      <c r="C65" s="322">
        <f>+IFERROR(VLOOKUP(B65,'Stock ISIS LK'!A:D,4,0),IFERROR(VLOOKUP(B65,'Stock ISIS CH'!A:D,4,0),0))</f>
        <v>0</v>
      </c>
      <c r="D65" s="322">
        <f t="shared" si="0"/>
        <v>0</v>
      </c>
      <c r="E65" s="335">
        <v>1</v>
      </c>
      <c r="G65" s="399">
        <f t="shared" si="1"/>
        <v>0</v>
      </c>
      <c r="H65" s="322">
        <v>12</v>
      </c>
      <c r="I65" s="322">
        <f t="shared" si="2"/>
        <v>0</v>
      </c>
      <c r="J65" s="335">
        <f>+IFERROR(VLOOKUP(B65,#REF!,3,0),IFERROR(VLOOKUP(B65,#REF!,3,0),0))</f>
        <v>0</v>
      </c>
    </row>
    <row r="66" spans="1:10" ht="18" x14ac:dyDescent="0.35">
      <c r="A66" s="302" t="s">
        <v>1501</v>
      </c>
      <c r="B66" s="439">
        <v>618</v>
      </c>
      <c r="C66" s="322">
        <f>+IFERROR(VLOOKUP(B66,'Stock ISIS LK'!A:D,4,0),IFERROR(VLOOKUP(B66,'Stock ISIS CH'!A:D,4,0),0))</f>
        <v>0</v>
      </c>
      <c r="D66" s="322">
        <f t="shared" si="0"/>
        <v>0</v>
      </c>
      <c r="E66" s="335">
        <v>1</v>
      </c>
      <c r="G66" s="399">
        <f t="shared" si="1"/>
        <v>0</v>
      </c>
      <c r="H66" s="322">
        <v>12</v>
      </c>
      <c r="I66" s="322">
        <f t="shared" si="2"/>
        <v>0</v>
      </c>
      <c r="J66" s="335">
        <f>+IFERROR(VLOOKUP(B66,#REF!,3,0),IFERROR(VLOOKUP(B66,#REF!,3,0),0))</f>
        <v>0</v>
      </c>
    </row>
    <row r="67" spans="1:10" ht="18" x14ac:dyDescent="0.35">
      <c r="A67" s="302" t="s">
        <v>1501</v>
      </c>
      <c r="B67" s="439">
        <v>619</v>
      </c>
      <c r="C67" s="322">
        <f>+IFERROR(VLOOKUP(B67,'Stock ISIS LK'!A:D,4,0),IFERROR(VLOOKUP(B67,'Stock ISIS CH'!A:D,4,0),0))</f>
        <v>0</v>
      </c>
      <c r="D67" s="322">
        <f t="shared" si="0"/>
        <v>0</v>
      </c>
      <c r="E67" s="335">
        <v>1</v>
      </c>
      <c r="G67" s="399">
        <f t="shared" si="1"/>
        <v>0</v>
      </c>
      <c r="H67" s="322">
        <v>24</v>
      </c>
      <c r="I67" s="322">
        <f t="shared" si="2"/>
        <v>0</v>
      </c>
      <c r="J67" s="335">
        <f>+IFERROR(VLOOKUP(B67,#REF!,3,0),IFERROR(VLOOKUP(B67,#REF!,3,0),0))</f>
        <v>0</v>
      </c>
    </row>
    <row r="68" spans="1:10" ht="18" x14ac:dyDescent="0.35">
      <c r="A68" s="302" t="s">
        <v>1501</v>
      </c>
      <c r="B68" s="439">
        <v>630</v>
      </c>
      <c r="C68" s="322">
        <f>+IFERROR(VLOOKUP(B68,'Stock ISIS LK'!A:D,4,0),IFERROR(VLOOKUP(B68,'Stock ISIS CH'!A:D,4,0),0))</f>
        <v>0</v>
      </c>
      <c r="D68" s="322">
        <f t="shared" si="0"/>
        <v>0</v>
      </c>
      <c r="E68" s="335">
        <v>1</v>
      </c>
      <c r="G68" s="399">
        <f t="shared" si="1"/>
        <v>0</v>
      </c>
      <c r="H68" s="322">
        <v>12</v>
      </c>
      <c r="I68" s="322">
        <f t="shared" si="2"/>
        <v>0</v>
      </c>
      <c r="J68" s="335">
        <f>+IFERROR(VLOOKUP(B68,#REF!,3,0),IFERROR(VLOOKUP(B68,#REF!,3,0),0))</f>
        <v>0</v>
      </c>
    </row>
    <row r="69" spans="1:10" ht="18" x14ac:dyDescent="0.35">
      <c r="A69" s="302" t="s">
        <v>1501</v>
      </c>
      <c r="B69" s="439">
        <v>631</v>
      </c>
      <c r="C69" s="322">
        <f>+IFERROR(VLOOKUP(B69,'Stock ISIS LK'!A:D,4,0),IFERROR(VLOOKUP(B69,'Stock ISIS CH'!A:D,4,0),0))</f>
        <v>0</v>
      </c>
      <c r="D69" s="322">
        <f t="shared" si="0"/>
        <v>0</v>
      </c>
      <c r="E69" s="335">
        <v>1</v>
      </c>
      <c r="G69" s="399">
        <f t="shared" si="1"/>
        <v>0</v>
      </c>
      <c r="H69" s="322">
        <v>24</v>
      </c>
      <c r="I69" s="322">
        <f t="shared" si="2"/>
        <v>0</v>
      </c>
      <c r="J69" s="335">
        <f>+IFERROR(VLOOKUP(B69,#REF!,3,0),IFERROR(VLOOKUP(B69,#REF!,3,0),0))</f>
        <v>0</v>
      </c>
    </row>
    <row r="70" spans="1:10" ht="18" x14ac:dyDescent="0.35">
      <c r="A70" s="302" t="s">
        <v>1501</v>
      </c>
      <c r="B70" s="439">
        <v>632</v>
      </c>
      <c r="C70" s="322">
        <f>+IFERROR(VLOOKUP(B70,'Stock ISIS LK'!A:D,4,0),IFERROR(VLOOKUP(B70,'Stock ISIS CH'!A:D,4,0),0))</f>
        <v>0</v>
      </c>
      <c r="D70" s="322">
        <f t="shared" si="0"/>
        <v>0</v>
      </c>
      <c r="E70" s="335">
        <v>1</v>
      </c>
      <c r="G70" s="399">
        <f t="shared" ref="G70:G133" si="3">+J70/H70</f>
        <v>0</v>
      </c>
      <c r="H70" s="322">
        <v>24</v>
      </c>
      <c r="I70" s="322">
        <f t="shared" ref="I70:I133" si="4">+G70*H70*E70</f>
        <v>0</v>
      </c>
      <c r="J70" s="335">
        <f>+IFERROR(VLOOKUP(B70,#REF!,3,0),IFERROR(VLOOKUP(B70,#REF!,3,0),0))</f>
        <v>0</v>
      </c>
    </row>
    <row r="71" spans="1:10" ht="18" x14ac:dyDescent="0.35">
      <c r="A71" s="302" t="s">
        <v>1501</v>
      </c>
      <c r="B71" s="439">
        <v>633</v>
      </c>
      <c r="C71" s="322">
        <f>+IFERROR(VLOOKUP(B71,'Stock ISIS LK'!A:D,4,0),IFERROR(VLOOKUP(B71,'Stock ISIS CH'!A:D,4,0),0))</f>
        <v>0</v>
      </c>
      <c r="D71" s="322">
        <f t="shared" si="0"/>
        <v>0</v>
      </c>
      <c r="E71" s="335">
        <v>1</v>
      </c>
      <c r="G71" s="399">
        <f t="shared" si="3"/>
        <v>0</v>
      </c>
      <c r="H71" s="322">
        <v>24</v>
      </c>
      <c r="I71" s="322">
        <f t="shared" si="4"/>
        <v>0</v>
      </c>
      <c r="J71" s="335">
        <f>+IFERROR(VLOOKUP(B71,#REF!,3,0),IFERROR(VLOOKUP(B71,#REF!,3,0),0))</f>
        <v>0</v>
      </c>
    </row>
    <row r="72" spans="1:10" ht="18" x14ac:dyDescent="0.35">
      <c r="A72" s="302" t="s">
        <v>1501</v>
      </c>
      <c r="B72" s="439">
        <v>634</v>
      </c>
      <c r="C72" s="322">
        <f>+IFERROR(VLOOKUP(B72,'Stock ISIS LK'!A:D,4,0),IFERROR(VLOOKUP(B72,'Stock ISIS CH'!A:D,4,0),0))</f>
        <v>0</v>
      </c>
      <c r="D72" s="322">
        <f t="shared" si="0"/>
        <v>0</v>
      </c>
      <c r="E72" s="335">
        <v>1</v>
      </c>
      <c r="G72" s="399">
        <f t="shared" si="3"/>
        <v>0</v>
      </c>
      <c r="H72" s="322">
        <v>24</v>
      </c>
      <c r="I72" s="322">
        <f t="shared" si="4"/>
        <v>0</v>
      </c>
      <c r="J72" s="335">
        <f>+IFERROR(VLOOKUP(B72,#REF!,3,0),IFERROR(VLOOKUP(B72,#REF!,3,0),0))</f>
        <v>0</v>
      </c>
    </row>
    <row r="73" spans="1:10" ht="18" x14ac:dyDescent="0.35">
      <c r="A73" s="302" t="s">
        <v>1501</v>
      </c>
      <c r="B73" s="439">
        <v>635</v>
      </c>
      <c r="C73" s="322">
        <f>+IFERROR(VLOOKUP(B73,'Stock ISIS LK'!A:D,4,0),IFERROR(VLOOKUP(B73,'Stock ISIS CH'!A:D,4,0),0))</f>
        <v>0</v>
      </c>
      <c r="D73" s="322">
        <f t="shared" si="0"/>
        <v>0</v>
      </c>
      <c r="E73" s="335">
        <v>1</v>
      </c>
      <c r="G73" s="399">
        <f t="shared" si="3"/>
        <v>0</v>
      </c>
      <c r="H73" s="322">
        <v>24</v>
      </c>
      <c r="I73" s="322">
        <f t="shared" si="4"/>
        <v>0</v>
      </c>
      <c r="J73" s="335">
        <f>+IFERROR(VLOOKUP(B73,#REF!,3,0),IFERROR(VLOOKUP(B73,#REF!,3,0),0))</f>
        <v>0</v>
      </c>
    </row>
    <row r="74" spans="1:10" ht="18" x14ac:dyDescent="0.35">
      <c r="A74" s="302" t="s">
        <v>1501</v>
      </c>
      <c r="B74" s="439">
        <v>636</v>
      </c>
      <c r="C74" s="322">
        <f>+IFERROR(VLOOKUP(B74,'Stock ISIS LK'!A:D,4,0),IFERROR(VLOOKUP(B74,'Stock ISIS CH'!A:D,4,0),0))</f>
        <v>0</v>
      </c>
      <c r="D74" s="322">
        <f t="shared" si="0"/>
        <v>0</v>
      </c>
      <c r="E74" s="335">
        <v>1</v>
      </c>
      <c r="G74" s="399">
        <f t="shared" si="3"/>
        <v>0</v>
      </c>
      <c r="H74" s="322">
        <v>24</v>
      </c>
      <c r="I74" s="322">
        <f t="shared" si="4"/>
        <v>0</v>
      </c>
      <c r="J74" s="335">
        <f>+IFERROR(VLOOKUP(B74,#REF!,3,0),IFERROR(VLOOKUP(B74,#REF!,3,0),0))</f>
        <v>0</v>
      </c>
    </row>
    <row r="75" spans="1:10" ht="18" x14ac:dyDescent="0.35">
      <c r="A75" s="302" t="s">
        <v>1501</v>
      </c>
      <c r="B75" s="439">
        <v>637</v>
      </c>
      <c r="C75" s="322">
        <f>+IFERROR(VLOOKUP(B75,'Stock ISIS LK'!A:D,4,0),IFERROR(VLOOKUP(B75,'Stock ISIS CH'!A:D,4,0),0))</f>
        <v>0</v>
      </c>
      <c r="D75" s="322">
        <f t="shared" si="0"/>
        <v>0</v>
      </c>
      <c r="E75" s="335">
        <v>1</v>
      </c>
      <c r="G75" s="399">
        <f t="shared" si="3"/>
        <v>0</v>
      </c>
      <c r="H75" s="322">
        <v>12</v>
      </c>
      <c r="I75" s="322">
        <f t="shared" si="4"/>
        <v>0</v>
      </c>
      <c r="J75" s="335">
        <f>+IFERROR(VLOOKUP(B75,#REF!,3,0),IFERROR(VLOOKUP(B75,#REF!,3,0),0))</f>
        <v>0</v>
      </c>
    </row>
    <row r="76" spans="1:10" ht="18" x14ac:dyDescent="0.35">
      <c r="A76" s="302" t="s">
        <v>1501</v>
      </c>
      <c r="B76" s="439">
        <v>789</v>
      </c>
      <c r="C76" s="322">
        <f>+IFERROR(VLOOKUP(B76,'Stock ISIS LK'!A:D,4,0),IFERROR(VLOOKUP(B76,'Stock ISIS CH'!A:D,4,0),0))</f>
        <v>0</v>
      </c>
      <c r="D76" s="322">
        <f t="shared" si="0"/>
        <v>0</v>
      </c>
      <c r="E76" s="335">
        <v>1</v>
      </c>
      <c r="G76" s="399">
        <f t="shared" si="3"/>
        <v>0</v>
      </c>
      <c r="H76" s="322">
        <v>24</v>
      </c>
      <c r="I76" s="322">
        <f t="shared" si="4"/>
        <v>0</v>
      </c>
      <c r="J76" s="335">
        <f>+IFERROR(VLOOKUP(B76,#REF!,3,0),IFERROR(VLOOKUP(B76,#REF!,3,0),0))</f>
        <v>0</v>
      </c>
    </row>
    <row r="77" spans="1:10" ht="18" x14ac:dyDescent="0.35">
      <c r="A77" s="302" t="s">
        <v>1501</v>
      </c>
      <c r="B77" s="439">
        <v>824</v>
      </c>
      <c r="C77" s="322">
        <f>+IFERROR(VLOOKUP(B77,'Stock ISIS LK'!A:D,4,0),IFERROR(VLOOKUP(B77,'Stock ISIS CH'!A:D,4,0),0))</f>
        <v>0</v>
      </c>
      <c r="D77" s="322">
        <f t="shared" si="0"/>
        <v>0</v>
      </c>
      <c r="E77" s="335">
        <v>1</v>
      </c>
      <c r="G77" s="399">
        <f t="shared" si="3"/>
        <v>0</v>
      </c>
      <c r="H77" s="322">
        <v>12</v>
      </c>
      <c r="I77" s="322">
        <f t="shared" si="4"/>
        <v>0</v>
      </c>
      <c r="J77" s="335">
        <f>+IFERROR(VLOOKUP(B77,#REF!,3,0),IFERROR(VLOOKUP(B77,#REF!,3,0),0))</f>
        <v>0</v>
      </c>
    </row>
    <row r="78" spans="1:10" ht="18" x14ac:dyDescent="0.35">
      <c r="A78" s="302" t="s">
        <v>1501</v>
      </c>
      <c r="B78" s="439">
        <v>825</v>
      </c>
      <c r="C78" s="322">
        <f>+IFERROR(VLOOKUP(B78,'Stock ISIS LK'!A:D,4,0),IFERROR(VLOOKUP(B78,'Stock ISIS CH'!A:D,4,0),0))</f>
        <v>0</v>
      </c>
      <c r="D78" s="322">
        <f t="shared" si="0"/>
        <v>0</v>
      </c>
      <c r="E78" s="335">
        <v>1</v>
      </c>
      <c r="G78" s="399">
        <f t="shared" si="3"/>
        <v>0</v>
      </c>
      <c r="H78" s="322">
        <v>24</v>
      </c>
      <c r="I78" s="322">
        <f t="shared" si="4"/>
        <v>0</v>
      </c>
      <c r="J78" s="335">
        <f>+IFERROR(VLOOKUP(B78,#REF!,3,0),IFERROR(VLOOKUP(B78,#REF!,3,0),0))</f>
        <v>0</v>
      </c>
    </row>
    <row r="79" spans="1:10" ht="18" x14ac:dyDescent="0.35">
      <c r="A79" s="302" t="s">
        <v>1501</v>
      </c>
      <c r="B79" s="439">
        <v>840</v>
      </c>
      <c r="C79" s="322">
        <f>+IFERROR(VLOOKUP(B79,'Stock ISIS LK'!A:D,4,0),IFERROR(VLOOKUP(B79,'Stock ISIS CH'!A:D,4,0),0))</f>
        <v>0</v>
      </c>
      <c r="D79" s="322">
        <f t="shared" si="0"/>
        <v>0</v>
      </c>
      <c r="E79" s="335">
        <v>1</v>
      </c>
      <c r="G79" s="399">
        <f t="shared" si="3"/>
        <v>0</v>
      </c>
      <c r="H79" s="322">
        <v>12</v>
      </c>
      <c r="I79" s="322">
        <f t="shared" si="4"/>
        <v>0</v>
      </c>
      <c r="J79" s="335">
        <f>+IFERROR(VLOOKUP(B79,#REF!,3,0),IFERROR(VLOOKUP(B79,#REF!,3,0),0))</f>
        <v>0</v>
      </c>
    </row>
    <row r="80" spans="1:10" ht="18" x14ac:dyDescent="0.35">
      <c r="A80" s="302" t="s">
        <v>1501</v>
      </c>
      <c r="B80" s="439">
        <v>842</v>
      </c>
      <c r="C80" s="322">
        <f>+IFERROR(VLOOKUP(B80,'Stock ISIS LK'!A:D,4,0),IFERROR(VLOOKUP(B80,'Stock ISIS CH'!A:D,4,0),0))</f>
        <v>0</v>
      </c>
      <c r="D80" s="322">
        <f t="shared" si="0"/>
        <v>0</v>
      </c>
      <c r="E80" s="335">
        <v>1</v>
      </c>
      <c r="G80" s="399">
        <f t="shared" si="3"/>
        <v>0</v>
      </c>
      <c r="H80" s="322">
        <v>24</v>
      </c>
      <c r="I80" s="322">
        <f t="shared" si="4"/>
        <v>0</v>
      </c>
      <c r="J80" s="335">
        <f>+IFERROR(VLOOKUP(B80,#REF!,3,0),IFERROR(VLOOKUP(B80,#REF!,3,0),0))</f>
        <v>0</v>
      </c>
    </row>
    <row r="81" spans="1:10" ht="18" x14ac:dyDescent="0.35">
      <c r="A81" s="302" t="s">
        <v>1501</v>
      </c>
      <c r="B81" s="439">
        <v>843</v>
      </c>
      <c r="C81" s="322">
        <f>+IFERROR(VLOOKUP(B81,'Stock ISIS LK'!A:D,4,0),IFERROR(VLOOKUP(B81,'Stock ISIS CH'!A:D,4,0),0))</f>
        <v>0</v>
      </c>
      <c r="D81" s="322">
        <f t="shared" si="0"/>
        <v>0</v>
      </c>
      <c r="E81" s="335">
        <v>1</v>
      </c>
      <c r="G81" s="399">
        <f t="shared" si="3"/>
        <v>0</v>
      </c>
      <c r="H81" s="322">
        <v>24</v>
      </c>
      <c r="I81" s="322">
        <f t="shared" si="4"/>
        <v>0</v>
      </c>
      <c r="J81" s="335">
        <f>+IFERROR(VLOOKUP(B81,#REF!,3,0),IFERROR(VLOOKUP(B81,#REF!,3,0),0))</f>
        <v>0</v>
      </c>
    </row>
    <row r="82" spans="1:10" ht="18" x14ac:dyDescent="0.35">
      <c r="A82" s="302" t="s">
        <v>1501</v>
      </c>
      <c r="B82" s="439">
        <v>844</v>
      </c>
      <c r="C82" s="322">
        <f>+IFERROR(VLOOKUP(B82,'Stock ISIS LK'!A:D,4,0),IFERROR(VLOOKUP(B82,'Stock ISIS CH'!A:D,4,0),0))</f>
        <v>0</v>
      </c>
      <c r="D82" s="322">
        <f t="shared" si="0"/>
        <v>0</v>
      </c>
      <c r="E82" s="335">
        <v>1</v>
      </c>
      <c r="G82" s="399">
        <f t="shared" si="3"/>
        <v>0</v>
      </c>
      <c r="H82" s="322">
        <v>24</v>
      </c>
      <c r="I82" s="322">
        <f t="shared" si="4"/>
        <v>0</v>
      </c>
      <c r="J82" s="335">
        <f>+IFERROR(VLOOKUP(B82,#REF!,3,0),IFERROR(VLOOKUP(B82,#REF!,3,0),0))</f>
        <v>0</v>
      </c>
    </row>
    <row r="83" spans="1:10" ht="18" x14ac:dyDescent="0.35">
      <c r="A83" s="302" t="s">
        <v>1501</v>
      </c>
      <c r="B83" s="439">
        <v>845</v>
      </c>
      <c r="C83" s="322">
        <f>+IFERROR(VLOOKUP(B83,'Stock ISIS LK'!A:D,4,0),IFERROR(VLOOKUP(B83,'Stock ISIS CH'!A:D,4,0),0))</f>
        <v>0</v>
      </c>
      <c r="D83" s="322">
        <f t="shared" si="0"/>
        <v>0</v>
      </c>
      <c r="E83" s="335">
        <v>1</v>
      </c>
      <c r="G83" s="399">
        <f t="shared" si="3"/>
        <v>0</v>
      </c>
      <c r="H83" s="322">
        <v>24</v>
      </c>
      <c r="I83" s="322">
        <f t="shared" si="4"/>
        <v>0</v>
      </c>
      <c r="J83" s="335">
        <f>+IFERROR(VLOOKUP(B83,#REF!,3,0),IFERROR(VLOOKUP(B83,#REF!,3,0),0))</f>
        <v>0</v>
      </c>
    </row>
    <row r="84" spans="1:10" ht="18" x14ac:dyDescent="0.35">
      <c r="A84" s="302" t="s">
        <v>1501</v>
      </c>
      <c r="B84" s="439">
        <v>846</v>
      </c>
      <c r="C84" s="322">
        <f>+IFERROR(VLOOKUP(B84,'Stock ISIS LK'!A:D,4,0),IFERROR(VLOOKUP(B84,'Stock ISIS CH'!A:D,4,0),0))</f>
        <v>0</v>
      </c>
      <c r="D84" s="322">
        <f t="shared" si="0"/>
        <v>0</v>
      </c>
      <c r="E84" s="335">
        <v>1</v>
      </c>
      <c r="G84" s="399">
        <f t="shared" si="3"/>
        <v>0</v>
      </c>
      <c r="H84" s="322">
        <v>24</v>
      </c>
      <c r="I84" s="322">
        <f t="shared" si="4"/>
        <v>0</v>
      </c>
      <c r="J84" s="335">
        <f>+IFERROR(VLOOKUP(B84,#REF!,3,0),IFERROR(VLOOKUP(B84,#REF!,3,0),0))</f>
        <v>0</v>
      </c>
    </row>
    <row r="85" spans="1:10" ht="18" x14ac:dyDescent="0.35">
      <c r="A85" s="302" t="s">
        <v>1501</v>
      </c>
      <c r="B85" s="439">
        <v>847</v>
      </c>
      <c r="C85" s="322">
        <f>+IFERROR(VLOOKUP(B85,'Stock ISIS LK'!A:D,4,0),IFERROR(VLOOKUP(B85,'Stock ISIS CH'!A:D,4,0),0))</f>
        <v>0</v>
      </c>
      <c r="D85" s="322">
        <f t="shared" si="0"/>
        <v>0</v>
      </c>
      <c r="E85" s="335">
        <v>1</v>
      </c>
      <c r="G85" s="399">
        <f t="shared" si="3"/>
        <v>0</v>
      </c>
      <c r="H85" s="322">
        <v>24</v>
      </c>
      <c r="I85" s="322">
        <f t="shared" si="4"/>
        <v>0</v>
      </c>
      <c r="J85" s="335">
        <f>+IFERROR(VLOOKUP(B85,#REF!,3,0),IFERROR(VLOOKUP(B85,#REF!,3,0),0))</f>
        <v>0</v>
      </c>
    </row>
    <row r="86" spans="1:10" ht="18" x14ac:dyDescent="0.35">
      <c r="A86" s="302" t="s">
        <v>1501</v>
      </c>
      <c r="B86" s="439">
        <v>848</v>
      </c>
      <c r="C86" s="322">
        <f>+IFERROR(VLOOKUP(B86,'Stock ISIS LK'!A:D,4,0),IFERROR(VLOOKUP(B86,'Stock ISIS CH'!A:D,4,0),0))</f>
        <v>0</v>
      </c>
      <c r="D86" s="322">
        <f t="shared" si="0"/>
        <v>0</v>
      </c>
      <c r="E86" s="335">
        <v>1</v>
      </c>
      <c r="G86" s="399">
        <f t="shared" si="3"/>
        <v>0</v>
      </c>
      <c r="H86" s="322">
        <v>24</v>
      </c>
      <c r="I86" s="322">
        <f t="shared" si="4"/>
        <v>0</v>
      </c>
      <c r="J86" s="335">
        <f>+IFERROR(VLOOKUP(B86,#REF!,3,0),IFERROR(VLOOKUP(B86,#REF!,3,0),0))</f>
        <v>0</v>
      </c>
    </row>
    <row r="87" spans="1:10" ht="18" x14ac:dyDescent="0.35">
      <c r="A87" s="302" t="s">
        <v>1501</v>
      </c>
      <c r="B87" s="439">
        <v>872</v>
      </c>
      <c r="C87" s="322">
        <f>+IFERROR(VLOOKUP(B87,'Stock ISIS LK'!A:D,4,0),IFERROR(VLOOKUP(B87,'Stock ISIS CH'!A:D,4,0),0))</f>
        <v>0</v>
      </c>
      <c r="D87" s="322">
        <f t="shared" si="0"/>
        <v>0</v>
      </c>
      <c r="E87" s="335">
        <v>1</v>
      </c>
      <c r="G87" s="399">
        <f t="shared" si="3"/>
        <v>0</v>
      </c>
      <c r="H87" s="322">
        <v>12</v>
      </c>
      <c r="I87" s="322">
        <f t="shared" si="4"/>
        <v>0</v>
      </c>
      <c r="J87" s="335">
        <f>+IFERROR(VLOOKUP(B87,#REF!,3,0),IFERROR(VLOOKUP(B87,#REF!,3,0),0))</f>
        <v>0</v>
      </c>
    </row>
    <row r="88" spans="1:10" ht="18" x14ac:dyDescent="0.35">
      <c r="A88" s="302" t="s">
        <v>1501</v>
      </c>
      <c r="B88" s="439">
        <v>873</v>
      </c>
      <c r="C88" s="322">
        <f>+IFERROR(VLOOKUP(B88,'Stock ISIS LK'!A:D,4,0),IFERROR(VLOOKUP(B88,'Stock ISIS CH'!A:D,4,0),0))</f>
        <v>0</v>
      </c>
      <c r="D88" s="322">
        <f t="shared" si="0"/>
        <v>0</v>
      </c>
      <c r="E88" s="335">
        <v>1</v>
      </c>
      <c r="G88" s="399">
        <f t="shared" si="3"/>
        <v>0</v>
      </c>
      <c r="H88" s="322">
        <v>12</v>
      </c>
      <c r="I88" s="322">
        <f t="shared" si="4"/>
        <v>0</v>
      </c>
      <c r="J88" s="335">
        <f>+IFERROR(VLOOKUP(B88,#REF!,3,0),IFERROR(VLOOKUP(B88,#REF!,3,0),0))</f>
        <v>0</v>
      </c>
    </row>
    <row r="89" spans="1:10" ht="18" x14ac:dyDescent="0.35">
      <c r="A89" s="302" t="s">
        <v>1501</v>
      </c>
      <c r="B89" s="439">
        <v>912</v>
      </c>
      <c r="C89" s="322">
        <f>+IFERROR(VLOOKUP(B89,'Stock ISIS LK'!A:D,4,0),IFERROR(VLOOKUP(B89,'Stock ISIS CH'!A:D,4,0),0))</f>
        <v>0</v>
      </c>
      <c r="D89" s="322">
        <f t="shared" si="0"/>
        <v>0</v>
      </c>
      <c r="E89" s="335">
        <v>1</v>
      </c>
      <c r="G89" s="399">
        <f t="shared" si="3"/>
        <v>0</v>
      </c>
      <c r="H89" s="322">
        <v>12</v>
      </c>
      <c r="I89" s="322">
        <f t="shared" si="4"/>
        <v>0</v>
      </c>
      <c r="J89" s="335">
        <f>+IFERROR(VLOOKUP(B89,#REF!,3,0),IFERROR(VLOOKUP(B89,#REF!,3,0),0))</f>
        <v>0</v>
      </c>
    </row>
    <row r="90" spans="1:10" ht="18" x14ac:dyDescent="0.35">
      <c r="A90" s="302" t="s">
        <v>1501</v>
      </c>
      <c r="B90" s="439">
        <v>901</v>
      </c>
      <c r="C90" s="322">
        <f>+IFERROR(VLOOKUP(B90,'Stock ISIS LK'!A:D,4,0),IFERROR(VLOOKUP(B90,'Stock ISIS CH'!A:D,4,0),0))</f>
        <v>0</v>
      </c>
      <c r="D90" s="322">
        <f t="shared" si="0"/>
        <v>0</v>
      </c>
      <c r="E90" s="335">
        <v>1</v>
      </c>
      <c r="G90" s="399">
        <f t="shared" si="3"/>
        <v>0</v>
      </c>
      <c r="H90" s="322">
        <v>12</v>
      </c>
      <c r="I90" s="322">
        <f t="shared" si="4"/>
        <v>0</v>
      </c>
      <c r="J90" s="335">
        <f>+IFERROR(VLOOKUP(B90,#REF!,3,0),IFERROR(VLOOKUP(B90,#REF!,3,0),0))</f>
        <v>0</v>
      </c>
    </row>
    <row r="91" spans="1:10" ht="18" x14ac:dyDescent="0.35">
      <c r="A91" s="302" t="s">
        <v>1501</v>
      </c>
      <c r="B91" s="439">
        <v>902</v>
      </c>
      <c r="C91" s="322">
        <f>+IFERROR(VLOOKUP(B91,'Stock ISIS LK'!A:D,4,0),IFERROR(VLOOKUP(B91,'Stock ISIS CH'!A:D,4,0),0))</f>
        <v>0</v>
      </c>
      <c r="D91" s="322">
        <f t="shared" si="0"/>
        <v>0</v>
      </c>
      <c r="E91" s="335">
        <v>1</v>
      </c>
      <c r="G91" s="399">
        <f t="shared" si="3"/>
        <v>0</v>
      </c>
      <c r="H91" s="322">
        <v>12</v>
      </c>
      <c r="I91" s="322">
        <f t="shared" si="4"/>
        <v>0</v>
      </c>
      <c r="J91" s="335">
        <f>+IFERROR(VLOOKUP(B91,#REF!,3,0),IFERROR(VLOOKUP(B91,#REF!,3,0),0))</f>
        <v>0</v>
      </c>
    </row>
    <row r="92" spans="1:10" ht="18" x14ac:dyDescent="0.35">
      <c r="A92" s="302" t="s">
        <v>1501</v>
      </c>
      <c r="B92" s="439">
        <v>910</v>
      </c>
      <c r="C92" s="322">
        <f>+IFERROR(VLOOKUP(B92,'Stock ISIS LK'!A:D,4,0),IFERROR(VLOOKUP(B92,'Stock ISIS CH'!A:D,4,0),0))</f>
        <v>0</v>
      </c>
      <c r="D92" s="322">
        <f t="shared" si="0"/>
        <v>0</v>
      </c>
      <c r="E92" s="335">
        <v>1</v>
      </c>
      <c r="G92" s="399">
        <f t="shared" si="3"/>
        <v>0</v>
      </c>
      <c r="H92" s="322">
        <v>12</v>
      </c>
      <c r="I92" s="322">
        <f t="shared" si="4"/>
        <v>0</v>
      </c>
      <c r="J92" s="335">
        <f>+IFERROR(VLOOKUP(B92,#REF!,3,0),IFERROR(VLOOKUP(B92,#REF!,3,0),0))</f>
        <v>0</v>
      </c>
    </row>
    <row r="93" spans="1:10" ht="18" x14ac:dyDescent="0.35">
      <c r="A93" s="302" t="s">
        <v>1501</v>
      </c>
      <c r="B93" s="439">
        <v>911</v>
      </c>
      <c r="C93" s="322">
        <f>+IFERROR(VLOOKUP(B93,'Stock ISIS LK'!A:D,4,0),IFERROR(VLOOKUP(B93,'Stock ISIS CH'!A:D,4,0),0))</f>
        <v>0</v>
      </c>
      <c r="D93" s="322">
        <f t="shared" si="0"/>
        <v>0</v>
      </c>
      <c r="E93" s="335">
        <v>1</v>
      </c>
      <c r="G93" s="399">
        <f t="shared" si="3"/>
        <v>0</v>
      </c>
      <c r="H93" s="322">
        <v>12</v>
      </c>
      <c r="I93" s="322">
        <f t="shared" si="4"/>
        <v>0</v>
      </c>
      <c r="J93" s="335">
        <f>+IFERROR(VLOOKUP(B93,#REF!,3,0),IFERROR(VLOOKUP(B93,#REF!,3,0),0))</f>
        <v>0</v>
      </c>
    </row>
    <row r="94" spans="1:10" ht="18" x14ac:dyDescent="0.35">
      <c r="A94" s="302" t="s">
        <v>1501</v>
      </c>
      <c r="B94" s="439">
        <v>920</v>
      </c>
      <c r="C94" s="322">
        <f>+IFERROR(VLOOKUP(B94,'Stock ISIS LK'!A:D,4,0),IFERROR(VLOOKUP(B94,'Stock ISIS CH'!A:D,4,0),0))</f>
        <v>0</v>
      </c>
      <c r="D94" s="322">
        <f t="shared" si="0"/>
        <v>0</v>
      </c>
      <c r="E94" s="335">
        <v>1</v>
      </c>
      <c r="G94" s="399">
        <f t="shared" si="3"/>
        <v>0</v>
      </c>
      <c r="H94" s="322">
        <v>12</v>
      </c>
      <c r="I94" s="322">
        <f t="shared" si="4"/>
        <v>0</v>
      </c>
      <c r="J94" s="335">
        <f>+IFERROR(VLOOKUP(B94,#REF!,3,0),IFERROR(VLOOKUP(B94,#REF!,3,0),0))</f>
        <v>0</v>
      </c>
    </row>
    <row r="95" spans="1:10" ht="18" x14ac:dyDescent="0.35">
      <c r="A95" s="302" t="s">
        <v>1501</v>
      </c>
      <c r="B95" s="439">
        <v>922</v>
      </c>
      <c r="C95" s="322">
        <f>+IFERROR(VLOOKUP(B95,'Stock ISIS LK'!A:D,4,0),IFERROR(VLOOKUP(B95,'Stock ISIS CH'!A:D,4,0),0))</f>
        <v>0</v>
      </c>
      <c r="D95" s="322">
        <f t="shared" si="0"/>
        <v>0</v>
      </c>
      <c r="E95" s="335">
        <v>1</v>
      </c>
      <c r="G95" s="399">
        <f t="shared" si="3"/>
        <v>0</v>
      </c>
      <c r="H95" s="322">
        <v>12</v>
      </c>
      <c r="I95" s="322">
        <f t="shared" si="4"/>
        <v>0</v>
      </c>
      <c r="J95" s="335">
        <f>+IFERROR(VLOOKUP(B95,#REF!,3,0),IFERROR(VLOOKUP(B95,#REF!,3,0),0))</f>
        <v>0</v>
      </c>
    </row>
    <row r="96" spans="1:10" ht="18" x14ac:dyDescent="0.35">
      <c r="A96" s="302" t="s">
        <v>1501</v>
      </c>
      <c r="B96" s="439">
        <v>828</v>
      </c>
      <c r="C96" s="322">
        <f>+IFERROR(VLOOKUP(B96,'Stock ISIS LK'!A:D,4,0),IFERROR(VLOOKUP(B96,'Stock ISIS CH'!A:D,4,0),0))</f>
        <v>0</v>
      </c>
      <c r="D96" s="322">
        <f t="shared" si="0"/>
        <v>0</v>
      </c>
      <c r="E96" s="335">
        <v>1</v>
      </c>
      <c r="G96" s="399">
        <f t="shared" si="3"/>
        <v>0</v>
      </c>
      <c r="H96" s="322">
        <v>24</v>
      </c>
      <c r="I96" s="322">
        <f t="shared" si="4"/>
        <v>0</v>
      </c>
      <c r="J96" s="335">
        <f>+IFERROR(VLOOKUP(B96,#REF!,3,0),IFERROR(VLOOKUP(B96,#REF!,3,0),0))</f>
        <v>0</v>
      </c>
    </row>
    <row r="97" spans="1:10" ht="18" x14ac:dyDescent="0.35">
      <c r="A97" s="302" t="s">
        <v>1501</v>
      </c>
      <c r="B97" s="439">
        <v>830</v>
      </c>
      <c r="C97" s="322">
        <f>+IFERROR(VLOOKUP(B97,'Stock ISIS LK'!A:D,4,0),IFERROR(VLOOKUP(B97,'Stock ISIS CH'!A:D,4,0),0))</f>
        <v>0</v>
      </c>
      <c r="D97" s="322">
        <f t="shared" si="0"/>
        <v>0</v>
      </c>
      <c r="E97" s="335">
        <v>1</v>
      </c>
      <c r="G97" s="399">
        <f t="shared" si="3"/>
        <v>0</v>
      </c>
      <c r="H97" s="322">
        <v>24</v>
      </c>
      <c r="I97" s="322">
        <f t="shared" si="4"/>
        <v>0</v>
      </c>
      <c r="J97" s="335">
        <f>+IFERROR(VLOOKUP(B97,#REF!,3,0),IFERROR(VLOOKUP(B97,#REF!,3,0),0))</f>
        <v>0</v>
      </c>
    </row>
    <row r="98" spans="1:10" ht="18" x14ac:dyDescent="0.35">
      <c r="A98" s="302" t="s">
        <v>1503</v>
      </c>
      <c r="B98" s="439">
        <v>66</v>
      </c>
      <c r="C98" s="322">
        <f>+IFERROR(VLOOKUP(B98,'Stock ISIS LK'!A:D,4,0),IFERROR(VLOOKUP(B98,'Stock ISIS CH'!A:D,4,0),0))</f>
        <v>0</v>
      </c>
      <c r="D98" s="322">
        <f t="shared" si="0"/>
        <v>0</v>
      </c>
      <c r="E98" s="335">
        <v>1</v>
      </c>
      <c r="G98" s="399">
        <f t="shared" si="3"/>
        <v>0</v>
      </c>
      <c r="H98" s="322">
        <v>6</v>
      </c>
      <c r="I98" s="322">
        <f t="shared" si="4"/>
        <v>0</v>
      </c>
      <c r="J98" s="335">
        <f>+IFERROR(VLOOKUP(B98,#REF!,3,0),IFERROR(VLOOKUP(B98,#REF!,3,0),0))</f>
        <v>0</v>
      </c>
    </row>
    <row r="99" spans="1:10" ht="18" x14ac:dyDescent="0.35">
      <c r="A99" s="396">
        <v>505</v>
      </c>
      <c r="B99" s="439">
        <v>505</v>
      </c>
      <c r="C99" s="322">
        <f>+IFERROR(VLOOKUP(B99,'Stock ISIS LK'!A:D,4,0),IFERROR(VLOOKUP(B99,'Stock ISIS CH'!A:D,4,0),0))</f>
        <v>0</v>
      </c>
      <c r="D99" s="322">
        <f t="shared" si="0"/>
        <v>0</v>
      </c>
      <c r="E99" s="335">
        <v>1</v>
      </c>
      <c r="G99" s="399">
        <f t="shared" si="3"/>
        <v>0</v>
      </c>
      <c r="H99" s="322">
        <v>12</v>
      </c>
      <c r="I99" s="322">
        <f t="shared" si="4"/>
        <v>0</v>
      </c>
      <c r="J99" s="335">
        <f>+IFERROR(VLOOKUP(B99,#REF!,3,0),IFERROR(VLOOKUP(B99,#REF!,3,0),0))</f>
        <v>0</v>
      </c>
    </row>
    <row r="100" spans="1:10" ht="18" x14ac:dyDescent="0.35">
      <c r="A100" s="396">
        <v>520</v>
      </c>
      <c r="B100" s="439">
        <v>520</v>
      </c>
      <c r="C100" s="322">
        <f>+IFERROR(VLOOKUP(B100,'Stock ISIS LK'!A:D,4,0),IFERROR(VLOOKUP(B100,'Stock ISIS CH'!A:D,4,0),0))</f>
        <v>0</v>
      </c>
      <c r="D100" s="322">
        <f t="shared" si="0"/>
        <v>0</v>
      </c>
      <c r="E100" s="335">
        <v>1</v>
      </c>
      <c r="G100" s="399">
        <f t="shared" si="3"/>
        <v>0</v>
      </c>
      <c r="H100" s="322">
        <v>12</v>
      </c>
      <c r="I100" s="322">
        <f t="shared" si="4"/>
        <v>0</v>
      </c>
      <c r="J100" s="335">
        <f>+IFERROR(VLOOKUP(B100,#REF!,3,0),IFERROR(VLOOKUP(B100,#REF!,3,0),0))</f>
        <v>0</v>
      </c>
    </row>
    <row r="101" spans="1:10" ht="18" x14ac:dyDescent="0.35">
      <c r="A101" s="396">
        <v>562</v>
      </c>
      <c r="B101" s="439">
        <v>562</v>
      </c>
      <c r="C101" s="322">
        <f>+IFERROR(VLOOKUP(B101,'Stock ISIS LK'!A:D,4,0),IFERROR(VLOOKUP(B101,'Stock ISIS CH'!A:D,4,0),0))</f>
        <v>0</v>
      </c>
      <c r="D101" s="322">
        <f t="shared" si="0"/>
        <v>0</v>
      </c>
      <c r="E101" s="335">
        <v>1</v>
      </c>
      <c r="G101" s="399">
        <f t="shared" si="3"/>
        <v>0</v>
      </c>
      <c r="H101" s="322">
        <v>12</v>
      </c>
      <c r="I101" s="322">
        <f t="shared" si="4"/>
        <v>0</v>
      </c>
      <c r="J101" s="335">
        <f>+IFERROR(VLOOKUP(B101,#REF!,3,0),IFERROR(VLOOKUP(B101,#REF!,3,0),0))</f>
        <v>0</v>
      </c>
    </row>
    <row r="102" spans="1:10" ht="18" x14ac:dyDescent="0.35">
      <c r="A102" s="396">
        <v>565</v>
      </c>
      <c r="B102" s="439">
        <v>565</v>
      </c>
      <c r="C102" s="322">
        <f>+IFERROR(VLOOKUP(B102,'Stock ISIS LK'!A:D,4,0),IFERROR(VLOOKUP(B102,'Stock ISIS CH'!A:D,4,0),0))</f>
        <v>0</v>
      </c>
      <c r="D102" s="322">
        <f t="shared" si="0"/>
        <v>0</v>
      </c>
      <c r="E102" s="335">
        <v>1</v>
      </c>
      <c r="G102" s="399">
        <f t="shared" si="3"/>
        <v>0</v>
      </c>
      <c r="H102" s="322">
        <v>12</v>
      </c>
      <c r="I102" s="322">
        <f t="shared" si="4"/>
        <v>0</v>
      </c>
      <c r="J102" s="335">
        <f>+IFERROR(VLOOKUP(B102,#REF!,3,0),IFERROR(VLOOKUP(B102,#REF!,3,0),0))</f>
        <v>0</v>
      </c>
    </row>
    <row r="103" spans="1:10" ht="18" x14ac:dyDescent="0.35">
      <c r="A103" s="396">
        <v>575</v>
      </c>
      <c r="B103" s="439">
        <v>575</v>
      </c>
      <c r="C103" s="322">
        <f>+IFERROR(VLOOKUP(B103,'Stock ISIS LK'!A:D,4,0),IFERROR(VLOOKUP(B103,'Stock ISIS CH'!A:D,4,0),0))</f>
        <v>0</v>
      </c>
      <c r="D103" s="322">
        <f t="shared" si="0"/>
        <v>0</v>
      </c>
      <c r="E103" s="335">
        <v>1</v>
      </c>
      <c r="G103" s="399">
        <f t="shared" si="3"/>
        <v>0</v>
      </c>
      <c r="H103" s="322">
        <v>12</v>
      </c>
      <c r="I103" s="322">
        <f t="shared" si="4"/>
        <v>0</v>
      </c>
      <c r="J103" s="335">
        <f>+IFERROR(VLOOKUP(B103,#REF!,3,0),IFERROR(VLOOKUP(B103,#REF!,3,0),0))</f>
        <v>0</v>
      </c>
    </row>
    <row r="104" spans="1:10" ht="18" x14ac:dyDescent="0.35">
      <c r="A104" s="396">
        <v>577</v>
      </c>
      <c r="B104" s="439">
        <v>577</v>
      </c>
      <c r="C104" s="322">
        <f>+IFERROR(VLOOKUP(B104,'Stock ISIS LK'!A:D,4,0),IFERROR(VLOOKUP(B104,'Stock ISIS CH'!A:D,4,0),0))</f>
        <v>0</v>
      </c>
      <c r="D104" s="322">
        <f t="shared" si="0"/>
        <v>0</v>
      </c>
      <c r="E104" s="335">
        <v>1</v>
      </c>
      <c r="G104" s="399">
        <f t="shared" si="3"/>
        <v>0</v>
      </c>
      <c r="H104" s="322">
        <v>12</v>
      </c>
      <c r="I104" s="322">
        <f t="shared" si="4"/>
        <v>0</v>
      </c>
      <c r="J104" s="335">
        <f>+IFERROR(VLOOKUP(B104,#REF!,3,0),IFERROR(VLOOKUP(B104,#REF!,3,0),0))</f>
        <v>0</v>
      </c>
    </row>
    <row r="105" spans="1:10" ht="18" x14ac:dyDescent="0.35">
      <c r="A105" s="396">
        <v>579</v>
      </c>
      <c r="B105" s="439">
        <v>579</v>
      </c>
      <c r="C105" s="322">
        <f>+IFERROR(VLOOKUP(B105,'Stock ISIS LK'!A:D,4,0),IFERROR(VLOOKUP(B105,'Stock ISIS CH'!A:D,4,0),0))</f>
        <v>0</v>
      </c>
      <c r="D105" s="322">
        <f t="shared" si="0"/>
        <v>0</v>
      </c>
      <c r="E105" s="335">
        <v>1</v>
      </c>
      <c r="G105" s="399">
        <f t="shared" si="3"/>
        <v>0</v>
      </c>
      <c r="H105" s="322">
        <v>12</v>
      </c>
      <c r="I105" s="322">
        <f t="shared" si="4"/>
        <v>0</v>
      </c>
      <c r="J105" s="335">
        <f>+IFERROR(VLOOKUP(B105,#REF!,3,0),IFERROR(VLOOKUP(B105,#REF!,3,0),0))</f>
        <v>0</v>
      </c>
    </row>
    <row r="106" spans="1:10" ht="18" x14ac:dyDescent="0.35">
      <c r="A106" s="396">
        <v>225</v>
      </c>
      <c r="B106" s="439">
        <v>225</v>
      </c>
      <c r="C106" s="322">
        <f>+IFERROR(VLOOKUP(B106,'Stock ISIS LK'!A:D,4,0),IFERROR(VLOOKUP(B106,'Stock ISIS CH'!A:D,4,0),0))</f>
        <v>0</v>
      </c>
      <c r="D106" s="322">
        <f t="shared" si="0"/>
        <v>0</v>
      </c>
      <c r="E106" s="335">
        <v>1</v>
      </c>
      <c r="G106" s="399">
        <f t="shared" si="3"/>
        <v>0</v>
      </c>
      <c r="H106" s="322">
        <v>12</v>
      </c>
      <c r="I106" s="322">
        <f t="shared" si="4"/>
        <v>0</v>
      </c>
      <c r="J106" s="335">
        <f>+IFERROR(VLOOKUP(B106,#REF!,3,0),IFERROR(VLOOKUP(B106,#REF!,3,0),0))</f>
        <v>0</v>
      </c>
    </row>
    <row r="107" spans="1:10" ht="18" x14ac:dyDescent="0.35">
      <c r="A107" s="396">
        <v>280</v>
      </c>
      <c r="B107" s="439">
        <v>280</v>
      </c>
      <c r="C107" s="322">
        <f>+IFERROR(VLOOKUP(B107,'Stock ISIS LK'!A:D,4,0),IFERROR(VLOOKUP(B107,'Stock ISIS CH'!A:D,4,0),0))</f>
        <v>0</v>
      </c>
      <c r="D107" s="322">
        <f t="shared" si="0"/>
        <v>0</v>
      </c>
      <c r="E107" s="335">
        <v>1</v>
      </c>
      <c r="G107" s="399">
        <f t="shared" si="3"/>
        <v>0</v>
      </c>
      <c r="H107" s="322">
        <v>12</v>
      </c>
      <c r="I107" s="322">
        <f t="shared" si="4"/>
        <v>0</v>
      </c>
      <c r="J107" s="335">
        <f>+IFERROR(VLOOKUP(B107,#REF!,3,0),IFERROR(VLOOKUP(B107,#REF!,3,0),0))</f>
        <v>0</v>
      </c>
    </row>
    <row r="108" spans="1:10" ht="18" x14ac:dyDescent="0.35">
      <c r="A108" s="396">
        <v>586</v>
      </c>
      <c r="B108" s="439">
        <v>586</v>
      </c>
      <c r="C108" s="322">
        <f>+IFERROR(VLOOKUP(B108,'Stock ISIS LK'!A:D,4,0),IFERROR(VLOOKUP(B108,'Stock ISIS CH'!A:D,4,0),0))</f>
        <v>0</v>
      </c>
      <c r="D108" s="322">
        <f t="shared" si="0"/>
        <v>0</v>
      </c>
      <c r="E108" s="335">
        <v>1</v>
      </c>
      <c r="G108" s="399">
        <f t="shared" si="3"/>
        <v>0</v>
      </c>
      <c r="H108" s="322">
        <v>12</v>
      </c>
      <c r="I108" s="322">
        <f t="shared" si="4"/>
        <v>0</v>
      </c>
      <c r="J108" s="335">
        <f>+IFERROR(VLOOKUP(B108,#REF!,3,0),IFERROR(VLOOKUP(B108,#REF!,3,0),0))</f>
        <v>0</v>
      </c>
    </row>
    <row r="109" spans="1:10" ht="18" x14ac:dyDescent="0.35">
      <c r="A109" s="396">
        <v>548</v>
      </c>
      <c r="B109" s="439">
        <v>548</v>
      </c>
      <c r="C109" s="322">
        <f>+IFERROR(VLOOKUP(B109,'Stock ISIS LK'!A:D,4,0),IFERROR(VLOOKUP(B109,'Stock ISIS CH'!A:D,4,0),0))</f>
        <v>0</v>
      </c>
      <c r="D109" s="322">
        <f t="shared" si="0"/>
        <v>0</v>
      </c>
      <c r="E109" s="335">
        <v>1</v>
      </c>
      <c r="G109" s="399">
        <f t="shared" si="3"/>
        <v>0</v>
      </c>
      <c r="H109" s="322">
        <v>24</v>
      </c>
      <c r="I109" s="322">
        <f t="shared" si="4"/>
        <v>0</v>
      </c>
      <c r="J109" s="335">
        <f>+IFERROR(VLOOKUP(B109,#REF!,3,0),IFERROR(VLOOKUP(B109,#REF!,3,0),0))</f>
        <v>0</v>
      </c>
    </row>
    <row r="110" spans="1:10" ht="18" x14ac:dyDescent="0.35">
      <c r="A110" s="396">
        <v>569</v>
      </c>
      <c r="B110" s="439">
        <v>569</v>
      </c>
      <c r="C110" s="322">
        <f>+IFERROR(VLOOKUP(B110,'Stock ISIS LK'!A:D,4,0),IFERROR(VLOOKUP(B110,'Stock ISIS CH'!A:D,4,0),0))</f>
        <v>0</v>
      </c>
      <c r="D110" s="322">
        <f t="shared" si="0"/>
        <v>0</v>
      </c>
      <c r="E110" s="335">
        <v>1</v>
      </c>
      <c r="G110" s="399">
        <f t="shared" si="3"/>
        <v>0</v>
      </c>
      <c r="H110" s="322">
        <v>12</v>
      </c>
      <c r="I110" s="322">
        <f t="shared" si="4"/>
        <v>0</v>
      </c>
      <c r="J110" s="335">
        <f>+IFERROR(VLOOKUP(B110,#REF!,3,0),IFERROR(VLOOKUP(B110,#REF!,3,0),0))</f>
        <v>0</v>
      </c>
    </row>
    <row r="111" spans="1:10" ht="18" x14ac:dyDescent="0.35">
      <c r="A111" s="396">
        <v>559</v>
      </c>
      <c r="B111" s="439">
        <v>559</v>
      </c>
      <c r="C111" s="322">
        <f>+IFERROR(VLOOKUP(B111,'Stock ISIS LK'!A:D,4,0),IFERROR(VLOOKUP(B111,'Stock ISIS CH'!A:D,4,0),0))</f>
        <v>0</v>
      </c>
      <c r="D111" s="322">
        <f t="shared" si="0"/>
        <v>0</v>
      </c>
      <c r="E111" s="335">
        <v>1</v>
      </c>
      <c r="G111" s="399">
        <f t="shared" si="3"/>
        <v>0</v>
      </c>
      <c r="H111" s="322">
        <v>12</v>
      </c>
      <c r="I111" s="322">
        <f t="shared" si="4"/>
        <v>0</v>
      </c>
      <c r="J111" s="335">
        <f>+IFERROR(VLOOKUP(B111,#REF!,3,0),IFERROR(VLOOKUP(B111,#REF!,3,0),0))</f>
        <v>0</v>
      </c>
    </row>
    <row r="112" spans="1:10" ht="18" x14ac:dyDescent="0.35">
      <c r="A112" s="396">
        <v>560</v>
      </c>
      <c r="B112" s="439">
        <v>560</v>
      </c>
      <c r="C112" s="322">
        <f>+IFERROR(VLOOKUP(B112,'Stock ISIS LK'!A:D,4,0),IFERROR(VLOOKUP(B112,'Stock ISIS CH'!A:D,4,0),0))</f>
        <v>0</v>
      </c>
      <c r="D112" s="322">
        <f t="shared" si="0"/>
        <v>0</v>
      </c>
      <c r="E112" s="335">
        <v>1</v>
      </c>
      <c r="G112" s="399">
        <f t="shared" si="3"/>
        <v>0</v>
      </c>
      <c r="H112" s="322">
        <v>12</v>
      </c>
      <c r="I112" s="322">
        <f t="shared" si="4"/>
        <v>0</v>
      </c>
      <c r="J112" s="335">
        <f>+IFERROR(VLOOKUP(B112,#REF!,3,0),IFERROR(VLOOKUP(B112,#REF!,3,0),0))</f>
        <v>0</v>
      </c>
    </row>
    <row r="113" spans="1:10" ht="18" x14ac:dyDescent="0.35">
      <c r="A113" s="396">
        <v>547</v>
      </c>
      <c r="B113" s="439">
        <v>547</v>
      </c>
      <c r="C113" s="322">
        <f>+IFERROR(VLOOKUP(B113,'Stock ISIS LK'!A:D,4,0),IFERROR(VLOOKUP(B113,'Stock ISIS CH'!A:D,4,0),0))</f>
        <v>0</v>
      </c>
      <c r="D113" s="322">
        <f t="shared" si="0"/>
        <v>0</v>
      </c>
      <c r="E113" s="335">
        <v>1</v>
      </c>
      <c r="G113" s="399">
        <f t="shared" si="3"/>
        <v>0</v>
      </c>
      <c r="H113" s="322">
        <v>12</v>
      </c>
      <c r="I113" s="322">
        <f t="shared" si="4"/>
        <v>0</v>
      </c>
      <c r="J113" s="335">
        <f>+IFERROR(VLOOKUP(B113,#REF!,3,0),IFERROR(VLOOKUP(B113,#REF!,3,0),0))</f>
        <v>0</v>
      </c>
    </row>
    <row r="114" spans="1:10" ht="18" x14ac:dyDescent="0.35">
      <c r="A114" s="396">
        <v>321</v>
      </c>
      <c r="B114" s="439">
        <v>321</v>
      </c>
      <c r="C114" s="322">
        <f>+IFERROR(VLOOKUP(B114,'Stock ISIS LK'!A:D,4,0),IFERROR(VLOOKUP(B114,'Stock ISIS CH'!A:D,4,0),0))</f>
        <v>0</v>
      </c>
      <c r="D114" s="322">
        <f t="shared" si="0"/>
        <v>0</v>
      </c>
      <c r="E114" s="335">
        <v>1</v>
      </c>
      <c r="G114" s="399">
        <f t="shared" si="3"/>
        <v>0</v>
      </c>
      <c r="H114" s="322">
        <v>12</v>
      </c>
      <c r="I114" s="322">
        <f t="shared" si="4"/>
        <v>0</v>
      </c>
      <c r="J114" s="335">
        <f>+IFERROR(VLOOKUP(B114,#REF!,3,0),IFERROR(VLOOKUP(B114,#REF!,3,0),0))</f>
        <v>0</v>
      </c>
    </row>
    <row r="115" spans="1:10" ht="18" x14ac:dyDescent="0.35">
      <c r="A115" s="396">
        <v>395</v>
      </c>
      <c r="B115" s="439">
        <v>395</v>
      </c>
      <c r="C115" s="322">
        <f>+IFERROR(VLOOKUP(B115,'Stock ISIS LK'!A:D,4,0),IFERROR(VLOOKUP(B115,'Stock ISIS CH'!A:D,4,0),0))</f>
        <v>0</v>
      </c>
      <c r="D115" s="322">
        <f t="shared" si="0"/>
        <v>0</v>
      </c>
      <c r="E115" s="335">
        <v>1</v>
      </c>
      <c r="G115" s="399">
        <f t="shared" si="3"/>
        <v>0</v>
      </c>
      <c r="H115" s="322">
        <v>12</v>
      </c>
      <c r="I115" s="322">
        <f t="shared" si="4"/>
        <v>0</v>
      </c>
      <c r="J115" s="335">
        <f>+IFERROR(VLOOKUP(B115,#REF!,3,0),IFERROR(VLOOKUP(B115,#REF!,3,0),0))</f>
        <v>0</v>
      </c>
    </row>
    <row r="116" spans="1:10" ht="18" x14ac:dyDescent="0.35">
      <c r="A116" s="396">
        <v>502</v>
      </c>
      <c r="B116" s="439">
        <v>502</v>
      </c>
      <c r="C116" s="322">
        <f>+IFERROR(VLOOKUP(B116,'Stock ISIS LK'!A:D,4,0),IFERROR(VLOOKUP(B116,'Stock ISIS CH'!A:D,4,0),0))</f>
        <v>0</v>
      </c>
      <c r="D116" s="322">
        <f t="shared" si="0"/>
        <v>0</v>
      </c>
      <c r="E116" s="335">
        <v>1</v>
      </c>
      <c r="G116" s="399">
        <f t="shared" si="3"/>
        <v>0</v>
      </c>
      <c r="H116" s="322">
        <v>12</v>
      </c>
      <c r="I116" s="322">
        <f t="shared" si="4"/>
        <v>0</v>
      </c>
      <c r="J116" s="335">
        <f>+IFERROR(VLOOKUP(B116,#REF!,3,0),IFERROR(VLOOKUP(B116,#REF!,3,0),0))</f>
        <v>0</v>
      </c>
    </row>
    <row r="117" spans="1:10" ht="18" x14ac:dyDescent="0.35">
      <c r="A117" s="396">
        <v>501</v>
      </c>
      <c r="B117" s="439">
        <v>501</v>
      </c>
      <c r="C117" s="322">
        <f>+IFERROR(VLOOKUP(B117,'Stock ISIS LK'!A:D,4,0),IFERROR(VLOOKUP(B117,'Stock ISIS CH'!A:D,4,0),0))</f>
        <v>0</v>
      </c>
      <c r="D117" s="322">
        <f t="shared" si="0"/>
        <v>0</v>
      </c>
      <c r="E117" s="335">
        <v>1</v>
      </c>
      <c r="G117" s="399">
        <f t="shared" si="3"/>
        <v>0</v>
      </c>
      <c r="H117" s="322">
        <v>6</v>
      </c>
      <c r="I117" s="322">
        <f t="shared" si="4"/>
        <v>0</v>
      </c>
      <c r="J117" s="335">
        <f>+IFERROR(VLOOKUP(B117,#REF!,3,0),IFERROR(VLOOKUP(B117,#REF!,3,0),0))</f>
        <v>0</v>
      </c>
    </row>
    <row r="118" spans="1:10" ht="18" x14ac:dyDescent="0.35">
      <c r="A118" s="396">
        <v>512</v>
      </c>
      <c r="B118" s="439">
        <v>512</v>
      </c>
      <c r="C118" s="322">
        <f>+IFERROR(VLOOKUP(B118,'Stock ISIS LK'!A:D,4,0),IFERROR(VLOOKUP(B118,'Stock ISIS CH'!A:D,4,0),0))</f>
        <v>0</v>
      </c>
      <c r="D118" s="322">
        <f t="shared" si="0"/>
        <v>0</v>
      </c>
      <c r="E118" s="335">
        <v>1</v>
      </c>
      <c r="G118" s="399">
        <f t="shared" si="3"/>
        <v>0</v>
      </c>
      <c r="H118" s="322">
        <v>12</v>
      </c>
      <c r="I118" s="322">
        <f t="shared" si="4"/>
        <v>0</v>
      </c>
      <c r="J118" s="335">
        <f>+IFERROR(VLOOKUP(B118,#REF!,3,0),IFERROR(VLOOKUP(B118,#REF!,3,0),0))</f>
        <v>0</v>
      </c>
    </row>
    <row r="119" spans="1:10" ht="18" x14ac:dyDescent="0.35">
      <c r="A119" s="396">
        <v>508</v>
      </c>
      <c r="B119" s="439">
        <v>508</v>
      </c>
      <c r="C119" s="322">
        <f>+IFERROR(VLOOKUP(B119,'Stock ISIS LK'!A:D,4,0),IFERROR(VLOOKUP(B119,'Stock ISIS CH'!A:D,4,0),0))</f>
        <v>0</v>
      </c>
      <c r="D119" s="322">
        <f t="shared" si="0"/>
        <v>0</v>
      </c>
      <c r="E119" s="335">
        <v>1</v>
      </c>
      <c r="G119" s="399">
        <f t="shared" si="3"/>
        <v>0</v>
      </c>
      <c r="H119" s="322">
        <v>12</v>
      </c>
      <c r="I119" s="322">
        <f t="shared" si="4"/>
        <v>0</v>
      </c>
      <c r="J119" s="335">
        <f>+IFERROR(VLOOKUP(B119,#REF!,3,0),IFERROR(VLOOKUP(B119,#REF!,3,0),0))</f>
        <v>0</v>
      </c>
    </row>
    <row r="120" spans="1:10" ht="18" x14ac:dyDescent="0.35">
      <c r="A120" s="396">
        <v>507</v>
      </c>
      <c r="B120" s="439">
        <v>507</v>
      </c>
      <c r="C120" s="322">
        <f>+IFERROR(VLOOKUP(B120,'Stock ISIS LK'!A:D,4,0),IFERROR(VLOOKUP(B120,'Stock ISIS CH'!A:D,4,0),0))</f>
        <v>0</v>
      </c>
      <c r="D120" s="322">
        <f t="shared" si="0"/>
        <v>0</v>
      </c>
      <c r="E120" s="335">
        <v>1</v>
      </c>
      <c r="G120" s="399">
        <f t="shared" si="3"/>
        <v>0</v>
      </c>
      <c r="H120" s="322">
        <v>12</v>
      </c>
      <c r="I120" s="322">
        <f t="shared" si="4"/>
        <v>0</v>
      </c>
      <c r="J120" s="335">
        <f>+IFERROR(VLOOKUP(B120,#REF!,3,0),IFERROR(VLOOKUP(B120,#REF!,3,0),0))</f>
        <v>0</v>
      </c>
    </row>
    <row r="121" spans="1:10" ht="18" x14ac:dyDescent="0.35">
      <c r="A121" s="396">
        <v>511</v>
      </c>
      <c r="B121" s="439">
        <v>511</v>
      </c>
      <c r="C121" s="322">
        <f>+IFERROR(VLOOKUP(B121,'Stock ISIS LK'!A:D,4,0),IFERROR(VLOOKUP(B121,'Stock ISIS CH'!A:D,4,0),0))</f>
        <v>0</v>
      </c>
      <c r="D121" s="322">
        <f t="shared" si="0"/>
        <v>0</v>
      </c>
      <c r="E121" s="335">
        <v>1</v>
      </c>
      <c r="G121" s="399">
        <f t="shared" si="3"/>
        <v>0</v>
      </c>
      <c r="H121" s="322">
        <v>12</v>
      </c>
      <c r="I121" s="322">
        <f t="shared" si="4"/>
        <v>0</v>
      </c>
      <c r="J121" s="335">
        <f>+IFERROR(VLOOKUP(B121,#REF!,3,0),IFERROR(VLOOKUP(B121,#REF!,3,0),0))</f>
        <v>0</v>
      </c>
    </row>
    <row r="122" spans="1:10" ht="18" x14ac:dyDescent="0.35">
      <c r="A122" s="396">
        <v>57</v>
      </c>
      <c r="B122" s="439">
        <v>57</v>
      </c>
      <c r="C122" s="322">
        <f>+IFERROR(VLOOKUP(B122,'Stock ISIS LK'!A:D,4,0),IFERROR(VLOOKUP(B122,'Stock ISIS CH'!A:D,4,0),0))</f>
        <v>0</v>
      </c>
      <c r="D122" s="322">
        <f t="shared" si="0"/>
        <v>0</v>
      </c>
      <c r="E122" s="335">
        <v>1</v>
      </c>
      <c r="G122" s="399">
        <f t="shared" si="3"/>
        <v>0</v>
      </c>
      <c r="H122" s="322">
        <v>100</v>
      </c>
      <c r="I122" s="322">
        <f t="shared" si="4"/>
        <v>0</v>
      </c>
      <c r="J122" s="335">
        <f>+IFERROR(VLOOKUP(B122,#REF!,3,0),IFERROR(VLOOKUP(B122,#REF!,3,0),0))</f>
        <v>0</v>
      </c>
    </row>
    <row r="123" spans="1:10" ht="18" x14ac:dyDescent="0.35">
      <c r="A123" s="396">
        <v>229</v>
      </c>
      <c r="B123" s="439">
        <v>229</v>
      </c>
      <c r="C123" s="322">
        <f>+IFERROR(VLOOKUP(B123,'Stock ISIS LK'!A:D,4,0),IFERROR(VLOOKUP(B123,'Stock ISIS CH'!A:D,4,0),0))</f>
        <v>0</v>
      </c>
      <c r="D123" s="322">
        <f t="shared" si="0"/>
        <v>0</v>
      </c>
      <c r="E123" s="335">
        <v>1</v>
      </c>
      <c r="G123" s="399">
        <f t="shared" si="3"/>
        <v>0</v>
      </c>
      <c r="H123" s="322">
        <v>12</v>
      </c>
      <c r="I123" s="322">
        <f t="shared" si="4"/>
        <v>0</v>
      </c>
      <c r="J123" s="335">
        <f>+IFERROR(VLOOKUP(B123,#REF!,3,0),IFERROR(VLOOKUP(B123,#REF!,3,0),0))</f>
        <v>0</v>
      </c>
    </row>
    <row r="124" spans="1:10" ht="18" x14ac:dyDescent="0.35">
      <c r="A124" s="396">
        <v>499</v>
      </c>
      <c r="B124" s="439">
        <v>499</v>
      </c>
      <c r="C124" s="322">
        <f>+IFERROR(VLOOKUP(B124,'Stock ISIS LK'!A:D,4,0),IFERROR(VLOOKUP(B124,'Stock ISIS CH'!A:D,4,0),0))</f>
        <v>0</v>
      </c>
      <c r="D124" s="322">
        <f t="shared" si="0"/>
        <v>0</v>
      </c>
      <c r="E124" s="335">
        <v>1</v>
      </c>
      <c r="G124" s="399">
        <f t="shared" si="3"/>
        <v>0</v>
      </c>
      <c r="H124" s="322">
        <v>12</v>
      </c>
      <c r="I124" s="322">
        <f t="shared" si="4"/>
        <v>0</v>
      </c>
      <c r="J124" s="335">
        <f>+IFERROR(VLOOKUP(B124,#REF!,3,0),IFERROR(VLOOKUP(B124,#REF!,3,0),0))</f>
        <v>0</v>
      </c>
    </row>
    <row r="125" spans="1:10" ht="18" x14ac:dyDescent="0.35">
      <c r="A125" s="396">
        <v>546</v>
      </c>
      <c r="B125" s="439">
        <v>546</v>
      </c>
      <c r="C125" s="322">
        <f>+IFERROR(VLOOKUP(B125,'Stock ISIS LK'!A:D,4,0),IFERROR(VLOOKUP(B125,'Stock ISIS CH'!A:D,4,0),0))</f>
        <v>0</v>
      </c>
      <c r="D125" s="322">
        <f t="shared" si="0"/>
        <v>0</v>
      </c>
      <c r="E125" s="335">
        <v>1</v>
      </c>
      <c r="G125" s="399">
        <f t="shared" si="3"/>
        <v>0</v>
      </c>
      <c r="H125" s="322">
        <v>12</v>
      </c>
      <c r="I125" s="322">
        <f t="shared" si="4"/>
        <v>0</v>
      </c>
      <c r="J125" s="335">
        <f>+IFERROR(VLOOKUP(B125,#REF!,3,0),IFERROR(VLOOKUP(B125,#REF!,3,0),0))</f>
        <v>0</v>
      </c>
    </row>
    <row r="126" spans="1:10" ht="18" x14ac:dyDescent="0.35">
      <c r="A126" s="396">
        <v>396</v>
      </c>
      <c r="B126" s="439">
        <v>396</v>
      </c>
      <c r="C126" s="322">
        <f>+IFERROR(VLOOKUP(B126,'Stock ISIS LK'!A:D,4,0),IFERROR(VLOOKUP(B126,'Stock ISIS CH'!A:D,4,0),0))</f>
        <v>0</v>
      </c>
      <c r="D126" s="322">
        <f t="shared" si="0"/>
        <v>0</v>
      </c>
      <c r="E126" s="335">
        <v>1</v>
      </c>
      <c r="G126" s="399">
        <f t="shared" si="3"/>
        <v>0</v>
      </c>
      <c r="H126" s="322">
        <v>12</v>
      </c>
      <c r="I126" s="322">
        <f t="shared" si="4"/>
        <v>0</v>
      </c>
      <c r="J126" s="335">
        <f>+IFERROR(VLOOKUP(B126,#REF!,3,0),IFERROR(VLOOKUP(B126,#REF!,3,0),0))</f>
        <v>0</v>
      </c>
    </row>
    <row r="127" spans="1:10" ht="18" x14ac:dyDescent="0.35">
      <c r="A127" s="396">
        <v>544</v>
      </c>
      <c r="B127" s="439">
        <v>544</v>
      </c>
      <c r="C127" s="322">
        <f>+IFERROR(VLOOKUP(B127,'Stock ISIS LK'!A:D,4,0),IFERROR(VLOOKUP(B127,'Stock ISIS CH'!A:D,4,0),0))</f>
        <v>0</v>
      </c>
      <c r="D127" s="322">
        <f t="shared" si="0"/>
        <v>0</v>
      </c>
      <c r="E127" s="335">
        <v>1</v>
      </c>
      <c r="G127" s="399">
        <f t="shared" si="3"/>
        <v>0</v>
      </c>
      <c r="H127" s="322">
        <v>12</v>
      </c>
      <c r="I127" s="322">
        <f t="shared" si="4"/>
        <v>0</v>
      </c>
      <c r="J127" s="335">
        <f>+IFERROR(VLOOKUP(B127,#REF!,3,0),IFERROR(VLOOKUP(B127,#REF!,3,0),0))</f>
        <v>0</v>
      </c>
    </row>
    <row r="128" spans="1:10" ht="18" x14ac:dyDescent="0.35">
      <c r="A128" s="396">
        <v>564</v>
      </c>
      <c r="B128" s="439">
        <v>564</v>
      </c>
      <c r="C128" s="322">
        <f>+IFERROR(VLOOKUP(B128,'Stock ISIS LK'!A:D,4,0),IFERROR(VLOOKUP(B128,'Stock ISIS CH'!A:D,4,0),0))</f>
        <v>0</v>
      </c>
      <c r="D128" s="322">
        <f t="shared" si="0"/>
        <v>0</v>
      </c>
      <c r="E128" s="335">
        <v>1</v>
      </c>
      <c r="G128" s="399">
        <f t="shared" si="3"/>
        <v>0</v>
      </c>
      <c r="H128" s="322">
        <v>12</v>
      </c>
      <c r="I128" s="322">
        <f t="shared" si="4"/>
        <v>0</v>
      </c>
      <c r="J128" s="335">
        <f>+IFERROR(VLOOKUP(B128,#REF!,3,0),IFERROR(VLOOKUP(B128,#REF!,3,0),0))</f>
        <v>0</v>
      </c>
    </row>
    <row r="129" spans="1:10" ht="18" x14ac:dyDescent="0.35">
      <c r="A129" s="396">
        <v>504</v>
      </c>
      <c r="B129" s="439">
        <v>504</v>
      </c>
      <c r="C129" s="322">
        <f>+IFERROR(VLOOKUP(B129,'Stock ISIS LK'!A:D,4,0),IFERROR(VLOOKUP(B129,'Stock ISIS CH'!A:D,4,0),0))</f>
        <v>0</v>
      </c>
      <c r="D129" s="322">
        <f t="shared" si="0"/>
        <v>0</v>
      </c>
      <c r="E129" s="335">
        <v>1</v>
      </c>
      <c r="G129" s="399">
        <f t="shared" si="3"/>
        <v>0</v>
      </c>
      <c r="H129" s="322">
        <v>6</v>
      </c>
      <c r="I129" s="322">
        <f t="shared" si="4"/>
        <v>0</v>
      </c>
      <c r="J129" s="335">
        <f>+IFERROR(VLOOKUP(B129,#REF!,3,0),IFERROR(VLOOKUP(B129,#REF!,3,0),0))</f>
        <v>0</v>
      </c>
    </row>
    <row r="130" spans="1:10" ht="18" x14ac:dyDescent="0.35">
      <c r="A130" s="396">
        <v>312</v>
      </c>
      <c r="B130" s="439">
        <v>312</v>
      </c>
      <c r="C130" s="322">
        <f>+IFERROR(VLOOKUP(B130,'Stock ISIS LK'!A:D,4,0),IFERROR(VLOOKUP(B130,'Stock ISIS CH'!A:D,4,0),0))</f>
        <v>0</v>
      </c>
      <c r="D130" s="322">
        <f t="shared" si="0"/>
        <v>0</v>
      </c>
      <c r="E130" s="335">
        <v>1</v>
      </c>
      <c r="G130" s="399">
        <f t="shared" si="3"/>
        <v>0</v>
      </c>
      <c r="H130" s="322">
        <v>12</v>
      </c>
      <c r="I130" s="322">
        <f t="shared" si="4"/>
        <v>0</v>
      </c>
      <c r="J130" s="335">
        <f>+IFERROR(VLOOKUP(B130,#REF!,3,0),IFERROR(VLOOKUP(B130,#REF!,3,0),0))</f>
        <v>0</v>
      </c>
    </row>
    <row r="131" spans="1:10" ht="18" x14ac:dyDescent="0.35">
      <c r="A131" s="396">
        <v>518</v>
      </c>
      <c r="B131" s="439">
        <v>518</v>
      </c>
      <c r="C131" s="322">
        <f>+IFERROR(VLOOKUP(B131,'Stock ISIS LK'!A:D,4,0),IFERROR(VLOOKUP(B131,'Stock ISIS CH'!A:D,4,0),0))</f>
        <v>0</v>
      </c>
      <c r="D131" s="322">
        <f t="shared" si="0"/>
        <v>0</v>
      </c>
      <c r="E131" s="335">
        <v>1</v>
      </c>
      <c r="G131" s="399">
        <f t="shared" si="3"/>
        <v>0</v>
      </c>
      <c r="H131" s="322">
        <v>12</v>
      </c>
      <c r="I131" s="322">
        <f t="shared" si="4"/>
        <v>0</v>
      </c>
      <c r="J131" s="335">
        <f>+IFERROR(VLOOKUP(B131,#REF!,3,0),IFERROR(VLOOKUP(B131,#REF!,3,0),0))</f>
        <v>0</v>
      </c>
    </row>
    <row r="132" spans="1:10" ht="18" x14ac:dyDescent="0.35">
      <c r="A132" s="396">
        <v>551</v>
      </c>
      <c r="B132" s="439">
        <v>551</v>
      </c>
      <c r="C132" s="322">
        <f>+IFERROR(VLOOKUP(B132,'Stock ISIS LK'!A:D,4,0),IFERROR(VLOOKUP(B132,'Stock ISIS CH'!A:D,4,0),0))</f>
        <v>0</v>
      </c>
      <c r="D132" s="322">
        <f t="shared" si="0"/>
        <v>0</v>
      </c>
      <c r="E132" s="335">
        <v>1</v>
      </c>
      <c r="G132" s="399">
        <f t="shared" si="3"/>
        <v>0</v>
      </c>
      <c r="H132" s="322">
        <v>12</v>
      </c>
      <c r="I132" s="322">
        <f t="shared" si="4"/>
        <v>0</v>
      </c>
      <c r="J132" s="335">
        <f>+IFERROR(VLOOKUP(B132,#REF!,3,0),IFERROR(VLOOKUP(B132,#REF!,3,0),0))</f>
        <v>0</v>
      </c>
    </row>
    <row r="133" spans="1:10" ht="18" x14ac:dyDescent="0.35">
      <c r="A133" s="396">
        <v>530</v>
      </c>
      <c r="B133" s="439">
        <v>530</v>
      </c>
      <c r="C133" s="322">
        <f>+IFERROR(VLOOKUP(B133,'Stock ISIS LK'!A:D,4,0),IFERROR(VLOOKUP(B133,'Stock ISIS CH'!A:D,4,0),0))</f>
        <v>0</v>
      </c>
      <c r="D133" s="322">
        <f t="shared" si="0"/>
        <v>0</v>
      </c>
      <c r="E133" s="335">
        <v>1</v>
      </c>
      <c r="G133" s="399">
        <f t="shared" si="3"/>
        <v>0</v>
      </c>
      <c r="H133" s="322">
        <v>12</v>
      </c>
      <c r="I133" s="322">
        <f t="shared" si="4"/>
        <v>0</v>
      </c>
      <c r="J133" s="335">
        <f>+IFERROR(VLOOKUP(B133,#REF!,3,0),IFERROR(VLOOKUP(B133,#REF!,3,0),0))</f>
        <v>0</v>
      </c>
    </row>
    <row r="134" spans="1:10" ht="18" x14ac:dyDescent="0.35">
      <c r="A134" s="396">
        <v>531</v>
      </c>
      <c r="B134" s="439">
        <v>531</v>
      </c>
      <c r="C134" s="322">
        <f>+IFERROR(VLOOKUP(B134,'Stock ISIS LK'!A:D,4,0),IFERROR(VLOOKUP(B134,'Stock ISIS CH'!A:D,4,0),0))</f>
        <v>0</v>
      </c>
      <c r="D134" s="322">
        <f t="shared" si="0"/>
        <v>0</v>
      </c>
      <c r="E134" s="335">
        <v>1</v>
      </c>
      <c r="G134" s="399">
        <f t="shared" ref="G134:G197" si="5">+J134/H134</f>
        <v>0</v>
      </c>
      <c r="H134" s="322">
        <v>12</v>
      </c>
      <c r="I134" s="322">
        <f t="shared" ref="I134:I197" si="6">+G134*H134*E134</f>
        <v>0</v>
      </c>
      <c r="J134" s="335">
        <f>+IFERROR(VLOOKUP(B134,#REF!,3,0),IFERROR(VLOOKUP(B134,#REF!,3,0),0))</f>
        <v>0</v>
      </c>
    </row>
    <row r="135" spans="1:10" ht="18" x14ac:dyDescent="0.35">
      <c r="A135" s="396">
        <v>299</v>
      </c>
      <c r="B135" s="439">
        <v>299</v>
      </c>
      <c r="C135" s="322">
        <f>+IFERROR(VLOOKUP(B135,'Stock ISIS LK'!A:D,4,0),IFERROR(VLOOKUP(B135,'Stock ISIS CH'!A:D,4,0),0))</f>
        <v>0</v>
      </c>
      <c r="D135" s="322">
        <f t="shared" si="0"/>
        <v>0</v>
      </c>
      <c r="E135" s="335">
        <v>1</v>
      </c>
      <c r="G135" s="399">
        <f t="shared" si="5"/>
        <v>0</v>
      </c>
      <c r="H135" s="322">
        <v>12</v>
      </c>
      <c r="I135" s="322">
        <f t="shared" si="6"/>
        <v>0</v>
      </c>
      <c r="J135" s="335">
        <f>+IFERROR(VLOOKUP(B135,#REF!,3,0),IFERROR(VLOOKUP(B135,#REF!,3,0),0))</f>
        <v>0</v>
      </c>
    </row>
    <row r="136" spans="1:10" ht="18" x14ac:dyDescent="0.35">
      <c r="A136" s="396">
        <v>58</v>
      </c>
      <c r="B136" s="439">
        <v>58</v>
      </c>
      <c r="C136" s="322">
        <f>+IFERROR(VLOOKUP(B136,'Stock ISIS LK'!A:D,4,0),IFERROR(VLOOKUP(B136,'Stock ISIS CH'!A:D,4,0),0))</f>
        <v>0</v>
      </c>
      <c r="D136" s="322">
        <f t="shared" si="0"/>
        <v>0</v>
      </c>
      <c r="E136" s="335">
        <v>1</v>
      </c>
      <c r="G136" s="399">
        <f t="shared" si="5"/>
        <v>0</v>
      </c>
      <c r="H136" s="322">
        <v>12</v>
      </c>
      <c r="I136" s="322">
        <f t="shared" si="6"/>
        <v>0</v>
      </c>
      <c r="J136" s="335">
        <f>+IFERROR(VLOOKUP(B136,#REF!,3,0),IFERROR(VLOOKUP(B136,#REF!,3,0),0))</f>
        <v>0</v>
      </c>
    </row>
    <row r="137" spans="1:10" ht="18" x14ac:dyDescent="0.35">
      <c r="A137" s="396">
        <v>517</v>
      </c>
      <c r="B137" s="439">
        <v>517</v>
      </c>
      <c r="C137" s="322">
        <f>+IFERROR(VLOOKUP(B137,'Stock ISIS LK'!A:D,4,0),IFERROR(VLOOKUP(B137,'Stock ISIS CH'!A:D,4,0),0))</f>
        <v>0</v>
      </c>
      <c r="D137" s="322">
        <f t="shared" si="0"/>
        <v>0</v>
      </c>
      <c r="E137" s="335">
        <v>1</v>
      </c>
      <c r="G137" s="399">
        <f t="shared" si="5"/>
        <v>0</v>
      </c>
      <c r="H137" s="322">
        <v>12</v>
      </c>
      <c r="I137" s="322">
        <f t="shared" si="6"/>
        <v>0</v>
      </c>
      <c r="J137" s="335">
        <f>+IFERROR(VLOOKUP(B137,#REF!,3,0),IFERROR(VLOOKUP(B137,#REF!,3,0),0))</f>
        <v>0</v>
      </c>
    </row>
    <row r="138" spans="1:10" ht="18" x14ac:dyDescent="0.35">
      <c r="A138" s="396">
        <v>570</v>
      </c>
      <c r="B138" s="439">
        <v>570</v>
      </c>
      <c r="C138" s="322">
        <f>+IFERROR(VLOOKUP(B138,'Stock ISIS LK'!A:D,4,0),IFERROR(VLOOKUP(B138,'Stock ISIS CH'!A:D,4,0),0))</f>
        <v>0</v>
      </c>
      <c r="D138" s="322">
        <f t="shared" si="0"/>
        <v>0</v>
      </c>
      <c r="E138" s="335">
        <v>1</v>
      </c>
      <c r="G138" s="399">
        <f t="shared" si="5"/>
        <v>0</v>
      </c>
      <c r="H138" s="322">
        <v>24</v>
      </c>
      <c r="I138" s="322">
        <f t="shared" si="6"/>
        <v>0</v>
      </c>
      <c r="J138" s="335">
        <f>+IFERROR(VLOOKUP(B138,#REF!,3,0),IFERROR(VLOOKUP(B138,#REF!,3,0),0))</f>
        <v>0</v>
      </c>
    </row>
    <row r="139" spans="1:10" ht="18" x14ac:dyDescent="0.35">
      <c r="A139" s="396">
        <v>519</v>
      </c>
      <c r="B139" s="439">
        <v>519</v>
      </c>
      <c r="C139" s="322">
        <f>+IFERROR(VLOOKUP(B139,'Stock ISIS LK'!A:D,4,0),IFERROR(VLOOKUP(B139,'Stock ISIS CH'!A:D,4,0),0))</f>
        <v>0</v>
      </c>
      <c r="D139" s="322">
        <f t="shared" si="0"/>
        <v>0</v>
      </c>
      <c r="E139" s="335">
        <v>1</v>
      </c>
      <c r="G139" s="399">
        <f t="shared" si="5"/>
        <v>0</v>
      </c>
      <c r="H139" s="322">
        <v>12</v>
      </c>
      <c r="I139" s="322">
        <f t="shared" si="6"/>
        <v>0</v>
      </c>
      <c r="J139" s="335">
        <f>+IFERROR(VLOOKUP(B139,#REF!,3,0),IFERROR(VLOOKUP(B139,#REF!,3,0),0))</f>
        <v>0</v>
      </c>
    </row>
    <row r="140" spans="1:10" ht="18" x14ac:dyDescent="0.35">
      <c r="A140" s="396">
        <v>332</v>
      </c>
      <c r="B140" s="439">
        <v>332</v>
      </c>
      <c r="C140" s="322">
        <f>+IFERROR(VLOOKUP(B140,'Stock ISIS LK'!A:D,4,0),IFERROR(VLOOKUP(B140,'Stock ISIS CH'!A:D,4,0),0))</f>
        <v>0</v>
      </c>
      <c r="D140" s="322">
        <f t="shared" si="0"/>
        <v>0</v>
      </c>
      <c r="E140" s="335">
        <v>1</v>
      </c>
      <c r="G140" s="399">
        <f t="shared" si="5"/>
        <v>0</v>
      </c>
      <c r="H140" s="322">
        <v>24</v>
      </c>
      <c r="I140" s="322">
        <f t="shared" si="6"/>
        <v>0</v>
      </c>
      <c r="J140" s="335">
        <f>+IFERROR(VLOOKUP(B140,#REF!,3,0),IFERROR(VLOOKUP(B140,#REF!,3,0),0))</f>
        <v>0</v>
      </c>
    </row>
    <row r="141" spans="1:10" ht="18" x14ac:dyDescent="0.35">
      <c r="A141" s="396">
        <v>334</v>
      </c>
      <c r="B141" s="439">
        <v>334</v>
      </c>
      <c r="C141" s="322">
        <f>+IFERROR(VLOOKUP(B141,'Stock ISIS LK'!A:D,4,0),IFERROR(VLOOKUP(B141,'Stock ISIS CH'!A:D,4,0),0))</f>
        <v>0</v>
      </c>
      <c r="D141" s="322">
        <f t="shared" si="0"/>
        <v>0</v>
      </c>
      <c r="E141" s="335">
        <v>1</v>
      </c>
      <c r="G141" s="399">
        <f t="shared" si="5"/>
        <v>0</v>
      </c>
      <c r="H141" s="322">
        <v>24</v>
      </c>
      <c r="I141" s="322">
        <f t="shared" si="6"/>
        <v>0</v>
      </c>
      <c r="J141" s="335">
        <f>+IFERROR(VLOOKUP(B141,#REF!,3,0),IFERROR(VLOOKUP(B141,#REF!,3,0),0))</f>
        <v>0</v>
      </c>
    </row>
    <row r="142" spans="1:10" ht="18" x14ac:dyDescent="0.35">
      <c r="A142" s="396">
        <v>335</v>
      </c>
      <c r="B142" s="439">
        <v>335</v>
      </c>
      <c r="C142" s="322">
        <f>+IFERROR(VLOOKUP(B142,'Stock ISIS LK'!A:D,4,0),IFERROR(VLOOKUP(B142,'Stock ISIS CH'!A:D,4,0),0))</f>
        <v>0</v>
      </c>
      <c r="D142" s="322">
        <f t="shared" ref="D142:D203" si="7">+C142*E142</f>
        <v>0</v>
      </c>
      <c r="E142" s="335">
        <v>1</v>
      </c>
      <c r="G142" s="399">
        <f t="shared" si="5"/>
        <v>0</v>
      </c>
      <c r="H142" s="322">
        <v>24</v>
      </c>
      <c r="I142" s="322">
        <f t="shared" si="6"/>
        <v>0</v>
      </c>
      <c r="J142" s="335">
        <f>+IFERROR(VLOOKUP(B142,#REF!,3,0),IFERROR(VLOOKUP(B142,#REF!,3,0),0))</f>
        <v>0</v>
      </c>
    </row>
    <row r="143" spans="1:10" ht="18" x14ac:dyDescent="0.35">
      <c r="A143" s="396">
        <v>336</v>
      </c>
      <c r="B143" s="439">
        <v>336</v>
      </c>
      <c r="C143" s="322">
        <f>+IFERROR(VLOOKUP(B143,'Stock ISIS LK'!A:D,4,0),IFERROR(VLOOKUP(B143,'Stock ISIS CH'!A:D,4,0),0))</f>
        <v>0</v>
      </c>
      <c r="D143" s="322">
        <f t="shared" si="7"/>
        <v>0</v>
      </c>
      <c r="E143" s="335">
        <v>1</v>
      </c>
      <c r="G143" s="399">
        <f t="shared" si="5"/>
        <v>0</v>
      </c>
      <c r="H143" s="322">
        <v>12</v>
      </c>
      <c r="I143" s="322">
        <f t="shared" si="6"/>
        <v>0</v>
      </c>
      <c r="J143" s="335">
        <f>+IFERROR(VLOOKUP(B143,#REF!,3,0),IFERROR(VLOOKUP(B143,#REF!,3,0),0))</f>
        <v>0</v>
      </c>
    </row>
    <row r="144" spans="1:10" ht="18" x14ac:dyDescent="0.35">
      <c r="A144" s="396">
        <v>337</v>
      </c>
      <c r="B144" s="439">
        <v>337</v>
      </c>
      <c r="C144" s="322">
        <f>+IFERROR(VLOOKUP(B144,'Stock ISIS LK'!A:D,4,0),IFERROR(VLOOKUP(B144,'Stock ISIS CH'!A:D,4,0),0))</f>
        <v>0</v>
      </c>
      <c r="D144" s="322">
        <f t="shared" si="7"/>
        <v>0</v>
      </c>
      <c r="E144" s="335">
        <v>1</v>
      </c>
      <c r="G144" s="399">
        <f t="shared" si="5"/>
        <v>0</v>
      </c>
      <c r="H144" s="322">
        <v>24</v>
      </c>
      <c r="I144" s="322">
        <f t="shared" si="6"/>
        <v>0</v>
      </c>
      <c r="J144" s="335">
        <f>+IFERROR(VLOOKUP(B144,#REF!,3,0),IFERROR(VLOOKUP(B144,#REF!,3,0),0))</f>
        <v>0</v>
      </c>
    </row>
    <row r="145" spans="1:10" ht="18" x14ac:dyDescent="0.35">
      <c r="A145" s="396">
        <v>338</v>
      </c>
      <c r="B145" s="439">
        <v>338</v>
      </c>
      <c r="C145" s="322">
        <f>+IFERROR(VLOOKUP(B145,'Stock ISIS LK'!A:D,4,0),IFERROR(VLOOKUP(B145,'Stock ISIS CH'!A:D,4,0),0))</f>
        <v>0</v>
      </c>
      <c r="D145" s="322">
        <f t="shared" si="7"/>
        <v>0</v>
      </c>
      <c r="E145" s="335">
        <v>1</v>
      </c>
      <c r="G145" s="399">
        <f t="shared" si="5"/>
        <v>0</v>
      </c>
      <c r="H145" s="322">
        <v>24</v>
      </c>
      <c r="I145" s="322">
        <f t="shared" si="6"/>
        <v>0</v>
      </c>
      <c r="J145" s="335">
        <f>+IFERROR(VLOOKUP(B145,#REF!,3,0),IFERROR(VLOOKUP(B145,#REF!,3,0),0))</f>
        <v>0</v>
      </c>
    </row>
    <row r="146" spans="1:10" ht="18" x14ac:dyDescent="0.35">
      <c r="A146" s="396">
        <v>389</v>
      </c>
      <c r="B146" s="439">
        <v>389</v>
      </c>
      <c r="C146" s="322">
        <f>+IFERROR(VLOOKUP(B146,'Stock ISIS LK'!A:D,4,0),IFERROR(VLOOKUP(B146,'Stock ISIS CH'!A:D,4,0),0))</f>
        <v>0</v>
      </c>
      <c r="D146" s="322">
        <f t="shared" si="7"/>
        <v>0</v>
      </c>
      <c r="E146" s="335">
        <v>1</v>
      </c>
      <c r="G146" s="399">
        <f t="shared" si="5"/>
        <v>0</v>
      </c>
      <c r="H146" s="322">
        <v>12</v>
      </c>
      <c r="I146" s="322">
        <f t="shared" si="6"/>
        <v>0</v>
      </c>
      <c r="J146" s="335">
        <f>+IFERROR(VLOOKUP(B146,#REF!,3,0),IFERROR(VLOOKUP(B146,#REF!,3,0),0))</f>
        <v>0</v>
      </c>
    </row>
    <row r="147" spans="1:10" ht="18" x14ac:dyDescent="0.35">
      <c r="A147" s="396">
        <v>390</v>
      </c>
      <c r="B147" s="439">
        <v>390</v>
      </c>
      <c r="C147" s="322">
        <f>+IFERROR(VLOOKUP(B147,'Stock ISIS LK'!A:D,4,0),IFERROR(VLOOKUP(B147,'Stock ISIS CH'!A:D,4,0),0))</f>
        <v>0</v>
      </c>
      <c r="D147" s="322">
        <f t="shared" si="7"/>
        <v>0</v>
      </c>
      <c r="E147" s="335">
        <v>1</v>
      </c>
      <c r="G147" s="399">
        <f t="shared" si="5"/>
        <v>0</v>
      </c>
      <c r="H147" s="322">
        <v>24</v>
      </c>
      <c r="I147" s="322">
        <f t="shared" si="6"/>
        <v>0</v>
      </c>
      <c r="J147" s="335">
        <f>+IFERROR(VLOOKUP(B147,#REF!,3,0),IFERROR(VLOOKUP(B147,#REF!,3,0),0))</f>
        <v>0</v>
      </c>
    </row>
    <row r="148" spans="1:10" ht="18" x14ac:dyDescent="0.35">
      <c r="A148" s="396">
        <v>315</v>
      </c>
      <c r="B148" s="439">
        <v>315</v>
      </c>
      <c r="C148" s="322">
        <f>+IFERROR(VLOOKUP(B148,'Stock ISIS LK'!A:D,4,0),IFERROR(VLOOKUP(B148,'Stock ISIS CH'!A:D,4,0),0))</f>
        <v>0</v>
      </c>
      <c r="D148" s="322">
        <f t="shared" si="7"/>
        <v>0</v>
      </c>
      <c r="E148" s="335">
        <v>1</v>
      </c>
      <c r="G148" s="399">
        <f t="shared" si="5"/>
        <v>0</v>
      </c>
      <c r="H148" s="322">
        <v>12</v>
      </c>
      <c r="I148" s="322">
        <f t="shared" si="6"/>
        <v>0</v>
      </c>
      <c r="J148" s="335">
        <f>+IFERROR(VLOOKUP(B148,#REF!,3,0),IFERROR(VLOOKUP(B148,#REF!,3,0),0))</f>
        <v>0</v>
      </c>
    </row>
    <row r="149" spans="1:10" ht="18" x14ac:dyDescent="0.35">
      <c r="A149" s="396">
        <v>355</v>
      </c>
      <c r="B149" s="439">
        <v>355</v>
      </c>
      <c r="C149" s="322">
        <f>+IFERROR(VLOOKUP(B149,'Stock ISIS LK'!A:D,4,0),IFERROR(VLOOKUP(B149,'Stock ISIS CH'!A:D,4,0),0))</f>
        <v>0</v>
      </c>
      <c r="D149" s="322">
        <f t="shared" si="7"/>
        <v>0</v>
      </c>
      <c r="E149" s="335">
        <v>1</v>
      </c>
      <c r="G149" s="399">
        <f t="shared" si="5"/>
        <v>0</v>
      </c>
      <c r="H149" s="322">
        <v>24</v>
      </c>
      <c r="I149" s="322">
        <f t="shared" si="6"/>
        <v>0</v>
      </c>
      <c r="J149" s="335">
        <f>+IFERROR(VLOOKUP(B149,#REF!,3,0),IFERROR(VLOOKUP(B149,#REF!,3,0),0))</f>
        <v>0</v>
      </c>
    </row>
    <row r="150" spans="1:10" ht="18" x14ac:dyDescent="0.35">
      <c r="A150" s="396">
        <v>223</v>
      </c>
      <c r="B150" s="439">
        <v>223</v>
      </c>
      <c r="C150" s="322">
        <f>+IFERROR(VLOOKUP(B150,'Stock ISIS LK'!A:D,4,0),IFERROR(VLOOKUP(B150,'Stock ISIS CH'!A:D,4,0),0))</f>
        <v>0</v>
      </c>
      <c r="D150" s="322">
        <f t="shared" si="7"/>
        <v>0</v>
      </c>
      <c r="E150" s="335">
        <v>1</v>
      </c>
      <c r="G150" s="399">
        <f t="shared" si="5"/>
        <v>0</v>
      </c>
      <c r="H150" s="322">
        <v>12</v>
      </c>
      <c r="I150" s="322">
        <f t="shared" si="6"/>
        <v>0</v>
      </c>
      <c r="J150" s="335">
        <f>+IFERROR(VLOOKUP(B150,#REF!,3,0),IFERROR(VLOOKUP(B150,#REF!,3,0),0))</f>
        <v>0</v>
      </c>
    </row>
    <row r="151" spans="1:10" ht="18" x14ac:dyDescent="0.35">
      <c r="A151" s="396">
        <v>222</v>
      </c>
      <c r="B151" s="439">
        <v>222</v>
      </c>
      <c r="C151" s="322">
        <f>+IFERROR(VLOOKUP(B151,'Stock ISIS LK'!A:D,4,0),IFERROR(VLOOKUP(B151,'Stock ISIS CH'!A:D,4,0),0))</f>
        <v>0</v>
      </c>
      <c r="D151" s="322">
        <f t="shared" si="7"/>
        <v>0</v>
      </c>
      <c r="E151" s="335">
        <v>1</v>
      </c>
      <c r="G151" s="399">
        <f t="shared" si="5"/>
        <v>0</v>
      </c>
      <c r="H151" s="322">
        <v>12</v>
      </c>
      <c r="I151" s="322">
        <f t="shared" si="6"/>
        <v>0</v>
      </c>
      <c r="J151" s="335">
        <f>+IFERROR(VLOOKUP(B151,#REF!,3,0),IFERROR(VLOOKUP(B151,#REF!,3,0),0))</f>
        <v>0</v>
      </c>
    </row>
    <row r="152" spans="1:10" ht="18" x14ac:dyDescent="0.35">
      <c r="A152" s="396">
        <v>221</v>
      </c>
      <c r="B152" s="439">
        <v>221</v>
      </c>
      <c r="C152" s="322">
        <f>+IFERROR(VLOOKUP(B152,'Stock ISIS LK'!A:D,4,0),IFERROR(VLOOKUP(B152,'Stock ISIS CH'!A:D,4,0),0))</f>
        <v>0</v>
      </c>
      <c r="D152" s="322">
        <f t="shared" si="7"/>
        <v>0</v>
      </c>
      <c r="E152" s="335">
        <v>1</v>
      </c>
      <c r="G152" s="399">
        <f t="shared" si="5"/>
        <v>0</v>
      </c>
      <c r="H152" s="322">
        <v>12</v>
      </c>
      <c r="I152" s="322">
        <f t="shared" si="6"/>
        <v>0</v>
      </c>
      <c r="J152" s="335">
        <f>+IFERROR(VLOOKUP(B152,#REF!,3,0),IFERROR(VLOOKUP(B152,#REF!,3,0),0))</f>
        <v>0</v>
      </c>
    </row>
    <row r="153" spans="1:10" ht="18" x14ac:dyDescent="0.35">
      <c r="A153" s="396">
        <v>224</v>
      </c>
      <c r="B153" s="439">
        <v>224</v>
      </c>
      <c r="C153" s="322">
        <f>+IFERROR(VLOOKUP(B153,'Stock ISIS LK'!A:D,4,0),IFERROR(VLOOKUP(B153,'Stock ISIS CH'!A:D,4,0),0))</f>
        <v>0</v>
      </c>
      <c r="D153" s="322">
        <f t="shared" si="7"/>
        <v>0</v>
      </c>
      <c r="E153" s="335">
        <v>1</v>
      </c>
      <c r="G153" s="399">
        <f t="shared" si="5"/>
        <v>0</v>
      </c>
      <c r="H153" s="322">
        <v>12</v>
      </c>
      <c r="I153" s="322">
        <f t="shared" si="6"/>
        <v>0</v>
      </c>
      <c r="J153" s="335">
        <f>+IFERROR(VLOOKUP(B153,#REF!,3,0),IFERROR(VLOOKUP(B153,#REF!,3,0),0))</f>
        <v>0</v>
      </c>
    </row>
    <row r="154" spans="1:10" ht="18" x14ac:dyDescent="0.35">
      <c r="A154" s="396">
        <v>220</v>
      </c>
      <c r="B154" s="439">
        <v>220</v>
      </c>
      <c r="C154" s="322">
        <f>+IFERROR(VLOOKUP(B154,'Stock ISIS LK'!A:D,4,0),IFERROR(VLOOKUP(B154,'Stock ISIS CH'!A:D,4,0),0))</f>
        <v>0</v>
      </c>
      <c r="D154" s="322">
        <f t="shared" si="7"/>
        <v>0</v>
      </c>
      <c r="E154" s="335">
        <v>1</v>
      </c>
      <c r="G154" s="399">
        <f t="shared" si="5"/>
        <v>0</v>
      </c>
      <c r="H154" s="322">
        <v>12</v>
      </c>
      <c r="I154" s="322">
        <f t="shared" si="6"/>
        <v>0</v>
      </c>
      <c r="J154" s="335">
        <f>+IFERROR(VLOOKUP(B154,#REF!,3,0),IFERROR(VLOOKUP(B154,#REF!,3,0),0))</f>
        <v>0</v>
      </c>
    </row>
    <row r="155" spans="1:10" ht="18" x14ac:dyDescent="0.35">
      <c r="A155" s="396">
        <v>392</v>
      </c>
      <c r="B155" s="439">
        <v>392</v>
      </c>
      <c r="C155" s="322">
        <f>+IFERROR(VLOOKUP(B155,'Stock ISIS LK'!A:D,4,0),IFERROR(VLOOKUP(B155,'Stock ISIS CH'!A:D,4,0),0))</f>
        <v>0</v>
      </c>
      <c r="D155" s="322">
        <f t="shared" si="7"/>
        <v>0</v>
      </c>
      <c r="E155" s="335">
        <v>1</v>
      </c>
      <c r="G155" s="399">
        <f t="shared" si="5"/>
        <v>0</v>
      </c>
      <c r="H155" s="322">
        <v>24</v>
      </c>
      <c r="I155" s="322">
        <f t="shared" si="6"/>
        <v>0</v>
      </c>
      <c r="J155" s="335">
        <f>+IFERROR(VLOOKUP(B155,#REF!,3,0),IFERROR(VLOOKUP(B155,#REF!,3,0),0))</f>
        <v>0</v>
      </c>
    </row>
    <row r="156" spans="1:10" ht="18" x14ac:dyDescent="0.35">
      <c r="A156" s="396">
        <v>394</v>
      </c>
      <c r="B156" s="439">
        <v>394</v>
      </c>
      <c r="C156" s="322">
        <f>+IFERROR(VLOOKUP(B156,'Stock ISIS LK'!A:D,4,0),IFERROR(VLOOKUP(B156,'Stock ISIS CH'!A:D,4,0),0))</f>
        <v>0</v>
      </c>
      <c r="D156" s="322">
        <f t="shared" si="7"/>
        <v>0</v>
      </c>
      <c r="E156" s="335">
        <v>1</v>
      </c>
      <c r="G156" s="399">
        <f t="shared" si="5"/>
        <v>0</v>
      </c>
      <c r="H156" s="322">
        <v>24</v>
      </c>
      <c r="I156" s="322">
        <f t="shared" si="6"/>
        <v>0</v>
      </c>
      <c r="J156" s="335">
        <f>+IFERROR(VLOOKUP(B156,#REF!,3,0),IFERROR(VLOOKUP(B156,#REF!,3,0),0))</f>
        <v>0</v>
      </c>
    </row>
    <row r="157" spans="1:10" ht="18" x14ac:dyDescent="0.35">
      <c r="A157" s="396">
        <v>391</v>
      </c>
      <c r="B157" s="439">
        <v>391</v>
      </c>
      <c r="C157" s="322">
        <f>+IFERROR(VLOOKUP(B157,'Stock ISIS LK'!A:D,4,0),IFERROR(VLOOKUP(B157,'Stock ISIS CH'!A:D,4,0),0))</f>
        <v>0</v>
      </c>
      <c r="D157" s="322">
        <f t="shared" si="7"/>
        <v>0</v>
      </c>
      <c r="E157" s="335">
        <v>1</v>
      </c>
      <c r="G157" s="399">
        <f t="shared" si="5"/>
        <v>0</v>
      </c>
      <c r="H157" s="322">
        <v>24</v>
      </c>
      <c r="I157" s="322">
        <f t="shared" si="6"/>
        <v>0</v>
      </c>
      <c r="J157" s="335">
        <f>+IFERROR(VLOOKUP(B157,#REF!,3,0),IFERROR(VLOOKUP(B157,#REF!,3,0),0))</f>
        <v>0</v>
      </c>
    </row>
    <row r="158" spans="1:10" ht="18" x14ac:dyDescent="0.35">
      <c r="A158" s="396">
        <v>393</v>
      </c>
      <c r="B158" s="439">
        <v>393</v>
      </c>
      <c r="C158" s="322">
        <f>+IFERROR(VLOOKUP(B158,'Stock ISIS LK'!A:D,4,0),IFERROR(VLOOKUP(B158,'Stock ISIS CH'!A:D,4,0),0))</f>
        <v>0</v>
      </c>
      <c r="D158" s="322">
        <f t="shared" si="7"/>
        <v>0</v>
      </c>
      <c r="E158" s="335">
        <v>1</v>
      </c>
      <c r="G158" s="399">
        <f t="shared" si="5"/>
        <v>0</v>
      </c>
      <c r="H158" s="322">
        <v>24</v>
      </c>
      <c r="I158" s="322">
        <f t="shared" si="6"/>
        <v>0</v>
      </c>
      <c r="J158" s="335">
        <f>+IFERROR(VLOOKUP(B158,#REF!,3,0),IFERROR(VLOOKUP(B158,#REF!,3,0),0))</f>
        <v>0</v>
      </c>
    </row>
    <row r="159" spans="1:10" ht="18" x14ac:dyDescent="0.35">
      <c r="A159" s="396">
        <v>325</v>
      </c>
      <c r="B159" s="439">
        <v>325</v>
      </c>
      <c r="C159" s="322">
        <f>+IFERROR(VLOOKUP(B159,'Stock ISIS LK'!A:D,4,0),IFERROR(VLOOKUP(B159,'Stock ISIS CH'!A:D,4,0),0))</f>
        <v>0</v>
      </c>
      <c r="D159" s="322">
        <f t="shared" si="7"/>
        <v>0</v>
      </c>
      <c r="E159" s="335">
        <v>1</v>
      </c>
      <c r="G159" s="399">
        <f t="shared" si="5"/>
        <v>0</v>
      </c>
      <c r="H159" s="322">
        <v>24</v>
      </c>
      <c r="I159" s="322">
        <f t="shared" si="6"/>
        <v>0</v>
      </c>
      <c r="J159" s="335">
        <f>+IFERROR(VLOOKUP(B159,#REF!,3,0),IFERROR(VLOOKUP(B159,#REF!,3,0),0))</f>
        <v>0</v>
      </c>
    </row>
    <row r="160" spans="1:10" ht="18" x14ac:dyDescent="0.35">
      <c r="A160" s="396">
        <v>862</v>
      </c>
      <c r="B160" s="439">
        <v>862</v>
      </c>
      <c r="C160" s="322">
        <f>+IFERROR(VLOOKUP(B160,'Stock ISIS LK'!A:D,4,0),IFERROR(VLOOKUP(B160,'Stock ISIS CH'!A:D,4,0),0))</f>
        <v>0</v>
      </c>
      <c r="D160" s="322">
        <f t="shared" si="7"/>
        <v>0</v>
      </c>
      <c r="E160" s="335">
        <v>1</v>
      </c>
      <c r="G160" s="399">
        <f t="shared" si="5"/>
        <v>0</v>
      </c>
      <c r="H160" s="322">
        <v>12</v>
      </c>
      <c r="I160" s="322">
        <f t="shared" si="6"/>
        <v>0</v>
      </c>
      <c r="J160" s="335">
        <f>+IFERROR(VLOOKUP(B160,#REF!,3,0),IFERROR(VLOOKUP(B160,#REF!,3,0),0))</f>
        <v>0</v>
      </c>
    </row>
    <row r="161" spans="1:10" ht="18" x14ac:dyDescent="0.35">
      <c r="A161" s="396">
        <v>859</v>
      </c>
      <c r="B161" s="439">
        <v>859</v>
      </c>
      <c r="C161" s="322">
        <f>+IFERROR(VLOOKUP(B161,'Stock ISIS LK'!A:D,4,0),IFERROR(VLOOKUP(B161,'Stock ISIS CH'!A:D,4,0),0))</f>
        <v>0</v>
      </c>
      <c r="D161" s="322">
        <f t="shared" si="7"/>
        <v>0</v>
      </c>
      <c r="E161" s="335">
        <v>1</v>
      </c>
      <c r="G161" s="399">
        <f t="shared" si="5"/>
        <v>0</v>
      </c>
      <c r="H161" s="322">
        <v>12</v>
      </c>
      <c r="I161" s="322">
        <f t="shared" si="6"/>
        <v>0</v>
      </c>
      <c r="J161" s="335">
        <f>+IFERROR(VLOOKUP(B161,#REF!,3,0),IFERROR(VLOOKUP(B161,#REF!,3,0),0))</f>
        <v>0</v>
      </c>
    </row>
    <row r="162" spans="1:10" ht="18" x14ac:dyDescent="0.35">
      <c r="A162" s="396">
        <v>720</v>
      </c>
      <c r="B162" s="439">
        <v>720</v>
      </c>
      <c r="C162" s="322">
        <f>+IFERROR(VLOOKUP(B162,'Stock ISIS LK'!A:D,4,0),IFERROR(VLOOKUP(B162,'Stock ISIS CH'!A:D,4,0),0))</f>
        <v>0</v>
      </c>
      <c r="D162" s="322">
        <f t="shared" si="7"/>
        <v>0</v>
      </c>
      <c r="E162" s="335">
        <v>1</v>
      </c>
      <c r="G162" s="399">
        <f t="shared" si="5"/>
        <v>0</v>
      </c>
      <c r="H162" s="322">
        <v>12</v>
      </c>
      <c r="I162" s="322">
        <f t="shared" si="6"/>
        <v>0</v>
      </c>
      <c r="J162" s="335">
        <f>+IFERROR(VLOOKUP(B162,#REF!,3,0),IFERROR(VLOOKUP(B162,#REF!,3,0),0))</f>
        <v>0</v>
      </c>
    </row>
    <row r="163" spans="1:10" ht="18" x14ac:dyDescent="0.35">
      <c r="A163" s="396">
        <v>722</v>
      </c>
      <c r="B163" s="439">
        <v>722</v>
      </c>
      <c r="C163" s="322">
        <f>+IFERROR(VLOOKUP(B163,'Stock ISIS LK'!A:D,4,0),IFERROR(VLOOKUP(B163,'Stock ISIS CH'!A:D,4,0),0))</f>
        <v>0</v>
      </c>
      <c r="D163" s="322">
        <f t="shared" si="7"/>
        <v>0</v>
      </c>
      <c r="E163" s="335">
        <v>1</v>
      </c>
      <c r="G163" s="399">
        <f t="shared" si="5"/>
        <v>0</v>
      </c>
      <c r="H163" s="322">
        <v>12</v>
      </c>
      <c r="I163" s="322">
        <f t="shared" si="6"/>
        <v>0</v>
      </c>
      <c r="J163" s="335">
        <f>+IFERROR(VLOOKUP(B163,#REF!,3,0),IFERROR(VLOOKUP(B163,#REF!,3,0),0))</f>
        <v>0</v>
      </c>
    </row>
    <row r="164" spans="1:10" ht="18" x14ac:dyDescent="0.35">
      <c r="A164" s="396">
        <v>54</v>
      </c>
      <c r="B164" s="439">
        <v>54</v>
      </c>
      <c r="C164" s="322">
        <f>+IFERROR(VLOOKUP(B164,'Stock ISIS LK'!A:D,4,0),IFERROR(VLOOKUP(B164,'Stock ISIS CH'!A:D,4,0),0))</f>
        <v>0</v>
      </c>
      <c r="D164" s="322">
        <f t="shared" si="7"/>
        <v>0</v>
      </c>
      <c r="E164" s="335">
        <v>1</v>
      </c>
      <c r="G164" s="399">
        <f t="shared" si="5"/>
        <v>0</v>
      </c>
      <c r="H164" s="322">
        <v>12</v>
      </c>
      <c r="I164" s="322">
        <f t="shared" si="6"/>
        <v>0</v>
      </c>
      <c r="J164" s="335">
        <f>+IFERROR(VLOOKUP(B164,#REF!,3,0),IFERROR(VLOOKUP(B164,#REF!,3,0),0))</f>
        <v>0</v>
      </c>
    </row>
    <row r="165" spans="1:10" ht="18" x14ac:dyDescent="0.35">
      <c r="A165" s="396">
        <v>702</v>
      </c>
      <c r="B165" s="439">
        <v>702</v>
      </c>
      <c r="C165" s="322">
        <f>+IFERROR(VLOOKUP(B165,'Stock ISIS LK'!A:D,4,0),IFERROR(VLOOKUP(B165,'Stock ISIS CH'!A:D,4,0),0))</f>
        <v>0</v>
      </c>
      <c r="D165" s="322">
        <f t="shared" si="7"/>
        <v>0</v>
      </c>
      <c r="E165" s="335">
        <v>1</v>
      </c>
      <c r="G165" s="399">
        <f t="shared" si="5"/>
        <v>0</v>
      </c>
      <c r="H165" s="322">
        <v>12</v>
      </c>
      <c r="I165" s="322">
        <f t="shared" si="6"/>
        <v>0</v>
      </c>
      <c r="J165" s="335">
        <f>+IFERROR(VLOOKUP(B165,#REF!,3,0),IFERROR(VLOOKUP(B165,#REF!,3,0),0))</f>
        <v>0</v>
      </c>
    </row>
    <row r="166" spans="1:10" ht="18" x14ac:dyDescent="0.35">
      <c r="A166" s="396">
        <v>707</v>
      </c>
      <c r="B166" s="439">
        <v>707</v>
      </c>
      <c r="C166" s="322">
        <f>+IFERROR(VLOOKUP(B166,'Stock ISIS LK'!A:D,4,0),IFERROR(VLOOKUP(B166,'Stock ISIS CH'!A:D,4,0),0))</f>
        <v>0</v>
      </c>
      <c r="D166" s="322">
        <f t="shared" si="7"/>
        <v>0</v>
      </c>
      <c r="E166" s="335">
        <v>1</v>
      </c>
      <c r="G166" s="399">
        <f t="shared" si="5"/>
        <v>0</v>
      </c>
      <c r="H166" s="322">
        <v>12</v>
      </c>
      <c r="I166" s="322">
        <f t="shared" si="6"/>
        <v>0</v>
      </c>
      <c r="J166" s="335">
        <f>+IFERROR(VLOOKUP(B166,#REF!,3,0),IFERROR(VLOOKUP(B166,#REF!,3,0),0))</f>
        <v>0</v>
      </c>
    </row>
    <row r="167" spans="1:10" ht="18" x14ac:dyDescent="0.35">
      <c r="A167" s="396">
        <v>701</v>
      </c>
      <c r="B167" s="439">
        <v>701</v>
      </c>
      <c r="C167" s="322">
        <f>+IFERROR(VLOOKUP(B167,'Stock ISIS LK'!A:D,4,0),IFERROR(VLOOKUP(B167,'Stock ISIS CH'!A:D,4,0),0))</f>
        <v>0</v>
      </c>
      <c r="D167" s="322">
        <f t="shared" si="7"/>
        <v>0</v>
      </c>
      <c r="E167" s="335">
        <v>1</v>
      </c>
      <c r="G167" s="399">
        <f t="shared" si="5"/>
        <v>0</v>
      </c>
      <c r="H167" s="322">
        <v>6</v>
      </c>
      <c r="I167" s="322">
        <f t="shared" si="6"/>
        <v>0</v>
      </c>
      <c r="J167" s="335">
        <f>+IFERROR(VLOOKUP(B167,#REF!,3,0),IFERROR(VLOOKUP(B167,#REF!,3,0),0))</f>
        <v>0</v>
      </c>
    </row>
    <row r="168" spans="1:10" ht="18" x14ac:dyDescent="0.35">
      <c r="A168" s="396">
        <v>710</v>
      </c>
      <c r="B168" s="439">
        <v>710</v>
      </c>
      <c r="C168" s="322">
        <f>+IFERROR(VLOOKUP(B168,'Stock ISIS LK'!A:D,4,0),IFERROR(VLOOKUP(B168,'Stock ISIS CH'!A:D,4,0),0))</f>
        <v>0</v>
      </c>
      <c r="D168" s="322">
        <f t="shared" si="7"/>
        <v>0</v>
      </c>
      <c r="E168" s="335">
        <v>1</v>
      </c>
      <c r="G168" s="399">
        <f t="shared" si="5"/>
        <v>0</v>
      </c>
      <c r="H168" s="322">
        <v>12</v>
      </c>
      <c r="I168" s="322">
        <f t="shared" si="6"/>
        <v>0</v>
      </c>
      <c r="J168" s="335">
        <f>+IFERROR(VLOOKUP(B168,#REF!,3,0),IFERROR(VLOOKUP(B168,#REF!,3,0),0))</f>
        <v>0</v>
      </c>
    </row>
    <row r="169" spans="1:10" ht="18" x14ac:dyDescent="0.35">
      <c r="A169" s="396">
        <v>723</v>
      </c>
      <c r="B169" s="439">
        <v>723</v>
      </c>
      <c r="C169" s="322">
        <f>+IFERROR(VLOOKUP(B169,'Stock ISIS LK'!A:D,4,0),IFERROR(VLOOKUP(B169,'Stock ISIS CH'!A:D,4,0),0))</f>
        <v>0</v>
      </c>
      <c r="D169" s="322">
        <f t="shared" si="7"/>
        <v>0</v>
      </c>
      <c r="E169" s="335">
        <v>1</v>
      </c>
      <c r="G169" s="399">
        <f t="shared" si="5"/>
        <v>0</v>
      </c>
      <c r="H169" s="322">
        <v>12</v>
      </c>
      <c r="I169" s="322">
        <f t="shared" si="6"/>
        <v>0</v>
      </c>
      <c r="J169" s="335">
        <f>+IFERROR(VLOOKUP(B169,#REF!,3,0),IFERROR(VLOOKUP(B169,#REF!,3,0),0))</f>
        <v>0</v>
      </c>
    </row>
    <row r="170" spans="1:10" ht="18" x14ac:dyDescent="0.35">
      <c r="A170" s="396">
        <v>864</v>
      </c>
      <c r="B170" s="439">
        <v>864</v>
      </c>
      <c r="C170" s="322">
        <f>+IFERROR(VLOOKUP(B170,'Stock ISIS LK'!A:D,4,0),IFERROR(VLOOKUP(B170,'Stock ISIS CH'!A:D,4,0),0))</f>
        <v>0</v>
      </c>
      <c r="D170" s="322">
        <f t="shared" si="7"/>
        <v>0</v>
      </c>
      <c r="E170" s="335">
        <v>1</v>
      </c>
      <c r="G170" s="399">
        <f t="shared" si="5"/>
        <v>0</v>
      </c>
      <c r="H170" s="322">
        <v>12</v>
      </c>
      <c r="I170" s="322">
        <f t="shared" si="6"/>
        <v>0</v>
      </c>
      <c r="J170" s="335">
        <f>+IFERROR(VLOOKUP(B170,#REF!,3,0),IFERROR(VLOOKUP(B170,#REF!,3,0),0))</f>
        <v>0</v>
      </c>
    </row>
    <row r="171" spans="1:10" ht="18" x14ac:dyDescent="0.35">
      <c r="A171" s="396">
        <v>724</v>
      </c>
      <c r="B171" s="439">
        <v>724</v>
      </c>
      <c r="C171" s="322">
        <f>+IFERROR(VLOOKUP(B171,'Stock ISIS LK'!A:D,4,0),IFERROR(VLOOKUP(B171,'Stock ISIS CH'!A:D,4,0),0))</f>
        <v>0</v>
      </c>
      <c r="D171" s="322">
        <f t="shared" si="7"/>
        <v>0</v>
      </c>
      <c r="E171" s="335">
        <v>1</v>
      </c>
      <c r="G171" s="399">
        <f t="shared" si="5"/>
        <v>0</v>
      </c>
      <c r="H171" s="322">
        <v>12</v>
      </c>
      <c r="I171" s="322">
        <f t="shared" si="6"/>
        <v>0</v>
      </c>
      <c r="J171" s="335">
        <f>+IFERROR(VLOOKUP(B171,#REF!,3,0),IFERROR(VLOOKUP(B171,#REF!,3,0),0))</f>
        <v>0</v>
      </c>
    </row>
    <row r="172" spans="1:10" ht="18" x14ac:dyDescent="0.35">
      <c r="A172" s="396">
        <v>802</v>
      </c>
      <c r="B172" s="439">
        <v>802</v>
      </c>
      <c r="C172" s="322">
        <f>+IFERROR(VLOOKUP(B172,'Stock ISIS LK'!A:D,4,0),IFERROR(VLOOKUP(B172,'Stock ISIS CH'!A:D,4,0),0))</f>
        <v>0</v>
      </c>
      <c r="D172" s="322">
        <f t="shared" si="7"/>
        <v>0</v>
      </c>
      <c r="E172" s="335">
        <v>1</v>
      </c>
      <c r="G172" s="399">
        <f t="shared" si="5"/>
        <v>0</v>
      </c>
      <c r="H172" s="322">
        <v>12</v>
      </c>
      <c r="I172" s="322">
        <f t="shared" si="6"/>
        <v>0</v>
      </c>
      <c r="J172" s="335">
        <f>+IFERROR(VLOOKUP(B172,#REF!,3,0),IFERROR(VLOOKUP(B172,#REF!,3,0),0))</f>
        <v>0</v>
      </c>
    </row>
    <row r="173" spans="1:10" ht="18" x14ac:dyDescent="0.35">
      <c r="A173" s="396">
        <v>719</v>
      </c>
      <c r="B173" s="439">
        <v>719</v>
      </c>
      <c r="C173" s="322">
        <f>+IFERROR(VLOOKUP(B173,'Stock ISIS LK'!A:D,4,0),IFERROR(VLOOKUP(B173,'Stock ISIS CH'!A:D,4,0),0))</f>
        <v>0</v>
      </c>
      <c r="D173" s="322">
        <f t="shared" si="7"/>
        <v>0</v>
      </c>
      <c r="E173" s="335">
        <v>1</v>
      </c>
      <c r="G173" s="399">
        <f t="shared" si="5"/>
        <v>0</v>
      </c>
      <c r="H173" s="322">
        <v>12</v>
      </c>
      <c r="I173" s="322">
        <f t="shared" si="6"/>
        <v>0</v>
      </c>
      <c r="J173" s="335">
        <f>+IFERROR(VLOOKUP(B173,#REF!,3,0),IFERROR(VLOOKUP(B173,#REF!,3,0),0))</f>
        <v>0</v>
      </c>
    </row>
    <row r="174" spans="1:10" ht="18" x14ac:dyDescent="0.35">
      <c r="A174" s="396">
        <v>99</v>
      </c>
      <c r="B174" s="439">
        <v>99</v>
      </c>
      <c r="C174" s="322">
        <f>+IFERROR(VLOOKUP(B174,'Stock ISIS LK'!A:D,4,0),IFERROR(VLOOKUP(B174,'Stock ISIS CH'!A:D,4,0),0))</f>
        <v>0</v>
      </c>
      <c r="D174" s="322">
        <f t="shared" si="7"/>
        <v>0</v>
      </c>
      <c r="E174" s="335">
        <v>1</v>
      </c>
      <c r="G174" s="399">
        <f t="shared" si="5"/>
        <v>0</v>
      </c>
      <c r="H174" s="322">
        <v>12</v>
      </c>
      <c r="I174" s="322">
        <f t="shared" si="6"/>
        <v>0</v>
      </c>
      <c r="J174" s="335">
        <f>+IFERROR(VLOOKUP(B174,#REF!,3,0),IFERROR(VLOOKUP(B174,#REF!,3,0),0))</f>
        <v>0</v>
      </c>
    </row>
    <row r="175" spans="1:10" ht="18" x14ac:dyDescent="0.35">
      <c r="A175" s="396">
        <v>732</v>
      </c>
      <c r="B175" s="439">
        <v>732</v>
      </c>
      <c r="C175" s="322">
        <f>+IFERROR(VLOOKUP(B175,'Stock ISIS LK'!A:D,4,0),IFERROR(VLOOKUP(B175,'Stock ISIS CH'!A:D,4,0),0))</f>
        <v>0</v>
      </c>
      <c r="D175" s="322">
        <f t="shared" si="7"/>
        <v>0</v>
      </c>
      <c r="E175" s="335">
        <v>1</v>
      </c>
      <c r="G175" s="399">
        <f t="shared" si="5"/>
        <v>0</v>
      </c>
      <c r="H175" s="322">
        <v>24</v>
      </c>
      <c r="I175" s="322">
        <f t="shared" si="6"/>
        <v>0</v>
      </c>
      <c r="J175" s="335">
        <f>+IFERROR(VLOOKUP(B175,#REF!,3,0),IFERROR(VLOOKUP(B175,#REF!,3,0),0))</f>
        <v>0</v>
      </c>
    </row>
    <row r="176" spans="1:10" ht="18" x14ac:dyDescent="0.35">
      <c r="A176" s="396">
        <v>700</v>
      </c>
      <c r="B176" s="439">
        <v>700</v>
      </c>
      <c r="C176" s="322">
        <f>+IFERROR(VLOOKUP(B176,'Stock ISIS LK'!A:D,4,0),IFERROR(VLOOKUP(B176,'Stock ISIS CH'!A:D,4,0),0))</f>
        <v>0</v>
      </c>
      <c r="D176" s="322">
        <f t="shared" si="7"/>
        <v>0</v>
      </c>
      <c r="E176" s="335">
        <v>1</v>
      </c>
      <c r="G176" s="399">
        <f t="shared" si="5"/>
        <v>0</v>
      </c>
      <c r="H176" s="322">
        <v>12</v>
      </c>
      <c r="I176" s="322">
        <f t="shared" si="6"/>
        <v>0</v>
      </c>
      <c r="J176" s="335">
        <f>+IFERROR(VLOOKUP(B176,#REF!,3,0),IFERROR(VLOOKUP(B176,#REF!,3,0),0))</f>
        <v>0</v>
      </c>
    </row>
    <row r="177" spans="1:10" ht="18" x14ac:dyDescent="0.35">
      <c r="A177" s="396">
        <v>615</v>
      </c>
      <c r="B177" s="439">
        <v>615</v>
      </c>
      <c r="C177" s="322">
        <f>+IFERROR(VLOOKUP(B177,'Stock ISIS LK'!A:D,4,0),IFERROR(VLOOKUP(B177,'Stock ISIS CH'!A:D,4,0),0))</f>
        <v>0</v>
      </c>
      <c r="D177" s="322">
        <f t="shared" si="7"/>
        <v>0</v>
      </c>
      <c r="E177" s="335">
        <v>1</v>
      </c>
      <c r="G177" s="399">
        <f t="shared" si="5"/>
        <v>0</v>
      </c>
      <c r="H177" s="322">
        <v>12</v>
      </c>
      <c r="I177" s="322">
        <f t="shared" si="6"/>
        <v>0</v>
      </c>
      <c r="J177" s="335">
        <f>+IFERROR(VLOOKUP(B177,#REF!,3,0),IFERROR(VLOOKUP(B177,#REF!,3,0),0))</f>
        <v>0</v>
      </c>
    </row>
    <row r="178" spans="1:10" ht="18" x14ac:dyDescent="0.35">
      <c r="A178" s="396">
        <v>817</v>
      </c>
      <c r="B178" s="439">
        <v>817</v>
      </c>
      <c r="C178" s="322">
        <f>+IFERROR(VLOOKUP(B178,'Stock ISIS LK'!A:D,4,0),IFERROR(VLOOKUP(B178,'Stock ISIS CH'!A:D,4,0),0))</f>
        <v>0</v>
      </c>
      <c r="D178" s="322">
        <f t="shared" si="7"/>
        <v>0</v>
      </c>
      <c r="E178" s="335">
        <v>1</v>
      </c>
      <c r="G178" s="399">
        <f t="shared" si="5"/>
        <v>0</v>
      </c>
      <c r="H178" s="322">
        <v>12</v>
      </c>
      <c r="I178" s="322">
        <f t="shared" si="6"/>
        <v>0</v>
      </c>
      <c r="J178" s="335">
        <f>+IFERROR(VLOOKUP(B178,#REF!,3,0),IFERROR(VLOOKUP(B178,#REF!,3,0),0))</f>
        <v>0</v>
      </c>
    </row>
    <row r="179" spans="1:10" ht="18" x14ac:dyDescent="0.35">
      <c r="A179" s="396">
        <v>857</v>
      </c>
      <c r="B179" s="439">
        <v>857</v>
      </c>
      <c r="C179" s="322">
        <f>+IFERROR(VLOOKUP(B179,'Stock ISIS LK'!A:D,4,0),IFERROR(VLOOKUP(B179,'Stock ISIS CH'!A:D,4,0),0))</f>
        <v>0</v>
      </c>
      <c r="D179" s="322">
        <f t="shared" si="7"/>
        <v>0</v>
      </c>
      <c r="E179" s="335">
        <v>1</v>
      </c>
      <c r="G179" s="399">
        <f t="shared" si="5"/>
        <v>0</v>
      </c>
      <c r="H179" s="322">
        <v>24</v>
      </c>
      <c r="I179" s="322">
        <f t="shared" si="6"/>
        <v>0</v>
      </c>
      <c r="J179" s="335">
        <f>+IFERROR(VLOOKUP(B179,#REF!,3,0),IFERROR(VLOOKUP(B179,#REF!,3,0),0))</f>
        <v>0</v>
      </c>
    </row>
    <row r="180" spans="1:10" ht="18" x14ac:dyDescent="0.35">
      <c r="A180" s="396">
        <v>53</v>
      </c>
      <c r="B180" s="439">
        <v>53</v>
      </c>
      <c r="C180" s="322">
        <f>+IFERROR(VLOOKUP(B180,'Stock ISIS LK'!A:D,4,0),IFERROR(VLOOKUP(B180,'Stock ISIS CH'!A:D,4,0),0))</f>
        <v>0</v>
      </c>
      <c r="D180" s="322">
        <f t="shared" si="7"/>
        <v>0</v>
      </c>
      <c r="E180" s="335">
        <v>1</v>
      </c>
      <c r="G180" s="399">
        <f t="shared" si="5"/>
        <v>0</v>
      </c>
      <c r="H180" s="322">
        <v>12</v>
      </c>
      <c r="I180" s="322">
        <f t="shared" si="6"/>
        <v>0</v>
      </c>
      <c r="J180" s="335">
        <f>+IFERROR(VLOOKUP(B180,#REF!,3,0),IFERROR(VLOOKUP(B180,#REF!,3,0),0))</f>
        <v>0</v>
      </c>
    </row>
    <row r="181" spans="1:10" ht="18" x14ac:dyDescent="0.35">
      <c r="A181" s="396">
        <v>856</v>
      </c>
      <c r="B181" s="439">
        <v>856</v>
      </c>
      <c r="C181" s="322">
        <f>+IFERROR(VLOOKUP(B181,'Stock ISIS LK'!A:D,4,0),IFERROR(VLOOKUP(B181,'Stock ISIS CH'!A:D,4,0),0))</f>
        <v>0</v>
      </c>
      <c r="D181" s="322">
        <f t="shared" si="7"/>
        <v>0</v>
      </c>
      <c r="E181" s="335">
        <v>1</v>
      </c>
      <c r="G181" s="399">
        <f t="shared" si="5"/>
        <v>0</v>
      </c>
      <c r="H181" s="322">
        <v>24</v>
      </c>
      <c r="I181" s="322">
        <f t="shared" si="6"/>
        <v>0</v>
      </c>
      <c r="J181" s="335">
        <f>+IFERROR(VLOOKUP(B181,#REF!,3,0),IFERROR(VLOOKUP(B181,#REF!,3,0),0))</f>
        <v>0</v>
      </c>
    </row>
    <row r="182" spans="1:10" ht="18" x14ac:dyDescent="0.35">
      <c r="A182" s="396">
        <v>730</v>
      </c>
      <c r="B182" s="439">
        <v>730</v>
      </c>
      <c r="C182" s="322">
        <f>+IFERROR(VLOOKUP(B182,'Stock ISIS LK'!A:D,4,0),IFERROR(VLOOKUP(B182,'Stock ISIS CH'!A:D,4,0),0))</f>
        <v>0</v>
      </c>
      <c r="D182" s="322">
        <f t="shared" si="7"/>
        <v>0</v>
      </c>
      <c r="E182" s="335">
        <v>1</v>
      </c>
      <c r="G182" s="399">
        <f t="shared" si="5"/>
        <v>0</v>
      </c>
      <c r="H182" s="322">
        <v>24</v>
      </c>
      <c r="I182" s="322">
        <f t="shared" si="6"/>
        <v>0</v>
      </c>
      <c r="J182" s="335">
        <f>+IFERROR(VLOOKUP(B182,#REF!,3,0),IFERROR(VLOOKUP(B182,#REF!,3,0),0))</f>
        <v>0</v>
      </c>
    </row>
    <row r="183" spans="1:10" ht="18" x14ac:dyDescent="0.35">
      <c r="A183" s="396">
        <v>800</v>
      </c>
      <c r="B183" s="439">
        <v>800</v>
      </c>
      <c r="C183" s="322">
        <f>+IFERROR(VLOOKUP(B183,'Stock ISIS LK'!A:D,4,0),IFERROR(VLOOKUP(B183,'Stock ISIS CH'!A:D,4,0),0))</f>
        <v>0</v>
      </c>
      <c r="D183" s="322">
        <f t="shared" si="7"/>
        <v>0</v>
      </c>
      <c r="E183" s="335">
        <v>1</v>
      </c>
      <c r="G183" s="399">
        <f t="shared" si="5"/>
        <v>0</v>
      </c>
      <c r="H183" s="322">
        <v>12</v>
      </c>
      <c r="I183" s="322">
        <f t="shared" si="6"/>
        <v>0</v>
      </c>
      <c r="J183" s="335">
        <f>+IFERROR(VLOOKUP(B183,#REF!,3,0),IFERROR(VLOOKUP(B183,#REF!,3,0),0))</f>
        <v>0</v>
      </c>
    </row>
    <row r="184" spans="1:10" ht="18" x14ac:dyDescent="0.35">
      <c r="A184" s="396">
        <v>617</v>
      </c>
      <c r="B184" s="439">
        <v>617</v>
      </c>
      <c r="C184" s="322">
        <f>+IFERROR(VLOOKUP(B184,'Stock ISIS LK'!A:D,4,0),IFERROR(VLOOKUP(B184,'Stock ISIS CH'!A:D,4,0),0))</f>
        <v>0</v>
      </c>
      <c r="D184" s="322">
        <f t="shared" si="7"/>
        <v>0</v>
      </c>
      <c r="E184" s="335">
        <v>1</v>
      </c>
      <c r="G184" s="399">
        <f t="shared" si="5"/>
        <v>0</v>
      </c>
      <c r="H184" s="322">
        <v>12</v>
      </c>
      <c r="I184" s="322">
        <f t="shared" si="6"/>
        <v>0</v>
      </c>
      <c r="J184" s="335">
        <f>+IFERROR(VLOOKUP(B184,#REF!,3,0),IFERROR(VLOOKUP(B184,#REF!,3,0),0))</f>
        <v>0</v>
      </c>
    </row>
    <row r="185" spans="1:10" ht="18" x14ac:dyDescent="0.35">
      <c r="A185" s="396">
        <v>760</v>
      </c>
      <c r="B185" s="439">
        <v>760</v>
      </c>
      <c r="C185" s="322">
        <f>+IFERROR(VLOOKUP(B185,'Stock ISIS LK'!A:D,4,0),IFERROR(VLOOKUP(B185,'Stock ISIS CH'!A:D,4,0),0))</f>
        <v>0</v>
      </c>
      <c r="D185" s="322">
        <f t="shared" si="7"/>
        <v>0</v>
      </c>
      <c r="E185" s="335">
        <v>1</v>
      </c>
      <c r="G185" s="399">
        <f t="shared" si="5"/>
        <v>0</v>
      </c>
      <c r="H185" s="322">
        <v>36</v>
      </c>
      <c r="I185" s="322">
        <f t="shared" si="6"/>
        <v>0</v>
      </c>
      <c r="J185" s="335">
        <f>+IFERROR(VLOOKUP(B185,#REF!,3,0),IFERROR(VLOOKUP(B185,#REF!,3,0),0))</f>
        <v>0</v>
      </c>
    </row>
    <row r="186" spans="1:10" ht="18" x14ac:dyDescent="0.35">
      <c r="A186" s="396">
        <v>765</v>
      </c>
      <c r="B186" s="439">
        <v>765</v>
      </c>
      <c r="C186" s="322">
        <f>+IFERROR(VLOOKUP(B186,'Stock ISIS LK'!A:D,4,0),IFERROR(VLOOKUP(B186,'Stock ISIS CH'!A:D,4,0),0))</f>
        <v>0</v>
      </c>
      <c r="D186" s="322">
        <f t="shared" si="7"/>
        <v>0</v>
      </c>
      <c r="E186" s="335">
        <v>1</v>
      </c>
      <c r="G186" s="399" t="e">
        <f t="shared" si="5"/>
        <v>#DIV/0!</v>
      </c>
      <c r="H186" s="322">
        <v>0</v>
      </c>
      <c r="I186" s="322" t="e">
        <f t="shared" si="6"/>
        <v>#DIV/0!</v>
      </c>
      <c r="J186" s="335">
        <f>+IFERROR(VLOOKUP(B186,#REF!,3,0),IFERROR(VLOOKUP(B186,#REF!,3,0),0))</f>
        <v>0</v>
      </c>
    </row>
    <row r="187" spans="1:10" ht="18" x14ac:dyDescent="0.35">
      <c r="A187" s="396">
        <v>840</v>
      </c>
      <c r="B187" s="439">
        <v>840</v>
      </c>
      <c r="C187" s="322">
        <f>+IFERROR(VLOOKUP(B187,'Stock ISIS LK'!A:D,4,0),IFERROR(VLOOKUP(B187,'Stock ISIS CH'!A:D,4,0),0))</f>
        <v>0</v>
      </c>
      <c r="D187" s="322">
        <f t="shared" si="7"/>
        <v>0</v>
      </c>
      <c r="E187" s="335">
        <v>1</v>
      </c>
      <c r="G187" s="399">
        <f t="shared" si="5"/>
        <v>0</v>
      </c>
      <c r="H187" s="322">
        <v>12</v>
      </c>
      <c r="I187" s="322">
        <f t="shared" si="6"/>
        <v>0</v>
      </c>
      <c r="J187" s="335">
        <f>+IFERROR(VLOOKUP(B187,#REF!,3,0),IFERROR(VLOOKUP(B187,#REF!,3,0),0))</f>
        <v>0</v>
      </c>
    </row>
    <row r="188" spans="1:10" ht="18" x14ac:dyDescent="0.35">
      <c r="A188" s="396">
        <v>709</v>
      </c>
      <c r="B188" s="439">
        <v>709</v>
      </c>
      <c r="C188" s="322">
        <f>+IFERROR(VLOOKUP(B188,'Stock ISIS LK'!A:D,4,0),IFERROR(VLOOKUP(B188,'Stock ISIS CH'!A:D,4,0),0))</f>
        <v>0</v>
      </c>
      <c r="D188" s="322">
        <f t="shared" si="7"/>
        <v>0</v>
      </c>
      <c r="E188" s="335">
        <v>1</v>
      </c>
      <c r="G188" s="399">
        <f t="shared" si="5"/>
        <v>0</v>
      </c>
      <c r="H188" s="322">
        <v>12</v>
      </c>
      <c r="I188" s="322">
        <f t="shared" si="6"/>
        <v>0</v>
      </c>
      <c r="J188" s="335">
        <f>+IFERROR(VLOOKUP(B188,#REF!,3,0),IFERROR(VLOOKUP(B188,#REF!,3,0),0))</f>
        <v>0</v>
      </c>
    </row>
    <row r="189" spans="1:10" ht="18" x14ac:dyDescent="0.35">
      <c r="A189" s="396">
        <v>879</v>
      </c>
      <c r="B189" s="439">
        <v>879</v>
      </c>
      <c r="C189" s="322">
        <f>+IFERROR(VLOOKUP(B189,'Stock ISIS LK'!A:D,4,0),IFERROR(VLOOKUP(B189,'Stock ISIS CH'!A:D,4,0),0))</f>
        <v>0</v>
      </c>
      <c r="D189" s="322">
        <f t="shared" si="7"/>
        <v>0</v>
      </c>
      <c r="E189" s="335">
        <v>1</v>
      </c>
      <c r="G189" s="399">
        <f t="shared" si="5"/>
        <v>0</v>
      </c>
      <c r="H189" s="322">
        <v>24</v>
      </c>
      <c r="I189" s="322">
        <f t="shared" si="6"/>
        <v>0</v>
      </c>
      <c r="J189" s="335">
        <f>+IFERROR(VLOOKUP(B189,#REF!,3,0),IFERROR(VLOOKUP(B189,#REF!,3,0),0))</f>
        <v>0</v>
      </c>
    </row>
    <row r="190" spans="1:10" ht="18" x14ac:dyDescent="0.35">
      <c r="A190" s="396">
        <v>725</v>
      </c>
      <c r="B190" s="439">
        <v>725</v>
      </c>
      <c r="C190" s="322">
        <f>+IFERROR(VLOOKUP(B190,'Stock ISIS LK'!A:D,4,0),IFERROR(VLOOKUP(B190,'Stock ISIS CH'!A:D,4,0),0))</f>
        <v>0</v>
      </c>
      <c r="D190" s="322">
        <f t="shared" si="7"/>
        <v>0</v>
      </c>
      <c r="E190" s="335">
        <v>1</v>
      </c>
      <c r="G190" s="399">
        <f t="shared" si="5"/>
        <v>0</v>
      </c>
      <c r="H190" s="322">
        <v>24</v>
      </c>
      <c r="I190" s="322">
        <f t="shared" si="6"/>
        <v>0</v>
      </c>
      <c r="J190" s="335">
        <f>+IFERROR(VLOOKUP(B190,#REF!,3,0),IFERROR(VLOOKUP(B190,#REF!,3,0),0))</f>
        <v>0</v>
      </c>
    </row>
    <row r="191" spans="1:10" ht="18" x14ac:dyDescent="0.35">
      <c r="A191" s="396">
        <v>713</v>
      </c>
      <c r="B191" s="439">
        <v>713</v>
      </c>
      <c r="C191" s="322">
        <f>+IFERROR(VLOOKUP(B191,'Stock ISIS LK'!A:D,4,0),IFERROR(VLOOKUP(B191,'Stock ISIS CH'!A:D,4,0),0))</f>
        <v>0</v>
      </c>
      <c r="D191" s="322">
        <f t="shared" si="7"/>
        <v>0</v>
      </c>
      <c r="E191" s="335">
        <v>1</v>
      </c>
      <c r="G191" s="399">
        <f t="shared" si="5"/>
        <v>0</v>
      </c>
      <c r="H191" s="322">
        <v>12</v>
      </c>
      <c r="I191" s="322">
        <f t="shared" si="6"/>
        <v>0</v>
      </c>
      <c r="J191" s="335">
        <f>+IFERROR(VLOOKUP(B191,#REF!,3,0),IFERROR(VLOOKUP(B191,#REF!,3,0),0))</f>
        <v>0</v>
      </c>
    </row>
    <row r="192" spans="1:10" ht="18" x14ac:dyDescent="0.35">
      <c r="A192" s="396">
        <v>55</v>
      </c>
      <c r="B192" s="439">
        <v>55</v>
      </c>
      <c r="C192" s="322">
        <f>+IFERROR(VLOOKUP(B192,'Stock ISIS LK'!A:D,4,0),IFERROR(VLOOKUP(B192,'Stock ISIS CH'!A:D,4,0),0))</f>
        <v>0</v>
      </c>
      <c r="D192" s="322">
        <f t="shared" si="7"/>
        <v>0</v>
      </c>
      <c r="E192" s="335">
        <v>1</v>
      </c>
      <c r="G192" s="399">
        <f t="shared" si="5"/>
        <v>0</v>
      </c>
      <c r="H192" s="322">
        <v>12</v>
      </c>
      <c r="I192" s="322">
        <f t="shared" si="6"/>
        <v>0</v>
      </c>
      <c r="J192" s="335">
        <f>+IFERROR(VLOOKUP(B192,#REF!,3,0),IFERROR(VLOOKUP(B192,#REF!,3,0),0))</f>
        <v>0</v>
      </c>
    </row>
    <row r="193" spans="1:10" ht="18" x14ac:dyDescent="0.35">
      <c r="A193" s="396">
        <v>43</v>
      </c>
      <c r="B193" s="439">
        <v>43</v>
      </c>
      <c r="C193" s="322">
        <f>+IFERROR(VLOOKUP(B193,'Stock ISIS LK'!A:D,4,0),IFERROR(VLOOKUP(B193,'Stock ISIS CH'!A:D,4,0),0))</f>
        <v>0</v>
      </c>
      <c r="D193" s="322">
        <f t="shared" si="7"/>
        <v>0</v>
      </c>
      <c r="E193" s="335">
        <v>1</v>
      </c>
      <c r="G193" s="399">
        <f t="shared" si="5"/>
        <v>0</v>
      </c>
      <c r="H193" s="322">
        <v>12</v>
      </c>
      <c r="I193" s="322">
        <f t="shared" si="6"/>
        <v>0</v>
      </c>
      <c r="J193" s="335">
        <f>+IFERROR(VLOOKUP(B193,#REF!,3,0),IFERROR(VLOOKUP(B193,#REF!,3,0),0))</f>
        <v>0</v>
      </c>
    </row>
    <row r="194" spans="1:10" ht="18" x14ac:dyDescent="0.35">
      <c r="A194" s="396">
        <v>809</v>
      </c>
      <c r="B194" s="439">
        <v>809</v>
      </c>
      <c r="C194" s="322">
        <f>+IFERROR(VLOOKUP(B194,'Stock ISIS LK'!A:D,4,0),IFERROR(VLOOKUP(B194,'Stock ISIS CH'!A:D,4,0),0))</f>
        <v>0</v>
      </c>
      <c r="D194" s="322">
        <f t="shared" si="7"/>
        <v>0</v>
      </c>
      <c r="E194" s="335">
        <v>1</v>
      </c>
      <c r="G194" s="399">
        <f t="shared" si="5"/>
        <v>0</v>
      </c>
      <c r="H194" s="322">
        <v>12</v>
      </c>
      <c r="I194" s="322">
        <f t="shared" si="6"/>
        <v>0</v>
      </c>
      <c r="J194" s="335">
        <f>+IFERROR(VLOOKUP(B194,#REF!,3,0),IFERROR(VLOOKUP(B194,#REF!,3,0),0))</f>
        <v>0</v>
      </c>
    </row>
    <row r="195" spans="1:10" ht="18" x14ac:dyDescent="0.35">
      <c r="A195" s="396">
        <v>816</v>
      </c>
      <c r="B195" s="439">
        <v>816</v>
      </c>
      <c r="C195" s="322">
        <f>+IFERROR(VLOOKUP(B195,'Stock ISIS LK'!A:D,4,0),IFERROR(VLOOKUP(B195,'Stock ISIS CH'!A:D,4,0),0))</f>
        <v>0</v>
      </c>
      <c r="D195" s="322">
        <f t="shared" si="7"/>
        <v>0</v>
      </c>
      <c r="E195" s="335">
        <v>1</v>
      </c>
      <c r="G195" s="399">
        <f t="shared" si="5"/>
        <v>0</v>
      </c>
      <c r="H195" s="322">
        <v>12</v>
      </c>
      <c r="I195" s="322">
        <f t="shared" si="6"/>
        <v>0</v>
      </c>
      <c r="J195" s="335">
        <f>+IFERROR(VLOOKUP(B195,#REF!,3,0),IFERROR(VLOOKUP(B195,#REF!,3,0),0))</f>
        <v>0</v>
      </c>
    </row>
    <row r="196" spans="1:10" ht="18" x14ac:dyDescent="0.35">
      <c r="A196" s="396">
        <v>858</v>
      </c>
      <c r="B196" s="439">
        <v>858</v>
      </c>
      <c r="C196" s="322">
        <f>+IFERROR(VLOOKUP(B196,'Stock ISIS LK'!A:D,4,0),IFERROR(VLOOKUP(B196,'Stock ISIS CH'!A:D,4,0),0))</f>
        <v>0</v>
      </c>
      <c r="D196" s="322">
        <f t="shared" si="7"/>
        <v>0</v>
      </c>
      <c r="E196" s="335">
        <v>1</v>
      </c>
      <c r="G196" s="399">
        <f t="shared" si="5"/>
        <v>0</v>
      </c>
      <c r="H196" s="322">
        <v>24</v>
      </c>
      <c r="I196" s="322">
        <f t="shared" si="6"/>
        <v>0</v>
      </c>
      <c r="J196" s="335">
        <f>+IFERROR(VLOOKUP(B196,#REF!,3,0),IFERROR(VLOOKUP(B196,#REF!,3,0),0))</f>
        <v>0</v>
      </c>
    </row>
    <row r="197" spans="1:10" ht="18" x14ac:dyDescent="0.35">
      <c r="A197" s="396">
        <v>863</v>
      </c>
      <c r="B197" s="439">
        <v>863</v>
      </c>
      <c r="C197" s="322">
        <f>+IFERROR(VLOOKUP(B197,'Stock ISIS LK'!A:D,4,0),IFERROR(VLOOKUP(B197,'Stock ISIS CH'!A:D,4,0),0))</f>
        <v>0</v>
      </c>
      <c r="D197" s="322">
        <f t="shared" si="7"/>
        <v>0</v>
      </c>
      <c r="E197" s="335">
        <v>1</v>
      </c>
      <c r="G197" s="399">
        <f t="shared" si="5"/>
        <v>0</v>
      </c>
      <c r="H197" s="322">
        <v>12</v>
      </c>
      <c r="I197" s="322">
        <f t="shared" si="6"/>
        <v>0</v>
      </c>
      <c r="J197" s="335">
        <f>+IFERROR(VLOOKUP(B197,#REF!,3,0),IFERROR(VLOOKUP(B197,#REF!,3,0),0))</f>
        <v>0</v>
      </c>
    </row>
    <row r="198" spans="1:10" ht="18" x14ac:dyDescent="0.35">
      <c r="A198" s="396">
        <v>878</v>
      </c>
      <c r="B198" s="439">
        <v>878</v>
      </c>
      <c r="C198" s="322">
        <f>+IFERROR(VLOOKUP(B198,'Stock ISIS LK'!A:D,4,0),IFERROR(VLOOKUP(B198,'Stock ISIS CH'!A:D,4,0),0))</f>
        <v>0</v>
      </c>
      <c r="D198" s="322">
        <f t="shared" si="7"/>
        <v>0</v>
      </c>
      <c r="E198" s="335">
        <v>1</v>
      </c>
      <c r="G198" s="399">
        <f t="shared" ref="G198:G261" si="8">+J198/H198</f>
        <v>0</v>
      </c>
      <c r="H198" s="322">
        <v>24</v>
      </c>
      <c r="I198" s="322">
        <f t="shared" ref="I198:I264" si="9">+G198*H198*E198</f>
        <v>0</v>
      </c>
      <c r="J198" s="335">
        <f>+IFERROR(VLOOKUP(B198,#REF!,3,0),IFERROR(VLOOKUP(B198,#REF!,3,0),0))</f>
        <v>0</v>
      </c>
    </row>
    <row r="199" spans="1:10" ht="18" x14ac:dyDescent="0.35">
      <c r="A199" s="396">
        <v>735</v>
      </c>
      <c r="B199" s="439">
        <v>735</v>
      </c>
      <c r="C199" s="322">
        <f>+IFERROR(VLOOKUP(B199,'Stock ISIS LK'!A:D,4,0),IFERROR(VLOOKUP(B199,'Stock ISIS CH'!A:D,4,0),0))</f>
        <v>0</v>
      </c>
      <c r="D199" s="322">
        <f t="shared" si="7"/>
        <v>0</v>
      </c>
      <c r="E199" s="335">
        <v>1</v>
      </c>
      <c r="G199" s="399" t="e">
        <f t="shared" si="8"/>
        <v>#DIV/0!</v>
      </c>
      <c r="H199" s="322">
        <v>0</v>
      </c>
      <c r="I199" s="322" t="e">
        <f t="shared" si="9"/>
        <v>#DIV/0!</v>
      </c>
      <c r="J199" s="335">
        <f>+IFERROR(VLOOKUP(B199,#REF!,3,0),IFERROR(VLOOKUP(B199,#REF!,3,0),0))</f>
        <v>0</v>
      </c>
    </row>
    <row r="200" spans="1:10" ht="18" x14ac:dyDescent="0.35">
      <c r="A200" s="396">
        <v>731</v>
      </c>
      <c r="B200" s="439">
        <v>731</v>
      </c>
      <c r="C200" s="322">
        <f>+IFERROR(VLOOKUP(B200,'Stock ISIS LK'!A:D,4,0),IFERROR(VLOOKUP(B200,'Stock ISIS CH'!A:D,4,0),0))</f>
        <v>0</v>
      </c>
      <c r="D200" s="322">
        <f t="shared" si="7"/>
        <v>0</v>
      </c>
      <c r="E200" s="335">
        <v>1</v>
      </c>
      <c r="G200" s="399">
        <f t="shared" si="8"/>
        <v>0</v>
      </c>
      <c r="H200" s="322">
        <v>24</v>
      </c>
      <c r="I200" s="322">
        <f t="shared" si="9"/>
        <v>0</v>
      </c>
      <c r="J200" s="335">
        <f>+IFERROR(VLOOKUP(B200,#REF!,3,0),IFERROR(VLOOKUP(B200,#REF!,3,0),0))</f>
        <v>0</v>
      </c>
    </row>
    <row r="201" spans="1:10" ht="18" x14ac:dyDescent="0.35">
      <c r="A201" s="396">
        <v>97</v>
      </c>
      <c r="B201" s="439">
        <v>97</v>
      </c>
      <c r="C201" s="322">
        <f>+IFERROR(VLOOKUP(B201,'Stock ISIS LK'!A:D,4,0),IFERROR(VLOOKUP(B201,'Stock ISIS CH'!A:D,4,0),0))</f>
        <v>0</v>
      </c>
      <c r="D201" s="322">
        <f t="shared" si="7"/>
        <v>0</v>
      </c>
      <c r="E201" s="335">
        <v>1</v>
      </c>
      <c r="G201" s="399">
        <f t="shared" si="8"/>
        <v>0</v>
      </c>
      <c r="H201" s="322">
        <v>6</v>
      </c>
      <c r="I201" s="322">
        <f t="shared" si="9"/>
        <v>0</v>
      </c>
      <c r="J201" s="335">
        <f>+IFERROR(VLOOKUP(B201,#REF!,3,0),IFERROR(VLOOKUP(B201,#REF!,3,0),0))</f>
        <v>0</v>
      </c>
    </row>
    <row r="202" spans="1:10" ht="18" x14ac:dyDescent="0.35">
      <c r="A202" s="396">
        <v>99</v>
      </c>
      <c r="B202" s="439">
        <v>99</v>
      </c>
      <c r="C202" s="322">
        <f>+IFERROR(VLOOKUP(B202,'Stock ISIS LK'!A:D,4,0),IFERROR(VLOOKUP(B202,'Stock ISIS CH'!A:D,4,0),0))</f>
        <v>0</v>
      </c>
      <c r="D202" s="322">
        <f t="shared" si="7"/>
        <v>0</v>
      </c>
      <c r="E202" s="335">
        <v>1</v>
      </c>
      <c r="G202" s="399">
        <f t="shared" si="8"/>
        <v>0</v>
      </c>
      <c r="H202" s="322">
        <v>12</v>
      </c>
      <c r="I202" s="322">
        <f t="shared" si="9"/>
        <v>0</v>
      </c>
      <c r="J202" s="335">
        <f>+IFERROR(VLOOKUP(B202,#REF!,3,0),IFERROR(VLOOKUP(B202,#REF!,3,0),0))</f>
        <v>0</v>
      </c>
    </row>
    <row r="203" spans="1:10" ht="18" x14ac:dyDescent="0.35">
      <c r="A203" s="396">
        <v>515</v>
      </c>
      <c r="B203" s="439">
        <v>515</v>
      </c>
      <c r="C203" s="322">
        <f>+IFERROR(VLOOKUP(B203,'Stock ISIS LK'!A:D,4,0),IFERROR(VLOOKUP(B203,'Stock ISIS CH'!A:D,4,0),0))</f>
        <v>0</v>
      </c>
      <c r="D203" s="322">
        <f t="shared" si="7"/>
        <v>0</v>
      </c>
      <c r="E203" s="335">
        <v>1</v>
      </c>
      <c r="G203" s="399">
        <f t="shared" si="8"/>
        <v>0</v>
      </c>
      <c r="H203" s="322">
        <v>12</v>
      </c>
      <c r="I203" s="322">
        <f t="shared" si="9"/>
        <v>0</v>
      </c>
      <c r="J203" s="335">
        <f>+IFERROR(VLOOKUP(B203,#REF!,3,0),IFERROR(VLOOKUP(B203,#REF!,3,0),0))</f>
        <v>0</v>
      </c>
    </row>
    <row r="204" spans="1:10" ht="18" x14ac:dyDescent="0.35">
      <c r="A204" s="396">
        <v>500</v>
      </c>
      <c r="B204" s="439">
        <v>500</v>
      </c>
      <c r="C204" s="322">
        <f>+IFERROR(VLOOKUP(B204,'Stock ISIS LK'!A:D,4,0),IFERROR(VLOOKUP(B204,'Stock ISIS CH'!A:D,4,0),0))</f>
        <v>0</v>
      </c>
      <c r="D204" s="322">
        <f t="shared" ref="D204:D307" si="10">+C204*E204</f>
        <v>0</v>
      </c>
      <c r="E204" s="335">
        <v>1</v>
      </c>
      <c r="G204" s="399">
        <f t="shared" si="8"/>
        <v>0</v>
      </c>
      <c r="H204" s="322">
        <v>12</v>
      </c>
      <c r="I204" s="322">
        <f t="shared" si="9"/>
        <v>0</v>
      </c>
      <c r="J204" s="335">
        <f>+IFERROR(VLOOKUP(B204,#REF!,3,0),IFERROR(VLOOKUP(B204,#REF!,3,0),0))</f>
        <v>0</v>
      </c>
    </row>
    <row r="205" spans="1:10" ht="18" x14ac:dyDescent="0.35">
      <c r="A205" s="396">
        <v>506</v>
      </c>
      <c r="B205" s="439">
        <v>506</v>
      </c>
      <c r="C205" s="322">
        <f>+IFERROR(VLOOKUP(B205,'Stock ISIS LK'!A:D,4,0),IFERROR(VLOOKUP(B205,'Stock ISIS CH'!A:D,4,0),0))</f>
        <v>0</v>
      </c>
      <c r="D205" s="322">
        <f t="shared" si="10"/>
        <v>0</v>
      </c>
      <c r="E205" s="335">
        <v>1</v>
      </c>
      <c r="G205" s="399">
        <f t="shared" si="8"/>
        <v>0</v>
      </c>
      <c r="H205" s="322">
        <v>12</v>
      </c>
      <c r="I205" s="322">
        <f t="shared" si="9"/>
        <v>0</v>
      </c>
      <c r="J205" s="335">
        <f>+IFERROR(VLOOKUP(B205,#REF!,3,0),IFERROR(VLOOKUP(B205,#REF!,3,0),0))</f>
        <v>0</v>
      </c>
    </row>
    <row r="206" spans="1:10" ht="18" x14ac:dyDescent="0.35">
      <c r="A206" s="396">
        <v>506</v>
      </c>
      <c r="B206" s="439">
        <v>506</v>
      </c>
      <c r="C206" s="322">
        <f>+IFERROR(VLOOKUP(B206,'Stock ISIS LK'!A:D,4,0),IFERROR(VLOOKUP(B206,'Stock ISIS CH'!A:D,4,0),0))</f>
        <v>0</v>
      </c>
      <c r="D206" s="322">
        <f>+C206*E206</f>
        <v>0</v>
      </c>
      <c r="E206" s="335">
        <v>1</v>
      </c>
      <c r="G206" s="399">
        <f t="shared" si="8"/>
        <v>0</v>
      </c>
      <c r="H206" s="322">
        <v>12</v>
      </c>
      <c r="I206" s="322">
        <f t="shared" si="9"/>
        <v>0</v>
      </c>
      <c r="J206" s="335">
        <f>+IFERROR(VLOOKUP(B206,#REF!,3,0),IFERROR(VLOOKUP(B206,#REF!,3,0),0))</f>
        <v>0</v>
      </c>
    </row>
    <row r="207" spans="1:10" ht="18" x14ac:dyDescent="0.35">
      <c r="A207" s="396">
        <v>510</v>
      </c>
      <c r="B207" s="439">
        <v>510</v>
      </c>
      <c r="C207" s="322">
        <f>+IFERROR(VLOOKUP(B207,'Stock ISIS LK'!A:D,4,0),IFERROR(VLOOKUP(B207,'Stock ISIS CH'!A:D,4,0),0))</f>
        <v>0</v>
      </c>
      <c r="D207" s="322">
        <f t="shared" si="10"/>
        <v>0</v>
      </c>
      <c r="E207" s="335">
        <v>1</v>
      </c>
      <c r="G207" s="399">
        <f t="shared" si="8"/>
        <v>0</v>
      </c>
      <c r="H207" s="322">
        <v>12</v>
      </c>
      <c r="I207" s="322">
        <f t="shared" si="9"/>
        <v>0</v>
      </c>
      <c r="J207" s="335">
        <f>+IFERROR(VLOOKUP(B207,#REF!,3,0),IFERROR(VLOOKUP(B207,#REF!,3,0),0))</f>
        <v>0</v>
      </c>
    </row>
    <row r="208" spans="1:10" ht="18" x14ac:dyDescent="0.35">
      <c r="A208" s="396">
        <v>706</v>
      </c>
      <c r="B208" s="439">
        <v>706</v>
      </c>
      <c r="C208" s="322">
        <f>+IFERROR(VLOOKUP(B208,'Stock ISIS LK'!A:D,4,0),IFERROR(VLOOKUP(B208,'Stock ISIS CH'!A:D,4,0),0))</f>
        <v>0</v>
      </c>
      <c r="D208" s="322">
        <f t="shared" si="10"/>
        <v>0</v>
      </c>
      <c r="E208" s="335">
        <v>1</v>
      </c>
      <c r="G208" s="399">
        <f t="shared" si="8"/>
        <v>0</v>
      </c>
      <c r="H208" s="322">
        <v>12</v>
      </c>
      <c r="I208" s="322">
        <f t="shared" si="9"/>
        <v>0</v>
      </c>
      <c r="J208" s="335">
        <f>+IFERROR(VLOOKUP(B208,#REF!,3,0),IFERROR(VLOOKUP(B208,#REF!,3,0),0))</f>
        <v>0</v>
      </c>
    </row>
    <row r="209" spans="1:10" ht="18" x14ac:dyDescent="0.35">
      <c r="A209" s="396">
        <v>706</v>
      </c>
      <c r="B209" s="439">
        <v>706</v>
      </c>
      <c r="C209" s="322">
        <f>+IFERROR(VLOOKUP(B209,'Stock ISIS LK'!A:D,4,0),IFERROR(VLOOKUP(B209,'Stock ISIS CH'!A:D,4,0),0))</f>
        <v>0</v>
      </c>
      <c r="D209" s="322">
        <f>+C209*E209</f>
        <v>0</v>
      </c>
      <c r="E209" s="335">
        <v>1</v>
      </c>
      <c r="G209" s="399">
        <f t="shared" si="8"/>
        <v>0</v>
      </c>
      <c r="H209" s="322">
        <v>12</v>
      </c>
      <c r="I209" s="322">
        <f>+G209*H209*E209</f>
        <v>0</v>
      </c>
      <c r="J209" s="335">
        <f>+IFERROR(VLOOKUP(B209,#REF!,3,0),IFERROR(VLOOKUP(B209,#REF!,3,0),0))</f>
        <v>0</v>
      </c>
    </row>
    <row r="210" spans="1:10" ht="18" x14ac:dyDescent="0.35">
      <c r="A210" s="396">
        <v>555</v>
      </c>
      <c r="B210" s="439">
        <v>555</v>
      </c>
      <c r="C210" s="322">
        <f>+IFERROR(VLOOKUP(B210,'Stock ISIS LK'!A:D,4,0),IFERROR(VLOOKUP(B210,'Stock ISIS CH'!A:D,4,0),0))</f>
        <v>0</v>
      </c>
      <c r="D210" s="322">
        <f t="shared" si="10"/>
        <v>0</v>
      </c>
      <c r="E210" s="335">
        <v>1</v>
      </c>
      <c r="G210" s="399">
        <f t="shared" si="8"/>
        <v>0</v>
      </c>
      <c r="H210" s="322">
        <v>36</v>
      </c>
      <c r="I210" s="322">
        <f t="shared" si="9"/>
        <v>0</v>
      </c>
      <c r="J210" s="335">
        <f>+IFERROR(VLOOKUP(B210,#REF!,3,0),IFERROR(VLOOKUP(B210,#REF!,3,0),0))</f>
        <v>0</v>
      </c>
    </row>
    <row r="211" spans="1:10" ht="18" x14ac:dyDescent="0.35">
      <c r="A211" s="396">
        <v>557</v>
      </c>
      <c r="B211" s="439">
        <v>557</v>
      </c>
      <c r="C211" s="322">
        <f>+IFERROR(VLOOKUP(B211,'Stock ISIS LK'!A:D,4,0),IFERROR(VLOOKUP(B211,'Stock ISIS CH'!A:D,4,0),0))</f>
        <v>0</v>
      </c>
      <c r="D211" s="322">
        <f t="shared" si="10"/>
        <v>0</v>
      </c>
      <c r="E211" s="335">
        <v>1</v>
      </c>
      <c r="G211" s="399">
        <f t="shared" si="8"/>
        <v>0</v>
      </c>
      <c r="H211" s="322">
        <v>24</v>
      </c>
      <c r="I211" s="322">
        <f t="shared" si="9"/>
        <v>0</v>
      </c>
      <c r="J211" s="335">
        <f>+IFERROR(VLOOKUP(B211,#REF!,3,0),IFERROR(VLOOKUP(B211,#REF!,3,0),0))</f>
        <v>0</v>
      </c>
    </row>
    <row r="212" spans="1:10" ht="18" x14ac:dyDescent="0.35">
      <c r="A212" s="396">
        <v>558</v>
      </c>
      <c r="B212" s="439">
        <v>558</v>
      </c>
      <c r="C212" s="322">
        <f>+IFERROR(VLOOKUP(B212,'Stock ISIS LK'!A:D,4,0),IFERROR(VLOOKUP(B212,'Stock ISIS CH'!A:D,4,0),0))</f>
        <v>0</v>
      </c>
      <c r="D212" s="322">
        <f t="shared" si="10"/>
        <v>0</v>
      </c>
      <c r="E212" s="335">
        <v>1</v>
      </c>
      <c r="G212" s="399">
        <f t="shared" si="8"/>
        <v>0</v>
      </c>
      <c r="H212" s="322">
        <v>24</v>
      </c>
      <c r="I212" s="322">
        <f t="shared" si="9"/>
        <v>0</v>
      </c>
      <c r="J212" s="335">
        <f>+IFERROR(VLOOKUP(B212,#REF!,3,0),IFERROR(VLOOKUP(B212,#REF!,3,0),0))</f>
        <v>0</v>
      </c>
    </row>
    <row r="213" spans="1:10" ht="18" x14ac:dyDescent="0.35">
      <c r="A213" s="396">
        <v>654</v>
      </c>
      <c r="B213" s="439">
        <v>654</v>
      </c>
      <c r="C213" s="322">
        <f>+IFERROR(VLOOKUP(B213,'Stock ISIS LK'!A:D,4,0),IFERROR(VLOOKUP(B213,'Stock ISIS CH'!A:D,4,0),0))</f>
        <v>0</v>
      </c>
      <c r="D213" s="322">
        <f t="shared" si="10"/>
        <v>0</v>
      </c>
      <c r="E213" s="335">
        <v>1</v>
      </c>
      <c r="G213" s="399">
        <f t="shared" si="8"/>
        <v>0</v>
      </c>
      <c r="H213" s="322">
        <v>24</v>
      </c>
      <c r="I213" s="322">
        <f t="shared" si="9"/>
        <v>0</v>
      </c>
      <c r="J213" s="335">
        <f>+IFERROR(VLOOKUP(B213,#REF!,3,0),IFERROR(VLOOKUP(B213,#REF!,3,0),0))</f>
        <v>0</v>
      </c>
    </row>
    <row r="214" spans="1:10" ht="18" x14ac:dyDescent="0.35">
      <c r="A214" s="302" t="s">
        <v>1208</v>
      </c>
      <c r="B214" s="439">
        <v>31</v>
      </c>
      <c r="C214" s="322">
        <f>+IFERROR(VLOOKUP(B214,'Stock ISIS LK'!A:D,4,0),IFERROR(VLOOKUP(B214,'Stock ISIS CH'!A:D,4,0),0))</f>
        <v>0</v>
      </c>
      <c r="D214" s="322">
        <f t="shared" si="10"/>
        <v>0</v>
      </c>
      <c r="E214" s="335">
        <v>1</v>
      </c>
      <c r="G214" s="399">
        <f t="shared" si="8"/>
        <v>0</v>
      </c>
      <c r="H214" s="322">
        <v>24</v>
      </c>
      <c r="I214" s="322">
        <f t="shared" si="9"/>
        <v>0</v>
      </c>
      <c r="J214" s="335">
        <f>+IFERROR(VLOOKUP(B214,#REF!,3,0),IFERROR(VLOOKUP(B214,#REF!,3,0),0))</f>
        <v>0</v>
      </c>
    </row>
    <row r="215" spans="1:10" ht="18" x14ac:dyDescent="0.35">
      <c r="A215" s="302" t="s">
        <v>1210</v>
      </c>
      <c r="B215" s="397">
        <v>34</v>
      </c>
      <c r="C215" s="322">
        <f>+IFERROR(VLOOKUP(B215,'Stock ISIS LK'!A:D,4,0),IFERROR(VLOOKUP(B215,'Stock ISIS CH'!A:D,4,0),0))</f>
        <v>0</v>
      </c>
      <c r="D215" s="322">
        <f t="shared" si="10"/>
        <v>0</v>
      </c>
      <c r="E215" s="335">
        <v>1</v>
      </c>
      <c r="G215" s="399">
        <f t="shared" si="8"/>
        <v>0</v>
      </c>
      <c r="H215" s="322">
        <v>24</v>
      </c>
      <c r="I215" s="322">
        <f t="shared" si="9"/>
        <v>0</v>
      </c>
      <c r="J215" s="335">
        <f>+IFERROR(VLOOKUP(B215,#REF!,3,0),IFERROR(VLOOKUP(B215,#REF!,3,0),0))</f>
        <v>0</v>
      </c>
    </row>
    <row r="216" spans="1:10" ht="18" x14ac:dyDescent="0.35">
      <c r="A216" s="302" t="s">
        <v>1495</v>
      </c>
      <c r="B216" s="439">
        <v>715</v>
      </c>
      <c r="C216" s="322">
        <f>+IFERROR(VLOOKUP(B216,'Stock ISIS LK'!A:D,4,0),IFERROR(VLOOKUP(B216,'Stock ISIS CH'!A:D,4,0),0))</f>
        <v>0</v>
      </c>
      <c r="D216" s="322">
        <f>+C216*E216</f>
        <v>0</v>
      </c>
      <c r="E216" s="335">
        <v>1</v>
      </c>
      <c r="G216" s="399">
        <f t="shared" si="8"/>
        <v>0</v>
      </c>
      <c r="H216" s="322">
        <v>24</v>
      </c>
      <c r="I216" s="322">
        <v>120</v>
      </c>
      <c r="J216" s="335">
        <f>+IFERROR(VLOOKUP(B216,#REF!,3,0),IFERROR(VLOOKUP(B216,#REF!,3,0),0))</f>
        <v>0</v>
      </c>
    </row>
    <row r="217" spans="1:10" ht="18" x14ac:dyDescent="0.35">
      <c r="A217" s="302" t="s">
        <v>1294</v>
      </c>
      <c r="B217" s="439">
        <v>311</v>
      </c>
      <c r="C217" s="322">
        <f>+IFERROR(VLOOKUP(B217,'Stock ISIS LK'!A:D,4,0),IFERROR(VLOOKUP(B217,'Stock ISIS CH'!A:D,4,0),0))</f>
        <v>0</v>
      </c>
      <c r="D217" s="322">
        <f t="shared" si="10"/>
        <v>0</v>
      </c>
      <c r="E217" s="335">
        <v>1</v>
      </c>
      <c r="G217" s="399">
        <f t="shared" si="8"/>
        <v>0</v>
      </c>
      <c r="H217" s="322">
        <v>12</v>
      </c>
      <c r="I217" s="322">
        <f t="shared" si="9"/>
        <v>0</v>
      </c>
      <c r="J217" s="335">
        <f>+IFERROR(VLOOKUP(B217,#REF!,3,0),IFERROR(VLOOKUP(B217,#REF!,3,0),0))</f>
        <v>0</v>
      </c>
    </row>
    <row r="218" spans="1:10" ht="18" x14ac:dyDescent="0.35">
      <c r="A218" s="302" t="s">
        <v>1294</v>
      </c>
      <c r="B218" s="439">
        <v>312</v>
      </c>
      <c r="C218" s="322">
        <f>+IFERROR(VLOOKUP(B218,'Stock ISIS LK'!A:D,4,0),IFERROR(VLOOKUP(B218,'Stock ISIS CH'!A:D,4,0),0))</f>
        <v>0</v>
      </c>
      <c r="D218" s="322">
        <f t="shared" si="10"/>
        <v>0</v>
      </c>
      <c r="E218" s="335">
        <v>1</v>
      </c>
      <c r="G218" s="399">
        <f t="shared" si="8"/>
        <v>0</v>
      </c>
      <c r="H218" s="322">
        <v>12</v>
      </c>
      <c r="I218" s="322">
        <f t="shared" si="9"/>
        <v>0</v>
      </c>
      <c r="J218" s="335">
        <f>+IFERROR(VLOOKUP(B218,#REF!,3,0),IFERROR(VLOOKUP(B218,#REF!,3,0),0))</f>
        <v>0</v>
      </c>
    </row>
    <row r="219" spans="1:10" ht="18" x14ac:dyDescent="0.35">
      <c r="A219" s="302" t="s">
        <v>1294</v>
      </c>
      <c r="B219" s="439">
        <v>508</v>
      </c>
      <c r="C219" s="322">
        <f>+IFERROR(VLOOKUP(B219,'Stock ISIS LK'!A:D,4,0),IFERROR(VLOOKUP(B219,'Stock ISIS CH'!A:D,4,0),0))</f>
        <v>0</v>
      </c>
      <c r="D219" s="322">
        <f t="shared" si="10"/>
        <v>0</v>
      </c>
      <c r="E219" s="335">
        <v>1</v>
      </c>
      <c r="G219" s="399">
        <f t="shared" si="8"/>
        <v>0</v>
      </c>
      <c r="H219" s="322">
        <v>12</v>
      </c>
      <c r="I219" s="322">
        <f t="shared" si="9"/>
        <v>0</v>
      </c>
      <c r="J219" s="335">
        <f>+IFERROR(VLOOKUP(B219,#REF!,3,0),IFERROR(VLOOKUP(B219,#REF!,3,0),0))</f>
        <v>0</v>
      </c>
    </row>
    <row r="220" spans="1:10" ht="18" x14ac:dyDescent="0.35">
      <c r="A220" s="302" t="s">
        <v>1294</v>
      </c>
      <c r="B220" s="439">
        <v>551</v>
      </c>
      <c r="C220" s="322">
        <f>+IFERROR(VLOOKUP(B220,'Stock ISIS LK'!A:D,4,0),IFERROR(VLOOKUP(B220,'Stock ISIS CH'!A:D,4,0),0))</f>
        <v>0</v>
      </c>
      <c r="D220" s="322">
        <f t="shared" si="10"/>
        <v>0</v>
      </c>
      <c r="E220" s="335">
        <v>1</v>
      </c>
      <c r="G220" s="399">
        <f t="shared" si="8"/>
        <v>0</v>
      </c>
      <c r="H220" s="322">
        <v>12</v>
      </c>
      <c r="I220" s="322">
        <f t="shared" si="9"/>
        <v>0</v>
      </c>
      <c r="J220" s="335">
        <f>+IFERROR(VLOOKUP(B220,#REF!,3,0),IFERROR(VLOOKUP(B220,#REF!,3,0),0))</f>
        <v>0</v>
      </c>
    </row>
    <row r="221" spans="1:10" ht="18" x14ac:dyDescent="0.35">
      <c r="A221" s="302" t="s">
        <v>1294</v>
      </c>
      <c r="B221" s="439">
        <v>559</v>
      </c>
      <c r="C221" s="322">
        <f>+IFERROR(VLOOKUP(B221,'Stock ISIS LK'!A:D,4,0),IFERROR(VLOOKUP(B221,'Stock ISIS CH'!A:D,4,0),0))</f>
        <v>0</v>
      </c>
      <c r="D221" s="322">
        <f t="shared" si="10"/>
        <v>0</v>
      </c>
      <c r="E221" s="335">
        <v>1</v>
      </c>
      <c r="G221" s="399">
        <f t="shared" si="8"/>
        <v>0</v>
      </c>
      <c r="H221" s="322">
        <v>12</v>
      </c>
      <c r="I221" s="322">
        <f t="shared" si="9"/>
        <v>0</v>
      </c>
      <c r="J221" s="335">
        <f>+IFERROR(VLOOKUP(B221,#REF!,3,0),IFERROR(VLOOKUP(B221,#REF!,3,0),0))</f>
        <v>0</v>
      </c>
    </row>
    <row r="222" spans="1:10" ht="18" x14ac:dyDescent="0.35">
      <c r="A222" s="302" t="s">
        <v>1294</v>
      </c>
      <c r="B222" s="439">
        <v>562</v>
      </c>
      <c r="C222" s="322">
        <f>+IFERROR(VLOOKUP(B222,'Stock ISIS LK'!A:D,4,0),IFERROR(VLOOKUP(B222,'Stock ISIS CH'!A:D,4,0),0))</f>
        <v>0</v>
      </c>
      <c r="D222" s="322">
        <f t="shared" si="10"/>
        <v>0</v>
      </c>
      <c r="E222" s="335">
        <v>1</v>
      </c>
      <c r="G222" s="399">
        <f t="shared" si="8"/>
        <v>0</v>
      </c>
      <c r="H222" s="322">
        <v>12</v>
      </c>
      <c r="I222" s="322">
        <f t="shared" si="9"/>
        <v>0</v>
      </c>
      <c r="J222" s="335">
        <f>+IFERROR(VLOOKUP(B222,#REF!,3,0),IFERROR(VLOOKUP(B222,#REF!,3,0),0))</f>
        <v>0</v>
      </c>
    </row>
    <row r="223" spans="1:10" ht="18" x14ac:dyDescent="0.35">
      <c r="A223" s="302" t="s">
        <v>1294</v>
      </c>
      <c r="B223" s="439">
        <v>570</v>
      </c>
      <c r="C223" s="322">
        <f>+IFERROR(VLOOKUP(B223,'Stock ISIS LK'!A:D,4,0),IFERROR(VLOOKUP(B223,'Stock ISIS CH'!A:D,4,0),0))</f>
        <v>0</v>
      </c>
      <c r="D223" s="322">
        <f t="shared" si="10"/>
        <v>0</v>
      </c>
      <c r="E223" s="335">
        <v>1</v>
      </c>
      <c r="G223" s="399">
        <f t="shared" si="8"/>
        <v>0</v>
      </c>
      <c r="H223" s="322">
        <v>24</v>
      </c>
      <c r="I223" s="322">
        <f t="shared" si="9"/>
        <v>0</v>
      </c>
      <c r="J223" s="335">
        <f>+IFERROR(VLOOKUP(B223,#REF!,3,0),IFERROR(VLOOKUP(B223,#REF!,3,0),0))</f>
        <v>0</v>
      </c>
    </row>
    <row r="224" spans="1:10" ht="18" x14ac:dyDescent="0.35">
      <c r="A224" s="302" t="s">
        <v>1294</v>
      </c>
      <c r="B224" s="439">
        <v>581</v>
      </c>
      <c r="C224" s="322">
        <f>+IFERROR(VLOOKUP(B224,'Stock ISIS LK'!A:D,4,0),IFERROR(VLOOKUP(B224,'Stock ISIS CH'!A:D,4,0),0))</f>
        <v>0</v>
      </c>
      <c r="D224" s="322">
        <f t="shared" si="10"/>
        <v>0</v>
      </c>
      <c r="E224" s="335">
        <v>1</v>
      </c>
      <c r="G224" s="399">
        <f t="shared" si="8"/>
        <v>0</v>
      </c>
      <c r="H224" s="322">
        <v>12</v>
      </c>
      <c r="I224" s="322">
        <f t="shared" si="9"/>
        <v>0</v>
      </c>
      <c r="J224" s="335">
        <f>+IFERROR(VLOOKUP(B224,#REF!,3,0),IFERROR(VLOOKUP(B224,#REF!,3,0),0))</f>
        <v>0</v>
      </c>
    </row>
    <row r="225" spans="1:10" ht="18" x14ac:dyDescent="0.35">
      <c r="A225" s="302" t="s">
        <v>1294</v>
      </c>
      <c r="B225" s="439">
        <v>708</v>
      </c>
      <c r="C225" s="322">
        <f>+IFERROR(VLOOKUP(B225,'Stock ISIS LK'!A:D,4,0),IFERROR(VLOOKUP(B225,'Stock ISIS CH'!A:D,4,0),0))</f>
        <v>0</v>
      </c>
      <c r="D225" s="322">
        <f t="shared" si="10"/>
        <v>0</v>
      </c>
      <c r="E225" s="335">
        <v>1</v>
      </c>
      <c r="G225" s="399">
        <f t="shared" si="8"/>
        <v>0</v>
      </c>
      <c r="H225" s="322">
        <v>12</v>
      </c>
      <c r="I225" s="322">
        <f t="shared" si="9"/>
        <v>0</v>
      </c>
      <c r="J225" s="335">
        <f>+IFERROR(VLOOKUP(B225,#REF!,3,0),IFERROR(VLOOKUP(B225,#REF!,3,0),0))</f>
        <v>0</v>
      </c>
    </row>
    <row r="226" spans="1:10" ht="18" x14ac:dyDescent="0.35">
      <c r="A226" s="302" t="s">
        <v>1294</v>
      </c>
      <c r="B226" s="439">
        <v>735</v>
      </c>
      <c r="C226" s="322">
        <f>+IFERROR(VLOOKUP(B226,'Stock ISIS LK'!A:D,4,0),IFERROR(VLOOKUP(B226,'Stock ISIS CH'!A:D,4,0),0))</f>
        <v>0</v>
      </c>
      <c r="D226" s="322">
        <f t="shared" si="10"/>
        <v>0</v>
      </c>
      <c r="E226" s="335">
        <v>1</v>
      </c>
      <c r="G226" s="399">
        <f t="shared" si="8"/>
        <v>0</v>
      </c>
      <c r="H226" s="322">
        <v>12</v>
      </c>
      <c r="I226" s="322">
        <f>+G226*H226*E226</f>
        <v>0</v>
      </c>
      <c r="J226" s="335">
        <f>+IFERROR(VLOOKUP(B226,#REF!,3,0),IFERROR(VLOOKUP(B226,#REF!,3,0),0))</f>
        <v>0</v>
      </c>
    </row>
    <row r="227" spans="1:10" ht="18" x14ac:dyDescent="0.35">
      <c r="A227" s="302" t="s">
        <v>1294</v>
      </c>
      <c r="B227" s="439">
        <v>856</v>
      </c>
      <c r="C227" s="322">
        <f>+IFERROR(VLOOKUP(B227,'Stock ISIS LK'!A:D,4,0),IFERROR(VLOOKUP(B227,'Stock ISIS CH'!A:D,4,0),0))</f>
        <v>0</v>
      </c>
      <c r="D227" s="322">
        <f t="shared" si="10"/>
        <v>0</v>
      </c>
      <c r="E227" s="335">
        <v>1</v>
      </c>
      <c r="G227" s="399">
        <f t="shared" si="8"/>
        <v>0</v>
      </c>
      <c r="H227" s="322">
        <v>24</v>
      </c>
      <c r="I227" s="322">
        <f t="shared" si="9"/>
        <v>0</v>
      </c>
      <c r="J227" s="335">
        <f>+IFERROR(VLOOKUP(B227,#REF!,3,0),IFERROR(VLOOKUP(B227,#REF!,3,0),0))</f>
        <v>0</v>
      </c>
    </row>
    <row r="228" spans="1:10" ht="18" x14ac:dyDescent="0.35">
      <c r="A228" s="302" t="s">
        <v>1294</v>
      </c>
      <c r="B228" s="439">
        <v>857</v>
      </c>
      <c r="C228" s="322">
        <f>+IFERROR(VLOOKUP(B228,'Stock ISIS LK'!A:D,4,0),IFERROR(VLOOKUP(B228,'Stock ISIS CH'!A:D,4,0),0))</f>
        <v>0</v>
      </c>
      <c r="D228" s="322">
        <f t="shared" si="10"/>
        <v>0</v>
      </c>
      <c r="E228" s="335">
        <v>1</v>
      </c>
      <c r="G228" s="399">
        <f t="shared" si="8"/>
        <v>0</v>
      </c>
      <c r="H228" s="322">
        <v>24</v>
      </c>
      <c r="I228" s="322">
        <f t="shared" si="9"/>
        <v>0</v>
      </c>
      <c r="J228" s="335">
        <f>+IFERROR(VLOOKUP(B228,#REF!,3,0),IFERROR(VLOOKUP(B228,#REF!,3,0),0))</f>
        <v>0</v>
      </c>
    </row>
    <row r="229" spans="1:10" ht="18" x14ac:dyDescent="0.35">
      <c r="A229" s="302" t="s">
        <v>1294</v>
      </c>
      <c r="B229" s="439">
        <v>858</v>
      </c>
      <c r="C229" s="322">
        <f>+IFERROR(VLOOKUP(B229,'Stock ISIS LK'!A:D,4,0),IFERROR(VLOOKUP(B229,'Stock ISIS CH'!A:D,4,0),0))</f>
        <v>0</v>
      </c>
      <c r="D229" s="322">
        <f t="shared" si="10"/>
        <v>0</v>
      </c>
      <c r="E229" s="335">
        <v>1</v>
      </c>
      <c r="G229" s="399">
        <f t="shared" si="8"/>
        <v>0</v>
      </c>
      <c r="H229" s="322">
        <v>24</v>
      </c>
      <c r="I229" s="322">
        <f t="shared" si="9"/>
        <v>0</v>
      </c>
      <c r="J229" s="335">
        <f>+IFERROR(VLOOKUP(B229,#REF!,3,0),IFERROR(VLOOKUP(B229,#REF!,3,0),0))</f>
        <v>0</v>
      </c>
    </row>
    <row r="230" spans="1:10" ht="18" x14ac:dyDescent="0.35">
      <c r="A230" s="302" t="s">
        <v>1294</v>
      </c>
      <c r="B230" s="439">
        <v>859</v>
      </c>
      <c r="C230" s="322">
        <f>+IFERROR(VLOOKUP(B230,'Stock ISIS LK'!A:D,4,0),IFERROR(VLOOKUP(B230,'Stock ISIS CH'!A:D,4,0),0))</f>
        <v>0</v>
      </c>
      <c r="D230" s="322">
        <f t="shared" si="10"/>
        <v>0</v>
      </c>
      <c r="E230" s="335">
        <v>1</v>
      </c>
      <c r="G230" s="399">
        <f t="shared" si="8"/>
        <v>0</v>
      </c>
      <c r="H230" s="322">
        <v>12</v>
      </c>
      <c r="I230" s="322">
        <f t="shared" si="9"/>
        <v>0</v>
      </c>
      <c r="J230" s="335">
        <f>+IFERROR(VLOOKUP(B230,#REF!,3,0),IFERROR(VLOOKUP(B230,#REF!,3,0),0))</f>
        <v>0</v>
      </c>
    </row>
    <row r="231" spans="1:10" ht="18" x14ac:dyDescent="0.35">
      <c r="A231" s="302" t="s">
        <v>1294</v>
      </c>
      <c r="B231" s="439">
        <v>862</v>
      </c>
      <c r="C231" s="322">
        <f>+IFERROR(VLOOKUP(B231,'Stock ISIS LK'!A:D,4,0),IFERROR(VLOOKUP(B231,'Stock ISIS CH'!A:D,4,0),0))</f>
        <v>0</v>
      </c>
      <c r="D231" s="322">
        <f t="shared" si="10"/>
        <v>0</v>
      </c>
      <c r="E231" s="335">
        <v>1</v>
      </c>
      <c r="G231" s="399">
        <f t="shared" si="8"/>
        <v>0</v>
      </c>
      <c r="H231" s="322">
        <v>12</v>
      </c>
      <c r="I231" s="322">
        <f t="shared" si="9"/>
        <v>0</v>
      </c>
      <c r="J231" s="335">
        <f>+IFERROR(VLOOKUP(B231,#REF!,3,0),IFERROR(VLOOKUP(B231,#REF!,3,0),0))</f>
        <v>0</v>
      </c>
    </row>
    <row r="232" spans="1:10" ht="18" x14ac:dyDescent="0.35">
      <c r="A232" s="302" t="s">
        <v>1294</v>
      </c>
      <c r="B232" s="439">
        <v>864</v>
      </c>
      <c r="C232" s="322">
        <f>+IFERROR(VLOOKUP(B232,'Stock ISIS LK'!A:D,4,0),IFERROR(VLOOKUP(B232,'Stock ISIS CH'!A:D,4,0),0))</f>
        <v>0</v>
      </c>
      <c r="D232" s="322">
        <f t="shared" si="10"/>
        <v>0</v>
      </c>
      <c r="E232" s="335">
        <v>1</v>
      </c>
      <c r="G232" s="399">
        <f t="shared" si="8"/>
        <v>0</v>
      </c>
      <c r="H232" s="322">
        <v>12</v>
      </c>
      <c r="I232" s="322">
        <f t="shared" si="9"/>
        <v>0</v>
      </c>
      <c r="J232" s="335">
        <f>+IFERROR(VLOOKUP(B232,#REF!,3,0),IFERROR(VLOOKUP(B232,#REF!,3,0),0))</f>
        <v>0</v>
      </c>
    </row>
    <row r="233" spans="1:10" ht="18" x14ac:dyDescent="0.35">
      <c r="A233" s="302" t="s">
        <v>1294</v>
      </c>
      <c r="B233" s="439">
        <v>878</v>
      </c>
      <c r="C233" s="322">
        <f>+IFERROR(VLOOKUP(B233,'Stock ISIS LK'!A:D,4,0),IFERROR(VLOOKUP(B233,'Stock ISIS CH'!A:D,4,0),0))</f>
        <v>0</v>
      </c>
      <c r="D233" s="322">
        <f t="shared" si="10"/>
        <v>0</v>
      </c>
      <c r="E233" s="335">
        <v>4</v>
      </c>
      <c r="G233" s="399">
        <f t="shared" si="8"/>
        <v>0</v>
      </c>
      <c r="H233" s="322">
        <v>24</v>
      </c>
      <c r="I233" s="322">
        <f t="shared" si="9"/>
        <v>0</v>
      </c>
      <c r="J233" s="335">
        <f>+IFERROR(VLOOKUP(B233,#REF!,3,0),IFERROR(VLOOKUP(B233,#REF!,3,0),0))</f>
        <v>0</v>
      </c>
    </row>
    <row r="234" spans="1:10" ht="18" x14ac:dyDescent="0.35">
      <c r="A234" s="302" t="s">
        <v>1295</v>
      </c>
      <c r="B234" s="439">
        <v>43</v>
      </c>
      <c r="C234" s="322">
        <f>+IFERROR(VLOOKUP(B234,'Stock ISIS LK'!A:D,4,0),IFERROR(VLOOKUP(B234,'Stock ISIS CH'!A:D,4,0),0))</f>
        <v>0</v>
      </c>
      <c r="D234" s="322">
        <f t="shared" si="10"/>
        <v>0</v>
      </c>
      <c r="E234" s="335">
        <v>2</v>
      </c>
      <c r="G234" s="399">
        <f t="shared" si="8"/>
        <v>0</v>
      </c>
      <c r="H234" s="322">
        <v>12</v>
      </c>
      <c r="I234" s="322">
        <f t="shared" si="9"/>
        <v>0</v>
      </c>
      <c r="J234" s="335">
        <f>+IFERROR(VLOOKUP(B234,#REF!,3,0),IFERROR(VLOOKUP(B234,#REF!,3,0),0))</f>
        <v>0</v>
      </c>
    </row>
    <row r="235" spans="1:10" ht="18" x14ac:dyDescent="0.35">
      <c r="A235" s="302" t="s">
        <v>1295</v>
      </c>
      <c r="B235" s="439">
        <v>58</v>
      </c>
      <c r="C235" s="322">
        <f>+IFERROR(VLOOKUP(B235,'Stock ISIS LK'!A:D,4,0),IFERROR(VLOOKUP(B235,'Stock ISIS CH'!A:D,4,0),0))</f>
        <v>0</v>
      </c>
      <c r="D235" s="322">
        <f t="shared" si="10"/>
        <v>0</v>
      </c>
      <c r="E235" s="335">
        <v>2</v>
      </c>
      <c r="G235" s="399">
        <f t="shared" si="8"/>
        <v>0</v>
      </c>
      <c r="H235" s="322">
        <v>12</v>
      </c>
      <c r="I235" s="322">
        <f t="shared" si="9"/>
        <v>0</v>
      </c>
      <c r="J235" s="335">
        <f>+IFERROR(VLOOKUP(B235,#REF!,3,0),IFERROR(VLOOKUP(B235,#REF!,3,0),0))</f>
        <v>0</v>
      </c>
    </row>
    <row r="236" spans="1:10" ht="18" x14ac:dyDescent="0.35">
      <c r="A236" s="302" t="s">
        <v>1295</v>
      </c>
      <c r="B236" s="439">
        <v>97</v>
      </c>
      <c r="C236" s="322">
        <f>+IFERROR(VLOOKUP(B236,'Stock ISIS LK'!A:D,4,0),IFERROR(VLOOKUP(B236,'Stock ISIS CH'!A:D,4,0),0))</f>
        <v>0</v>
      </c>
      <c r="D236" s="322">
        <f t="shared" si="10"/>
        <v>0</v>
      </c>
      <c r="E236" s="335">
        <v>1</v>
      </c>
      <c r="G236" s="399">
        <f t="shared" si="8"/>
        <v>0</v>
      </c>
      <c r="H236" s="322">
        <v>6</v>
      </c>
      <c r="I236" s="322">
        <f t="shared" si="9"/>
        <v>0</v>
      </c>
      <c r="J236" s="335">
        <f>+IFERROR(VLOOKUP(B236,#REF!,3,0),IFERROR(VLOOKUP(B236,#REF!,3,0),0))</f>
        <v>0</v>
      </c>
    </row>
    <row r="237" spans="1:10" ht="18" x14ac:dyDescent="0.35">
      <c r="A237" s="302" t="s">
        <v>1295</v>
      </c>
      <c r="B237" s="439">
        <v>311</v>
      </c>
      <c r="C237" s="322">
        <f>+IFERROR(VLOOKUP(B237,'Stock ISIS LK'!A:D,4,0),IFERROR(VLOOKUP(B237,'Stock ISIS CH'!A:D,4,0),0))</f>
        <v>0</v>
      </c>
      <c r="D237" s="322">
        <f t="shared" si="10"/>
        <v>0</v>
      </c>
      <c r="E237" s="335">
        <v>1</v>
      </c>
      <c r="G237" s="399">
        <f t="shared" si="8"/>
        <v>0</v>
      </c>
      <c r="H237" s="322">
        <v>12</v>
      </c>
      <c r="I237" s="322">
        <f t="shared" si="9"/>
        <v>0</v>
      </c>
      <c r="J237" s="335">
        <f>+IFERROR(VLOOKUP(B237,#REF!,3,0),IFERROR(VLOOKUP(B237,#REF!,3,0),0))</f>
        <v>0</v>
      </c>
    </row>
    <row r="238" spans="1:10" ht="18" x14ac:dyDescent="0.35">
      <c r="A238" s="302" t="s">
        <v>1295</v>
      </c>
      <c r="B238" s="439">
        <v>312</v>
      </c>
      <c r="C238" s="322">
        <f>+IFERROR(VLOOKUP(B238,'Stock ISIS LK'!A:D,4,0),IFERROR(VLOOKUP(B238,'Stock ISIS CH'!A:D,4,0),0))</f>
        <v>0</v>
      </c>
      <c r="D238" s="322">
        <f t="shared" si="10"/>
        <v>0</v>
      </c>
      <c r="E238" s="335">
        <v>1</v>
      </c>
      <c r="G238" s="399">
        <f t="shared" si="8"/>
        <v>0</v>
      </c>
      <c r="H238" s="322">
        <v>12</v>
      </c>
      <c r="I238" s="322">
        <f t="shared" si="9"/>
        <v>0</v>
      </c>
      <c r="J238" s="335">
        <f>+IFERROR(VLOOKUP(B238,#REF!,3,0),IFERROR(VLOOKUP(B238,#REF!,3,0),0))</f>
        <v>0</v>
      </c>
    </row>
    <row r="239" spans="1:10" ht="18" x14ac:dyDescent="0.35">
      <c r="A239" s="302" t="s">
        <v>1295</v>
      </c>
      <c r="B239" s="439">
        <v>395</v>
      </c>
      <c r="C239" s="322">
        <f>+IFERROR(VLOOKUP(B239,'Stock ISIS LK'!A:D,4,0),IFERROR(VLOOKUP(B239,'Stock ISIS CH'!A:D,4,0),0))</f>
        <v>0</v>
      </c>
      <c r="D239" s="322">
        <f t="shared" si="10"/>
        <v>0</v>
      </c>
      <c r="E239" s="335">
        <v>2</v>
      </c>
      <c r="G239" s="399">
        <f t="shared" si="8"/>
        <v>0</v>
      </c>
      <c r="H239" s="322">
        <v>12</v>
      </c>
      <c r="I239" s="322">
        <f t="shared" si="9"/>
        <v>0</v>
      </c>
      <c r="J239" s="335">
        <f>+IFERROR(VLOOKUP(B239,#REF!,3,0),IFERROR(VLOOKUP(B239,#REF!,3,0),0))</f>
        <v>0</v>
      </c>
    </row>
    <row r="240" spans="1:10" ht="18" x14ac:dyDescent="0.35">
      <c r="A240" s="302" t="s">
        <v>1295</v>
      </c>
      <c r="B240" s="439">
        <v>396</v>
      </c>
      <c r="C240" s="322">
        <f>+IFERROR(VLOOKUP(B240,'Stock ISIS LK'!A:D,4,0),IFERROR(VLOOKUP(B240,'Stock ISIS CH'!A:D,4,0),0))</f>
        <v>0</v>
      </c>
      <c r="D240" s="322">
        <f t="shared" si="10"/>
        <v>0</v>
      </c>
      <c r="E240" s="335">
        <v>2</v>
      </c>
      <c r="G240" s="399">
        <f t="shared" si="8"/>
        <v>0</v>
      </c>
      <c r="H240" s="322">
        <v>12</v>
      </c>
      <c r="I240" s="322">
        <f t="shared" si="9"/>
        <v>0</v>
      </c>
      <c r="J240" s="335">
        <f>+IFERROR(VLOOKUP(B240,#REF!,3,0),IFERROR(VLOOKUP(B240,#REF!,3,0),0))</f>
        <v>0</v>
      </c>
    </row>
    <row r="241" spans="1:10" ht="18" x14ac:dyDescent="0.35">
      <c r="A241" s="302" t="s">
        <v>1295</v>
      </c>
      <c r="B241" s="439">
        <v>504</v>
      </c>
      <c r="C241" s="322">
        <f>+IFERROR(VLOOKUP(B241,'Stock ISIS LK'!A:D,4,0),IFERROR(VLOOKUP(B241,'Stock ISIS CH'!A:D,4,0),0))</f>
        <v>0</v>
      </c>
      <c r="D241" s="322">
        <f t="shared" si="10"/>
        <v>0</v>
      </c>
      <c r="E241" s="335">
        <v>1</v>
      </c>
      <c r="G241" s="399">
        <f t="shared" si="8"/>
        <v>0</v>
      </c>
      <c r="H241" s="322">
        <v>6</v>
      </c>
      <c r="I241" s="322">
        <f t="shared" si="9"/>
        <v>0</v>
      </c>
      <c r="J241" s="335">
        <f>+IFERROR(VLOOKUP(B241,#REF!,3,0),IFERROR(VLOOKUP(B241,#REF!,3,0),0))</f>
        <v>0</v>
      </c>
    </row>
    <row r="242" spans="1:10" ht="18" x14ac:dyDescent="0.35">
      <c r="A242" s="302" t="s">
        <v>1295</v>
      </c>
      <c r="B242" s="439">
        <v>507</v>
      </c>
      <c r="C242" s="322">
        <f>+IFERROR(VLOOKUP(B242,'Stock ISIS LK'!A:D,4,0),IFERROR(VLOOKUP(B242,'Stock ISIS CH'!A:D,4,0),0))</f>
        <v>0</v>
      </c>
      <c r="D242" s="322">
        <f t="shared" si="10"/>
        <v>0</v>
      </c>
      <c r="E242" s="335">
        <v>1</v>
      </c>
      <c r="G242" s="399">
        <f t="shared" si="8"/>
        <v>0</v>
      </c>
      <c r="H242" s="322">
        <v>12</v>
      </c>
      <c r="I242" s="322">
        <f t="shared" si="9"/>
        <v>0</v>
      </c>
      <c r="J242" s="335">
        <f>+IFERROR(VLOOKUP(B242,#REF!,3,0),IFERROR(VLOOKUP(B242,#REF!,3,0),0))</f>
        <v>0</v>
      </c>
    </row>
    <row r="243" spans="1:10" ht="18" x14ac:dyDescent="0.35">
      <c r="A243" s="302" t="s">
        <v>1295</v>
      </c>
      <c r="B243" s="439">
        <v>508</v>
      </c>
      <c r="C243" s="322">
        <f>+IFERROR(VLOOKUP(B243,'Stock ISIS LK'!A:D,4,0),IFERROR(VLOOKUP(B243,'Stock ISIS CH'!A:D,4,0),0))</f>
        <v>0</v>
      </c>
      <c r="D243" s="322">
        <f t="shared" si="10"/>
        <v>0</v>
      </c>
      <c r="E243" s="335">
        <v>1</v>
      </c>
      <c r="G243" s="399">
        <f t="shared" si="8"/>
        <v>0</v>
      </c>
      <c r="H243" s="322">
        <v>12</v>
      </c>
      <c r="I243" s="322">
        <f t="shared" si="9"/>
        <v>0</v>
      </c>
      <c r="J243" s="335">
        <f>+IFERROR(VLOOKUP(B243,#REF!,3,0),IFERROR(VLOOKUP(B243,#REF!,3,0),0))</f>
        <v>0</v>
      </c>
    </row>
    <row r="244" spans="1:10" ht="18" x14ac:dyDescent="0.35">
      <c r="A244" s="302" t="s">
        <v>1295</v>
      </c>
      <c r="B244" s="439">
        <v>511</v>
      </c>
      <c r="C244" s="322">
        <f>+IFERROR(VLOOKUP(B244,'Stock ISIS LK'!A:D,4,0),IFERROR(VLOOKUP(B244,'Stock ISIS CH'!A:D,4,0),0))</f>
        <v>0</v>
      </c>
      <c r="D244" s="322">
        <f t="shared" si="10"/>
        <v>0</v>
      </c>
      <c r="E244" s="335">
        <v>2</v>
      </c>
      <c r="G244" s="399">
        <f t="shared" si="8"/>
        <v>0</v>
      </c>
      <c r="H244" s="322">
        <v>12</v>
      </c>
      <c r="I244" s="322">
        <f t="shared" si="9"/>
        <v>0</v>
      </c>
      <c r="J244" s="335">
        <f>+IFERROR(VLOOKUP(B244,#REF!,3,0),IFERROR(VLOOKUP(B244,#REF!,3,0),0))</f>
        <v>0</v>
      </c>
    </row>
    <row r="245" spans="1:10" ht="18" x14ac:dyDescent="0.35">
      <c r="A245" s="302" t="s">
        <v>1295</v>
      </c>
      <c r="B245" s="439">
        <v>520</v>
      </c>
      <c r="C245" s="322">
        <f>+IFERROR(VLOOKUP(B245,'Stock ISIS LK'!A:D,4,0),IFERROR(VLOOKUP(B245,'Stock ISIS CH'!A:D,4,0),0))</f>
        <v>0</v>
      </c>
      <c r="D245" s="322">
        <f t="shared" si="10"/>
        <v>0</v>
      </c>
      <c r="E245" s="335">
        <v>2</v>
      </c>
      <c r="G245" s="399">
        <f t="shared" si="8"/>
        <v>0</v>
      </c>
      <c r="H245" s="322">
        <v>12</v>
      </c>
      <c r="I245" s="322">
        <f t="shared" si="9"/>
        <v>0</v>
      </c>
      <c r="J245" s="335">
        <f>+IFERROR(VLOOKUP(B245,#REF!,3,0),IFERROR(VLOOKUP(B245,#REF!,3,0),0))</f>
        <v>0</v>
      </c>
    </row>
    <row r="246" spans="1:10" ht="18" x14ac:dyDescent="0.35">
      <c r="A246" s="302" t="s">
        <v>1295</v>
      </c>
      <c r="B246" s="439">
        <v>520</v>
      </c>
      <c r="C246" s="322">
        <f>+IFERROR(VLOOKUP(B246,'Stock ISIS LK'!A:D,4,0),IFERROR(VLOOKUP(B246,'Stock ISIS CH'!A:D,4,0),0))</f>
        <v>0</v>
      </c>
      <c r="D246" s="322">
        <f t="shared" si="10"/>
        <v>0</v>
      </c>
      <c r="E246" s="335">
        <v>2</v>
      </c>
      <c r="G246" s="399">
        <f t="shared" si="8"/>
        <v>0</v>
      </c>
      <c r="H246" s="322">
        <v>12</v>
      </c>
      <c r="I246" s="322">
        <f t="shared" si="9"/>
        <v>0</v>
      </c>
      <c r="J246" s="335">
        <f>+IFERROR(VLOOKUP(B246,#REF!,3,0),IFERROR(VLOOKUP(B246,#REF!,3,0),0))</f>
        <v>0</v>
      </c>
    </row>
    <row r="247" spans="1:10" ht="18" x14ac:dyDescent="0.35">
      <c r="A247" s="302" t="s">
        <v>1295</v>
      </c>
      <c r="B247" s="439">
        <v>521</v>
      </c>
      <c r="C247" s="322">
        <f>+IFERROR(VLOOKUP(B247,'Stock ISIS LK'!A:D,4,0),IFERROR(VLOOKUP(B247,'Stock ISIS CH'!A:D,4,0),0))</f>
        <v>0</v>
      </c>
      <c r="D247" s="322">
        <f t="shared" si="10"/>
        <v>0</v>
      </c>
      <c r="E247" s="335">
        <v>2</v>
      </c>
      <c r="G247" s="399">
        <f t="shared" si="8"/>
        <v>0</v>
      </c>
      <c r="H247" s="322">
        <v>12</v>
      </c>
      <c r="I247" s="322">
        <f t="shared" si="9"/>
        <v>0</v>
      </c>
      <c r="J247" s="335">
        <f>+IFERROR(VLOOKUP(B247,#REF!,3,0),IFERROR(VLOOKUP(B247,#REF!,3,0),0))</f>
        <v>0</v>
      </c>
    </row>
    <row r="248" spans="1:10" ht="18" x14ac:dyDescent="0.35">
      <c r="A248" s="302" t="s">
        <v>1295</v>
      </c>
      <c r="B248" s="439">
        <v>521</v>
      </c>
      <c r="C248" s="322">
        <f>+IFERROR(VLOOKUP(B248,'Stock ISIS LK'!A:D,4,0),IFERROR(VLOOKUP(B248,'Stock ISIS CH'!A:D,4,0),0))</f>
        <v>0</v>
      </c>
      <c r="D248" s="322">
        <f t="shared" si="10"/>
        <v>0</v>
      </c>
      <c r="E248" s="335">
        <v>2</v>
      </c>
      <c r="G248" s="399">
        <f t="shared" si="8"/>
        <v>0</v>
      </c>
      <c r="H248" s="322">
        <v>12</v>
      </c>
      <c r="I248" s="322">
        <f t="shared" si="9"/>
        <v>0</v>
      </c>
      <c r="J248" s="335">
        <f>+IFERROR(VLOOKUP(B248,#REF!,3,0),IFERROR(VLOOKUP(B248,#REF!,3,0),0))</f>
        <v>0</v>
      </c>
    </row>
    <row r="249" spans="1:10" ht="18" x14ac:dyDescent="0.35">
      <c r="A249" s="302" t="s">
        <v>1295</v>
      </c>
      <c r="B249" s="439">
        <v>530</v>
      </c>
      <c r="C249" s="322">
        <f>+IFERROR(VLOOKUP(B249,'Stock ISIS LK'!A:D,4,0),IFERROR(VLOOKUP(B249,'Stock ISIS CH'!A:D,4,0),0))</f>
        <v>0</v>
      </c>
      <c r="D249" s="322">
        <f t="shared" si="10"/>
        <v>0</v>
      </c>
      <c r="E249" s="335">
        <v>2</v>
      </c>
      <c r="G249" s="399">
        <f t="shared" si="8"/>
        <v>0</v>
      </c>
      <c r="H249" s="322">
        <v>12</v>
      </c>
      <c r="I249" s="322">
        <f t="shared" si="9"/>
        <v>0</v>
      </c>
      <c r="J249" s="335">
        <f>+IFERROR(VLOOKUP(B249,#REF!,3,0),IFERROR(VLOOKUP(B249,#REF!,3,0),0))</f>
        <v>0</v>
      </c>
    </row>
    <row r="250" spans="1:10" ht="18" x14ac:dyDescent="0.35">
      <c r="A250" s="302" t="s">
        <v>1295</v>
      </c>
      <c r="B250" s="439">
        <v>531</v>
      </c>
      <c r="C250" s="322">
        <f>+IFERROR(VLOOKUP(B250,'Stock ISIS LK'!A:D,4,0),IFERROR(VLOOKUP(B250,'Stock ISIS CH'!A:D,4,0),0))</f>
        <v>0</v>
      </c>
      <c r="D250" s="322">
        <f t="shared" si="10"/>
        <v>0</v>
      </c>
      <c r="E250" s="335">
        <v>2</v>
      </c>
      <c r="G250" s="399">
        <f t="shared" si="8"/>
        <v>0</v>
      </c>
      <c r="H250" s="322">
        <v>12</v>
      </c>
      <c r="I250" s="322">
        <f t="shared" si="9"/>
        <v>0</v>
      </c>
      <c r="J250" s="335">
        <f>+IFERROR(VLOOKUP(B250,#REF!,3,0),IFERROR(VLOOKUP(B250,#REF!,3,0),0))</f>
        <v>0</v>
      </c>
    </row>
    <row r="251" spans="1:10" ht="18" x14ac:dyDescent="0.35">
      <c r="A251" s="302" t="s">
        <v>1295</v>
      </c>
      <c r="B251" s="439">
        <v>546</v>
      </c>
      <c r="C251" s="322">
        <f>+IFERROR(VLOOKUP(B251,'Stock ISIS LK'!A:D,4,0),IFERROR(VLOOKUP(B251,'Stock ISIS CH'!A:D,4,0),0))</f>
        <v>0</v>
      </c>
      <c r="D251" s="322">
        <f t="shared" si="10"/>
        <v>0</v>
      </c>
      <c r="E251" s="335">
        <v>1</v>
      </c>
      <c r="G251" s="399">
        <f t="shared" si="8"/>
        <v>0</v>
      </c>
      <c r="H251" s="322">
        <v>12</v>
      </c>
      <c r="I251" s="322">
        <f t="shared" si="9"/>
        <v>0</v>
      </c>
      <c r="J251" s="335">
        <f>+IFERROR(VLOOKUP(B251,#REF!,3,0),IFERROR(VLOOKUP(B251,#REF!,3,0),0))</f>
        <v>0</v>
      </c>
    </row>
    <row r="252" spans="1:10" ht="18" x14ac:dyDescent="0.35">
      <c r="A252" s="302" t="s">
        <v>1295</v>
      </c>
      <c r="B252" s="439">
        <v>559</v>
      </c>
      <c r="C252" s="322">
        <f>+IFERROR(VLOOKUP(B252,'Stock ISIS LK'!A:D,4,0),IFERROR(VLOOKUP(B252,'Stock ISIS CH'!A:D,4,0),0))</f>
        <v>0</v>
      </c>
      <c r="D252" s="322">
        <f t="shared" si="10"/>
        <v>0</v>
      </c>
      <c r="E252" s="335">
        <v>1</v>
      </c>
      <c r="G252" s="399">
        <f t="shared" si="8"/>
        <v>0</v>
      </c>
      <c r="H252" s="322">
        <v>12</v>
      </c>
      <c r="I252" s="322">
        <f t="shared" si="9"/>
        <v>0</v>
      </c>
      <c r="J252" s="335">
        <f>+IFERROR(VLOOKUP(B252,#REF!,3,0),IFERROR(VLOOKUP(B252,#REF!,3,0),0))</f>
        <v>0</v>
      </c>
    </row>
    <row r="253" spans="1:10" ht="18" x14ac:dyDescent="0.35">
      <c r="A253" s="302" t="s">
        <v>1295</v>
      </c>
      <c r="B253" s="439">
        <v>562</v>
      </c>
      <c r="C253" s="322">
        <f>+IFERROR(VLOOKUP(B253,'Stock ISIS LK'!A:D,4,0),IFERROR(VLOOKUP(B253,'Stock ISIS CH'!A:D,4,0),0))</f>
        <v>0</v>
      </c>
      <c r="D253" s="322">
        <f t="shared" si="10"/>
        <v>0</v>
      </c>
      <c r="E253" s="335">
        <v>1</v>
      </c>
      <c r="G253" s="399">
        <f t="shared" si="8"/>
        <v>0</v>
      </c>
      <c r="H253" s="322">
        <v>12</v>
      </c>
      <c r="I253" s="322">
        <f t="shared" si="9"/>
        <v>0</v>
      </c>
      <c r="J253" s="335">
        <f>+IFERROR(VLOOKUP(B253,#REF!,3,0),IFERROR(VLOOKUP(B253,#REF!,3,0),0))</f>
        <v>0</v>
      </c>
    </row>
    <row r="254" spans="1:10" ht="18" x14ac:dyDescent="0.35">
      <c r="A254" s="302" t="s">
        <v>1295</v>
      </c>
      <c r="B254" s="439">
        <v>569</v>
      </c>
      <c r="C254" s="322">
        <f>+IFERROR(VLOOKUP(B254,'Stock ISIS LK'!A:D,4,0),IFERROR(VLOOKUP(B254,'Stock ISIS CH'!A:D,4,0),0))</f>
        <v>0</v>
      </c>
      <c r="D254" s="322">
        <f t="shared" si="10"/>
        <v>0</v>
      </c>
      <c r="E254" s="335">
        <v>2</v>
      </c>
      <c r="G254" s="399">
        <f t="shared" si="8"/>
        <v>0</v>
      </c>
      <c r="H254" s="322">
        <v>12</v>
      </c>
      <c r="I254" s="322">
        <f t="shared" si="9"/>
        <v>0</v>
      </c>
      <c r="J254" s="335">
        <f>+IFERROR(VLOOKUP(B254,#REF!,3,0),IFERROR(VLOOKUP(B254,#REF!,3,0),0))</f>
        <v>0</v>
      </c>
    </row>
    <row r="255" spans="1:10" ht="18" x14ac:dyDescent="0.35">
      <c r="A255" s="302" t="s">
        <v>1295</v>
      </c>
      <c r="B255" s="439">
        <v>570</v>
      </c>
      <c r="C255" s="322">
        <f>+IFERROR(VLOOKUP(B255,'Stock ISIS LK'!A:D,4,0),IFERROR(VLOOKUP(B255,'Stock ISIS CH'!A:D,4,0),0))</f>
        <v>0</v>
      </c>
      <c r="D255" s="322">
        <f t="shared" si="10"/>
        <v>0</v>
      </c>
      <c r="E255" s="335">
        <v>1</v>
      </c>
      <c r="G255" s="399">
        <f t="shared" si="8"/>
        <v>0</v>
      </c>
      <c r="H255" s="322">
        <v>24</v>
      </c>
      <c r="I255" s="322">
        <f t="shared" si="9"/>
        <v>0</v>
      </c>
      <c r="J255" s="335">
        <f>+IFERROR(VLOOKUP(B255,#REF!,3,0),IFERROR(VLOOKUP(B255,#REF!,3,0),0))</f>
        <v>0</v>
      </c>
    </row>
    <row r="256" spans="1:10" ht="18" x14ac:dyDescent="0.35">
      <c r="A256" s="302" t="s">
        <v>1295</v>
      </c>
      <c r="B256" s="439">
        <v>587</v>
      </c>
      <c r="C256" s="322">
        <f>+IFERROR(VLOOKUP(B256,'Stock ISIS LK'!A:D,4,0),IFERROR(VLOOKUP(B256,'Stock ISIS CH'!A:D,4,0),0))</f>
        <v>0</v>
      </c>
      <c r="D256" s="322">
        <f t="shared" si="10"/>
        <v>0</v>
      </c>
      <c r="E256" s="335">
        <v>1</v>
      </c>
      <c r="G256" s="399">
        <f t="shared" si="8"/>
        <v>0</v>
      </c>
      <c r="H256" s="322">
        <v>12</v>
      </c>
      <c r="I256" s="322">
        <f t="shared" si="9"/>
        <v>0</v>
      </c>
      <c r="J256" s="335">
        <f>+IFERROR(VLOOKUP(B256,#REF!,3,0),IFERROR(VLOOKUP(B256,#REF!,3,0),0))</f>
        <v>0</v>
      </c>
    </row>
    <row r="257" spans="1:10" ht="18" x14ac:dyDescent="0.35">
      <c r="A257" s="302" t="s">
        <v>1295</v>
      </c>
      <c r="B257" s="439">
        <v>701</v>
      </c>
      <c r="C257" s="322">
        <f>+IFERROR(VLOOKUP(B257,'Stock ISIS LK'!A:D,4,0),IFERROR(VLOOKUP(B257,'Stock ISIS CH'!A:D,4,0),0))</f>
        <v>0</v>
      </c>
      <c r="D257" s="322">
        <f t="shared" si="10"/>
        <v>0</v>
      </c>
      <c r="E257" s="335">
        <v>1</v>
      </c>
      <c r="G257" s="399">
        <f t="shared" si="8"/>
        <v>0</v>
      </c>
      <c r="H257" s="322">
        <v>6</v>
      </c>
      <c r="I257" s="322">
        <f t="shared" si="9"/>
        <v>0</v>
      </c>
      <c r="J257" s="335">
        <f>+IFERROR(VLOOKUP(B257,#REF!,3,0),IFERROR(VLOOKUP(B257,#REF!,3,0),0))</f>
        <v>0</v>
      </c>
    </row>
    <row r="258" spans="1:10" ht="18" x14ac:dyDescent="0.35">
      <c r="A258" s="302" t="s">
        <v>1295</v>
      </c>
      <c r="B258" s="439">
        <v>706</v>
      </c>
      <c r="C258" s="322">
        <f>+IFERROR(VLOOKUP(B258,'Stock ISIS LK'!A:D,4,0),IFERROR(VLOOKUP(B258,'Stock ISIS CH'!A:D,4,0),0))</f>
        <v>0</v>
      </c>
      <c r="D258" s="322">
        <f t="shared" si="10"/>
        <v>0</v>
      </c>
      <c r="E258" s="335">
        <v>1</v>
      </c>
      <c r="G258" s="399">
        <f t="shared" si="8"/>
        <v>0</v>
      </c>
      <c r="H258" s="322">
        <v>12</v>
      </c>
      <c r="I258" s="322">
        <f t="shared" si="9"/>
        <v>0</v>
      </c>
      <c r="J258" s="335">
        <f>+IFERROR(VLOOKUP(B258,#REF!,3,0),IFERROR(VLOOKUP(B258,#REF!,3,0),0))</f>
        <v>0</v>
      </c>
    </row>
    <row r="259" spans="1:10" ht="18" x14ac:dyDescent="0.35">
      <c r="A259" s="302" t="s">
        <v>1295</v>
      </c>
      <c r="B259" s="439">
        <v>707</v>
      </c>
      <c r="C259" s="322">
        <f>+IFERROR(VLOOKUP(B259,'Stock ISIS LK'!A:D,4,0),IFERROR(VLOOKUP(B259,'Stock ISIS CH'!A:D,4,0),0))</f>
        <v>0</v>
      </c>
      <c r="D259" s="322">
        <f t="shared" si="10"/>
        <v>0</v>
      </c>
      <c r="E259" s="335">
        <v>1</v>
      </c>
      <c r="G259" s="399">
        <f t="shared" si="8"/>
        <v>0</v>
      </c>
      <c r="H259" s="322">
        <v>12</v>
      </c>
      <c r="I259" s="322">
        <f t="shared" si="9"/>
        <v>0</v>
      </c>
      <c r="J259" s="335">
        <f>+IFERROR(VLOOKUP(B259,#REF!,3,0),IFERROR(VLOOKUP(B259,#REF!,3,0),0))</f>
        <v>0</v>
      </c>
    </row>
    <row r="260" spans="1:10" ht="18" x14ac:dyDescent="0.35">
      <c r="A260" s="302" t="s">
        <v>1295</v>
      </c>
      <c r="B260" s="439">
        <v>708</v>
      </c>
      <c r="C260" s="322">
        <f>+IFERROR(VLOOKUP(B260,'Stock ISIS LK'!A:D,4,0),IFERROR(VLOOKUP(B260,'Stock ISIS CH'!A:D,4,0),0))</f>
        <v>0</v>
      </c>
      <c r="D260" s="322">
        <f t="shared" si="10"/>
        <v>0</v>
      </c>
      <c r="E260" s="335">
        <v>1</v>
      </c>
      <c r="G260" s="399">
        <f t="shared" si="8"/>
        <v>0</v>
      </c>
      <c r="H260" s="322">
        <v>12</v>
      </c>
      <c r="I260" s="322">
        <f t="shared" si="9"/>
        <v>0</v>
      </c>
      <c r="J260" s="335">
        <f>+IFERROR(VLOOKUP(B260,#REF!,3,0),IFERROR(VLOOKUP(B260,#REF!,3,0),0))</f>
        <v>0</v>
      </c>
    </row>
    <row r="261" spans="1:10" ht="18" x14ac:dyDescent="0.35">
      <c r="A261" s="302" t="s">
        <v>1295</v>
      </c>
      <c r="B261" s="439">
        <v>709</v>
      </c>
      <c r="C261" s="322">
        <f>+IFERROR(VLOOKUP(B261,'Stock ISIS LK'!A:D,4,0),IFERROR(VLOOKUP(B261,'Stock ISIS CH'!A:D,4,0),0))</f>
        <v>0</v>
      </c>
      <c r="D261" s="322">
        <f t="shared" si="10"/>
        <v>0</v>
      </c>
      <c r="E261" s="335">
        <v>2</v>
      </c>
      <c r="G261" s="399">
        <f t="shared" si="8"/>
        <v>0</v>
      </c>
      <c r="H261" s="322">
        <v>12</v>
      </c>
      <c r="I261" s="322">
        <f t="shared" si="9"/>
        <v>0</v>
      </c>
      <c r="J261" s="335">
        <f>+IFERROR(VLOOKUP(B261,#REF!,3,0),IFERROR(VLOOKUP(B261,#REF!,3,0),0))</f>
        <v>0</v>
      </c>
    </row>
    <row r="262" spans="1:10" ht="18" x14ac:dyDescent="0.35">
      <c r="A262" s="302" t="s">
        <v>1295</v>
      </c>
      <c r="B262" s="439">
        <v>710</v>
      </c>
      <c r="C262" s="322">
        <f>+IFERROR(VLOOKUP(B262,'Stock ISIS LK'!A:D,4,0),IFERROR(VLOOKUP(B262,'Stock ISIS CH'!A:D,4,0),0))</f>
        <v>0</v>
      </c>
      <c r="D262" s="322">
        <f t="shared" si="10"/>
        <v>0</v>
      </c>
      <c r="E262" s="335">
        <v>2</v>
      </c>
      <c r="G262" s="399">
        <f t="shared" ref="G262:G313" si="11">+J262/H262</f>
        <v>0</v>
      </c>
      <c r="H262" s="322">
        <v>12</v>
      </c>
      <c r="I262" s="322">
        <f t="shared" si="9"/>
        <v>0</v>
      </c>
      <c r="J262" s="335">
        <f>+IFERROR(VLOOKUP(B262,#REF!,3,0),IFERROR(VLOOKUP(B262,#REF!,3,0),0))</f>
        <v>0</v>
      </c>
    </row>
    <row r="263" spans="1:10" ht="18" x14ac:dyDescent="0.35">
      <c r="A263" s="302" t="s">
        <v>1295</v>
      </c>
      <c r="B263" s="439">
        <v>715</v>
      </c>
      <c r="C263" s="322">
        <f>+IFERROR(VLOOKUP(B263,'Stock ISIS LK'!A:D,4,0),IFERROR(VLOOKUP(B263,'Stock ISIS CH'!A:D,4,0),0))</f>
        <v>0</v>
      </c>
      <c r="D263" s="322">
        <f t="shared" si="10"/>
        <v>0</v>
      </c>
      <c r="E263" s="335">
        <v>2</v>
      </c>
      <c r="G263" s="399">
        <f t="shared" si="11"/>
        <v>0</v>
      </c>
      <c r="H263" s="322">
        <v>24</v>
      </c>
      <c r="I263" s="322">
        <f t="shared" si="9"/>
        <v>0</v>
      </c>
      <c r="J263" s="335">
        <f>+IFERROR(VLOOKUP(B263,#REF!,3,0),IFERROR(VLOOKUP(B263,#REF!,3,0),0))</f>
        <v>0</v>
      </c>
    </row>
    <row r="264" spans="1:10" ht="18" x14ac:dyDescent="0.35">
      <c r="A264" s="302" t="s">
        <v>1295</v>
      </c>
      <c r="B264" s="439">
        <v>730</v>
      </c>
      <c r="C264" s="322">
        <f>+IFERROR(VLOOKUP(B264,'Stock ISIS LK'!A:D,4,0),IFERROR(VLOOKUP(B264,'Stock ISIS CH'!A:D,4,0),0))</f>
        <v>0</v>
      </c>
      <c r="D264" s="322">
        <f t="shared" si="10"/>
        <v>0</v>
      </c>
      <c r="E264" s="335">
        <v>2</v>
      </c>
      <c r="G264" s="399">
        <f t="shared" si="11"/>
        <v>0</v>
      </c>
      <c r="H264" s="322">
        <v>24</v>
      </c>
      <c r="I264" s="322">
        <f t="shared" si="9"/>
        <v>0</v>
      </c>
      <c r="J264" s="335">
        <f>+IFERROR(VLOOKUP(B264,#REF!,3,0),IFERROR(VLOOKUP(B264,#REF!,3,0),0))</f>
        <v>0</v>
      </c>
    </row>
    <row r="265" spans="1:10" ht="18" x14ac:dyDescent="0.35">
      <c r="A265" s="302" t="s">
        <v>1295</v>
      </c>
      <c r="B265" s="439">
        <v>731</v>
      </c>
      <c r="C265" s="322">
        <f>+IFERROR(VLOOKUP(B265,'Stock ISIS LK'!A:D,4,0),IFERROR(VLOOKUP(B265,'Stock ISIS CH'!A:D,4,0),0))</f>
        <v>0</v>
      </c>
      <c r="D265" s="322">
        <f t="shared" si="10"/>
        <v>0</v>
      </c>
      <c r="E265" s="335">
        <v>2</v>
      </c>
      <c r="G265" s="399">
        <f t="shared" si="11"/>
        <v>0</v>
      </c>
      <c r="H265" s="322">
        <v>24</v>
      </c>
      <c r="I265" s="322">
        <f t="shared" ref="I265:I298" si="12">+G265*H265*E265</f>
        <v>0</v>
      </c>
      <c r="J265" s="335">
        <f>+IFERROR(VLOOKUP(B265,#REF!,3,0),IFERROR(VLOOKUP(B265,#REF!,3,0),0))</f>
        <v>0</v>
      </c>
    </row>
    <row r="266" spans="1:10" ht="18" x14ac:dyDescent="0.35">
      <c r="A266" s="302" t="s">
        <v>1295</v>
      </c>
      <c r="B266" s="439">
        <v>856</v>
      </c>
      <c r="C266" s="322">
        <f>+IFERROR(VLOOKUP(B266,'Stock ISIS LK'!A:D,4,0),IFERROR(VLOOKUP(B266,'Stock ISIS CH'!A:D,4,0),0))</f>
        <v>0</v>
      </c>
      <c r="D266" s="322">
        <f t="shared" si="10"/>
        <v>0</v>
      </c>
      <c r="E266" s="335">
        <v>1</v>
      </c>
      <c r="G266" s="399">
        <f t="shared" si="11"/>
        <v>0</v>
      </c>
      <c r="H266" s="322">
        <v>24</v>
      </c>
      <c r="I266" s="322">
        <f t="shared" si="12"/>
        <v>0</v>
      </c>
      <c r="J266" s="335">
        <f>+IFERROR(VLOOKUP(B266,#REF!,3,0),IFERROR(VLOOKUP(B266,#REF!,3,0),0))</f>
        <v>0</v>
      </c>
    </row>
    <row r="267" spans="1:10" ht="18" x14ac:dyDescent="0.35">
      <c r="A267" s="302" t="s">
        <v>1295</v>
      </c>
      <c r="B267" s="439">
        <v>857</v>
      </c>
      <c r="C267" s="322">
        <f>+IFERROR(VLOOKUP(B267,'Stock ISIS LK'!A:D,4,0),IFERROR(VLOOKUP(B267,'Stock ISIS CH'!A:D,4,0),0))</f>
        <v>0</v>
      </c>
      <c r="D267" s="322">
        <f t="shared" si="10"/>
        <v>0</v>
      </c>
      <c r="E267" s="335">
        <v>1</v>
      </c>
      <c r="G267" s="399">
        <f t="shared" si="11"/>
        <v>0</v>
      </c>
      <c r="H267" s="322">
        <v>24</v>
      </c>
      <c r="I267" s="322">
        <f t="shared" si="12"/>
        <v>0</v>
      </c>
      <c r="J267" s="335">
        <f>+IFERROR(VLOOKUP(B267,#REF!,3,0),IFERROR(VLOOKUP(B267,#REF!,3,0),0))</f>
        <v>0</v>
      </c>
    </row>
    <row r="268" spans="1:10" ht="18" x14ac:dyDescent="0.35">
      <c r="A268" s="302" t="s">
        <v>1295</v>
      </c>
      <c r="B268" s="439">
        <v>858</v>
      </c>
      <c r="C268" s="322">
        <f>+IFERROR(VLOOKUP(B268,'Stock ISIS LK'!A:D,4,0),IFERROR(VLOOKUP(B268,'Stock ISIS CH'!A:D,4,0),0))</f>
        <v>0</v>
      </c>
      <c r="D268" s="322">
        <f t="shared" si="10"/>
        <v>0</v>
      </c>
      <c r="E268" s="335">
        <v>1</v>
      </c>
      <c r="G268" s="399">
        <f t="shared" si="11"/>
        <v>0</v>
      </c>
      <c r="H268" s="322">
        <v>24</v>
      </c>
      <c r="I268" s="322">
        <f t="shared" si="12"/>
        <v>0</v>
      </c>
      <c r="J268" s="335">
        <f>+IFERROR(VLOOKUP(B268,#REF!,3,0),IFERROR(VLOOKUP(B268,#REF!,3,0),0))</f>
        <v>0</v>
      </c>
    </row>
    <row r="269" spans="1:10" ht="18" x14ac:dyDescent="0.35">
      <c r="A269" s="302" t="s">
        <v>1295</v>
      </c>
      <c r="B269" s="439">
        <v>859</v>
      </c>
      <c r="C269" s="322">
        <f>+IFERROR(VLOOKUP(B269,'Stock ISIS LK'!A:D,4,0),IFERROR(VLOOKUP(B269,'Stock ISIS CH'!A:D,4,0),0))</f>
        <v>0</v>
      </c>
      <c r="D269" s="322">
        <f t="shared" si="10"/>
        <v>0</v>
      </c>
      <c r="E269" s="335">
        <v>1</v>
      </c>
      <c r="G269" s="399">
        <f t="shared" si="11"/>
        <v>0</v>
      </c>
      <c r="H269" s="322">
        <v>12</v>
      </c>
      <c r="I269" s="322">
        <f t="shared" si="12"/>
        <v>0</v>
      </c>
      <c r="J269" s="335">
        <f>+IFERROR(VLOOKUP(B269,#REF!,3,0),IFERROR(VLOOKUP(B269,#REF!,3,0),0))</f>
        <v>0</v>
      </c>
    </row>
    <row r="270" spans="1:10" ht="18" x14ac:dyDescent="0.35">
      <c r="A270" s="302" t="s">
        <v>1295</v>
      </c>
      <c r="B270" s="439">
        <v>862</v>
      </c>
      <c r="C270" s="322">
        <f>+IFERROR(VLOOKUP(B270,'Stock ISIS LK'!A:D,4,0),IFERROR(VLOOKUP(B270,'Stock ISIS CH'!A:D,4,0),0))</f>
        <v>0</v>
      </c>
      <c r="D270" s="322">
        <f t="shared" si="10"/>
        <v>0</v>
      </c>
      <c r="E270" s="335">
        <v>1</v>
      </c>
      <c r="G270" s="399">
        <f t="shared" si="11"/>
        <v>0</v>
      </c>
      <c r="H270" s="322">
        <v>12</v>
      </c>
      <c r="I270" s="322">
        <f t="shared" si="12"/>
        <v>0</v>
      </c>
      <c r="J270" s="335">
        <f>+IFERROR(VLOOKUP(B270,#REF!,3,0),IFERROR(VLOOKUP(B270,#REF!,3,0),0))</f>
        <v>0</v>
      </c>
    </row>
    <row r="271" spans="1:10" ht="18" x14ac:dyDescent="0.35">
      <c r="A271" s="302" t="s">
        <v>1295</v>
      </c>
      <c r="B271" s="439">
        <v>864</v>
      </c>
      <c r="C271" s="322">
        <f>+IFERROR(VLOOKUP(B271,'Stock ISIS LK'!A:D,4,0),IFERROR(VLOOKUP(B271,'Stock ISIS CH'!A:D,4,0),0))</f>
        <v>0</v>
      </c>
      <c r="D271" s="322">
        <f t="shared" si="10"/>
        <v>0</v>
      </c>
      <c r="E271" s="335">
        <v>1</v>
      </c>
      <c r="G271" s="399">
        <f t="shared" si="11"/>
        <v>0</v>
      </c>
      <c r="H271" s="322">
        <v>12</v>
      </c>
      <c r="I271" s="322">
        <f t="shared" si="12"/>
        <v>0</v>
      </c>
      <c r="J271" s="335">
        <f>+IFERROR(VLOOKUP(B271,#REF!,3,0),IFERROR(VLOOKUP(B271,#REF!,3,0),0))</f>
        <v>0</v>
      </c>
    </row>
    <row r="272" spans="1:10" ht="18" x14ac:dyDescent="0.35">
      <c r="A272" s="302" t="s">
        <v>1296</v>
      </c>
      <c r="B272" s="439">
        <v>59</v>
      </c>
      <c r="C272" s="322">
        <f>+IFERROR(VLOOKUP(B272,'Stock ISIS LK'!A:D,4,0),IFERROR(VLOOKUP(B272,'Stock ISIS CH'!A:D,4,0),0))</f>
        <v>0</v>
      </c>
      <c r="D272" s="322">
        <f t="shared" si="10"/>
        <v>0</v>
      </c>
      <c r="E272" s="335">
        <v>2</v>
      </c>
      <c r="G272" s="399">
        <f t="shared" si="11"/>
        <v>0</v>
      </c>
      <c r="H272" s="322">
        <v>12</v>
      </c>
      <c r="I272" s="322">
        <f t="shared" si="12"/>
        <v>0</v>
      </c>
      <c r="J272" s="335">
        <f>+IFERROR(VLOOKUP(B272,#REF!,3,0),IFERROR(VLOOKUP(B272,#REF!,3,0),0))</f>
        <v>0</v>
      </c>
    </row>
    <row r="273" spans="1:10" ht="18" x14ac:dyDescent="0.35">
      <c r="A273" s="302" t="s">
        <v>1296</v>
      </c>
      <c r="B273" s="439">
        <v>507</v>
      </c>
      <c r="C273" s="322">
        <f>+IFERROR(VLOOKUP(B273,'Stock ISIS LK'!A:D,4,0),IFERROR(VLOOKUP(B273,'Stock ISIS CH'!A:D,4,0),0))</f>
        <v>0</v>
      </c>
      <c r="D273" s="322">
        <f t="shared" si="10"/>
        <v>0</v>
      </c>
      <c r="E273" s="335">
        <v>1</v>
      </c>
      <c r="G273" s="399">
        <f t="shared" si="11"/>
        <v>0</v>
      </c>
      <c r="H273" s="322">
        <v>12</v>
      </c>
      <c r="I273" s="322">
        <f t="shared" si="12"/>
        <v>0</v>
      </c>
      <c r="J273" s="335">
        <f>+IFERROR(VLOOKUP(B273,#REF!,3,0),IFERROR(VLOOKUP(B273,#REF!,3,0),0))</f>
        <v>0</v>
      </c>
    </row>
    <row r="274" spans="1:10" ht="18" x14ac:dyDescent="0.35">
      <c r="A274" s="302" t="s">
        <v>1296</v>
      </c>
      <c r="B274" s="439">
        <v>519</v>
      </c>
      <c r="C274" s="322">
        <f>+IFERROR(VLOOKUP(B274,'Stock ISIS LK'!A:D,4,0),IFERROR(VLOOKUP(B274,'Stock ISIS CH'!A:D,4,0),0))</f>
        <v>0</v>
      </c>
      <c r="D274" s="322">
        <f t="shared" si="10"/>
        <v>0</v>
      </c>
      <c r="E274" s="335">
        <v>4</v>
      </c>
      <c r="G274" s="399">
        <f t="shared" si="11"/>
        <v>0</v>
      </c>
      <c r="H274" s="322">
        <v>12</v>
      </c>
      <c r="I274" s="322">
        <f t="shared" si="12"/>
        <v>0</v>
      </c>
      <c r="J274" s="335">
        <f>+IFERROR(VLOOKUP(B274,#REF!,3,0),IFERROR(VLOOKUP(B274,#REF!,3,0),0))</f>
        <v>0</v>
      </c>
    </row>
    <row r="275" spans="1:10" ht="18" x14ac:dyDescent="0.35">
      <c r="A275" s="302" t="s">
        <v>1296</v>
      </c>
      <c r="B275" s="439">
        <v>542</v>
      </c>
      <c r="C275" s="322">
        <f>+IFERROR(VLOOKUP(B275,'Stock ISIS LK'!A:D,4,0),IFERROR(VLOOKUP(B275,'Stock ISIS CH'!A:D,4,0),0))</f>
        <v>0</v>
      </c>
      <c r="D275" s="322">
        <f t="shared" si="10"/>
        <v>0</v>
      </c>
      <c r="E275" s="335">
        <v>2</v>
      </c>
      <c r="G275" s="399">
        <f t="shared" si="11"/>
        <v>0</v>
      </c>
      <c r="H275" s="322">
        <v>12</v>
      </c>
      <c r="I275" s="322">
        <f t="shared" si="12"/>
        <v>0</v>
      </c>
      <c r="J275" s="335">
        <f>+IFERROR(VLOOKUP(B275,#REF!,3,0),IFERROR(VLOOKUP(B275,#REF!,3,0),0))</f>
        <v>0</v>
      </c>
    </row>
    <row r="276" spans="1:10" ht="18" x14ac:dyDescent="0.35">
      <c r="A276" s="302" t="s">
        <v>1296</v>
      </c>
      <c r="B276" s="439">
        <v>543</v>
      </c>
      <c r="C276" s="322">
        <f>+IFERROR(VLOOKUP(B276,'Stock ISIS LK'!A:D,4,0),IFERROR(VLOOKUP(B276,'Stock ISIS CH'!A:D,4,0),0))</f>
        <v>0</v>
      </c>
      <c r="D276" s="322">
        <f t="shared" si="10"/>
        <v>0</v>
      </c>
      <c r="E276" s="335">
        <v>2</v>
      </c>
      <c r="G276" s="399">
        <f t="shared" si="11"/>
        <v>0</v>
      </c>
      <c r="H276" s="322">
        <v>12</v>
      </c>
      <c r="I276" s="322">
        <f t="shared" si="12"/>
        <v>0</v>
      </c>
      <c r="J276" s="335">
        <f>+IFERROR(VLOOKUP(B276,#REF!,3,0),IFERROR(VLOOKUP(B276,#REF!,3,0),0))</f>
        <v>0</v>
      </c>
    </row>
    <row r="277" spans="1:10" ht="18" x14ac:dyDescent="0.35">
      <c r="A277" s="302" t="s">
        <v>1296</v>
      </c>
      <c r="B277" s="439">
        <v>547</v>
      </c>
      <c r="C277" s="322">
        <f>+IFERROR(VLOOKUP(B277,'Stock ISIS LK'!A:D,4,0),IFERROR(VLOOKUP(B277,'Stock ISIS CH'!A:D,4,0),0))</f>
        <v>0</v>
      </c>
      <c r="D277" s="322">
        <f t="shared" si="10"/>
        <v>0</v>
      </c>
      <c r="E277" s="335">
        <v>2</v>
      </c>
      <c r="G277" s="399">
        <f t="shared" si="11"/>
        <v>0</v>
      </c>
      <c r="H277" s="322">
        <v>12</v>
      </c>
      <c r="I277" s="322">
        <f t="shared" si="12"/>
        <v>0</v>
      </c>
      <c r="J277" s="335">
        <f>+IFERROR(VLOOKUP(B277,#REF!,3,0),IFERROR(VLOOKUP(B277,#REF!,3,0),0))</f>
        <v>0</v>
      </c>
    </row>
    <row r="278" spans="1:10" ht="18" x14ac:dyDescent="0.35">
      <c r="A278" s="302" t="s">
        <v>1296</v>
      </c>
      <c r="B278" s="439">
        <v>563</v>
      </c>
      <c r="C278" s="322">
        <f>+IFERROR(VLOOKUP(B278,'Stock ISIS LK'!A:D,4,0),IFERROR(VLOOKUP(B278,'Stock ISIS CH'!A:D,4,0),0))</f>
        <v>0</v>
      </c>
      <c r="D278" s="322">
        <f t="shared" si="10"/>
        <v>0</v>
      </c>
      <c r="E278" s="335">
        <v>2</v>
      </c>
      <c r="G278" s="399">
        <f t="shared" si="11"/>
        <v>0</v>
      </c>
      <c r="H278" s="322">
        <v>12</v>
      </c>
      <c r="I278" s="322">
        <f t="shared" si="12"/>
        <v>0</v>
      </c>
      <c r="J278" s="335">
        <f>+IFERROR(VLOOKUP(B278,#REF!,3,0),IFERROR(VLOOKUP(B278,#REF!,3,0),0))</f>
        <v>0</v>
      </c>
    </row>
    <row r="279" spans="1:10" ht="18" x14ac:dyDescent="0.35">
      <c r="A279" s="302" t="s">
        <v>1296</v>
      </c>
      <c r="B279" s="439">
        <v>701</v>
      </c>
      <c r="C279" s="322">
        <f>+IFERROR(VLOOKUP(B279,'Stock ISIS LK'!A:D,4,0),IFERROR(VLOOKUP(B279,'Stock ISIS CH'!A:D,4,0),0))</f>
        <v>0</v>
      </c>
      <c r="D279" s="322">
        <f t="shared" si="10"/>
        <v>0</v>
      </c>
      <c r="E279" s="335">
        <v>1</v>
      </c>
      <c r="G279" s="399">
        <f t="shared" si="11"/>
        <v>0</v>
      </c>
      <c r="H279" s="322">
        <v>6</v>
      </c>
      <c r="I279" s="322">
        <f t="shared" si="12"/>
        <v>0</v>
      </c>
      <c r="J279" s="335">
        <f>+IFERROR(VLOOKUP(B279,#REF!,3,0),IFERROR(VLOOKUP(B279,#REF!,3,0),0))</f>
        <v>0</v>
      </c>
    </row>
    <row r="280" spans="1:10" ht="18" x14ac:dyDescent="0.35">
      <c r="A280" s="302" t="s">
        <v>1296</v>
      </c>
      <c r="B280" s="439">
        <v>706</v>
      </c>
      <c r="C280" s="322">
        <f>+IFERROR(VLOOKUP(B280,'Stock ISIS LK'!A:D,4,0),IFERROR(VLOOKUP(B280,'Stock ISIS CH'!A:D,4,0),0))</f>
        <v>0</v>
      </c>
      <c r="D280" s="322">
        <f t="shared" si="10"/>
        <v>0</v>
      </c>
      <c r="E280" s="335">
        <v>1</v>
      </c>
      <c r="G280" s="399">
        <f t="shared" si="11"/>
        <v>0</v>
      </c>
      <c r="H280" s="322">
        <v>12</v>
      </c>
      <c r="I280" s="322">
        <f t="shared" si="12"/>
        <v>0</v>
      </c>
      <c r="J280" s="335">
        <f>+IFERROR(VLOOKUP(B280,#REF!,3,0),IFERROR(VLOOKUP(B280,#REF!,3,0),0))</f>
        <v>0</v>
      </c>
    </row>
    <row r="281" spans="1:10" ht="18" x14ac:dyDescent="0.35">
      <c r="A281" s="302" t="s">
        <v>1296</v>
      </c>
      <c r="B281" s="439">
        <v>707</v>
      </c>
      <c r="C281" s="322">
        <f>+IFERROR(VLOOKUP(B281,'Stock ISIS LK'!A:D,4,0),IFERROR(VLOOKUP(B281,'Stock ISIS CH'!A:D,4,0),0))</f>
        <v>0</v>
      </c>
      <c r="D281" s="322">
        <f t="shared" si="10"/>
        <v>0</v>
      </c>
      <c r="E281" s="335">
        <v>1</v>
      </c>
      <c r="G281" s="399">
        <f t="shared" si="11"/>
        <v>0</v>
      </c>
      <c r="H281" s="322">
        <v>12</v>
      </c>
      <c r="I281" s="322">
        <f t="shared" si="12"/>
        <v>0</v>
      </c>
      <c r="J281" s="335">
        <f>+IFERROR(VLOOKUP(B281,#REF!,3,0),IFERROR(VLOOKUP(B281,#REF!,3,0),0))</f>
        <v>0</v>
      </c>
    </row>
    <row r="282" spans="1:10" ht="18" x14ac:dyDescent="0.35">
      <c r="A282" s="302" t="s">
        <v>1296</v>
      </c>
      <c r="B282" s="439">
        <v>719</v>
      </c>
      <c r="C282" s="322">
        <f>+IFERROR(VLOOKUP(B282,'Stock ISIS LK'!A:D,4,0),IFERROR(VLOOKUP(B282,'Stock ISIS CH'!A:D,4,0),0))</f>
        <v>0</v>
      </c>
      <c r="D282" s="322">
        <f t="shared" si="10"/>
        <v>0</v>
      </c>
      <c r="E282" s="335">
        <v>4</v>
      </c>
      <c r="G282" s="399">
        <f t="shared" si="11"/>
        <v>0</v>
      </c>
      <c r="H282" s="322">
        <v>12</v>
      </c>
      <c r="I282" s="322">
        <f t="shared" si="12"/>
        <v>0</v>
      </c>
      <c r="J282" s="335">
        <f>+IFERROR(VLOOKUP(B282,#REF!,3,0),IFERROR(VLOOKUP(B282,#REF!,3,0),0))</f>
        <v>0</v>
      </c>
    </row>
    <row r="283" spans="1:10" ht="18" x14ac:dyDescent="0.35">
      <c r="A283" s="302" t="s">
        <v>1296</v>
      </c>
      <c r="B283" s="439">
        <v>720</v>
      </c>
      <c r="C283" s="322">
        <f>+IFERROR(VLOOKUP(B283,'Stock ISIS LK'!A:D,4,0),IFERROR(VLOOKUP(B283,'Stock ISIS CH'!A:D,4,0),0))</f>
        <v>0</v>
      </c>
      <c r="D283" s="322">
        <f t="shared" si="10"/>
        <v>0</v>
      </c>
      <c r="E283" s="335">
        <v>2</v>
      </c>
      <c r="G283" s="399">
        <f t="shared" si="11"/>
        <v>0</v>
      </c>
      <c r="H283" s="322">
        <v>12</v>
      </c>
      <c r="I283" s="322">
        <f t="shared" si="12"/>
        <v>0</v>
      </c>
      <c r="J283" s="335">
        <f>+IFERROR(VLOOKUP(B283,#REF!,3,0),IFERROR(VLOOKUP(B283,#REF!,3,0),0))</f>
        <v>0</v>
      </c>
    </row>
    <row r="284" spans="1:10" ht="18" x14ac:dyDescent="0.35">
      <c r="A284" s="302" t="s">
        <v>1296</v>
      </c>
      <c r="B284" s="439">
        <v>722</v>
      </c>
      <c r="C284" s="322">
        <f>+IFERROR(VLOOKUP(B284,'Stock ISIS LK'!A:D,4,0),IFERROR(VLOOKUP(B284,'Stock ISIS CH'!A:D,4,0),0))</f>
        <v>0</v>
      </c>
      <c r="D284" s="322">
        <f t="shared" si="10"/>
        <v>0</v>
      </c>
      <c r="E284" s="335">
        <v>2</v>
      </c>
      <c r="G284" s="399">
        <f t="shared" si="11"/>
        <v>0</v>
      </c>
      <c r="H284" s="322">
        <v>12</v>
      </c>
      <c r="I284" s="322">
        <f t="shared" si="12"/>
        <v>0</v>
      </c>
      <c r="J284" s="335">
        <f>+IFERROR(VLOOKUP(B284,#REF!,3,0),IFERROR(VLOOKUP(B284,#REF!,3,0),0))</f>
        <v>0</v>
      </c>
    </row>
    <row r="285" spans="1:10" ht="18" x14ac:dyDescent="0.35">
      <c r="A285" s="302" t="s">
        <v>1296</v>
      </c>
      <c r="B285" s="439">
        <v>809</v>
      </c>
      <c r="C285" s="322">
        <f>+IFERROR(VLOOKUP(B285,'Stock ISIS LK'!A:D,4,0),IFERROR(VLOOKUP(B285,'Stock ISIS CH'!A:D,4,0),0))</f>
        <v>0</v>
      </c>
      <c r="D285" s="322">
        <f t="shared" si="10"/>
        <v>0</v>
      </c>
      <c r="E285" s="335">
        <v>1</v>
      </c>
      <c r="G285" s="399">
        <f t="shared" si="11"/>
        <v>0</v>
      </c>
      <c r="H285" s="322">
        <v>12</v>
      </c>
      <c r="I285" s="322">
        <f t="shared" si="12"/>
        <v>0</v>
      </c>
      <c r="J285" s="335">
        <f>+IFERROR(VLOOKUP(B285,#REF!,3,0),IFERROR(VLOOKUP(B285,#REF!,3,0),0))</f>
        <v>0</v>
      </c>
    </row>
    <row r="286" spans="1:10" ht="18" x14ac:dyDescent="0.35">
      <c r="A286" s="302" t="s">
        <v>1296</v>
      </c>
      <c r="B286" s="439">
        <v>848</v>
      </c>
      <c r="C286" s="322">
        <f>+IFERROR(VLOOKUP(B286,'Stock ISIS LK'!A:D,4,0),IFERROR(VLOOKUP(B286,'Stock ISIS CH'!A:D,4,0),0))</f>
        <v>0</v>
      </c>
      <c r="D286" s="322">
        <f t="shared" si="10"/>
        <v>0</v>
      </c>
      <c r="E286" s="335">
        <v>2</v>
      </c>
      <c r="G286" s="399">
        <f t="shared" si="11"/>
        <v>0</v>
      </c>
      <c r="H286" s="322">
        <v>24</v>
      </c>
      <c r="I286" s="322">
        <f t="shared" si="12"/>
        <v>0</v>
      </c>
      <c r="J286" s="335">
        <f>+IFERROR(VLOOKUP(B286,#REF!,3,0),IFERROR(VLOOKUP(B286,#REF!,3,0),0))</f>
        <v>0</v>
      </c>
    </row>
    <row r="287" spans="1:10" ht="18" x14ac:dyDescent="0.35">
      <c r="A287" s="302" t="s">
        <v>1297</v>
      </c>
      <c r="B287" s="439">
        <v>97</v>
      </c>
      <c r="C287" s="322">
        <f>+IFERROR(VLOOKUP(B287,'Stock ISIS LK'!A:D,4,0),IFERROR(VLOOKUP(B287,'Stock ISIS CH'!A:D,4,0),0))</f>
        <v>0</v>
      </c>
      <c r="D287" s="322">
        <f t="shared" si="10"/>
        <v>0</v>
      </c>
      <c r="E287" s="335">
        <v>1</v>
      </c>
      <c r="G287" s="399">
        <f t="shared" si="11"/>
        <v>0</v>
      </c>
      <c r="H287" s="322">
        <v>6</v>
      </c>
      <c r="I287" s="322">
        <f t="shared" si="12"/>
        <v>0</v>
      </c>
      <c r="J287" s="335">
        <f>+IFERROR(VLOOKUP(B287,#REF!,3,0),IFERROR(VLOOKUP(B287,#REF!,3,0),0))</f>
        <v>0</v>
      </c>
    </row>
    <row r="288" spans="1:10" ht="18" x14ac:dyDescent="0.35">
      <c r="A288" s="302" t="s">
        <v>1297</v>
      </c>
      <c r="B288" s="439">
        <v>504</v>
      </c>
      <c r="C288" s="322">
        <f>+IFERROR(VLOOKUP(B288,'Stock ISIS LK'!A:D,4,0),IFERROR(VLOOKUP(B288,'Stock ISIS CH'!A:D,4,0),0))</f>
        <v>0</v>
      </c>
      <c r="D288" s="322">
        <f t="shared" si="10"/>
        <v>0</v>
      </c>
      <c r="E288" s="335">
        <v>1</v>
      </c>
      <c r="G288" s="399">
        <f t="shared" si="11"/>
        <v>0</v>
      </c>
      <c r="H288" s="322">
        <v>6</v>
      </c>
      <c r="I288" s="322">
        <f t="shared" si="12"/>
        <v>0</v>
      </c>
      <c r="J288" s="335">
        <f>+IFERROR(VLOOKUP(B288,#REF!,3,0),IFERROR(VLOOKUP(B288,#REF!,3,0),0))</f>
        <v>0</v>
      </c>
    </row>
    <row r="289" spans="1:10" ht="18" x14ac:dyDescent="0.35">
      <c r="A289" s="302" t="s">
        <v>1297</v>
      </c>
      <c r="B289" s="439">
        <v>564</v>
      </c>
      <c r="C289" s="322">
        <f>+IFERROR(VLOOKUP(B289,'Stock ISIS LK'!A:D,4,0),IFERROR(VLOOKUP(B289,'Stock ISIS CH'!A:D,4,0),0))</f>
        <v>0</v>
      </c>
      <c r="D289" s="322">
        <f t="shared" si="10"/>
        <v>0</v>
      </c>
      <c r="E289" s="335">
        <v>2</v>
      </c>
      <c r="G289" s="399">
        <f t="shared" si="11"/>
        <v>0</v>
      </c>
      <c r="H289" s="322">
        <v>12</v>
      </c>
      <c r="I289" s="322">
        <f t="shared" si="12"/>
        <v>0</v>
      </c>
      <c r="J289" s="335">
        <f>+IFERROR(VLOOKUP(B289,#REF!,3,0),IFERROR(VLOOKUP(B289,#REF!,3,0),0))</f>
        <v>0</v>
      </c>
    </row>
    <row r="290" spans="1:10" ht="18" x14ac:dyDescent="0.35">
      <c r="A290" s="302" t="s">
        <v>1297</v>
      </c>
      <c r="B290" s="439">
        <v>863</v>
      </c>
      <c r="C290" s="322">
        <f>+IFERROR(VLOOKUP(B290,'Stock ISIS LK'!A:D,4,0),IFERROR(VLOOKUP(B290,'Stock ISIS CH'!A:D,4,0),0))</f>
        <v>0</v>
      </c>
      <c r="D290" s="322">
        <f t="shared" si="10"/>
        <v>0</v>
      </c>
      <c r="E290" s="335">
        <v>2</v>
      </c>
      <c r="G290" s="399">
        <f t="shared" si="11"/>
        <v>0</v>
      </c>
      <c r="H290" s="322">
        <v>12</v>
      </c>
      <c r="I290" s="322">
        <f t="shared" si="12"/>
        <v>0</v>
      </c>
      <c r="J290" s="335">
        <f>+IFERROR(VLOOKUP(B290,#REF!,3,0),IFERROR(VLOOKUP(B290,#REF!,3,0),0))</f>
        <v>0</v>
      </c>
    </row>
    <row r="291" spans="1:10" ht="18" x14ac:dyDescent="0.35">
      <c r="A291" s="302" t="s">
        <v>1298</v>
      </c>
      <c r="B291" s="439">
        <v>53</v>
      </c>
      <c r="C291" s="322">
        <f>+IFERROR(VLOOKUP(B291,'Stock ISIS LK'!A:D,4,0),IFERROR(VLOOKUP(B291,'Stock ISIS CH'!A:D,4,0),0))</f>
        <v>0</v>
      </c>
      <c r="D291" s="322">
        <f t="shared" si="10"/>
        <v>0</v>
      </c>
      <c r="E291" s="335">
        <v>2</v>
      </c>
      <c r="G291" s="399">
        <f t="shared" si="11"/>
        <v>0</v>
      </c>
      <c r="H291" s="322">
        <v>12</v>
      </c>
      <c r="I291" s="322">
        <f t="shared" si="12"/>
        <v>0</v>
      </c>
      <c r="J291" s="335">
        <f>+IFERROR(VLOOKUP(B291,#REF!,3,0),IFERROR(VLOOKUP(B291,#REF!,3,0),0))</f>
        <v>0</v>
      </c>
    </row>
    <row r="292" spans="1:10" ht="18" x14ac:dyDescent="0.35">
      <c r="A292" s="302" t="s">
        <v>1298</v>
      </c>
      <c r="B292" s="439">
        <v>54</v>
      </c>
      <c r="C292" s="322">
        <f>+IFERROR(VLOOKUP(B292,'Stock ISIS LK'!A:D,4,0),IFERROR(VLOOKUP(B292,'Stock ISIS CH'!A:D,4,0),0))</f>
        <v>0</v>
      </c>
      <c r="D292" s="322">
        <f t="shared" si="10"/>
        <v>0</v>
      </c>
      <c r="E292" s="335">
        <v>2</v>
      </c>
      <c r="G292" s="399">
        <f t="shared" si="11"/>
        <v>0</v>
      </c>
      <c r="H292" s="322">
        <v>12</v>
      </c>
      <c r="I292" s="322">
        <f t="shared" si="12"/>
        <v>0</v>
      </c>
      <c r="J292" s="335">
        <f>+IFERROR(VLOOKUP(B292,#REF!,3,0),IFERROR(VLOOKUP(B292,#REF!,3,0),0))</f>
        <v>0</v>
      </c>
    </row>
    <row r="293" spans="1:10" ht="18" x14ac:dyDescent="0.35">
      <c r="A293" s="302" t="s">
        <v>1298</v>
      </c>
      <c r="B293" s="439">
        <v>55</v>
      </c>
      <c r="C293" s="322">
        <f>+IFERROR(VLOOKUP(B293,'Stock ISIS LK'!A:D,4,0),IFERROR(VLOOKUP(B293,'Stock ISIS CH'!A:D,4,0),0))</f>
        <v>0</v>
      </c>
      <c r="D293" s="322">
        <f t="shared" si="10"/>
        <v>0</v>
      </c>
      <c r="E293" s="335">
        <v>2</v>
      </c>
      <c r="G293" s="399">
        <f t="shared" si="11"/>
        <v>0</v>
      </c>
      <c r="H293" s="322">
        <v>12</v>
      </c>
      <c r="I293" s="322">
        <f t="shared" si="12"/>
        <v>0</v>
      </c>
      <c r="J293" s="335">
        <f>+IFERROR(VLOOKUP(B293,#REF!,3,0),IFERROR(VLOOKUP(B293,#REF!,3,0),0))</f>
        <v>0</v>
      </c>
    </row>
    <row r="294" spans="1:10" ht="18" x14ac:dyDescent="0.35">
      <c r="A294" s="302" t="s">
        <v>1298</v>
      </c>
      <c r="B294" s="439">
        <v>518</v>
      </c>
      <c r="C294" s="322">
        <f>+IFERROR(VLOOKUP(B294,'Stock ISIS LK'!A:D,4,0),IFERROR(VLOOKUP(B294,'Stock ISIS CH'!A:D,4,0),0))</f>
        <v>0</v>
      </c>
      <c r="D294" s="322">
        <f t="shared" si="10"/>
        <v>0</v>
      </c>
      <c r="E294" s="335">
        <v>2</v>
      </c>
      <c r="G294" s="399">
        <f t="shared" si="11"/>
        <v>0</v>
      </c>
      <c r="H294" s="322">
        <v>12</v>
      </c>
      <c r="I294" s="322">
        <f t="shared" si="12"/>
        <v>0</v>
      </c>
      <c r="J294" s="335">
        <f>+IFERROR(VLOOKUP(B294,#REF!,3,0),IFERROR(VLOOKUP(B294,#REF!,3,0),0))</f>
        <v>0</v>
      </c>
    </row>
    <row r="295" spans="1:10" ht="18" x14ac:dyDescent="0.35">
      <c r="A295" s="302" t="s">
        <v>1298</v>
      </c>
      <c r="B295" s="439">
        <v>594</v>
      </c>
      <c r="C295" s="322">
        <f>+IFERROR(VLOOKUP(B295,'Stock ISIS LK'!A:D,4,0),IFERROR(VLOOKUP(B295,'Stock ISIS CH'!A:D,4,0),0))</f>
        <v>0</v>
      </c>
      <c r="D295" s="322">
        <f t="shared" si="10"/>
        <v>0</v>
      </c>
      <c r="E295" s="335">
        <v>2</v>
      </c>
      <c r="G295" s="399">
        <f t="shared" si="11"/>
        <v>0</v>
      </c>
      <c r="H295" s="322">
        <v>12</v>
      </c>
      <c r="I295" s="322">
        <f t="shared" si="12"/>
        <v>0</v>
      </c>
      <c r="J295" s="335">
        <f>+IFERROR(VLOOKUP(B295,#REF!,3,0),IFERROR(VLOOKUP(B295,#REF!,3,0),0))</f>
        <v>0</v>
      </c>
    </row>
    <row r="296" spans="1:10" ht="18" x14ac:dyDescent="0.35">
      <c r="A296" s="302" t="s">
        <v>1298</v>
      </c>
      <c r="B296" s="439">
        <v>595</v>
      </c>
      <c r="C296" s="322">
        <f>+IFERROR(VLOOKUP(B296,'Stock ISIS LK'!A:D,4,0),IFERROR(VLOOKUP(B296,'Stock ISIS CH'!A:D,4,0),0))</f>
        <v>0</v>
      </c>
      <c r="D296" s="322">
        <f t="shared" si="10"/>
        <v>0</v>
      </c>
      <c r="E296" s="335">
        <v>2</v>
      </c>
      <c r="G296" s="399">
        <f t="shared" si="11"/>
        <v>0</v>
      </c>
      <c r="H296" s="322">
        <v>12</v>
      </c>
      <c r="I296" s="322">
        <f t="shared" si="12"/>
        <v>0</v>
      </c>
      <c r="J296" s="335">
        <f>+IFERROR(VLOOKUP(B296,#REF!,3,0),IFERROR(VLOOKUP(B296,#REF!,3,0),0))</f>
        <v>0</v>
      </c>
    </row>
    <row r="297" spans="1:10" ht="18" x14ac:dyDescent="0.35">
      <c r="A297" s="302" t="s">
        <v>1298</v>
      </c>
      <c r="B297" s="439">
        <v>596</v>
      </c>
      <c r="C297" s="322">
        <f>+IFERROR(VLOOKUP(B297,'Stock ISIS LK'!A:D,4,0),IFERROR(VLOOKUP(B297,'Stock ISIS CH'!A:D,4,0),0))</f>
        <v>0</v>
      </c>
      <c r="D297" s="322">
        <f t="shared" si="10"/>
        <v>0</v>
      </c>
      <c r="E297" s="335">
        <v>2</v>
      </c>
      <c r="G297" s="399">
        <f t="shared" si="11"/>
        <v>0</v>
      </c>
      <c r="H297" s="322">
        <v>12</v>
      </c>
      <c r="I297" s="322">
        <f t="shared" si="12"/>
        <v>0</v>
      </c>
      <c r="J297" s="335">
        <f>+IFERROR(VLOOKUP(B297,#REF!,3,0),IFERROR(VLOOKUP(B297,#REF!,3,0),0))</f>
        <v>0</v>
      </c>
    </row>
    <row r="298" spans="1:10" ht="18" x14ac:dyDescent="0.35">
      <c r="A298" s="302" t="s">
        <v>1298</v>
      </c>
      <c r="B298" s="439">
        <v>718</v>
      </c>
      <c r="C298" s="322">
        <f>+IFERROR(VLOOKUP(B298,'Stock ISIS LK'!A:D,4,0),IFERROR(VLOOKUP(B298,'Stock ISIS CH'!A:D,4,0),0))</f>
        <v>0</v>
      </c>
      <c r="D298" s="322">
        <f t="shared" si="10"/>
        <v>0</v>
      </c>
      <c r="E298" s="335">
        <v>2</v>
      </c>
      <c r="G298" s="399">
        <f t="shared" si="11"/>
        <v>0</v>
      </c>
      <c r="H298" s="322">
        <v>24</v>
      </c>
      <c r="I298" s="322">
        <f t="shared" si="12"/>
        <v>0</v>
      </c>
      <c r="J298" s="335">
        <f>+IFERROR(VLOOKUP(B298,#REF!,3,0),IFERROR(VLOOKUP(B298,#REF!,3,0),0))</f>
        <v>0</v>
      </c>
    </row>
    <row r="299" spans="1:10" ht="18" x14ac:dyDescent="0.35">
      <c r="A299" s="302" t="s">
        <v>1432</v>
      </c>
      <c r="B299" s="397">
        <v>504</v>
      </c>
      <c r="C299" s="322">
        <f>+IFERROR(VLOOKUP(B299,'Stock ISIS LK'!A:D,4,0),IFERROR(VLOOKUP(B299,'Stock ISIS CH'!A:D,4,0),0))</f>
        <v>0</v>
      </c>
      <c r="D299" s="322">
        <f t="shared" si="10"/>
        <v>0</v>
      </c>
      <c r="E299" s="335">
        <v>1</v>
      </c>
      <c r="G299" s="399">
        <f t="shared" si="11"/>
        <v>0</v>
      </c>
      <c r="H299" s="322">
        <v>6</v>
      </c>
      <c r="I299" s="322">
        <f t="shared" ref="I299:I313" si="13">+G299*H299*E299</f>
        <v>0</v>
      </c>
      <c r="J299" s="335">
        <f>+IFERROR(VLOOKUP(B299,#REF!,3,0),IFERROR(VLOOKUP(B299,#REF!,3,0),0))</f>
        <v>0</v>
      </c>
    </row>
    <row r="300" spans="1:10" ht="18" x14ac:dyDescent="0.35">
      <c r="A300" s="302" t="s">
        <v>1613</v>
      </c>
      <c r="B300" s="439">
        <v>114</v>
      </c>
      <c r="C300" s="322">
        <f>+IFERROR(VLOOKUP(B300,'Stock ISIS LK'!A:D,4,0),IFERROR(VLOOKUP(B300,'Stock ISIS CH'!A:D,4,0),0))</f>
        <v>0</v>
      </c>
      <c r="D300" s="322">
        <f>+C300*E300</f>
        <v>0</v>
      </c>
      <c r="E300" s="335">
        <v>1</v>
      </c>
      <c r="G300" s="399">
        <f>+J300/H300</f>
        <v>0</v>
      </c>
      <c r="H300" s="322">
        <v>6</v>
      </c>
      <c r="I300" s="322">
        <f>+G300*H300*E300</f>
        <v>0</v>
      </c>
      <c r="J300" s="335">
        <f>+IFERROR(VLOOKUP(B300,#REF!,3,0),IFERROR(VLOOKUP(B300,#REF!,3,0),0))</f>
        <v>0</v>
      </c>
    </row>
    <row r="301" spans="1:10" ht="18" x14ac:dyDescent="0.35">
      <c r="A301" s="302" t="s">
        <v>1433</v>
      </c>
      <c r="B301" s="397">
        <v>97</v>
      </c>
      <c r="C301" s="322">
        <f>+IFERROR(VLOOKUP(B301,'Stock ISIS LK'!A:D,4,0),IFERROR(VLOOKUP(B301,'Stock ISIS CH'!A:D,4,0),0))</f>
        <v>0</v>
      </c>
      <c r="D301" s="322">
        <f t="shared" si="10"/>
        <v>0</v>
      </c>
      <c r="E301" s="335">
        <v>1</v>
      </c>
      <c r="G301" s="399">
        <f t="shared" si="11"/>
        <v>0</v>
      </c>
      <c r="H301" s="322">
        <v>6</v>
      </c>
      <c r="I301" s="322">
        <f t="shared" si="13"/>
        <v>0</v>
      </c>
      <c r="J301" s="335">
        <f>+IFERROR(VLOOKUP(B301,#REF!,3,0),IFERROR(VLOOKUP(B301,#REF!,3,0),0))</f>
        <v>0</v>
      </c>
    </row>
    <row r="302" spans="1:10" ht="18" x14ac:dyDescent="0.35">
      <c r="A302" s="302" t="s">
        <v>1315</v>
      </c>
      <c r="B302" s="439">
        <v>535</v>
      </c>
      <c r="C302" s="322">
        <f>+IFERROR(VLOOKUP(B302,'Stock ISIS LK'!A:D,4,0),IFERROR(VLOOKUP(B302,'Stock ISIS CH'!A:D,4,0),0))</f>
        <v>0</v>
      </c>
      <c r="D302" s="322">
        <f t="shared" si="10"/>
        <v>0</v>
      </c>
      <c r="E302" s="335">
        <v>1</v>
      </c>
      <c r="G302" s="399">
        <f t="shared" si="11"/>
        <v>0</v>
      </c>
      <c r="H302" s="322">
        <v>24</v>
      </c>
      <c r="I302" s="322">
        <f t="shared" si="13"/>
        <v>0</v>
      </c>
      <c r="J302" s="335">
        <f>+IFERROR(VLOOKUP(B302,#REF!,3,0),IFERROR(VLOOKUP(B302,#REF!,3,0),0))</f>
        <v>0</v>
      </c>
    </row>
    <row r="303" spans="1:10" ht="18" x14ac:dyDescent="0.35">
      <c r="A303" s="302" t="s">
        <v>1315</v>
      </c>
      <c r="B303" s="439">
        <v>307</v>
      </c>
      <c r="C303" s="322">
        <f>+IFERROR(VLOOKUP(B303,'Stock ISIS LK'!A:D,4,0),IFERROR(VLOOKUP(B303,'Stock ISIS CH'!A:D,4,0),0))</f>
        <v>0</v>
      </c>
      <c r="D303" s="322">
        <f t="shared" si="10"/>
        <v>0</v>
      </c>
      <c r="E303" s="335">
        <v>1</v>
      </c>
      <c r="G303" s="399">
        <f t="shared" si="11"/>
        <v>0</v>
      </c>
      <c r="H303" s="322">
        <v>24</v>
      </c>
      <c r="I303" s="322">
        <f t="shared" si="13"/>
        <v>0</v>
      </c>
      <c r="J303" s="335">
        <f>+IFERROR(VLOOKUP(B303,#REF!,3,0),IFERROR(VLOOKUP(B303,#REF!,3,0),0))</f>
        <v>0</v>
      </c>
    </row>
    <row r="304" spans="1:10" ht="18" x14ac:dyDescent="0.35">
      <c r="A304" s="302" t="s">
        <v>1489</v>
      </c>
      <c r="B304" s="439">
        <v>534</v>
      </c>
      <c r="C304" s="322">
        <f>+IFERROR(VLOOKUP(B304,'Stock ISIS LK'!A:D,4,0),IFERROR(VLOOKUP(B304,'Stock ISIS CH'!A:D,4,0),0))</f>
        <v>0</v>
      </c>
      <c r="D304" s="322">
        <f t="shared" si="10"/>
        <v>0</v>
      </c>
      <c r="E304" s="335">
        <v>1</v>
      </c>
      <c r="G304" s="399">
        <f t="shared" si="11"/>
        <v>0</v>
      </c>
      <c r="H304" s="322">
        <v>24</v>
      </c>
      <c r="I304" s="322">
        <f t="shared" si="13"/>
        <v>0</v>
      </c>
      <c r="J304" s="335">
        <f>+IFERROR(VLOOKUP(B304,#REF!,3,0),IFERROR(VLOOKUP(B304,#REF!,3,0),0))</f>
        <v>0</v>
      </c>
    </row>
    <row r="305" spans="1:10" ht="18" x14ac:dyDescent="0.35">
      <c r="A305" s="302" t="s">
        <v>1489</v>
      </c>
      <c r="B305" s="439">
        <v>52</v>
      </c>
      <c r="C305" s="322">
        <f>+IFERROR(VLOOKUP(B305,'Stock ISIS LK'!A:D,4,0),IFERROR(VLOOKUP(B305,'Stock ISIS CH'!A:D,4,0),0))</f>
        <v>0</v>
      </c>
      <c r="D305" s="322">
        <f t="shared" si="10"/>
        <v>0</v>
      </c>
      <c r="E305" s="335">
        <v>1</v>
      </c>
      <c r="G305" s="399">
        <f t="shared" si="11"/>
        <v>0</v>
      </c>
      <c r="H305" s="322">
        <v>12</v>
      </c>
      <c r="I305" s="322">
        <f t="shared" si="13"/>
        <v>0</v>
      </c>
      <c r="J305" s="335">
        <f>+IFERROR(VLOOKUP(B305,#REF!,3,0),IFERROR(VLOOKUP(B305,#REF!,3,0),0))</f>
        <v>0</v>
      </c>
    </row>
    <row r="306" spans="1:10" s="31" customFormat="1" ht="18" x14ac:dyDescent="0.3">
      <c r="A306" s="302" t="s">
        <v>1239</v>
      </c>
      <c r="B306" s="439">
        <v>555</v>
      </c>
      <c r="C306" s="260">
        <f>+IFERROR(VLOOKUP(B306,'Stock ISIS LK'!A:D,4,0),IFERROR(VLOOKUP(B306,'Stock ISIS CH'!A:D,4,0),0))</f>
        <v>0</v>
      </c>
      <c r="D306" s="260">
        <f t="shared" si="10"/>
        <v>0</v>
      </c>
      <c r="E306" s="354">
        <v>1</v>
      </c>
      <c r="G306" s="450">
        <f t="shared" si="11"/>
        <v>0</v>
      </c>
      <c r="H306" s="260">
        <v>36</v>
      </c>
      <c r="I306" s="260">
        <f t="shared" si="13"/>
        <v>0</v>
      </c>
      <c r="J306" s="354">
        <f>+IFERROR(VLOOKUP(B306,#REF!,3,0),IFERROR(VLOOKUP(B306,#REF!,3,0),0))</f>
        <v>0</v>
      </c>
    </row>
    <row r="307" spans="1:10" ht="18" x14ac:dyDescent="0.35">
      <c r="A307" s="302" t="s">
        <v>1239</v>
      </c>
      <c r="B307" s="439">
        <v>764</v>
      </c>
      <c r="C307" s="322">
        <f>+IFERROR(VLOOKUP(B307,'Stock ISIS LK'!A:D,4,0),IFERROR(VLOOKUP(B307,'Stock ISIS CH'!A:D,4,0),0))</f>
        <v>0</v>
      </c>
      <c r="D307" s="322">
        <f t="shared" si="10"/>
        <v>0</v>
      </c>
      <c r="E307" s="335">
        <v>1</v>
      </c>
      <c r="G307" s="399">
        <f t="shared" si="11"/>
        <v>0</v>
      </c>
      <c r="H307" s="322">
        <v>36</v>
      </c>
      <c r="I307" s="322">
        <f t="shared" si="13"/>
        <v>0</v>
      </c>
      <c r="J307" s="335">
        <f>+IFERROR(VLOOKUP(B307,#REF!,3,0),IFERROR(VLOOKUP(B307,#REF!,3,0),0))</f>
        <v>0</v>
      </c>
    </row>
    <row r="308" spans="1:10" ht="18" x14ac:dyDescent="0.35">
      <c r="A308" s="302" t="s">
        <v>1808</v>
      </c>
      <c r="B308" s="439">
        <v>53</v>
      </c>
      <c r="C308" s="322">
        <f>+IFERROR(VLOOKUP(B308,'Stock ISIS LK'!A:D,4,0),IFERROR(VLOOKUP(B308,'Stock ISIS CH'!A:D,4,0),0))</f>
        <v>0</v>
      </c>
      <c r="D308" s="322">
        <f t="shared" ref="D308:D313" si="14">+C308*E308</f>
        <v>0</v>
      </c>
      <c r="E308" s="335">
        <v>1</v>
      </c>
      <c r="G308" s="399">
        <f t="shared" si="11"/>
        <v>0</v>
      </c>
      <c r="H308" s="322">
        <v>12</v>
      </c>
      <c r="I308" s="322">
        <f t="shared" si="13"/>
        <v>0</v>
      </c>
      <c r="J308" s="335">
        <f>+IFERROR(VLOOKUP(B308,#REF!,3,0),IFERROR(VLOOKUP(B308,#REF!,3,0),0))</f>
        <v>0</v>
      </c>
    </row>
    <row r="309" spans="1:10" ht="18" x14ac:dyDescent="0.35">
      <c r="A309" s="302" t="s">
        <v>1808</v>
      </c>
      <c r="B309" s="439">
        <v>54</v>
      </c>
      <c r="C309" s="322">
        <f>+IFERROR(VLOOKUP(B309,'Stock ISIS LK'!A:D,4,0),IFERROR(VLOOKUP(B309,'Stock ISIS CH'!A:D,4,0),0))</f>
        <v>0</v>
      </c>
      <c r="D309" s="322">
        <f t="shared" si="14"/>
        <v>0</v>
      </c>
      <c r="E309" s="335">
        <v>1</v>
      </c>
      <c r="G309" s="399">
        <f t="shared" si="11"/>
        <v>0</v>
      </c>
      <c r="H309" s="322">
        <v>12</v>
      </c>
      <c r="I309" s="322">
        <f t="shared" si="13"/>
        <v>0</v>
      </c>
      <c r="J309" s="335">
        <f>+IFERROR(VLOOKUP(B309,#REF!,3,0),IFERROR(VLOOKUP(B309,#REF!,3,0),0))</f>
        <v>0</v>
      </c>
    </row>
    <row r="310" spans="1:10" ht="18" x14ac:dyDescent="0.35">
      <c r="A310" s="302" t="s">
        <v>1808</v>
      </c>
      <c r="B310" s="439">
        <v>55</v>
      </c>
      <c r="C310" s="322">
        <f>+IFERROR(VLOOKUP(B310,'Stock ISIS LK'!A:D,4,0),IFERROR(VLOOKUP(B310,'Stock ISIS CH'!A:D,4,0),0))</f>
        <v>0</v>
      </c>
      <c r="D310" s="322">
        <f t="shared" si="14"/>
        <v>0</v>
      </c>
      <c r="E310" s="335">
        <v>1</v>
      </c>
      <c r="G310" s="399">
        <f t="shared" si="11"/>
        <v>0</v>
      </c>
      <c r="H310" s="322">
        <v>12</v>
      </c>
      <c r="I310" s="322">
        <f t="shared" si="13"/>
        <v>0</v>
      </c>
      <c r="J310" s="335">
        <f>+IFERROR(VLOOKUP(B310,#REF!,3,0),IFERROR(VLOOKUP(B310,#REF!,3,0),0))</f>
        <v>0</v>
      </c>
    </row>
    <row r="311" spans="1:10" ht="18" x14ac:dyDescent="0.35">
      <c r="A311" s="302" t="s">
        <v>1808</v>
      </c>
      <c r="B311" s="439">
        <v>594</v>
      </c>
      <c r="C311" s="322">
        <f>+IFERROR(VLOOKUP(B311,'Stock ISIS LK'!A:D,4,0),IFERROR(VLOOKUP(B311,'Stock ISIS CH'!A:D,4,0),0))</f>
        <v>0</v>
      </c>
      <c r="D311" s="322">
        <f t="shared" si="14"/>
        <v>0</v>
      </c>
      <c r="E311" s="335">
        <v>1</v>
      </c>
      <c r="G311" s="399">
        <f t="shared" si="11"/>
        <v>0</v>
      </c>
      <c r="H311" s="322">
        <v>12</v>
      </c>
      <c r="I311" s="322">
        <f t="shared" si="13"/>
        <v>0</v>
      </c>
      <c r="J311" s="335">
        <f>+IFERROR(VLOOKUP(B311,#REF!,3,0),IFERROR(VLOOKUP(B311,#REF!,3,0),0))</f>
        <v>0</v>
      </c>
    </row>
    <row r="312" spans="1:10" s="31" customFormat="1" ht="18" x14ac:dyDescent="0.3">
      <c r="A312" s="302" t="s">
        <v>1808</v>
      </c>
      <c r="B312" s="439">
        <v>595</v>
      </c>
      <c r="C312" s="260">
        <f>+IFERROR(VLOOKUP(B312,'Stock ISIS LK'!A:D,4,0),IFERROR(VLOOKUP(B312,'Stock ISIS CH'!A:D,4,0),0))</f>
        <v>0</v>
      </c>
      <c r="D312" s="260">
        <f t="shared" si="14"/>
        <v>0</v>
      </c>
      <c r="E312" s="354">
        <v>1</v>
      </c>
      <c r="G312" s="450">
        <f t="shared" si="11"/>
        <v>0</v>
      </c>
      <c r="H312" s="260">
        <v>12</v>
      </c>
      <c r="I312" s="260">
        <f t="shared" si="13"/>
        <v>0</v>
      </c>
      <c r="J312" s="354">
        <f>+IFERROR(VLOOKUP(B312,#REF!,3,0),IFERROR(VLOOKUP(B312,#REF!,3,0),0))</f>
        <v>0</v>
      </c>
    </row>
    <row r="313" spans="1:10" s="31" customFormat="1" ht="18.600000000000001" thickBot="1" x14ac:dyDescent="0.35">
      <c r="A313" s="298" t="s">
        <v>1808</v>
      </c>
      <c r="B313" s="449">
        <v>596</v>
      </c>
      <c r="C313" s="262">
        <f>+IFERROR(VLOOKUP(B313,'Stock ISIS LK'!A:D,4,0),IFERROR(VLOOKUP(B313,'Stock ISIS CH'!A:D,4,0),0))</f>
        <v>0</v>
      </c>
      <c r="D313" s="262">
        <f t="shared" si="14"/>
        <v>0</v>
      </c>
      <c r="E313" s="359">
        <v>1</v>
      </c>
      <c r="G313" s="451">
        <f t="shared" si="11"/>
        <v>0</v>
      </c>
      <c r="H313" s="262">
        <v>12</v>
      </c>
      <c r="I313" s="262">
        <f t="shared" si="13"/>
        <v>0</v>
      </c>
      <c r="J313" s="359">
        <f>+IFERROR(VLOOKUP(B313,#REF!,3,0),IFERROR(VLOOKUP(B313,#REF!,3,0),0))</f>
        <v>0</v>
      </c>
    </row>
  </sheetData>
  <mergeCells count="2">
    <mergeCell ref="A1:E2"/>
    <mergeCell ref="G1:J2"/>
  </mergeCells>
  <phoneticPr fontId="4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499984740745262"/>
  </sheetPr>
  <dimension ref="A1:D6"/>
  <sheetViews>
    <sheetView workbookViewId="0"/>
  </sheetViews>
  <sheetFormatPr baseColWidth="10" defaultRowHeight="14.4" x14ac:dyDescent="0.3"/>
  <cols>
    <col min="1" max="1" width="30.88671875" customWidth="1"/>
    <col min="2" max="2" width="6.6640625" customWidth="1"/>
    <col min="3" max="3" width="6.88671875" customWidth="1"/>
    <col min="4" max="4" width="8.5546875" customWidth="1"/>
  </cols>
  <sheetData>
    <row r="1" spans="1:4" ht="70.95" customHeight="1" thickBot="1" x14ac:dyDescent="0.35">
      <c r="A1" s="321" t="s">
        <v>1391</v>
      </c>
      <c r="B1" s="321" t="s">
        <v>1392</v>
      </c>
      <c r="C1" s="321" t="s">
        <v>1393</v>
      </c>
      <c r="D1" s="331" t="s">
        <v>1394</v>
      </c>
    </row>
    <row r="2" spans="1:4" ht="18" x14ac:dyDescent="0.35">
      <c r="A2" s="332" t="s">
        <v>1307</v>
      </c>
      <c r="B2" s="360">
        <v>3.01</v>
      </c>
      <c r="C2" s="323">
        <v>8000</v>
      </c>
      <c r="D2" s="333">
        <f>+B2*C2</f>
        <v>24080</v>
      </c>
    </row>
    <row r="3" spans="1:4" ht="18" x14ac:dyDescent="0.35">
      <c r="A3" s="334" t="s">
        <v>1308</v>
      </c>
      <c r="B3" s="322">
        <v>0</v>
      </c>
      <c r="C3" s="322">
        <v>8000</v>
      </c>
      <c r="D3" s="335">
        <f>+B3*C3</f>
        <v>0</v>
      </c>
    </row>
    <row r="4" spans="1:4" ht="18" x14ac:dyDescent="0.35">
      <c r="A4" s="334" t="s">
        <v>1309</v>
      </c>
      <c r="B4" s="322">
        <v>1</v>
      </c>
      <c r="C4" s="322">
        <v>1000</v>
      </c>
      <c r="D4" s="335">
        <f>+B4*C4</f>
        <v>1000</v>
      </c>
    </row>
    <row r="5" spans="1:4" ht="18" x14ac:dyDescent="0.35">
      <c r="A5" s="334" t="s">
        <v>1316</v>
      </c>
      <c r="B5" s="322">
        <v>2</v>
      </c>
      <c r="C5" s="322">
        <v>500</v>
      </c>
      <c r="D5" s="335">
        <f>+B5*C5</f>
        <v>1000</v>
      </c>
    </row>
    <row r="6" spans="1:4" ht="18.600000000000001" thickBot="1" x14ac:dyDescent="0.4">
      <c r="A6" s="336" t="s">
        <v>1317</v>
      </c>
      <c r="B6" s="324">
        <v>2</v>
      </c>
      <c r="C6" s="324">
        <v>1000</v>
      </c>
      <c r="D6" s="337">
        <f>+B6*C6</f>
        <v>2000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-0.249977111117893"/>
  </sheetPr>
  <dimension ref="A1:J170"/>
  <sheetViews>
    <sheetView topLeftCell="A111" workbookViewId="0">
      <selection sqref="A1:J1"/>
    </sheetView>
  </sheetViews>
  <sheetFormatPr baseColWidth="10" defaultRowHeight="14.4" x14ac:dyDescent="0.3"/>
  <cols>
    <col min="1" max="1" width="7.33203125" customWidth="1"/>
    <col min="2" max="2" width="37.109375" style="216" customWidth="1"/>
    <col min="3" max="3" width="10" customWidth="1"/>
    <col min="4" max="4" width="10.33203125" customWidth="1"/>
    <col min="5" max="5" width="10.6640625" customWidth="1"/>
    <col min="6" max="6" width="9.88671875" customWidth="1"/>
    <col min="7" max="7" width="10.33203125" customWidth="1"/>
    <col min="8" max="9" width="9.5546875" customWidth="1"/>
  </cols>
  <sheetData>
    <row r="1" spans="1:10" ht="36.6" thickBot="1" x14ac:dyDescent="0.35">
      <c r="A1" s="523" t="s">
        <v>748</v>
      </c>
      <c r="B1" s="522" t="s">
        <v>1588</v>
      </c>
      <c r="C1" s="318" t="s">
        <v>1649</v>
      </c>
      <c r="D1" s="318" t="s">
        <v>1299</v>
      </c>
      <c r="E1" s="318" t="s">
        <v>1612</v>
      </c>
      <c r="F1" s="318" t="s">
        <v>340</v>
      </c>
      <c r="G1" s="318" t="s">
        <v>1494</v>
      </c>
      <c r="H1" s="318" t="s">
        <v>1301</v>
      </c>
      <c r="I1" s="318" t="s">
        <v>1615</v>
      </c>
      <c r="J1" s="318" t="s">
        <v>1809</v>
      </c>
    </row>
    <row r="2" spans="1:10" ht="19.95" customHeight="1" x14ac:dyDescent="0.35">
      <c r="A2" s="297">
        <v>26</v>
      </c>
      <c r="B2" s="240" t="s">
        <v>750</v>
      </c>
      <c r="C2" s="528">
        <v>7236</v>
      </c>
      <c r="D2" s="438" t="s">
        <v>1300</v>
      </c>
      <c r="E2" s="529"/>
      <c r="F2" s="529"/>
      <c r="G2" s="529"/>
      <c r="H2" s="529"/>
      <c r="I2" s="27"/>
      <c r="J2" s="447"/>
    </row>
    <row r="3" spans="1:10" ht="19.95" customHeight="1" x14ac:dyDescent="0.35">
      <c r="A3" s="302">
        <v>27</v>
      </c>
      <c r="B3" s="223" t="s">
        <v>751</v>
      </c>
      <c r="C3" s="551">
        <v>4512</v>
      </c>
      <c r="D3" s="439" t="s">
        <v>1300</v>
      </c>
      <c r="E3" s="319"/>
      <c r="F3" s="319"/>
      <c r="G3" s="319"/>
      <c r="H3" s="319"/>
      <c r="I3" s="23"/>
      <c r="J3" s="442"/>
    </row>
    <row r="4" spans="1:10" ht="19.95" customHeight="1" x14ac:dyDescent="0.35">
      <c r="A4" s="302">
        <v>29</v>
      </c>
      <c r="B4" s="223" t="s">
        <v>1225</v>
      </c>
      <c r="C4" s="551">
        <v>0</v>
      </c>
      <c r="D4" s="439" t="s">
        <v>1300</v>
      </c>
      <c r="E4" s="319"/>
      <c r="F4" s="319"/>
      <c r="G4" s="319"/>
      <c r="H4" s="319"/>
      <c r="I4" s="23"/>
      <c r="J4" s="442"/>
    </row>
    <row r="5" spans="1:10" ht="19.95" customHeight="1" x14ac:dyDescent="0.35">
      <c r="A5" s="302">
        <v>30</v>
      </c>
      <c r="B5" s="223" t="s">
        <v>1226</v>
      </c>
      <c r="C5" s="551">
        <v>0</v>
      </c>
      <c r="D5" s="439" t="s">
        <v>1300</v>
      </c>
      <c r="E5" s="319"/>
      <c r="F5" s="319"/>
      <c r="G5" s="319"/>
      <c r="H5" s="319"/>
      <c r="I5" s="23"/>
      <c r="J5" s="442"/>
    </row>
    <row r="6" spans="1:10" ht="19.95" customHeight="1" x14ac:dyDescent="0.35">
      <c r="A6" s="302">
        <v>31</v>
      </c>
      <c r="B6" s="223" t="s">
        <v>753</v>
      </c>
      <c r="C6" s="551">
        <v>18192</v>
      </c>
      <c r="D6" s="295"/>
      <c r="E6" s="319"/>
      <c r="F6" s="319"/>
      <c r="G6" s="319"/>
      <c r="H6" s="319"/>
      <c r="I6" s="23"/>
      <c r="J6" s="442"/>
    </row>
    <row r="7" spans="1:10" ht="19.95" customHeight="1" x14ac:dyDescent="0.35">
      <c r="A7" s="302">
        <v>34</v>
      </c>
      <c r="B7" s="223" t="s">
        <v>754</v>
      </c>
      <c r="C7" s="551">
        <v>1536</v>
      </c>
      <c r="D7" s="295"/>
      <c r="E7" s="319" t="s">
        <v>1311</v>
      </c>
      <c r="F7" s="319"/>
      <c r="G7" s="319"/>
      <c r="H7" s="319"/>
      <c r="I7" s="23"/>
      <c r="J7" s="442"/>
    </row>
    <row r="8" spans="1:10" ht="19.95" customHeight="1" x14ac:dyDescent="0.35">
      <c r="A8" s="302">
        <v>57</v>
      </c>
      <c r="B8" s="223" t="s">
        <v>747</v>
      </c>
      <c r="C8" s="551">
        <v>744</v>
      </c>
      <c r="D8" s="295"/>
      <c r="E8" s="319"/>
      <c r="F8" s="319"/>
      <c r="G8" s="319">
        <v>10</v>
      </c>
      <c r="H8" s="319">
        <v>1</v>
      </c>
      <c r="I8" s="319">
        <v>600</v>
      </c>
      <c r="J8" s="442"/>
    </row>
    <row r="9" spans="1:10" ht="19.95" customHeight="1" x14ac:dyDescent="0.35">
      <c r="A9" s="302">
        <v>58</v>
      </c>
      <c r="B9" s="223" t="s">
        <v>579</v>
      </c>
      <c r="C9" s="551">
        <v>312</v>
      </c>
      <c r="D9" s="295"/>
      <c r="E9" s="319"/>
      <c r="F9" s="319"/>
      <c r="G9" s="319">
        <v>10</v>
      </c>
      <c r="H9" s="319">
        <v>2</v>
      </c>
      <c r="I9" s="319">
        <v>240</v>
      </c>
      <c r="J9" s="442"/>
    </row>
    <row r="10" spans="1:10" ht="19.95" customHeight="1" x14ac:dyDescent="0.35">
      <c r="A10" s="302">
        <v>59</v>
      </c>
      <c r="B10" s="223" t="s">
        <v>556</v>
      </c>
      <c r="C10" s="551">
        <v>144</v>
      </c>
      <c r="D10" s="295"/>
      <c r="E10" s="319"/>
      <c r="F10" s="319"/>
      <c r="G10" s="319">
        <v>12</v>
      </c>
      <c r="H10" s="319">
        <v>2</v>
      </c>
      <c r="I10" s="319">
        <v>288</v>
      </c>
      <c r="J10" s="442"/>
    </row>
    <row r="11" spans="1:10" ht="19.95" customHeight="1" x14ac:dyDescent="0.35">
      <c r="A11" s="302">
        <v>66</v>
      </c>
      <c r="B11" s="223" t="s">
        <v>1265</v>
      </c>
      <c r="C11" s="551">
        <v>2100</v>
      </c>
      <c r="D11" s="295"/>
      <c r="E11" s="319"/>
      <c r="F11" s="319"/>
      <c r="G11" s="319" t="s">
        <v>1522</v>
      </c>
      <c r="H11" s="319">
        <v>1</v>
      </c>
      <c r="I11" s="319">
        <v>1000</v>
      </c>
      <c r="J11" s="442"/>
    </row>
    <row r="12" spans="1:10" ht="19.95" customHeight="1" x14ac:dyDescent="0.35">
      <c r="A12" s="302">
        <v>101</v>
      </c>
      <c r="B12" s="223" t="s">
        <v>1589</v>
      </c>
      <c r="C12" s="551">
        <v>300</v>
      </c>
      <c r="D12" s="295"/>
      <c r="E12" s="319"/>
      <c r="F12" s="319"/>
      <c r="G12" s="319"/>
      <c r="H12" s="319"/>
      <c r="I12" s="23"/>
      <c r="J12" s="442"/>
    </row>
    <row r="13" spans="1:10" ht="19.95" customHeight="1" x14ac:dyDescent="0.35">
      <c r="A13" s="302">
        <v>102</v>
      </c>
      <c r="B13" s="223" t="s">
        <v>1590</v>
      </c>
      <c r="C13" s="551">
        <v>0</v>
      </c>
      <c r="D13" s="295"/>
      <c r="E13" s="319"/>
      <c r="F13" s="319"/>
      <c r="G13" s="319"/>
      <c r="H13" s="319"/>
      <c r="I13" s="23"/>
      <c r="J13" s="442"/>
    </row>
    <row r="14" spans="1:10" ht="19.95" customHeight="1" x14ac:dyDescent="0.35">
      <c r="A14" s="546">
        <v>103</v>
      </c>
      <c r="B14" s="223" t="s">
        <v>1591</v>
      </c>
      <c r="C14" s="551">
        <v>1024</v>
      </c>
      <c r="D14" s="295"/>
      <c r="E14" s="319"/>
      <c r="F14" s="319"/>
      <c r="G14" s="319"/>
      <c r="H14" s="319"/>
      <c r="I14" s="23"/>
      <c r="J14" s="442"/>
    </row>
    <row r="15" spans="1:10" ht="19.95" customHeight="1" x14ac:dyDescent="0.35">
      <c r="A15" s="546">
        <v>104</v>
      </c>
      <c r="B15" s="223" t="s">
        <v>1583</v>
      </c>
      <c r="C15" s="551">
        <v>1140</v>
      </c>
      <c r="D15" s="295"/>
      <c r="E15" s="319"/>
      <c r="F15" s="319"/>
      <c r="G15" s="319"/>
      <c r="H15" s="319"/>
      <c r="I15" s="23"/>
      <c r="J15" s="442"/>
    </row>
    <row r="16" spans="1:10" ht="19.95" customHeight="1" x14ac:dyDescent="0.35">
      <c r="A16" s="546">
        <v>105</v>
      </c>
      <c r="B16" s="223" t="s">
        <v>1592</v>
      </c>
      <c r="C16" s="551">
        <v>0</v>
      </c>
      <c r="D16" s="295"/>
      <c r="E16" s="319"/>
      <c r="F16" s="319"/>
      <c r="G16" s="319"/>
      <c r="H16" s="319"/>
      <c r="I16" s="23"/>
      <c r="J16" s="442"/>
    </row>
    <row r="17" spans="1:10" ht="19.95" customHeight="1" x14ac:dyDescent="0.35">
      <c r="A17" s="302">
        <v>106</v>
      </c>
      <c r="B17" s="223" t="s">
        <v>1593</v>
      </c>
      <c r="C17" s="551">
        <v>0</v>
      </c>
      <c r="D17" s="295"/>
      <c r="E17" s="319"/>
      <c r="F17" s="319"/>
      <c r="G17" s="319"/>
      <c r="H17" s="319"/>
      <c r="I17" s="23"/>
      <c r="J17" s="442"/>
    </row>
    <row r="18" spans="1:10" ht="19.95" customHeight="1" x14ac:dyDescent="0.35">
      <c r="A18" s="546">
        <v>107</v>
      </c>
      <c r="B18" s="223" t="s">
        <v>1594</v>
      </c>
      <c r="C18" s="551">
        <v>0</v>
      </c>
      <c r="D18" s="295"/>
      <c r="E18" s="319"/>
      <c r="F18" s="319"/>
      <c r="G18" s="319"/>
      <c r="H18" s="319"/>
      <c r="I18" s="23"/>
      <c r="J18" s="442"/>
    </row>
    <row r="19" spans="1:10" ht="19.95" customHeight="1" x14ac:dyDescent="0.35">
      <c r="A19" s="302">
        <v>108</v>
      </c>
      <c r="B19" s="223" t="s">
        <v>1595</v>
      </c>
      <c r="C19" s="551">
        <v>408</v>
      </c>
      <c r="D19" s="295"/>
      <c r="E19" s="319"/>
      <c r="F19" s="319"/>
      <c r="G19" s="319"/>
      <c r="H19" s="319"/>
      <c r="I19" s="23"/>
      <c r="J19" s="442"/>
    </row>
    <row r="20" spans="1:10" ht="19.95" customHeight="1" x14ac:dyDescent="0.35">
      <c r="A20" s="546">
        <v>109</v>
      </c>
      <c r="B20" s="223" t="s">
        <v>1596</v>
      </c>
      <c r="C20" s="551">
        <v>0</v>
      </c>
      <c r="D20" s="295"/>
      <c r="E20" s="319"/>
      <c r="F20" s="319"/>
      <c r="G20" s="319"/>
      <c r="H20" s="319"/>
      <c r="I20" s="23"/>
      <c r="J20" s="442"/>
    </row>
    <row r="21" spans="1:10" ht="19.95" customHeight="1" x14ac:dyDescent="0.35">
      <c r="A21" s="302">
        <v>110</v>
      </c>
      <c r="B21" s="223" t="s">
        <v>1597</v>
      </c>
      <c r="C21" s="551">
        <v>1200</v>
      </c>
      <c r="D21" s="295"/>
      <c r="E21" s="319"/>
      <c r="F21" s="319"/>
      <c r="G21" s="319"/>
      <c r="H21" s="319"/>
      <c r="I21" s="23"/>
      <c r="J21" s="442"/>
    </row>
    <row r="22" spans="1:10" ht="19.95" customHeight="1" x14ac:dyDescent="0.35">
      <c r="A22" s="302">
        <v>111</v>
      </c>
      <c r="B22" s="223" t="s">
        <v>1598</v>
      </c>
      <c r="C22" s="551">
        <v>552</v>
      </c>
      <c r="D22" s="295"/>
      <c r="E22" s="319"/>
      <c r="F22" s="319"/>
      <c r="G22" s="319"/>
      <c r="H22" s="319"/>
      <c r="I22" s="23"/>
      <c r="J22" s="442"/>
    </row>
    <row r="23" spans="1:10" ht="19.95" customHeight="1" x14ac:dyDescent="0.35">
      <c r="A23" s="546">
        <v>112</v>
      </c>
      <c r="B23" s="223" t="s">
        <v>1599</v>
      </c>
      <c r="C23" s="551">
        <v>360</v>
      </c>
      <c r="D23" s="295"/>
      <c r="E23" s="319"/>
      <c r="F23" s="319"/>
      <c r="G23" s="319"/>
      <c r="H23" s="319"/>
      <c r="I23" s="23"/>
      <c r="J23" s="442"/>
    </row>
    <row r="24" spans="1:10" ht="19.95" customHeight="1" x14ac:dyDescent="0.35">
      <c r="A24" s="546">
        <v>113</v>
      </c>
      <c r="B24" s="223" t="s">
        <v>1600</v>
      </c>
      <c r="C24" s="551">
        <v>360</v>
      </c>
      <c r="D24" s="295"/>
      <c r="E24" s="319"/>
      <c r="F24" s="319"/>
      <c r="G24" s="319"/>
      <c r="H24" s="319"/>
      <c r="I24" s="23"/>
      <c r="J24" s="442"/>
    </row>
    <row r="25" spans="1:10" ht="19.95" customHeight="1" x14ac:dyDescent="0.35">
      <c r="A25" s="302">
        <v>114</v>
      </c>
      <c r="B25" s="223" t="s">
        <v>1601</v>
      </c>
      <c r="C25" s="551">
        <v>264</v>
      </c>
      <c r="D25" s="295"/>
      <c r="E25" s="319"/>
      <c r="F25" s="319"/>
      <c r="G25" s="319"/>
      <c r="H25" s="319"/>
      <c r="I25" s="23"/>
      <c r="J25" s="442"/>
    </row>
    <row r="26" spans="1:10" ht="19.95" customHeight="1" x14ac:dyDescent="0.35">
      <c r="A26" s="302">
        <v>115</v>
      </c>
      <c r="B26" s="223" t="s">
        <v>1602</v>
      </c>
      <c r="C26" s="551">
        <v>312</v>
      </c>
      <c r="D26" s="295"/>
      <c r="E26" s="319"/>
      <c r="F26" s="319"/>
      <c r="G26" s="319"/>
      <c r="H26" s="319"/>
      <c r="I26" s="23"/>
      <c r="J26" s="442"/>
    </row>
    <row r="27" spans="1:10" ht="19.95" customHeight="1" x14ac:dyDescent="0.35">
      <c r="A27" s="546">
        <v>116</v>
      </c>
      <c r="B27" s="223" t="s">
        <v>1603</v>
      </c>
      <c r="C27" s="551">
        <v>180</v>
      </c>
      <c r="D27" s="295"/>
      <c r="E27" s="319"/>
      <c r="F27" s="319"/>
      <c r="G27" s="319"/>
      <c r="H27" s="319"/>
      <c r="I27" s="23"/>
      <c r="J27" s="442"/>
    </row>
    <row r="28" spans="1:10" ht="19.95" customHeight="1" x14ac:dyDescent="0.35">
      <c r="A28" s="546">
        <v>117</v>
      </c>
      <c r="B28" s="223" t="s">
        <v>1604</v>
      </c>
      <c r="C28" s="551">
        <v>0</v>
      </c>
      <c r="D28" s="295"/>
      <c r="E28" s="319"/>
      <c r="F28" s="319"/>
      <c r="G28" s="319"/>
      <c r="H28" s="319"/>
      <c r="I28" s="23"/>
      <c r="J28" s="442"/>
    </row>
    <row r="29" spans="1:10" ht="19.95" customHeight="1" x14ac:dyDescent="0.35">
      <c r="A29" s="546">
        <v>118</v>
      </c>
      <c r="B29" s="223" t="s">
        <v>1605</v>
      </c>
      <c r="C29" s="551">
        <v>0</v>
      </c>
      <c r="D29" s="295"/>
      <c r="E29" s="319"/>
      <c r="F29" s="319"/>
      <c r="G29" s="319"/>
      <c r="H29" s="319"/>
      <c r="I29" s="23"/>
      <c r="J29" s="442"/>
    </row>
    <row r="30" spans="1:10" ht="19.95" customHeight="1" x14ac:dyDescent="0.35">
      <c r="A30" s="546">
        <v>119</v>
      </c>
      <c r="B30" s="223" t="s">
        <v>1606</v>
      </c>
      <c r="C30" s="551">
        <v>180</v>
      </c>
      <c r="D30" s="295"/>
      <c r="E30" s="319"/>
      <c r="F30" s="319"/>
      <c r="G30" s="319"/>
      <c r="H30" s="319"/>
      <c r="I30" s="23"/>
      <c r="J30" s="442"/>
    </row>
    <row r="31" spans="1:10" ht="19.95" customHeight="1" x14ac:dyDescent="0.35">
      <c r="A31" s="546">
        <v>120</v>
      </c>
      <c r="B31" s="223" t="s">
        <v>1607</v>
      </c>
      <c r="C31" s="551">
        <v>0</v>
      </c>
      <c r="D31" s="295"/>
      <c r="E31" s="319"/>
      <c r="F31" s="319"/>
      <c r="G31" s="319"/>
      <c r="H31" s="319"/>
      <c r="I31" s="23"/>
      <c r="J31" s="442"/>
    </row>
    <row r="32" spans="1:10" ht="19.95" customHeight="1" x14ac:dyDescent="0.35">
      <c r="A32" s="546">
        <v>121</v>
      </c>
      <c r="B32" s="223" t="s">
        <v>1608</v>
      </c>
      <c r="C32" s="551">
        <v>456</v>
      </c>
      <c r="D32" s="295"/>
      <c r="E32" s="319"/>
      <c r="F32" s="319"/>
      <c r="G32" s="319"/>
      <c r="H32" s="319"/>
      <c r="I32" s="23"/>
      <c r="J32" s="442"/>
    </row>
    <row r="33" spans="1:10" ht="19.95" customHeight="1" x14ac:dyDescent="0.35">
      <c r="A33" s="546">
        <v>122</v>
      </c>
      <c r="B33" s="223" t="s">
        <v>1609</v>
      </c>
      <c r="C33" s="551">
        <v>0</v>
      </c>
      <c r="D33" s="295"/>
      <c r="E33" s="319"/>
      <c r="F33" s="319"/>
      <c r="G33" s="319"/>
      <c r="H33" s="319"/>
      <c r="I33" s="23"/>
      <c r="J33" s="442"/>
    </row>
    <row r="34" spans="1:10" ht="19.95" customHeight="1" x14ac:dyDescent="0.35">
      <c r="A34" s="302">
        <v>123</v>
      </c>
      <c r="B34" s="223" t="s">
        <v>1186</v>
      </c>
      <c r="C34" s="551">
        <v>2136</v>
      </c>
      <c r="D34" s="295"/>
      <c r="E34" s="319"/>
      <c r="F34" s="319"/>
      <c r="G34" s="319"/>
      <c r="H34" s="319"/>
      <c r="I34" s="23"/>
      <c r="J34" s="442"/>
    </row>
    <row r="35" spans="1:10" ht="19.95" customHeight="1" x14ac:dyDescent="0.35">
      <c r="A35" s="546">
        <v>186</v>
      </c>
      <c r="B35" s="223" t="s">
        <v>1610</v>
      </c>
      <c r="C35" s="551">
        <v>1860</v>
      </c>
      <c r="D35" s="295"/>
      <c r="E35" s="319"/>
      <c r="F35" s="319"/>
      <c r="G35" s="319"/>
      <c r="H35" s="319"/>
      <c r="I35" s="23"/>
      <c r="J35" s="442"/>
    </row>
    <row r="36" spans="1:10" ht="19.95" customHeight="1" x14ac:dyDescent="0.35">
      <c r="A36" s="546">
        <v>193</v>
      </c>
      <c r="B36" s="223" t="s">
        <v>1611</v>
      </c>
      <c r="C36" s="551">
        <v>276</v>
      </c>
      <c r="D36" s="295"/>
      <c r="E36" s="319"/>
      <c r="F36" s="319"/>
      <c r="G36" s="319"/>
      <c r="H36" s="319"/>
      <c r="I36" s="23"/>
      <c r="J36" s="442"/>
    </row>
    <row r="37" spans="1:10" ht="19.95" customHeight="1" x14ac:dyDescent="0.35">
      <c r="A37" s="302">
        <v>207</v>
      </c>
      <c r="B37" s="223" t="s">
        <v>1045</v>
      </c>
      <c r="C37" s="551">
        <v>240</v>
      </c>
      <c r="D37" s="295"/>
      <c r="E37" s="319"/>
      <c r="F37" s="319"/>
      <c r="G37" s="319"/>
      <c r="H37" s="319"/>
      <c r="I37" s="23"/>
      <c r="J37" s="442"/>
    </row>
    <row r="38" spans="1:10" ht="19.95" customHeight="1" x14ac:dyDescent="0.35">
      <c r="A38" s="302">
        <v>208</v>
      </c>
      <c r="B38" s="223" t="s">
        <v>1046</v>
      </c>
      <c r="C38" s="551">
        <v>144</v>
      </c>
      <c r="D38" s="295"/>
      <c r="E38" s="319"/>
      <c r="F38" s="319"/>
      <c r="G38" s="319">
        <v>8</v>
      </c>
      <c r="H38" s="319">
        <v>2</v>
      </c>
      <c r="I38" s="319">
        <v>288</v>
      </c>
      <c r="J38" s="442"/>
    </row>
    <row r="39" spans="1:10" ht="19.95" customHeight="1" x14ac:dyDescent="0.35">
      <c r="A39" s="302">
        <v>220</v>
      </c>
      <c r="B39" s="223" t="s">
        <v>756</v>
      </c>
      <c r="C39" s="551">
        <v>540</v>
      </c>
      <c r="D39" s="439" t="s">
        <v>1300</v>
      </c>
      <c r="E39" s="319"/>
      <c r="F39" s="319"/>
      <c r="G39" s="319"/>
      <c r="H39" s="319"/>
      <c r="I39" s="23"/>
      <c r="J39" s="442"/>
    </row>
    <row r="40" spans="1:10" ht="19.95" customHeight="1" x14ac:dyDescent="0.35">
      <c r="A40" s="302">
        <v>221</v>
      </c>
      <c r="B40" s="223" t="s">
        <v>757</v>
      </c>
      <c r="C40" s="551">
        <v>396</v>
      </c>
      <c r="D40" s="439" t="s">
        <v>1300</v>
      </c>
      <c r="E40" s="319"/>
      <c r="F40" s="319"/>
      <c r="G40" s="319"/>
      <c r="H40" s="319"/>
      <c r="I40" s="23"/>
      <c r="J40" s="442"/>
    </row>
    <row r="41" spans="1:10" ht="19.95" customHeight="1" x14ac:dyDescent="0.35">
      <c r="A41" s="302">
        <v>222</v>
      </c>
      <c r="B41" s="223" t="s">
        <v>758</v>
      </c>
      <c r="C41" s="551">
        <v>600</v>
      </c>
      <c r="D41" s="439" t="s">
        <v>1300</v>
      </c>
      <c r="E41" s="319"/>
      <c r="F41" s="319"/>
      <c r="G41" s="319"/>
      <c r="H41" s="319"/>
      <c r="I41" s="23"/>
      <c r="J41" s="442"/>
    </row>
    <row r="42" spans="1:10" ht="19.95" customHeight="1" x14ac:dyDescent="0.35">
      <c r="A42" s="302">
        <v>223</v>
      </c>
      <c r="B42" s="223" t="s">
        <v>759</v>
      </c>
      <c r="C42" s="551">
        <v>276</v>
      </c>
      <c r="D42" s="439" t="s">
        <v>1300</v>
      </c>
      <c r="E42" s="319"/>
      <c r="F42" s="319"/>
      <c r="G42" s="319"/>
      <c r="H42" s="319"/>
      <c r="I42" s="23"/>
      <c r="J42" s="442"/>
    </row>
    <row r="43" spans="1:10" ht="19.95" customHeight="1" x14ac:dyDescent="0.35">
      <c r="A43" s="302">
        <v>224</v>
      </c>
      <c r="B43" s="223" t="s">
        <v>760</v>
      </c>
      <c r="C43" s="551">
        <v>588</v>
      </c>
      <c r="D43" s="439" t="s">
        <v>1300</v>
      </c>
      <c r="E43" s="319"/>
      <c r="F43" s="319"/>
      <c r="G43" s="319"/>
      <c r="H43" s="319"/>
      <c r="I43" s="23"/>
      <c r="J43" s="442"/>
    </row>
    <row r="44" spans="1:10" ht="19.95" customHeight="1" x14ac:dyDescent="0.35">
      <c r="A44" s="302">
        <v>225</v>
      </c>
      <c r="B44" s="223" t="s">
        <v>761</v>
      </c>
      <c r="C44" s="551">
        <v>2400</v>
      </c>
      <c r="D44" s="439" t="s">
        <v>1300</v>
      </c>
      <c r="E44" s="319"/>
      <c r="F44" s="319"/>
      <c r="G44" s="319"/>
      <c r="H44" s="319"/>
      <c r="I44" s="23"/>
      <c r="J44" s="442"/>
    </row>
    <row r="45" spans="1:10" ht="19.95" customHeight="1" x14ac:dyDescent="0.35">
      <c r="A45" s="302">
        <v>229</v>
      </c>
      <c r="B45" s="223" t="s">
        <v>762</v>
      </c>
      <c r="C45" s="551">
        <v>1008</v>
      </c>
      <c r="D45" s="295"/>
      <c r="E45" s="319"/>
      <c r="F45" s="319"/>
      <c r="G45" s="319"/>
      <c r="H45" s="319"/>
      <c r="I45" s="23"/>
      <c r="J45" s="442"/>
    </row>
    <row r="46" spans="1:10" ht="19.95" customHeight="1" x14ac:dyDescent="0.35">
      <c r="A46" s="302">
        <v>246</v>
      </c>
      <c r="B46" s="223" t="s">
        <v>763</v>
      </c>
      <c r="C46" s="551">
        <v>120</v>
      </c>
      <c r="D46" s="295"/>
      <c r="E46" s="319" t="s">
        <v>1311</v>
      </c>
      <c r="F46" s="319" t="s">
        <v>1300</v>
      </c>
      <c r="G46" s="319"/>
      <c r="H46" s="319"/>
      <c r="I46" s="23"/>
      <c r="J46" s="442"/>
    </row>
    <row r="47" spans="1:10" ht="19.95" customHeight="1" x14ac:dyDescent="0.35">
      <c r="A47" s="302">
        <v>248</v>
      </c>
      <c r="B47" s="223" t="s">
        <v>764</v>
      </c>
      <c r="C47" s="551">
        <v>924</v>
      </c>
      <c r="D47" s="439" t="s">
        <v>1300</v>
      </c>
      <c r="E47" s="319"/>
      <c r="F47" s="319"/>
      <c r="G47" s="319"/>
      <c r="H47" s="319"/>
      <c r="I47" s="23"/>
      <c r="J47" s="442"/>
    </row>
    <row r="48" spans="1:10" ht="19.95" customHeight="1" x14ac:dyDescent="0.35">
      <c r="A48" s="302">
        <v>280</v>
      </c>
      <c r="B48" s="223" t="s">
        <v>628</v>
      </c>
      <c r="C48" s="551">
        <v>1300</v>
      </c>
      <c r="D48" s="295"/>
      <c r="E48" s="319"/>
      <c r="F48" s="319"/>
      <c r="G48" s="319"/>
      <c r="H48" s="319"/>
      <c r="I48" s="23"/>
      <c r="J48" s="442"/>
    </row>
    <row r="49" spans="1:10" ht="19.95" customHeight="1" x14ac:dyDescent="0.35">
      <c r="A49" s="302">
        <v>299</v>
      </c>
      <c r="B49" s="223" t="s">
        <v>580</v>
      </c>
      <c r="C49" s="551">
        <v>324</v>
      </c>
      <c r="D49" s="295"/>
      <c r="E49" s="319"/>
      <c r="F49" s="319"/>
      <c r="G49" s="319">
        <v>8</v>
      </c>
      <c r="H49" s="319">
        <v>2</v>
      </c>
      <c r="I49" s="319">
        <v>240</v>
      </c>
      <c r="J49" s="442"/>
    </row>
    <row r="50" spans="1:10" ht="19.95" customHeight="1" x14ac:dyDescent="0.35">
      <c r="A50" s="302">
        <v>312</v>
      </c>
      <c r="B50" s="223" t="s">
        <v>765</v>
      </c>
      <c r="C50" s="551">
        <v>204</v>
      </c>
      <c r="D50" s="295"/>
      <c r="E50" s="319"/>
      <c r="F50" s="319"/>
      <c r="G50" s="319">
        <v>8</v>
      </c>
      <c r="H50" s="319">
        <v>1</v>
      </c>
      <c r="I50" s="319">
        <v>300</v>
      </c>
      <c r="J50" s="442"/>
    </row>
    <row r="51" spans="1:10" ht="19.95" customHeight="1" x14ac:dyDescent="0.35">
      <c r="A51" s="302">
        <v>315</v>
      </c>
      <c r="B51" s="223" t="s">
        <v>766</v>
      </c>
      <c r="C51" s="551">
        <v>3240</v>
      </c>
      <c r="D51" s="439" t="s">
        <v>1300</v>
      </c>
      <c r="E51" s="319"/>
      <c r="F51" s="319"/>
      <c r="G51" s="319"/>
      <c r="H51" s="319"/>
      <c r="I51" s="23"/>
      <c r="J51" s="442"/>
    </row>
    <row r="52" spans="1:10" ht="19.95" customHeight="1" x14ac:dyDescent="0.35">
      <c r="A52" s="302">
        <v>321</v>
      </c>
      <c r="B52" s="223" t="s">
        <v>767</v>
      </c>
      <c r="C52" s="551">
        <v>3120</v>
      </c>
      <c r="D52" s="439" t="s">
        <v>1300</v>
      </c>
      <c r="E52" s="319"/>
      <c r="F52" s="319"/>
      <c r="G52" s="319"/>
      <c r="H52" s="319"/>
      <c r="I52" s="23"/>
      <c r="J52" s="442"/>
    </row>
    <row r="53" spans="1:10" ht="19.95" customHeight="1" x14ac:dyDescent="0.35">
      <c r="A53" s="302">
        <v>322</v>
      </c>
      <c r="B53" s="223" t="s">
        <v>768</v>
      </c>
      <c r="C53" s="551">
        <v>0</v>
      </c>
      <c r="D53" s="295"/>
      <c r="E53" s="319"/>
      <c r="F53" s="319"/>
      <c r="G53" s="319"/>
      <c r="H53" s="319"/>
      <c r="I53" s="23"/>
      <c r="J53" s="442"/>
    </row>
    <row r="54" spans="1:10" ht="19.95" customHeight="1" x14ac:dyDescent="0.35">
      <c r="A54" s="302">
        <v>323</v>
      </c>
      <c r="B54" s="223" t="s">
        <v>769</v>
      </c>
      <c r="C54" s="551">
        <v>264</v>
      </c>
      <c r="D54" s="295"/>
      <c r="E54" s="319"/>
      <c r="F54" s="319"/>
      <c r="G54" s="319"/>
      <c r="H54" s="319"/>
      <c r="I54" s="23"/>
      <c r="J54" s="442"/>
    </row>
    <row r="55" spans="1:10" ht="19.95" customHeight="1" x14ac:dyDescent="0.35">
      <c r="A55" s="302">
        <v>324</v>
      </c>
      <c r="B55" s="223" t="s">
        <v>770</v>
      </c>
      <c r="C55" s="551">
        <v>0</v>
      </c>
      <c r="D55" s="295"/>
      <c r="E55" s="319"/>
      <c r="F55" s="319"/>
      <c r="G55" s="319"/>
      <c r="H55" s="319"/>
      <c r="I55" s="23"/>
      <c r="J55" s="442"/>
    </row>
    <row r="56" spans="1:10" ht="19.95" customHeight="1" x14ac:dyDescent="0.35">
      <c r="A56" s="302">
        <v>325</v>
      </c>
      <c r="B56" s="223" t="s">
        <v>771</v>
      </c>
      <c r="C56" s="551">
        <v>2256</v>
      </c>
      <c r="D56" s="439" t="s">
        <v>1300</v>
      </c>
      <c r="E56" s="319"/>
      <c r="F56" s="319"/>
      <c r="G56" s="319"/>
      <c r="H56" s="319"/>
      <c r="I56" s="23"/>
      <c r="J56" s="442"/>
    </row>
    <row r="57" spans="1:10" ht="19.95" customHeight="1" x14ac:dyDescent="0.35">
      <c r="A57" s="302">
        <v>326</v>
      </c>
      <c r="B57" s="223" t="s">
        <v>772</v>
      </c>
      <c r="C57" s="551">
        <v>144</v>
      </c>
      <c r="D57" s="439" t="s">
        <v>1300</v>
      </c>
      <c r="E57" s="319"/>
      <c r="F57" s="319"/>
      <c r="G57" s="319"/>
      <c r="H57" s="319"/>
      <c r="I57" s="23"/>
      <c r="J57" s="442"/>
    </row>
    <row r="58" spans="1:10" ht="19.95" customHeight="1" x14ac:dyDescent="0.35">
      <c r="A58" s="302">
        <v>332</v>
      </c>
      <c r="B58" s="223" t="s">
        <v>773</v>
      </c>
      <c r="C58" s="551">
        <v>264</v>
      </c>
      <c r="D58" s="439" t="s">
        <v>1300</v>
      </c>
      <c r="E58" s="319"/>
      <c r="F58" s="319"/>
      <c r="G58" s="319"/>
      <c r="H58" s="319"/>
      <c r="I58" s="23"/>
      <c r="J58" s="442"/>
    </row>
    <row r="59" spans="1:10" ht="19.95" customHeight="1" x14ac:dyDescent="0.35">
      <c r="A59" s="302">
        <v>333</v>
      </c>
      <c r="B59" s="223" t="s">
        <v>774</v>
      </c>
      <c r="C59" s="551">
        <v>288</v>
      </c>
      <c r="D59" s="439" t="s">
        <v>1300</v>
      </c>
      <c r="E59" s="319"/>
      <c r="F59" s="319"/>
      <c r="G59" s="319"/>
      <c r="H59" s="319"/>
      <c r="I59" s="23"/>
      <c r="J59" s="442"/>
    </row>
    <row r="60" spans="1:10" ht="19.95" customHeight="1" x14ac:dyDescent="0.35">
      <c r="A60" s="302">
        <v>334</v>
      </c>
      <c r="B60" s="223" t="s">
        <v>775</v>
      </c>
      <c r="C60" s="551">
        <v>192</v>
      </c>
      <c r="D60" s="439" t="s">
        <v>1300</v>
      </c>
      <c r="E60" s="319"/>
      <c r="F60" s="319"/>
      <c r="G60" s="319"/>
      <c r="H60" s="319"/>
      <c r="I60" s="23"/>
      <c r="J60" s="442"/>
    </row>
    <row r="61" spans="1:10" ht="19.95" customHeight="1" x14ac:dyDescent="0.35">
      <c r="A61" s="302">
        <v>335</v>
      </c>
      <c r="B61" s="223" t="s">
        <v>776</v>
      </c>
      <c r="C61" s="551">
        <v>120</v>
      </c>
      <c r="D61" s="439" t="s">
        <v>1300</v>
      </c>
      <c r="E61" s="319"/>
      <c r="F61" s="319"/>
      <c r="G61" s="319"/>
      <c r="H61" s="319"/>
      <c r="I61" s="23"/>
      <c r="J61" s="442"/>
    </row>
    <row r="62" spans="1:10" ht="19.95" customHeight="1" x14ac:dyDescent="0.35">
      <c r="A62" s="302">
        <v>336</v>
      </c>
      <c r="B62" s="223" t="s">
        <v>777</v>
      </c>
      <c r="C62" s="551">
        <v>216</v>
      </c>
      <c r="D62" s="439" t="s">
        <v>1300</v>
      </c>
      <c r="E62" s="319"/>
      <c r="F62" s="319"/>
      <c r="G62" s="319"/>
      <c r="H62" s="319"/>
      <c r="I62" s="23"/>
      <c r="J62" s="442"/>
    </row>
    <row r="63" spans="1:10" ht="19.95" customHeight="1" x14ac:dyDescent="0.35">
      <c r="A63" s="302">
        <v>337</v>
      </c>
      <c r="B63" s="223" t="s">
        <v>778</v>
      </c>
      <c r="C63" s="551">
        <v>96</v>
      </c>
      <c r="D63" s="439" t="s">
        <v>1300</v>
      </c>
      <c r="E63" s="319"/>
      <c r="F63" s="319"/>
      <c r="G63" s="319"/>
      <c r="H63" s="319"/>
      <c r="I63" s="23"/>
      <c r="J63" s="442"/>
    </row>
    <row r="64" spans="1:10" ht="19.95" customHeight="1" x14ac:dyDescent="0.35">
      <c r="A64" s="302">
        <v>338</v>
      </c>
      <c r="B64" s="223" t="s">
        <v>779</v>
      </c>
      <c r="C64" s="551">
        <v>240</v>
      </c>
      <c r="D64" s="439" t="s">
        <v>1300</v>
      </c>
      <c r="E64" s="319"/>
      <c r="F64" s="319"/>
      <c r="G64" s="319"/>
      <c r="H64" s="319"/>
      <c r="I64" s="23"/>
      <c r="J64" s="442"/>
    </row>
    <row r="65" spans="1:10" ht="19.95" customHeight="1" x14ac:dyDescent="0.35">
      <c r="A65" s="302">
        <v>339</v>
      </c>
      <c r="B65" s="223" t="s">
        <v>1047</v>
      </c>
      <c r="C65" s="551">
        <v>0</v>
      </c>
      <c r="D65" s="295"/>
      <c r="E65" s="319"/>
      <c r="F65" s="319"/>
      <c r="G65" s="319"/>
      <c r="H65" s="319"/>
      <c r="I65" s="23"/>
      <c r="J65" s="442"/>
    </row>
    <row r="66" spans="1:10" ht="19.95" customHeight="1" x14ac:dyDescent="0.35">
      <c r="A66" s="302">
        <v>355</v>
      </c>
      <c r="B66" s="223" t="s">
        <v>780</v>
      </c>
      <c r="C66" s="551">
        <v>720</v>
      </c>
      <c r="D66" s="439" t="s">
        <v>1300</v>
      </c>
      <c r="E66" s="319"/>
      <c r="F66" s="319"/>
      <c r="G66" s="319"/>
      <c r="H66" s="319"/>
      <c r="I66" s="23"/>
      <c r="J66" s="442"/>
    </row>
    <row r="67" spans="1:10" ht="19.95" customHeight="1" x14ac:dyDescent="0.35">
      <c r="A67" s="302">
        <v>389</v>
      </c>
      <c r="B67" s="223" t="s">
        <v>1048</v>
      </c>
      <c r="C67" s="551">
        <v>0</v>
      </c>
      <c r="D67" s="295"/>
      <c r="E67" s="319"/>
      <c r="F67" s="319"/>
      <c r="G67" s="319"/>
      <c r="H67" s="319"/>
      <c r="I67" s="23"/>
      <c r="J67" s="442"/>
    </row>
    <row r="68" spans="1:10" ht="19.95" customHeight="1" x14ac:dyDescent="0.35">
      <c r="A68" s="302">
        <v>390</v>
      </c>
      <c r="B68" s="223" t="s">
        <v>781</v>
      </c>
      <c r="C68" s="551">
        <v>120</v>
      </c>
      <c r="D68" s="439" t="s">
        <v>1300</v>
      </c>
      <c r="E68" s="319"/>
      <c r="F68" s="319"/>
      <c r="G68" s="319"/>
      <c r="H68" s="319"/>
      <c r="I68" s="23"/>
      <c r="J68" s="442"/>
    </row>
    <row r="69" spans="1:10" ht="19.95" customHeight="1" x14ac:dyDescent="0.35">
      <c r="A69" s="302">
        <v>391</v>
      </c>
      <c r="B69" s="223" t="s">
        <v>782</v>
      </c>
      <c r="C69" s="551">
        <v>192</v>
      </c>
      <c r="D69" s="439" t="s">
        <v>1300</v>
      </c>
      <c r="E69" s="319"/>
      <c r="F69" s="319"/>
      <c r="G69" s="319"/>
      <c r="H69" s="319"/>
      <c r="I69" s="23"/>
      <c r="J69" s="442"/>
    </row>
    <row r="70" spans="1:10" ht="19.95" customHeight="1" x14ac:dyDescent="0.35">
      <c r="A70" s="302">
        <v>392</v>
      </c>
      <c r="B70" s="223" t="s">
        <v>783</v>
      </c>
      <c r="C70" s="551">
        <v>312</v>
      </c>
      <c r="D70" s="439" t="s">
        <v>1300</v>
      </c>
      <c r="E70" s="319"/>
      <c r="F70" s="319"/>
      <c r="G70" s="319"/>
      <c r="H70" s="319"/>
      <c r="I70" s="23"/>
      <c r="J70" s="442"/>
    </row>
    <row r="71" spans="1:10" ht="19.95" customHeight="1" x14ac:dyDescent="0.35">
      <c r="A71" s="302">
        <v>393</v>
      </c>
      <c r="B71" s="223" t="s">
        <v>784</v>
      </c>
      <c r="C71" s="551">
        <v>312</v>
      </c>
      <c r="D71" s="439" t="s">
        <v>1300</v>
      </c>
      <c r="E71" s="319"/>
      <c r="F71" s="319"/>
      <c r="G71" s="319"/>
      <c r="H71" s="319"/>
      <c r="I71" s="23"/>
      <c r="J71" s="442"/>
    </row>
    <row r="72" spans="1:10" ht="19.95" customHeight="1" x14ac:dyDescent="0.35">
      <c r="A72" s="302">
        <v>394</v>
      </c>
      <c r="B72" s="223" t="s">
        <v>785</v>
      </c>
      <c r="C72" s="551">
        <v>360</v>
      </c>
      <c r="D72" s="439" t="s">
        <v>1300</v>
      </c>
      <c r="E72" s="319"/>
      <c r="F72" s="319"/>
      <c r="G72" s="319"/>
      <c r="H72" s="319"/>
      <c r="I72" s="23"/>
      <c r="J72" s="442"/>
    </row>
    <row r="73" spans="1:10" ht="19.95" customHeight="1" x14ac:dyDescent="0.35">
      <c r="A73" s="302">
        <v>395</v>
      </c>
      <c r="B73" s="223" t="s">
        <v>786</v>
      </c>
      <c r="C73" s="551">
        <v>600</v>
      </c>
      <c r="D73" s="295"/>
      <c r="E73" s="319"/>
      <c r="F73" s="319"/>
      <c r="G73" s="319">
        <v>10</v>
      </c>
      <c r="H73" s="319">
        <v>2</v>
      </c>
      <c r="I73" s="319">
        <v>720</v>
      </c>
      <c r="J73" s="442"/>
    </row>
    <row r="74" spans="1:10" ht="19.95" customHeight="1" x14ac:dyDescent="0.35">
      <c r="A74" s="302">
        <v>396</v>
      </c>
      <c r="B74" s="223" t="s">
        <v>787</v>
      </c>
      <c r="C74" s="551">
        <v>180</v>
      </c>
      <c r="D74" s="295"/>
      <c r="E74" s="319"/>
      <c r="F74" s="319"/>
      <c r="G74" s="319">
        <v>10</v>
      </c>
      <c r="H74" s="319">
        <v>2</v>
      </c>
      <c r="I74" s="319">
        <v>192</v>
      </c>
      <c r="J74" s="442"/>
    </row>
    <row r="75" spans="1:10" ht="19.95" customHeight="1" x14ac:dyDescent="0.35">
      <c r="A75" s="302">
        <v>498</v>
      </c>
      <c r="B75" s="223" t="s">
        <v>1049</v>
      </c>
      <c r="C75" s="551">
        <v>144</v>
      </c>
      <c r="D75" s="295"/>
      <c r="E75" s="319"/>
      <c r="F75" s="319"/>
      <c r="G75" s="319">
        <v>8</v>
      </c>
      <c r="H75" s="319">
        <v>2</v>
      </c>
      <c r="I75" s="319">
        <v>96</v>
      </c>
      <c r="J75" s="442"/>
    </row>
    <row r="76" spans="1:10" ht="19.95" customHeight="1" x14ac:dyDescent="0.35">
      <c r="A76" s="302">
        <v>499</v>
      </c>
      <c r="B76" s="223" t="s">
        <v>656</v>
      </c>
      <c r="C76" s="551">
        <v>144</v>
      </c>
      <c r="D76" s="295"/>
      <c r="E76" s="319"/>
      <c r="F76" s="319"/>
      <c r="G76" s="319">
        <v>8</v>
      </c>
      <c r="H76" s="319">
        <v>2</v>
      </c>
      <c r="I76" s="319">
        <v>200</v>
      </c>
      <c r="J76" s="442"/>
    </row>
    <row r="77" spans="1:10" ht="19.95" customHeight="1" x14ac:dyDescent="0.35">
      <c r="A77" s="302">
        <v>500</v>
      </c>
      <c r="B77" s="223" t="s">
        <v>568</v>
      </c>
      <c r="C77" s="551">
        <v>1440</v>
      </c>
      <c r="D77" s="295"/>
      <c r="E77" s="319"/>
      <c r="F77" s="319"/>
      <c r="G77" s="319"/>
      <c r="H77" s="319"/>
      <c r="I77" s="23"/>
      <c r="J77" s="442"/>
    </row>
    <row r="78" spans="1:10" ht="19.95" customHeight="1" x14ac:dyDescent="0.35">
      <c r="A78" s="302">
        <v>501</v>
      </c>
      <c r="B78" s="223" t="s">
        <v>788</v>
      </c>
      <c r="C78" s="551">
        <v>6912</v>
      </c>
      <c r="D78" s="295"/>
      <c r="E78" s="319"/>
      <c r="F78" s="319"/>
      <c r="G78" s="319">
        <v>10</v>
      </c>
      <c r="H78" s="319">
        <v>1</v>
      </c>
      <c r="I78" s="319">
        <v>5000</v>
      </c>
      <c r="J78" s="442"/>
    </row>
    <row r="79" spans="1:10" ht="19.95" customHeight="1" x14ac:dyDescent="0.35">
      <c r="A79" s="302">
        <v>502</v>
      </c>
      <c r="B79" s="223" t="s">
        <v>789</v>
      </c>
      <c r="C79" s="551">
        <v>5796</v>
      </c>
      <c r="D79" s="295"/>
      <c r="E79" s="319"/>
      <c r="F79" s="319"/>
      <c r="G79" s="319" t="s">
        <v>1522</v>
      </c>
      <c r="H79" s="319">
        <v>1</v>
      </c>
      <c r="I79" s="319">
        <v>5200</v>
      </c>
      <c r="J79" s="442"/>
    </row>
    <row r="80" spans="1:10" ht="19.95" customHeight="1" x14ac:dyDescent="0.35">
      <c r="A80" s="302">
        <v>504</v>
      </c>
      <c r="B80" s="223" t="s">
        <v>790</v>
      </c>
      <c r="C80" s="551">
        <v>6996</v>
      </c>
      <c r="D80" s="295"/>
      <c r="E80" s="319"/>
      <c r="F80" s="319"/>
      <c r="G80" s="319">
        <v>10</v>
      </c>
      <c r="H80" s="319">
        <v>1</v>
      </c>
      <c r="I80" s="319">
        <v>6500</v>
      </c>
      <c r="J80" s="442"/>
    </row>
    <row r="81" spans="1:10" ht="19.95" customHeight="1" x14ac:dyDescent="0.35">
      <c r="A81" s="302">
        <v>505</v>
      </c>
      <c r="B81" s="223" t="s">
        <v>791</v>
      </c>
      <c r="C81" s="551">
        <v>30000</v>
      </c>
      <c r="D81" s="295"/>
      <c r="E81" s="319"/>
      <c r="F81" s="319"/>
      <c r="G81" s="319"/>
      <c r="H81" s="319"/>
      <c r="I81" s="23"/>
      <c r="J81" s="442"/>
    </row>
    <row r="82" spans="1:10" ht="19.95" customHeight="1" x14ac:dyDescent="0.35">
      <c r="A82" s="302">
        <v>506</v>
      </c>
      <c r="B82" s="223" t="s">
        <v>792</v>
      </c>
      <c r="C82" s="551">
        <v>18840</v>
      </c>
      <c r="D82" s="295"/>
      <c r="E82" s="319"/>
      <c r="F82" s="319"/>
      <c r="G82" s="319"/>
      <c r="H82" s="319"/>
      <c r="I82" s="23"/>
      <c r="J82" s="442"/>
    </row>
    <row r="83" spans="1:10" ht="19.95" customHeight="1" x14ac:dyDescent="0.35">
      <c r="A83" s="302">
        <v>507</v>
      </c>
      <c r="B83" s="223" t="s">
        <v>793</v>
      </c>
      <c r="C83" s="551">
        <v>792</v>
      </c>
      <c r="D83" s="295"/>
      <c r="E83" s="319"/>
      <c r="F83" s="319"/>
      <c r="G83" s="319">
        <v>10</v>
      </c>
      <c r="H83" s="319">
        <v>1</v>
      </c>
      <c r="I83" s="319">
        <v>400</v>
      </c>
      <c r="J83" s="442"/>
    </row>
    <row r="84" spans="1:10" ht="19.95" customHeight="1" x14ac:dyDescent="0.35">
      <c r="A84" s="302">
        <v>508</v>
      </c>
      <c r="B84" s="223" t="s">
        <v>794</v>
      </c>
      <c r="C84" s="551">
        <v>420</v>
      </c>
      <c r="D84" s="295"/>
      <c r="E84" s="319"/>
      <c r="F84" s="319"/>
      <c r="G84" s="319">
        <v>8</v>
      </c>
      <c r="H84" s="319">
        <v>1</v>
      </c>
      <c r="I84" s="319">
        <v>400</v>
      </c>
      <c r="J84" s="442"/>
    </row>
    <row r="85" spans="1:10" ht="19.95" customHeight="1" x14ac:dyDescent="0.35">
      <c r="A85" s="302">
        <v>509</v>
      </c>
      <c r="B85" s="223" t="s">
        <v>795</v>
      </c>
      <c r="C85" s="551">
        <v>192</v>
      </c>
      <c r="D85" s="295"/>
      <c r="E85" s="319"/>
      <c r="F85" s="319"/>
      <c r="G85" s="319"/>
      <c r="H85" s="319"/>
      <c r="I85" s="23"/>
      <c r="J85" s="442"/>
    </row>
    <row r="86" spans="1:10" ht="19.95" customHeight="1" x14ac:dyDescent="0.35">
      <c r="A86" s="302">
        <v>510</v>
      </c>
      <c r="B86" s="223" t="s">
        <v>838</v>
      </c>
      <c r="C86" s="551">
        <v>6456</v>
      </c>
      <c r="D86" s="295"/>
      <c r="E86" s="319"/>
      <c r="F86" s="319"/>
      <c r="G86" s="319"/>
      <c r="H86" s="319"/>
      <c r="I86" s="23"/>
      <c r="J86" s="442"/>
    </row>
    <row r="87" spans="1:10" ht="19.95" customHeight="1" x14ac:dyDescent="0.35">
      <c r="A87" s="302">
        <v>511</v>
      </c>
      <c r="B87" s="223" t="s">
        <v>796</v>
      </c>
      <c r="C87" s="551">
        <v>484</v>
      </c>
      <c r="D87" s="295"/>
      <c r="E87" s="319"/>
      <c r="F87" s="319"/>
      <c r="G87" s="319">
        <v>10</v>
      </c>
      <c r="H87" s="319">
        <v>2</v>
      </c>
      <c r="I87" s="319">
        <v>1200</v>
      </c>
      <c r="J87" s="442"/>
    </row>
    <row r="88" spans="1:10" ht="19.95" customHeight="1" x14ac:dyDescent="0.35">
      <c r="A88" s="302">
        <v>512</v>
      </c>
      <c r="B88" s="223" t="s">
        <v>797</v>
      </c>
      <c r="C88" s="551">
        <v>1656</v>
      </c>
      <c r="D88" s="295"/>
      <c r="E88" s="319"/>
      <c r="F88" s="319"/>
      <c r="G88" s="319" t="s">
        <v>1522</v>
      </c>
      <c r="H88" s="319">
        <v>1</v>
      </c>
      <c r="I88" s="319">
        <v>1500</v>
      </c>
      <c r="J88" s="442"/>
    </row>
    <row r="89" spans="1:10" ht="19.95" customHeight="1" x14ac:dyDescent="0.35">
      <c r="A89" s="302">
        <v>513</v>
      </c>
      <c r="B89" s="223" t="s">
        <v>798</v>
      </c>
      <c r="C89" s="551">
        <v>18204</v>
      </c>
      <c r="D89" s="295"/>
      <c r="E89" s="319"/>
      <c r="F89" s="319"/>
      <c r="G89" s="319"/>
      <c r="H89" s="319"/>
      <c r="I89" s="23"/>
      <c r="J89" s="442"/>
    </row>
    <row r="90" spans="1:10" ht="19.95" customHeight="1" x14ac:dyDescent="0.35">
      <c r="A90" s="302">
        <v>515</v>
      </c>
      <c r="B90" s="223" t="s">
        <v>799</v>
      </c>
      <c r="C90" s="551">
        <v>444</v>
      </c>
      <c r="D90" s="295"/>
      <c r="E90" s="319"/>
      <c r="F90" s="319"/>
      <c r="G90" s="319"/>
      <c r="H90" s="319"/>
      <c r="I90" s="23"/>
      <c r="J90" s="442"/>
    </row>
    <row r="91" spans="1:10" ht="19.95" customHeight="1" x14ac:dyDescent="0.35">
      <c r="A91" s="302">
        <v>516</v>
      </c>
      <c r="B91" s="223" t="s">
        <v>800</v>
      </c>
      <c r="C91" s="551">
        <v>400</v>
      </c>
      <c r="D91" s="295"/>
      <c r="E91" s="319"/>
      <c r="F91" s="319"/>
      <c r="G91" s="319"/>
      <c r="H91" s="319"/>
      <c r="I91" s="23"/>
      <c r="J91" s="442"/>
    </row>
    <row r="92" spans="1:10" ht="19.95" customHeight="1" x14ac:dyDescent="0.35">
      <c r="A92" s="302">
        <v>518</v>
      </c>
      <c r="B92" s="223" t="s">
        <v>801</v>
      </c>
      <c r="C92" s="551">
        <v>780</v>
      </c>
      <c r="D92" s="295"/>
      <c r="E92" s="319"/>
      <c r="F92" s="319"/>
      <c r="G92" s="319">
        <v>16</v>
      </c>
      <c r="H92" s="319">
        <v>2</v>
      </c>
      <c r="I92" s="319">
        <v>1100</v>
      </c>
      <c r="J92" s="442"/>
    </row>
    <row r="93" spans="1:10" ht="19.95" customHeight="1" x14ac:dyDescent="0.35">
      <c r="A93" s="302">
        <v>519</v>
      </c>
      <c r="B93" s="223" t="s">
        <v>1224</v>
      </c>
      <c r="C93" s="551">
        <v>600</v>
      </c>
      <c r="D93" s="295"/>
      <c r="E93" s="319"/>
      <c r="F93" s="319"/>
      <c r="G93" s="319">
        <v>12</v>
      </c>
      <c r="H93" s="319">
        <v>4</v>
      </c>
      <c r="I93" s="319">
        <v>2400</v>
      </c>
      <c r="J93" s="442"/>
    </row>
    <row r="94" spans="1:10" ht="19.95" customHeight="1" x14ac:dyDescent="0.35">
      <c r="A94" s="302">
        <v>519</v>
      </c>
      <c r="B94" s="223" t="s">
        <v>1050</v>
      </c>
      <c r="C94" s="551">
        <v>600</v>
      </c>
      <c r="D94" s="295"/>
      <c r="E94" s="319"/>
      <c r="F94" s="319"/>
      <c r="G94" s="319">
        <v>12</v>
      </c>
      <c r="H94" s="319">
        <v>4</v>
      </c>
      <c r="I94" s="319">
        <v>2400</v>
      </c>
      <c r="J94" s="442"/>
    </row>
    <row r="95" spans="1:10" ht="19.95" customHeight="1" x14ac:dyDescent="0.35">
      <c r="A95" s="302">
        <v>520</v>
      </c>
      <c r="B95" s="223" t="s">
        <v>802</v>
      </c>
      <c r="C95" s="551">
        <v>3120</v>
      </c>
      <c r="D95" s="295"/>
      <c r="E95" s="319"/>
      <c r="F95" s="319"/>
      <c r="G95" s="319">
        <v>10</v>
      </c>
      <c r="H95" s="319">
        <v>2</v>
      </c>
      <c r="I95" s="319">
        <v>4400</v>
      </c>
      <c r="J95" s="442"/>
    </row>
    <row r="96" spans="1:10" ht="19.95" customHeight="1" x14ac:dyDescent="0.35">
      <c r="A96" s="302">
        <v>521</v>
      </c>
      <c r="B96" s="223" t="s">
        <v>803</v>
      </c>
      <c r="C96" s="551">
        <v>2220</v>
      </c>
      <c r="D96" s="295"/>
      <c r="E96" s="319"/>
      <c r="F96" s="319"/>
      <c r="G96" s="319">
        <v>10</v>
      </c>
      <c r="H96" s="319">
        <v>2</v>
      </c>
      <c r="I96" s="319">
        <v>3000</v>
      </c>
      <c r="J96" s="442"/>
    </row>
    <row r="97" spans="1:10" ht="19.95" customHeight="1" x14ac:dyDescent="0.35">
      <c r="A97" s="302">
        <v>523</v>
      </c>
      <c r="B97" s="223" t="s">
        <v>804</v>
      </c>
      <c r="C97" s="551">
        <v>2112</v>
      </c>
      <c r="D97" s="295"/>
      <c r="E97" s="319"/>
      <c r="F97" s="319"/>
      <c r="G97" s="319">
        <v>8</v>
      </c>
      <c r="H97" s="319">
        <v>2</v>
      </c>
      <c r="I97" s="319">
        <v>3216</v>
      </c>
      <c r="J97" s="442"/>
    </row>
    <row r="98" spans="1:10" ht="19.95" customHeight="1" x14ac:dyDescent="0.35">
      <c r="A98" s="302">
        <v>525</v>
      </c>
      <c r="B98" s="223" t="s">
        <v>1271</v>
      </c>
      <c r="C98" s="551">
        <v>1392</v>
      </c>
      <c r="D98" s="295"/>
      <c r="E98" s="319"/>
      <c r="F98" s="319"/>
      <c r="G98" s="319">
        <v>10</v>
      </c>
      <c r="H98" s="319">
        <v>1</v>
      </c>
      <c r="I98" s="319">
        <v>1500</v>
      </c>
      <c r="J98" s="442"/>
    </row>
    <row r="99" spans="1:10" ht="19.95" customHeight="1" x14ac:dyDescent="0.35">
      <c r="A99" s="302">
        <v>530</v>
      </c>
      <c r="B99" s="223" t="s">
        <v>1223</v>
      </c>
      <c r="C99" s="551">
        <v>3600</v>
      </c>
      <c r="D99" s="295"/>
      <c r="E99" s="319"/>
      <c r="F99" s="319"/>
      <c r="G99" s="319">
        <v>10</v>
      </c>
      <c r="H99" s="319">
        <v>2</v>
      </c>
      <c r="I99" s="319">
        <v>5600</v>
      </c>
      <c r="J99" s="442"/>
    </row>
    <row r="100" spans="1:10" ht="19.95" customHeight="1" x14ac:dyDescent="0.35">
      <c r="A100" s="302">
        <v>531</v>
      </c>
      <c r="B100" s="223" t="s">
        <v>1199</v>
      </c>
      <c r="C100" s="551">
        <v>1440</v>
      </c>
      <c r="D100" s="295"/>
      <c r="E100" s="319"/>
      <c r="F100" s="319"/>
      <c r="G100" s="319">
        <v>10</v>
      </c>
      <c r="H100" s="319">
        <v>2</v>
      </c>
      <c r="I100" s="319">
        <v>2400</v>
      </c>
      <c r="J100" s="442"/>
    </row>
    <row r="101" spans="1:10" ht="19.95" customHeight="1" x14ac:dyDescent="0.35">
      <c r="A101" s="302">
        <v>532</v>
      </c>
      <c r="B101" s="223" t="s">
        <v>807</v>
      </c>
      <c r="C101" s="551">
        <v>312</v>
      </c>
      <c r="D101" s="295"/>
      <c r="E101" s="319"/>
      <c r="F101" s="319"/>
      <c r="G101" s="319">
        <v>10</v>
      </c>
      <c r="H101" s="319">
        <v>1</v>
      </c>
      <c r="I101" s="319">
        <v>624</v>
      </c>
      <c r="J101" s="442"/>
    </row>
    <row r="102" spans="1:10" ht="19.95" customHeight="1" x14ac:dyDescent="0.35">
      <c r="A102" s="302">
        <v>534</v>
      </c>
      <c r="B102" s="223" t="s">
        <v>808</v>
      </c>
      <c r="C102" s="551">
        <v>144</v>
      </c>
      <c r="D102" s="439" t="s">
        <v>1300</v>
      </c>
      <c r="E102" s="319"/>
      <c r="F102" s="319"/>
      <c r="G102" s="319"/>
      <c r="H102" s="319"/>
      <c r="I102" s="23"/>
      <c r="J102" s="442"/>
    </row>
    <row r="103" spans="1:10" ht="19.95" customHeight="1" x14ac:dyDescent="0.35">
      <c r="A103" s="302">
        <v>535</v>
      </c>
      <c r="B103" s="223" t="s">
        <v>809</v>
      </c>
      <c r="C103" s="551">
        <v>1584</v>
      </c>
      <c r="D103" s="439" t="s">
        <v>1300</v>
      </c>
      <c r="E103" s="319"/>
      <c r="F103" s="319"/>
      <c r="G103" s="319"/>
      <c r="H103" s="319"/>
      <c r="I103" s="23"/>
      <c r="J103" s="442"/>
    </row>
    <row r="104" spans="1:10" ht="19.95" customHeight="1" x14ac:dyDescent="0.35">
      <c r="A104" s="302">
        <v>542</v>
      </c>
      <c r="B104" s="223" t="s">
        <v>810</v>
      </c>
      <c r="C104" s="551">
        <v>384</v>
      </c>
      <c r="D104" s="295"/>
      <c r="E104" s="319"/>
      <c r="F104" s="319"/>
      <c r="G104" s="319">
        <v>8</v>
      </c>
      <c r="H104" s="319">
        <v>1</v>
      </c>
      <c r="I104" s="319">
        <v>396</v>
      </c>
      <c r="J104" s="442"/>
    </row>
    <row r="105" spans="1:10" ht="19.95" customHeight="1" x14ac:dyDescent="0.35">
      <c r="A105" s="302">
        <v>543</v>
      </c>
      <c r="B105" s="223" t="s">
        <v>811</v>
      </c>
      <c r="C105" s="551">
        <v>396</v>
      </c>
      <c r="D105" s="295"/>
      <c r="E105" s="319"/>
      <c r="F105" s="319"/>
      <c r="G105" s="319">
        <v>8</v>
      </c>
      <c r="H105" s="319">
        <v>1</v>
      </c>
      <c r="I105" s="319">
        <v>240</v>
      </c>
      <c r="J105" s="442"/>
    </row>
    <row r="106" spans="1:10" ht="19.95" customHeight="1" x14ac:dyDescent="0.35">
      <c r="A106" s="302">
        <v>544</v>
      </c>
      <c r="B106" s="223" t="s">
        <v>812</v>
      </c>
      <c r="C106" s="551">
        <v>7464</v>
      </c>
      <c r="D106" s="295"/>
      <c r="E106" s="319"/>
      <c r="F106" s="319"/>
      <c r="G106" s="319" t="s">
        <v>1523</v>
      </c>
      <c r="H106" s="319">
        <v>1</v>
      </c>
      <c r="I106" s="319">
        <v>6000</v>
      </c>
      <c r="J106" s="442"/>
    </row>
    <row r="107" spans="1:10" ht="19.95" customHeight="1" x14ac:dyDescent="0.35">
      <c r="A107" s="302">
        <v>546</v>
      </c>
      <c r="B107" s="223" t="s">
        <v>813</v>
      </c>
      <c r="C107" s="551">
        <v>7200</v>
      </c>
      <c r="D107" s="295"/>
      <c r="E107" s="319"/>
      <c r="F107" s="319"/>
      <c r="G107" s="319">
        <v>10</v>
      </c>
      <c r="H107" s="319">
        <v>1</v>
      </c>
      <c r="I107" s="319">
        <v>6500</v>
      </c>
      <c r="J107" s="442"/>
    </row>
    <row r="108" spans="1:10" ht="19.95" customHeight="1" x14ac:dyDescent="0.35">
      <c r="A108" s="302">
        <v>547</v>
      </c>
      <c r="B108" s="223" t="s">
        <v>814</v>
      </c>
      <c r="C108" s="551">
        <v>24</v>
      </c>
      <c r="D108" s="295"/>
      <c r="E108" s="319"/>
      <c r="F108" s="319"/>
      <c r="G108" s="319">
        <v>12</v>
      </c>
      <c r="H108" s="319">
        <v>2</v>
      </c>
      <c r="I108" s="319">
        <v>48</v>
      </c>
      <c r="J108" s="442"/>
    </row>
    <row r="109" spans="1:10" ht="19.95" customHeight="1" x14ac:dyDescent="0.35">
      <c r="A109" s="302">
        <v>548</v>
      </c>
      <c r="B109" s="223" t="s">
        <v>815</v>
      </c>
      <c r="C109" s="551">
        <v>0</v>
      </c>
      <c r="D109" s="295"/>
      <c r="E109" s="319"/>
      <c r="F109" s="319"/>
      <c r="G109" s="319">
        <v>8</v>
      </c>
      <c r="H109" s="319">
        <v>1</v>
      </c>
      <c r="I109" s="319">
        <v>360</v>
      </c>
      <c r="J109" s="442"/>
    </row>
    <row r="110" spans="1:10" ht="19.95" customHeight="1" x14ac:dyDescent="0.35">
      <c r="A110" s="302">
        <v>550</v>
      </c>
      <c r="B110" s="223" t="s">
        <v>623</v>
      </c>
      <c r="C110" s="551">
        <v>1368</v>
      </c>
      <c r="D110" s="295"/>
      <c r="E110" s="319" t="s">
        <v>1310</v>
      </c>
      <c r="F110" s="319"/>
      <c r="G110" s="319"/>
      <c r="H110" s="319"/>
      <c r="I110" s="23"/>
      <c r="J110" s="442"/>
    </row>
    <row r="111" spans="1:10" ht="19.95" customHeight="1" x14ac:dyDescent="0.35">
      <c r="A111" s="302">
        <v>551</v>
      </c>
      <c r="B111" s="223" t="s">
        <v>1051</v>
      </c>
      <c r="C111" s="551">
        <v>468</v>
      </c>
      <c r="D111" s="295"/>
      <c r="E111" s="319"/>
      <c r="F111" s="319"/>
      <c r="G111" s="319">
        <v>8</v>
      </c>
      <c r="H111" s="319">
        <v>1</v>
      </c>
      <c r="I111" s="319">
        <v>1000</v>
      </c>
      <c r="J111" s="442"/>
    </row>
    <row r="112" spans="1:10" ht="19.95" customHeight="1" x14ac:dyDescent="0.35">
      <c r="A112" s="302">
        <v>554</v>
      </c>
      <c r="B112" s="223" t="s">
        <v>816</v>
      </c>
      <c r="C112" s="551">
        <v>192</v>
      </c>
      <c r="D112" s="295"/>
      <c r="E112" s="319"/>
      <c r="F112" s="319"/>
      <c r="G112" s="319"/>
      <c r="H112" s="319"/>
      <c r="I112" s="23"/>
      <c r="J112" s="442"/>
    </row>
    <row r="113" spans="1:10" ht="19.95" customHeight="1" x14ac:dyDescent="0.35">
      <c r="A113" s="302">
        <v>555</v>
      </c>
      <c r="B113" s="223" t="s">
        <v>817</v>
      </c>
      <c r="C113" s="551">
        <v>1800</v>
      </c>
      <c r="D113" s="295"/>
      <c r="E113" s="319" t="s">
        <v>1310</v>
      </c>
      <c r="F113" s="319"/>
      <c r="G113" s="319"/>
      <c r="H113" s="319"/>
      <c r="I113" s="23"/>
      <c r="J113" s="442"/>
    </row>
    <row r="114" spans="1:10" ht="19.95" customHeight="1" x14ac:dyDescent="0.35">
      <c r="A114" s="302">
        <v>556</v>
      </c>
      <c r="B114" s="223" t="s">
        <v>818</v>
      </c>
      <c r="C114" s="551">
        <v>24</v>
      </c>
      <c r="D114" s="295"/>
      <c r="E114" s="319"/>
      <c r="F114" s="319"/>
      <c r="G114" s="319">
        <v>8</v>
      </c>
      <c r="H114" s="319">
        <v>1</v>
      </c>
      <c r="I114" s="319">
        <v>24</v>
      </c>
      <c r="J114" s="442"/>
    </row>
    <row r="115" spans="1:10" ht="19.95" customHeight="1" x14ac:dyDescent="0.35">
      <c r="A115" s="302">
        <v>557</v>
      </c>
      <c r="B115" s="223" t="s">
        <v>532</v>
      </c>
      <c r="C115" s="551">
        <v>288</v>
      </c>
      <c r="D115" s="295"/>
      <c r="E115" s="319" t="s">
        <v>1310</v>
      </c>
      <c r="F115" s="319"/>
      <c r="G115" s="319"/>
      <c r="H115" s="319"/>
      <c r="I115" s="23"/>
      <c r="J115" s="442"/>
    </row>
    <row r="116" spans="1:10" ht="19.95" customHeight="1" x14ac:dyDescent="0.35">
      <c r="A116" s="302">
        <v>558</v>
      </c>
      <c r="B116" s="223" t="s">
        <v>533</v>
      </c>
      <c r="C116" s="551">
        <v>2124</v>
      </c>
      <c r="D116" s="295"/>
      <c r="E116" s="319" t="s">
        <v>1310</v>
      </c>
      <c r="F116" s="319"/>
      <c r="G116" s="319"/>
      <c r="H116" s="319"/>
      <c r="I116" s="23"/>
      <c r="J116" s="442"/>
    </row>
    <row r="117" spans="1:10" ht="19.95" customHeight="1" x14ac:dyDescent="0.35">
      <c r="A117" s="302">
        <v>559</v>
      </c>
      <c r="B117" s="223" t="s">
        <v>819</v>
      </c>
      <c r="C117" s="551">
        <v>996</v>
      </c>
      <c r="D117" s="295"/>
      <c r="E117" s="319"/>
      <c r="F117" s="319"/>
      <c r="G117" s="319">
        <v>8</v>
      </c>
      <c r="H117" s="319">
        <v>1</v>
      </c>
      <c r="I117" s="319">
        <v>800</v>
      </c>
      <c r="J117" s="442"/>
    </row>
    <row r="118" spans="1:10" ht="19.95" customHeight="1" x14ac:dyDescent="0.35">
      <c r="A118" s="302">
        <v>560</v>
      </c>
      <c r="B118" s="223" t="s">
        <v>820</v>
      </c>
      <c r="C118" s="551">
        <v>660</v>
      </c>
      <c r="D118" s="295"/>
      <c r="E118" s="319"/>
      <c r="F118" s="319"/>
      <c r="G118" s="319">
        <v>8</v>
      </c>
      <c r="H118" s="319">
        <v>2</v>
      </c>
      <c r="I118" s="319">
        <v>960</v>
      </c>
      <c r="J118" s="442"/>
    </row>
    <row r="119" spans="1:10" ht="19.95" customHeight="1" x14ac:dyDescent="0.35">
      <c r="A119" s="302">
        <v>562</v>
      </c>
      <c r="B119" s="223" t="s">
        <v>1052</v>
      </c>
      <c r="C119" s="551">
        <v>1200</v>
      </c>
      <c r="D119" s="295"/>
      <c r="E119" s="319"/>
      <c r="F119" s="319"/>
      <c r="G119" s="319">
        <v>8</v>
      </c>
      <c r="H119" s="319">
        <v>1</v>
      </c>
      <c r="I119" s="319">
        <v>1000</v>
      </c>
      <c r="J119" s="442"/>
    </row>
    <row r="120" spans="1:10" ht="19.95" customHeight="1" x14ac:dyDescent="0.35">
      <c r="A120" s="302">
        <v>563</v>
      </c>
      <c r="B120" s="223" t="s">
        <v>1264</v>
      </c>
      <c r="C120" s="551">
        <v>96</v>
      </c>
      <c r="D120" s="295"/>
      <c r="E120" s="319"/>
      <c r="F120" s="319"/>
      <c r="G120" s="319">
        <v>12</v>
      </c>
      <c r="H120" s="319">
        <v>2</v>
      </c>
      <c r="I120" s="319">
        <v>48</v>
      </c>
      <c r="J120" s="442"/>
    </row>
    <row r="121" spans="1:10" ht="19.95" customHeight="1" x14ac:dyDescent="0.35">
      <c r="A121" s="302">
        <v>564</v>
      </c>
      <c r="B121" s="223" t="s">
        <v>821</v>
      </c>
      <c r="C121" s="551">
        <v>444</v>
      </c>
      <c r="D121" s="295"/>
      <c r="E121" s="319"/>
      <c r="F121" s="319"/>
      <c r="G121" s="319">
        <v>14</v>
      </c>
      <c r="H121" s="319">
        <v>2</v>
      </c>
      <c r="I121" s="319">
        <v>1200</v>
      </c>
      <c r="J121" s="442"/>
    </row>
    <row r="122" spans="1:10" ht="19.95" customHeight="1" x14ac:dyDescent="0.35">
      <c r="A122" s="302">
        <v>565</v>
      </c>
      <c r="B122" s="223" t="s">
        <v>822</v>
      </c>
      <c r="C122" s="551">
        <v>432</v>
      </c>
      <c r="D122" s="295"/>
      <c r="E122" s="319"/>
      <c r="F122" s="319"/>
      <c r="G122" s="319">
        <v>8</v>
      </c>
      <c r="H122" s="319">
        <v>2</v>
      </c>
      <c r="I122" s="319">
        <v>600</v>
      </c>
      <c r="J122" s="442"/>
    </row>
    <row r="123" spans="1:10" ht="18" x14ac:dyDescent="0.35">
      <c r="A123" s="302">
        <v>569</v>
      </c>
      <c r="B123" s="223" t="s">
        <v>640</v>
      </c>
      <c r="C123" s="551">
        <v>168</v>
      </c>
      <c r="D123" s="295"/>
      <c r="E123" s="319"/>
      <c r="F123" s="319"/>
      <c r="G123" s="319">
        <v>10</v>
      </c>
      <c r="H123" s="319">
        <v>2</v>
      </c>
      <c r="I123" s="319">
        <v>400</v>
      </c>
      <c r="J123" s="442"/>
    </row>
    <row r="124" spans="1:10" ht="18" x14ac:dyDescent="0.35">
      <c r="A124" s="302">
        <v>570</v>
      </c>
      <c r="B124" s="223" t="s">
        <v>823</v>
      </c>
      <c r="C124" s="551">
        <v>432</v>
      </c>
      <c r="D124" s="295"/>
      <c r="E124" s="319"/>
      <c r="F124" s="319"/>
      <c r="G124" s="319">
        <v>8</v>
      </c>
      <c r="H124" s="319">
        <v>1</v>
      </c>
      <c r="I124" s="319">
        <v>300</v>
      </c>
      <c r="J124" s="442"/>
    </row>
    <row r="125" spans="1:10" ht="18" x14ac:dyDescent="0.35">
      <c r="A125" s="302">
        <v>573</v>
      </c>
      <c r="B125" s="223" t="s">
        <v>538</v>
      </c>
      <c r="C125" s="551">
        <v>360</v>
      </c>
      <c r="D125" s="295"/>
      <c r="E125" s="319" t="s">
        <v>1310</v>
      </c>
      <c r="F125" s="319"/>
      <c r="G125" s="319"/>
      <c r="H125" s="319"/>
      <c r="I125" s="23"/>
      <c r="J125" s="442"/>
    </row>
    <row r="126" spans="1:10" ht="18" x14ac:dyDescent="0.35">
      <c r="A126" s="302">
        <v>575</v>
      </c>
      <c r="B126" s="223" t="s">
        <v>824</v>
      </c>
      <c r="C126" s="551">
        <v>1092</v>
      </c>
      <c r="D126" s="295"/>
      <c r="E126" s="319"/>
      <c r="F126" s="319"/>
      <c r="G126" s="319">
        <v>8</v>
      </c>
      <c r="H126" s="319">
        <v>1</v>
      </c>
      <c r="I126" s="319">
        <v>800</v>
      </c>
      <c r="J126" s="442"/>
    </row>
    <row r="127" spans="1:10" ht="18" x14ac:dyDescent="0.35">
      <c r="A127" s="302">
        <v>577</v>
      </c>
      <c r="B127" s="223" t="s">
        <v>825</v>
      </c>
      <c r="C127" s="551">
        <v>984</v>
      </c>
      <c r="D127" s="295"/>
      <c r="E127" s="319"/>
      <c r="F127" s="319"/>
      <c r="G127" s="319">
        <v>8</v>
      </c>
      <c r="H127" s="319">
        <v>1</v>
      </c>
      <c r="I127" s="319">
        <v>1300</v>
      </c>
      <c r="J127" s="442"/>
    </row>
    <row r="128" spans="1:10" ht="18" x14ac:dyDescent="0.35">
      <c r="A128" s="302">
        <v>579</v>
      </c>
      <c r="B128" s="223" t="s">
        <v>826</v>
      </c>
      <c r="C128" s="551">
        <v>660</v>
      </c>
      <c r="D128" s="295"/>
      <c r="E128" s="319"/>
      <c r="F128" s="319"/>
      <c r="G128" s="319">
        <v>8</v>
      </c>
      <c r="H128" s="319">
        <v>1</v>
      </c>
      <c r="I128" s="319">
        <v>360</v>
      </c>
      <c r="J128" s="442"/>
    </row>
    <row r="129" spans="1:10" ht="18" x14ac:dyDescent="0.35">
      <c r="A129" s="302">
        <v>581</v>
      </c>
      <c r="B129" s="223" t="s">
        <v>835</v>
      </c>
      <c r="C129" s="551">
        <v>768</v>
      </c>
      <c r="D129" s="295"/>
      <c r="E129" s="319"/>
      <c r="F129" s="319"/>
      <c r="G129" s="319">
        <v>8</v>
      </c>
      <c r="H129" s="319">
        <v>1</v>
      </c>
      <c r="I129" s="319">
        <v>1200</v>
      </c>
      <c r="J129" s="442"/>
    </row>
    <row r="130" spans="1:10" ht="18" x14ac:dyDescent="0.35">
      <c r="A130" s="302">
        <v>586</v>
      </c>
      <c r="B130" s="223" t="s">
        <v>637</v>
      </c>
      <c r="C130" s="551">
        <v>6996</v>
      </c>
      <c r="D130" s="295"/>
      <c r="E130" s="319"/>
      <c r="F130" s="319"/>
      <c r="G130" s="319"/>
      <c r="H130" s="319"/>
      <c r="I130" s="23"/>
      <c r="J130" s="442"/>
    </row>
    <row r="131" spans="1:10" ht="18" x14ac:dyDescent="0.35">
      <c r="A131" s="302">
        <v>587</v>
      </c>
      <c r="B131" s="223" t="s">
        <v>1053</v>
      </c>
      <c r="C131" s="551">
        <v>3900</v>
      </c>
      <c r="D131" s="295"/>
      <c r="E131" s="319"/>
      <c r="F131" s="319"/>
      <c r="G131" s="319">
        <v>10</v>
      </c>
      <c r="H131" s="319">
        <v>1</v>
      </c>
      <c r="I131" s="319">
        <v>2800</v>
      </c>
      <c r="J131" s="442"/>
    </row>
    <row r="132" spans="1:10" ht="18" x14ac:dyDescent="0.35">
      <c r="A132" s="302">
        <v>592</v>
      </c>
      <c r="B132" s="223" t="s">
        <v>827</v>
      </c>
      <c r="C132" s="551">
        <v>0</v>
      </c>
      <c r="D132" s="439" t="s">
        <v>1300</v>
      </c>
      <c r="E132" s="319" t="s">
        <v>1311</v>
      </c>
      <c r="F132" s="319"/>
      <c r="G132" s="319"/>
      <c r="H132" s="319"/>
      <c r="I132" s="23"/>
      <c r="J132" s="442"/>
    </row>
    <row r="133" spans="1:10" ht="18" x14ac:dyDescent="0.35">
      <c r="A133" s="302">
        <v>593</v>
      </c>
      <c r="B133" s="223" t="s">
        <v>828</v>
      </c>
      <c r="C133" s="551">
        <v>0</v>
      </c>
      <c r="D133" s="439" t="s">
        <v>1300</v>
      </c>
      <c r="E133" s="319" t="s">
        <v>1311</v>
      </c>
      <c r="F133" s="319"/>
      <c r="G133" s="319"/>
      <c r="H133" s="319"/>
      <c r="I133" s="23"/>
      <c r="J133" s="442"/>
    </row>
    <row r="134" spans="1:10" ht="18" x14ac:dyDescent="0.35">
      <c r="A134" s="302">
        <v>594</v>
      </c>
      <c r="B134" s="223" t="s">
        <v>829</v>
      </c>
      <c r="C134" s="551">
        <v>312</v>
      </c>
      <c r="D134" s="295"/>
      <c r="E134" s="319"/>
      <c r="F134" s="319"/>
      <c r="G134" s="319">
        <v>16</v>
      </c>
      <c r="H134" s="319">
        <v>2</v>
      </c>
      <c r="I134" s="319">
        <v>600</v>
      </c>
      <c r="J134" s="448" t="s">
        <v>1300</v>
      </c>
    </row>
    <row r="135" spans="1:10" ht="18" x14ac:dyDescent="0.35">
      <c r="A135" s="302">
        <v>595</v>
      </c>
      <c r="B135" s="223" t="s">
        <v>830</v>
      </c>
      <c r="C135" s="551">
        <v>288</v>
      </c>
      <c r="D135" s="295"/>
      <c r="E135" s="319"/>
      <c r="F135" s="319"/>
      <c r="G135" s="319">
        <v>16</v>
      </c>
      <c r="H135" s="319">
        <v>2</v>
      </c>
      <c r="I135" s="319">
        <v>560</v>
      </c>
      <c r="J135" s="448" t="s">
        <v>1300</v>
      </c>
    </row>
    <row r="136" spans="1:10" ht="18" x14ac:dyDescent="0.35">
      <c r="A136" s="302">
        <v>596</v>
      </c>
      <c r="B136" s="223" t="s">
        <v>831</v>
      </c>
      <c r="C136" s="551">
        <v>108</v>
      </c>
      <c r="D136" s="295"/>
      <c r="E136" s="319"/>
      <c r="F136" s="319"/>
      <c r="G136" s="319">
        <v>16</v>
      </c>
      <c r="H136" s="319">
        <v>2</v>
      </c>
      <c r="I136" s="319">
        <v>200</v>
      </c>
      <c r="J136" s="448" t="s">
        <v>1300</v>
      </c>
    </row>
    <row r="137" spans="1:10" ht="18" x14ac:dyDescent="0.35">
      <c r="A137" s="302">
        <v>654</v>
      </c>
      <c r="B137" s="223" t="s">
        <v>832</v>
      </c>
      <c r="C137" s="551">
        <v>912</v>
      </c>
      <c r="D137" s="295"/>
      <c r="E137" s="319" t="s">
        <v>1310</v>
      </c>
      <c r="F137" s="319"/>
      <c r="G137" s="319"/>
      <c r="H137" s="319"/>
      <c r="I137" s="23"/>
      <c r="J137" s="442"/>
    </row>
    <row r="138" spans="1:10" ht="18" x14ac:dyDescent="0.35">
      <c r="A138" s="302">
        <v>655</v>
      </c>
      <c r="B138" s="223" t="s">
        <v>833</v>
      </c>
      <c r="C138" s="551">
        <v>0</v>
      </c>
      <c r="D138" s="295"/>
      <c r="E138" s="319" t="s">
        <v>1310</v>
      </c>
      <c r="F138" s="319"/>
      <c r="G138" s="319"/>
      <c r="H138" s="319"/>
      <c r="I138" s="23"/>
      <c r="J138" s="442"/>
    </row>
    <row r="139" spans="1:10" ht="18" x14ac:dyDescent="0.35">
      <c r="A139" s="302">
        <v>823</v>
      </c>
      <c r="B139" s="223" t="s">
        <v>686</v>
      </c>
      <c r="C139" s="551">
        <v>108</v>
      </c>
      <c r="D139" s="295"/>
      <c r="E139" s="319"/>
      <c r="F139" s="319"/>
      <c r="G139" s="319"/>
      <c r="H139" s="319"/>
      <c r="I139" s="23"/>
      <c r="J139" s="442"/>
    </row>
    <row r="140" spans="1:10" ht="18" x14ac:dyDescent="0.35">
      <c r="A140" s="302" t="s">
        <v>1054</v>
      </c>
      <c r="B140" s="223" t="s">
        <v>1055</v>
      </c>
      <c r="C140" s="551">
        <v>120</v>
      </c>
      <c r="D140" s="295"/>
      <c r="E140" s="319"/>
      <c r="F140" s="319" t="s">
        <v>1300</v>
      </c>
      <c r="G140" s="319"/>
      <c r="H140" s="319"/>
      <c r="I140" s="23"/>
      <c r="J140" s="442"/>
    </row>
    <row r="141" spans="1:10" ht="18" x14ac:dyDescent="0.35">
      <c r="A141" s="302" t="s">
        <v>1056</v>
      </c>
      <c r="B141" s="223" t="s">
        <v>1057</v>
      </c>
      <c r="C141" s="551">
        <v>0</v>
      </c>
      <c r="D141" s="295"/>
      <c r="E141" s="319"/>
      <c r="F141" s="319"/>
      <c r="G141" s="319"/>
      <c r="H141" s="319"/>
      <c r="I141" s="23"/>
      <c r="J141" s="442"/>
    </row>
    <row r="142" spans="1:10" ht="18" x14ac:dyDescent="0.35">
      <c r="A142" s="302" t="s">
        <v>1058</v>
      </c>
      <c r="B142" s="223" t="s">
        <v>1059</v>
      </c>
      <c r="C142" s="551">
        <v>120</v>
      </c>
      <c r="D142" s="295"/>
      <c r="E142" s="319"/>
      <c r="F142" s="319"/>
      <c r="G142" s="319"/>
      <c r="H142" s="319"/>
      <c r="I142" s="23"/>
      <c r="J142" s="442"/>
    </row>
    <row r="143" spans="1:10" ht="18" x14ac:dyDescent="0.35">
      <c r="A143" s="302" t="s">
        <v>1060</v>
      </c>
      <c r="B143" s="223" t="s">
        <v>1061</v>
      </c>
      <c r="C143" s="551">
        <v>0</v>
      </c>
      <c r="D143" s="295"/>
      <c r="E143" s="319"/>
      <c r="F143" s="319"/>
      <c r="G143" s="319"/>
      <c r="H143" s="319"/>
      <c r="I143" s="23"/>
      <c r="J143" s="442"/>
    </row>
    <row r="144" spans="1:10" ht="18" x14ac:dyDescent="0.35">
      <c r="A144" s="302" t="s">
        <v>1062</v>
      </c>
      <c r="B144" s="223" t="s">
        <v>1063</v>
      </c>
      <c r="C144" s="551">
        <v>36</v>
      </c>
      <c r="D144" s="295"/>
      <c r="E144" s="319"/>
      <c r="F144" s="319"/>
      <c r="G144" s="319"/>
      <c r="H144" s="319"/>
      <c r="I144" s="23"/>
      <c r="J144" s="442"/>
    </row>
    <row r="145" spans="1:10" ht="18" x14ac:dyDescent="0.35">
      <c r="A145" s="302" t="s">
        <v>1043</v>
      </c>
      <c r="B145" s="223" t="s">
        <v>1044</v>
      </c>
      <c r="C145" s="551">
        <v>0</v>
      </c>
      <c r="D145" s="295"/>
      <c r="E145" s="319"/>
      <c r="F145" s="319"/>
      <c r="G145" s="319"/>
      <c r="H145" s="319"/>
      <c r="I145" s="23"/>
      <c r="J145" s="442"/>
    </row>
    <row r="146" spans="1:10" ht="18" x14ac:dyDescent="0.35">
      <c r="A146" s="302" t="s">
        <v>1064</v>
      </c>
      <c r="B146" s="223" t="s">
        <v>1065</v>
      </c>
      <c r="C146" s="551">
        <v>1860</v>
      </c>
      <c r="D146" s="295"/>
      <c r="E146" s="319"/>
      <c r="F146" s="319"/>
      <c r="G146" s="319"/>
      <c r="H146" s="319"/>
      <c r="I146" s="23"/>
      <c r="J146" s="442"/>
    </row>
    <row r="147" spans="1:10" ht="18" x14ac:dyDescent="0.35">
      <c r="A147" s="302" t="s">
        <v>1066</v>
      </c>
      <c r="B147" s="223" t="s">
        <v>1067</v>
      </c>
      <c r="C147" s="551">
        <v>0</v>
      </c>
      <c r="D147" s="295"/>
      <c r="E147" s="319"/>
      <c r="F147" s="319"/>
      <c r="G147" s="319"/>
      <c r="H147" s="319"/>
      <c r="I147" s="23"/>
      <c r="J147" s="442"/>
    </row>
    <row r="148" spans="1:10" ht="18" x14ac:dyDescent="0.35">
      <c r="A148" s="302" t="s">
        <v>1232</v>
      </c>
      <c r="B148" s="223" t="s">
        <v>1266</v>
      </c>
      <c r="C148" s="551">
        <v>0</v>
      </c>
      <c r="D148" s="295"/>
      <c r="E148" s="319"/>
      <c r="F148" s="319"/>
      <c r="G148" s="319"/>
      <c r="H148" s="319"/>
      <c r="I148" s="23"/>
      <c r="J148" s="442"/>
    </row>
    <row r="149" spans="1:10" ht="18" x14ac:dyDescent="0.35">
      <c r="A149" s="302" t="s">
        <v>1232</v>
      </c>
      <c r="B149" s="223" t="s">
        <v>1228</v>
      </c>
      <c r="C149" s="551">
        <v>0</v>
      </c>
      <c r="D149" s="295"/>
      <c r="E149" s="319"/>
      <c r="F149" s="319"/>
      <c r="G149" s="319"/>
      <c r="H149" s="319"/>
      <c r="I149" s="23"/>
      <c r="J149" s="442"/>
    </row>
    <row r="150" spans="1:10" ht="18" x14ac:dyDescent="0.35">
      <c r="A150" s="302" t="s">
        <v>1068</v>
      </c>
      <c r="B150" s="223" t="s">
        <v>1069</v>
      </c>
      <c r="C150" s="551">
        <v>360</v>
      </c>
      <c r="D150" s="295"/>
      <c r="E150" s="319"/>
      <c r="F150" s="319"/>
      <c r="G150" s="319"/>
      <c r="H150" s="319"/>
      <c r="I150" s="23"/>
      <c r="J150" s="442"/>
    </row>
    <row r="151" spans="1:10" ht="18" x14ac:dyDescent="0.35">
      <c r="A151" s="302" t="s">
        <v>1068</v>
      </c>
      <c r="B151" s="223" t="s">
        <v>1069</v>
      </c>
      <c r="C151" s="551">
        <v>360</v>
      </c>
      <c r="D151" s="295"/>
      <c r="E151" s="319"/>
      <c r="F151" s="319"/>
      <c r="G151" s="319"/>
      <c r="H151" s="319"/>
      <c r="I151" s="23"/>
      <c r="J151" s="442"/>
    </row>
    <row r="152" spans="1:10" ht="18" x14ac:dyDescent="0.35">
      <c r="A152" s="546" t="s">
        <v>1233</v>
      </c>
      <c r="B152" s="223" t="s">
        <v>1229</v>
      </c>
      <c r="C152" s="551">
        <v>0</v>
      </c>
      <c r="D152" s="295"/>
      <c r="E152" s="319"/>
      <c r="F152" s="319"/>
      <c r="G152" s="319"/>
      <c r="H152" s="319"/>
      <c r="I152" s="23"/>
      <c r="J152" s="442"/>
    </row>
    <row r="153" spans="1:10" ht="18" x14ac:dyDescent="0.35">
      <c r="A153" s="302" t="s">
        <v>1234</v>
      </c>
      <c r="B153" s="223" t="s">
        <v>1267</v>
      </c>
      <c r="C153" s="551">
        <v>0</v>
      </c>
      <c r="D153" s="295"/>
      <c r="E153" s="319"/>
      <c r="F153" s="319"/>
      <c r="G153" s="319"/>
      <c r="H153" s="319"/>
      <c r="I153" s="23"/>
      <c r="J153" s="442"/>
    </row>
    <row r="154" spans="1:10" ht="18" x14ac:dyDescent="0.35">
      <c r="A154" s="302" t="s">
        <v>1234</v>
      </c>
      <c r="B154" s="223" t="s">
        <v>1230</v>
      </c>
      <c r="C154" s="551">
        <v>0</v>
      </c>
      <c r="D154" s="295"/>
      <c r="E154" s="319"/>
      <c r="F154" s="319"/>
      <c r="G154" s="319"/>
      <c r="H154" s="319"/>
      <c r="I154" s="23"/>
      <c r="J154" s="442"/>
    </row>
    <row r="155" spans="1:10" ht="18" x14ac:dyDescent="0.35">
      <c r="A155" s="302" t="s">
        <v>1235</v>
      </c>
      <c r="B155" s="223" t="s">
        <v>797</v>
      </c>
      <c r="C155" s="551">
        <v>0</v>
      </c>
      <c r="D155" s="295"/>
      <c r="E155" s="319"/>
      <c r="F155" s="319"/>
      <c r="G155" s="319"/>
      <c r="H155" s="319"/>
      <c r="I155" s="23"/>
      <c r="J155" s="442"/>
    </row>
    <row r="156" spans="1:10" ht="18" x14ac:dyDescent="0.35">
      <c r="A156" s="302" t="s">
        <v>1236</v>
      </c>
      <c r="B156" s="223" t="s">
        <v>1268</v>
      </c>
      <c r="C156" s="551">
        <v>0</v>
      </c>
      <c r="D156" s="295"/>
      <c r="E156" s="319"/>
      <c r="F156" s="319"/>
      <c r="G156" s="319"/>
      <c r="H156" s="319"/>
      <c r="I156" s="23"/>
      <c r="J156" s="442"/>
    </row>
    <row r="157" spans="1:10" ht="18" x14ac:dyDescent="0.35">
      <c r="A157" s="302" t="s">
        <v>1236</v>
      </c>
      <c r="B157" s="223" t="s">
        <v>1231</v>
      </c>
      <c r="C157" s="551">
        <v>0</v>
      </c>
      <c r="D157" s="295"/>
      <c r="E157" s="319"/>
      <c r="F157" s="319"/>
      <c r="G157" s="319"/>
      <c r="H157" s="319"/>
      <c r="I157" s="23"/>
      <c r="J157" s="442"/>
    </row>
    <row r="158" spans="1:10" ht="18" x14ac:dyDescent="0.35">
      <c r="A158" s="302" t="s">
        <v>1286</v>
      </c>
      <c r="B158" s="223" t="s">
        <v>1065</v>
      </c>
      <c r="C158" s="551">
        <v>2160</v>
      </c>
      <c r="D158" s="295"/>
      <c r="E158" s="319"/>
      <c r="F158" s="319"/>
      <c r="G158" s="319"/>
      <c r="H158" s="319"/>
      <c r="I158" s="23"/>
      <c r="J158" s="442"/>
    </row>
    <row r="159" spans="1:10" ht="18" x14ac:dyDescent="0.35">
      <c r="A159" s="302" t="s">
        <v>1279</v>
      </c>
      <c r="B159" s="223" t="s">
        <v>627</v>
      </c>
      <c r="C159" s="551">
        <v>648</v>
      </c>
      <c r="D159" s="295"/>
      <c r="E159" s="319"/>
      <c r="F159" s="319"/>
      <c r="G159" s="319"/>
      <c r="H159" s="319"/>
      <c r="I159" s="23"/>
      <c r="J159" s="442"/>
    </row>
    <row r="160" spans="1:10" ht="18" x14ac:dyDescent="0.35">
      <c r="A160" s="302" t="s">
        <v>1281</v>
      </c>
      <c r="B160" s="223" t="s">
        <v>1273</v>
      </c>
      <c r="C160" s="551">
        <v>0</v>
      </c>
      <c r="D160" s="295"/>
      <c r="E160" s="319"/>
      <c r="F160" s="319"/>
      <c r="G160" s="319"/>
      <c r="H160" s="319"/>
      <c r="I160" s="23"/>
      <c r="J160" s="442"/>
    </row>
    <row r="161" spans="1:10" ht="18" x14ac:dyDescent="0.35">
      <c r="A161" s="302" t="s">
        <v>1237</v>
      </c>
      <c r="B161" s="223" t="s">
        <v>1269</v>
      </c>
      <c r="C161" s="551">
        <v>0</v>
      </c>
      <c r="D161" s="295"/>
      <c r="E161" s="319"/>
      <c r="F161" s="319"/>
      <c r="G161" s="319"/>
      <c r="H161" s="319"/>
      <c r="I161" s="23"/>
      <c r="J161" s="442"/>
    </row>
    <row r="162" spans="1:10" ht="18" x14ac:dyDescent="0.35">
      <c r="A162" s="302" t="s">
        <v>1237</v>
      </c>
      <c r="B162" s="223" t="s">
        <v>1244</v>
      </c>
      <c r="C162" s="551">
        <v>0</v>
      </c>
      <c r="D162" s="295"/>
      <c r="E162" s="319"/>
      <c r="F162" s="319"/>
      <c r="G162" s="319"/>
      <c r="H162" s="319"/>
      <c r="I162" s="23"/>
      <c r="J162" s="442"/>
    </row>
    <row r="163" spans="1:10" ht="18" x14ac:dyDescent="0.35">
      <c r="A163" s="302" t="s">
        <v>1238</v>
      </c>
      <c r="B163" s="223" t="s">
        <v>1270</v>
      </c>
      <c r="C163" s="551">
        <v>0</v>
      </c>
      <c r="D163" s="295"/>
      <c r="E163" s="319"/>
      <c r="F163" s="319"/>
      <c r="G163" s="319"/>
      <c r="H163" s="319"/>
      <c r="I163" s="23"/>
      <c r="J163" s="442"/>
    </row>
    <row r="164" spans="1:10" ht="18" x14ac:dyDescent="0.35">
      <c r="A164" s="302" t="s">
        <v>1238</v>
      </c>
      <c r="B164" s="223" t="s">
        <v>1245</v>
      </c>
      <c r="C164" s="551">
        <v>0</v>
      </c>
      <c r="D164" s="295"/>
      <c r="E164" s="319"/>
      <c r="F164" s="319"/>
      <c r="G164" s="319"/>
      <c r="H164" s="319"/>
      <c r="I164" s="23"/>
      <c r="J164" s="442"/>
    </row>
    <row r="165" spans="1:10" ht="18" x14ac:dyDescent="0.35">
      <c r="A165" s="302" t="s">
        <v>1070</v>
      </c>
      <c r="B165" s="223" t="s">
        <v>1276</v>
      </c>
      <c r="C165" s="551">
        <v>120</v>
      </c>
      <c r="D165" s="295"/>
      <c r="E165" s="319"/>
      <c r="F165" s="319"/>
      <c r="G165" s="319"/>
      <c r="H165" s="319"/>
      <c r="I165" s="23"/>
      <c r="J165" s="442"/>
    </row>
    <row r="166" spans="1:10" ht="18" x14ac:dyDescent="0.35">
      <c r="A166" s="302" t="s">
        <v>1280</v>
      </c>
      <c r="B166" s="223" t="s">
        <v>1272</v>
      </c>
      <c r="C166" s="551">
        <v>120</v>
      </c>
      <c r="D166" s="295"/>
      <c r="E166" s="319"/>
      <c r="F166" s="319"/>
      <c r="G166" s="319"/>
      <c r="H166" s="319"/>
      <c r="I166" s="23"/>
      <c r="J166" s="442"/>
    </row>
    <row r="167" spans="1:10" ht="18" x14ac:dyDescent="0.35">
      <c r="A167" s="302" t="s">
        <v>1282</v>
      </c>
      <c r="B167" s="223" t="s">
        <v>1274</v>
      </c>
      <c r="C167" s="551">
        <v>360</v>
      </c>
      <c r="D167" s="295"/>
      <c r="E167" s="319"/>
      <c r="F167" s="319"/>
      <c r="G167" s="319"/>
      <c r="H167" s="319"/>
      <c r="I167" s="23"/>
      <c r="J167" s="442"/>
    </row>
    <row r="168" spans="1:10" ht="18" x14ac:dyDescent="0.35">
      <c r="A168" s="302" t="s">
        <v>1283</v>
      </c>
      <c r="B168" s="223" t="s">
        <v>1275</v>
      </c>
      <c r="C168" s="551">
        <v>600</v>
      </c>
      <c r="D168" s="295"/>
      <c r="E168" s="319"/>
      <c r="F168" s="319"/>
      <c r="G168" s="319"/>
      <c r="H168" s="319"/>
      <c r="I168" s="23"/>
      <c r="J168" s="442"/>
    </row>
    <row r="169" spans="1:10" ht="18" x14ac:dyDescent="0.35">
      <c r="A169" s="302" t="s">
        <v>1285</v>
      </c>
      <c r="B169" s="223" t="s">
        <v>1278</v>
      </c>
      <c r="C169" s="551">
        <v>420</v>
      </c>
      <c r="D169" s="295"/>
      <c r="E169" s="319"/>
      <c r="F169" s="319"/>
      <c r="G169" s="319"/>
      <c r="H169" s="319"/>
      <c r="I169" s="23"/>
      <c r="J169" s="442"/>
    </row>
    <row r="170" spans="1:10" ht="18.600000000000001" thickBot="1" x14ac:dyDescent="0.4">
      <c r="A170" s="298" t="s">
        <v>1284</v>
      </c>
      <c r="B170" s="242" t="s">
        <v>1277</v>
      </c>
      <c r="C170" s="552">
        <v>600</v>
      </c>
      <c r="D170" s="443"/>
      <c r="E170" s="527"/>
      <c r="F170" s="527"/>
      <c r="G170" s="527"/>
      <c r="H170" s="527"/>
      <c r="I170" s="29"/>
      <c r="J170" s="444"/>
    </row>
  </sheetData>
  <autoFilter ref="A1:J1" xr:uid="{00000000-0001-0000-12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K250"/>
  <sheetViews>
    <sheetView topLeftCell="E1" workbookViewId="0">
      <selection activeCell="K4" sqref="K4:K6"/>
    </sheetView>
  </sheetViews>
  <sheetFormatPr baseColWidth="10" defaultRowHeight="14.4" x14ac:dyDescent="0.3"/>
  <cols>
    <col min="1" max="1" width="8.6640625" customWidth="1"/>
    <col min="2" max="2" width="38" bestFit="1" customWidth="1"/>
    <col min="3" max="3" width="9.109375" customWidth="1"/>
    <col min="4" max="4" width="10.33203125" customWidth="1"/>
    <col min="5" max="5" width="10.6640625" style="292" customWidth="1"/>
    <col min="6" max="6" width="9.6640625" customWidth="1"/>
    <col min="7" max="7" width="11.88671875" customWidth="1"/>
    <col min="10" max="10" width="9.33203125" customWidth="1"/>
  </cols>
  <sheetData>
    <row r="1" spans="1:11" ht="36.6" thickBot="1" x14ac:dyDescent="0.35">
      <c r="A1" s="521" t="s">
        <v>1444</v>
      </c>
      <c r="B1" s="521" t="s">
        <v>749</v>
      </c>
      <c r="C1" s="521" t="s">
        <v>1648</v>
      </c>
      <c r="D1" s="521" t="s">
        <v>1299</v>
      </c>
      <c r="E1" s="521" t="s">
        <v>1612</v>
      </c>
      <c r="F1" s="521" t="s">
        <v>340</v>
      </c>
      <c r="G1" s="521" t="s">
        <v>1484</v>
      </c>
      <c r="H1" s="318" t="s">
        <v>1494</v>
      </c>
      <c r="I1" s="318" t="s">
        <v>1301</v>
      </c>
      <c r="J1" s="318" t="s">
        <v>1615</v>
      </c>
      <c r="K1" s="1018" t="s">
        <v>1809</v>
      </c>
    </row>
    <row r="2" spans="1:11" ht="18" customHeight="1" x14ac:dyDescent="0.35">
      <c r="A2" s="297">
        <v>43</v>
      </c>
      <c r="B2" s="240" t="s">
        <v>1081</v>
      </c>
      <c r="C2" s="528">
        <v>240</v>
      </c>
      <c r="D2" s="441"/>
      <c r="E2" s="525"/>
      <c r="F2" s="525"/>
      <c r="G2" s="529"/>
      <c r="H2" s="529">
        <v>10</v>
      </c>
      <c r="I2" s="529">
        <v>2</v>
      </c>
      <c r="J2" s="529">
        <v>480</v>
      </c>
      <c r="K2" s="447"/>
    </row>
    <row r="3" spans="1:11" ht="18" customHeight="1" x14ac:dyDescent="0.35">
      <c r="A3" s="302">
        <v>52</v>
      </c>
      <c r="B3" s="223" t="s">
        <v>1082</v>
      </c>
      <c r="C3" s="551">
        <v>24</v>
      </c>
      <c r="D3" s="439" t="s">
        <v>1300</v>
      </c>
      <c r="E3" s="440"/>
      <c r="F3" s="440"/>
      <c r="G3" s="319"/>
      <c r="H3" s="319"/>
      <c r="I3" s="319"/>
      <c r="J3" s="319"/>
      <c r="K3" s="442"/>
    </row>
    <row r="4" spans="1:11" ht="18" customHeight="1" x14ac:dyDescent="0.35">
      <c r="A4" s="302">
        <v>53</v>
      </c>
      <c r="B4" s="223" t="s">
        <v>1083</v>
      </c>
      <c r="C4" s="551">
        <v>48</v>
      </c>
      <c r="D4" s="295"/>
      <c r="E4" s="440"/>
      <c r="F4" s="440"/>
      <c r="G4" s="319"/>
      <c r="H4" s="319">
        <v>16</v>
      </c>
      <c r="I4" s="319">
        <v>2</v>
      </c>
      <c r="J4" s="319">
        <v>200</v>
      </c>
      <c r="K4" s="448" t="s">
        <v>1300</v>
      </c>
    </row>
    <row r="5" spans="1:11" ht="18" customHeight="1" x14ac:dyDescent="0.35">
      <c r="A5" s="302">
        <v>54</v>
      </c>
      <c r="B5" s="223" t="s">
        <v>1084</v>
      </c>
      <c r="C5" s="551">
        <v>24</v>
      </c>
      <c r="D5" s="295"/>
      <c r="E5" s="440"/>
      <c r="F5" s="440"/>
      <c r="G5" s="319"/>
      <c r="H5" s="319">
        <v>16</v>
      </c>
      <c r="I5" s="319">
        <v>2</v>
      </c>
      <c r="J5" s="319">
        <v>120</v>
      </c>
      <c r="K5" s="448" t="s">
        <v>1300</v>
      </c>
    </row>
    <row r="6" spans="1:11" ht="18" customHeight="1" x14ac:dyDescent="0.35">
      <c r="A6" s="302">
        <v>55</v>
      </c>
      <c r="B6" s="223" t="s">
        <v>1085</v>
      </c>
      <c r="C6" s="551">
        <v>96</v>
      </c>
      <c r="D6" s="295"/>
      <c r="E6" s="440"/>
      <c r="F6" s="440"/>
      <c r="G6" s="319"/>
      <c r="H6" s="319">
        <v>16</v>
      </c>
      <c r="I6" s="319">
        <v>2</v>
      </c>
      <c r="J6" s="319">
        <v>288</v>
      </c>
      <c r="K6" s="448" t="s">
        <v>1300</v>
      </c>
    </row>
    <row r="7" spans="1:11" ht="18" customHeight="1" x14ac:dyDescent="0.35">
      <c r="A7" s="302">
        <v>61</v>
      </c>
      <c r="B7" s="223" t="s">
        <v>1086</v>
      </c>
      <c r="C7" s="551">
        <v>0</v>
      </c>
      <c r="D7" s="295"/>
      <c r="E7" s="440"/>
      <c r="F7" s="440"/>
      <c r="G7" s="319"/>
      <c r="H7" s="319"/>
      <c r="I7" s="319"/>
      <c r="J7" s="319"/>
      <c r="K7" s="442"/>
    </row>
    <row r="8" spans="1:11" ht="18" customHeight="1" x14ac:dyDescent="0.35">
      <c r="A8" s="302">
        <v>97</v>
      </c>
      <c r="B8" s="223" t="s">
        <v>1087</v>
      </c>
      <c r="C8" s="551">
        <v>840</v>
      </c>
      <c r="D8" s="295"/>
      <c r="E8" s="440"/>
      <c r="F8" s="440"/>
      <c r="G8" s="319"/>
      <c r="H8" s="319">
        <v>10</v>
      </c>
      <c r="I8" s="319">
        <v>1</v>
      </c>
      <c r="J8" s="319">
        <v>450</v>
      </c>
      <c r="K8" s="442"/>
    </row>
    <row r="9" spans="1:11" ht="18" customHeight="1" x14ac:dyDescent="0.35">
      <c r="A9" s="302">
        <v>99</v>
      </c>
      <c r="B9" s="223" t="s">
        <v>1088</v>
      </c>
      <c r="C9" s="551">
        <v>2976</v>
      </c>
      <c r="D9" s="295"/>
      <c r="E9" s="440"/>
      <c r="F9" s="440"/>
      <c r="G9" s="319"/>
      <c r="H9" s="319"/>
      <c r="I9" s="319"/>
      <c r="J9" s="319"/>
      <c r="K9" s="442"/>
    </row>
    <row r="10" spans="1:11" ht="18" customHeight="1" x14ac:dyDescent="0.35">
      <c r="A10" s="302">
        <v>307</v>
      </c>
      <c r="B10" s="223" t="s">
        <v>1089</v>
      </c>
      <c r="C10" s="551">
        <v>360</v>
      </c>
      <c r="D10" s="439" t="s">
        <v>1300</v>
      </c>
      <c r="E10" s="440"/>
      <c r="F10" s="440"/>
      <c r="G10" s="319"/>
      <c r="H10" s="319"/>
      <c r="I10" s="319"/>
      <c r="J10" s="319"/>
      <c r="K10" s="442"/>
    </row>
    <row r="11" spans="1:11" ht="18" customHeight="1" x14ac:dyDescent="0.35">
      <c r="A11" s="302">
        <v>453</v>
      </c>
      <c r="B11" s="223" t="s">
        <v>1090</v>
      </c>
      <c r="C11" s="551">
        <v>0</v>
      </c>
      <c r="D11" s="439" t="s">
        <v>1300</v>
      </c>
      <c r="E11" s="440" t="s">
        <v>1311</v>
      </c>
      <c r="F11" s="440"/>
      <c r="G11" s="319"/>
      <c r="H11" s="319"/>
      <c r="I11" s="319"/>
      <c r="J11" s="319"/>
      <c r="K11" s="442"/>
    </row>
    <row r="12" spans="1:11" ht="18" customHeight="1" x14ac:dyDescent="0.35">
      <c r="A12" s="302">
        <v>454</v>
      </c>
      <c r="B12" s="223" t="s">
        <v>1091</v>
      </c>
      <c r="C12" s="551">
        <v>0</v>
      </c>
      <c r="D12" s="439" t="s">
        <v>1300</v>
      </c>
      <c r="E12" s="440" t="s">
        <v>1311</v>
      </c>
      <c r="F12" s="440"/>
      <c r="G12" s="319"/>
      <c r="H12" s="319">
        <v>8</v>
      </c>
      <c r="I12" s="319">
        <v>2</v>
      </c>
      <c r="J12" s="319">
        <v>0</v>
      </c>
      <c r="K12" s="442"/>
    </row>
    <row r="13" spans="1:11" ht="18" customHeight="1" x14ac:dyDescent="0.35">
      <c r="A13" s="302">
        <v>455</v>
      </c>
      <c r="B13" s="223" t="s">
        <v>1092</v>
      </c>
      <c r="C13" s="551">
        <v>0</v>
      </c>
      <c r="D13" s="439" t="s">
        <v>1300</v>
      </c>
      <c r="E13" s="440" t="s">
        <v>1311</v>
      </c>
      <c r="F13" s="440"/>
      <c r="G13" s="319"/>
      <c r="H13" s="319"/>
      <c r="I13" s="319"/>
      <c r="J13" s="319"/>
      <c r="K13" s="442"/>
    </row>
    <row r="14" spans="1:11" ht="18" customHeight="1" x14ac:dyDescent="0.35">
      <c r="A14" s="302">
        <v>456</v>
      </c>
      <c r="B14" s="223" t="s">
        <v>1093</v>
      </c>
      <c r="C14" s="551">
        <v>0</v>
      </c>
      <c r="D14" s="439" t="s">
        <v>1300</v>
      </c>
      <c r="E14" s="440" t="s">
        <v>1311</v>
      </c>
      <c r="F14" s="440"/>
      <c r="G14" s="319"/>
      <c r="H14" s="319"/>
      <c r="I14" s="319"/>
      <c r="J14" s="319"/>
      <c r="K14" s="442"/>
    </row>
    <row r="15" spans="1:11" ht="18" customHeight="1" x14ac:dyDescent="0.35">
      <c r="A15" s="302">
        <v>609</v>
      </c>
      <c r="B15" s="223" t="s">
        <v>1094</v>
      </c>
      <c r="C15" s="551">
        <v>480</v>
      </c>
      <c r="D15" s="439" t="s">
        <v>1300</v>
      </c>
      <c r="E15" s="440"/>
      <c r="F15" s="440"/>
      <c r="G15" s="319"/>
      <c r="H15" s="319"/>
      <c r="I15" s="319"/>
      <c r="J15" s="319"/>
      <c r="K15" s="442"/>
    </row>
    <row r="16" spans="1:11" ht="18" customHeight="1" x14ac:dyDescent="0.35">
      <c r="A16" s="302">
        <v>613</v>
      </c>
      <c r="B16" s="223" t="s">
        <v>1095</v>
      </c>
      <c r="C16" s="551">
        <v>0</v>
      </c>
      <c r="D16" s="295"/>
      <c r="E16" s="440"/>
      <c r="F16" s="440"/>
      <c r="G16" s="319"/>
      <c r="H16" s="319"/>
      <c r="I16" s="319"/>
      <c r="J16" s="319"/>
      <c r="K16" s="442"/>
    </row>
    <row r="17" spans="1:11" ht="18" customHeight="1" x14ac:dyDescent="0.35">
      <c r="A17" s="302">
        <v>615</v>
      </c>
      <c r="B17" s="223" t="s">
        <v>799</v>
      </c>
      <c r="C17" s="551">
        <v>60</v>
      </c>
      <c r="D17" s="295"/>
      <c r="E17" s="440"/>
      <c r="F17" s="440"/>
      <c r="G17" s="319"/>
      <c r="H17" s="319"/>
      <c r="I17" s="319"/>
      <c r="J17" s="319"/>
      <c r="K17" s="442"/>
    </row>
    <row r="18" spans="1:11" ht="18" customHeight="1" x14ac:dyDescent="0.35">
      <c r="A18" s="302">
        <v>617</v>
      </c>
      <c r="B18" s="223" t="s">
        <v>1096</v>
      </c>
      <c r="C18" s="551">
        <v>0</v>
      </c>
      <c r="D18" s="295"/>
      <c r="E18" s="440"/>
      <c r="F18" s="440"/>
      <c r="G18" s="319"/>
      <c r="H18" s="319"/>
      <c r="I18" s="319"/>
      <c r="J18" s="319"/>
      <c r="K18" s="442"/>
    </row>
    <row r="19" spans="1:11" ht="18" customHeight="1" x14ac:dyDescent="0.35">
      <c r="A19" s="302">
        <v>618</v>
      </c>
      <c r="B19" s="223" t="s">
        <v>1097</v>
      </c>
      <c r="C19" s="551">
        <v>0</v>
      </c>
      <c r="D19" s="439" t="s">
        <v>1300</v>
      </c>
      <c r="E19" s="440" t="s">
        <v>1311</v>
      </c>
      <c r="F19" s="440"/>
      <c r="G19" s="319"/>
      <c r="H19" s="319"/>
      <c r="I19" s="319"/>
      <c r="J19" s="319"/>
      <c r="K19" s="442"/>
    </row>
    <row r="20" spans="1:11" ht="18" customHeight="1" x14ac:dyDescent="0.35">
      <c r="A20" s="302">
        <v>619</v>
      </c>
      <c r="B20" s="223" t="s">
        <v>1098</v>
      </c>
      <c r="C20" s="551">
        <v>0</v>
      </c>
      <c r="D20" s="439" t="s">
        <v>1300</v>
      </c>
      <c r="E20" s="440" t="s">
        <v>1311</v>
      </c>
      <c r="F20" s="440"/>
      <c r="G20" s="319"/>
      <c r="H20" s="319"/>
      <c r="I20" s="319"/>
      <c r="J20" s="319"/>
      <c r="K20" s="442"/>
    </row>
    <row r="21" spans="1:11" ht="18" customHeight="1" x14ac:dyDescent="0.35">
      <c r="A21" s="302">
        <v>630</v>
      </c>
      <c r="B21" s="223" t="s">
        <v>1099</v>
      </c>
      <c r="C21" s="551">
        <v>72</v>
      </c>
      <c r="D21" s="439" t="s">
        <v>1300</v>
      </c>
      <c r="E21" s="440"/>
      <c r="F21" s="440"/>
      <c r="G21" s="319"/>
      <c r="H21" s="319"/>
      <c r="I21" s="319"/>
      <c r="J21" s="319"/>
      <c r="K21" s="442"/>
    </row>
    <row r="22" spans="1:11" ht="18" customHeight="1" x14ac:dyDescent="0.35">
      <c r="A22" s="302">
        <v>631</v>
      </c>
      <c r="B22" s="223" t="s">
        <v>1100</v>
      </c>
      <c r="C22" s="551">
        <v>48</v>
      </c>
      <c r="D22" s="439" t="s">
        <v>1300</v>
      </c>
      <c r="E22" s="440"/>
      <c r="F22" s="440"/>
      <c r="G22" s="319"/>
      <c r="H22" s="319"/>
      <c r="I22" s="319"/>
      <c r="J22" s="319"/>
      <c r="K22" s="442"/>
    </row>
    <row r="23" spans="1:11" ht="18" customHeight="1" x14ac:dyDescent="0.35">
      <c r="A23" s="302">
        <v>632</v>
      </c>
      <c r="B23" s="223" t="s">
        <v>1101</v>
      </c>
      <c r="C23" s="551">
        <v>24</v>
      </c>
      <c r="D23" s="439" t="s">
        <v>1300</v>
      </c>
      <c r="E23" s="440"/>
      <c r="F23" s="440"/>
      <c r="G23" s="319"/>
      <c r="H23" s="319"/>
      <c r="I23" s="319"/>
      <c r="J23" s="319"/>
      <c r="K23" s="442"/>
    </row>
    <row r="24" spans="1:11" ht="18" customHeight="1" x14ac:dyDescent="0.35">
      <c r="A24" s="302">
        <v>633</v>
      </c>
      <c r="B24" s="223" t="s">
        <v>1102</v>
      </c>
      <c r="C24" s="551">
        <v>36</v>
      </c>
      <c r="D24" s="439" t="s">
        <v>1300</v>
      </c>
      <c r="E24" s="440"/>
      <c r="F24" s="440"/>
      <c r="G24" s="319"/>
      <c r="H24" s="319"/>
      <c r="I24" s="319"/>
      <c r="J24" s="319"/>
      <c r="K24" s="442"/>
    </row>
    <row r="25" spans="1:11" ht="18" customHeight="1" x14ac:dyDescent="0.35">
      <c r="A25" s="302">
        <v>634</v>
      </c>
      <c r="B25" s="223" t="s">
        <v>1103</v>
      </c>
      <c r="C25" s="551">
        <v>12</v>
      </c>
      <c r="D25" s="439" t="s">
        <v>1300</v>
      </c>
      <c r="E25" s="440"/>
      <c r="F25" s="440"/>
      <c r="G25" s="319"/>
      <c r="H25" s="319"/>
      <c r="I25" s="319"/>
      <c r="J25" s="319"/>
      <c r="K25" s="442"/>
    </row>
    <row r="26" spans="1:11" ht="18" customHeight="1" x14ac:dyDescent="0.35">
      <c r="A26" s="302">
        <v>635</v>
      </c>
      <c r="B26" s="223" t="s">
        <v>1104</v>
      </c>
      <c r="C26" s="551">
        <v>48</v>
      </c>
      <c r="D26" s="439" t="s">
        <v>1300</v>
      </c>
      <c r="E26" s="440"/>
      <c r="F26" s="440"/>
      <c r="G26" s="319"/>
      <c r="H26" s="319"/>
      <c r="I26" s="319"/>
      <c r="J26" s="319"/>
      <c r="K26" s="442"/>
    </row>
    <row r="27" spans="1:11" ht="18" customHeight="1" x14ac:dyDescent="0.35">
      <c r="A27" s="302">
        <v>636</v>
      </c>
      <c r="B27" s="223" t="s">
        <v>1105</v>
      </c>
      <c r="C27" s="551">
        <v>48</v>
      </c>
      <c r="D27" s="439" t="s">
        <v>1300</v>
      </c>
      <c r="E27" s="440"/>
      <c r="F27" s="440"/>
      <c r="G27" s="319"/>
      <c r="H27" s="319"/>
      <c r="I27" s="319"/>
      <c r="J27" s="319"/>
      <c r="K27" s="442"/>
    </row>
    <row r="28" spans="1:11" ht="18" customHeight="1" x14ac:dyDescent="0.35">
      <c r="A28" s="302">
        <v>637</v>
      </c>
      <c r="B28" s="223" t="s">
        <v>1106</v>
      </c>
      <c r="C28" s="551">
        <v>12</v>
      </c>
      <c r="D28" s="439" t="s">
        <v>1300</v>
      </c>
      <c r="E28" s="440"/>
      <c r="F28" s="440"/>
      <c r="G28" s="319"/>
      <c r="H28" s="319"/>
      <c r="I28" s="319"/>
      <c r="J28" s="319"/>
      <c r="K28" s="442"/>
    </row>
    <row r="29" spans="1:11" ht="18" customHeight="1" x14ac:dyDescent="0.35">
      <c r="A29" s="302">
        <v>700</v>
      </c>
      <c r="B29" s="223" t="s">
        <v>1107</v>
      </c>
      <c r="C29" s="551">
        <v>96</v>
      </c>
      <c r="D29" s="295"/>
      <c r="E29" s="440"/>
      <c r="F29" s="440"/>
      <c r="G29" s="319"/>
      <c r="H29" s="319"/>
      <c r="I29" s="319"/>
      <c r="J29" s="319"/>
      <c r="K29" s="442"/>
    </row>
    <row r="30" spans="1:11" ht="18" customHeight="1" x14ac:dyDescent="0.35">
      <c r="A30" s="302">
        <v>701</v>
      </c>
      <c r="B30" s="223" t="s">
        <v>788</v>
      </c>
      <c r="C30" s="551">
        <v>618</v>
      </c>
      <c r="D30" s="295"/>
      <c r="E30" s="440"/>
      <c r="F30" s="440"/>
      <c r="G30" s="319"/>
      <c r="H30" s="319">
        <v>10</v>
      </c>
      <c r="I30" s="319">
        <v>1</v>
      </c>
      <c r="J30" s="319">
        <v>800</v>
      </c>
      <c r="K30" s="442"/>
    </row>
    <row r="31" spans="1:11" ht="18" customHeight="1" x14ac:dyDescent="0.35">
      <c r="A31" s="302">
        <v>702</v>
      </c>
      <c r="B31" s="223" t="s">
        <v>1108</v>
      </c>
      <c r="C31" s="551">
        <v>504</v>
      </c>
      <c r="D31" s="295"/>
      <c r="E31" s="440"/>
      <c r="F31" s="440"/>
      <c r="G31" s="319"/>
      <c r="H31" s="319"/>
      <c r="I31" s="319"/>
      <c r="J31" s="319"/>
      <c r="K31" s="442"/>
    </row>
    <row r="32" spans="1:11" ht="18" customHeight="1" x14ac:dyDescent="0.35">
      <c r="A32" s="302">
        <v>706</v>
      </c>
      <c r="B32" s="223" t="s">
        <v>1109</v>
      </c>
      <c r="C32" s="551">
        <v>3144</v>
      </c>
      <c r="D32" s="295"/>
      <c r="E32" s="440"/>
      <c r="F32" s="440"/>
      <c r="G32" s="319"/>
      <c r="H32" s="319">
        <v>10</v>
      </c>
      <c r="I32" s="319">
        <v>1</v>
      </c>
      <c r="J32" s="319">
        <v>2400</v>
      </c>
      <c r="K32" s="442"/>
    </row>
    <row r="33" spans="1:11" ht="18" customHeight="1" x14ac:dyDescent="0.35">
      <c r="A33" s="302">
        <v>707</v>
      </c>
      <c r="B33" s="223" t="s">
        <v>793</v>
      </c>
      <c r="C33" s="551">
        <v>48</v>
      </c>
      <c r="D33" s="295"/>
      <c r="E33" s="440"/>
      <c r="F33" s="440"/>
      <c r="G33" s="319"/>
      <c r="H33" s="319">
        <v>10</v>
      </c>
      <c r="I33" s="319">
        <v>1</v>
      </c>
      <c r="J33" s="319">
        <v>60</v>
      </c>
      <c r="K33" s="442"/>
    </row>
    <row r="34" spans="1:11" ht="18" customHeight="1" x14ac:dyDescent="0.35">
      <c r="A34" s="302">
        <v>708</v>
      </c>
      <c r="B34" s="223" t="s">
        <v>1287</v>
      </c>
      <c r="C34" s="551">
        <v>72</v>
      </c>
      <c r="D34" s="295"/>
      <c r="E34" s="440"/>
      <c r="F34" s="440"/>
      <c r="G34" s="319"/>
      <c r="H34" s="319">
        <v>8</v>
      </c>
      <c r="I34" s="319">
        <v>1</v>
      </c>
      <c r="J34" s="319">
        <v>72</v>
      </c>
      <c r="K34" s="442"/>
    </row>
    <row r="35" spans="1:11" ht="18" customHeight="1" x14ac:dyDescent="0.35">
      <c r="A35" s="302">
        <v>709</v>
      </c>
      <c r="B35" s="223" t="s">
        <v>786</v>
      </c>
      <c r="C35" s="551">
        <v>24</v>
      </c>
      <c r="D35" s="295"/>
      <c r="E35" s="440"/>
      <c r="F35" s="440"/>
      <c r="G35" s="319"/>
      <c r="H35" s="319">
        <v>10</v>
      </c>
      <c r="I35" s="319">
        <v>2</v>
      </c>
      <c r="J35" s="319">
        <v>120</v>
      </c>
      <c r="K35" s="442"/>
    </row>
    <row r="36" spans="1:11" ht="18" customHeight="1" x14ac:dyDescent="0.35">
      <c r="A36" s="302">
        <v>710</v>
      </c>
      <c r="B36" s="223" t="s">
        <v>1110</v>
      </c>
      <c r="C36" s="551">
        <v>0</v>
      </c>
      <c r="D36" s="295"/>
      <c r="E36" s="440"/>
      <c r="F36" s="440"/>
      <c r="G36" s="319"/>
      <c r="H36" s="319">
        <v>10</v>
      </c>
      <c r="I36" s="319">
        <v>2</v>
      </c>
      <c r="J36" s="319">
        <v>0</v>
      </c>
      <c r="K36" s="442"/>
    </row>
    <row r="37" spans="1:11" ht="18" customHeight="1" x14ac:dyDescent="0.35">
      <c r="A37" s="302">
        <v>713</v>
      </c>
      <c r="B37" s="223" t="s">
        <v>1112</v>
      </c>
      <c r="C37" s="551">
        <v>2280</v>
      </c>
      <c r="D37" s="295"/>
      <c r="E37" s="440"/>
      <c r="F37" s="440"/>
      <c r="G37" s="319"/>
      <c r="H37" s="319"/>
      <c r="I37" s="319"/>
      <c r="J37" s="319"/>
      <c r="K37" s="442"/>
    </row>
    <row r="38" spans="1:11" ht="18" customHeight="1" x14ac:dyDescent="0.35">
      <c r="A38" s="302">
        <v>715</v>
      </c>
      <c r="B38" s="223" t="s">
        <v>1113</v>
      </c>
      <c r="C38" s="551">
        <v>192</v>
      </c>
      <c r="D38" s="295"/>
      <c r="E38" s="440"/>
      <c r="F38" s="440"/>
      <c r="G38" s="319"/>
      <c r="H38" s="319">
        <v>10</v>
      </c>
      <c r="I38" s="319">
        <v>2</v>
      </c>
      <c r="J38" s="319">
        <v>240</v>
      </c>
      <c r="K38" s="442"/>
    </row>
    <row r="39" spans="1:11" ht="18" customHeight="1" x14ac:dyDescent="0.35">
      <c r="A39" s="302">
        <v>717</v>
      </c>
      <c r="B39" s="223" t="s">
        <v>1114</v>
      </c>
      <c r="C39" s="551">
        <v>0</v>
      </c>
      <c r="D39" s="295"/>
      <c r="E39" s="440"/>
      <c r="F39" s="440"/>
      <c r="G39" s="319"/>
      <c r="H39" s="319"/>
      <c r="I39" s="319"/>
      <c r="J39" s="319"/>
      <c r="K39" s="442"/>
    </row>
    <row r="40" spans="1:11" ht="18" customHeight="1" x14ac:dyDescent="0.35">
      <c r="A40" s="302">
        <v>718</v>
      </c>
      <c r="B40" s="223" t="s">
        <v>1115</v>
      </c>
      <c r="C40" s="551">
        <v>48</v>
      </c>
      <c r="D40" s="295"/>
      <c r="E40" s="440"/>
      <c r="F40" s="440"/>
      <c r="G40" s="319"/>
      <c r="H40" s="319">
        <v>16</v>
      </c>
      <c r="I40" s="319">
        <v>2</v>
      </c>
      <c r="J40" s="319">
        <v>144</v>
      </c>
      <c r="K40" s="442"/>
    </row>
    <row r="41" spans="1:11" ht="18" customHeight="1" x14ac:dyDescent="0.35">
      <c r="A41" s="302">
        <v>719</v>
      </c>
      <c r="B41" s="223" t="s">
        <v>1116</v>
      </c>
      <c r="C41" s="551">
        <v>72</v>
      </c>
      <c r="D41" s="295"/>
      <c r="E41" s="440"/>
      <c r="F41" s="440"/>
      <c r="G41" s="319"/>
      <c r="H41" s="319">
        <v>12</v>
      </c>
      <c r="I41" s="319">
        <v>4</v>
      </c>
      <c r="J41" s="319">
        <v>576</v>
      </c>
      <c r="K41" s="442"/>
    </row>
    <row r="42" spans="1:11" ht="18" customHeight="1" x14ac:dyDescent="0.35">
      <c r="A42" s="302">
        <v>720</v>
      </c>
      <c r="B42" s="223" t="s">
        <v>1117</v>
      </c>
      <c r="C42" s="551">
        <v>24</v>
      </c>
      <c r="D42" s="295"/>
      <c r="E42" s="440"/>
      <c r="F42" s="440"/>
      <c r="G42" s="319"/>
      <c r="H42" s="319">
        <v>8</v>
      </c>
      <c r="I42" s="319">
        <v>2</v>
      </c>
      <c r="J42" s="319">
        <v>200</v>
      </c>
      <c r="K42" s="442"/>
    </row>
    <row r="43" spans="1:11" ht="18" customHeight="1" x14ac:dyDescent="0.35">
      <c r="A43" s="302">
        <v>722</v>
      </c>
      <c r="B43" s="223" t="s">
        <v>811</v>
      </c>
      <c r="C43" s="551">
        <v>24</v>
      </c>
      <c r="D43" s="295"/>
      <c r="E43" s="440"/>
      <c r="F43" s="440"/>
      <c r="G43" s="319"/>
      <c r="H43" s="319">
        <v>12</v>
      </c>
      <c r="I43" s="319">
        <v>2</v>
      </c>
      <c r="J43" s="319">
        <v>120</v>
      </c>
      <c r="K43" s="442"/>
    </row>
    <row r="44" spans="1:11" ht="18" customHeight="1" x14ac:dyDescent="0.35">
      <c r="A44" s="302">
        <v>723</v>
      </c>
      <c r="B44" s="223" t="s">
        <v>804</v>
      </c>
      <c r="C44" s="551">
        <v>372</v>
      </c>
      <c r="D44" s="295"/>
      <c r="E44" s="440"/>
      <c r="F44" s="440"/>
      <c r="G44" s="319"/>
      <c r="H44" s="319">
        <v>8</v>
      </c>
      <c r="I44" s="319">
        <v>2</v>
      </c>
      <c r="J44" s="319">
        <v>720</v>
      </c>
      <c r="K44" s="442"/>
    </row>
    <row r="45" spans="1:11" ht="18" customHeight="1" x14ac:dyDescent="0.35">
      <c r="A45" s="302">
        <v>724</v>
      </c>
      <c r="B45" s="223" t="s">
        <v>1118</v>
      </c>
      <c r="C45" s="551">
        <v>0</v>
      </c>
      <c r="D45" s="295"/>
      <c r="E45" s="440"/>
      <c r="F45" s="440"/>
      <c r="G45" s="319"/>
      <c r="H45" s="319"/>
      <c r="I45" s="319"/>
      <c r="J45" s="319"/>
      <c r="K45" s="442"/>
    </row>
    <row r="46" spans="1:11" ht="18" customHeight="1" x14ac:dyDescent="0.35">
      <c r="A46" s="302">
        <v>725</v>
      </c>
      <c r="B46" s="223" t="s">
        <v>805</v>
      </c>
      <c r="C46" s="551">
        <v>480</v>
      </c>
      <c r="D46" s="295"/>
      <c r="E46" s="440"/>
      <c r="F46" s="440"/>
      <c r="G46" s="319"/>
      <c r="H46" s="319">
        <v>10</v>
      </c>
      <c r="I46" s="319">
        <v>1</v>
      </c>
      <c r="J46" s="319">
        <v>500</v>
      </c>
      <c r="K46" s="442"/>
    </row>
    <row r="47" spans="1:11" ht="18" customHeight="1" x14ac:dyDescent="0.35">
      <c r="A47" s="302">
        <v>726</v>
      </c>
      <c r="B47" s="223" t="s">
        <v>1243</v>
      </c>
      <c r="C47" s="551">
        <v>0</v>
      </c>
      <c r="D47" s="295"/>
      <c r="E47" s="440"/>
      <c r="F47" s="440"/>
      <c r="G47" s="319"/>
      <c r="H47" s="319"/>
      <c r="I47" s="319"/>
      <c r="J47" s="319"/>
      <c r="K47" s="442"/>
    </row>
    <row r="48" spans="1:11" ht="18" customHeight="1" x14ac:dyDescent="0.35">
      <c r="A48" s="302">
        <v>730</v>
      </c>
      <c r="B48" s="223" t="s">
        <v>806</v>
      </c>
      <c r="C48" s="551">
        <v>600</v>
      </c>
      <c r="D48" s="295"/>
      <c r="E48" s="440"/>
      <c r="F48" s="440"/>
      <c r="G48" s="319"/>
      <c r="H48" s="319">
        <v>10</v>
      </c>
      <c r="I48" s="319">
        <v>2</v>
      </c>
      <c r="J48" s="319">
        <v>2160</v>
      </c>
      <c r="K48" s="442"/>
    </row>
    <row r="49" spans="1:11" ht="18" customHeight="1" x14ac:dyDescent="0.35">
      <c r="A49" s="302">
        <v>731</v>
      </c>
      <c r="B49" s="223" t="s">
        <v>1119</v>
      </c>
      <c r="C49" s="551">
        <v>264</v>
      </c>
      <c r="D49" s="295"/>
      <c r="E49" s="440"/>
      <c r="F49" s="440"/>
      <c r="G49" s="319"/>
      <c r="H49" s="319">
        <v>10</v>
      </c>
      <c r="I49" s="319">
        <v>2</v>
      </c>
      <c r="J49" s="319">
        <v>1008</v>
      </c>
      <c r="K49" s="442"/>
    </row>
    <row r="50" spans="1:11" ht="18" customHeight="1" x14ac:dyDescent="0.35">
      <c r="A50" s="302">
        <v>732</v>
      </c>
      <c r="B50" s="223" t="s">
        <v>1120</v>
      </c>
      <c r="C50" s="551">
        <v>96</v>
      </c>
      <c r="D50" s="295"/>
      <c r="E50" s="440"/>
      <c r="F50" s="319"/>
      <c r="G50" s="319"/>
      <c r="H50" s="319"/>
      <c r="I50" s="319"/>
      <c r="J50" s="319"/>
      <c r="K50" s="442"/>
    </row>
    <row r="51" spans="1:11" ht="18" customHeight="1" x14ac:dyDescent="0.35">
      <c r="A51" s="302">
        <v>735</v>
      </c>
      <c r="B51" s="553" t="s">
        <v>1625</v>
      </c>
      <c r="C51" s="551">
        <v>96</v>
      </c>
      <c r="D51" s="295"/>
      <c r="E51" s="440"/>
      <c r="F51" s="440"/>
      <c r="G51" s="319"/>
      <c r="H51" s="319">
        <v>8</v>
      </c>
      <c r="I51" s="319">
        <v>1</v>
      </c>
      <c r="J51" s="319">
        <v>0</v>
      </c>
      <c r="K51" s="442"/>
    </row>
    <row r="52" spans="1:11" ht="18" customHeight="1" x14ac:dyDescent="0.35">
      <c r="A52" s="302">
        <v>747</v>
      </c>
      <c r="B52" s="223" t="s">
        <v>1121</v>
      </c>
      <c r="C52" s="551">
        <v>24</v>
      </c>
      <c r="D52" s="295"/>
      <c r="E52" s="440"/>
      <c r="F52" s="440"/>
      <c r="G52" s="319"/>
      <c r="H52" s="319"/>
      <c r="I52" s="319"/>
      <c r="J52" s="319"/>
      <c r="K52" s="442"/>
    </row>
    <row r="53" spans="1:11" ht="18" customHeight="1" x14ac:dyDescent="0.35">
      <c r="A53" s="302">
        <v>748</v>
      </c>
      <c r="B53" s="223" t="s">
        <v>1122</v>
      </c>
      <c r="C53" s="551">
        <v>0</v>
      </c>
      <c r="D53" s="295"/>
      <c r="E53" s="440"/>
      <c r="F53" s="440"/>
      <c r="G53" s="319"/>
      <c r="H53" s="319"/>
      <c r="I53" s="319"/>
      <c r="J53" s="319"/>
      <c r="K53" s="442"/>
    </row>
    <row r="54" spans="1:11" ht="18" customHeight="1" x14ac:dyDescent="0.35">
      <c r="A54" s="302">
        <v>755</v>
      </c>
      <c r="B54" s="223" t="s">
        <v>1123</v>
      </c>
      <c r="C54" s="551">
        <v>0</v>
      </c>
      <c r="D54" s="295"/>
      <c r="E54" s="440"/>
      <c r="F54" s="440"/>
      <c r="G54" s="319"/>
      <c r="H54" s="319"/>
      <c r="I54" s="319"/>
      <c r="J54" s="319"/>
      <c r="K54" s="442"/>
    </row>
    <row r="55" spans="1:11" ht="18" customHeight="1" x14ac:dyDescent="0.35">
      <c r="A55" s="302">
        <v>760</v>
      </c>
      <c r="B55" s="223" t="s">
        <v>1124</v>
      </c>
      <c r="C55" s="551">
        <v>288</v>
      </c>
      <c r="D55" s="295"/>
      <c r="E55" s="440"/>
      <c r="F55" s="440"/>
      <c r="G55" s="319"/>
      <c r="H55" s="319"/>
      <c r="I55" s="319"/>
      <c r="J55" s="319"/>
      <c r="K55" s="442"/>
    </row>
    <row r="56" spans="1:11" ht="18" customHeight="1" x14ac:dyDescent="0.35">
      <c r="A56" s="302">
        <v>761</v>
      </c>
      <c r="B56" s="223" t="s">
        <v>816</v>
      </c>
      <c r="C56" s="551">
        <v>24</v>
      </c>
      <c r="D56" s="295"/>
      <c r="E56" s="440"/>
      <c r="F56" s="440"/>
      <c r="G56" s="319"/>
      <c r="H56" s="319"/>
      <c r="I56" s="319"/>
      <c r="J56" s="319"/>
      <c r="K56" s="442"/>
    </row>
    <row r="57" spans="1:11" ht="18" customHeight="1" x14ac:dyDescent="0.35">
      <c r="A57" s="302">
        <v>762</v>
      </c>
      <c r="B57" s="223" t="s">
        <v>532</v>
      </c>
      <c r="C57" s="551">
        <v>24</v>
      </c>
      <c r="D57" s="295"/>
      <c r="E57" s="440"/>
      <c r="F57" s="440"/>
      <c r="G57" s="319"/>
      <c r="H57" s="319"/>
      <c r="I57" s="319"/>
      <c r="J57" s="319"/>
      <c r="K57" s="442"/>
    </row>
    <row r="58" spans="1:11" ht="18" customHeight="1" x14ac:dyDescent="0.35">
      <c r="A58" s="302">
        <v>763</v>
      </c>
      <c r="B58" s="223" t="s">
        <v>533</v>
      </c>
      <c r="C58" s="551">
        <v>480</v>
      </c>
      <c r="D58" s="295"/>
      <c r="E58" s="440"/>
      <c r="F58" s="440"/>
      <c r="G58" s="319"/>
      <c r="H58" s="319"/>
      <c r="I58" s="319"/>
      <c r="J58" s="319"/>
      <c r="K58" s="442"/>
    </row>
    <row r="59" spans="1:11" ht="18" customHeight="1" x14ac:dyDescent="0.35">
      <c r="A59" s="302">
        <v>764</v>
      </c>
      <c r="B59" s="223" t="s">
        <v>1125</v>
      </c>
      <c r="C59" s="551">
        <v>504</v>
      </c>
      <c r="D59" s="295"/>
      <c r="E59" s="440" t="s">
        <v>1310</v>
      </c>
      <c r="F59" s="440"/>
      <c r="G59" s="319"/>
      <c r="H59" s="319"/>
      <c r="I59" s="319"/>
      <c r="J59" s="319"/>
      <c r="K59" s="442"/>
    </row>
    <row r="60" spans="1:11" ht="18" customHeight="1" x14ac:dyDescent="0.35">
      <c r="A60" s="302">
        <v>769</v>
      </c>
      <c r="B60" s="223" t="s">
        <v>1126</v>
      </c>
      <c r="C60" s="551">
        <v>240</v>
      </c>
      <c r="D60" s="295"/>
      <c r="E60" s="440" t="s">
        <v>1310</v>
      </c>
      <c r="F60" s="440"/>
      <c r="G60" s="319"/>
      <c r="H60" s="319"/>
      <c r="I60" s="319"/>
      <c r="J60" s="319"/>
      <c r="K60" s="442"/>
    </row>
    <row r="61" spans="1:11" ht="18" customHeight="1" x14ac:dyDescent="0.35">
      <c r="A61" s="302">
        <v>789</v>
      </c>
      <c r="B61" s="223" t="s">
        <v>1127</v>
      </c>
      <c r="C61" s="551">
        <v>1056</v>
      </c>
      <c r="D61" s="439" t="s">
        <v>1300</v>
      </c>
      <c r="E61" s="440" t="s">
        <v>1311</v>
      </c>
      <c r="F61" s="440"/>
      <c r="G61" s="319"/>
      <c r="H61" s="319"/>
      <c r="I61" s="319"/>
      <c r="J61" s="319"/>
      <c r="K61" s="442"/>
    </row>
    <row r="62" spans="1:11" ht="18" customHeight="1" x14ac:dyDescent="0.35">
      <c r="A62" s="302">
        <v>800</v>
      </c>
      <c r="B62" s="223" t="s">
        <v>1128</v>
      </c>
      <c r="C62" s="551">
        <v>72</v>
      </c>
      <c r="D62" s="295"/>
      <c r="E62" s="440"/>
      <c r="F62" s="440"/>
      <c r="G62" s="319"/>
      <c r="H62" s="319">
        <v>8</v>
      </c>
      <c r="I62" s="319">
        <v>2</v>
      </c>
      <c r="J62" s="319">
        <v>220</v>
      </c>
      <c r="K62" s="442"/>
    </row>
    <row r="63" spans="1:11" ht="18" customHeight="1" x14ac:dyDescent="0.35">
      <c r="A63" s="302">
        <v>802</v>
      </c>
      <c r="B63" s="223" t="s">
        <v>1166</v>
      </c>
      <c r="C63" s="551">
        <v>540</v>
      </c>
      <c r="D63" s="295"/>
      <c r="E63" s="440"/>
      <c r="F63" s="440"/>
      <c r="G63" s="319" t="s">
        <v>1300</v>
      </c>
      <c r="H63" s="319" t="s">
        <v>1523</v>
      </c>
      <c r="I63" s="319">
        <v>1</v>
      </c>
      <c r="J63" s="319">
        <v>1800</v>
      </c>
      <c r="K63" s="442"/>
    </row>
    <row r="64" spans="1:11" ht="18" customHeight="1" x14ac:dyDescent="0.35">
      <c r="A64" s="302">
        <v>809</v>
      </c>
      <c r="B64" s="223" t="s">
        <v>1129</v>
      </c>
      <c r="C64" s="551">
        <v>1296</v>
      </c>
      <c r="D64" s="295"/>
      <c r="E64" s="440"/>
      <c r="F64" s="440"/>
      <c r="G64" s="319"/>
      <c r="H64" s="319">
        <v>12</v>
      </c>
      <c r="I64" s="319">
        <v>1</v>
      </c>
      <c r="J64" s="319">
        <v>800</v>
      </c>
      <c r="K64" s="442"/>
    </row>
    <row r="65" spans="1:11" ht="18" customHeight="1" x14ac:dyDescent="0.35">
      <c r="A65" s="302">
        <v>816</v>
      </c>
      <c r="B65" s="223" t="s">
        <v>1130</v>
      </c>
      <c r="C65" s="551">
        <v>204</v>
      </c>
      <c r="D65" s="295"/>
      <c r="E65" s="440"/>
      <c r="F65" s="440"/>
      <c r="G65" s="319"/>
      <c r="H65" s="319"/>
      <c r="I65" s="319"/>
      <c r="J65" s="319"/>
      <c r="K65" s="442"/>
    </row>
    <row r="66" spans="1:11" ht="18" customHeight="1" x14ac:dyDescent="0.35">
      <c r="A66" s="302">
        <v>817</v>
      </c>
      <c r="B66" s="223" t="s">
        <v>1131</v>
      </c>
      <c r="C66" s="551">
        <v>312</v>
      </c>
      <c r="D66" s="295"/>
      <c r="E66" s="440"/>
      <c r="F66" s="440"/>
      <c r="G66" s="319"/>
      <c r="H66" s="319"/>
      <c r="I66" s="319"/>
      <c r="J66" s="319"/>
      <c r="K66" s="442"/>
    </row>
    <row r="67" spans="1:11" ht="18" customHeight="1" x14ac:dyDescent="0.35">
      <c r="A67" s="302">
        <v>818</v>
      </c>
      <c r="B67" s="223" t="s">
        <v>1132</v>
      </c>
      <c r="C67" s="551">
        <v>0</v>
      </c>
      <c r="D67" s="295"/>
      <c r="E67" s="440"/>
      <c r="F67" s="440"/>
      <c r="G67" s="319"/>
      <c r="H67" s="319"/>
      <c r="I67" s="319"/>
      <c r="J67" s="319"/>
      <c r="K67" s="442"/>
    </row>
    <row r="68" spans="1:11" ht="18" customHeight="1" x14ac:dyDescent="0.35">
      <c r="A68" s="302">
        <v>824</v>
      </c>
      <c r="B68" s="223" t="s">
        <v>1133</v>
      </c>
      <c r="C68" s="551">
        <v>1920</v>
      </c>
      <c r="D68" s="439" t="s">
        <v>1300</v>
      </c>
      <c r="E68" s="440" t="s">
        <v>1311</v>
      </c>
      <c r="F68" s="440"/>
      <c r="G68" s="319"/>
      <c r="H68" s="319"/>
      <c r="I68" s="319"/>
      <c r="J68" s="319"/>
      <c r="K68" s="442"/>
    </row>
    <row r="69" spans="1:11" ht="18" customHeight="1" x14ac:dyDescent="0.35">
      <c r="A69" s="302">
        <v>825</v>
      </c>
      <c r="B69" s="223" t="s">
        <v>1134</v>
      </c>
      <c r="C69" s="551">
        <v>2328</v>
      </c>
      <c r="D69" s="439" t="s">
        <v>1300</v>
      </c>
      <c r="E69" s="440" t="s">
        <v>1311</v>
      </c>
      <c r="F69" s="440"/>
      <c r="G69" s="319"/>
      <c r="H69" s="319"/>
      <c r="I69" s="319"/>
      <c r="J69" s="319"/>
      <c r="K69" s="442"/>
    </row>
    <row r="70" spans="1:11" ht="18" customHeight="1" x14ac:dyDescent="0.35">
      <c r="A70" s="302">
        <v>828</v>
      </c>
      <c r="B70" s="223" t="s">
        <v>1225</v>
      </c>
      <c r="C70" s="551">
        <v>0</v>
      </c>
      <c r="D70" s="439" t="s">
        <v>1300</v>
      </c>
      <c r="E70" s="440"/>
      <c r="F70" s="440"/>
      <c r="G70" s="319"/>
      <c r="H70" s="319"/>
      <c r="I70" s="319"/>
      <c r="J70" s="319"/>
      <c r="K70" s="442"/>
    </row>
    <row r="71" spans="1:11" ht="18" customHeight="1" x14ac:dyDescent="0.35">
      <c r="A71" s="302">
        <v>830</v>
      </c>
      <c r="B71" s="223" t="s">
        <v>1226</v>
      </c>
      <c r="C71" s="551">
        <v>0</v>
      </c>
      <c r="D71" s="439" t="s">
        <v>1300</v>
      </c>
      <c r="E71" s="440"/>
      <c r="F71" s="440"/>
      <c r="G71" s="319"/>
      <c r="H71" s="319"/>
      <c r="I71" s="319"/>
      <c r="J71" s="319"/>
      <c r="K71" s="442"/>
    </row>
    <row r="72" spans="1:11" ht="18" customHeight="1" x14ac:dyDescent="0.35">
      <c r="A72" s="302">
        <v>836</v>
      </c>
      <c r="B72" s="223" t="s">
        <v>1135</v>
      </c>
      <c r="C72" s="551">
        <v>2400</v>
      </c>
      <c r="D72" s="295"/>
      <c r="E72" s="440"/>
      <c r="F72" s="440"/>
      <c r="G72" s="319"/>
      <c r="H72" s="319"/>
      <c r="I72" s="319"/>
      <c r="J72" s="319"/>
      <c r="K72" s="442"/>
    </row>
    <row r="73" spans="1:11" ht="18" customHeight="1" x14ac:dyDescent="0.35">
      <c r="A73" s="302">
        <v>839</v>
      </c>
      <c r="B73" s="223" t="s">
        <v>1136</v>
      </c>
      <c r="C73" s="551">
        <v>180</v>
      </c>
      <c r="D73" s="295"/>
      <c r="E73" s="440"/>
      <c r="F73" s="440" t="s">
        <v>1300</v>
      </c>
      <c r="G73" s="319"/>
      <c r="H73" s="319"/>
      <c r="I73" s="319"/>
      <c r="J73" s="319"/>
      <c r="K73" s="442"/>
    </row>
    <row r="74" spans="1:11" ht="18" customHeight="1" x14ac:dyDescent="0.35">
      <c r="A74" s="302">
        <v>840</v>
      </c>
      <c r="B74" s="223" t="s">
        <v>767</v>
      </c>
      <c r="C74" s="551">
        <v>2400</v>
      </c>
      <c r="D74" s="439" t="s">
        <v>1300</v>
      </c>
      <c r="E74" s="440" t="s">
        <v>1311</v>
      </c>
      <c r="F74" s="440"/>
      <c r="G74" s="319"/>
      <c r="H74" s="319"/>
      <c r="I74" s="319"/>
      <c r="J74" s="319"/>
      <c r="K74" s="442"/>
    </row>
    <row r="75" spans="1:11" ht="18" customHeight="1" x14ac:dyDescent="0.35">
      <c r="A75" s="302">
        <v>842</v>
      </c>
      <c r="B75" s="223" t="s">
        <v>1137</v>
      </c>
      <c r="C75" s="551">
        <v>120</v>
      </c>
      <c r="D75" s="439" t="s">
        <v>1300</v>
      </c>
      <c r="E75" s="440" t="s">
        <v>1311</v>
      </c>
      <c r="F75" s="440"/>
      <c r="G75" s="319"/>
      <c r="H75" s="319"/>
      <c r="I75" s="319"/>
      <c r="J75" s="319"/>
      <c r="K75" s="442"/>
    </row>
    <row r="76" spans="1:11" ht="18" customHeight="1" x14ac:dyDescent="0.35">
      <c r="A76" s="302">
        <v>843</v>
      </c>
      <c r="B76" s="223" t="s">
        <v>1138</v>
      </c>
      <c r="C76" s="551">
        <v>48</v>
      </c>
      <c r="D76" s="439" t="s">
        <v>1300</v>
      </c>
      <c r="E76" s="440" t="s">
        <v>1311</v>
      </c>
      <c r="F76" s="440"/>
      <c r="G76" s="319"/>
      <c r="H76" s="319"/>
      <c r="I76" s="319"/>
      <c r="J76" s="319"/>
      <c r="K76" s="442"/>
    </row>
    <row r="77" spans="1:11" ht="18" customHeight="1" x14ac:dyDescent="0.35">
      <c r="A77" s="302">
        <v>844</v>
      </c>
      <c r="B77" s="223" t="s">
        <v>1139</v>
      </c>
      <c r="C77" s="551">
        <v>48</v>
      </c>
      <c r="D77" s="439" t="s">
        <v>1300</v>
      </c>
      <c r="E77" s="440" t="s">
        <v>1311</v>
      </c>
      <c r="F77" s="440"/>
      <c r="G77" s="319"/>
      <c r="H77" s="319"/>
      <c r="I77" s="319"/>
      <c r="J77" s="319"/>
      <c r="K77" s="442"/>
    </row>
    <row r="78" spans="1:11" ht="18" customHeight="1" x14ac:dyDescent="0.35">
      <c r="A78" s="302">
        <v>845</v>
      </c>
      <c r="B78" s="223" t="s">
        <v>1140</v>
      </c>
      <c r="C78" s="551">
        <v>168</v>
      </c>
      <c r="D78" s="439" t="s">
        <v>1300</v>
      </c>
      <c r="E78" s="440" t="s">
        <v>1311</v>
      </c>
      <c r="F78" s="440"/>
      <c r="G78" s="319"/>
      <c r="H78" s="319"/>
      <c r="I78" s="319"/>
      <c r="J78" s="319"/>
      <c r="K78" s="442"/>
    </row>
    <row r="79" spans="1:11" ht="18" customHeight="1" x14ac:dyDescent="0.35">
      <c r="A79" s="302">
        <v>846</v>
      </c>
      <c r="B79" s="223" t="s">
        <v>1141</v>
      </c>
      <c r="C79" s="551">
        <v>192</v>
      </c>
      <c r="D79" s="439" t="s">
        <v>1300</v>
      </c>
      <c r="E79" s="440" t="s">
        <v>1311</v>
      </c>
      <c r="F79" s="440"/>
      <c r="G79" s="319"/>
      <c r="H79" s="319"/>
      <c r="I79" s="319"/>
      <c r="J79" s="319"/>
      <c r="K79" s="442"/>
    </row>
    <row r="80" spans="1:11" ht="18" customHeight="1" x14ac:dyDescent="0.35">
      <c r="A80" s="302">
        <v>847</v>
      </c>
      <c r="B80" s="223" t="s">
        <v>1142</v>
      </c>
      <c r="C80" s="551">
        <v>1440</v>
      </c>
      <c r="D80" s="439" t="s">
        <v>1300</v>
      </c>
      <c r="E80" s="440" t="s">
        <v>1311</v>
      </c>
      <c r="F80" s="440"/>
      <c r="G80" s="319"/>
      <c r="H80" s="319"/>
      <c r="I80" s="319"/>
      <c r="J80" s="319"/>
      <c r="K80" s="442"/>
    </row>
    <row r="81" spans="1:11" ht="18" customHeight="1" x14ac:dyDescent="0.35">
      <c r="A81" s="302">
        <v>848</v>
      </c>
      <c r="B81" s="223" t="s">
        <v>771</v>
      </c>
      <c r="C81" s="551">
        <v>24</v>
      </c>
      <c r="D81" s="439" t="s">
        <v>1300</v>
      </c>
      <c r="E81" s="440" t="s">
        <v>1311</v>
      </c>
      <c r="F81" s="440"/>
      <c r="G81" s="319"/>
      <c r="H81" s="319">
        <v>12</v>
      </c>
      <c r="I81" s="319">
        <v>2</v>
      </c>
      <c r="J81" s="319">
        <v>192</v>
      </c>
      <c r="K81" s="442"/>
    </row>
    <row r="82" spans="1:11" ht="18" customHeight="1" x14ac:dyDescent="0.35">
      <c r="A82" s="302">
        <v>852</v>
      </c>
      <c r="B82" s="223" t="s">
        <v>1143</v>
      </c>
      <c r="C82" s="551">
        <v>60</v>
      </c>
      <c r="D82" s="295"/>
      <c r="E82" s="440"/>
      <c r="F82" s="440"/>
      <c r="G82" s="319"/>
      <c r="H82" s="319"/>
      <c r="I82" s="319"/>
      <c r="J82" s="319"/>
      <c r="K82" s="442"/>
    </row>
    <row r="83" spans="1:11" ht="18" customHeight="1" x14ac:dyDescent="0.35">
      <c r="A83" s="302">
        <v>856</v>
      </c>
      <c r="B83" s="223" t="s">
        <v>1144</v>
      </c>
      <c r="C83" s="551">
        <v>96</v>
      </c>
      <c r="D83" s="295"/>
      <c r="E83" s="440" t="s">
        <v>1311</v>
      </c>
      <c r="F83" s="440"/>
      <c r="G83" s="319"/>
      <c r="H83" s="319">
        <v>8</v>
      </c>
      <c r="I83" s="319">
        <v>1</v>
      </c>
      <c r="J83" s="319">
        <v>96</v>
      </c>
      <c r="K83" s="442"/>
    </row>
    <row r="84" spans="1:11" ht="18" customHeight="1" x14ac:dyDescent="0.35">
      <c r="A84" s="302">
        <v>857</v>
      </c>
      <c r="B84" s="223" t="s">
        <v>1145</v>
      </c>
      <c r="C84" s="551">
        <v>24</v>
      </c>
      <c r="D84" s="295"/>
      <c r="E84" s="440"/>
      <c r="F84" s="440"/>
      <c r="G84" s="319"/>
      <c r="H84" s="319">
        <v>8</v>
      </c>
      <c r="I84" s="319">
        <v>1</v>
      </c>
      <c r="J84" s="319">
        <v>48</v>
      </c>
      <c r="K84" s="442"/>
    </row>
    <row r="85" spans="1:11" ht="18" customHeight="1" x14ac:dyDescent="0.35">
      <c r="A85" s="302">
        <v>858</v>
      </c>
      <c r="B85" s="223" t="s">
        <v>823</v>
      </c>
      <c r="C85" s="551">
        <v>96</v>
      </c>
      <c r="D85" s="295"/>
      <c r="E85" s="440"/>
      <c r="F85" s="440"/>
      <c r="G85" s="319"/>
      <c r="H85" s="319">
        <v>8</v>
      </c>
      <c r="I85" s="319">
        <v>1</v>
      </c>
      <c r="J85" s="319">
        <v>120</v>
      </c>
      <c r="K85" s="442"/>
    </row>
    <row r="86" spans="1:11" ht="18" customHeight="1" x14ac:dyDescent="0.35">
      <c r="A86" s="302">
        <v>859</v>
      </c>
      <c r="B86" s="223" t="s">
        <v>819</v>
      </c>
      <c r="C86" s="551">
        <v>72</v>
      </c>
      <c r="D86" s="295"/>
      <c r="E86" s="440"/>
      <c r="F86" s="440"/>
      <c r="G86" s="319"/>
      <c r="H86" s="319">
        <v>8</v>
      </c>
      <c r="I86" s="319">
        <v>1</v>
      </c>
      <c r="J86" s="319">
        <v>240</v>
      </c>
      <c r="K86" s="442"/>
    </row>
    <row r="87" spans="1:11" ht="18" customHeight="1" x14ac:dyDescent="0.35">
      <c r="A87" s="302">
        <v>860</v>
      </c>
      <c r="B87" s="223" t="s">
        <v>1146</v>
      </c>
      <c r="C87" s="551">
        <v>0</v>
      </c>
      <c r="D87" s="295"/>
      <c r="E87" s="440"/>
      <c r="F87" s="440"/>
      <c r="G87" s="319"/>
      <c r="H87" s="319"/>
      <c r="I87" s="319"/>
      <c r="J87" s="319"/>
      <c r="K87" s="442"/>
    </row>
    <row r="88" spans="1:11" ht="18" customHeight="1" x14ac:dyDescent="0.35">
      <c r="A88" s="302">
        <v>862</v>
      </c>
      <c r="B88" s="223" t="s">
        <v>1147</v>
      </c>
      <c r="C88" s="551">
        <v>180</v>
      </c>
      <c r="D88" s="295"/>
      <c r="E88" s="440"/>
      <c r="F88" s="440"/>
      <c r="G88" s="319"/>
      <c r="H88" s="319">
        <v>8</v>
      </c>
      <c r="I88" s="319">
        <v>1</v>
      </c>
      <c r="J88" s="319">
        <v>180</v>
      </c>
      <c r="K88" s="442"/>
    </row>
    <row r="89" spans="1:11" ht="18" customHeight="1" x14ac:dyDescent="0.35">
      <c r="A89" s="302">
        <v>863</v>
      </c>
      <c r="B89" s="223" t="s">
        <v>1148</v>
      </c>
      <c r="C89" s="551">
        <v>48</v>
      </c>
      <c r="D89" s="295"/>
      <c r="E89" s="440"/>
      <c r="F89" s="440"/>
      <c r="G89" s="319"/>
      <c r="H89" s="319">
        <v>14</v>
      </c>
      <c r="I89" s="319">
        <v>2</v>
      </c>
      <c r="J89" s="319">
        <v>192</v>
      </c>
      <c r="K89" s="442"/>
    </row>
    <row r="90" spans="1:11" ht="18" customHeight="1" x14ac:dyDescent="0.35">
      <c r="A90" s="302">
        <v>864</v>
      </c>
      <c r="B90" s="223" t="s">
        <v>815</v>
      </c>
      <c r="C90" s="551">
        <v>48</v>
      </c>
      <c r="D90" s="295"/>
      <c r="E90" s="440"/>
      <c r="F90" s="440"/>
      <c r="G90" s="319"/>
      <c r="H90" s="319">
        <v>8</v>
      </c>
      <c r="I90" s="319">
        <v>1</v>
      </c>
      <c r="J90" s="319">
        <v>120</v>
      </c>
      <c r="K90" s="442"/>
    </row>
    <row r="91" spans="1:11" ht="18" customHeight="1" x14ac:dyDescent="0.35">
      <c r="A91" s="302">
        <v>867</v>
      </c>
      <c r="B91" s="223" t="s">
        <v>1168</v>
      </c>
      <c r="C91" s="551">
        <v>312</v>
      </c>
      <c r="D91" s="295"/>
      <c r="E91" s="440" t="s">
        <v>1311</v>
      </c>
      <c r="F91" s="440"/>
      <c r="G91" s="319"/>
      <c r="H91" s="319"/>
      <c r="I91" s="319"/>
      <c r="J91" s="319"/>
      <c r="K91" s="442"/>
    </row>
    <row r="92" spans="1:11" ht="18" customHeight="1" x14ac:dyDescent="0.35">
      <c r="A92" s="302">
        <v>872</v>
      </c>
      <c r="B92" s="223" t="s">
        <v>827</v>
      </c>
      <c r="C92" s="551">
        <v>0</v>
      </c>
      <c r="D92" s="439" t="s">
        <v>1300</v>
      </c>
      <c r="E92" s="440" t="s">
        <v>1311</v>
      </c>
      <c r="F92" s="440"/>
      <c r="G92" s="319"/>
      <c r="H92" s="319"/>
      <c r="I92" s="319"/>
      <c r="J92" s="319"/>
      <c r="K92" s="442"/>
    </row>
    <row r="93" spans="1:11" ht="18" customHeight="1" x14ac:dyDescent="0.35">
      <c r="A93" s="302">
        <v>873</v>
      </c>
      <c r="B93" s="223" t="s">
        <v>828</v>
      </c>
      <c r="C93" s="551">
        <v>0</v>
      </c>
      <c r="D93" s="439" t="s">
        <v>1300</v>
      </c>
      <c r="E93" s="440" t="s">
        <v>1311</v>
      </c>
      <c r="F93" s="440"/>
      <c r="G93" s="319"/>
      <c r="H93" s="319"/>
      <c r="I93" s="319"/>
      <c r="J93" s="319"/>
      <c r="K93" s="442"/>
    </row>
    <row r="94" spans="1:11" ht="18" customHeight="1" x14ac:dyDescent="0.35">
      <c r="A94" s="302">
        <v>878</v>
      </c>
      <c r="B94" s="223" t="s">
        <v>1149</v>
      </c>
      <c r="C94" s="551">
        <v>240</v>
      </c>
      <c r="D94" s="295"/>
      <c r="E94" s="440"/>
      <c r="F94" s="440"/>
      <c r="G94" s="319"/>
      <c r="H94" s="319">
        <v>8</v>
      </c>
      <c r="I94" s="319">
        <v>4</v>
      </c>
      <c r="J94" s="319">
        <v>800</v>
      </c>
      <c r="K94" s="442"/>
    </row>
    <row r="95" spans="1:11" ht="18" customHeight="1" x14ac:dyDescent="0.35">
      <c r="A95" s="302">
        <v>879</v>
      </c>
      <c r="B95" s="223" t="s">
        <v>1150</v>
      </c>
      <c r="C95" s="551">
        <v>24</v>
      </c>
      <c r="D95" s="295"/>
      <c r="E95" s="440" t="s">
        <v>1311</v>
      </c>
      <c r="F95" s="440"/>
      <c r="G95" s="319"/>
      <c r="H95" s="319"/>
      <c r="I95" s="319"/>
      <c r="J95" s="319"/>
      <c r="K95" s="442"/>
    </row>
    <row r="96" spans="1:11" ht="18" customHeight="1" x14ac:dyDescent="0.35">
      <c r="A96" s="302">
        <v>900</v>
      </c>
      <c r="B96" s="223" t="s">
        <v>1170</v>
      </c>
      <c r="C96" s="551">
        <v>24</v>
      </c>
      <c r="D96" s="295"/>
      <c r="E96" s="440" t="s">
        <v>1311</v>
      </c>
      <c r="F96" s="440"/>
      <c r="G96" s="319"/>
      <c r="H96" s="319"/>
      <c r="I96" s="319"/>
      <c r="J96" s="319"/>
      <c r="K96" s="442"/>
    </row>
    <row r="97" spans="1:11" ht="18" customHeight="1" x14ac:dyDescent="0.35">
      <c r="A97" s="302">
        <v>901</v>
      </c>
      <c r="B97" s="223" t="s">
        <v>1171</v>
      </c>
      <c r="C97" s="551">
        <v>1440</v>
      </c>
      <c r="D97" s="439" t="s">
        <v>1300</v>
      </c>
      <c r="E97" s="440" t="s">
        <v>1311</v>
      </c>
      <c r="F97" s="440"/>
      <c r="G97" s="319"/>
      <c r="H97" s="319"/>
      <c r="I97" s="319"/>
      <c r="J97" s="319"/>
      <c r="K97" s="442"/>
    </row>
    <row r="98" spans="1:11" ht="18" customHeight="1" x14ac:dyDescent="0.35">
      <c r="A98" s="302">
        <v>902</v>
      </c>
      <c r="B98" s="223" t="s">
        <v>1172</v>
      </c>
      <c r="C98" s="551">
        <v>228</v>
      </c>
      <c r="D98" s="439" t="s">
        <v>1300</v>
      </c>
      <c r="E98" s="440" t="s">
        <v>1311</v>
      </c>
      <c r="F98" s="440"/>
      <c r="G98" s="319"/>
      <c r="H98" s="319"/>
      <c r="I98" s="319"/>
      <c r="J98" s="319"/>
      <c r="K98" s="442"/>
    </row>
    <row r="99" spans="1:11" ht="18" customHeight="1" x14ac:dyDescent="0.35">
      <c r="A99" s="302">
        <v>908</v>
      </c>
      <c r="B99" s="223" t="s">
        <v>1151</v>
      </c>
      <c r="C99" s="551">
        <v>60</v>
      </c>
      <c r="D99" s="295"/>
      <c r="E99" s="440"/>
      <c r="F99" s="440"/>
      <c r="G99" s="319" t="s">
        <v>1300</v>
      </c>
      <c r="H99" s="319"/>
      <c r="I99" s="319"/>
      <c r="J99" s="319"/>
      <c r="K99" s="442"/>
    </row>
    <row r="100" spans="1:11" ht="18" customHeight="1" x14ac:dyDescent="0.35">
      <c r="A100" s="302">
        <v>909</v>
      </c>
      <c r="B100" s="223" t="s">
        <v>1173</v>
      </c>
      <c r="C100" s="551">
        <v>276</v>
      </c>
      <c r="D100" s="295"/>
      <c r="E100" s="440"/>
      <c r="F100" s="440"/>
      <c r="G100" s="319"/>
      <c r="H100" s="319"/>
      <c r="I100" s="319"/>
      <c r="J100" s="319"/>
      <c r="K100" s="442"/>
    </row>
    <row r="101" spans="1:11" ht="18" customHeight="1" x14ac:dyDescent="0.35">
      <c r="A101" s="302">
        <v>910</v>
      </c>
      <c r="B101" s="223" t="s">
        <v>1174</v>
      </c>
      <c r="C101" s="551">
        <v>864</v>
      </c>
      <c r="D101" s="439" t="s">
        <v>1300</v>
      </c>
      <c r="E101" s="440" t="s">
        <v>1311</v>
      </c>
      <c r="F101" s="440"/>
      <c r="G101" s="319"/>
      <c r="H101" s="319"/>
      <c r="I101" s="319"/>
      <c r="J101" s="319"/>
      <c r="K101" s="442"/>
    </row>
    <row r="102" spans="1:11" ht="18" customHeight="1" x14ac:dyDescent="0.35">
      <c r="A102" s="302">
        <v>911</v>
      </c>
      <c r="B102" s="223" t="s">
        <v>1175</v>
      </c>
      <c r="C102" s="551">
        <v>336</v>
      </c>
      <c r="D102" s="439" t="s">
        <v>1300</v>
      </c>
      <c r="E102" s="440" t="s">
        <v>1311</v>
      </c>
      <c r="F102" s="440"/>
      <c r="G102" s="319"/>
      <c r="H102" s="319"/>
      <c r="I102" s="319"/>
      <c r="J102" s="319"/>
      <c r="K102" s="442"/>
    </row>
    <row r="103" spans="1:11" ht="18" customHeight="1" x14ac:dyDescent="0.35">
      <c r="A103" s="302">
        <v>912</v>
      </c>
      <c r="B103" s="223" t="s">
        <v>1152</v>
      </c>
      <c r="C103" s="551">
        <v>0</v>
      </c>
      <c r="D103" s="439" t="s">
        <v>1300</v>
      </c>
      <c r="E103" s="440" t="s">
        <v>1311</v>
      </c>
      <c r="F103" s="440"/>
      <c r="G103" s="319"/>
      <c r="H103" s="319"/>
      <c r="I103" s="319"/>
      <c r="J103" s="319"/>
      <c r="K103" s="442"/>
    </row>
    <row r="104" spans="1:11" ht="18" customHeight="1" x14ac:dyDescent="0.35">
      <c r="A104" s="302">
        <v>920</v>
      </c>
      <c r="B104" s="223" t="s">
        <v>1176</v>
      </c>
      <c r="C104" s="551">
        <v>144</v>
      </c>
      <c r="D104" s="439" t="s">
        <v>1300</v>
      </c>
      <c r="E104" s="440" t="s">
        <v>1311</v>
      </c>
      <c r="F104" s="440"/>
      <c r="G104" s="319"/>
      <c r="H104" s="319"/>
      <c r="I104" s="319"/>
      <c r="J104" s="319"/>
      <c r="K104" s="442"/>
    </row>
    <row r="105" spans="1:11" ht="18" customHeight="1" x14ac:dyDescent="0.35">
      <c r="A105" s="302">
        <v>922</v>
      </c>
      <c r="B105" s="223" t="s">
        <v>1177</v>
      </c>
      <c r="C105" s="551">
        <v>696</v>
      </c>
      <c r="D105" s="439" t="s">
        <v>1300</v>
      </c>
      <c r="E105" s="440" t="s">
        <v>1311</v>
      </c>
      <c r="F105" s="440"/>
      <c r="G105" s="319"/>
      <c r="H105" s="319"/>
      <c r="I105" s="319"/>
      <c r="J105" s="319"/>
      <c r="K105" s="442"/>
    </row>
    <row r="106" spans="1:11" ht="18" customHeight="1" x14ac:dyDescent="0.35">
      <c r="A106" s="302" t="s">
        <v>930</v>
      </c>
      <c r="B106" s="223" t="s">
        <v>1153</v>
      </c>
      <c r="C106" s="551">
        <v>0</v>
      </c>
      <c r="D106" s="295"/>
      <c r="E106" s="440"/>
      <c r="F106" s="440"/>
      <c r="G106" s="319"/>
      <c r="H106" s="319"/>
      <c r="I106" s="319"/>
      <c r="J106" s="319"/>
      <c r="K106" s="442"/>
    </row>
    <row r="107" spans="1:11" ht="18" customHeight="1" x14ac:dyDescent="0.35">
      <c r="A107" s="302" t="s">
        <v>927</v>
      </c>
      <c r="B107" s="223" t="s">
        <v>1154</v>
      </c>
      <c r="C107" s="551">
        <v>0</v>
      </c>
      <c r="D107" s="295"/>
      <c r="E107" s="440"/>
      <c r="F107" s="440"/>
      <c r="G107" s="319"/>
      <c r="H107" s="319"/>
      <c r="I107" s="319"/>
      <c r="J107" s="319"/>
      <c r="K107" s="442"/>
    </row>
    <row r="108" spans="1:11" ht="18" customHeight="1" x14ac:dyDescent="0.35">
      <c r="A108" s="302" t="s">
        <v>914</v>
      </c>
      <c r="B108" s="223" t="s">
        <v>1155</v>
      </c>
      <c r="C108" s="551">
        <v>0</v>
      </c>
      <c r="D108" s="295"/>
      <c r="E108" s="440"/>
      <c r="F108" s="440"/>
      <c r="G108" s="319"/>
      <c r="H108" s="319"/>
      <c r="I108" s="319"/>
      <c r="J108" s="319"/>
      <c r="K108" s="442"/>
    </row>
    <row r="109" spans="1:11" ht="18" customHeight="1" x14ac:dyDescent="0.35">
      <c r="A109" s="302" t="s">
        <v>921</v>
      </c>
      <c r="B109" s="223" t="s">
        <v>1156</v>
      </c>
      <c r="C109" s="551">
        <v>0</v>
      </c>
      <c r="D109" s="295"/>
      <c r="E109" s="440"/>
      <c r="F109" s="440"/>
      <c r="G109" s="319"/>
      <c r="H109" s="319"/>
      <c r="I109" s="319"/>
      <c r="J109" s="319"/>
      <c r="K109" s="442"/>
    </row>
    <row r="110" spans="1:11" ht="18" customHeight="1" x14ac:dyDescent="0.35">
      <c r="A110" s="302" t="s">
        <v>923</v>
      </c>
      <c r="B110" s="223" t="s">
        <v>1157</v>
      </c>
      <c r="C110" s="551">
        <v>0</v>
      </c>
      <c r="D110" s="295"/>
      <c r="E110" s="440"/>
      <c r="F110" s="440"/>
      <c r="G110" s="319"/>
      <c r="H110" s="319"/>
      <c r="I110" s="319"/>
      <c r="J110" s="319"/>
      <c r="K110" s="442"/>
    </row>
    <row r="111" spans="1:11" ht="18" customHeight="1" x14ac:dyDescent="0.35">
      <c r="A111" s="302" t="s">
        <v>915</v>
      </c>
      <c r="B111" s="223" t="s">
        <v>1158</v>
      </c>
      <c r="C111" s="551">
        <v>0</v>
      </c>
      <c r="D111" s="295"/>
      <c r="E111" s="440"/>
      <c r="F111" s="440"/>
      <c r="G111" s="319"/>
      <c r="H111" s="319"/>
      <c r="I111" s="319"/>
      <c r="J111" s="319"/>
      <c r="K111" s="442"/>
    </row>
    <row r="112" spans="1:11" ht="18" customHeight="1" x14ac:dyDescent="0.35">
      <c r="A112" s="302" t="s">
        <v>932</v>
      </c>
      <c r="B112" s="223" t="s">
        <v>813</v>
      </c>
      <c r="C112" s="551">
        <v>0</v>
      </c>
      <c r="D112" s="295"/>
      <c r="E112" s="440"/>
      <c r="F112" s="440"/>
      <c r="G112" s="319"/>
      <c r="H112" s="319"/>
      <c r="I112" s="319"/>
      <c r="J112" s="319"/>
      <c r="K112" s="442"/>
    </row>
    <row r="113" spans="1:11" ht="18" customHeight="1" x14ac:dyDescent="0.35">
      <c r="A113" s="302" t="s">
        <v>924</v>
      </c>
      <c r="B113" s="223" t="s">
        <v>798</v>
      </c>
      <c r="C113" s="551">
        <v>0</v>
      </c>
      <c r="D113" s="295"/>
      <c r="E113" s="440"/>
      <c r="F113" s="440"/>
      <c r="G113" s="319"/>
      <c r="H113" s="319"/>
      <c r="I113" s="319"/>
      <c r="J113" s="319"/>
      <c r="K113" s="442"/>
    </row>
    <row r="114" spans="1:11" ht="18" customHeight="1" x14ac:dyDescent="0.35">
      <c r="A114" s="302" t="s">
        <v>917</v>
      </c>
      <c r="B114" s="223" t="s">
        <v>1159</v>
      </c>
      <c r="C114" s="551">
        <v>0</v>
      </c>
      <c r="D114" s="295"/>
      <c r="E114" s="440"/>
      <c r="F114" s="440"/>
      <c r="G114" s="319"/>
      <c r="H114" s="319"/>
      <c r="I114" s="319"/>
      <c r="J114" s="319"/>
      <c r="K114" s="442"/>
    </row>
    <row r="115" spans="1:11" ht="18" customHeight="1" x14ac:dyDescent="0.35">
      <c r="A115" s="302" t="s">
        <v>929</v>
      </c>
      <c r="B115" s="223" t="s">
        <v>1160</v>
      </c>
      <c r="C115" s="551">
        <v>0</v>
      </c>
      <c r="D115" s="295"/>
      <c r="E115" s="440"/>
      <c r="F115" s="319"/>
      <c r="G115" s="319"/>
      <c r="H115" s="319"/>
      <c r="I115" s="319"/>
      <c r="J115" s="319"/>
      <c r="K115" s="442"/>
    </row>
    <row r="116" spans="1:11" ht="18" customHeight="1" x14ac:dyDescent="0.35">
      <c r="A116" s="302" t="s">
        <v>933</v>
      </c>
      <c r="B116" s="223" t="s">
        <v>1161</v>
      </c>
      <c r="C116" s="551">
        <v>0</v>
      </c>
      <c r="D116" s="295"/>
      <c r="E116" s="440"/>
      <c r="F116" s="319"/>
      <c r="G116" s="319"/>
      <c r="H116" s="319"/>
      <c r="I116" s="319"/>
      <c r="J116" s="319"/>
      <c r="K116" s="442"/>
    </row>
    <row r="117" spans="1:11" ht="18" customHeight="1" x14ac:dyDescent="0.35">
      <c r="A117" s="302" t="s">
        <v>934</v>
      </c>
      <c r="B117" s="223" t="s">
        <v>1162</v>
      </c>
      <c r="C117" s="551">
        <v>0</v>
      </c>
      <c r="D117" s="295"/>
      <c r="E117" s="440"/>
      <c r="F117" s="319"/>
      <c r="G117" s="319"/>
      <c r="H117" s="319"/>
      <c r="I117" s="319"/>
      <c r="J117" s="319"/>
      <c r="K117" s="442"/>
    </row>
    <row r="118" spans="1:11" ht="18" customHeight="1" x14ac:dyDescent="0.35">
      <c r="A118" s="302" t="s">
        <v>935</v>
      </c>
      <c r="B118" s="223" t="s">
        <v>1163</v>
      </c>
      <c r="C118" s="551">
        <v>0</v>
      </c>
      <c r="D118" s="295"/>
      <c r="E118" s="440"/>
      <c r="F118" s="319"/>
      <c r="G118" s="319"/>
      <c r="H118" s="319"/>
      <c r="I118" s="319"/>
      <c r="J118" s="319"/>
      <c r="K118" s="442"/>
    </row>
    <row r="119" spans="1:11" ht="18" customHeight="1" x14ac:dyDescent="0.35">
      <c r="A119" s="302" t="s">
        <v>1074</v>
      </c>
      <c r="B119" s="223" t="s">
        <v>1164</v>
      </c>
      <c r="C119" s="551">
        <v>240</v>
      </c>
      <c r="D119" s="295"/>
      <c r="E119" s="440"/>
      <c r="F119" s="319"/>
      <c r="G119" s="319"/>
      <c r="H119" s="319"/>
      <c r="I119" s="319"/>
      <c r="J119" s="319"/>
      <c r="K119" s="442"/>
    </row>
    <row r="120" spans="1:11" ht="18" customHeight="1" x14ac:dyDescent="0.35">
      <c r="A120" s="302" t="s">
        <v>1072</v>
      </c>
      <c r="B120" s="223" t="s">
        <v>1108</v>
      </c>
      <c r="C120" s="551">
        <v>1200</v>
      </c>
      <c r="D120" s="295"/>
      <c r="E120" s="440"/>
      <c r="F120" s="319"/>
      <c r="G120" s="319"/>
      <c r="H120" s="319"/>
      <c r="I120" s="319"/>
      <c r="J120" s="319"/>
      <c r="K120" s="442"/>
    </row>
    <row r="121" spans="1:11" ht="18" customHeight="1" x14ac:dyDescent="0.35">
      <c r="A121" s="302" t="s">
        <v>1073</v>
      </c>
      <c r="B121" s="223" t="s">
        <v>1111</v>
      </c>
      <c r="C121" s="551">
        <v>240</v>
      </c>
      <c r="D121" s="295"/>
      <c r="E121" s="440"/>
      <c r="F121" s="319"/>
      <c r="G121" s="319"/>
      <c r="H121" s="319"/>
      <c r="I121" s="319"/>
      <c r="J121" s="319"/>
      <c r="K121" s="442"/>
    </row>
    <row r="122" spans="1:11" ht="18" customHeight="1" x14ac:dyDescent="0.35">
      <c r="A122" s="302" t="s">
        <v>1075</v>
      </c>
      <c r="B122" s="223" t="s">
        <v>1065</v>
      </c>
      <c r="C122" s="551">
        <v>240</v>
      </c>
      <c r="D122" s="295"/>
      <c r="E122" s="440"/>
      <c r="F122" s="319"/>
      <c r="G122" s="319"/>
      <c r="H122" s="319"/>
      <c r="I122" s="319"/>
      <c r="J122" s="319"/>
      <c r="K122" s="442"/>
    </row>
    <row r="123" spans="1:11" ht="18" customHeight="1" x14ac:dyDescent="0.35">
      <c r="A123" s="302" t="s">
        <v>1076</v>
      </c>
      <c r="B123" s="223" t="s">
        <v>1165</v>
      </c>
      <c r="C123" s="551">
        <v>276</v>
      </c>
      <c r="D123" s="295"/>
      <c r="E123" s="440"/>
      <c r="F123" s="319"/>
      <c r="G123" s="319"/>
      <c r="H123" s="319"/>
      <c r="I123" s="319"/>
      <c r="J123" s="319"/>
      <c r="K123" s="442"/>
    </row>
    <row r="124" spans="1:11" ht="18" customHeight="1" x14ac:dyDescent="0.35">
      <c r="A124" s="302" t="s">
        <v>1077</v>
      </c>
      <c r="B124" s="223" t="s">
        <v>1065</v>
      </c>
      <c r="C124" s="551">
        <v>792</v>
      </c>
      <c r="D124" s="295"/>
      <c r="E124" s="440"/>
      <c r="F124" s="319"/>
      <c r="G124" s="319"/>
      <c r="H124" s="319"/>
      <c r="I124" s="319"/>
      <c r="J124" s="319"/>
      <c r="K124" s="442"/>
    </row>
    <row r="125" spans="1:11" ht="18" customHeight="1" x14ac:dyDescent="0.35">
      <c r="A125" s="302" t="s">
        <v>1070</v>
      </c>
      <c r="B125" s="223" t="s">
        <v>1129</v>
      </c>
      <c r="C125" s="551">
        <v>1680</v>
      </c>
      <c r="D125" s="295"/>
      <c r="E125" s="440"/>
      <c r="F125" s="319"/>
      <c r="G125" s="319"/>
      <c r="H125" s="319"/>
      <c r="I125" s="319"/>
      <c r="J125" s="319"/>
      <c r="K125" s="442"/>
    </row>
    <row r="126" spans="1:11" ht="18" customHeight="1" x14ac:dyDescent="0.35">
      <c r="A126" s="302" t="s">
        <v>1078</v>
      </c>
      <c r="B126" s="223" t="s">
        <v>1167</v>
      </c>
      <c r="C126" s="551">
        <v>120</v>
      </c>
      <c r="D126" s="295"/>
      <c r="E126" s="440"/>
      <c r="F126" s="319" t="s">
        <v>1300</v>
      </c>
      <c r="G126" s="319" t="s">
        <v>1300</v>
      </c>
      <c r="H126" s="319"/>
      <c r="I126" s="319"/>
      <c r="J126" s="319"/>
      <c r="K126" s="442"/>
    </row>
    <row r="127" spans="1:11" ht="18" customHeight="1" x14ac:dyDescent="0.35">
      <c r="A127" s="302" t="s">
        <v>1079</v>
      </c>
      <c r="B127" s="223" t="s">
        <v>1071</v>
      </c>
      <c r="C127" s="551">
        <v>0</v>
      </c>
      <c r="D127" s="295"/>
      <c r="E127" s="440"/>
      <c r="F127" s="319"/>
      <c r="G127" s="319" t="s">
        <v>1300</v>
      </c>
      <c r="H127" s="319"/>
      <c r="I127" s="319"/>
      <c r="J127" s="319"/>
      <c r="K127" s="442"/>
    </row>
    <row r="128" spans="1:11" ht="18" customHeight="1" thickBot="1" x14ac:dyDescent="0.4">
      <c r="A128" s="298" t="s">
        <v>1080</v>
      </c>
      <c r="B128" s="242" t="s">
        <v>1169</v>
      </c>
      <c r="C128" s="552">
        <v>204</v>
      </c>
      <c r="D128" s="443"/>
      <c r="E128" s="526"/>
      <c r="F128" s="527"/>
      <c r="G128" s="527"/>
      <c r="H128" s="527"/>
      <c r="I128" s="527"/>
      <c r="J128" s="527"/>
      <c r="K128" s="444"/>
    </row>
    <row r="129" spans="5:5" ht="18" customHeight="1" x14ac:dyDescent="0.35">
      <c r="E129" s="524"/>
    </row>
    <row r="130" spans="5:5" ht="18" customHeight="1" x14ac:dyDescent="0.35">
      <c r="E130" s="524"/>
    </row>
    <row r="131" spans="5:5" ht="18" customHeight="1" x14ac:dyDescent="0.35">
      <c r="E131" s="524"/>
    </row>
    <row r="132" spans="5:5" ht="18" customHeight="1" x14ac:dyDescent="0.35">
      <c r="E132" s="524"/>
    </row>
    <row r="133" spans="5:5" ht="18" customHeight="1" x14ac:dyDescent="0.35">
      <c r="E133" s="524"/>
    </row>
    <row r="134" spans="5:5" ht="18" customHeight="1" x14ac:dyDescent="0.35">
      <c r="E134" s="524"/>
    </row>
    <row r="135" spans="5:5" ht="18" customHeight="1" x14ac:dyDescent="0.35">
      <c r="E135" s="524"/>
    </row>
    <row r="136" spans="5:5" ht="18" customHeight="1" x14ac:dyDescent="0.35">
      <c r="E136" s="524"/>
    </row>
    <row r="137" spans="5:5" ht="18" customHeight="1" x14ac:dyDescent="0.35">
      <c r="E137" s="524"/>
    </row>
    <row r="138" spans="5:5" ht="18" customHeight="1" x14ac:dyDescent="0.35">
      <c r="E138" s="524"/>
    </row>
    <row r="139" spans="5:5" ht="18" customHeight="1" x14ac:dyDescent="0.35">
      <c r="E139" s="524"/>
    </row>
    <row r="140" spans="5:5" ht="18" customHeight="1" x14ac:dyDescent="0.35">
      <c r="E140" s="524"/>
    </row>
    <row r="141" spans="5:5" ht="18" customHeight="1" x14ac:dyDescent="0.35">
      <c r="E141" s="524"/>
    </row>
    <row r="142" spans="5:5" ht="18" customHeight="1" x14ac:dyDescent="0.35">
      <c r="E142" s="524"/>
    </row>
    <row r="143" spans="5:5" ht="18" customHeight="1" x14ac:dyDescent="0.35">
      <c r="E143" s="524"/>
    </row>
    <row r="144" spans="5:5" ht="18" customHeight="1" x14ac:dyDescent="0.35">
      <c r="E144" s="524"/>
    </row>
    <row r="145" spans="5:5" ht="18" customHeight="1" x14ac:dyDescent="0.35">
      <c r="E145" s="524"/>
    </row>
    <row r="146" spans="5:5" ht="18" customHeight="1" x14ac:dyDescent="0.35">
      <c r="E146" s="524"/>
    </row>
    <row r="147" spans="5:5" ht="18" customHeight="1" x14ac:dyDescent="0.35">
      <c r="E147" s="524"/>
    </row>
    <row r="148" spans="5:5" ht="18" customHeight="1" x14ac:dyDescent="0.35">
      <c r="E148" s="524"/>
    </row>
    <row r="149" spans="5:5" ht="18" customHeight="1" x14ac:dyDescent="0.35">
      <c r="E149" s="524"/>
    </row>
    <row r="150" spans="5:5" ht="18" customHeight="1" x14ac:dyDescent="0.35">
      <c r="E150" s="524"/>
    </row>
    <row r="151" spans="5:5" ht="18" customHeight="1" x14ac:dyDescent="0.35">
      <c r="E151" s="524"/>
    </row>
    <row r="152" spans="5:5" ht="18" customHeight="1" x14ac:dyDescent="0.35">
      <c r="E152" s="524"/>
    </row>
    <row r="153" spans="5:5" ht="18" customHeight="1" x14ac:dyDescent="0.35">
      <c r="E153" s="524"/>
    </row>
    <row r="154" spans="5:5" ht="18" customHeight="1" x14ac:dyDescent="0.35">
      <c r="E154" s="524"/>
    </row>
    <row r="155" spans="5:5" ht="18" customHeight="1" x14ac:dyDescent="0.35">
      <c r="E155" s="524"/>
    </row>
    <row r="156" spans="5:5" ht="18" customHeight="1" x14ac:dyDescent="0.35">
      <c r="E156" s="524"/>
    </row>
    <row r="157" spans="5:5" ht="18" customHeight="1" x14ac:dyDescent="0.35">
      <c r="E157" s="524"/>
    </row>
    <row r="158" spans="5:5" ht="18" customHeight="1" x14ac:dyDescent="0.35">
      <c r="E158" s="524"/>
    </row>
    <row r="159" spans="5:5" ht="18" customHeight="1" x14ac:dyDescent="0.35">
      <c r="E159" s="524"/>
    </row>
    <row r="160" spans="5:5" ht="18" customHeight="1" x14ac:dyDescent="0.35">
      <c r="E160" s="524"/>
    </row>
    <row r="161" spans="5:5" ht="18" customHeight="1" x14ac:dyDescent="0.35">
      <c r="E161" s="524"/>
    </row>
    <row r="162" spans="5:5" ht="18" customHeight="1" x14ac:dyDescent="0.35">
      <c r="E162" s="524"/>
    </row>
    <row r="163" spans="5:5" ht="18" customHeight="1" x14ac:dyDescent="0.35">
      <c r="E163" s="524"/>
    </row>
    <row r="164" spans="5:5" ht="18" customHeight="1" x14ac:dyDescent="0.3"/>
    <row r="165" spans="5:5" ht="18" customHeight="1" x14ac:dyDescent="0.3"/>
    <row r="166" spans="5:5" ht="18" customHeight="1" x14ac:dyDescent="0.3"/>
    <row r="167" spans="5:5" ht="18" customHeight="1" x14ac:dyDescent="0.3"/>
    <row r="168" spans="5:5" ht="18" customHeight="1" x14ac:dyDescent="0.3"/>
    <row r="169" spans="5:5" ht="18" customHeight="1" x14ac:dyDescent="0.3"/>
    <row r="170" spans="5:5" ht="18" customHeight="1" x14ac:dyDescent="0.3"/>
    <row r="171" spans="5:5" ht="18" customHeight="1" x14ac:dyDescent="0.3"/>
    <row r="172" spans="5:5" ht="18" customHeight="1" x14ac:dyDescent="0.3"/>
    <row r="173" spans="5:5" ht="18" customHeight="1" x14ac:dyDescent="0.3"/>
    <row r="174" spans="5:5" ht="18" customHeight="1" x14ac:dyDescent="0.3"/>
    <row r="175" spans="5:5" ht="18" customHeight="1" x14ac:dyDescent="0.3"/>
    <row r="176" spans="5:5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</sheetData>
  <autoFilter ref="A1:D128" xr:uid="{00000000-0009-0000-0000-000013000000}">
    <sortState xmlns:xlrd2="http://schemas.microsoft.com/office/spreadsheetml/2017/richdata2" ref="A2:D128">
      <sortCondition ref="A1:A12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J184"/>
  <sheetViews>
    <sheetView workbookViewId="0">
      <selection sqref="A1:H2"/>
    </sheetView>
  </sheetViews>
  <sheetFormatPr baseColWidth="10" defaultRowHeight="14.4" x14ac:dyDescent="0.3"/>
  <cols>
    <col min="1" max="1" width="5.5546875" customWidth="1"/>
    <col min="2" max="2" width="6.33203125" customWidth="1"/>
    <col min="3" max="3" width="6.88671875" customWidth="1"/>
    <col min="4" max="4" width="6" style="131" customWidth="1"/>
    <col min="5" max="5" width="7.6640625" customWidth="1"/>
    <col min="6" max="6" width="5.6640625" style="266" customWidth="1"/>
    <col min="7" max="7" width="6.5546875" style="220" customWidth="1"/>
    <col min="8" max="8" width="7.5546875" style="220" customWidth="1"/>
    <col min="9" max="9" width="27.88671875" style="243" customWidth="1"/>
    <col min="10" max="10" width="1.33203125" customWidth="1"/>
  </cols>
  <sheetData>
    <row r="1" spans="1:10" ht="15" thickBot="1" x14ac:dyDescent="0.35">
      <c r="A1" s="1301" t="s">
        <v>1005</v>
      </c>
      <c r="B1" s="1302"/>
      <c r="C1" s="1302"/>
      <c r="D1" s="1302"/>
      <c r="E1" s="1302"/>
      <c r="F1" s="1302"/>
      <c r="G1" s="1302"/>
      <c r="H1" s="1303"/>
      <c r="I1" s="254" t="s">
        <v>1036</v>
      </c>
    </row>
    <row r="2" spans="1:10" ht="15" thickBot="1" x14ac:dyDescent="0.35">
      <c r="A2" s="1304"/>
      <c r="B2" s="1305"/>
      <c r="C2" s="1305"/>
      <c r="D2" s="1305"/>
      <c r="E2" s="1305"/>
      <c r="F2" s="1305"/>
      <c r="G2" s="1305"/>
      <c r="H2" s="1306"/>
      <c r="I2" s="255" t="s">
        <v>1037</v>
      </c>
    </row>
    <row r="3" spans="1:10" s="208" customFormat="1" ht="30" customHeight="1" thickBot="1" x14ac:dyDescent="0.35">
      <c r="A3" s="245" t="s">
        <v>938</v>
      </c>
      <c r="B3" s="246" t="s">
        <v>748</v>
      </c>
      <c r="C3" s="247" t="s">
        <v>748</v>
      </c>
      <c r="D3" s="246" t="s">
        <v>858</v>
      </c>
      <c r="E3" s="246" t="s">
        <v>1013</v>
      </c>
      <c r="F3" s="263" t="s">
        <v>936</v>
      </c>
      <c r="G3" s="246" t="s">
        <v>857</v>
      </c>
      <c r="H3" s="246" t="s">
        <v>937</v>
      </c>
      <c r="I3" s="256" t="s">
        <v>749</v>
      </c>
      <c r="J3" s="244" t="s">
        <v>508</v>
      </c>
    </row>
    <row r="4" spans="1:10" ht="18.600000000000001" thickBot="1" x14ac:dyDescent="0.35">
      <c r="A4" s="1313" t="s">
        <v>940</v>
      </c>
      <c r="B4" s="257" t="str">
        <f>+MID(C4,1,3)</f>
        <v>031</v>
      </c>
      <c r="C4" s="231" t="s">
        <v>356</v>
      </c>
      <c r="D4" s="232" t="s">
        <v>942</v>
      </c>
      <c r="E4" s="27">
        <f>+F4*G4+H4</f>
        <v>150000</v>
      </c>
      <c r="F4" s="264">
        <v>5</v>
      </c>
      <c r="G4" s="233">
        <v>30000</v>
      </c>
      <c r="H4" s="233"/>
      <c r="I4" s="249" t="e">
        <f>+TRIM(PROPER(VLOOKUP(D4,#REF!,4,)))</f>
        <v>#REF!</v>
      </c>
      <c r="J4" s="229" t="s">
        <v>449</v>
      </c>
    </row>
    <row r="5" spans="1:10" ht="18.600000000000001" thickBot="1" x14ac:dyDescent="0.35">
      <c r="A5" s="1315"/>
      <c r="B5" s="258" t="str">
        <f>+MID(C5,1,3)</f>
        <v>034</v>
      </c>
      <c r="C5" s="234" t="s">
        <v>357</v>
      </c>
      <c r="D5" s="235" t="s">
        <v>943</v>
      </c>
      <c r="E5" s="29">
        <f>+F5*G5+H5</f>
        <v>0</v>
      </c>
      <c r="F5" s="265"/>
      <c r="G5" s="236"/>
      <c r="H5" s="236"/>
      <c r="I5" s="249" t="e">
        <f>+TRIM(PROPER(VLOOKUP(D5,#REF!,4,)))</f>
        <v>#REF!</v>
      </c>
      <c r="J5" s="230" t="s">
        <v>449</v>
      </c>
    </row>
    <row r="6" spans="1:10" ht="6.6" customHeight="1" thickBot="1" x14ac:dyDescent="0.35">
      <c r="A6" s="248"/>
      <c r="B6" s="127"/>
      <c r="C6" s="227"/>
      <c r="D6" s="228"/>
      <c r="I6" s="209"/>
      <c r="J6" s="5"/>
    </row>
    <row r="7" spans="1:10" ht="18.600000000000001" thickBot="1" x14ac:dyDescent="0.35">
      <c r="A7" s="1313" t="s">
        <v>6</v>
      </c>
      <c r="B7" s="257" t="str">
        <f t="shared" ref="B7:B19" si="0">+MID(C7,1,3)</f>
        <v>550</v>
      </c>
      <c r="C7" s="238" t="s">
        <v>419</v>
      </c>
      <c r="D7" s="232" t="s">
        <v>944</v>
      </c>
      <c r="E7" s="27">
        <f t="shared" ref="E7:E20" si="1">+F7*G7+H7</f>
        <v>0</v>
      </c>
      <c r="F7" s="264"/>
      <c r="G7" s="233"/>
      <c r="H7" s="233"/>
      <c r="I7" s="249" t="e">
        <f>+TRIM(PROPER(VLOOKUP(D7,#REF!,4,)))</f>
        <v>#REF!</v>
      </c>
      <c r="J7" s="237" t="s">
        <v>495</v>
      </c>
    </row>
    <row r="8" spans="1:10" ht="18" x14ac:dyDescent="0.3">
      <c r="A8" s="1314"/>
      <c r="B8" s="259" t="str">
        <f t="shared" si="0"/>
        <v>248</v>
      </c>
      <c r="C8" s="137" t="s">
        <v>713</v>
      </c>
      <c r="D8" s="222" t="s">
        <v>945</v>
      </c>
      <c r="E8" s="23">
        <f t="shared" si="1"/>
        <v>0</v>
      </c>
      <c r="F8" s="267"/>
      <c r="G8" s="221"/>
      <c r="H8" s="221"/>
      <c r="I8" s="249" t="e">
        <f>+TRIM(PROPER(VLOOKUP(D8,#REF!,4,)))</f>
        <v>#REF!</v>
      </c>
      <c r="J8" s="229" t="s">
        <v>867</v>
      </c>
    </row>
    <row r="9" spans="1:10" ht="18" x14ac:dyDescent="0.3">
      <c r="A9" s="1314"/>
      <c r="B9" s="259" t="str">
        <f t="shared" si="0"/>
        <v>581</v>
      </c>
      <c r="C9" s="137" t="s">
        <v>836</v>
      </c>
      <c r="D9" s="222" t="s">
        <v>946</v>
      </c>
      <c r="E9" s="23">
        <f t="shared" si="1"/>
        <v>11523</v>
      </c>
      <c r="F9" s="267">
        <v>11</v>
      </c>
      <c r="G9" s="221">
        <v>1000</v>
      </c>
      <c r="H9" s="221">
        <v>523</v>
      </c>
      <c r="I9" s="251" t="e">
        <f>+VLOOKUP(C9,#REF!,3,)</f>
        <v>#REF!</v>
      </c>
      <c r="J9" s="229" t="s">
        <v>495</v>
      </c>
    </row>
    <row r="10" spans="1:10" ht="18.600000000000001" thickBot="1" x14ac:dyDescent="0.35">
      <c r="A10" s="1314"/>
      <c r="B10" s="259" t="str">
        <f t="shared" si="0"/>
        <v>587</v>
      </c>
      <c r="C10" s="137" t="s">
        <v>834</v>
      </c>
      <c r="D10" s="222" t="s">
        <v>947</v>
      </c>
      <c r="E10" s="23">
        <f t="shared" si="1"/>
        <v>4000</v>
      </c>
      <c r="F10" s="267">
        <v>4</v>
      </c>
      <c r="G10" s="221">
        <v>1000</v>
      </c>
      <c r="H10" s="221"/>
      <c r="I10" s="251" t="e">
        <f>+VLOOKUP(C10,#REF!,3,)</f>
        <v>#REF!</v>
      </c>
      <c r="J10" s="229" t="s">
        <v>495</v>
      </c>
    </row>
    <row r="11" spans="1:10" ht="18.600000000000001" thickBot="1" x14ac:dyDescent="0.35">
      <c r="A11" s="1314"/>
      <c r="B11" s="259" t="str">
        <f t="shared" si="0"/>
        <v>537</v>
      </c>
      <c r="C11" s="137" t="s">
        <v>99</v>
      </c>
      <c r="D11" s="222" t="s">
        <v>948</v>
      </c>
      <c r="E11" s="23">
        <f t="shared" si="1"/>
        <v>0</v>
      </c>
      <c r="F11" s="267"/>
      <c r="G11" s="221"/>
      <c r="H11" s="221"/>
      <c r="I11" s="249" t="e">
        <f>+TRIM(PROPER(VLOOKUP(D11,#REF!,4,)))</f>
        <v>#REF!</v>
      </c>
      <c r="J11" s="229" t="s">
        <v>495</v>
      </c>
    </row>
    <row r="12" spans="1:10" ht="18.600000000000001" thickBot="1" x14ac:dyDescent="0.35">
      <c r="A12" s="1314"/>
      <c r="B12" s="259" t="str">
        <f t="shared" si="0"/>
        <v>542</v>
      </c>
      <c r="C12" s="137" t="s">
        <v>101</v>
      </c>
      <c r="D12" s="222" t="s">
        <v>949</v>
      </c>
      <c r="E12" s="23">
        <f t="shared" si="1"/>
        <v>0</v>
      </c>
      <c r="F12" s="267"/>
      <c r="G12" s="221"/>
      <c r="H12" s="221"/>
      <c r="I12" s="249" t="e">
        <f>+TRIM(PROPER(VLOOKUP(D12,#REF!,4,)))</f>
        <v>#REF!</v>
      </c>
      <c r="J12" s="229" t="s">
        <v>495</v>
      </c>
    </row>
    <row r="13" spans="1:10" ht="18.600000000000001" thickBot="1" x14ac:dyDescent="0.35">
      <c r="A13" s="1314"/>
      <c r="B13" s="259" t="str">
        <f t="shared" si="0"/>
        <v>543</v>
      </c>
      <c r="C13" s="137" t="s">
        <v>103</v>
      </c>
      <c r="D13" s="222" t="s">
        <v>950</v>
      </c>
      <c r="E13" s="23">
        <f t="shared" si="1"/>
        <v>0</v>
      </c>
      <c r="F13" s="267"/>
      <c r="G13" s="221"/>
      <c r="H13" s="221"/>
      <c r="I13" s="249" t="e">
        <f>+TRIM(PROPER(VLOOKUP(D13,#REF!,4,)))</f>
        <v>#REF!</v>
      </c>
      <c r="J13" s="229" t="s">
        <v>495</v>
      </c>
    </row>
    <row r="14" spans="1:10" ht="18.600000000000001" thickBot="1" x14ac:dyDescent="0.35">
      <c r="A14" s="1314"/>
      <c r="B14" s="259">
        <v>580</v>
      </c>
      <c r="C14" s="137"/>
      <c r="D14" s="222" t="s">
        <v>1006</v>
      </c>
      <c r="E14" s="23"/>
      <c r="F14" s="267"/>
      <c r="G14" s="221"/>
      <c r="H14" s="221"/>
      <c r="I14" s="249"/>
      <c r="J14" s="229"/>
    </row>
    <row r="15" spans="1:10" ht="18.600000000000001" thickBot="1" x14ac:dyDescent="0.35">
      <c r="A15" s="1314"/>
      <c r="B15" s="259" t="str">
        <f t="shared" si="0"/>
        <v>029</v>
      </c>
      <c r="C15" s="137" t="s">
        <v>27</v>
      </c>
      <c r="D15" s="222" t="s">
        <v>951</v>
      </c>
      <c r="E15" s="23">
        <f t="shared" si="1"/>
        <v>0</v>
      </c>
      <c r="F15" s="267"/>
      <c r="G15" s="221"/>
      <c r="H15" s="221"/>
      <c r="I15" s="249" t="e">
        <f>+TRIM(PROPER(VLOOKUP(D15,#REF!,4,)))</f>
        <v>#REF!</v>
      </c>
      <c r="J15" s="229" t="s">
        <v>501</v>
      </c>
    </row>
    <row r="16" spans="1:10" ht="18" x14ac:dyDescent="0.3">
      <c r="A16" s="1314"/>
      <c r="B16" s="259" t="str">
        <f t="shared" si="0"/>
        <v>315</v>
      </c>
      <c r="C16" s="137" t="s">
        <v>35</v>
      </c>
      <c r="D16" s="222" t="s">
        <v>952</v>
      </c>
      <c r="E16" s="23">
        <f t="shared" si="1"/>
        <v>0</v>
      </c>
      <c r="F16" s="267"/>
      <c r="G16" s="221"/>
      <c r="H16" s="221"/>
      <c r="I16" s="249" t="e">
        <f>+TRIM(PROPER(VLOOKUP(D16,#REF!,4,)))</f>
        <v>#REF!</v>
      </c>
      <c r="J16" s="229" t="s">
        <v>501</v>
      </c>
    </row>
    <row r="17" spans="1:10" ht="18" x14ac:dyDescent="0.3">
      <c r="A17" s="1314"/>
      <c r="B17" s="259" t="str">
        <f t="shared" si="0"/>
        <v>325</v>
      </c>
      <c r="C17" s="137" t="s">
        <v>41</v>
      </c>
      <c r="D17" s="222" t="s">
        <v>953</v>
      </c>
      <c r="E17" s="23">
        <f t="shared" si="1"/>
        <v>0</v>
      </c>
      <c r="F17" s="267"/>
      <c r="G17" s="221"/>
      <c r="H17" s="221"/>
      <c r="I17" s="251" t="e">
        <f>+VLOOKUP(D17,#REF!,4,)</f>
        <v>#REF!</v>
      </c>
      <c r="J17" s="229" t="s">
        <v>501</v>
      </c>
    </row>
    <row r="18" spans="1:10" ht="18.600000000000001" thickBot="1" x14ac:dyDescent="0.35">
      <c r="A18" s="1314"/>
      <c r="B18" s="259" t="str">
        <f t="shared" si="0"/>
        <v>333</v>
      </c>
      <c r="C18" s="137" t="s">
        <v>43</v>
      </c>
      <c r="D18" s="222" t="s">
        <v>954</v>
      </c>
      <c r="E18" s="23">
        <f t="shared" si="1"/>
        <v>0</v>
      </c>
      <c r="F18" s="267"/>
      <c r="G18" s="221"/>
      <c r="H18" s="221"/>
      <c r="I18" s="251" t="e">
        <f>+VLOOKUP(D18,#REF!,4,)</f>
        <v>#REF!</v>
      </c>
      <c r="J18" s="229" t="s">
        <v>501</v>
      </c>
    </row>
    <row r="19" spans="1:10" ht="18" x14ac:dyDescent="0.3">
      <c r="A19" s="1314"/>
      <c r="B19" s="259" t="str">
        <f t="shared" si="0"/>
        <v>030</v>
      </c>
      <c r="C19" s="137" t="s">
        <v>29</v>
      </c>
      <c r="D19" s="222" t="s">
        <v>955</v>
      </c>
      <c r="E19" s="23">
        <f t="shared" si="1"/>
        <v>0</v>
      </c>
      <c r="F19" s="267"/>
      <c r="G19" s="221"/>
      <c r="H19" s="221"/>
      <c r="I19" s="249" t="e">
        <f>+TRIM(PROPER(VLOOKUP(D19,#REF!,4,)))</f>
        <v>#REF!</v>
      </c>
      <c r="J19" s="229" t="s">
        <v>501</v>
      </c>
    </row>
    <row r="20" spans="1:10" ht="18.600000000000001" thickBot="1" x14ac:dyDescent="0.35">
      <c r="A20" s="1315"/>
      <c r="B20" s="258" t="s">
        <v>869</v>
      </c>
      <c r="C20" s="239" t="s">
        <v>869</v>
      </c>
      <c r="D20" s="235" t="s">
        <v>956</v>
      </c>
      <c r="E20" s="29">
        <f t="shared" si="1"/>
        <v>0</v>
      </c>
      <c r="F20" s="265"/>
      <c r="G20" s="236"/>
      <c r="H20" s="236"/>
      <c r="I20" s="250" t="e">
        <f>+VLOOKUP(D20,#REF!,4,)</f>
        <v>#REF!</v>
      </c>
      <c r="J20" s="230" t="s">
        <v>340</v>
      </c>
    </row>
    <row r="21" spans="1:10" ht="6.6" customHeight="1" thickBot="1" x14ac:dyDescent="0.35">
      <c r="A21" s="248"/>
      <c r="B21" s="127"/>
      <c r="C21" s="5"/>
      <c r="D21" s="228"/>
      <c r="I21" s="209"/>
      <c r="J21" s="5"/>
    </row>
    <row r="22" spans="1:10" ht="18" x14ac:dyDescent="0.3">
      <c r="A22" s="1316" t="s">
        <v>5</v>
      </c>
      <c r="B22" s="261" t="str">
        <f t="shared" ref="B22:B27" si="2">+MID(C22,1,3)</f>
        <v>525</v>
      </c>
      <c r="C22" s="238" t="s">
        <v>89</v>
      </c>
      <c r="D22" s="232" t="s">
        <v>957</v>
      </c>
      <c r="E22" s="27">
        <f t="shared" ref="E22:E27" si="3">+F22*G22+H22</f>
        <v>0</v>
      </c>
      <c r="F22" s="264"/>
      <c r="G22" s="233"/>
      <c r="H22" s="233"/>
      <c r="I22" s="249" t="e">
        <f>+VLOOKUP(C22,#REF!,3,)</f>
        <v>#REF!</v>
      </c>
      <c r="J22" s="237" t="s">
        <v>495</v>
      </c>
    </row>
    <row r="23" spans="1:10" ht="18" x14ac:dyDescent="0.3">
      <c r="A23" s="1317"/>
      <c r="B23" s="260" t="str">
        <f t="shared" si="2"/>
        <v>526</v>
      </c>
      <c r="C23" s="137" t="s">
        <v>91</v>
      </c>
      <c r="D23" s="222" t="s">
        <v>958</v>
      </c>
      <c r="E23" s="23">
        <f t="shared" si="3"/>
        <v>0</v>
      </c>
      <c r="F23" s="267"/>
      <c r="G23" s="221"/>
      <c r="H23" s="221"/>
      <c r="I23" s="251" t="e">
        <f>+VLOOKUP(C23,#REF!,3,)</f>
        <v>#REF!</v>
      </c>
      <c r="J23" s="229" t="s">
        <v>495</v>
      </c>
    </row>
    <row r="24" spans="1:10" ht="18" x14ac:dyDescent="0.3">
      <c r="A24" s="1317"/>
      <c r="B24" s="260" t="str">
        <f t="shared" si="2"/>
        <v>532</v>
      </c>
      <c r="C24" s="137" t="s">
        <v>97</v>
      </c>
      <c r="D24" s="222" t="s">
        <v>959</v>
      </c>
      <c r="E24" s="23">
        <f t="shared" si="3"/>
        <v>0</v>
      </c>
      <c r="F24" s="267"/>
      <c r="G24" s="221"/>
      <c r="H24" s="221"/>
      <c r="I24" s="251" t="e">
        <f>+VLOOKUP(C24,#REF!,3,)</f>
        <v>#REF!</v>
      </c>
      <c r="J24" s="229" t="s">
        <v>495</v>
      </c>
    </row>
    <row r="25" spans="1:10" ht="18" x14ac:dyDescent="0.3">
      <c r="A25" s="1317"/>
      <c r="B25" s="260" t="str">
        <f t="shared" si="2"/>
        <v>025</v>
      </c>
      <c r="C25" s="137" t="s">
        <v>21</v>
      </c>
      <c r="D25" s="222" t="s">
        <v>960</v>
      </c>
      <c r="E25" s="23">
        <f t="shared" si="3"/>
        <v>0</v>
      </c>
      <c r="F25" s="267"/>
      <c r="G25" s="221"/>
      <c r="H25" s="221"/>
      <c r="I25" s="251" t="e">
        <f>+TRIM(PROPER(VLOOKUP(D25,#REF!,4,)))</f>
        <v>#REF!</v>
      </c>
      <c r="J25" s="229" t="s">
        <v>501</v>
      </c>
    </row>
    <row r="26" spans="1:10" ht="18" x14ac:dyDescent="0.3">
      <c r="A26" s="1317"/>
      <c r="B26" s="260" t="str">
        <f t="shared" si="2"/>
        <v>026</v>
      </c>
      <c r="C26" s="137" t="s">
        <v>23</v>
      </c>
      <c r="D26" s="222" t="s">
        <v>961</v>
      </c>
      <c r="E26" s="23">
        <f t="shared" si="3"/>
        <v>0</v>
      </c>
      <c r="F26" s="267"/>
      <c r="G26" s="221"/>
      <c r="H26" s="221"/>
      <c r="I26" s="251" t="e">
        <f>+TRIM(PROPER(VLOOKUP(D26,#REF!,4,)))</f>
        <v>#REF!</v>
      </c>
      <c r="J26" s="229" t="s">
        <v>501</v>
      </c>
    </row>
    <row r="27" spans="1:10" ht="18.600000000000001" thickBot="1" x14ac:dyDescent="0.35">
      <c r="A27" s="1318"/>
      <c r="B27" s="262" t="str">
        <f t="shared" si="2"/>
        <v>027</v>
      </c>
      <c r="C27" s="239" t="s">
        <v>25</v>
      </c>
      <c r="D27" s="235" t="s">
        <v>962</v>
      </c>
      <c r="E27" s="29">
        <f t="shared" si="3"/>
        <v>0</v>
      </c>
      <c r="F27" s="265"/>
      <c r="G27" s="236"/>
      <c r="H27" s="236"/>
      <c r="I27" s="250" t="e">
        <f>+TRIM(PROPER(VLOOKUP(D27,#REF!,4,)))</f>
        <v>#REF!</v>
      </c>
      <c r="J27" s="230" t="s">
        <v>501</v>
      </c>
    </row>
    <row r="28" spans="1:10" ht="6.6" customHeight="1" thickBot="1" x14ac:dyDescent="0.35">
      <c r="A28" s="248"/>
      <c r="B28" s="127"/>
      <c r="C28" s="5"/>
      <c r="D28" s="228"/>
      <c r="I28" s="209"/>
      <c r="J28" s="5"/>
    </row>
    <row r="29" spans="1:10" ht="18" x14ac:dyDescent="0.3">
      <c r="A29" s="1313" t="s">
        <v>4</v>
      </c>
      <c r="B29" s="257" t="str">
        <f t="shared" ref="B29:B39" si="4">+MID(C29,1,3)</f>
        <v>513</v>
      </c>
      <c r="C29" s="238" t="s">
        <v>73</v>
      </c>
      <c r="D29" s="240" t="s">
        <v>1007</v>
      </c>
      <c r="E29" s="27">
        <f t="shared" ref="E29:E39" si="5">+F29*G29+H29</f>
        <v>0</v>
      </c>
      <c r="F29" s="264"/>
      <c r="G29" s="233"/>
      <c r="H29" s="233"/>
      <c r="I29" s="249" t="e">
        <f>+VLOOKUP(C29,#REF!,3,)</f>
        <v>#REF!</v>
      </c>
      <c r="J29" s="237" t="s">
        <v>495</v>
      </c>
    </row>
    <row r="30" spans="1:10" ht="18" x14ac:dyDescent="0.3">
      <c r="A30" s="1314"/>
      <c r="B30" s="259" t="str">
        <f t="shared" si="4"/>
        <v>523</v>
      </c>
      <c r="C30" s="137" t="s">
        <v>85</v>
      </c>
      <c r="D30" s="222" t="s">
        <v>963</v>
      </c>
      <c r="E30" s="23">
        <f t="shared" si="5"/>
        <v>0</v>
      </c>
      <c r="F30" s="267"/>
      <c r="G30" s="221"/>
      <c r="H30" s="221"/>
      <c r="I30" s="251" t="e">
        <f>+VLOOKUP(C30,#REF!,3,)</f>
        <v>#REF!</v>
      </c>
      <c r="J30" s="229" t="s">
        <v>495</v>
      </c>
    </row>
    <row r="31" spans="1:10" ht="18" x14ac:dyDescent="0.3">
      <c r="A31" s="1314"/>
      <c r="B31" s="259" t="str">
        <f t="shared" si="4"/>
        <v>524</v>
      </c>
      <c r="C31" s="137" t="s">
        <v>87</v>
      </c>
      <c r="D31" s="222" t="s">
        <v>964</v>
      </c>
      <c r="E31" s="23">
        <f t="shared" si="5"/>
        <v>0</v>
      </c>
      <c r="F31" s="267"/>
      <c r="G31" s="221"/>
      <c r="H31" s="221"/>
      <c r="I31" s="251" t="e">
        <f>+VLOOKUP(C31,#REF!,3,)</f>
        <v>#REF!</v>
      </c>
      <c r="J31" s="229" t="s">
        <v>495</v>
      </c>
    </row>
    <row r="32" spans="1:10" ht="18" x14ac:dyDescent="0.3">
      <c r="A32" s="1314"/>
      <c r="B32" s="259" t="str">
        <f t="shared" si="4"/>
        <v>594</v>
      </c>
      <c r="C32" s="137" t="s">
        <v>137</v>
      </c>
      <c r="D32" s="222" t="s">
        <v>965</v>
      </c>
      <c r="E32" s="23">
        <f t="shared" si="5"/>
        <v>0</v>
      </c>
      <c r="F32" s="267"/>
      <c r="G32" s="221"/>
      <c r="H32" s="221"/>
      <c r="I32" s="251" t="e">
        <f>+VLOOKUP(C32,#REF!,3,)</f>
        <v>#REF!</v>
      </c>
      <c r="J32" s="229" t="s">
        <v>495</v>
      </c>
    </row>
    <row r="33" spans="1:10" ht="18" x14ac:dyDescent="0.3">
      <c r="A33" s="1314"/>
      <c r="B33" s="259" t="str">
        <f t="shared" si="4"/>
        <v>595</v>
      </c>
      <c r="C33" s="137" t="s">
        <v>139</v>
      </c>
      <c r="D33" s="222" t="s">
        <v>966</v>
      </c>
      <c r="E33" s="23">
        <f t="shared" si="5"/>
        <v>0</v>
      </c>
      <c r="F33" s="267"/>
      <c r="G33" s="221"/>
      <c r="H33" s="221"/>
      <c r="I33" s="251" t="e">
        <f>+VLOOKUP(C33,#REF!,3,)</f>
        <v>#REF!</v>
      </c>
      <c r="J33" s="229" t="s">
        <v>495</v>
      </c>
    </row>
    <row r="34" spans="1:10" ht="18" x14ac:dyDescent="0.3">
      <c r="A34" s="1314"/>
      <c r="B34" s="259" t="str">
        <f t="shared" si="4"/>
        <v>596</v>
      </c>
      <c r="C34" s="137" t="s">
        <v>141</v>
      </c>
      <c r="D34" s="222" t="s">
        <v>967</v>
      </c>
      <c r="E34" s="23">
        <f t="shared" si="5"/>
        <v>0</v>
      </c>
      <c r="F34" s="267"/>
      <c r="G34" s="221"/>
      <c r="H34" s="221"/>
      <c r="I34" s="251" t="e">
        <f>+VLOOKUP(C34,#REF!,3,)</f>
        <v>#REF!</v>
      </c>
      <c r="J34" s="229" t="s">
        <v>495</v>
      </c>
    </row>
    <row r="35" spans="1:10" ht="18" x14ac:dyDescent="0.3">
      <c r="A35" s="1314"/>
      <c r="B35" s="259" t="str">
        <f t="shared" si="4"/>
        <v>570</v>
      </c>
      <c r="C35" s="137" t="s">
        <v>125</v>
      </c>
      <c r="D35" s="222" t="s">
        <v>968</v>
      </c>
      <c r="E35" s="23">
        <f t="shared" si="5"/>
        <v>0</v>
      </c>
      <c r="F35" s="267"/>
      <c r="G35" s="221"/>
      <c r="H35" s="221"/>
      <c r="I35" s="251" t="e">
        <f>+TRIM(PROPER(VLOOKUP(D35,#REF!,4,)))</f>
        <v>#REF!</v>
      </c>
      <c r="J35" s="229" t="s">
        <v>495</v>
      </c>
    </row>
    <row r="36" spans="1:10" ht="18" x14ac:dyDescent="0.3">
      <c r="A36" s="1314"/>
      <c r="B36" s="259" t="str">
        <f t="shared" si="4"/>
        <v>578</v>
      </c>
      <c r="C36" s="137" t="s">
        <v>131</v>
      </c>
      <c r="D36" s="222" t="s">
        <v>969</v>
      </c>
      <c r="E36" s="23">
        <f t="shared" si="5"/>
        <v>0</v>
      </c>
      <c r="F36" s="267"/>
      <c r="G36" s="221"/>
      <c r="H36" s="221"/>
      <c r="I36" s="251" t="e">
        <f>+TRIM(PROPER(VLOOKUP(D36,#REF!,4,)))</f>
        <v>#REF!</v>
      </c>
      <c r="J36" s="229" t="s">
        <v>495</v>
      </c>
    </row>
    <row r="37" spans="1:10" ht="18" x14ac:dyDescent="0.3">
      <c r="A37" s="1314"/>
      <c r="B37" s="259" t="str">
        <f t="shared" si="4"/>
        <v>058</v>
      </c>
      <c r="C37" s="217" t="s">
        <v>361</v>
      </c>
      <c r="D37" s="222" t="s">
        <v>970</v>
      </c>
      <c r="E37" s="23">
        <f t="shared" si="5"/>
        <v>0</v>
      </c>
      <c r="F37" s="267"/>
      <c r="G37" s="221"/>
      <c r="H37" s="221"/>
      <c r="I37" s="251" t="e">
        <f>+TRIM(PROPER(VLOOKUP(D37,#REF!,4,)))</f>
        <v>#REF!</v>
      </c>
      <c r="J37" s="229" t="s">
        <v>495</v>
      </c>
    </row>
    <row r="38" spans="1:10" ht="18" x14ac:dyDescent="0.3">
      <c r="A38" s="1314"/>
      <c r="B38" s="259" t="str">
        <f t="shared" si="4"/>
        <v>299</v>
      </c>
      <c r="C38" s="217" t="s">
        <v>389</v>
      </c>
      <c r="D38" s="222" t="s">
        <v>971</v>
      </c>
      <c r="E38" s="23">
        <f t="shared" si="5"/>
        <v>0</v>
      </c>
      <c r="F38" s="267"/>
      <c r="G38" s="221"/>
      <c r="H38" s="221"/>
      <c r="I38" s="251" t="e">
        <f>+TRIM(PROPER(VLOOKUP(D38,#REF!,4,)))</f>
        <v>#REF!</v>
      </c>
      <c r="J38" s="229" t="s">
        <v>495</v>
      </c>
    </row>
    <row r="39" spans="1:10" ht="18.600000000000001" thickBot="1" x14ac:dyDescent="0.35">
      <c r="A39" s="1315"/>
      <c r="B39" s="258" t="str">
        <f t="shared" si="4"/>
        <v>Var</v>
      </c>
      <c r="C39" s="239" t="s">
        <v>869</v>
      </c>
      <c r="D39" s="235" t="s">
        <v>972</v>
      </c>
      <c r="E39" s="29">
        <f t="shared" si="5"/>
        <v>0</v>
      </c>
      <c r="F39" s="265"/>
      <c r="G39" s="236"/>
      <c r="H39" s="236"/>
      <c r="I39" s="250" t="e">
        <f>+VLOOKUP(D39,#REF!,4,)</f>
        <v>#REF!</v>
      </c>
      <c r="J39" s="230" t="s">
        <v>860</v>
      </c>
    </row>
    <row r="40" spans="1:10" ht="6.6" customHeight="1" thickBot="1" x14ac:dyDescent="0.35">
      <c r="A40" s="248"/>
      <c r="B40" s="127"/>
      <c r="C40" s="5"/>
      <c r="D40" s="228"/>
      <c r="I40" s="209"/>
      <c r="J40" s="5"/>
    </row>
    <row r="41" spans="1:10" ht="18" x14ac:dyDescent="0.3">
      <c r="A41" s="1313" t="s">
        <v>3</v>
      </c>
      <c r="B41" s="257" t="str">
        <f t="shared" ref="B41:B53" si="6">+MID(C41,1,3)</f>
        <v>028</v>
      </c>
      <c r="C41" s="238" t="s">
        <v>153</v>
      </c>
      <c r="D41" s="232" t="s">
        <v>973</v>
      </c>
      <c r="E41" s="27">
        <f t="shared" ref="E41:E53" si="7">+F41*G41+H41</f>
        <v>0</v>
      </c>
      <c r="F41" s="264"/>
      <c r="G41" s="233"/>
      <c r="H41" s="233"/>
      <c r="I41" s="249" t="e">
        <f>+TRIM(PROPER(VLOOKUP(D41,#REF!,4,)))</f>
        <v>#REF!</v>
      </c>
      <c r="J41" s="237" t="s">
        <v>501</v>
      </c>
    </row>
    <row r="42" spans="1:10" ht="18" x14ac:dyDescent="0.3">
      <c r="A42" s="1314"/>
      <c r="B42" s="259" t="str">
        <f t="shared" si="6"/>
        <v>225</v>
      </c>
      <c r="C42" s="137" t="s">
        <v>181</v>
      </c>
      <c r="D42" s="222" t="s">
        <v>974</v>
      </c>
      <c r="E42" s="23">
        <f t="shared" si="7"/>
        <v>0</v>
      </c>
      <c r="F42" s="267"/>
      <c r="G42" s="221"/>
      <c r="H42" s="221"/>
      <c r="I42" s="251" t="e">
        <f>+VLOOKUP(D42,#REF!,4,)</f>
        <v>#REF!</v>
      </c>
      <c r="J42" s="229" t="s">
        <v>501</v>
      </c>
    </row>
    <row r="43" spans="1:10" ht="18" x14ac:dyDescent="0.3">
      <c r="A43" s="1314"/>
      <c r="B43" s="259" t="str">
        <f t="shared" si="6"/>
        <v>505</v>
      </c>
      <c r="C43" s="137" t="s">
        <v>61</v>
      </c>
      <c r="D43" s="223" t="s">
        <v>1009</v>
      </c>
      <c r="E43" s="23">
        <f t="shared" si="7"/>
        <v>0</v>
      </c>
      <c r="F43" s="267"/>
      <c r="G43" s="221"/>
      <c r="H43" s="221"/>
      <c r="I43" s="251" t="e">
        <f>+VLOOKUP(C43,#REF!,3,)</f>
        <v>#REF!</v>
      </c>
      <c r="J43" s="229" t="s">
        <v>495</v>
      </c>
    </row>
    <row r="44" spans="1:10" ht="18" x14ac:dyDescent="0.3">
      <c r="A44" s="1314"/>
      <c r="B44" s="259" t="str">
        <f t="shared" si="6"/>
        <v>520</v>
      </c>
      <c r="C44" s="137" t="s">
        <v>79</v>
      </c>
      <c r="D44" s="222" t="s">
        <v>975</v>
      </c>
      <c r="E44" s="23">
        <f t="shared" si="7"/>
        <v>0</v>
      </c>
      <c r="F44" s="267"/>
      <c r="G44" s="221"/>
      <c r="H44" s="221"/>
      <c r="I44" s="251" t="e">
        <f>+VLOOKUP(C44,#REF!,3,)</f>
        <v>#REF!</v>
      </c>
      <c r="J44" s="229" t="s">
        <v>495</v>
      </c>
    </row>
    <row r="45" spans="1:10" ht="18" x14ac:dyDescent="0.3">
      <c r="A45" s="1314"/>
      <c r="B45" s="259" t="str">
        <f t="shared" si="6"/>
        <v>521</v>
      </c>
      <c r="C45" s="137" t="s">
        <v>81</v>
      </c>
      <c r="D45" s="222" t="s">
        <v>976</v>
      </c>
      <c r="E45" s="23">
        <f t="shared" si="7"/>
        <v>0</v>
      </c>
      <c r="F45" s="267"/>
      <c r="G45" s="221"/>
      <c r="H45" s="221"/>
      <c r="I45" s="251" t="e">
        <f>+VLOOKUP(C45,#REF!,3,)</f>
        <v>#REF!</v>
      </c>
      <c r="J45" s="229" t="s">
        <v>495</v>
      </c>
    </row>
    <row r="46" spans="1:10" ht="18" x14ac:dyDescent="0.3">
      <c r="A46" s="1314"/>
      <c r="B46" s="259" t="str">
        <f t="shared" si="6"/>
        <v>530</v>
      </c>
      <c r="C46" s="137" t="s">
        <v>93</v>
      </c>
      <c r="D46" s="222" t="s">
        <v>977</v>
      </c>
      <c r="E46" s="23">
        <f t="shared" si="7"/>
        <v>0</v>
      </c>
      <c r="F46" s="267"/>
      <c r="G46" s="221"/>
      <c r="H46" s="221"/>
      <c r="I46" s="251" t="e">
        <f>+VLOOKUP(C46,#REF!,3,)</f>
        <v>#REF!</v>
      </c>
      <c r="J46" s="229" t="s">
        <v>495</v>
      </c>
    </row>
    <row r="47" spans="1:10" ht="18" x14ac:dyDescent="0.3">
      <c r="A47" s="1314"/>
      <c r="B47" s="259" t="str">
        <f t="shared" si="6"/>
        <v>531</v>
      </c>
      <c r="C47" s="137" t="s">
        <v>95</v>
      </c>
      <c r="D47" s="222" t="s">
        <v>978</v>
      </c>
      <c r="E47" s="23">
        <f t="shared" si="7"/>
        <v>0</v>
      </c>
      <c r="F47" s="267"/>
      <c r="G47" s="221"/>
      <c r="H47" s="221"/>
      <c r="I47" s="251" t="e">
        <f>+VLOOKUP(C47,#REF!,3,)</f>
        <v>#REF!</v>
      </c>
      <c r="J47" s="229" t="s">
        <v>495</v>
      </c>
    </row>
    <row r="48" spans="1:10" ht="18" x14ac:dyDescent="0.3">
      <c r="A48" s="1314"/>
      <c r="B48" s="259" t="str">
        <f t="shared" si="6"/>
        <v>561</v>
      </c>
      <c r="C48" s="137" t="s">
        <v>117</v>
      </c>
      <c r="D48" s="222" t="s">
        <v>979</v>
      </c>
      <c r="E48" s="23">
        <f t="shared" si="7"/>
        <v>0</v>
      </c>
      <c r="F48" s="267"/>
      <c r="G48" s="221"/>
      <c r="H48" s="221"/>
      <c r="I48" s="251" t="e">
        <f>+TRIM(PROPER(VLOOKUP(D48,#REF!,4,)))</f>
        <v>#REF!</v>
      </c>
      <c r="J48" s="229" t="s">
        <v>495</v>
      </c>
    </row>
    <row r="49" spans="1:10" ht="18" x14ac:dyDescent="0.3">
      <c r="A49" s="1314"/>
      <c r="B49" s="259" t="str">
        <f t="shared" si="6"/>
        <v>562</v>
      </c>
      <c r="C49" s="137" t="s">
        <v>119</v>
      </c>
      <c r="D49" s="222" t="s">
        <v>980</v>
      </c>
      <c r="E49" s="23">
        <f t="shared" si="7"/>
        <v>0</v>
      </c>
      <c r="F49" s="267"/>
      <c r="G49" s="221"/>
      <c r="H49" s="221"/>
      <c r="I49" s="251" t="e">
        <f>+TRIM(PROPER(VLOOKUP(D49,#REF!,4,)))</f>
        <v>#REF!</v>
      </c>
      <c r="J49" s="229" t="s">
        <v>495</v>
      </c>
    </row>
    <row r="50" spans="1:10" ht="18" x14ac:dyDescent="0.3">
      <c r="A50" s="1314"/>
      <c r="B50" s="259" t="str">
        <f t="shared" si="6"/>
        <v>565</v>
      </c>
      <c r="C50" s="137" t="s">
        <v>123</v>
      </c>
      <c r="D50" s="222" t="s">
        <v>981</v>
      </c>
      <c r="E50" s="23">
        <f t="shared" si="7"/>
        <v>0</v>
      </c>
      <c r="F50" s="267"/>
      <c r="G50" s="221"/>
      <c r="H50" s="221"/>
      <c r="I50" s="251" t="e">
        <f>+TRIM(PROPER(VLOOKUP(D50,#REF!,4,)))</f>
        <v>#REF!</v>
      </c>
      <c r="J50" s="229" t="s">
        <v>495</v>
      </c>
    </row>
    <row r="51" spans="1:10" ht="18" x14ac:dyDescent="0.3">
      <c r="A51" s="1314"/>
      <c r="B51" s="259" t="str">
        <f t="shared" si="6"/>
        <v>575</v>
      </c>
      <c r="C51" s="137" t="s">
        <v>127</v>
      </c>
      <c r="D51" s="222" t="s">
        <v>982</v>
      </c>
      <c r="E51" s="23">
        <f t="shared" si="7"/>
        <v>0</v>
      </c>
      <c r="F51" s="267"/>
      <c r="G51" s="221"/>
      <c r="H51" s="221"/>
      <c r="I51" s="251" t="e">
        <f>+VLOOKUP(C51,#REF!,3,)</f>
        <v>#REF!</v>
      </c>
      <c r="J51" s="229" t="s">
        <v>495</v>
      </c>
    </row>
    <row r="52" spans="1:10" ht="18" x14ac:dyDescent="0.3">
      <c r="A52" s="1314"/>
      <c r="B52" s="259" t="str">
        <f t="shared" si="6"/>
        <v>577</v>
      </c>
      <c r="C52" s="137" t="s">
        <v>129</v>
      </c>
      <c r="D52" s="222" t="s">
        <v>983</v>
      </c>
      <c r="E52" s="23">
        <f t="shared" si="7"/>
        <v>0</v>
      </c>
      <c r="F52" s="267"/>
      <c r="G52" s="221"/>
      <c r="H52" s="221"/>
      <c r="I52" s="251" t="e">
        <f>+VLOOKUP(C52,#REF!,3,)</f>
        <v>#REF!</v>
      </c>
      <c r="J52" s="229" t="s">
        <v>495</v>
      </c>
    </row>
    <row r="53" spans="1:10" ht="18.600000000000001" thickBot="1" x14ac:dyDescent="0.35">
      <c r="A53" s="1315"/>
      <c r="B53" s="258" t="str">
        <f t="shared" si="6"/>
        <v>579</v>
      </c>
      <c r="C53" s="239" t="s">
        <v>133</v>
      </c>
      <c r="D53" s="235" t="s">
        <v>984</v>
      </c>
      <c r="E53" s="29">
        <f t="shared" si="7"/>
        <v>0</v>
      </c>
      <c r="F53" s="265"/>
      <c r="G53" s="221"/>
      <c r="H53" s="236"/>
      <c r="I53" s="250" t="e">
        <f>+VLOOKUP(C53,#REF!,3,)</f>
        <v>#REF!</v>
      </c>
      <c r="J53" s="230" t="s">
        <v>495</v>
      </c>
    </row>
    <row r="54" spans="1:10" ht="6.6" customHeight="1" thickBot="1" x14ac:dyDescent="0.35">
      <c r="A54" s="248"/>
      <c r="B54" s="127"/>
      <c r="C54" s="5"/>
      <c r="D54" s="228"/>
      <c r="I54" s="209"/>
      <c r="J54" s="5"/>
    </row>
    <row r="55" spans="1:10" ht="18" x14ac:dyDescent="0.3">
      <c r="A55" s="1313" t="s">
        <v>2</v>
      </c>
      <c r="B55" s="257" t="str">
        <f t="shared" ref="B55:B65" si="8">+MID(C55,1,3)</f>
        <v>280</v>
      </c>
      <c r="C55" s="241" t="s">
        <v>388</v>
      </c>
      <c r="D55" s="240" t="s">
        <v>1008</v>
      </c>
      <c r="E55" s="27">
        <f t="shared" ref="E55:E65" si="9">+F55*G55+H55</f>
        <v>0</v>
      </c>
      <c r="F55" s="264"/>
      <c r="G55" s="233"/>
      <c r="H55" s="233"/>
      <c r="I55" s="249" t="e">
        <f>+VLOOKUP(C55,#REF!,3,)</f>
        <v>#REF!</v>
      </c>
      <c r="J55" s="237" t="s">
        <v>495</v>
      </c>
    </row>
    <row r="56" spans="1:10" ht="18" x14ac:dyDescent="0.3">
      <c r="A56" s="1314"/>
      <c r="B56" s="259" t="str">
        <f t="shared" si="8"/>
        <v>586</v>
      </c>
      <c r="C56" s="137" t="s">
        <v>135</v>
      </c>
      <c r="D56" s="223" t="s">
        <v>1011</v>
      </c>
      <c r="E56" s="23">
        <f t="shared" si="9"/>
        <v>0</v>
      </c>
      <c r="F56" s="267"/>
      <c r="G56" s="221"/>
      <c r="H56" s="221"/>
      <c r="I56" s="251" t="e">
        <f>+VLOOKUP(C56,#REF!,3,)</f>
        <v>#REF!</v>
      </c>
      <c r="J56" s="229" t="s">
        <v>495</v>
      </c>
    </row>
    <row r="57" spans="1:10" ht="18" x14ac:dyDescent="0.3">
      <c r="A57" s="1314"/>
      <c r="B57" s="259" t="str">
        <f t="shared" si="8"/>
        <v>517</v>
      </c>
      <c r="C57" s="137" t="s">
        <v>75</v>
      </c>
      <c r="D57" s="222" t="s">
        <v>985</v>
      </c>
      <c r="E57" s="23">
        <f t="shared" si="9"/>
        <v>0</v>
      </c>
      <c r="F57" s="267"/>
      <c r="G57" s="221"/>
      <c r="H57" s="221"/>
      <c r="I57" s="251" t="e">
        <f>+TRIM(PROPER(VLOOKUP(D57,#REF!,4,)))</f>
        <v>#REF!</v>
      </c>
      <c r="J57" s="229" t="s">
        <v>495</v>
      </c>
    </row>
    <row r="58" spans="1:10" ht="18" x14ac:dyDescent="0.3">
      <c r="A58" s="1314"/>
      <c r="B58" s="259" t="str">
        <f t="shared" si="8"/>
        <v>519</v>
      </c>
      <c r="C58" s="137" t="s">
        <v>77</v>
      </c>
      <c r="D58" s="222" t="s">
        <v>986</v>
      </c>
      <c r="E58" s="23">
        <f t="shared" si="9"/>
        <v>0</v>
      </c>
      <c r="F58" s="267"/>
      <c r="G58" s="221"/>
      <c r="H58" s="221"/>
      <c r="I58" s="251" t="e">
        <f>+TRIM(PROPER(VLOOKUP(D58,#REF!,4,)))</f>
        <v>#REF!</v>
      </c>
      <c r="J58" s="229" t="s">
        <v>495</v>
      </c>
    </row>
    <row r="59" spans="1:10" ht="18" x14ac:dyDescent="0.3">
      <c r="A59" s="1314"/>
      <c r="B59" s="259" t="str">
        <f t="shared" si="8"/>
        <v>569</v>
      </c>
      <c r="C59" s="217" t="s">
        <v>429</v>
      </c>
      <c r="D59" s="222" t="s">
        <v>987</v>
      </c>
      <c r="E59" s="23">
        <f t="shared" si="9"/>
        <v>0</v>
      </c>
      <c r="F59" s="267"/>
      <c r="G59" s="221"/>
      <c r="H59" s="221"/>
      <c r="I59" s="251" t="e">
        <f>+TRIM(PROPER(VLOOKUP(D59,#REF!,4,)))</f>
        <v>#REF!</v>
      </c>
      <c r="J59" s="229" t="s">
        <v>495</v>
      </c>
    </row>
    <row r="60" spans="1:10" ht="18" x14ac:dyDescent="0.3">
      <c r="A60" s="1314"/>
      <c r="B60" s="259" t="str">
        <f t="shared" si="8"/>
        <v>548</v>
      </c>
      <c r="C60" s="137" t="s">
        <v>111</v>
      </c>
      <c r="D60" s="222" t="s">
        <v>988</v>
      </c>
      <c r="E60" s="23">
        <f t="shared" si="9"/>
        <v>0</v>
      </c>
      <c r="F60" s="267"/>
      <c r="G60" s="221"/>
      <c r="H60" s="221"/>
      <c r="I60" s="251" t="e">
        <f>+VLOOKUP(C60,#REF!,3,)</f>
        <v>#REF!</v>
      </c>
      <c r="J60" s="229" t="s">
        <v>495</v>
      </c>
    </row>
    <row r="61" spans="1:10" ht="18" x14ac:dyDescent="0.3">
      <c r="A61" s="1314"/>
      <c r="B61" s="259" t="str">
        <f t="shared" si="8"/>
        <v>559</v>
      </c>
      <c r="C61" s="137" t="s">
        <v>113</v>
      </c>
      <c r="D61" s="222" t="s">
        <v>989</v>
      </c>
      <c r="E61" s="23">
        <f t="shared" si="9"/>
        <v>0</v>
      </c>
      <c r="F61" s="267"/>
      <c r="G61" s="221"/>
      <c r="H61" s="221"/>
      <c r="I61" s="251" t="e">
        <f>+TRIM(PROPER(VLOOKUP(D61,#REF!,4,)))</f>
        <v>#REF!</v>
      </c>
      <c r="J61" s="229" t="s">
        <v>495</v>
      </c>
    </row>
    <row r="62" spans="1:10" ht="18" x14ac:dyDescent="0.3">
      <c r="A62" s="1314"/>
      <c r="B62" s="259" t="str">
        <f t="shared" si="8"/>
        <v>560</v>
      </c>
      <c r="C62" s="137" t="s">
        <v>115</v>
      </c>
      <c r="D62" s="222" t="s">
        <v>990</v>
      </c>
      <c r="E62" s="23">
        <f t="shared" si="9"/>
        <v>0</v>
      </c>
      <c r="F62" s="267"/>
      <c r="G62" s="221"/>
      <c r="H62" s="221"/>
      <c r="I62" s="251" t="e">
        <f>+TRIM(PROPER(VLOOKUP(D62,#REF!,4,)))</f>
        <v>#REF!</v>
      </c>
      <c r="J62" s="229" t="s">
        <v>495</v>
      </c>
    </row>
    <row r="63" spans="1:10" ht="18" x14ac:dyDescent="0.3">
      <c r="A63" s="1314"/>
      <c r="B63" s="259" t="str">
        <f t="shared" si="8"/>
        <v>547</v>
      </c>
      <c r="C63" s="137" t="s">
        <v>109</v>
      </c>
      <c r="D63" s="222" t="s">
        <v>991</v>
      </c>
      <c r="E63" s="23">
        <f t="shared" si="9"/>
        <v>0</v>
      </c>
      <c r="F63" s="267"/>
      <c r="G63" s="221"/>
      <c r="H63" s="221"/>
      <c r="I63" s="251" t="e">
        <f>+TRIM(PROPER(VLOOKUP(D63,#REF!,4,)))</f>
        <v>#REF!</v>
      </c>
      <c r="J63" s="229" t="s">
        <v>495</v>
      </c>
    </row>
    <row r="64" spans="1:10" ht="18" x14ac:dyDescent="0.3">
      <c r="A64" s="1314"/>
      <c r="B64" s="259" t="str">
        <f t="shared" si="8"/>
        <v>321</v>
      </c>
      <c r="C64" s="137" t="s">
        <v>39</v>
      </c>
      <c r="D64" s="222" t="s">
        <v>992</v>
      </c>
      <c r="E64" s="23">
        <f t="shared" si="9"/>
        <v>0</v>
      </c>
      <c r="F64" s="267"/>
      <c r="G64" s="221"/>
      <c r="H64" s="221"/>
      <c r="I64" s="251" t="e">
        <f>+TRIM(PROPER(VLOOKUP(D64,#REF!,4,)))</f>
        <v>#REF!</v>
      </c>
      <c r="J64" s="229" t="s">
        <v>495</v>
      </c>
    </row>
    <row r="65" spans="1:10" ht="18.600000000000001" thickBot="1" x14ac:dyDescent="0.35">
      <c r="A65" s="1315"/>
      <c r="B65" s="258" t="str">
        <f t="shared" si="8"/>
        <v>395</v>
      </c>
      <c r="C65" s="239" t="s">
        <v>45</v>
      </c>
      <c r="D65" s="235" t="s">
        <v>993</v>
      </c>
      <c r="E65" s="29">
        <f t="shared" si="9"/>
        <v>0</v>
      </c>
      <c r="F65" s="265"/>
      <c r="G65" s="236"/>
      <c r="H65" s="236"/>
      <c r="I65" s="250" t="e">
        <f>+VLOOKUP(C65,#REF!,3,)</f>
        <v>#REF!</v>
      </c>
      <c r="J65" s="230" t="s">
        <v>495</v>
      </c>
    </row>
    <row r="66" spans="1:10" ht="6.6" customHeight="1" thickBot="1" x14ac:dyDescent="0.35">
      <c r="A66" s="248"/>
      <c r="B66" s="127"/>
      <c r="C66" s="5"/>
      <c r="D66" s="228"/>
      <c r="I66" s="209"/>
      <c r="J66" s="5"/>
    </row>
    <row r="67" spans="1:10" ht="18" x14ac:dyDescent="0.3">
      <c r="A67" s="1313" t="s">
        <v>0</v>
      </c>
      <c r="B67" s="257" t="str">
        <f t="shared" ref="B67:B77" si="10">+MID(C67,1,3)</f>
        <v>501</v>
      </c>
      <c r="C67" s="238" t="s">
        <v>55</v>
      </c>
      <c r="D67" s="232" t="s">
        <v>994</v>
      </c>
      <c r="E67" s="27">
        <f t="shared" ref="E67:E77" si="11">+F67*G67+H67</f>
        <v>0</v>
      </c>
      <c r="F67" s="264"/>
      <c r="G67" s="233"/>
      <c r="H67" s="233"/>
      <c r="I67" s="249" t="e">
        <f>+VLOOKUP(C67,#REF!,3,)</f>
        <v>#REF!</v>
      </c>
      <c r="J67" s="237" t="s">
        <v>495</v>
      </c>
    </row>
    <row r="68" spans="1:10" ht="18" x14ac:dyDescent="0.3">
      <c r="A68" s="1314"/>
      <c r="B68" s="259" t="str">
        <f t="shared" si="10"/>
        <v>512</v>
      </c>
      <c r="C68" s="137" t="s">
        <v>71</v>
      </c>
      <c r="D68" s="222" t="s">
        <v>995</v>
      </c>
      <c r="E68" s="23">
        <f t="shared" si="11"/>
        <v>0</v>
      </c>
      <c r="F68" s="267"/>
      <c r="G68" s="221"/>
      <c r="H68" s="221"/>
      <c r="I68" s="251" t="e">
        <f>+VLOOKUP(C68,#REF!,3,)</f>
        <v>#REF!</v>
      </c>
      <c r="J68" s="229" t="s">
        <v>495</v>
      </c>
    </row>
    <row r="69" spans="1:10" ht="18" x14ac:dyDescent="0.3">
      <c r="A69" s="1314"/>
      <c r="B69" s="259" t="str">
        <f t="shared" si="10"/>
        <v>502</v>
      </c>
      <c r="C69" s="137" t="s">
        <v>57</v>
      </c>
      <c r="D69" s="222" t="s">
        <v>996</v>
      </c>
      <c r="E69" s="23">
        <f t="shared" si="11"/>
        <v>0</v>
      </c>
      <c r="F69" s="267"/>
      <c r="G69" s="221"/>
      <c r="H69" s="221"/>
      <c r="I69" s="251" t="e">
        <f>+VLOOKUP(C69,#REF!,3,)</f>
        <v>#REF!</v>
      </c>
      <c r="J69" s="229" t="s">
        <v>495</v>
      </c>
    </row>
    <row r="70" spans="1:10" ht="18" x14ac:dyDescent="0.3">
      <c r="A70" s="1314"/>
      <c r="B70" s="259" t="str">
        <f t="shared" si="10"/>
        <v>508</v>
      </c>
      <c r="C70" s="137" t="s">
        <v>67</v>
      </c>
      <c r="D70" s="222" t="s">
        <v>997</v>
      </c>
      <c r="E70" s="23">
        <f t="shared" si="11"/>
        <v>0</v>
      </c>
      <c r="F70" s="267"/>
      <c r="G70" s="221"/>
      <c r="H70" s="221"/>
      <c r="I70" s="251" t="e">
        <f>+TRIM(PROPER(VLOOKUP(D70,#REF!,4,)))</f>
        <v>#REF!</v>
      </c>
      <c r="J70" s="229" t="s">
        <v>495</v>
      </c>
    </row>
    <row r="71" spans="1:10" ht="18" x14ac:dyDescent="0.3">
      <c r="A71" s="1314"/>
      <c r="B71" s="259" t="str">
        <f t="shared" si="10"/>
        <v>507</v>
      </c>
      <c r="C71" s="137" t="s">
        <v>65</v>
      </c>
      <c r="D71" s="222" t="s">
        <v>998</v>
      </c>
      <c r="E71" s="23">
        <f t="shared" si="11"/>
        <v>0</v>
      </c>
      <c r="F71" s="267"/>
      <c r="G71" s="221"/>
      <c r="H71" s="221"/>
      <c r="I71" s="251" t="e">
        <f>+TRIM(PROPER(VLOOKUP(D71,#REF!,4,)))</f>
        <v>#REF!</v>
      </c>
      <c r="J71" s="229" t="s">
        <v>495</v>
      </c>
    </row>
    <row r="72" spans="1:10" ht="18" x14ac:dyDescent="0.3">
      <c r="A72" s="1314"/>
      <c r="B72" s="259" t="str">
        <f t="shared" si="10"/>
        <v>511</v>
      </c>
      <c r="C72" s="137" t="s">
        <v>69</v>
      </c>
      <c r="D72" s="222" t="s">
        <v>999</v>
      </c>
      <c r="E72" s="23">
        <f t="shared" si="11"/>
        <v>0</v>
      </c>
      <c r="F72" s="267"/>
      <c r="G72" s="221"/>
      <c r="H72" s="221"/>
      <c r="I72" s="251" t="e">
        <f>+TRIM(PROPER(VLOOKUP(D72,#REF!,4,)))</f>
        <v>#REF!</v>
      </c>
      <c r="J72" s="229" t="s">
        <v>495</v>
      </c>
    </row>
    <row r="73" spans="1:10" ht="18" x14ac:dyDescent="0.3">
      <c r="A73" s="1314"/>
      <c r="B73" s="259" t="str">
        <f t="shared" si="10"/>
        <v>057</v>
      </c>
      <c r="C73" s="137" t="s">
        <v>31</v>
      </c>
      <c r="D73" s="222" t="s">
        <v>1000</v>
      </c>
      <c r="E73" s="23">
        <f t="shared" si="11"/>
        <v>0</v>
      </c>
      <c r="F73" s="267"/>
      <c r="G73" s="221"/>
      <c r="H73" s="221"/>
      <c r="I73" s="251" t="e">
        <f>+TRIM(PROPER(VLOOKUP(D73,#REF!,4,)))</f>
        <v>#REF!</v>
      </c>
      <c r="J73" s="229" t="s">
        <v>495</v>
      </c>
    </row>
    <row r="74" spans="1:10" ht="18" x14ac:dyDescent="0.3">
      <c r="A74" s="1314"/>
      <c r="B74" s="259" t="str">
        <f t="shared" si="10"/>
        <v>229</v>
      </c>
      <c r="C74" s="137" t="s">
        <v>33</v>
      </c>
      <c r="D74" s="222" t="s">
        <v>1001</v>
      </c>
      <c r="E74" s="23">
        <f t="shared" si="11"/>
        <v>0</v>
      </c>
      <c r="F74" s="267"/>
      <c r="G74" s="221"/>
      <c r="H74" s="221"/>
      <c r="I74" s="251" t="e">
        <f>+TRIM(PROPER(VLOOKUP(D74,#REF!,4,)))</f>
        <v>#REF!</v>
      </c>
      <c r="J74" s="229" t="s">
        <v>495</v>
      </c>
    </row>
    <row r="75" spans="1:10" ht="18" x14ac:dyDescent="0.3">
      <c r="A75" s="1314"/>
      <c r="B75" s="259" t="str">
        <f t="shared" si="10"/>
        <v>499</v>
      </c>
      <c r="C75" s="137" t="s">
        <v>51</v>
      </c>
      <c r="D75" s="222" t="s">
        <v>1002</v>
      </c>
      <c r="E75" s="23">
        <f t="shared" si="11"/>
        <v>0</v>
      </c>
      <c r="F75" s="267"/>
      <c r="G75" s="221"/>
      <c r="H75" s="221"/>
      <c r="I75" s="251" t="e">
        <f>+TRIM(PROPER(VLOOKUP(D75,#REF!,4,)))</f>
        <v>#REF!</v>
      </c>
      <c r="J75" s="229" t="s">
        <v>495</v>
      </c>
    </row>
    <row r="76" spans="1:10" ht="18" x14ac:dyDescent="0.3">
      <c r="A76" s="1314"/>
      <c r="B76" s="259" t="str">
        <f t="shared" si="10"/>
        <v>546</v>
      </c>
      <c r="C76" s="137" t="s">
        <v>107</v>
      </c>
      <c r="D76" s="222" t="s">
        <v>1003</v>
      </c>
      <c r="E76" s="23">
        <f t="shared" si="11"/>
        <v>0</v>
      </c>
      <c r="F76" s="267"/>
      <c r="G76" s="221"/>
      <c r="H76" s="221"/>
      <c r="I76" s="251" t="e">
        <f>+TRIM(PROPER(VLOOKUP(D76,#REF!,4,)))</f>
        <v>#REF!</v>
      </c>
      <c r="J76" s="229" t="s">
        <v>495</v>
      </c>
    </row>
    <row r="77" spans="1:10" ht="18.600000000000001" thickBot="1" x14ac:dyDescent="0.35">
      <c r="A77" s="1315"/>
      <c r="B77" s="258" t="str">
        <f t="shared" si="10"/>
        <v>396</v>
      </c>
      <c r="C77" s="239" t="s">
        <v>47</v>
      </c>
      <c r="D77" s="235" t="s">
        <v>1004</v>
      </c>
      <c r="E77" s="29">
        <f t="shared" si="11"/>
        <v>0</v>
      </c>
      <c r="F77" s="265"/>
      <c r="G77" s="236"/>
      <c r="H77" s="236"/>
      <c r="I77" s="250" t="e">
        <f>+VLOOKUP(C77,#REF!,3,)</f>
        <v>#REF!</v>
      </c>
      <c r="J77" s="230" t="s">
        <v>495</v>
      </c>
    </row>
    <row r="78" spans="1:10" ht="6" customHeight="1" thickBot="1" x14ac:dyDescent="0.35">
      <c r="A78" s="248"/>
      <c r="B78" s="127"/>
      <c r="C78" s="5"/>
      <c r="D78" s="228"/>
      <c r="E78" s="218"/>
      <c r="I78" s="209"/>
      <c r="J78" s="5"/>
    </row>
    <row r="79" spans="1:10" ht="18" x14ac:dyDescent="0.3">
      <c r="A79" s="1313" t="s">
        <v>941</v>
      </c>
      <c r="B79" s="257" t="str">
        <f>+MID(C79,1,3)</f>
        <v>544</v>
      </c>
      <c r="C79" s="238" t="s">
        <v>105</v>
      </c>
      <c r="D79" s="240" t="s">
        <v>1012</v>
      </c>
      <c r="E79" s="27">
        <f>+F79*G79+H79</f>
        <v>0</v>
      </c>
      <c r="F79" s="264"/>
      <c r="G79" s="233"/>
      <c r="H79" s="233"/>
      <c r="I79" s="249" t="e">
        <f>+VLOOKUP(C79,#REF!,3,)</f>
        <v>#REF!</v>
      </c>
      <c r="J79" s="237" t="s">
        <v>495</v>
      </c>
    </row>
    <row r="80" spans="1:10" ht="18.600000000000001" thickBot="1" x14ac:dyDescent="0.35">
      <c r="A80" s="1315"/>
      <c r="B80" s="258" t="str">
        <f>+MID(C80,1,3)</f>
        <v>504</v>
      </c>
      <c r="C80" s="239" t="s">
        <v>59</v>
      </c>
      <c r="D80" s="242" t="s">
        <v>1010</v>
      </c>
      <c r="E80" s="29">
        <f>+F80*G80+H80</f>
        <v>0</v>
      </c>
      <c r="F80" s="265"/>
      <c r="G80" s="236"/>
      <c r="H80" s="236"/>
      <c r="I80" s="250" t="e">
        <f>+VLOOKUP(C80,#REF!,3,)</f>
        <v>#REF!</v>
      </c>
      <c r="J80" s="229" t="s">
        <v>495</v>
      </c>
    </row>
    <row r="81" spans="1:10" ht="16.2" thickBot="1" x14ac:dyDescent="0.35">
      <c r="A81" s="214"/>
      <c r="B81" s="25"/>
      <c r="C81" s="224"/>
      <c r="D81" s="225"/>
      <c r="E81" s="25"/>
      <c r="F81" s="268"/>
      <c r="G81" s="226"/>
      <c r="H81" s="226"/>
      <c r="I81" s="252"/>
      <c r="J81" s="137"/>
    </row>
    <row r="82" spans="1:10" ht="18" x14ac:dyDescent="0.3">
      <c r="A82" s="1313" t="s">
        <v>1015</v>
      </c>
      <c r="B82" s="257" t="str">
        <f t="shared" ref="B82:B87" si="12">+MID(C82,1,3)</f>
        <v>111</v>
      </c>
      <c r="C82" s="238" t="s">
        <v>927</v>
      </c>
      <c r="D82" s="240" t="s">
        <v>926</v>
      </c>
      <c r="E82" s="27">
        <f t="shared" ref="E82:E87" si="13">+F82*G82+H82</f>
        <v>0</v>
      </c>
      <c r="F82" s="264"/>
      <c r="G82" s="233"/>
      <c r="H82" s="233"/>
      <c r="I82" s="251" t="e">
        <f>+TRIM(PROPER(VLOOKUP(D82,#REF!,4,)))</f>
        <v>#REF!</v>
      </c>
      <c r="J82" s="137"/>
    </row>
    <row r="83" spans="1:10" ht="18" x14ac:dyDescent="0.3">
      <c r="A83" s="1314"/>
      <c r="B83" s="259" t="str">
        <f t="shared" si="12"/>
        <v>112</v>
      </c>
      <c r="C83" s="137" t="s">
        <v>914</v>
      </c>
      <c r="D83" s="223" t="s">
        <v>913</v>
      </c>
      <c r="E83" s="23">
        <f t="shared" si="13"/>
        <v>0</v>
      </c>
      <c r="F83" s="267"/>
      <c r="G83" s="221"/>
      <c r="H83" s="221"/>
      <c r="I83" s="251" t="e">
        <f>+TRIM(PROPER(VLOOKUP(D83,#REF!,4,)))</f>
        <v>#REF!</v>
      </c>
      <c r="J83" s="137"/>
    </row>
    <row r="84" spans="1:10" ht="18" x14ac:dyDescent="0.3">
      <c r="A84" s="1314"/>
      <c r="B84" s="259" t="str">
        <f t="shared" si="12"/>
        <v>118</v>
      </c>
      <c r="C84" s="137" t="s">
        <v>915</v>
      </c>
      <c r="D84" s="223" t="s">
        <v>1016</v>
      </c>
      <c r="E84" s="23">
        <f t="shared" si="13"/>
        <v>0</v>
      </c>
      <c r="F84" s="267"/>
      <c r="G84" s="221"/>
      <c r="H84" s="221"/>
      <c r="I84" s="251" t="e">
        <f>+TRIM(PROPER(VLOOKUP(D84,#REF!,4,)))</f>
        <v>#REF!</v>
      </c>
      <c r="J84" s="137"/>
    </row>
    <row r="85" spans="1:10" ht="18" x14ac:dyDescent="0.3">
      <c r="A85" s="1314"/>
      <c r="B85" s="259" t="str">
        <f t="shared" si="12"/>
        <v>128</v>
      </c>
      <c r="C85" s="137" t="s">
        <v>917</v>
      </c>
      <c r="D85" s="223" t="s">
        <v>916</v>
      </c>
      <c r="E85" s="23">
        <f t="shared" si="13"/>
        <v>0</v>
      </c>
      <c r="F85" s="267"/>
      <c r="G85" s="221"/>
      <c r="H85" s="221"/>
      <c r="I85" s="251" t="e">
        <f>+TRIM(PROPER(VLOOKUP(D85,#REF!,4,)))</f>
        <v>#REF!</v>
      </c>
      <c r="J85" s="137"/>
    </row>
    <row r="86" spans="1:10" ht="18" x14ac:dyDescent="0.3">
      <c r="A86" s="1314"/>
      <c r="B86" s="259" t="str">
        <f t="shared" si="12"/>
        <v>129</v>
      </c>
      <c r="C86" s="137" t="s">
        <v>929</v>
      </c>
      <c r="D86" s="223" t="s">
        <v>928</v>
      </c>
      <c r="E86" s="23">
        <f t="shared" si="13"/>
        <v>0</v>
      </c>
      <c r="F86" s="267"/>
      <c r="G86" s="221"/>
      <c r="H86" s="221"/>
      <c r="I86" s="251" t="e">
        <f>+TRIM(PROPER(VLOOKUP(D86,#REF!,4,)))</f>
        <v>#REF!</v>
      </c>
      <c r="J86" s="137"/>
    </row>
    <row r="87" spans="1:10" ht="18" x14ac:dyDescent="0.3">
      <c r="A87" s="1314"/>
      <c r="B87" s="259" t="str">
        <f t="shared" si="12"/>
        <v>184</v>
      </c>
      <c r="C87" s="137" t="s">
        <v>925</v>
      </c>
      <c r="D87" s="223" t="s">
        <v>1017</v>
      </c>
      <c r="E87" s="23">
        <f t="shared" si="13"/>
        <v>0</v>
      </c>
      <c r="F87" s="267"/>
      <c r="G87" s="221"/>
      <c r="H87" s="221"/>
      <c r="I87" s="251" t="e">
        <f>+TRIM(PROPER(VLOOKUP(D87,#REF!,4,)))</f>
        <v>#REF!</v>
      </c>
      <c r="J87" s="137"/>
    </row>
    <row r="88" spans="1:10" ht="16.2" thickBot="1" x14ac:dyDescent="0.35">
      <c r="A88" s="271"/>
      <c r="B88" s="28"/>
      <c r="C88" s="269"/>
      <c r="D88" s="272"/>
      <c r="E88" s="28"/>
      <c r="F88" s="273"/>
      <c r="G88" s="274"/>
      <c r="H88" s="274"/>
      <c r="I88" s="275"/>
      <c r="J88" s="137"/>
    </row>
    <row r="89" spans="1:10" ht="18" x14ac:dyDescent="0.3">
      <c r="A89" s="1313" t="s">
        <v>1018</v>
      </c>
      <c r="B89" s="257" t="str">
        <f t="shared" ref="B89:B116" si="14">+MID(C89,1,3)</f>
        <v>110</v>
      </c>
      <c r="C89" s="238" t="s">
        <v>930</v>
      </c>
      <c r="D89" s="240" t="s">
        <v>1019</v>
      </c>
      <c r="E89" s="27">
        <f t="shared" ref="E89:E116" si="15">+F89*G89+H89</f>
        <v>0</v>
      </c>
      <c r="F89" s="264"/>
      <c r="G89" s="233"/>
      <c r="H89" s="233"/>
      <c r="I89" s="249" t="e">
        <f>+TRIM(PROPER(VLOOKUP(D89,#REF!,4,)))</f>
        <v>#REF!</v>
      </c>
      <c r="J89" s="137"/>
    </row>
    <row r="90" spans="1:10" ht="18" x14ac:dyDescent="0.3">
      <c r="A90" s="1314"/>
      <c r="B90" s="259" t="str">
        <f t="shared" si="14"/>
        <v>113</v>
      </c>
      <c r="C90" s="137" t="s">
        <v>919</v>
      </c>
      <c r="D90" s="223" t="s">
        <v>918</v>
      </c>
      <c r="E90" s="23">
        <f t="shared" si="15"/>
        <v>0</v>
      </c>
      <c r="F90" s="267"/>
      <c r="G90" s="221"/>
      <c r="H90" s="221"/>
      <c r="I90" s="251" t="e">
        <f>+TRIM(PROPER(VLOOKUP(D90,#REF!,4,)))</f>
        <v>#REF!</v>
      </c>
      <c r="J90" s="137"/>
    </row>
    <row r="91" spans="1:10" ht="18" x14ac:dyDescent="0.3">
      <c r="A91" s="1314"/>
      <c r="B91" s="259" t="str">
        <f t="shared" si="14"/>
        <v>114</v>
      </c>
      <c r="C91" s="137" t="s">
        <v>921</v>
      </c>
      <c r="D91" s="223" t="s">
        <v>920</v>
      </c>
      <c r="E91" s="23">
        <f t="shared" si="15"/>
        <v>0</v>
      </c>
      <c r="F91" s="267"/>
      <c r="G91" s="221"/>
      <c r="H91" s="221"/>
      <c r="I91" s="251" t="e">
        <f>+TRIM(PROPER(VLOOKUP(D91,#REF!,4,)))</f>
        <v>#REF!</v>
      </c>
      <c r="J91" s="137"/>
    </row>
    <row r="92" spans="1:10" ht="18" x14ac:dyDescent="0.3">
      <c r="A92" s="1314"/>
      <c r="B92" s="259" t="str">
        <f t="shared" si="14"/>
        <v>115</v>
      </c>
      <c r="C92" s="137" t="s">
        <v>923</v>
      </c>
      <c r="D92" s="223" t="s">
        <v>922</v>
      </c>
      <c r="E92" s="23">
        <f t="shared" si="15"/>
        <v>0</v>
      </c>
      <c r="F92" s="223"/>
      <c r="G92" s="223"/>
      <c r="H92" s="221"/>
      <c r="I92" s="251" t="e">
        <f>+TRIM(PROPER(VLOOKUP(D92,#REF!,4,)))</f>
        <v>#REF!</v>
      </c>
      <c r="J92" s="137"/>
    </row>
    <row r="93" spans="1:10" ht="18" x14ac:dyDescent="0.3">
      <c r="A93" s="1314"/>
      <c r="B93" s="259" t="str">
        <f t="shared" si="14"/>
        <v>126</v>
      </c>
      <c r="C93" s="137" t="s">
        <v>924</v>
      </c>
      <c r="D93" s="223" t="s">
        <v>1020</v>
      </c>
      <c r="E93" s="23">
        <f t="shared" si="15"/>
        <v>0</v>
      </c>
      <c r="F93" s="223"/>
      <c r="G93" s="223"/>
      <c r="H93" s="221"/>
      <c r="I93" s="251" t="e">
        <f>+TRIM(PROPER(VLOOKUP(D93,#REF!,4,)))</f>
        <v>#REF!</v>
      </c>
      <c r="J93" s="137"/>
    </row>
    <row r="94" spans="1:10" ht="18.600000000000001" thickBot="1" x14ac:dyDescent="0.35">
      <c r="A94" s="1315"/>
      <c r="B94" s="258" t="str">
        <f t="shared" si="14"/>
        <v>CK</v>
      </c>
      <c r="C94" s="239" t="s">
        <v>931</v>
      </c>
      <c r="D94" s="242" t="s">
        <v>1021</v>
      </c>
      <c r="E94" s="29">
        <f t="shared" si="15"/>
        <v>0</v>
      </c>
      <c r="F94" s="242"/>
      <c r="G94" s="242"/>
      <c r="H94" s="236"/>
      <c r="I94" s="250" t="e">
        <f>+TRIM(PROPER(VLOOKUP(D94,#REF!,4,)))</f>
        <v>#REF!</v>
      </c>
      <c r="J94" s="137"/>
    </row>
    <row r="95" spans="1:10" ht="16.2" thickBot="1" x14ac:dyDescent="0.35">
      <c r="A95" s="271"/>
      <c r="B95" s="218"/>
      <c r="C95" s="270"/>
      <c r="D95" s="276"/>
      <c r="E95" s="218"/>
      <c r="F95" s="277"/>
      <c r="G95" s="278"/>
      <c r="H95" s="278"/>
      <c r="I95" s="279"/>
      <c r="J95" s="137"/>
    </row>
    <row r="96" spans="1:10" ht="18" x14ac:dyDescent="0.3">
      <c r="A96" s="1316" t="s">
        <v>1022</v>
      </c>
      <c r="B96" s="261" t="str">
        <f t="shared" si="14"/>
        <v>862</v>
      </c>
      <c r="C96" s="238">
        <v>862</v>
      </c>
      <c r="D96" s="232" t="s">
        <v>871</v>
      </c>
      <c r="E96" s="27">
        <f t="shared" si="15"/>
        <v>0</v>
      </c>
      <c r="F96" s="264"/>
      <c r="G96" s="233"/>
      <c r="H96" s="233"/>
      <c r="I96" s="249" t="e">
        <f>+TRIM(PROPER(VLOOKUP(D96,#REF!,4,)))</f>
        <v>#REF!</v>
      </c>
      <c r="J96" s="229"/>
    </row>
    <row r="97" spans="1:10" ht="18" x14ac:dyDescent="0.3">
      <c r="A97" s="1317"/>
      <c r="B97" s="260" t="str">
        <f t="shared" si="14"/>
        <v>859</v>
      </c>
      <c r="C97" s="137">
        <v>859</v>
      </c>
      <c r="D97" s="222" t="s">
        <v>874</v>
      </c>
      <c r="E97" s="23">
        <f t="shared" si="15"/>
        <v>0</v>
      </c>
      <c r="F97" s="267"/>
      <c r="G97" s="221"/>
      <c r="H97" s="221"/>
      <c r="I97" s="251" t="e">
        <f>+TRIM(PROPER(VLOOKUP(D97,#REF!,4,)))</f>
        <v>#REF!</v>
      </c>
      <c r="J97" s="229"/>
    </row>
    <row r="98" spans="1:10" ht="18" x14ac:dyDescent="0.3">
      <c r="A98" s="1317"/>
      <c r="B98" s="260" t="str">
        <f t="shared" si="14"/>
        <v>56</v>
      </c>
      <c r="C98" s="137">
        <v>56</v>
      </c>
      <c r="D98" s="222" t="s">
        <v>872</v>
      </c>
      <c r="E98" s="23">
        <f t="shared" si="15"/>
        <v>0</v>
      </c>
      <c r="F98" s="267"/>
      <c r="G98" s="221"/>
      <c r="H98" s="221"/>
      <c r="I98" s="251" t="e">
        <f>+TRIM(PROPER(VLOOKUP(D98,#REF!,4,)))</f>
        <v>#REF!</v>
      </c>
      <c r="J98" s="229"/>
    </row>
    <row r="99" spans="1:10" ht="18" x14ac:dyDescent="0.3">
      <c r="A99" s="1317"/>
      <c r="B99" s="260" t="str">
        <f t="shared" si="14"/>
        <v>722</v>
      </c>
      <c r="C99" s="137">
        <v>722</v>
      </c>
      <c r="D99" s="222" t="s">
        <v>873</v>
      </c>
      <c r="E99" s="23">
        <f t="shared" si="15"/>
        <v>0</v>
      </c>
      <c r="F99" s="267"/>
      <c r="G99" s="221"/>
      <c r="H99" s="221"/>
      <c r="I99" s="251" t="e">
        <f>+TRIM(PROPER(VLOOKUP(D99,#REF!,4,)))</f>
        <v>#REF!</v>
      </c>
      <c r="J99" s="229"/>
    </row>
    <row r="100" spans="1:10" ht="18" x14ac:dyDescent="0.3">
      <c r="A100" s="1317"/>
      <c r="B100" s="260" t="str">
        <f t="shared" si="14"/>
        <v>54</v>
      </c>
      <c r="C100" s="137">
        <v>54</v>
      </c>
      <c r="D100" s="222" t="s">
        <v>893</v>
      </c>
      <c r="E100" s="23">
        <f t="shared" si="15"/>
        <v>0</v>
      </c>
      <c r="F100" s="267"/>
      <c r="G100" s="221"/>
      <c r="H100" s="221"/>
      <c r="I100" s="251" t="e">
        <f>+TRIM(PROPER(VLOOKUP(D100,#REF!,4,)))</f>
        <v>#REF!</v>
      </c>
      <c r="J100" s="229"/>
    </row>
    <row r="101" spans="1:10" ht="18" x14ac:dyDescent="0.3">
      <c r="A101" s="1317"/>
      <c r="B101" s="260" t="str">
        <f t="shared" si="14"/>
        <v>56</v>
      </c>
      <c r="C101" s="137">
        <v>56</v>
      </c>
      <c r="D101" s="222" t="s">
        <v>875</v>
      </c>
      <c r="E101" s="23">
        <f t="shared" si="15"/>
        <v>0</v>
      </c>
      <c r="F101" s="267"/>
      <c r="G101" s="221"/>
      <c r="H101" s="221"/>
      <c r="I101" s="251" t="e">
        <f>+TRIM(PROPER(VLOOKUP(D101,#REF!,4,)))</f>
        <v>#REF!</v>
      </c>
      <c r="J101" s="229"/>
    </row>
    <row r="102" spans="1:10" ht="18" x14ac:dyDescent="0.3">
      <c r="A102" s="1317"/>
      <c r="B102" s="260" t="str">
        <f t="shared" si="14"/>
        <v>719</v>
      </c>
      <c r="C102" s="137">
        <v>719</v>
      </c>
      <c r="D102" s="222" t="s">
        <v>876</v>
      </c>
      <c r="E102" s="23">
        <f t="shared" si="15"/>
        <v>0</v>
      </c>
      <c r="F102" s="267"/>
      <c r="G102" s="221"/>
      <c r="H102" s="221"/>
      <c r="I102" s="251" t="e">
        <f>+TRIM(PROPER(VLOOKUP(D102,#REF!,4,)))</f>
        <v>#REF!</v>
      </c>
      <c r="J102" s="229"/>
    </row>
    <row r="103" spans="1:10" ht="18" x14ac:dyDescent="0.3">
      <c r="A103" s="1317"/>
      <c r="B103" s="260" t="str">
        <f t="shared" si="14"/>
        <v>708</v>
      </c>
      <c r="C103" s="137">
        <v>708</v>
      </c>
      <c r="D103" s="222" t="s">
        <v>1023</v>
      </c>
      <c r="E103" s="23">
        <f t="shared" si="15"/>
        <v>0</v>
      </c>
      <c r="F103" s="267"/>
      <c r="G103" s="221"/>
      <c r="H103" s="221"/>
      <c r="I103" s="251" t="e">
        <f>+TRIM(PROPER(VLOOKUP(D103,#REF!,4,)))</f>
        <v>#REF!</v>
      </c>
      <c r="J103" s="229"/>
    </row>
    <row r="104" spans="1:10" ht="18" x14ac:dyDescent="0.3">
      <c r="A104" s="1317"/>
      <c r="B104" s="260" t="str">
        <f t="shared" si="14"/>
        <v>803</v>
      </c>
      <c r="C104" s="137">
        <v>803</v>
      </c>
      <c r="D104" s="222" t="s">
        <v>877</v>
      </c>
      <c r="E104" s="23">
        <f t="shared" si="15"/>
        <v>0</v>
      </c>
      <c r="F104" s="267"/>
      <c r="G104" s="221"/>
      <c r="H104" s="221"/>
      <c r="I104" s="251" t="e">
        <f>+TRIM(PROPER(VLOOKUP(D104,#REF!,4,)))</f>
        <v>#REF!</v>
      </c>
      <c r="J104" s="229"/>
    </row>
    <row r="105" spans="1:10" ht="18" x14ac:dyDescent="0.3">
      <c r="A105" s="1317"/>
      <c r="B105" s="260" t="str">
        <f t="shared" si="14"/>
        <v>702</v>
      </c>
      <c r="C105" s="137">
        <v>702</v>
      </c>
      <c r="D105" s="222" t="s">
        <v>900</v>
      </c>
      <c r="E105" s="23">
        <f t="shared" si="15"/>
        <v>0</v>
      </c>
      <c r="F105" s="267"/>
      <c r="G105" s="221"/>
      <c r="H105" s="221"/>
      <c r="I105" s="251" t="e">
        <f>+TRIM(PROPER(VLOOKUP(D105,#REF!,4,)))</f>
        <v>#REF!</v>
      </c>
      <c r="J105" s="229"/>
    </row>
    <row r="106" spans="1:10" ht="18" x14ac:dyDescent="0.3">
      <c r="A106" s="1317"/>
      <c r="B106" s="260" t="str">
        <f t="shared" si="14"/>
        <v>707</v>
      </c>
      <c r="C106" s="137">
        <v>707</v>
      </c>
      <c r="D106" s="222" t="s">
        <v>895</v>
      </c>
      <c r="E106" s="23">
        <f t="shared" si="15"/>
        <v>0</v>
      </c>
      <c r="F106" s="267"/>
      <c r="G106" s="221"/>
      <c r="H106" s="221"/>
      <c r="I106" s="251" t="e">
        <f>+TRIM(PROPER(VLOOKUP(D106,#REF!,4,)))</f>
        <v>#REF!</v>
      </c>
      <c r="J106" s="229"/>
    </row>
    <row r="107" spans="1:10" ht="18" x14ac:dyDescent="0.3">
      <c r="A107" s="1317"/>
      <c r="B107" s="260" t="str">
        <f t="shared" si="14"/>
        <v>97</v>
      </c>
      <c r="C107" s="137">
        <v>97</v>
      </c>
      <c r="D107" s="222" t="s">
        <v>894</v>
      </c>
      <c r="E107" s="23">
        <f t="shared" si="15"/>
        <v>0</v>
      </c>
      <c r="F107" s="267"/>
      <c r="G107" s="221"/>
      <c r="H107" s="221"/>
      <c r="I107" s="251" t="e">
        <f>+TRIM(PROPER(VLOOKUP(D107,#REF!,4,)))</f>
        <v>#REF!</v>
      </c>
      <c r="J107" s="229"/>
    </row>
    <row r="108" spans="1:10" ht="18" x14ac:dyDescent="0.3">
      <c r="A108" s="1317"/>
      <c r="B108" s="260" t="str">
        <f t="shared" si="14"/>
        <v>701</v>
      </c>
      <c r="C108" s="137">
        <v>701</v>
      </c>
      <c r="D108" s="222" t="s">
        <v>901</v>
      </c>
      <c r="E108" s="23">
        <f t="shared" si="15"/>
        <v>0</v>
      </c>
      <c r="F108" s="267"/>
      <c r="G108" s="221"/>
      <c r="H108" s="221"/>
      <c r="I108" s="251" t="e">
        <f>+TRIM(PROPER(VLOOKUP(D108,#REF!,4,)))</f>
        <v>#REF!</v>
      </c>
      <c r="J108" s="229"/>
    </row>
    <row r="109" spans="1:10" ht="18.600000000000001" thickBot="1" x14ac:dyDescent="0.35">
      <c r="A109" s="1318"/>
      <c r="B109" s="262" t="str">
        <f t="shared" si="14"/>
        <v>710</v>
      </c>
      <c r="C109" s="239">
        <v>710</v>
      </c>
      <c r="D109" s="235" t="s">
        <v>878</v>
      </c>
      <c r="E109" s="29">
        <f t="shared" si="15"/>
        <v>0</v>
      </c>
      <c r="F109" s="265"/>
      <c r="G109" s="236"/>
      <c r="H109" s="236"/>
      <c r="I109" s="250" t="e">
        <f>+TRIM(PROPER(VLOOKUP(D109,#REF!,4,)))</f>
        <v>#REF!</v>
      </c>
      <c r="J109" s="229"/>
    </row>
    <row r="110" spans="1:10" ht="16.2" thickBot="1" x14ac:dyDescent="0.35">
      <c r="A110" s="271"/>
      <c r="B110" s="218"/>
      <c r="C110" s="270"/>
      <c r="D110" s="276"/>
      <c r="E110" s="218"/>
      <c r="F110" s="277"/>
      <c r="G110" s="278"/>
      <c r="H110" s="278"/>
      <c r="I110" s="279"/>
      <c r="J110" s="137"/>
    </row>
    <row r="111" spans="1:10" ht="18" x14ac:dyDescent="0.3">
      <c r="A111" s="1319" t="s">
        <v>1034</v>
      </c>
      <c r="B111" s="261" t="str">
        <f t="shared" si="14"/>
        <v>723</v>
      </c>
      <c r="C111" s="284">
        <v>723</v>
      </c>
      <c r="D111" s="285" t="s">
        <v>902</v>
      </c>
      <c r="E111" s="286">
        <f t="shared" si="15"/>
        <v>0</v>
      </c>
      <c r="F111" s="284"/>
      <c r="G111" s="284"/>
      <c r="H111" s="284"/>
      <c r="I111" s="249" t="e">
        <f>+TRIM(PROPER(VLOOKUP(D111,#REF!,4,)))</f>
        <v>#REF!</v>
      </c>
      <c r="J111" s="229"/>
    </row>
    <row r="112" spans="1:10" ht="18" x14ac:dyDescent="0.3">
      <c r="A112" s="1320"/>
      <c r="B112" s="260" t="str">
        <f t="shared" si="14"/>
        <v>864</v>
      </c>
      <c r="C112" s="215">
        <v>864</v>
      </c>
      <c r="D112" s="253" t="s">
        <v>879</v>
      </c>
      <c r="E112" s="219">
        <f t="shared" si="15"/>
        <v>0</v>
      </c>
      <c r="F112" s="215"/>
      <c r="G112" s="215"/>
      <c r="H112" s="215"/>
      <c r="I112" s="251" t="e">
        <f>+TRIM(PROPER(VLOOKUP(D112,#REF!,4,)))</f>
        <v>#REF!</v>
      </c>
      <c r="J112" s="229"/>
    </row>
    <row r="113" spans="1:10" ht="18" x14ac:dyDescent="0.3">
      <c r="A113" s="1320"/>
      <c r="B113" s="260" t="str">
        <f t="shared" si="14"/>
        <v>724</v>
      </c>
      <c r="C113" s="215">
        <v>724</v>
      </c>
      <c r="D113" s="253" t="s">
        <v>903</v>
      </c>
      <c r="E113" s="219">
        <f t="shared" si="15"/>
        <v>0</v>
      </c>
      <c r="F113" s="215"/>
      <c r="G113" s="215"/>
      <c r="H113" s="215"/>
      <c r="I113" s="251" t="e">
        <f>+TRIM(PROPER(VLOOKUP(D113,#REF!,4,)))</f>
        <v>#REF!</v>
      </c>
      <c r="J113" s="229"/>
    </row>
    <row r="114" spans="1:10" ht="18" x14ac:dyDescent="0.3">
      <c r="A114" s="1320"/>
      <c r="B114" s="260" t="str">
        <f t="shared" si="14"/>
        <v>802</v>
      </c>
      <c r="C114" s="215" t="s">
        <v>881</v>
      </c>
      <c r="D114" s="253" t="s">
        <v>880</v>
      </c>
      <c r="E114" s="219">
        <f t="shared" si="15"/>
        <v>0</v>
      </c>
      <c r="F114" s="215"/>
      <c r="G114" s="215"/>
      <c r="H114" s="215"/>
      <c r="I114" s="251" t="e">
        <f>+TRIM(PROPER(VLOOKUP(D114,#REF!,4,)))</f>
        <v>#REF!</v>
      </c>
      <c r="J114" s="229"/>
    </row>
    <row r="115" spans="1:10" ht="18" x14ac:dyDescent="0.3">
      <c r="A115" s="1320"/>
      <c r="B115" s="260" t="str">
        <f t="shared" si="14"/>
        <v>99</v>
      </c>
      <c r="C115" s="215">
        <v>99</v>
      </c>
      <c r="D115" s="253" t="s">
        <v>1035</v>
      </c>
      <c r="E115" s="219">
        <f t="shared" si="15"/>
        <v>0</v>
      </c>
      <c r="F115" s="215"/>
      <c r="G115" s="215"/>
      <c r="H115" s="215"/>
      <c r="I115" s="251" t="e">
        <f>+TRIM(PROPER(VLOOKUP(D115,#REF!,4,)))</f>
        <v>#REF!</v>
      </c>
      <c r="J115" s="229"/>
    </row>
    <row r="116" spans="1:10" ht="18.600000000000001" thickBot="1" x14ac:dyDescent="0.35">
      <c r="A116" s="1321"/>
      <c r="B116" s="262" t="str">
        <f t="shared" si="14"/>
        <v>732</v>
      </c>
      <c r="C116" s="287">
        <v>732</v>
      </c>
      <c r="D116" s="288" t="s">
        <v>1033</v>
      </c>
      <c r="E116" s="289">
        <f t="shared" si="15"/>
        <v>0</v>
      </c>
      <c r="F116" s="287"/>
      <c r="G116" s="287"/>
      <c r="H116" s="287"/>
      <c r="I116" s="250" t="e">
        <f>+TRIM(PROPER(VLOOKUP(D116,#REF!,4,)))</f>
        <v>#REF!</v>
      </c>
      <c r="J116" s="229"/>
    </row>
    <row r="117" spans="1:10" ht="16.2" thickBot="1" x14ac:dyDescent="0.35">
      <c r="A117" s="282"/>
      <c r="B117" s="281"/>
      <c r="C117" s="224"/>
      <c r="D117" s="225"/>
      <c r="E117" s="25"/>
      <c r="F117" s="268"/>
      <c r="G117" s="226"/>
      <c r="H117" s="226"/>
      <c r="I117" s="283"/>
      <c r="J117" s="137"/>
    </row>
    <row r="118" spans="1:10" ht="18.600000000000001" thickBot="1" x14ac:dyDescent="0.35">
      <c r="A118" s="1316" t="s">
        <v>755</v>
      </c>
      <c r="B118" s="280" t="str">
        <f t="shared" ref="B118:B137" si="16">+MID(C118,1,3)</f>
        <v>726</v>
      </c>
      <c r="C118" s="238">
        <v>726</v>
      </c>
      <c r="D118" s="232" t="s">
        <v>904</v>
      </c>
      <c r="E118" s="27">
        <f t="shared" ref="E118:E150" si="17">+F118*G118+H118</f>
        <v>0</v>
      </c>
      <c r="F118" s="264"/>
      <c r="G118" s="233"/>
      <c r="H118" s="233"/>
      <c r="I118" s="249" t="e">
        <f>+TRIM(PROPER(VLOOKUP(D118,#REF!,4,)))</f>
        <v>#REF!</v>
      </c>
      <c r="J118" s="137"/>
    </row>
    <row r="119" spans="1:10" ht="18.600000000000001" thickBot="1" x14ac:dyDescent="0.35">
      <c r="A119" s="1317"/>
      <c r="B119" s="258" t="str">
        <f t="shared" si="16"/>
        <v>700</v>
      </c>
      <c r="C119" s="137">
        <v>700</v>
      </c>
      <c r="D119" s="222" t="s">
        <v>870</v>
      </c>
      <c r="E119" s="23">
        <f t="shared" si="17"/>
        <v>0</v>
      </c>
      <c r="F119" s="267"/>
      <c r="G119" s="221"/>
      <c r="H119" s="221"/>
      <c r="I119" s="251" t="e">
        <f>+TRIM(PROPER(VLOOKUP(D119,#REF!,4,)))</f>
        <v>#REF!</v>
      </c>
      <c r="J119" s="137"/>
    </row>
    <row r="120" spans="1:10" ht="18.600000000000001" thickBot="1" x14ac:dyDescent="0.35">
      <c r="A120" s="1317"/>
      <c r="B120" s="258" t="str">
        <f t="shared" si="16"/>
        <v>615</v>
      </c>
      <c r="C120" s="137">
        <v>615</v>
      </c>
      <c r="D120" s="222" t="s">
        <v>882</v>
      </c>
      <c r="E120" s="23">
        <f t="shared" si="17"/>
        <v>0</v>
      </c>
      <c r="F120" s="267"/>
      <c r="G120" s="221"/>
      <c r="H120" s="221"/>
      <c r="I120" s="251" t="e">
        <f>+TRIM(PROPER(VLOOKUP(D120,#REF!,4,)))</f>
        <v>#REF!</v>
      </c>
      <c r="J120" s="137"/>
    </row>
    <row r="121" spans="1:10" ht="18.600000000000001" thickBot="1" x14ac:dyDescent="0.35">
      <c r="A121" s="1317"/>
      <c r="B121" s="258" t="str">
        <f t="shared" si="16"/>
        <v>817</v>
      </c>
      <c r="C121" s="137">
        <v>817</v>
      </c>
      <c r="D121" s="222" t="s">
        <v>883</v>
      </c>
      <c r="E121" s="23">
        <f t="shared" si="17"/>
        <v>0</v>
      </c>
      <c r="F121" s="267"/>
      <c r="G121" s="221"/>
      <c r="H121" s="221"/>
      <c r="I121" s="251" t="e">
        <f>+TRIM(PROPER(VLOOKUP(D121,#REF!,4,)))</f>
        <v>#REF!</v>
      </c>
      <c r="J121" s="137"/>
    </row>
    <row r="122" spans="1:10" ht="18.600000000000001" thickBot="1" x14ac:dyDescent="0.35">
      <c r="A122" s="1317"/>
      <c r="B122" s="258" t="str">
        <f t="shared" si="16"/>
        <v>857</v>
      </c>
      <c r="C122" s="137">
        <v>857</v>
      </c>
      <c r="D122" s="222" t="s">
        <v>884</v>
      </c>
      <c r="E122" s="23">
        <f t="shared" si="17"/>
        <v>0</v>
      </c>
      <c r="F122" s="267"/>
      <c r="G122" s="221"/>
      <c r="H122" s="221"/>
      <c r="I122" s="251" t="e">
        <f>+TRIM(PROPER(VLOOKUP(D122,#REF!,4,)))</f>
        <v>#REF!</v>
      </c>
      <c r="J122" s="137"/>
    </row>
    <row r="123" spans="1:10" ht="18.600000000000001" thickBot="1" x14ac:dyDescent="0.35">
      <c r="A123" s="1317"/>
      <c r="B123" s="258" t="str">
        <f t="shared" si="16"/>
        <v>858</v>
      </c>
      <c r="C123" s="137">
        <v>858</v>
      </c>
      <c r="D123" s="222" t="s">
        <v>885</v>
      </c>
      <c r="E123" s="23">
        <f t="shared" si="17"/>
        <v>0</v>
      </c>
      <c r="F123" s="267"/>
      <c r="G123" s="221"/>
      <c r="H123" s="221"/>
      <c r="I123" s="251" t="e">
        <f>+TRIM(PROPER(VLOOKUP(D123,#REF!,4,)))</f>
        <v>#REF!</v>
      </c>
      <c r="J123" s="137"/>
    </row>
    <row r="124" spans="1:10" ht="18.600000000000001" thickBot="1" x14ac:dyDescent="0.35">
      <c r="A124" s="1317"/>
      <c r="B124" s="258" t="str">
        <f t="shared" si="16"/>
        <v>53</v>
      </c>
      <c r="C124" s="137">
        <v>53</v>
      </c>
      <c r="D124" s="222" t="s">
        <v>896</v>
      </c>
      <c r="E124" s="23">
        <f t="shared" si="17"/>
        <v>0</v>
      </c>
      <c r="F124" s="267"/>
      <c r="G124" s="221"/>
      <c r="H124" s="221"/>
      <c r="I124" s="251" t="e">
        <f>+TRIM(PROPER(VLOOKUP(D124,#REF!,4,)))</f>
        <v>#REF!</v>
      </c>
      <c r="J124" s="137"/>
    </row>
    <row r="125" spans="1:10" ht="18.600000000000001" thickBot="1" x14ac:dyDescent="0.35">
      <c r="A125" s="1317"/>
      <c r="B125" s="258" t="str">
        <f t="shared" si="16"/>
        <v>852</v>
      </c>
      <c r="C125" s="137">
        <v>852</v>
      </c>
      <c r="D125" s="222" t="s">
        <v>897</v>
      </c>
      <c r="E125" s="23">
        <f t="shared" si="17"/>
        <v>0</v>
      </c>
      <c r="F125" s="267"/>
      <c r="G125" s="221"/>
      <c r="H125" s="221"/>
      <c r="I125" s="251" t="e">
        <f>+TRIM(PROPER(VLOOKUP(D125,#REF!,4,)))</f>
        <v>#REF!</v>
      </c>
      <c r="J125" s="137"/>
    </row>
    <row r="126" spans="1:10" ht="18.600000000000001" thickBot="1" x14ac:dyDescent="0.35">
      <c r="A126" s="1317"/>
      <c r="B126" s="258" t="str">
        <f t="shared" si="16"/>
        <v>856</v>
      </c>
      <c r="C126" s="137">
        <v>856</v>
      </c>
      <c r="D126" s="222" t="s">
        <v>886</v>
      </c>
      <c r="E126" s="23">
        <f t="shared" si="17"/>
        <v>0</v>
      </c>
      <c r="F126" s="267"/>
      <c r="G126" s="221"/>
      <c r="H126" s="221"/>
      <c r="I126" s="251" t="e">
        <f>+TRIM(PROPER(VLOOKUP(D126,#REF!,4,)))</f>
        <v>#REF!</v>
      </c>
      <c r="J126" s="137"/>
    </row>
    <row r="127" spans="1:10" ht="18.600000000000001" thickBot="1" x14ac:dyDescent="0.35">
      <c r="A127" s="1317"/>
      <c r="B127" s="258" t="str">
        <f t="shared" si="16"/>
        <v>730</v>
      </c>
      <c r="C127" s="137">
        <v>730</v>
      </c>
      <c r="D127" s="222" t="s">
        <v>1024</v>
      </c>
      <c r="E127" s="23">
        <f t="shared" si="17"/>
        <v>0</v>
      </c>
      <c r="F127" s="267"/>
      <c r="G127" s="221"/>
      <c r="H127" s="221"/>
      <c r="I127" s="251" t="e">
        <f>+TRIM(PROPER(VLOOKUP(D127,#REF!,4,)))</f>
        <v>#REF!</v>
      </c>
      <c r="J127" s="137"/>
    </row>
    <row r="128" spans="1:10" ht="18.600000000000001" thickBot="1" x14ac:dyDescent="0.35">
      <c r="A128" s="1317"/>
      <c r="B128" s="258" t="str">
        <f t="shared" si="16"/>
        <v>800</v>
      </c>
      <c r="C128" s="137">
        <v>800</v>
      </c>
      <c r="D128" s="222" t="s">
        <v>898</v>
      </c>
      <c r="E128" s="23">
        <f t="shared" si="17"/>
        <v>0</v>
      </c>
      <c r="F128" s="267"/>
      <c r="G128" s="221"/>
      <c r="H128" s="221"/>
      <c r="I128" s="251" t="e">
        <f>+TRIM(PROPER(VLOOKUP(D128,#REF!,4,)))</f>
        <v>#REF!</v>
      </c>
      <c r="J128" s="137"/>
    </row>
    <row r="129" spans="1:10" ht="18.600000000000001" thickBot="1" x14ac:dyDescent="0.35">
      <c r="A129" s="1317"/>
      <c r="B129" s="258" t="str">
        <f t="shared" si="16"/>
        <v>801</v>
      </c>
      <c r="C129" s="137">
        <v>801</v>
      </c>
      <c r="D129" s="222" t="s">
        <v>899</v>
      </c>
      <c r="E129" s="23">
        <f t="shared" si="17"/>
        <v>0</v>
      </c>
      <c r="F129" s="267"/>
      <c r="G129" s="221"/>
      <c r="H129" s="221"/>
      <c r="I129" s="251" t="e">
        <f>+TRIM(PROPER(VLOOKUP(D129,#REF!,4,)))</f>
        <v>#REF!</v>
      </c>
      <c r="J129" s="137"/>
    </row>
    <row r="130" spans="1:10" ht="18.600000000000001" thickBot="1" x14ac:dyDescent="0.35">
      <c r="A130" s="1317"/>
      <c r="B130" s="258" t="str">
        <f t="shared" si="16"/>
        <v>731</v>
      </c>
      <c r="C130" s="137">
        <v>731</v>
      </c>
      <c r="D130" s="222" t="s">
        <v>1025</v>
      </c>
      <c r="E130" s="23">
        <f t="shared" si="17"/>
        <v>0</v>
      </c>
      <c r="F130" s="267"/>
      <c r="G130" s="221"/>
      <c r="H130" s="221"/>
      <c r="I130" s="251" t="e">
        <f>+TRIM(PROPER(VLOOKUP(D130,#REF!,4,)))</f>
        <v>#REF!</v>
      </c>
      <c r="J130" s="137"/>
    </row>
    <row r="131" spans="1:10" ht="18.600000000000001" thickBot="1" x14ac:dyDescent="0.35">
      <c r="A131" s="1318"/>
      <c r="B131" s="258" t="str">
        <f t="shared" si="16"/>
        <v>617</v>
      </c>
      <c r="C131" s="239">
        <v>617</v>
      </c>
      <c r="D131" s="235" t="s">
        <v>905</v>
      </c>
      <c r="E131" s="29">
        <f t="shared" si="17"/>
        <v>0</v>
      </c>
      <c r="F131" s="265"/>
      <c r="G131" s="236"/>
      <c r="H131" s="236"/>
      <c r="I131" s="250" t="e">
        <f>+TRIM(PROPER(VLOOKUP(D131,#REF!,4,)))</f>
        <v>#REF!</v>
      </c>
      <c r="J131" s="137"/>
    </row>
    <row r="132" spans="1:10" ht="16.2" thickBot="1" x14ac:dyDescent="0.35">
      <c r="A132" s="271"/>
      <c r="B132" s="28"/>
      <c r="C132" s="269"/>
      <c r="D132" s="272"/>
      <c r="E132" s="29"/>
      <c r="F132" s="273"/>
      <c r="G132" s="274"/>
      <c r="H132" s="274"/>
      <c r="I132" s="275"/>
      <c r="J132" s="137"/>
    </row>
    <row r="133" spans="1:10" ht="18.600000000000001" thickBot="1" x14ac:dyDescent="0.35">
      <c r="A133" s="1322" t="s">
        <v>752</v>
      </c>
      <c r="B133" s="258" t="str">
        <f t="shared" si="16"/>
        <v>760</v>
      </c>
      <c r="C133" s="238">
        <v>760</v>
      </c>
      <c r="D133" s="232" t="s">
        <v>911</v>
      </c>
      <c r="E133" s="29">
        <f t="shared" si="17"/>
        <v>0</v>
      </c>
      <c r="F133" s="264"/>
      <c r="G133" s="233"/>
      <c r="H133" s="233"/>
      <c r="I133" s="251" t="e">
        <f>+TRIM(PROPER(VLOOKUP(D133,#REF!,4,)))</f>
        <v>#REF!</v>
      </c>
      <c r="J133" s="229"/>
    </row>
    <row r="134" spans="1:10" ht="18.600000000000001" thickBot="1" x14ac:dyDescent="0.35">
      <c r="A134" s="1323"/>
      <c r="B134" s="258" t="str">
        <f t="shared" si="16"/>
        <v>765</v>
      </c>
      <c r="C134" s="137">
        <v>765</v>
      </c>
      <c r="D134" s="222" t="s">
        <v>906</v>
      </c>
      <c r="E134" s="29">
        <f t="shared" si="17"/>
        <v>0</v>
      </c>
      <c r="F134" s="267"/>
      <c r="G134" s="221"/>
      <c r="H134" s="221"/>
      <c r="I134" s="251" t="e">
        <f>+TRIM(PROPER(VLOOKUP(D134,#REF!,4,)))</f>
        <v>#REF!</v>
      </c>
      <c r="J134" s="229"/>
    </row>
    <row r="135" spans="1:10" ht="18.600000000000001" thickBot="1" x14ac:dyDescent="0.35">
      <c r="A135" s="1323"/>
      <c r="B135" s="258" t="str">
        <f t="shared" si="16"/>
        <v>840</v>
      </c>
      <c r="C135" s="137">
        <v>840</v>
      </c>
      <c r="D135" s="222" t="s">
        <v>1026</v>
      </c>
      <c r="E135" s="29">
        <f t="shared" si="17"/>
        <v>0</v>
      </c>
      <c r="F135" s="267"/>
      <c r="G135" s="221"/>
      <c r="H135" s="221"/>
      <c r="I135" s="251" t="e">
        <f>+TRIM(PROPER(VLOOKUP(D135,#REF!,4,)))</f>
        <v>#REF!</v>
      </c>
      <c r="J135" s="229"/>
    </row>
    <row r="136" spans="1:10" ht="18.600000000000001" thickBot="1" x14ac:dyDescent="0.35">
      <c r="A136" s="1323"/>
      <c r="B136" s="258" t="str">
        <f t="shared" si="16"/>
        <v>709</v>
      </c>
      <c r="C136" s="137">
        <v>709</v>
      </c>
      <c r="D136" s="222" t="s">
        <v>887</v>
      </c>
      <c r="E136" s="29">
        <f t="shared" si="17"/>
        <v>0</v>
      </c>
      <c r="F136" s="267"/>
      <c r="G136" s="221"/>
      <c r="H136" s="221"/>
      <c r="I136" s="251" t="e">
        <f>+TRIM(PROPER(VLOOKUP(D136,#REF!,4,)))</f>
        <v>#REF!</v>
      </c>
      <c r="J136" s="229"/>
    </row>
    <row r="137" spans="1:10" ht="18.600000000000001" thickBot="1" x14ac:dyDescent="0.35">
      <c r="A137" s="1323"/>
      <c r="B137" s="258" t="str">
        <f t="shared" si="16"/>
        <v>879</v>
      </c>
      <c r="C137" s="137">
        <v>879</v>
      </c>
      <c r="D137" s="222" t="s">
        <v>907</v>
      </c>
      <c r="E137" s="29">
        <f t="shared" si="17"/>
        <v>0</v>
      </c>
      <c r="F137" s="267"/>
      <c r="G137" s="221"/>
      <c r="H137" s="221"/>
      <c r="I137" s="251" t="e">
        <f>+TRIM(PROPER(VLOOKUP(D137,#REF!,4,)))</f>
        <v>#REF!</v>
      </c>
      <c r="J137" s="229"/>
    </row>
    <row r="138" spans="1:10" ht="18.600000000000001" thickBot="1" x14ac:dyDescent="0.35">
      <c r="A138" s="1323"/>
      <c r="B138" s="258" t="s">
        <v>869</v>
      </c>
      <c r="C138" s="137" t="s">
        <v>869</v>
      </c>
      <c r="D138" s="222" t="s">
        <v>909</v>
      </c>
      <c r="E138" s="29">
        <f t="shared" si="17"/>
        <v>0</v>
      </c>
      <c r="F138" s="267"/>
      <c r="G138" s="221"/>
      <c r="H138" s="221"/>
      <c r="I138" s="251" t="e">
        <f>+TRIM(PROPER(VLOOKUP(D138,#REF!,4,)))</f>
        <v>#REF!</v>
      </c>
      <c r="J138" s="229"/>
    </row>
    <row r="139" spans="1:10" ht="18.600000000000001" thickBot="1" x14ac:dyDescent="0.35">
      <c r="A139" s="1323"/>
      <c r="B139" s="258" t="str">
        <f>+MID(C139,1,3)</f>
        <v>725</v>
      </c>
      <c r="C139" s="137">
        <v>725</v>
      </c>
      <c r="D139" s="222" t="s">
        <v>888</v>
      </c>
      <c r="E139" s="29">
        <f t="shared" si="17"/>
        <v>0</v>
      </c>
      <c r="F139" s="267"/>
      <c r="G139" s="221"/>
      <c r="H139" s="221"/>
      <c r="I139" s="251" t="e">
        <f>+TRIM(PROPER(VLOOKUP(D139,#REF!,4,)))</f>
        <v>#REF!</v>
      </c>
      <c r="J139" s="229"/>
    </row>
    <row r="140" spans="1:10" ht="18.600000000000001" thickBot="1" x14ac:dyDescent="0.35">
      <c r="A140" s="1324"/>
      <c r="B140" s="258" t="str">
        <f>+MID(C140,1,3)</f>
        <v>713</v>
      </c>
      <c r="C140" s="239">
        <v>713</v>
      </c>
      <c r="D140" s="235" t="s">
        <v>1027</v>
      </c>
      <c r="E140" s="29">
        <f t="shared" si="17"/>
        <v>0</v>
      </c>
      <c r="F140" s="265"/>
      <c r="G140" s="236"/>
      <c r="H140" s="236"/>
      <c r="I140" s="251" t="e">
        <f>+TRIM(PROPER(VLOOKUP(D140,#REF!,4,)))</f>
        <v>#REF!</v>
      </c>
      <c r="J140" s="229"/>
    </row>
    <row r="141" spans="1:10" ht="16.2" thickBot="1" x14ac:dyDescent="0.35">
      <c r="A141" s="271"/>
      <c r="B141" s="218"/>
      <c r="C141" s="270"/>
      <c r="D141" s="276"/>
      <c r="E141" s="29">
        <f t="shared" si="17"/>
        <v>0</v>
      </c>
      <c r="F141" s="277"/>
      <c r="G141" s="278"/>
      <c r="H141" s="278"/>
      <c r="I141" s="279"/>
      <c r="J141" s="137"/>
    </row>
    <row r="142" spans="1:10" ht="18.600000000000001" thickBot="1" x14ac:dyDescent="0.35">
      <c r="A142" s="1316" t="s">
        <v>1028</v>
      </c>
      <c r="B142" s="261" t="str">
        <f t="shared" ref="B142:B150" si="18">+MID(C142,1,3)</f>
        <v>815</v>
      </c>
      <c r="C142" s="238">
        <v>815</v>
      </c>
      <c r="D142" s="232" t="s">
        <v>912</v>
      </c>
      <c r="E142" s="29">
        <f t="shared" si="17"/>
        <v>0</v>
      </c>
      <c r="F142" s="264"/>
      <c r="G142" s="233"/>
      <c r="H142" s="233"/>
      <c r="I142" s="249" t="e">
        <f>+TRIM(PROPER(VLOOKUP(D142,#REF!,4,)))</f>
        <v>#REF!</v>
      </c>
      <c r="J142" s="229"/>
    </row>
    <row r="143" spans="1:10" ht="18.600000000000001" thickBot="1" x14ac:dyDescent="0.35">
      <c r="A143" s="1317"/>
      <c r="B143" s="260" t="str">
        <f t="shared" si="18"/>
        <v>977</v>
      </c>
      <c r="C143" s="137">
        <v>977</v>
      </c>
      <c r="D143" s="222" t="s">
        <v>889</v>
      </c>
      <c r="E143" s="29">
        <f t="shared" si="17"/>
        <v>0</v>
      </c>
      <c r="F143" s="267"/>
      <c r="G143" s="221"/>
      <c r="H143" s="221"/>
      <c r="I143" s="251" t="e">
        <f>+TRIM(PROPER(VLOOKUP(D143,#REF!,4,)))</f>
        <v>#REF!</v>
      </c>
      <c r="J143" s="229"/>
    </row>
    <row r="144" spans="1:10" ht="18.600000000000001" thickBot="1" x14ac:dyDescent="0.35">
      <c r="A144" s="1317"/>
      <c r="B144" s="260" t="str">
        <f t="shared" si="18"/>
        <v>909</v>
      </c>
      <c r="C144" s="137" t="s">
        <v>890</v>
      </c>
      <c r="D144" s="222" t="s">
        <v>1032</v>
      </c>
      <c r="E144" s="29">
        <f t="shared" si="17"/>
        <v>0</v>
      </c>
      <c r="F144" s="267"/>
      <c r="G144" s="221"/>
      <c r="H144" s="221"/>
      <c r="I144" s="251" t="e">
        <f>+TRIM(PROPER(VLOOKUP(D144,#REF!,4,)))</f>
        <v>#REF!</v>
      </c>
      <c r="J144" s="229"/>
    </row>
    <row r="145" spans="1:10" ht="18.600000000000001" thickBot="1" x14ac:dyDescent="0.35">
      <c r="A145" s="1317"/>
      <c r="B145" s="260" t="str">
        <f t="shared" si="18"/>
        <v>781</v>
      </c>
      <c r="C145" s="137">
        <v>781</v>
      </c>
      <c r="D145" s="222" t="s">
        <v>1031</v>
      </c>
      <c r="E145" s="29">
        <f t="shared" si="17"/>
        <v>0</v>
      </c>
      <c r="F145" s="267"/>
      <c r="G145" s="221"/>
      <c r="H145" s="221"/>
      <c r="I145" s="251" t="e">
        <f>+TRIM(PROPER(VLOOKUP(D145,#REF!,4,)))</f>
        <v>#REF!</v>
      </c>
      <c r="J145" s="229"/>
    </row>
    <row r="146" spans="1:10" ht="18.600000000000001" thickBot="1" x14ac:dyDescent="0.35">
      <c r="A146" s="1317"/>
      <c r="B146" s="260" t="str">
        <f t="shared" si="18"/>
        <v>55</v>
      </c>
      <c r="C146" s="137">
        <v>55</v>
      </c>
      <c r="D146" s="222" t="s">
        <v>1030</v>
      </c>
      <c r="E146" s="29">
        <f t="shared" si="17"/>
        <v>0</v>
      </c>
      <c r="F146" s="267"/>
      <c r="G146" s="221"/>
      <c r="H146" s="221"/>
      <c r="I146" s="251" t="e">
        <f>+TRIM(PROPER(VLOOKUP(D146,#REF!,4,)))</f>
        <v>#REF!</v>
      </c>
      <c r="J146" s="229"/>
    </row>
    <row r="147" spans="1:10" ht="18.600000000000001" thickBot="1" x14ac:dyDescent="0.35">
      <c r="A147" s="1317"/>
      <c r="B147" s="260" t="str">
        <f t="shared" si="18"/>
        <v>43</v>
      </c>
      <c r="C147" s="137">
        <v>43</v>
      </c>
      <c r="D147" s="222" t="s">
        <v>891</v>
      </c>
      <c r="E147" s="29">
        <f t="shared" si="17"/>
        <v>0</v>
      </c>
      <c r="F147" s="267"/>
      <c r="G147" s="221"/>
      <c r="H147" s="221"/>
      <c r="I147" s="251" t="e">
        <f>+TRIM(PROPER(VLOOKUP(D147,#REF!,4,)))</f>
        <v>#REF!</v>
      </c>
      <c r="J147" s="229"/>
    </row>
    <row r="148" spans="1:10" ht="18.600000000000001" thickBot="1" x14ac:dyDescent="0.35">
      <c r="A148" s="1317"/>
      <c r="B148" s="260" t="s">
        <v>869</v>
      </c>
      <c r="C148" s="137" t="s">
        <v>869</v>
      </c>
      <c r="D148" s="222" t="s">
        <v>1029</v>
      </c>
      <c r="E148" s="29">
        <f t="shared" si="17"/>
        <v>0</v>
      </c>
      <c r="F148" s="267"/>
      <c r="G148" s="221"/>
      <c r="H148" s="221"/>
      <c r="I148" s="251" t="e">
        <f>+TRIM(PROPER(VLOOKUP(D148,#REF!,4,)))</f>
        <v>#REF!</v>
      </c>
      <c r="J148" s="229"/>
    </row>
    <row r="149" spans="1:10" ht="18.600000000000001" thickBot="1" x14ac:dyDescent="0.35">
      <c r="A149" s="1317"/>
      <c r="B149" s="260" t="str">
        <f t="shared" si="18"/>
        <v>809</v>
      </c>
      <c r="C149" s="137">
        <v>809</v>
      </c>
      <c r="D149" s="222" t="s">
        <v>908</v>
      </c>
      <c r="E149" s="29">
        <f t="shared" si="17"/>
        <v>0</v>
      </c>
      <c r="F149" s="267"/>
      <c r="G149" s="221"/>
      <c r="H149" s="221"/>
      <c r="I149" s="251" t="e">
        <f>+TRIM(PROPER(VLOOKUP(D149,#REF!,4,)))</f>
        <v>#REF!</v>
      </c>
      <c r="J149" s="229"/>
    </row>
    <row r="150" spans="1:10" ht="18.600000000000001" thickBot="1" x14ac:dyDescent="0.35">
      <c r="A150" s="1318"/>
      <c r="B150" s="262" t="str">
        <f t="shared" si="18"/>
        <v>816</v>
      </c>
      <c r="C150" s="239">
        <v>816</v>
      </c>
      <c r="D150" s="235" t="s">
        <v>892</v>
      </c>
      <c r="E150" s="29">
        <f t="shared" si="17"/>
        <v>0</v>
      </c>
      <c r="F150" s="265"/>
      <c r="G150" s="236"/>
      <c r="H150" s="236"/>
      <c r="I150" s="250" t="e">
        <f>+TRIM(PROPER(VLOOKUP(D150,#REF!,4,)))</f>
        <v>#REF!</v>
      </c>
      <c r="J150" s="229"/>
    </row>
    <row r="151" spans="1:10" ht="15.6" x14ac:dyDescent="0.3">
      <c r="A151" s="214"/>
      <c r="B151" s="25"/>
      <c r="C151" s="224"/>
      <c r="D151" s="225"/>
      <c r="E151" s="25"/>
      <c r="F151" s="268"/>
      <c r="G151" s="226"/>
      <c r="H151" s="226"/>
      <c r="I151" s="252"/>
      <c r="J151" s="137"/>
    </row>
    <row r="152" spans="1:10" ht="15.6" x14ac:dyDescent="0.3">
      <c r="A152" s="214"/>
      <c r="B152" s="23"/>
      <c r="C152" s="137"/>
      <c r="D152" s="222"/>
      <c r="E152" s="23"/>
      <c r="F152" s="267"/>
      <c r="G152" s="221"/>
      <c r="H152" s="221"/>
      <c r="I152" s="253"/>
      <c r="J152" s="137"/>
    </row>
    <row r="153" spans="1:10" ht="15.6" x14ac:dyDescent="0.3">
      <c r="A153" s="214"/>
      <c r="B153" s="23"/>
      <c r="C153" s="137"/>
      <c r="D153" s="222"/>
      <c r="E153" s="23"/>
      <c r="F153" s="267"/>
      <c r="G153" s="221"/>
      <c r="H153" s="221"/>
      <c r="I153" s="253"/>
      <c r="J153" s="137"/>
    </row>
    <row r="154" spans="1:10" ht="15.6" x14ac:dyDescent="0.3">
      <c r="A154" s="214"/>
      <c r="B154" s="23"/>
      <c r="C154" s="137"/>
      <c r="D154" s="222"/>
      <c r="E154" s="23"/>
      <c r="F154" s="267"/>
      <c r="G154" s="221"/>
      <c r="H154" s="221"/>
      <c r="I154" s="253"/>
      <c r="J154" s="137"/>
    </row>
    <row r="155" spans="1:10" ht="15.6" x14ac:dyDescent="0.3">
      <c r="A155" s="214"/>
      <c r="B155" s="23"/>
      <c r="C155" s="137"/>
      <c r="D155" s="222"/>
      <c r="E155" s="23"/>
      <c r="F155" s="267"/>
      <c r="G155" s="221"/>
      <c r="H155" s="221"/>
      <c r="I155" s="253"/>
      <c r="J155" s="137"/>
    </row>
    <row r="156" spans="1:10" ht="15.6" x14ac:dyDescent="0.3">
      <c r="A156" s="214"/>
      <c r="B156" s="23"/>
      <c r="C156" s="137"/>
      <c r="D156" s="222"/>
      <c r="E156" s="23"/>
      <c r="F156" s="267"/>
      <c r="G156" s="221"/>
      <c r="H156" s="221"/>
      <c r="I156" s="253"/>
      <c r="J156" s="137"/>
    </row>
    <row r="157" spans="1:10" ht="15.6" x14ac:dyDescent="0.3">
      <c r="A157" s="214"/>
      <c r="B157" s="23"/>
      <c r="C157" s="137"/>
      <c r="D157" s="222"/>
      <c r="E157" s="23"/>
      <c r="F157" s="267"/>
      <c r="G157" s="221"/>
      <c r="H157" s="221"/>
      <c r="I157" s="253"/>
      <c r="J157" s="137"/>
    </row>
    <row r="158" spans="1:10" ht="15.6" x14ac:dyDescent="0.3">
      <c r="A158" s="214"/>
      <c r="B158" s="23"/>
      <c r="C158" s="137"/>
      <c r="D158" s="222"/>
      <c r="E158" s="23"/>
      <c r="F158" s="267"/>
      <c r="G158" s="221"/>
      <c r="H158" s="221"/>
      <c r="I158" s="253"/>
      <c r="J158" s="137"/>
    </row>
    <row r="159" spans="1:10" ht="15.6" x14ac:dyDescent="0.3">
      <c r="A159" s="214"/>
      <c r="B159" s="23"/>
      <c r="C159" s="137"/>
      <c r="D159" s="222"/>
      <c r="E159" s="23"/>
      <c r="F159" s="267"/>
      <c r="G159" s="221"/>
      <c r="H159" s="221"/>
      <c r="I159" s="253"/>
      <c r="J159" s="137"/>
    </row>
    <row r="160" spans="1:10" ht="15.6" x14ac:dyDescent="0.3">
      <c r="A160" s="214"/>
      <c r="B160" s="23"/>
      <c r="C160" s="137"/>
      <c r="D160" s="222"/>
      <c r="E160" s="23"/>
      <c r="F160" s="267"/>
      <c r="G160" s="221"/>
      <c r="H160" s="221"/>
      <c r="I160" s="253"/>
      <c r="J160" s="137"/>
    </row>
    <row r="161" spans="1:10" ht="15.6" x14ac:dyDescent="0.3">
      <c r="A161" s="214"/>
      <c r="B161" s="23"/>
      <c r="C161" s="137"/>
      <c r="D161" s="222"/>
      <c r="E161" s="23"/>
      <c r="F161" s="267"/>
      <c r="G161" s="221"/>
      <c r="H161" s="221"/>
      <c r="I161" s="253"/>
      <c r="J161" s="137"/>
    </row>
    <row r="162" spans="1:10" ht="15.6" x14ac:dyDescent="0.3">
      <c r="A162" s="214"/>
      <c r="B162" s="23"/>
      <c r="C162" s="137"/>
      <c r="D162" s="222"/>
      <c r="E162" s="23"/>
      <c r="F162" s="267"/>
      <c r="G162" s="221"/>
      <c r="H162" s="221"/>
      <c r="I162" s="253"/>
      <c r="J162" s="137"/>
    </row>
    <row r="163" spans="1:10" ht="15.6" x14ac:dyDescent="0.3">
      <c r="A163" s="214"/>
      <c r="B163" s="23"/>
      <c r="C163" s="137"/>
      <c r="D163" s="222"/>
      <c r="E163" s="23"/>
      <c r="F163" s="267"/>
      <c r="G163" s="221"/>
      <c r="H163" s="221"/>
      <c r="I163" s="253"/>
      <c r="J163" s="137"/>
    </row>
    <row r="164" spans="1:10" ht="15.6" x14ac:dyDescent="0.3">
      <c r="A164" s="214"/>
      <c r="B164" s="23"/>
      <c r="C164" s="137"/>
      <c r="D164" s="222"/>
      <c r="E164" s="23"/>
      <c r="F164" s="267"/>
      <c r="G164" s="221"/>
      <c r="H164" s="221"/>
      <c r="I164" s="253"/>
      <c r="J164" s="137"/>
    </row>
    <row r="165" spans="1:10" ht="15.6" x14ac:dyDescent="0.3">
      <c r="A165" s="214"/>
      <c r="B165" s="23"/>
      <c r="C165" s="137"/>
      <c r="D165" s="222"/>
      <c r="E165" s="23"/>
      <c r="F165" s="267"/>
      <c r="G165" s="221"/>
      <c r="H165" s="221"/>
      <c r="I165" s="253"/>
      <c r="J165" s="137"/>
    </row>
    <row r="166" spans="1:10" ht="15.6" x14ac:dyDescent="0.3">
      <c r="A166" s="214"/>
      <c r="B166" s="23"/>
      <c r="C166" s="137"/>
      <c r="D166" s="222"/>
      <c r="E166" s="23"/>
      <c r="F166" s="267"/>
      <c r="G166" s="221"/>
      <c r="H166" s="221"/>
      <c r="I166" s="253"/>
      <c r="J166" s="137"/>
    </row>
    <row r="167" spans="1:10" ht="15.6" x14ac:dyDescent="0.3">
      <c r="A167" s="214"/>
      <c r="B167" s="23"/>
      <c r="C167" s="137"/>
      <c r="D167" s="222"/>
      <c r="E167" s="23"/>
      <c r="F167" s="267"/>
      <c r="G167" s="221"/>
      <c r="H167" s="221"/>
      <c r="I167" s="253"/>
      <c r="J167" s="137"/>
    </row>
    <row r="168" spans="1:10" ht="15.6" x14ac:dyDescent="0.3">
      <c r="A168" s="214"/>
      <c r="B168" s="23"/>
      <c r="C168" s="137"/>
      <c r="D168" s="222"/>
      <c r="E168" s="23"/>
      <c r="F168" s="267"/>
      <c r="G168" s="221"/>
      <c r="H168" s="221"/>
      <c r="I168" s="253"/>
      <c r="J168" s="137"/>
    </row>
    <row r="169" spans="1:10" ht="15.6" x14ac:dyDescent="0.3">
      <c r="A169" s="214"/>
      <c r="B169" s="23"/>
      <c r="C169" s="137"/>
      <c r="D169" s="222"/>
      <c r="E169" s="23"/>
      <c r="F169" s="267"/>
      <c r="G169" s="221"/>
      <c r="H169" s="221"/>
      <c r="I169" s="253"/>
      <c r="J169" s="137"/>
    </row>
    <row r="170" spans="1:10" ht="15.6" x14ac:dyDescent="0.3">
      <c r="A170" s="214"/>
      <c r="B170" s="23"/>
      <c r="C170" s="137"/>
      <c r="D170" s="222"/>
      <c r="E170" s="23"/>
      <c r="F170" s="267"/>
      <c r="G170" s="221"/>
      <c r="H170" s="221"/>
      <c r="I170" s="253"/>
      <c r="J170" s="137"/>
    </row>
    <row r="171" spans="1:10" ht="15.6" x14ac:dyDescent="0.3">
      <c r="A171" s="214"/>
      <c r="B171" s="23"/>
      <c r="C171" s="137"/>
      <c r="D171" s="222"/>
      <c r="E171" s="23"/>
      <c r="F171" s="267"/>
      <c r="G171" s="221"/>
      <c r="H171" s="221"/>
      <c r="I171" s="253"/>
      <c r="J171" s="137"/>
    </row>
    <row r="172" spans="1:10" ht="15.6" x14ac:dyDescent="0.3">
      <c r="A172" s="214"/>
      <c r="B172" s="23"/>
      <c r="C172" s="137"/>
      <c r="D172" s="222"/>
      <c r="E172" s="23"/>
      <c r="F172" s="267"/>
      <c r="G172" s="221"/>
      <c r="H172" s="221"/>
      <c r="I172" s="253"/>
      <c r="J172" s="137"/>
    </row>
    <row r="173" spans="1:10" ht="15.6" x14ac:dyDescent="0.3">
      <c r="A173" s="214"/>
      <c r="B173" s="23"/>
      <c r="C173" s="137"/>
      <c r="D173" s="222"/>
      <c r="E173" s="23"/>
      <c r="F173" s="267"/>
      <c r="G173" s="221"/>
      <c r="H173" s="221"/>
      <c r="I173" s="253"/>
      <c r="J173" s="137"/>
    </row>
    <row r="174" spans="1:10" ht="15.6" x14ac:dyDescent="0.3">
      <c r="A174" s="214"/>
      <c r="B174" s="23"/>
      <c r="C174" s="137"/>
      <c r="D174" s="222"/>
      <c r="E174" s="23"/>
      <c r="F174" s="267"/>
      <c r="G174" s="221"/>
      <c r="H174" s="221"/>
      <c r="I174" s="253"/>
      <c r="J174" s="137"/>
    </row>
    <row r="175" spans="1:10" ht="15.6" x14ac:dyDescent="0.3">
      <c r="A175" s="214"/>
      <c r="B175" s="23"/>
      <c r="C175" s="137"/>
      <c r="D175" s="222"/>
      <c r="E175" s="23"/>
      <c r="F175" s="267"/>
      <c r="G175" s="221"/>
      <c r="H175" s="221"/>
      <c r="I175" s="253"/>
      <c r="J175" s="137"/>
    </row>
    <row r="176" spans="1:10" ht="15.6" x14ac:dyDescent="0.3">
      <c r="A176" s="214"/>
      <c r="B176" s="23"/>
      <c r="C176" s="137"/>
      <c r="D176" s="222"/>
      <c r="E176" s="23"/>
      <c r="F176" s="267"/>
      <c r="G176" s="221"/>
      <c r="H176" s="221"/>
      <c r="I176" s="253"/>
      <c r="J176" s="137"/>
    </row>
    <row r="177" spans="1:10" ht="15.6" x14ac:dyDescent="0.3">
      <c r="A177" s="214"/>
      <c r="B177" s="23"/>
      <c r="C177" s="137"/>
      <c r="D177" s="222"/>
      <c r="E177" s="23"/>
      <c r="F177" s="267"/>
      <c r="G177" s="221"/>
      <c r="H177" s="221"/>
      <c r="I177" s="253"/>
      <c r="J177" s="137"/>
    </row>
    <row r="178" spans="1:10" ht="15.6" x14ac:dyDescent="0.3">
      <c r="A178" s="214"/>
      <c r="B178" s="23"/>
      <c r="C178" s="137"/>
      <c r="D178" s="222"/>
      <c r="E178" s="23"/>
      <c r="F178" s="267"/>
      <c r="G178" s="221"/>
      <c r="H178" s="221"/>
      <c r="I178" s="253"/>
      <c r="J178" s="137"/>
    </row>
    <row r="179" spans="1:10" ht="15.6" x14ac:dyDescent="0.3">
      <c r="A179" s="23"/>
      <c r="B179" s="23" t="s">
        <v>869</v>
      </c>
      <c r="C179" s="137" t="s">
        <v>869</v>
      </c>
      <c r="D179" s="222" t="s">
        <v>862</v>
      </c>
      <c r="E179" s="23">
        <f t="shared" ref="E179:E184" si="19">+F179*G179+H179</f>
        <v>0</v>
      </c>
      <c r="F179" s="267"/>
      <c r="G179" s="221"/>
      <c r="H179" s="221"/>
      <c r="I179" s="253" t="e">
        <f>+VLOOKUP(D179,#REF!,4,)</f>
        <v>#REF!</v>
      </c>
      <c r="J179" s="137" t="s">
        <v>859</v>
      </c>
    </row>
    <row r="180" spans="1:10" ht="15.6" x14ac:dyDescent="0.3">
      <c r="A180" s="23"/>
      <c r="B180" s="23" t="s">
        <v>869</v>
      </c>
      <c r="C180" s="137" t="s">
        <v>869</v>
      </c>
      <c r="D180" s="222" t="s">
        <v>861</v>
      </c>
      <c r="E180" s="23">
        <f t="shared" si="19"/>
        <v>0</v>
      </c>
      <c r="F180" s="267"/>
      <c r="G180" s="221"/>
      <c r="H180" s="221"/>
      <c r="I180" s="253" t="e">
        <f>+VLOOKUP(D180,#REF!,4,)</f>
        <v>#REF!</v>
      </c>
      <c r="J180" s="137" t="s">
        <v>859</v>
      </c>
    </row>
    <row r="181" spans="1:10" ht="15.6" x14ac:dyDescent="0.3">
      <c r="A181" s="23"/>
      <c r="B181" s="23" t="str">
        <f>+MID(C181,1,3)</f>
        <v>500</v>
      </c>
      <c r="C181" s="137" t="s">
        <v>53</v>
      </c>
      <c r="D181" s="222" t="s">
        <v>864</v>
      </c>
      <c r="E181" s="23">
        <f t="shared" si="19"/>
        <v>0</v>
      </c>
      <c r="F181" s="267"/>
      <c r="G181" s="221"/>
      <c r="H181" s="221"/>
      <c r="I181" s="253" t="e">
        <f>+VLOOKUP(D181,#REF!,4,)</f>
        <v>#REF!</v>
      </c>
      <c r="J181" s="137" t="s">
        <v>859</v>
      </c>
    </row>
    <row r="182" spans="1:10" ht="15.6" x14ac:dyDescent="0.3">
      <c r="A182" s="23"/>
      <c r="B182" s="23" t="str">
        <f>+MID(C182,1,3)</f>
        <v>706</v>
      </c>
      <c r="C182" s="137" t="s">
        <v>868</v>
      </c>
      <c r="D182" s="222" t="s">
        <v>865</v>
      </c>
      <c r="E182" s="23">
        <f t="shared" si="19"/>
        <v>0</v>
      </c>
      <c r="F182" s="267"/>
      <c r="G182" s="221"/>
      <c r="H182" s="221"/>
      <c r="I182" s="253" t="e">
        <f>+VLOOKUP(D182,#REF!,4,)</f>
        <v>#REF!</v>
      </c>
      <c r="J182" s="137" t="s">
        <v>859</v>
      </c>
    </row>
    <row r="183" spans="1:10" ht="15.6" x14ac:dyDescent="0.3">
      <c r="A183" s="23"/>
      <c r="B183" s="23" t="str">
        <f>+MID(C183,1,3)</f>
        <v>506</v>
      </c>
      <c r="C183" s="137" t="s">
        <v>63</v>
      </c>
      <c r="D183" s="222" t="s">
        <v>863</v>
      </c>
      <c r="E183" s="23">
        <f t="shared" si="19"/>
        <v>0</v>
      </c>
      <c r="F183" s="267"/>
      <c r="G183" s="221"/>
      <c r="H183" s="221"/>
      <c r="I183" s="253" t="e">
        <f>+VLOOKUP(D183,#REF!,4,)</f>
        <v>#REF!</v>
      </c>
      <c r="J183" s="137" t="s">
        <v>859</v>
      </c>
    </row>
    <row r="184" spans="1:10" ht="15.6" x14ac:dyDescent="0.3">
      <c r="A184" s="23"/>
      <c r="B184" s="23" t="str">
        <f>+MID(C184,1,3)</f>
        <v>510</v>
      </c>
      <c r="C184" s="137" t="s">
        <v>837</v>
      </c>
      <c r="D184" s="222" t="s">
        <v>866</v>
      </c>
      <c r="E184" s="23">
        <f t="shared" si="19"/>
        <v>0</v>
      </c>
      <c r="F184" s="267"/>
      <c r="G184" s="221"/>
      <c r="H184" s="221"/>
      <c r="I184" s="253" t="e">
        <f>+VLOOKUP(D184,#REF!,4,)</f>
        <v>#REF!</v>
      </c>
      <c r="J184" s="137" t="s">
        <v>859</v>
      </c>
    </row>
  </sheetData>
  <autoFilter ref="A3:J3" xr:uid="{00000000-0009-0000-0000-000014000000}">
    <sortState xmlns:xlrd2="http://schemas.microsoft.com/office/spreadsheetml/2017/richdata2" ref="A4:J81">
      <sortCondition ref="D3"/>
    </sortState>
  </autoFilter>
  <mergeCells count="16">
    <mergeCell ref="A111:A116"/>
    <mergeCell ref="A118:A131"/>
    <mergeCell ref="A133:A140"/>
    <mergeCell ref="A142:A150"/>
    <mergeCell ref="A55:A65"/>
    <mergeCell ref="A67:A77"/>
    <mergeCell ref="A79:A80"/>
    <mergeCell ref="A82:A87"/>
    <mergeCell ref="A89:A94"/>
    <mergeCell ref="A96:A109"/>
    <mergeCell ref="A41:A53"/>
    <mergeCell ref="A1:H2"/>
    <mergeCell ref="A4:A5"/>
    <mergeCell ref="A7:A20"/>
    <mergeCell ref="A22:A27"/>
    <mergeCell ref="A29:A39"/>
  </mergeCells>
  <printOptions horizontalCentered="1" verticalCentered="1"/>
  <pageMargins left="0" right="0.11811023622047245" top="0.35433070866141736" bottom="0.35433070866141736" header="0.31496062992125984" footer="0.31496062992125984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H325"/>
  <sheetViews>
    <sheetView workbookViewId="0">
      <selection sqref="A1:H1"/>
    </sheetView>
  </sheetViews>
  <sheetFormatPr baseColWidth="10" defaultRowHeight="14.4" x14ac:dyDescent="0.3"/>
  <cols>
    <col min="1" max="1" width="3.6640625" bestFit="1" customWidth="1"/>
    <col min="2" max="2" width="6" style="1" bestFit="1" customWidth="1"/>
    <col min="3" max="3" width="4.33203125" bestFit="1" customWidth="1"/>
    <col min="4" max="4" width="4.6640625" bestFit="1" customWidth="1"/>
    <col min="5" max="5" width="16.33203125" bestFit="1" customWidth="1"/>
    <col min="6" max="6" width="5.6640625" style="41" bestFit="1" customWidth="1"/>
    <col min="7" max="7" width="34.109375" style="1" customWidth="1"/>
    <col min="8" max="8" width="8.33203125" style="1" customWidth="1"/>
  </cols>
  <sheetData>
    <row r="1" spans="1:8" ht="34.5" customHeight="1" thickBot="1" x14ac:dyDescent="0.35">
      <c r="A1" s="1089" t="s">
        <v>504</v>
      </c>
      <c r="B1" s="1089"/>
      <c r="C1" s="1089"/>
      <c r="D1" s="1089"/>
      <c r="E1" s="1089"/>
      <c r="F1" s="1089"/>
      <c r="G1" s="1089"/>
      <c r="H1" s="1090"/>
    </row>
    <row r="2" spans="1:8" ht="29.4" thickBot="1" x14ac:dyDescent="0.35">
      <c r="A2" s="66" t="s">
        <v>508</v>
      </c>
      <c r="B2" s="62" t="s">
        <v>19</v>
      </c>
      <c r="C2" s="63" t="s">
        <v>451</v>
      </c>
      <c r="D2" s="63" t="s">
        <v>512</v>
      </c>
      <c r="E2" s="64" t="s">
        <v>453</v>
      </c>
      <c r="F2" s="64" t="s">
        <v>503</v>
      </c>
      <c r="G2" s="64" t="s">
        <v>20</v>
      </c>
      <c r="H2" s="65" t="s">
        <v>517</v>
      </c>
    </row>
    <row r="3" spans="1:8" x14ac:dyDescent="0.3">
      <c r="A3" s="1108" t="s">
        <v>507</v>
      </c>
      <c r="B3" s="52" t="s">
        <v>356</v>
      </c>
      <c r="C3" s="27" t="s">
        <v>509</v>
      </c>
      <c r="D3" s="27" t="s">
        <v>509</v>
      </c>
      <c r="E3" s="27" t="s">
        <v>449</v>
      </c>
      <c r="F3" s="46" t="s">
        <v>462</v>
      </c>
      <c r="G3" s="35" t="s">
        <v>227</v>
      </c>
      <c r="H3" s="47">
        <v>12813.714285714286</v>
      </c>
    </row>
    <row r="4" spans="1:8" x14ac:dyDescent="0.3">
      <c r="A4" s="1109"/>
      <c r="B4" s="50" t="s">
        <v>357</v>
      </c>
      <c r="C4" s="23" t="s">
        <v>509</v>
      </c>
      <c r="D4" s="23" t="s">
        <v>509</v>
      </c>
      <c r="E4" s="23" t="s">
        <v>449</v>
      </c>
      <c r="F4" s="43" t="s">
        <v>462</v>
      </c>
      <c r="G4" s="24" t="s">
        <v>359</v>
      </c>
      <c r="H4" s="45">
        <v>970.28571428571433</v>
      </c>
    </row>
    <row r="5" spans="1:8" x14ac:dyDescent="0.3">
      <c r="A5" s="1109"/>
      <c r="B5" s="50" t="s">
        <v>408</v>
      </c>
      <c r="C5" s="23" t="s">
        <v>509</v>
      </c>
      <c r="D5" s="23" t="s">
        <v>509</v>
      </c>
      <c r="E5" s="23" t="s">
        <v>449</v>
      </c>
      <c r="F5" s="43" t="s">
        <v>462</v>
      </c>
      <c r="G5" s="24" t="s">
        <v>409</v>
      </c>
      <c r="H5" s="45">
        <v>305</v>
      </c>
    </row>
    <row r="6" spans="1:8" ht="15" thickBot="1" x14ac:dyDescent="0.35">
      <c r="A6" s="1110"/>
      <c r="B6" s="59">
        <v>35</v>
      </c>
      <c r="C6" s="28" t="s">
        <v>509</v>
      </c>
      <c r="D6" s="28" t="s">
        <v>511</v>
      </c>
      <c r="E6" s="28" t="s">
        <v>449</v>
      </c>
      <c r="F6" s="60" t="s">
        <v>462</v>
      </c>
      <c r="G6" s="34" t="s">
        <v>227</v>
      </c>
      <c r="H6" s="61">
        <v>1356</v>
      </c>
    </row>
    <row r="7" spans="1:8" ht="15" customHeight="1" x14ac:dyDescent="0.3">
      <c r="A7" s="1108" t="s">
        <v>510</v>
      </c>
      <c r="B7" s="54" t="s">
        <v>402</v>
      </c>
      <c r="C7" s="27" t="s">
        <v>509</v>
      </c>
      <c r="D7" s="27" t="s">
        <v>509</v>
      </c>
      <c r="E7" s="27" t="s">
        <v>505</v>
      </c>
      <c r="F7" s="33" t="s">
        <v>460</v>
      </c>
      <c r="G7" s="35" t="s">
        <v>403</v>
      </c>
      <c r="H7" s="38">
        <v>42</v>
      </c>
    </row>
    <row r="8" spans="1:8" ht="15" thickBot="1" x14ac:dyDescent="0.35">
      <c r="A8" s="1109"/>
      <c r="B8" s="56" t="s">
        <v>297</v>
      </c>
      <c r="C8" s="29" t="s">
        <v>509</v>
      </c>
      <c r="D8" s="29" t="s">
        <v>509</v>
      </c>
      <c r="E8" s="29" t="s">
        <v>505</v>
      </c>
      <c r="F8" s="37" t="s">
        <v>460</v>
      </c>
      <c r="G8" s="37" t="s">
        <v>311</v>
      </c>
      <c r="H8" s="40">
        <v>130.28571428571428</v>
      </c>
    </row>
    <row r="9" spans="1:8" x14ac:dyDescent="0.3">
      <c r="A9" s="1109"/>
      <c r="B9" s="52" t="s">
        <v>319</v>
      </c>
      <c r="C9" s="27" t="s">
        <v>509</v>
      </c>
      <c r="D9" s="27" t="s">
        <v>509</v>
      </c>
      <c r="E9" s="27" t="s">
        <v>335</v>
      </c>
      <c r="F9" s="33" t="s">
        <v>460</v>
      </c>
      <c r="G9" s="33" t="s">
        <v>323</v>
      </c>
      <c r="H9" s="38">
        <v>258</v>
      </c>
    </row>
    <row r="10" spans="1:8" x14ac:dyDescent="0.3">
      <c r="A10" s="1109"/>
      <c r="B10" s="50" t="s">
        <v>320</v>
      </c>
      <c r="C10" s="23" t="s">
        <v>509</v>
      </c>
      <c r="D10" s="23" t="s">
        <v>509</v>
      </c>
      <c r="E10" s="23" t="s">
        <v>335</v>
      </c>
      <c r="F10" s="32" t="s">
        <v>460</v>
      </c>
      <c r="G10" s="32" t="s">
        <v>324</v>
      </c>
      <c r="H10" s="39">
        <v>244</v>
      </c>
    </row>
    <row r="11" spans="1:8" x14ac:dyDescent="0.3">
      <c r="A11" s="1109"/>
      <c r="B11" s="50" t="s">
        <v>321</v>
      </c>
      <c r="C11" s="23" t="s">
        <v>509</v>
      </c>
      <c r="D11" s="23" t="s">
        <v>509</v>
      </c>
      <c r="E11" s="23" t="s">
        <v>335</v>
      </c>
      <c r="F11" s="32" t="s">
        <v>460</v>
      </c>
      <c r="G11" s="32" t="s">
        <v>325</v>
      </c>
      <c r="H11" s="39">
        <v>243.42857142857142</v>
      </c>
    </row>
    <row r="12" spans="1:8" x14ac:dyDescent="0.3">
      <c r="A12" s="1109"/>
      <c r="B12" s="50" t="s">
        <v>322</v>
      </c>
      <c r="C12" s="23" t="s">
        <v>509</v>
      </c>
      <c r="D12" s="23" t="s">
        <v>509</v>
      </c>
      <c r="E12" s="23" t="s">
        <v>335</v>
      </c>
      <c r="F12" s="32" t="s">
        <v>460</v>
      </c>
      <c r="G12" s="32" t="s">
        <v>326</v>
      </c>
      <c r="H12" s="39">
        <v>1163.4285714285713</v>
      </c>
    </row>
    <row r="13" spans="1:8" x14ac:dyDescent="0.3">
      <c r="A13" s="1109"/>
      <c r="B13" s="53" t="s">
        <v>423</v>
      </c>
      <c r="C13" s="23" t="s">
        <v>509</v>
      </c>
      <c r="D13" s="23" t="s">
        <v>509</v>
      </c>
      <c r="E13" s="23" t="s">
        <v>335</v>
      </c>
      <c r="F13" s="32" t="s">
        <v>460</v>
      </c>
      <c r="G13" s="24" t="s">
        <v>425</v>
      </c>
      <c r="H13" s="39">
        <v>230.85714285714286</v>
      </c>
    </row>
    <row r="14" spans="1:8" x14ac:dyDescent="0.3">
      <c r="A14" s="1109"/>
      <c r="B14" s="53" t="s">
        <v>424</v>
      </c>
      <c r="C14" s="23" t="s">
        <v>509</v>
      </c>
      <c r="D14" s="23" t="s">
        <v>509</v>
      </c>
      <c r="E14" s="23" t="s">
        <v>335</v>
      </c>
      <c r="F14" s="32" t="s">
        <v>460</v>
      </c>
      <c r="G14" s="24" t="s">
        <v>426</v>
      </c>
      <c r="H14" s="39">
        <v>208</v>
      </c>
    </row>
    <row r="15" spans="1:8" x14ac:dyDescent="0.3">
      <c r="A15" s="1109"/>
      <c r="B15" s="50" t="s">
        <v>327</v>
      </c>
      <c r="C15" s="23" t="s">
        <v>509</v>
      </c>
      <c r="D15" s="23" t="s">
        <v>509</v>
      </c>
      <c r="E15" s="23" t="s">
        <v>335</v>
      </c>
      <c r="F15" s="32" t="s">
        <v>460</v>
      </c>
      <c r="G15" s="32" t="s">
        <v>331</v>
      </c>
      <c r="H15" s="39">
        <v>788.57142857142856</v>
      </c>
    </row>
    <row r="16" spans="1:8" x14ac:dyDescent="0.3">
      <c r="A16" s="1109"/>
      <c r="B16" s="50" t="s">
        <v>328</v>
      </c>
      <c r="C16" s="23" t="s">
        <v>509</v>
      </c>
      <c r="D16" s="23" t="s">
        <v>509</v>
      </c>
      <c r="E16" s="23" t="s">
        <v>335</v>
      </c>
      <c r="F16" s="32" t="s">
        <v>460</v>
      </c>
      <c r="G16" s="32" t="s">
        <v>332</v>
      </c>
      <c r="H16" s="39">
        <v>526.28571428571433</v>
      </c>
    </row>
    <row r="17" spans="1:8" x14ac:dyDescent="0.3">
      <c r="A17" s="1109"/>
      <c r="B17" s="50" t="s">
        <v>329</v>
      </c>
      <c r="C17" s="23" t="s">
        <v>509</v>
      </c>
      <c r="D17" s="23" t="s">
        <v>509</v>
      </c>
      <c r="E17" s="23" t="s">
        <v>335</v>
      </c>
      <c r="F17" s="32" t="s">
        <v>460</v>
      </c>
      <c r="G17" s="32" t="s">
        <v>333</v>
      </c>
      <c r="H17" s="39">
        <v>126.85714285714286</v>
      </c>
    </row>
    <row r="18" spans="1:8" x14ac:dyDescent="0.3">
      <c r="A18" s="1109"/>
      <c r="B18" s="50" t="s">
        <v>330</v>
      </c>
      <c r="C18" s="23" t="s">
        <v>509</v>
      </c>
      <c r="D18" s="23" t="s">
        <v>509</v>
      </c>
      <c r="E18" s="23" t="s">
        <v>335</v>
      </c>
      <c r="F18" s="32" t="s">
        <v>460</v>
      </c>
      <c r="G18" s="32" t="s">
        <v>334</v>
      </c>
      <c r="H18" s="39">
        <v>248</v>
      </c>
    </row>
    <row r="19" spans="1:8" ht="15" thickBot="1" x14ac:dyDescent="0.35">
      <c r="A19" s="1109"/>
      <c r="B19" s="51" t="s">
        <v>431</v>
      </c>
      <c r="C19" s="29" t="s">
        <v>509</v>
      </c>
      <c r="D19" s="29" t="s">
        <v>509</v>
      </c>
      <c r="E19" s="29" t="s">
        <v>335</v>
      </c>
      <c r="F19" s="37" t="s">
        <v>460</v>
      </c>
      <c r="G19" s="30" t="s">
        <v>433</v>
      </c>
      <c r="H19" s="40">
        <v>277.71428571428572</v>
      </c>
    </row>
    <row r="20" spans="1:8" x14ac:dyDescent="0.3">
      <c r="A20" s="1109"/>
      <c r="B20" s="58" t="s">
        <v>99</v>
      </c>
      <c r="C20" s="25" t="s">
        <v>509</v>
      </c>
      <c r="D20" s="25" t="s">
        <v>509</v>
      </c>
      <c r="E20" s="25" t="s">
        <v>495</v>
      </c>
      <c r="F20" s="42" t="s">
        <v>484</v>
      </c>
      <c r="G20" s="42" t="s">
        <v>100</v>
      </c>
      <c r="H20" s="44">
        <v>385.71428571428572</v>
      </c>
    </row>
    <row r="21" spans="1:8" x14ac:dyDescent="0.3">
      <c r="A21" s="1109"/>
      <c r="B21" s="50" t="s">
        <v>101</v>
      </c>
      <c r="C21" s="23" t="s">
        <v>509</v>
      </c>
      <c r="D21" s="23" t="s">
        <v>509</v>
      </c>
      <c r="E21" s="23" t="s">
        <v>495</v>
      </c>
      <c r="F21" s="32" t="s">
        <v>484</v>
      </c>
      <c r="G21" s="32" t="s">
        <v>102</v>
      </c>
      <c r="H21" s="39">
        <v>462.85714285714283</v>
      </c>
    </row>
    <row r="22" spans="1:8" x14ac:dyDescent="0.3">
      <c r="A22" s="1109"/>
      <c r="B22" s="50" t="s">
        <v>103</v>
      </c>
      <c r="C22" s="23" t="s">
        <v>509</v>
      </c>
      <c r="D22" s="23" t="s">
        <v>509</v>
      </c>
      <c r="E22" s="23" t="s">
        <v>495</v>
      </c>
      <c r="F22" s="32" t="s">
        <v>484</v>
      </c>
      <c r="G22" s="32" t="s">
        <v>104</v>
      </c>
      <c r="H22" s="39">
        <v>368.57142857142856</v>
      </c>
    </row>
    <row r="23" spans="1:8" x14ac:dyDescent="0.3">
      <c r="A23" s="1109"/>
      <c r="B23" s="53" t="s">
        <v>435</v>
      </c>
      <c r="C23" s="23" t="s">
        <v>509</v>
      </c>
      <c r="D23" s="23" t="s">
        <v>509</v>
      </c>
      <c r="E23" s="23" t="s">
        <v>495</v>
      </c>
      <c r="F23" s="32" t="s">
        <v>484</v>
      </c>
      <c r="G23" s="24" t="s">
        <v>436</v>
      </c>
      <c r="H23" s="39">
        <v>185.71428571428572</v>
      </c>
    </row>
    <row r="24" spans="1:8" x14ac:dyDescent="0.3">
      <c r="A24" s="1109"/>
      <c r="B24" s="50" t="s">
        <v>27</v>
      </c>
      <c r="C24" s="23" t="s">
        <v>509</v>
      </c>
      <c r="D24" s="24" t="s">
        <v>509</v>
      </c>
      <c r="E24" s="24" t="s">
        <v>501</v>
      </c>
      <c r="F24" s="32" t="s">
        <v>464</v>
      </c>
      <c r="G24" s="32" t="s">
        <v>28</v>
      </c>
      <c r="H24" s="45">
        <v>1107.7142857142858</v>
      </c>
    </row>
    <row r="25" spans="1:8" x14ac:dyDescent="0.3">
      <c r="A25" s="1109"/>
      <c r="B25" s="50" t="s">
        <v>35</v>
      </c>
      <c r="C25" s="23" t="s">
        <v>509</v>
      </c>
      <c r="D25" s="24" t="s">
        <v>509</v>
      </c>
      <c r="E25" s="24" t="s">
        <v>501</v>
      </c>
      <c r="F25" s="32" t="s">
        <v>464</v>
      </c>
      <c r="G25" s="32" t="s">
        <v>36</v>
      </c>
      <c r="H25" s="39">
        <v>1563.4285714285713</v>
      </c>
    </row>
    <row r="26" spans="1:8" x14ac:dyDescent="0.3">
      <c r="A26" s="1109"/>
      <c r="B26" s="50" t="s">
        <v>41</v>
      </c>
      <c r="C26" s="23" t="s">
        <v>509</v>
      </c>
      <c r="D26" s="24" t="s">
        <v>509</v>
      </c>
      <c r="E26" s="24" t="s">
        <v>501</v>
      </c>
      <c r="F26" s="32" t="s">
        <v>464</v>
      </c>
      <c r="G26" s="32" t="s">
        <v>42</v>
      </c>
      <c r="H26" s="39">
        <v>3252</v>
      </c>
    </row>
    <row r="27" spans="1:8" x14ac:dyDescent="0.3">
      <c r="A27" s="1109"/>
      <c r="B27" s="50" t="s">
        <v>43</v>
      </c>
      <c r="C27" s="23" t="s">
        <v>509</v>
      </c>
      <c r="D27" s="24" t="s">
        <v>509</v>
      </c>
      <c r="E27" s="24" t="s">
        <v>501</v>
      </c>
      <c r="F27" s="32" t="s">
        <v>464</v>
      </c>
      <c r="G27" s="32" t="s">
        <v>44</v>
      </c>
      <c r="H27" s="45">
        <v>594.85714285714289</v>
      </c>
    </row>
    <row r="28" spans="1:8" x14ac:dyDescent="0.3">
      <c r="A28" s="1109"/>
      <c r="B28" s="55" t="s">
        <v>373</v>
      </c>
      <c r="C28" s="23" t="s">
        <v>509</v>
      </c>
      <c r="D28" s="23" t="s">
        <v>509</v>
      </c>
      <c r="E28" s="23" t="s">
        <v>340</v>
      </c>
      <c r="F28" s="32" t="s">
        <v>483</v>
      </c>
      <c r="G28" s="26" t="s">
        <v>378</v>
      </c>
      <c r="H28" s="48">
        <v>147</v>
      </c>
    </row>
    <row r="29" spans="1:8" x14ac:dyDescent="0.3">
      <c r="A29" s="1109"/>
      <c r="B29" s="50" t="s">
        <v>374</v>
      </c>
      <c r="C29" s="23" t="s">
        <v>509</v>
      </c>
      <c r="D29" s="23" t="s">
        <v>509</v>
      </c>
      <c r="E29" s="23" t="s">
        <v>340</v>
      </c>
      <c r="F29" s="32" t="s">
        <v>483</v>
      </c>
      <c r="G29" s="26" t="s">
        <v>379</v>
      </c>
      <c r="H29" s="39">
        <v>478.28571428571428</v>
      </c>
    </row>
    <row r="30" spans="1:8" x14ac:dyDescent="0.3">
      <c r="A30" s="1109"/>
      <c r="B30" s="55" t="s">
        <v>375</v>
      </c>
      <c r="C30" s="23" t="s">
        <v>509</v>
      </c>
      <c r="D30" s="23" t="s">
        <v>509</v>
      </c>
      <c r="E30" s="23" t="s">
        <v>340</v>
      </c>
      <c r="F30" s="32" t="s">
        <v>483</v>
      </c>
      <c r="G30" s="26" t="s">
        <v>380</v>
      </c>
      <c r="H30" s="45">
        <v>237</v>
      </c>
    </row>
    <row r="31" spans="1:8" x14ac:dyDescent="0.3">
      <c r="A31" s="1109"/>
      <c r="B31" s="50" t="s">
        <v>228</v>
      </c>
      <c r="C31" s="23" t="s">
        <v>509</v>
      </c>
      <c r="D31" s="23" t="s">
        <v>509</v>
      </c>
      <c r="E31" s="23" t="s">
        <v>340</v>
      </c>
      <c r="F31" s="32" t="s">
        <v>483</v>
      </c>
      <c r="G31" s="26" t="s">
        <v>229</v>
      </c>
      <c r="H31" s="45">
        <v>103.71428571428571</v>
      </c>
    </row>
    <row r="32" spans="1:8" x14ac:dyDescent="0.3">
      <c r="A32" s="1109"/>
      <c r="B32" s="55" t="s">
        <v>383</v>
      </c>
      <c r="C32" s="23" t="s">
        <v>509</v>
      </c>
      <c r="D32" s="23" t="s">
        <v>509</v>
      </c>
      <c r="E32" s="23" t="s">
        <v>340</v>
      </c>
      <c r="F32" s="32" t="s">
        <v>483</v>
      </c>
      <c r="G32" s="26" t="s">
        <v>391</v>
      </c>
      <c r="H32" s="45">
        <v>51</v>
      </c>
    </row>
    <row r="33" spans="1:8" x14ac:dyDescent="0.3">
      <c r="A33" s="1109"/>
      <c r="B33" s="50" t="s">
        <v>230</v>
      </c>
      <c r="C33" s="23" t="s">
        <v>509</v>
      </c>
      <c r="D33" s="23" t="s">
        <v>509</v>
      </c>
      <c r="E33" s="23" t="s">
        <v>340</v>
      </c>
      <c r="F33" s="32" t="s">
        <v>483</v>
      </c>
      <c r="G33" s="26" t="s">
        <v>231</v>
      </c>
      <c r="H33" s="45">
        <v>958.28571428571433</v>
      </c>
    </row>
    <row r="34" spans="1:8" x14ac:dyDescent="0.3">
      <c r="A34" s="1109"/>
      <c r="B34" s="50" t="s">
        <v>232</v>
      </c>
      <c r="C34" s="23" t="s">
        <v>509</v>
      </c>
      <c r="D34" s="23" t="s">
        <v>509</v>
      </c>
      <c r="E34" s="23" t="s">
        <v>340</v>
      </c>
      <c r="F34" s="32" t="s">
        <v>483</v>
      </c>
      <c r="G34" s="26" t="s">
        <v>233</v>
      </c>
      <c r="H34" s="45">
        <v>1150.2857142857142</v>
      </c>
    </row>
    <row r="35" spans="1:8" x14ac:dyDescent="0.3">
      <c r="A35" s="1109"/>
      <c r="B35" s="50" t="s">
        <v>234</v>
      </c>
      <c r="C35" s="23" t="s">
        <v>509</v>
      </c>
      <c r="D35" s="23" t="s">
        <v>509</v>
      </c>
      <c r="E35" s="23" t="s">
        <v>340</v>
      </c>
      <c r="F35" s="32" t="s">
        <v>483</v>
      </c>
      <c r="G35" s="26" t="s">
        <v>235</v>
      </c>
      <c r="H35" s="45">
        <v>82.285714285714292</v>
      </c>
    </row>
    <row r="36" spans="1:8" x14ac:dyDescent="0.3">
      <c r="A36" s="1109"/>
      <c r="B36" s="50" t="s">
        <v>236</v>
      </c>
      <c r="C36" s="23" t="s">
        <v>509</v>
      </c>
      <c r="D36" s="23" t="s">
        <v>509</v>
      </c>
      <c r="E36" s="23" t="s">
        <v>340</v>
      </c>
      <c r="F36" s="32" t="s">
        <v>483</v>
      </c>
      <c r="G36" s="26" t="s">
        <v>237</v>
      </c>
      <c r="H36" s="45">
        <v>0</v>
      </c>
    </row>
    <row r="37" spans="1:8" x14ac:dyDescent="0.3">
      <c r="A37" s="1109"/>
      <c r="B37" s="50">
        <v>36</v>
      </c>
      <c r="C37" s="23" t="s">
        <v>509</v>
      </c>
      <c r="D37" s="23" t="s">
        <v>511</v>
      </c>
      <c r="E37" s="23" t="s">
        <v>340</v>
      </c>
      <c r="F37" s="32" t="s">
        <v>483</v>
      </c>
      <c r="G37" s="26" t="s">
        <v>40</v>
      </c>
      <c r="H37" s="45">
        <v>384</v>
      </c>
    </row>
    <row r="38" spans="1:8" x14ac:dyDescent="0.3">
      <c r="A38" s="1109"/>
      <c r="B38" s="50" t="s">
        <v>29</v>
      </c>
      <c r="C38" s="23" t="s">
        <v>509</v>
      </c>
      <c r="D38" s="24" t="s">
        <v>509</v>
      </c>
      <c r="E38" s="24" t="s">
        <v>501</v>
      </c>
      <c r="F38" s="32" t="s">
        <v>483</v>
      </c>
      <c r="G38" s="32" t="s">
        <v>30</v>
      </c>
      <c r="H38" s="45">
        <v>2828.5714285714284</v>
      </c>
    </row>
    <row r="39" spans="1:8" x14ac:dyDescent="0.3">
      <c r="A39" s="1109"/>
      <c r="B39" s="50" t="s">
        <v>155</v>
      </c>
      <c r="C39" s="23" t="s">
        <v>509</v>
      </c>
      <c r="D39" s="24" t="s">
        <v>452</v>
      </c>
      <c r="E39" s="24" t="s">
        <v>501</v>
      </c>
      <c r="F39" s="32" t="s">
        <v>483</v>
      </c>
      <c r="G39" s="24" t="s">
        <v>156</v>
      </c>
      <c r="H39" s="39">
        <v>288</v>
      </c>
    </row>
    <row r="40" spans="1:8" x14ac:dyDescent="0.3">
      <c r="A40" s="1109"/>
      <c r="B40" s="50" t="s">
        <v>358</v>
      </c>
      <c r="C40" s="23" t="s">
        <v>509</v>
      </c>
      <c r="D40" s="23" t="s">
        <v>509</v>
      </c>
      <c r="E40" s="23" t="s">
        <v>496</v>
      </c>
      <c r="F40" s="32" t="s">
        <v>459</v>
      </c>
      <c r="G40" s="24" t="s">
        <v>360</v>
      </c>
      <c r="H40" s="39">
        <v>102</v>
      </c>
    </row>
    <row r="41" spans="1:8" x14ac:dyDescent="0.3">
      <c r="A41" s="1109"/>
      <c r="B41" s="53" t="s">
        <v>362</v>
      </c>
      <c r="C41" s="23" t="s">
        <v>509</v>
      </c>
      <c r="D41" s="23" t="s">
        <v>509</v>
      </c>
      <c r="E41" s="23" t="s">
        <v>497</v>
      </c>
      <c r="F41" s="32" t="s">
        <v>459</v>
      </c>
      <c r="G41" s="24" t="s">
        <v>368</v>
      </c>
      <c r="H41" s="39">
        <v>209.14285714285714</v>
      </c>
    </row>
    <row r="42" spans="1:8" x14ac:dyDescent="0.3">
      <c r="A42" s="1109"/>
      <c r="B42" s="50" t="s">
        <v>390</v>
      </c>
      <c r="C42" s="23" t="s">
        <v>509</v>
      </c>
      <c r="D42" s="23" t="s">
        <v>509</v>
      </c>
      <c r="E42" s="23" t="s">
        <v>496</v>
      </c>
      <c r="F42" s="32" t="s">
        <v>459</v>
      </c>
      <c r="G42" s="24" t="s">
        <v>398</v>
      </c>
      <c r="H42" s="39">
        <v>155.14285714285714</v>
      </c>
    </row>
    <row r="43" spans="1:8" x14ac:dyDescent="0.3">
      <c r="A43" s="1109"/>
      <c r="B43" s="50" t="s">
        <v>338</v>
      </c>
      <c r="C43" s="23" t="s">
        <v>509</v>
      </c>
      <c r="D43" s="23" t="s">
        <v>509</v>
      </c>
      <c r="E43" s="23" t="s">
        <v>496</v>
      </c>
      <c r="F43" s="32" t="s">
        <v>459</v>
      </c>
      <c r="G43" s="24" t="s">
        <v>400</v>
      </c>
      <c r="H43" s="39">
        <v>1129.7142857142858</v>
      </c>
    </row>
    <row r="44" spans="1:8" x14ac:dyDescent="0.3">
      <c r="A44" s="1109"/>
      <c r="B44" s="50" t="s">
        <v>410</v>
      </c>
      <c r="C44" s="23" t="s">
        <v>509</v>
      </c>
      <c r="D44" s="23" t="s">
        <v>509</v>
      </c>
      <c r="E44" s="23" t="s">
        <v>496</v>
      </c>
      <c r="F44" s="32" t="s">
        <v>459</v>
      </c>
      <c r="G44" s="24" t="s">
        <v>411</v>
      </c>
      <c r="H44" s="39">
        <v>848.57142857142856</v>
      </c>
    </row>
    <row r="45" spans="1:8" x14ac:dyDescent="0.3">
      <c r="A45" s="1109"/>
      <c r="B45" s="50" t="s">
        <v>63</v>
      </c>
      <c r="C45" s="23" t="s">
        <v>509</v>
      </c>
      <c r="D45" s="23" t="s">
        <v>509</v>
      </c>
      <c r="E45" s="23" t="s">
        <v>341</v>
      </c>
      <c r="F45" s="32" t="s">
        <v>494</v>
      </c>
      <c r="G45" s="32" t="s">
        <v>64</v>
      </c>
      <c r="H45" s="39">
        <v>22355.285714285714</v>
      </c>
    </row>
    <row r="46" spans="1:8" x14ac:dyDescent="0.3">
      <c r="A46" s="1109"/>
      <c r="B46" s="50" t="s">
        <v>63</v>
      </c>
      <c r="C46" s="23" t="s">
        <v>509</v>
      </c>
      <c r="D46" s="23" t="s">
        <v>509</v>
      </c>
      <c r="E46" s="23" t="s">
        <v>341</v>
      </c>
      <c r="F46" s="32" t="s">
        <v>491</v>
      </c>
      <c r="G46" s="32" t="s">
        <v>64</v>
      </c>
      <c r="H46" s="39">
        <v>22355.285714285714</v>
      </c>
    </row>
    <row r="47" spans="1:8" x14ac:dyDescent="0.3">
      <c r="A47" s="1109"/>
      <c r="B47" s="50" t="s">
        <v>91</v>
      </c>
      <c r="C47" s="23" t="s">
        <v>509</v>
      </c>
      <c r="D47" s="23" t="s">
        <v>509</v>
      </c>
      <c r="E47" s="23" t="s">
        <v>495</v>
      </c>
      <c r="F47" s="32" t="s">
        <v>466</v>
      </c>
      <c r="G47" s="32" t="s">
        <v>92</v>
      </c>
      <c r="H47" s="39">
        <v>459.42857142857144</v>
      </c>
    </row>
    <row r="48" spans="1:8" x14ac:dyDescent="0.3">
      <c r="A48" s="1109"/>
      <c r="B48" s="50" t="s">
        <v>89</v>
      </c>
      <c r="C48" s="23" t="s">
        <v>509</v>
      </c>
      <c r="D48" s="23" t="s">
        <v>509</v>
      </c>
      <c r="E48" s="23" t="s">
        <v>495</v>
      </c>
      <c r="F48" s="32" t="s">
        <v>466</v>
      </c>
      <c r="G48" s="32" t="s">
        <v>90</v>
      </c>
      <c r="H48" s="39">
        <v>456</v>
      </c>
    </row>
    <row r="49" spans="1:8" x14ac:dyDescent="0.3">
      <c r="A49" s="1109"/>
      <c r="B49" s="50" t="s">
        <v>97</v>
      </c>
      <c r="C49" s="23" t="s">
        <v>509</v>
      </c>
      <c r="D49" s="23" t="s">
        <v>509</v>
      </c>
      <c r="E49" s="23" t="s">
        <v>495</v>
      </c>
      <c r="F49" s="32" t="s">
        <v>466</v>
      </c>
      <c r="G49" s="32" t="s">
        <v>98</v>
      </c>
      <c r="H49" s="39">
        <v>264</v>
      </c>
    </row>
    <row r="50" spans="1:8" x14ac:dyDescent="0.3">
      <c r="A50" s="1109"/>
      <c r="B50" s="50" t="s">
        <v>21</v>
      </c>
      <c r="C50" s="23" t="s">
        <v>509</v>
      </c>
      <c r="D50" s="24" t="s">
        <v>509</v>
      </c>
      <c r="E50" s="24" t="s">
        <v>501</v>
      </c>
      <c r="F50" s="32" t="s">
        <v>476</v>
      </c>
      <c r="G50" s="32" t="s">
        <v>22</v>
      </c>
      <c r="H50" s="39">
        <v>2629.7142857142858</v>
      </c>
    </row>
    <row r="51" spans="1:8" x14ac:dyDescent="0.3">
      <c r="A51" s="1109"/>
      <c r="B51" s="50" t="s">
        <v>23</v>
      </c>
      <c r="C51" s="23" t="s">
        <v>509</v>
      </c>
      <c r="D51" s="24" t="s">
        <v>509</v>
      </c>
      <c r="E51" s="24" t="s">
        <v>501</v>
      </c>
      <c r="F51" s="32" t="s">
        <v>476</v>
      </c>
      <c r="G51" s="32" t="s">
        <v>24</v>
      </c>
      <c r="H51" s="39">
        <v>4687.2857142857147</v>
      </c>
    </row>
    <row r="52" spans="1:8" x14ac:dyDescent="0.3">
      <c r="A52" s="1109"/>
      <c r="B52" s="50" t="s">
        <v>25</v>
      </c>
      <c r="C52" s="23" t="s">
        <v>509</v>
      </c>
      <c r="D52" s="24" t="s">
        <v>509</v>
      </c>
      <c r="E52" s="24" t="s">
        <v>501</v>
      </c>
      <c r="F52" s="32" t="s">
        <v>476</v>
      </c>
      <c r="G52" s="32" t="s">
        <v>26</v>
      </c>
      <c r="H52" s="39">
        <v>6627.4285714285716</v>
      </c>
    </row>
    <row r="53" spans="1:8" x14ac:dyDescent="0.3">
      <c r="A53" s="1109"/>
      <c r="B53" s="50" t="s">
        <v>151</v>
      </c>
      <c r="C53" s="23" t="s">
        <v>509</v>
      </c>
      <c r="D53" s="24" t="s">
        <v>452</v>
      </c>
      <c r="E53" s="24" t="s">
        <v>501</v>
      </c>
      <c r="F53" s="32" t="s">
        <v>476</v>
      </c>
      <c r="G53" s="24" t="s">
        <v>152</v>
      </c>
      <c r="H53" s="39">
        <v>0</v>
      </c>
    </row>
    <row r="54" spans="1:8" x14ac:dyDescent="0.3">
      <c r="A54" s="1109"/>
      <c r="B54" s="50" t="s">
        <v>53</v>
      </c>
      <c r="C54" s="23" t="s">
        <v>509</v>
      </c>
      <c r="D54" s="23" t="s">
        <v>509</v>
      </c>
      <c r="E54" s="23" t="s">
        <v>495</v>
      </c>
      <c r="F54" s="32" t="s">
        <v>488</v>
      </c>
      <c r="G54" s="32" t="s">
        <v>54</v>
      </c>
      <c r="H54" s="39">
        <v>450.85714285714283</v>
      </c>
    </row>
    <row r="55" spans="1:8" x14ac:dyDescent="0.3">
      <c r="A55" s="1109"/>
      <c r="B55" s="50" t="s">
        <v>414</v>
      </c>
      <c r="C55" s="23" t="s">
        <v>509</v>
      </c>
      <c r="D55" s="23" t="s">
        <v>509</v>
      </c>
      <c r="E55" s="23" t="s">
        <v>498</v>
      </c>
      <c r="F55" s="32" t="s">
        <v>465</v>
      </c>
      <c r="G55" s="24" t="s">
        <v>416</v>
      </c>
      <c r="H55" s="39">
        <v>190.28571428571428</v>
      </c>
    </row>
    <row r="56" spans="1:8" x14ac:dyDescent="0.3">
      <c r="A56" s="1109"/>
      <c r="B56" s="50" t="s">
        <v>415</v>
      </c>
      <c r="C56" s="23" t="s">
        <v>509</v>
      </c>
      <c r="D56" s="23" t="s">
        <v>509</v>
      </c>
      <c r="E56" s="23" t="s">
        <v>498</v>
      </c>
      <c r="F56" s="32" t="s">
        <v>465</v>
      </c>
      <c r="G56" s="24" t="s">
        <v>417</v>
      </c>
      <c r="H56" s="39">
        <v>48</v>
      </c>
    </row>
    <row r="57" spans="1:8" x14ac:dyDescent="0.3">
      <c r="A57" s="1109"/>
      <c r="B57" s="50" t="s">
        <v>339</v>
      </c>
      <c r="C57" s="23" t="s">
        <v>509</v>
      </c>
      <c r="D57" s="23" t="s">
        <v>509</v>
      </c>
      <c r="E57" s="23" t="s">
        <v>496</v>
      </c>
      <c r="F57" s="32" t="s">
        <v>465</v>
      </c>
      <c r="G57" s="24" t="s">
        <v>418</v>
      </c>
      <c r="H57" s="39">
        <v>768</v>
      </c>
    </row>
    <row r="58" spans="1:8" x14ac:dyDescent="0.3">
      <c r="A58" s="1109"/>
      <c r="B58" s="55" t="s">
        <v>420</v>
      </c>
      <c r="C58" s="23" t="s">
        <v>509</v>
      </c>
      <c r="D58" s="23" t="s">
        <v>509</v>
      </c>
      <c r="E58" s="23" t="s">
        <v>497</v>
      </c>
      <c r="F58" s="32" t="s">
        <v>465</v>
      </c>
      <c r="G58" s="24" t="s">
        <v>422</v>
      </c>
      <c r="H58" s="39">
        <v>148</v>
      </c>
    </row>
    <row r="59" spans="1:8" x14ac:dyDescent="0.3">
      <c r="A59" s="1109"/>
      <c r="B59" s="50" t="s">
        <v>427</v>
      </c>
      <c r="C59" s="23" t="s">
        <v>509</v>
      </c>
      <c r="D59" s="23" t="s">
        <v>509</v>
      </c>
      <c r="E59" s="23" t="s">
        <v>499</v>
      </c>
      <c r="F59" s="32" t="s">
        <v>465</v>
      </c>
      <c r="G59" s="24" t="s">
        <v>428</v>
      </c>
      <c r="H59" s="39">
        <v>305.14285714285717</v>
      </c>
    </row>
    <row r="60" spans="1:8" x14ac:dyDescent="0.3">
      <c r="A60" s="1109"/>
      <c r="B60" s="50" t="s">
        <v>73</v>
      </c>
      <c r="C60" s="23" t="s">
        <v>509</v>
      </c>
      <c r="D60" s="23" t="s">
        <v>509</v>
      </c>
      <c r="E60" s="23" t="s">
        <v>495</v>
      </c>
      <c r="F60" s="32" t="s">
        <v>470</v>
      </c>
      <c r="G60" s="32" t="s">
        <v>74</v>
      </c>
      <c r="H60" s="45">
        <v>17541.714285714286</v>
      </c>
    </row>
    <row r="61" spans="1:8" x14ac:dyDescent="0.3">
      <c r="A61" s="1109"/>
      <c r="B61" s="50" t="s">
        <v>83</v>
      </c>
      <c r="C61" s="23" t="s">
        <v>509</v>
      </c>
      <c r="D61" s="23" t="s">
        <v>509</v>
      </c>
      <c r="E61" s="23" t="s">
        <v>495</v>
      </c>
      <c r="F61" s="32" t="s">
        <v>469</v>
      </c>
      <c r="G61" s="32" t="s">
        <v>84</v>
      </c>
      <c r="H61" s="39">
        <v>133.71428571428572</v>
      </c>
    </row>
    <row r="62" spans="1:8" x14ac:dyDescent="0.3">
      <c r="A62" s="1109"/>
      <c r="B62" s="50" t="s">
        <v>85</v>
      </c>
      <c r="C62" s="23" t="s">
        <v>509</v>
      </c>
      <c r="D62" s="23" t="s">
        <v>509</v>
      </c>
      <c r="E62" s="23" t="s">
        <v>495</v>
      </c>
      <c r="F62" s="32" t="s">
        <v>469</v>
      </c>
      <c r="G62" s="32" t="s">
        <v>86</v>
      </c>
      <c r="H62" s="39">
        <v>1556.5714285714287</v>
      </c>
    </row>
    <row r="63" spans="1:8" x14ac:dyDescent="0.3">
      <c r="A63" s="1109"/>
      <c r="B63" s="50" t="s">
        <v>87</v>
      </c>
      <c r="C63" s="23" t="s">
        <v>509</v>
      </c>
      <c r="D63" s="23" t="s">
        <v>509</v>
      </c>
      <c r="E63" s="23" t="s">
        <v>495</v>
      </c>
      <c r="F63" s="32" t="s">
        <v>469</v>
      </c>
      <c r="G63" s="32" t="s">
        <v>88</v>
      </c>
      <c r="H63" s="39">
        <v>92</v>
      </c>
    </row>
    <row r="64" spans="1:8" x14ac:dyDescent="0.3">
      <c r="A64" s="1109"/>
      <c r="B64" s="50" t="s">
        <v>139</v>
      </c>
      <c r="C64" s="23" t="s">
        <v>509</v>
      </c>
      <c r="D64" s="23" t="s">
        <v>509</v>
      </c>
      <c r="E64" s="23" t="s">
        <v>495</v>
      </c>
      <c r="F64" s="32" t="s">
        <v>474</v>
      </c>
      <c r="G64" s="32" t="s">
        <v>140</v>
      </c>
      <c r="H64" s="39">
        <v>336</v>
      </c>
    </row>
    <row r="65" spans="1:8" x14ac:dyDescent="0.3">
      <c r="A65" s="1109"/>
      <c r="B65" s="50" t="s">
        <v>141</v>
      </c>
      <c r="C65" s="23" t="s">
        <v>509</v>
      </c>
      <c r="D65" s="23" t="s">
        <v>509</v>
      </c>
      <c r="E65" s="23" t="s">
        <v>495</v>
      </c>
      <c r="F65" s="32" t="s">
        <v>474</v>
      </c>
      <c r="G65" s="32" t="s">
        <v>142</v>
      </c>
      <c r="H65" s="39">
        <v>222.85714285714286</v>
      </c>
    </row>
    <row r="66" spans="1:8" x14ac:dyDescent="0.3">
      <c r="A66" s="1109"/>
      <c r="B66" s="50" t="s">
        <v>137</v>
      </c>
      <c r="C66" s="23" t="s">
        <v>509</v>
      </c>
      <c r="D66" s="23" t="s">
        <v>509</v>
      </c>
      <c r="E66" s="23" t="s">
        <v>495</v>
      </c>
      <c r="F66" s="32" t="s">
        <v>474</v>
      </c>
      <c r="G66" s="32" t="s">
        <v>138</v>
      </c>
      <c r="H66" s="39">
        <v>378.85714285714283</v>
      </c>
    </row>
    <row r="67" spans="1:8" x14ac:dyDescent="0.3">
      <c r="A67" s="1109"/>
      <c r="B67" s="50" t="s">
        <v>125</v>
      </c>
      <c r="C67" s="23" t="s">
        <v>509</v>
      </c>
      <c r="D67" s="23" t="s">
        <v>509</v>
      </c>
      <c r="E67" s="23" t="s">
        <v>495</v>
      </c>
      <c r="F67" s="32" t="s">
        <v>480</v>
      </c>
      <c r="G67" s="32" t="s">
        <v>126</v>
      </c>
      <c r="H67" s="39">
        <v>399.42857142857144</v>
      </c>
    </row>
    <row r="68" spans="1:8" x14ac:dyDescent="0.3">
      <c r="A68" s="1109"/>
      <c r="B68" s="50" t="s">
        <v>131</v>
      </c>
      <c r="C68" s="23" t="s">
        <v>509</v>
      </c>
      <c r="D68" s="23" t="s">
        <v>509</v>
      </c>
      <c r="E68" s="23" t="s">
        <v>495</v>
      </c>
      <c r="F68" s="32" t="s">
        <v>480</v>
      </c>
      <c r="G68" s="32" t="s">
        <v>132</v>
      </c>
      <c r="H68" s="39">
        <v>399.42857142857144</v>
      </c>
    </row>
    <row r="69" spans="1:8" x14ac:dyDescent="0.3">
      <c r="A69" s="1109"/>
      <c r="B69" s="53" t="s">
        <v>361</v>
      </c>
      <c r="C69" s="23" t="s">
        <v>509</v>
      </c>
      <c r="D69" s="23" t="s">
        <v>509</v>
      </c>
      <c r="E69" s="23" t="s">
        <v>495</v>
      </c>
      <c r="F69" s="32" t="s">
        <v>480</v>
      </c>
      <c r="G69" s="24" t="s">
        <v>367</v>
      </c>
      <c r="H69" s="39">
        <v>140.57142857142858</v>
      </c>
    </row>
    <row r="70" spans="1:8" x14ac:dyDescent="0.3">
      <c r="A70" s="1109"/>
      <c r="B70" s="53" t="s">
        <v>389</v>
      </c>
      <c r="C70" s="23" t="s">
        <v>509</v>
      </c>
      <c r="D70" s="23" t="s">
        <v>509</v>
      </c>
      <c r="E70" s="23" t="s">
        <v>495</v>
      </c>
      <c r="F70" s="32" t="s">
        <v>480</v>
      </c>
      <c r="G70" s="24" t="s">
        <v>397</v>
      </c>
      <c r="H70" s="39">
        <v>240</v>
      </c>
    </row>
    <row r="71" spans="1:8" x14ac:dyDescent="0.3">
      <c r="A71" s="1109"/>
      <c r="B71" s="50">
        <v>37</v>
      </c>
      <c r="C71" s="23" t="s">
        <v>509</v>
      </c>
      <c r="D71" s="24" t="s">
        <v>509</v>
      </c>
      <c r="E71" s="24" t="s">
        <v>502</v>
      </c>
      <c r="F71" s="32" t="s">
        <v>480</v>
      </c>
      <c r="G71" s="24" t="s">
        <v>143</v>
      </c>
      <c r="H71" s="45">
        <v>243.42857142857142</v>
      </c>
    </row>
    <row r="72" spans="1:8" x14ac:dyDescent="0.3">
      <c r="A72" s="1109"/>
      <c r="B72" s="50">
        <v>38</v>
      </c>
      <c r="C72" s="23" t="s">
        <v>509</v>
      </c>
      <c r="D72" s="24" t="s">
        <v>509</v>
      </c>
      <c r="E72" s="24" t="s">
        <v>502</v>
      </c>
      <c r="F72" s="32" t="s">
        <v>480</v>
      </c>
      <c r="G72" s="24" t="s">
        <v>144</v>
      </c>
      <c r="H72" s="45">
        <v>308.57142857142856</v>
      </c>
    </row>
    <row r="73" spans="1:8" x14ac:dyDescent="0.3">
      <c r="A73" s="1109"/>
      <c r="B73" s="50">
        <v>40</v>
      </c>
      <c r="C73" s="23" t="s">
        <v>509</v>
      </c>
      <c r="D73" s="24" t="s">
        <v>509</v>
      </c>
      <c r="E73" s="24" t="s">
        <v>502</v>
      </c>
      <c r="F73" s="32" t="s">
        <v>480</v>
      </c>
      <c r="G73" s="24" t="s">
        <v>145</v>
      </c>
      <c r="H73" s="45">
        <v>100</v>
      </c>
    </row>
    <row r="74" spans="1:8" x14ac:dyDescent="0.3">
      <c r="A74" s="1109"/>
      <c r="B74" s="50">
        <v>41</v>
      </c>
      <c r="C74" s="23" t="s">
        <v>509</v>
      </c>
      <c r="D74" s="24" t="s">
        <v>509</v>
      </c>
      <c r="E74" s="24" t="s">
        <v>502</v>
      </c>
      <c r="F74" s="32" t="s">
        <v>480</v>
      </c>
      <c r="G74" s="24" t="s">
        <v>146</v>
      </c>
      <c r="H74" s="45">
        <v>370.28571428571428</v>
      </c>
    </row>
    <row r="75" spans="1:8" x14ac:dyDescent="0.3">
      <c r="A75" s="1109"/>
      <c r="B75" s="50">
        <v>42</v>
      </c>
      <c r="C75" s="23" t="s">
        <v>509</v>
      </c>
      <c r="D75" s="24" t="s">
        <v>509</v>
      </c>
      <c r="E75" s="24" t="s">
        <v>502</v>
      </c>
      <c r="F75" s="32" t="s">
        <v>480</v>
      </c>
      <c r="G75" s="24" t="s">
        <v>147</v>
      </c>
      <c r="H75" s="45">
        <v>60</v>
      </c>
    </row>
    <row r="76" spans="1:8" x14ac:dyDescent="0.3">
      <c r="A76" s="1109"/>
      <c r="B76" s="50">
        <v>43</v>
      </c>
      <c r="C76" s="23" t="s">
        <v>509</v>
      </c>
      <c r="D76" s="24" t="s">
        <v>509</v>
      </c>
      <c r="E76" s="24" t="s">
        <v>502</v>
      </c>
      <c r="F76" s="32" t="s">
        <v>480</v>
      </c>
      <c r="G76" s="24" t="s">
        <v>148</v>
      </c>
      <c r="H76" s="45">
        <v>418.28571428571428</v>
      </c>
    </row>
    <row r="77" spans="1:8" x14ac:dyDescent="0.3">
      <c r="A77" s="1109"/>
      <c r="B77" s="50">
        <v>50</v>
      </c>
      <c r="C77" s="23" t="s">
        <v>509</v>
      </c>
      <c r="D77" s="24" t="s">
        <v>509</v>
      </c>
      <c r="E77" s="24" t="s">
        <v>502</v>
      </c>
      <c r="F77" s="32" t="s">
        <v>480</v>
      </c>
      <c r="G77" s="24" t="s">
        <v>149</v>
      </c>
      <c r="H77" s="39">
        <v>126.85714285714286</v>
      </c>
    </row>
    <row r="78" spans="1:8" x14ac:dyDescent="0.3">
      <c r="A78" s="1109"/>
      <c r="B78" s="50">
        <v>51</v>
      </c>
      <c r="C78" s="23" t="s">
        <v>509</v>
      </c>
      <c r="D78" s="24" t="s">
        <v>509</v>
      </c>
      <c r="E78" s="24" t="s">
        <v>502</v>
      </c>
      <c r="F78" s="32" t="s">
        <v>480</v>
      </c>
      <c r="G78" s="24" t="s">
        <v>150</v>
      </c>
      <c r="H78" s="39">
        <v>132</v>
      </c>
    </row>
    <row r="79" spans="1:8" x14ac:dyDescent="0.3">
      <c r="A79" s="1109"/>
      <c r="B79" s="50" t="s">
        <v>157</v>
      </c>
      <c r="C79" s="23" t="s">
        <v>509</v>
      </c>
      <c r="D79" s="24" t="s">
        <v>509</v>
      </c>
      <c r="E79" s="24" t="s">
        <v>502</v>
      </c>
      <c r="F79" s="32" t="s">
        <v>480</v>
      </c>
      <c r="G79" s="24" t="s">
        <v>158</v>
      </c>
      <c r="H79" s="45">
        <v>150</v>
      </c>
    </row>
    <row r="80" spans="1:8" x14ac:dyDescent="0.3">
      <c r="A80" s="1109"/>
      <c r="B80" s="50" t="s">
        <v>159</v>
      </c>
      <c r="C80" s="23" t="s">
        <v>509</v>
      </c>
      <c r="D80" s="24" t="s">
        <v>509</v>
      </c>
      <c r="E80" s="24" t="s">
        <v>502</v>
      </c>
      <c r="F80" s="32" t="s">
        <v>480</v>
      </c>
      <c r="G80" s="24" t="s">
        <v>160</v>
      </c>
      <c r="H80" s="45">
        <v>354</v>
      </c>
    </row>
    <row r="81" spans="1:8" x14ac:dyDescent="0.3">
      <c r="A81" s="1109"/>
      <c r="B81" s="50" t="s">
        <v>161</v>
      </c>
      <c r="C81" s="23" t="s">
        <v>509</v>
      </c>
      <c r="D81" s="24" t="s">
        <v>509</v>
      </c>
      <c r="E81" s="24" t="s">
        <v>502</v>
      </c>
      <c r="F81" s="32" t="s">
        <v>480</v>
      </c>
      <c r="G81" s="24" t="s">
        <v>162</v>
      </c>
      <c r="H81" s="45">
        <v>168</v>
      </c>
    </row>
    <row r="82" spans="1:8" x14ac:dyDescent="0.3">
      <c r="A82" s="1109"/>
      <c r="B82" s="50" t="s">
        <v>163</v>
      </c>
      <c r="C82" s="23" t="s">
        <v>509</v>
      </c>
      <c r="D82" s="24" t="s">
        <v>509</v>
      </c>
      <c r="E82" s="24" t="s">
        <v>502</v>
      </c>
      <c r="F82" s="32" t="s">
        <v>480</v>
      </c>
      <c r="G82" s="24" t="s">
        <v>164</v>
      </c>
      <c r="H82" s="45">
        <v>38.5</v>
      </c>
    </row>
    <row r="83" spans="1:8" x14ac:dyDescent="0.3">
      <c r="A83" s="1109"/>
      <c r="B83" s="50" t="s">
        <v>165</v>
      </c>
      <c r="C83" s="23" t="s">
        <v>509</v>
      </c>
      <c r="D83" s="24" t="s">
        <v>509</v>
      </c>
      <c r="E83" s="24" t="s">
        <v>502</v>
      </c>
      <c r="F83" s="32" t="s">
        <v>480</v>
      </c>
      <c r="G83" s="24" t="s">
        <v>166</v>
      </c>
      <c r="H83" s="45">
        <v>113.14285714285714</v>
      </c>
    </row>
    <row r="84" spans="1:8" x14ac:dyDescent="0.3">
      <c r="A84" s="1109"/>
      <c r="B84" s="50" t="s">
        <v>167</v>
      </c>
      <c r="C84" s="23" t="s">
        <v>509</v>
      </c>
      <c r="D84" s="24" t="s">
        <v>509</v>
      </c>
      <c r="E84" s="24" t="s">
        <v>502</v>
      </c>
      <c r="F84" s="32" t="s">
        <v>480</v>
      </c>
      <c r="G84" s="24" t="s">
        <v>168</v>
      </c>
      <c r="H84" s="45">
        <v>72</v>
      </c>
    </row>
    <row r="85" spans="1:8" x14ac:dyDescent="0.3">
      <c r="A85" s="1109"/>
      <c r="B85" s="50" t="s">
        <v>169</v>
      </c>
      <c r="C85" s="23" t="s">
        <v>509</v>
      </c>
      <c r="D85" s="24" t="s">
        <v>509</v>
      </c>
      <c r="E85" s="24" t="s">
        <v>502</v>
      </c>
      <c r="F85" s="32" t="s">
        <v>480</v>
      </c>
      <c r="G85" s="24" t="s">
        <v>170</v>
      </c>
      <c r="H85" s="45">
        <v>464.57142857142856</v>
      </c>
    </row>
    <row r="86" spans="1:8" x14ac:dyDescent="0.3">
      <c r="A86" s="1109"/>
      <c r="B86" s="50" t="s">
        <v>171</v>
      </c>
      <c r="C86" s="23" t="s">
        <v>509</v>
      </c>
      <c r="D86" s="24" t="s">
        <v>509</v>
      </c>
      <c r="E86" s="24" t="s">
        <v>502</v>
      </c>
      <c r="F86" s="32" t="s">
        <v>480</v>
      </c>
      <c r="G86" s="24" t="s">
        <v>172</v>
      </c>
      <c r="H86" s="45">
        <v>279.42857142857144</v>
      </c>
    </row>
    <row r="87" spans="1:8" x14ac:dyDescent="0.3">
      <c r="A87" s="1109"/>
      <c r="B87" s="50" t="s">
        <v>173</v>
      </c>
      <c r="C87" s="23" t="s">
        <v>509</v>
      </c>
      <c r="D87" s="24" t="s">
        <v>509</v>
      </c>
      <c r="E87" s="24" t="s">
        <v>502</v>
      </c>
      <c r="F87" s="32" t="s">
        <v>480</v>
      </c>
      <c r="G87" s="24" t="s">
        <v>174</v>
      </c>
      <c r="H87" s="45">
        <v>786.85714285714289</v>
      </c>
    </row>
    <row r="88" spans="1:8" x14ac:dyDescent="0.3">
      <c r="A88" s="1109"/>
      <c r="B88" s="50" t="s">
        <v>175</v>
      </c>
      <c r="C88" s="23" t="s">
        <v>509</v>
      </c>
      <c r="D88" s="24" t="s">
        <v>509</v>
      </c>
      <c r="E88" s="24" t="s">
        <v>502</v>
      </c>
      <c r="F88" s="32" t="s">
        <v>480</v>
      </c>
      <c r="G88" s="24" t="s">
        <v>176</v>
      </c>
      <c r="H88" s="45">
        <v>257.14285714285717</v>
      </c>
    </row>
    <row r="89" spans="1:8" x14ac:dyDescent="0.3">
      <c r="A89" s="1109"/>
      <c r="B89" s="50" t="s">
        <v>177</v>
      </c>
      <c r="C89" s="23" t="s">
        <v>509</v>
      </c>
      <c r="D89" s="24" t="s">
        <v>509</v>
      </c>
      <c r="E89" s="24" t="s">
        <v>502</v>
      </c>
      <c r="F89" s="32" t="s">
        <v>480</v>
      </c>
      <c r="G89" s="24" t="s">
        <v>178</v>
      </c>
      <c r="H89" s="45">
        <v>714.85714285714289</v>
      </c>
    </row>
    <row r="90" spans="1:8" x14ac:dyDescent="0.3">
      <c r="A90" s="1109"/>
      <c r="B90" s="50" t="s">
        <v>179</v>
      </c>
      <c r="C90" s="23" t="s">
        <v>509</v>
      </c>
      <c r="D90" s="24" t="s">
        <v>509</v>
      </c>
      <c r="E90" s="24" t="s">
        <v>502</v>
      </c>
      <c r="F90" s="32" t="s">
        <v>480</v>
      </c>
      <c r="G90" s="24" t="s">
        <v>180</v>
      </c>
      <c r="H90" s="45">
        <v>0</v>
      </c>
    </row>
    <row r="91" spans="1:8" x14ac:dyDescent="0.3">
      <c r="A91" s="1109"/>
      <c r="B91" s="50" t="s">
        <v>183</v>
      </c>
      <c r="C91" s="23" t="s">
        <v>509</v>
      </c>
      <c r="D91" s="24" t="s">
        <v>509</v>
      </c>
      <c r="E91" s="24" t="s">
        <v>502</v>
      </c>
      <c r="F91" s="32" t="s">
        <v>480</v>
      </c>
      <c r="G91" s="24" t="s">
        <v>184</v>
      </c>
      <c r="H91" s="39">
        <v>77.142857142857139</v>
      </c>
    </row>
    <row r="92" spans="1:8" x14ac:dyDescent="0.3">
      <c r="A92" s="1109"/>
      <c r="B92" s="50" t="s">
        <v>185</v>
      </c>
      <c r="C92" s="23" t="s">
        <v>509</v>
      </c>
      <c r="D92" s="24" t="s">
        <v>509</v>
      </c>
      <c r="E92" s="24" t="s">
        <v>502</v>
      </c>
      <c r="F92" s="32" t="s">
        <v>480</v>
      </c>
      <c r="G92" s="24" t="s">
        <v>186</v>
      </c>
      <c r="H92" s="39">
        <v>84</v>
      </c>
    </row>
    <row r="93" spans="1:8" x14ac:dyDescent="0.3">
      <c r="A93" s="1109"/>
      <c r="B93" s="50" t="s">
        <v>187</v>
      </c>
      <c r="C93" s="23" t="s">
        <v>509</v>
      </c>
      <c r="D93" s="24" t="s">
        <v>509</v>
      </c>
      <c r="E93" s="24" t="s">
        <v>502</v>
      </c>
      <c r="F93" s="32" t="s">
        <v>480</v>
      </c>
      <c r="G93" s="24" t="s">
        <v>188</v>
      </c>
      <c r="H93" s="39">
        <v>120</v>
      </c>
    </row>
    <row r="94" spans="1:8" x14ac:dyDescent="0.3">
      <c r="A94" s="1109"/>
      <c r="B94" s="50" t="s">
        <v>189</v>
      </c>
      <c r="C94" s="23" t="s">
        <v>509</v>
      </c>
      <c r="D94" s="24" t="s">
        <v>509</v>
      </c>
      <c r="E94" s="24" t="s">
        <v>502</v>
      </c>
      <c r="F94" s="32" t="s">
        <v>480</v>
      </c>
      <c r="G94" s="24" t="s">
        <v>190</v>
      </c>
      <c r="H94" s="45">
        <v>186.85714285714286</v>
      </c>
    </row>
    <row r="95" spans="1:8" x14ac:dyDescent="0.3">
      <c r="A95" s="1109"/>
      <c r="B95" s="50" t="s">
        <v>191</v>
      </c>
      <c r="C95" s="23" t="s">
        <v>509</v>
      </c>
      <c r="D95" s="24" t="s">
        <v>509</v>
      </c>
      <c r="E95" s="24" t="s">
        <v>502</v>
      </c>
      <c r="F95" s="32" t="s">
        <v>480</v>
      </c>
      <c r="G95" s="24" t="s">
        <v>192</v>
      </c>
      <c r="H95" s="45">
        <v>456</v>
      </c>
    </row>
    <row r="96" spans="1:8" x14ac:dyDescent="0.3">
      <c r="A96" s="1109"/>
      <c r="B96" s="50" t="s">
        <v>193</v>
      </c>
      <c r="C96" s="23" t="s">
        <v>509</v>
      </c>
      <c r="D96" s="24" t="s">
        <v>509</v>
      </c>
      <c r="E96" s="24" t="s">
        <v>502</v>
      </c>
      <c r="F96" s="32" t="s">
        <v>480</v>
      </c>
      <c r="G96" s="24" t="s">
        <v>194</v>
      </c>
      <c r="H96" s="45">
        <v>531.42857142857144</v>
      </c>
    </row>
    <row r="97" spans="1:8" x14ac:dyDescent="0.3">
      <c r="A97" s="1109"/>
      <c r="B97" s="50" t="s">
        <v>195</v>
      </c>
      <c r="C97" s="23" t="s">
        <v>509</v>
      </c>
      <c r="D97" s="24" t="s">
        <v>509</v>
      </c>
      <c r="E97" s="24" t="s">
        <v>502</v>
      </c>
      <c r="F97" s="32" t="s">
        <v>480</v>
      </c>
      <c r="G97" s="24" t="s">
        <v>196</v>
      </c>
      <c r="H97" s="45">
        <v>156</v>
      </c>
    </row>
    <row r="98" spans="1:8" x14ac:dyDescent="0.3">
      <c r="A98" s="1109"/>
      <c r="B98" s="50" t="s">
        <v>197</v>
      </c>
      <c r="C98" s="23" t="s">
        <v>509</v>
      </c>
      <c r="D98" s="24" t="s">
        <v>509</v>
      </c>
      <c r="E98" s="24" t="s">
        <v>502</v>
      </c>
      <c r="F98" s="32" t="s">
        <v>480</v>
      </c>
      <c r="G98" s="24" t="s">
        <v>198</v>
      </c>
      <c r="H98" s="45">
        <v>64</v>
      </c>
    </row>
    <row r="99" spans="1:8" x14ac:dyDescent="0.3">
      <c r="A99" s="1109"/>
      <c r="B99" s="50" t="s">
        <v>199</v>
      </c>
      <c r="C99" s="23" t="s">
        <v>509</v>
      </c>
      <c r="D99" s="24" t="s">
        <v>509</v>
      </c>
      <c r="E99" s="24" t="s">
        <v>502</v>
      </c>
      <c r="F99" s="32" t="s">
        <v>480</v>
      </c>
      <c r="G99" s="24" t="s">
        <v>200</v>
      </c>
      <c r="H99" s="45">
        <v>478.28571428571428</v>
      </c>
    </row>
    <row r="100" spans="1:8" x14ac:dyDescent="0.3">
      <c r="A100" s="1109"/>
      <c r="B100" s="50" t="s">
        <v>201</v>
      </c>
      <c r="C100" s="23" t="s">
        <v>509</v>
      </c>
      <c r="D100" s="24" t="s">
        <v>509</v>
      </c>
      <c r="E100" s="24" t="s">
        <v>502</v>
      </c>
      <c r="F100" s="32" t="s">
        <v>480</v>
      </c>
      <c r="G100" s="24" t="s">
        <v>202</v>
      </c>
      <c r="H100" s="45">
        <v>40</v>
      </c>
    </row>
    <row r="101" spans="1:8" x14ac:dyDescent="0.3">
      <c r="A101" s="1109"/>
      <c r="B101" s="50" t="s">
        <v>203</v>
      </c>
      <c r="C101" s="23" t="s">
        <v>509</v>
      </c>
      <c r="D101" s="24" t="s">
        <v>509</v>
      </c>
      <c r="E101" s="24" t="s">
        <v>502</v>
      </c>
      <c r="F101" s="32" t="s">
        <v>480</v>
      </c>
      <c r="G101" s="24" t="s">
        <v>204</v>
      </c>
      <c r="H101" s="45">
        <v>96</v>
      </c>
    </row>
    <row r="102" spans="1:8" x14ac:dyDescent="0.3">
      <c r="A102" s="1109"/>
      <c r="B102" s="55" t="s">
        <v>404</v>
      </c>
      <c r="C102" s="23" t="s">
        <v>509</v>
      </c>
      <c r="D102" s="24" t="s">
        <v>509</v>
      </c>
      <c r="E102" s="24" t="s">
        <v>502</v>
      </c>
      <c r="F102" s="32" t="s">
        <v>480</v>
      </c>
      <c r="G102" s="24" t="s">
        <v>406</v>
      </c>
      <c r="H102" s="45">
        <v>42</v>
      </c>
    </row>
    <row r="103" spans="1:8" x14ac:dyDescent="0.3">
      <c r="A103" s="1109"/>
      <c r="B103" s="50" t="s">
        <v>405</v>
      </c>
      <c r="C103" s="23" t="s">
        <v>509</v>
      </c>
      <c r="D103" s="24" t="s">
        <v>509</v>
      </c>
      <c r="E103" s="24" t="s">
        <v>502</v>
      </c>
      <c r="F103" s="32" t="s">
        <v>480</v>
      </c>
      <c r="G103" s="24" t="s">
        <v>407</v>
      </c>
      <c r="H103" s="45">
        <v>110.4</v>
      </c>
    </row>
    <row r="104" spans="1:8" x14ac:dyDescent="0.3">
      <c r="A104" s="1109"/>
      <c r="B104" s="50" t="s">
        <v>205</v>
      </c>
      <c r="C104" s="23" t="s">
        <v>509</v>
      </c>
      <c r="D104" s="24" t="s">
        <v>509</v>
      </c>
      <c r="E104" s="24" t="s">
        <v>502</v>
      </c>
      <c r="F104" s="32" t="s">
        <v>480</v>
      </c>
      <c r="G104" s="24" t="s">
        <v>206</v>
      </c>
      <c r="H104" s="45">
        <v>209.14285714285714</v>
      </c>
    </row>
    <row r="105" spans="1:8" x14ac:dyDescent="0.3">
      <c r="A105" s="1109"/>
      <c r="B105" s="50" t="s">
        <v>207</v>
      </c>
      <c r="C105" s="23" t="s">
        <v>509</v>
      </c>
      <c r="D105" s="24" t="s">
        <v>509</v>
      </c>
      <c r="E105" s="24" t="s">
        <v>502</v>
      </c>
      <c r="F105" s="32" t="s">
        <v>480</v>
      </c>
      <c r="G105" s="24" t="s">
        <v>208</v>
      </c>
      <c r="H105" s="45">
        <v>233.14285714285714</v>
      </c>
    </row>
    <row r="106" spans="1:8" x14ac:dyDescent="0.3">
      <c r="A106" s="1109"/>
      <c r="B106" s="50" t="s">
        <v>209</v>
      </c>
      <c r="C106" s="23" t="s">
        <v>509</v>
      </c>
      <c r="D106" s="24" t="s">
        <v>509</v>
      </c>
      <c r="E106" s="24" t="s">
        <v>502</v>
      </c>
      <c r="F106" s="32" t="s">
        <v>480</v>
      </c>
      <c r="G106" s="24" t="s">
        <v>210</v>
      </c>
      <c r="H106" s="45">
        <v>493.71428571428572</v>
      </c>
    </row>
    <row r="107" spans="1:8" x14ac:dyDescent="0.3">
      <c r="A107" s="1109"/>
      <c r="B107" s="50" t="s">
        <v>211</v>
      </c>
      <c r="C107" s="23" t="s">
        <v>509</v>
      </c>
      <c r="D107" s="24" t="s">
        <v>509</v>
      </c>
      <c r="E107" s="24" t="s">
        <v>502</v>
      </c>
      <c r="F107" s="32" t="s">
        <v>480</v>
      </c>
      <c r="G107" s="24" t="s">
        <v>212</v>
      </c>
      <c r="H107" s="45">
        <v>482.28571428571428</v>
      </c>
    </row>
    <row r="108" spans="1:8" x14ac:dyDescent="0.3">
      <c r="A108" s="1109"/>
      <c r="B108" s="50" t="s">
        <v>213</v>
      </c>
      <c r="C108" s="23" t="s">
        <v>509</v>
      </c>
      <c r="D108" s="24" t="s">
        <v>509</v>
      </c>
      <c r="E108" s="24" t="s">
        <v>502</v>
      </c>
      <c r="F108" s="32" t="s">
        <v>480</v>
      </c>
      <c r="G108" s="24" t="s">
        <v>212</v>
      </c>
      <c r="H108" s="45">
        <v>0</v>
      </c>
    </row>
    <row r="109" spans="1:8" x14ac:dyDescent="0.3">
      <c r="A109" s="1109"/>
      <c r="B109" s="50" t="s">
        <v>214</v>
      </c>
      <c r="C109" s="23" t="s">
        <v>509</v>
      </c>
      <c r="D109" s="24" t="s">
        <v>509</v>
      </c>
      <c r="E109" s="24" t="s">
        <v>502</v>
      </c>
      <c r="F109" s="32" t="s">
        <v>480</v>
      </c>
      <c r="G109" s="24" t="s">
        <v>215</v>
      </c>
      <c r="H109" s="45">
        <v>473.14285714285717</v>
      </c>
    </row>
    <row r="110" spans="1:8" x14ac:dyDescent="0.3">
      <c r="A110" s="1109"/>
      <c r="B110" s="50" t="s">
        <v>216</v>
      </c>
      <c r="C110" s="23" t="s">
        <v>509</v>
      </c>
      <c r="D110" s="24" t="s">
        <v>509</v>
      </c>
      <c r="E110" s="24" t="s">
        <v>502</v>
      </c>
      <c r="F110" s="32" t="s">
        <v>480</v>
      </c>
      <c r="G110" s="24" t="s">
        <v>217</v>
      </c>
      <c r="H110" s="45">
        <v>85.714285714285708</v>
      </c>
    </row>
    <row r="111" spans="1:8" x14ac:dyDescent="0.3">
      <c r="A111" s="1109"/>
      <c r="B111" s="50" t="s">
        <v>218</v>
      </c>
      <c r="C111" s="23" t="s">
        <v>509</v>
      </c>
      <c r="D111" s="24" t="s">
        <v>509</v>
      </c>
      <c r="E111" s="24" t="s">
        <v>502</v>
      </c>
      <c r="F111" s="32" t="s">
        <v>480</v>
      </c>
      <c r="G111" s="24" t="s">
        <v>219</v>
      </c>
      <c r="H111" s="39">
        <v>145.71428571428572</v>
      </c>
    </row>
    <row r="112" spans="1:8" x14ac:dyDescent="0.3">
      <c r="A112" s="1109"/>
      <c r="B112" s="50" t="s">
        <v>220</v>
      </c>
      <c r="C112" s="23" t="s">
        <v>509</v>
      </c>
      <c r="D112" s="24" t="s">
        <v>509</v>
      </c>
      <c r="E112" s="24" t="s">
        <v>502</v>
      </c>
      <c r="F112" s="32" t="s">
        <v>480</v>
      </c>
      <c r="G112" s="24" t="s">
        <v>221</v>
      </c>
      <c r="H112" s="45">
        <v>72</v>
      </c>
    </row>
    <row r="113" spans="1:8" x14ac:dyDescent="0.3">
      <c r="A113" s="1109"/>
      <c r="B113" s="50" t="s">
        <v>222</v>
      </c>
      <c r="C113" s="23" t="s">
        <v>509</v>
      </c>
      <c r="D113" s="24" t="s">
        <v>509</v>
      </c>
      <c r="E113" s="24" t="s">
        <v>502</v>
      </c>
      <c r="F113" s="32" t="s">
        <v>480</v>
      </c>
      <c r="G113" s="24" t="s">
        <v>223</v>
      </c>
      <c r="H113" s="45">
        <v>855.42857142857144</v>
      </c>
    </row>
    <row r="114" spans="1:8" x14ac:dyDescent="0.3">
      <c r="A114" s="1109"/>
      <c r="B114" s="53" t="s">
        <v>419</v>
      </c>
      <c r="C114" s="23" t="s">
        <v>509</v>
      </c>
      <c r="D114" s="24" t="s">
        <v>509</v>
      </c>
      <c r="E114" s="24" t="s">
        <v>502</v>
      </c>
      <c r="F114" s="32" t="s">
        <v>480</v>
      </c>
      <c r="G114" s="24" t="s">
        <v>421</v>
      </c>
      <c r="H114" s="45">
        <v>317.14285714285717</v>
      </c>
    </row>
    <row r="115" spans="1:8" x14ac:dyDescent="0.3">
      <c r="A115" s="1109"/>
      <c r="B115" s="50" t="s">
        <v>224</v>
      </c>
      <c r="C115" s="23" t="s">
        <v>509</v>
      </c>
      <c r="D115" s="24" t="s">
        <v>509</v>
      </c>
      <c r="E115" s="24" t="s">
        <v>502</v>
      </c>
      <c r="F115" s="32" t="s">
        <v>480</v>
      </c>
      <c r="G115" s="24" t="s">
        <v>145</v>
      </c>
      <c r="H115" s="45">
        <v>169.71428571428572</v>
      </c>
    </row>
    <row r="116" spans="1:8" x14ac:dyDescent="0.3">
      <c r="A116" s="1109"/>
      <c r="B116" s="50" t="s">
        <v>225</v>
      </c>
      <c r="C116" s="23" t="s">
        <v>509</v>
      </c>
      <c r="D116" s="24" t="s">
        <v>509</v>
      </c>
      <c r="E116" s="24" t="s">
        <v>502</v>
      </c>
      <c r="F116" s="32" t="s">
        <v>480</v>
      </c>
      <c r="G116" s="24" t="s">
        <v>226</v>
      </c>
      <c r="H116" s="45">
        <v>248.57142857142858</v>
      </c>
    </row>
    <row r="117" spans="1:8" x14ac:dyDescent="0.3">
      <c r="A117" s="1109"/>
      <c r="B117" s="50" t="s">
        <v>443</v>
      </c>
      <c r="C117" s="23" t="s">
        <v>509</v>
      </c>
      <c r="D117" s="24" t="s">
        <v>509</v>
      </c>
      <c r="E117" s="24" t="s">
        <v>502</v>
      </c>
      <c r="F117" s="32" t="s">
        <v>480</v>
      </c>
      <c r="G117" s="24" t="s">
        <v>448</v>
      </c>
      <c r="H117" s="45">
        <v>0</v>
      </c>
    </row>
    <row r="118" spans="1:8" x14ac:dyDescent="0.3">
      <c r="A118" s="1109"/>
      <c r="B118" s="53" t="s">
        <v>388</v>
      </c>
      <c r="C118" s="23" t="s">
        <v>509</v>
      </c>
      <c r="D118" s="23" t="s">
        <v>509</v>
      </c>
      <c r="E118" s="23" t="s">
        <v>495</v>
      </c>
      <c r="F118" s="32" t="s">
        <v>493</v>
      </c>
      <c r="G118" s="24" t="s">
        <v>396</v>
      </c>
      <c r="H118" s="39">
        <v>390.85714285714283</v>
      </c>
    </row>
    <row r="119" spans="1:8" x14ac:dyDescent="0.3">
      <c r="A119" s="1109"/>
      <c r="B119" s="53" t="s">
        <v>432</v>
      </c>
      <c r="C119" s="23" t="s">
        <v>509</v>
      </c>
      <c r="D119" s="23" t="s">
        <v>509</v>
      </c>
      <c r="E119" s="23" t="s">
        <v>500</v>
      </c>
      <c r="F119" s="32" t="s">
        <v>493</v>
      </c>
      <c r="G119" s="24" t="s">
        <v>434</v>
      </c>
      <c r="H119" s="39">
        <v>165.14285714285714</v>
      </c>
    </row>
    <row r="120" spans="1:8" x14ac:dyDescent="0.3">
      <c r="A120" s="1109"/>
      <c r="B120" s="55" t="s">
        <v>437</v>
      </c>
      <c r="C120" s="23" t="s">
        <v>509</v>
      </c>
      <c r="D120" s="23" t="s">
        <v>509</v>
      </c>
      <c r="E120" s="23" t="s">
        <v>497</v>
      </c>
      <c r="F120" s="32" t="s">
        <v>493</v>
      </c>
      <c r="G120" s="24" t="s">
        <v>438</v>
      </c>
      <c r="H120" s="39">
        <f>76+198</f>
        <v>274</v>
      </c>
    </row>
    <row r="121" spans="1:8" x14ac:dyDescent="0.3">
      <c r="A121" s="1109"/>
      <c r="B121" s="50" t="s">
        <v>153</v>
      </c>
      <c r="C121" s="23" t="s">
        <v>509</v>
      </c>
      <c r="D121" s="24" t="s">
        <v>509</v>
      </c>
      <c r="E121" s="24" t="s">
        <v>501</v>
      </c>
      <c r="F121" s="32" t="s">
        <v>493</v>
      </c>
      <c r="G121" s="24" t="s">
        <v>154</v>
      </c>
      <c r="H121" s="45">
        <v>562.28571428571433</v>
      </c>
    </row>
    <row r="122" spans="1:8" x14ac:dyDescent="0.3">
      <c r="A122" s="1109"/>
      <c r="B122" s="50" t="s">
        <v>181</v>
      </c>
      <c r="C122" s="23" t="s">
        <v>509</v>
      </c>
      <c r="D122" s="24" t="s">
        <v>509</v>
      </c>
      <c r="E122" s="24" t="s">
        <v>501</v>
      </c>
      <c r="F122" s="32" t="s">
        <v>493</v>
      </c>
      <c r="G122" s="32" t="s">
        <v>182</v>
      </c>
      <c r="H122" s="45">
        <v>1524</v>
      </c>
    </row>
    <row r="123" spans="1:8" x14ac:dyDescent="0.3">
      <c r="A123" s="1109"/>
      <c r="B123" s="50" t="s">
        <v>61</v>
      </c>
      <c r="C123" s="23" t="s">
        <v>509</v>
      </c>
      <c r="D123" s="23" t="s">
        <v>509</v>
      </c>
      <c r="E123" s="23" t="s">
        <v>495</v>
      </c>
      <c r="F123" s="32" t="s">
        <v>468</v>
      </c>
      <c r="G123" s="32" t="s">
        <v>62</v>
      </c>
      <c r="H123" s="39">
        <f>30089.1428571429+999</f>
        <v>31088.142857142899</v>
      </c>
    </row>
    <row r="124" spans="1:8" x14ac:dyDescent="0.3">
      <c r="A124" s="1109"/>
      <c r="B124" s="50" t="s">
        <v>79</v>
      </c>
      <c r="C124" s="23" t="s">
        <v>509</v>
      </c>
      <c r="D124" s="23" t="s">
        <v>509</v>
      </c>
      <c r="E124" s="23" t="s">
        <v>495</v>
      </c>
      <c r="F124" s="32" t="s">
        <v>467</v>
      </c>
      <c r="G124" s="32" t="s">
        <v>80</v>
      </c>
      <c r="H124" s="39">
        <v>1808.5714285714287</v>
      </c>
    </row>
    <row r="125" spans="1:8" x14ac:dyDescent="0.3">
      <c r="A125" s="1109"/>
      <c r="B125" s="50" t="s">
        <v>81</v>
      </c>
      <c r="C125" s="23" t="s">
        <v>509</v>
      </c>
      <c r="D125" s="23" t="s">
        <v>509</v>
      </c>
      <c r="E125" s="23" t="s">
        <v>495</v>
      </c>
      <c r="F125" s="32" t="s">
        <v>467</v>
      </c>
      <c r="G125" s="32" t="s">
        <v>82</v>
      </c>
      <c r="H125" s="39">
        <f>2022.85714285714+162</f>
        <v>2184.8571428571399</v>
      </c>
    </row>
    <row r="126" spans="1:8" x14ac:dyDescent="0.3">
      <c r="A126" s="1109"/>
      <c r="B126" s="50" t="s">
        <v>93</v>
      </c>
      <c r="C126" s="23" t="s">
        <v>509</v>
      </c>
      <c r="D126" s="23" t="s">
        <v>509</v>
      </c>
      <c r="E126" s="23" t="s">
        <v>495</v>
      </c>
      <c r="F126" s="32" t="s">
        <v>467</v>
      </c>
      <c r="G126" s="32" t="s">
        <v>94</v>
      </c>
      <c r="H126" s="39">
        <v>2994.8571428571427</v>
      </c>
    </row>
    <row r="127" spans="1:8" x14ac:dyDescent="0.3">
      <c r="A127" s="1109"/>
      <c r="B127" s="50" t="s">
        <v>95</v>
      </c>
      <c r="C127" s="23" t="s">
        <v>509</v>
      </c>
      <c r="D127" s="23" t="s">
        <v>509</v>
      </c>
      <c r="E127" s="23" t="s">
        <v>495</v>
      </c>
      <c r="F127" s="32" t="s">
        <v>467</v>
      </c>
      <c r="G127" s="32" t="s">
        <v>96</v>
      </c>
      <c r="H127" s="39">
        <v>912</v>
      </c>
    </row>
    <row r="128" spans="1:8" x14ac:dyDescent="0.3">
      <c r="A128" s="1109"/>
      <c r="B128" s="50" t="s">
        <v>119</v>
      </c>
      <c r="C128" s="23" t="s">
        <v>509</v>
      </c>
      <c r="D128" s="23" t="s">
        <v>509</v>
      </c>
      <c r="E128" s="23" t="s">
        <v>495</v>
      </c>
      <c r="F128" s="32" t="s">
        <v>471</v>
      </c>
      <c r="G128" s="32" t="s">
        <v>120</v>
      </c>
      <c r="H128" s="39">
        <v>1486.8571428571429</v>
      </c>
    </row>
    <row r="129" spans="1:8" x14ac:dyDescent="0.3">
      <c r="A129" s="1109"/>
      <c r="B129" s="50" t="s">
        <v>117</v>
      </c>
      <c r="C129" s="23" t="s">
        <v>509</v>
      </c>
      <c r="D129" s="23" t="s">
        <v>509</v>
      </c>
      <c r="E129" s="23" t="s">
        <v>495</v>
      </c>
      <c r="F129" s="32" t="s">
        <v>471</v>
      </c>
      <c r="G129" s="32" t="s">
        <v>118</v>
      </c>
      <c r="H129" s="39">
        <v>373.71428571428572</v>
      </c>
    </row>
    <row r="130" spans="1:8" x14ac:dyDescent="0.3">
      <c r="A130" s="1109"/>
      <c r="B130" s="50" t="s">
        <v>121</v>
      </c>
      <c r="C130" s="23" t="s">
        <v>509</v>
      </c>
      <c r="D130" s="23" t="s">
        <v>509</v>
      </c>
      <c r="E130" s="23" t="s">
        <v>495</v>
      </c>
      <c r="F130" s="32" t="s">
        <v>471</v>
      </c>
      <c r="G130" s="32" t="s">
        <v>122</v>
      </c>
      <c r="H130" s="39">
        <v>409.71428571428572</v>
      </c>
    </row>
    <row r="131" spans="1:8" x14ac:dyDescent="0.3">
      <c r="A131" s="1109"/>
      <c r="B131" s="50" t="s">
        <v>123</v>
      </c>
      <c r="C131" s="23" t="s">
        <v>509</v>
      </c>
      <c r="D131" s="23" t="s">
        <v>509</v>
      </c>
      <c r="E131" s="23" t="s">
        <v>495</v>
      </c>
      <c r="F131" s="32" t="s">
        <v>471</v>
      </c>
      <c r="G131" s="32" t="s">
        <v>124</v>
      </c>
      <c r="H131" s="39">
        <v>524.57142857142856</v>
      </c>
    </row>
    <row r="132" spans="1:8" x14ac:dyDescent="0.3">
      <c r="A132" s="1109"/>
      <c r="B132" s="50" t="s">
        <v>127</v>
      </c>
      <c r="C132" s="23" t="s">
        <v>509</v>
      </c>
      <c r="D132" s="23" t="s">
        <v>509</v>
      </c>
      <c r="E132" s="23" t="s">
        <v>495</v>
      </c>
      <c r="F132" s="32" t="s">
        <v>489</v>
      </c>
      <c r="G132" s="32" t="s">
        <v>128</v>
      </c>
      <c r="H132" s="39">
        <v>1217.1428571428571</v>
      </c>
    </row>
    <row r="133" spans="1:8" x14ac:dyDescent="0.3">
      <c r="A133" s="1109"/>
      <c r="B133" s="50" t="s">
        <v>129</v>
      </c>
      <c r="C133" s="23" t="s">
        <v>509</v>
      </c>
      <c r="D133" s="23" t="s">
        <v>509</v>
      </c>
      <c r="E133" s="23" t="s">
        <v>495</v>
      </c>
      <c r="F133" s="32" t="s">
        <v>489</v>
      </c>
      <c r="G133" s="32" t="s">
        <v>130</v>
      </c>
      <c r="H133" s="39">
        <v>293.14285714285717</v>
      </c>
    </row>
    <row r="134" spans="1:8" x14ac:dyDescent="0.3">
      <c r="A134" s="1109"/>
      <c r="B134" s="50" t="s">
        <v>133</v>
      </c>
      <c r="C134" s="23" t="s">
        <v>509</v>
      </c>
      <c r="D134" s="23" t="s">
        <v>509</v>
      </c>
      <c r="E134" s="23" t="s">
        <v>495</v>
      </c>
      <c r="F134" s="32" t="s">
        <v>489</v>
      </c>
      <c r="G134" s="32" t="s">
        <v>134</v>
      </c>
      <c r="H134" s="39">
        <v>1393.7142857142858</v>
      </c>
    </row>
    <row r="135" spans="1:8" x14ac:dyDescent="0.3">
      <c r="A135" s="1109"/>
      <c r="B135" s="50" t="s">
        <v>59</v>
      </c>
      <c r="C135" s="23" t="s">
        <v>509</v>
      </c>
      <c r="D135" s="23" t="s">
        <v>509</v>
      </c>
      <c r="E135" s="23" t="s">
        <v>495</v>
      </c>
      <c r="F135" s="32" t="s">
        <v>482</v>
      </c>
      <c r="G135" s="32" t="s">
        <v>60</v>
      </c>
      <c r="H135" s="39">
        <v>6783.333333333333</v>
      </c>
    </row>
    <row r="136" spans="1:8" x14ac:dyDescent="0.3">
      <c r="A136" s="1109"/>
      <c r="B136" s="50" t="s">
        <v>135</v>
      </c>
      <c r="C136" s="23" t="s">
        <v>509</v>
      </c>
      <c r="D136" s="23" t="s">
        <v>509</v>
      </c>
      <c r="E136" s="23" t="s">
        <v>495</v>
      </c>
      <c r="F136" s="32" t="s">
        <v>482</v>
      </c>
      <c r="G136" s="32" t="s">
        <v>136</v>
      </c>
      <c r="H136" s="39">
        <f>3519.42857142857+608</f>
        <v>4127.4285714285706</v>
      </c>
    </row>
    <row r="137" spans="1:8" x14ac:dyDescent="0.3">
      <c r="A137" s="1109"/>
      <c r="B137" s="50" t="s">
        <v>75</v>
      </c>
      <c r="C137" s="23" t="s">
        <v>509</v>
      </c>
      <c r="D137" s="23" t="s">
        <v>509</v>
      </c>
      <c r="E137" s="23" t="s">
        <v>495</v>
      </c>
      <c r="F137" s="32" t="s">
        <v>461</v>
      </c>
      <c r="G137" s="32" t="s">
        <v>76</v>
      </c>
      <c r="H137" s="39">
        <v>185.14285714285714</v>
      </c>
    </row>
    <row r="138" spans="1:8" x14ac:dyDescent="0.3">
      <c r="A138" s="1109"/>
      <c r="B138" s="50" t="s">
        <v>77</v>
      </c>
      <c r="C138" s="23" t="s">
        <v>509</v>
      </c>
      <c r="D138" s="23" t="s">
        <v>509</v>
      </c>
      <c r="E138" s="23" t="s">
        <v>495</v>
      </c>
      <c r="F138" s="32" t="s">
        <v>461</v>
      </c>
      <c r="G138" s="32" t="s">
        <v>78</v>
      </c>
      <c r="H138" s="39">
        <v>2977.7142857142858</v>
      </c>
    </row>
    <row r="139" spans="1:8" x14ac:dyDescent="0.3">
      <c r="A139" s="1109"/>
      <c r="B139" s="53" t="s">
        <v>429</v>
      </c>
      <c r="C139" s="23" t="s">
        <v>509</v>
      </c>
      <c r="D139" s="23" t="s">
        <v>509</v>
      </c>
      <c r="E139" s="23" t="s">
        <v>495</v>
      </c>
      <c r="F139" s="32" t="s">
        <v>461</v>
      </c>
      <c r="G139" s="24" t="s">
        <v>430</v>
      </c>
      <c r="H139" s="39">
        <v>106.28571428571429</v>
      </c>
    </row>
    <row r="140" spans="1:8" x14ac:dyDescent="0.3">
      <c r="A140" s="1109"/>
      <c r="B140" s="50" t="s">
        <v>111</v>
      </c>
      <c r="C140" s="23" t="s">
        <v>509</v>
      </c>
      <c r="D140" s="23" t="s">
        <v>509</v>
      </c>
      <c r="E140" s="23" t="s">
        <v>495</v>
      </c>
      <c r="F140" s="32" t="s">
        <v>472</v>
      </c>
      <c r="G140" s="32" t="s">
        <v>112</v>
      </c>
      <c r="H140" s="39">
        <v>305.14285714285717</v>
      </c>
    </row>
    <row r="141" spans="1:8" x14ac:dyDescent="0.3">
      <c r="A141" s="1109"/>
      <c r="B141" s="50" t="s">
        <v>113</v>
      </c>
      <c r="C141" s="23" t="s">
        <v>509</v>
      </c>
      <c r="D141" s="23" t="s">
        <v>509</v>
      </c>
      <c r="E141" s="23" t="s">
        <v>495</v>
      </c>
      <c r="F141" s="32" t="s">
        <v>472</v>
      </c>
      <c r="G141" s="32" t="s">
        <v>114</v>
      </c>
      <c r="H141" s="39">
        <v>678.85714285714289</v>
      </c>
    </row>
    <row r="142" spans="1:8" x14ac:dyDescent="0.3">
      <c r="A142" s="1109"/>
      <c r="B142" s="50" t="s">
        <v>115</v>
      </c>
      <c r="C142" s="23" t="s">
        <v>509</v>
      </c>
      <c r="D142" s="23" t="s">
        <v>509</v>
      </c>
      <c r="E142" s="23" t="s">
        <v>495</v>
      </c>
      <c r="F142" s="32" t="s">
        <v>472</v>
      </c>
      <c r="G142" s="32" t="s">
        <v>116</v>
      </c>
      <c r="H142" s="39">
        <v>474.85714285714283</v>
      </c>
    </row>
    <row r="143" spans="1:8" x14ac:dyDescent="0.3">
      <c r="A143" s="1109"/>
      <c r="B143" s="50" t="s">
        <v>109</v>
      </c>
      <c r="C143" s="23" t="s">
        <v>509</v>
      </c>
      <c r="D143" s="23" t="s">
        <v>509</v>
      </c>
      <c r="E143" s="23" t="s">
        <v>495</v>
      </c>
      <c r="F143" s="32" t="s">
        <v>472</v>
      </c>
      <c r="G143" s="32" t="s">
        <v>110</v>
      </c>
      <c r="H143" s="39">
        <v>46.285714285714285</v>
      </c>
    </row>
    <row r="144" spans="1:8" x14ac:dyDescent="0.3">
      <c r="A144" s="1109"/>
      <c r="B144" s="50" t="s">
        <v>47</v>
      </c>
      <c r="C144" s="23" t="s">
        <v>509</v>
      </c>
      <c r="D144" s="23" t="s">
        <v>509</v>
      </c>
      <c r="E144" s="23" t="s">
        <v>495</v>
      </c>
      <c r="F144" s="32" t="s">
        <v>481</v>
      </c>
      <c r="G144" s="32" t="s">
        <v>48</v>
      </c>
      <c r="H144" s="39">
        <v>70.285714285714292</v>
      </c>
    </row>
    <row r="145" spans="1:8" x14ac:dyDescent="0.3">
      <c r="A145" s="1109"/>
      <c r="B145" s="50" t="s">
        <v>39</v>
      </c>
      <c r="C145" s="23" t="s">
        <v>509</v>
      </c>
      <c r="D145" s="23" t="s">
        <v>509</v>
      </c>
      <c r="E145" s="23" t="s">
        <v>495</v>
      </c>
      <c r="F145" s="32" t="s">
        <v>481</v>
      </c>
      <c r="G145" s="32" t="s">
        <v>40</v>
      </c>
      <c r="H145" s="39">
        <v>5170.2857142857147</v>
      </c>
    </row>
    <row r="146" spans="1:8" x14ac:dyDescent="0.3">
      <c r="A146" s="1109"/>
      <c r="B146" s="50" t="s">
        <v>45</v>
      </c>
      <c r="C146" s="23" t="s">
        <v>509</v>
      </c>
      <c r="D146" s="23" t="s">
        <v>509</v>
      </c>
      <c r="E146" s="23" t="s">
        <v>495</v>
      </c>
      <c r="F146" s="32" t="s">
        <v>481</v>
      </c>
      <c r="G146" s="32" t="s">
        <v>46</v>
      </c>
      <c r="H146" s="39">
        <v>584.57142857142856</v>
      </c>
    </row>
    <row r="147" spans="1:8" x14ac:dyDescent="0.3">
      <c r="A147" s="1109"/>
      <c r="B147" s="50" t="s">
        <v>37</v>
      </c>
      <c r="C147" s="23" t="s">
        <v>509</v>
      </c>
      <c r="D147" s="23" t="s">
        <v>509</v>
      </c>
      <c r="E147" s="23" t="s">
        <v>495</v>
      </c>
      <c r="F147" s="32" t="s">
        <v>481</v>
      </c>
      <c r="G147" s="32" t="s">
        <v>38</v>
      </c>
      <c r="H147" s="39">
        <v>594.85714285714289</v>
      </c>
    </row>
    <row r="148" spans="1:8" x14ac:dyDescent="0.3">
      <c r="A148" s="1109"/>
      <c r="B148" s="50" t="s">
        <v>55</v>
      </c>
      <c r="C148" s="23" t="s">
        <v>509</v>
      </c>
      <c r="D148" s="23" t="s">
        <v>509</v>
      </c>
      <c r="E148" s="23" t="s">
        <v>495</v>
      </c>
      <c r="F148" s="32" t="s">
        <v>473</v>
      </c>
      <c r="G148" s="32" t="s">
        <v>56</v>
      </c>
      <c r="H148" s="39">
        <v>6708.1428571428569</v>
      </c>
    </row>
    <row r="149" spans="1:8" x14ac:dyDescent="0.3">
      <c r="A149" s="1109"/>
      <c r="B149" s="50" t="s">
        <v>71</v>
      </c>
      <c r="C149" s="23" t="s">
        <v>509</v>
      </c>
      <c r="D149" s="23" t="s">
        <v>509</v>
      </c>
      <c r="E149" s="23" t="s">
        <v>495</v>
      </c>
      <c r="F149" s="32" t="s">
        <v>473</v>
      </c>
      <c r="G149" s="32" t="s">
        <v>72</v>
      </c>
      <c r="H149" s="39">
        <v>598.28571428571433</v>
      </c>
    </row>
    <row r="150" spans="1:8" x14ac:dyDescent="0.3">
      <c r="A150" s="1109"/>
      <c r="B150" s="50" t="s">
        <v>57</v>
      </c>
      <c r="C150" s="23" t="s">
        <v>509</v>
      </c>
      <c r="D150" s="23" t="s">
        <v>509</v>
      </c>
      <c r="E150" s="23" t="s">
        <v>495</v>
      </c>
      <c r="F150" s="32" t="s">
        <v>473</v>
      </c>
      <c r="G150" s="32" t="s">
        <v>58</v>
      </c>
      <c r="H150" s="39">
        <f>7913.14285714286+612</f>
        <v>8525.1428571428587</v>
      </c>
    </row>
    <row r="151" spans="1:8" x14ac:dyDescent="0.3">
      <c r="A151" s="1109"/>
      <c r="B151" s="50" t="s">
        <v>67</v>
      </c>
      <c r="C151" s="23" t="s">
        <v>509</v>
      </c>
      <c r="D151" s="23" t="s">
        <v>509</v>
      </c>
      <c r="E151" s="23" t="s">
        <v>495</v>
      </c>
      <c r="F151" s="32" t="s">
        <v>475</v>
      </c>
      <c r="G151" s="32" t="s">
        <v>68</v>
      </c>
      <c r="H151" s="39">
        <v>925.71428571428567</v>
      </c>
    </row>
    <row r="152" spans="1:8" x14ac:dyDescent="0.3">
      <c r="A152" s="1109"/>
      <c r="B152" s="50" t="s">
        <v>65</v>
      </c>
      <c r="C152" s="23" t="s">
        <v>509</v>
      </c>
      <c r="D152" s="23" t="s">
        <v>509</v>
      </c>
      <c r="E152" s="23" t="s">
        <v>495</v>
      </c>
      <c r="F152" s="32" t="s">
        <v>475</v>
      </c>
      <c r="G152" s="32" t="s">
        <v>66</v>
      </c>
      <c r="H152" s="39">
        <v>627.42857142857144</v>
      </c>
    </row>
    <row r="153" spans="1:8" x14ac:dyDescent="0.3">
      <c r="A153" s="1109"/>
      <c r="B153" s="50" t="s">
        <v>69</v>
      </c>
      <c r="C153" s="23" t="s">
        <v>509</v>
      </c>
      <c r="D153" s="23" t="s">
        <v>509</v>
      </c>
      <c r="E153" s="23" t="s">
        <v>495</v>
      </c>
      <c r="F153" s="32" t="s">
        <v>475</v>
      </c>
      <c r="G153" s="32" t="s">
        <v>70</v>
      </c>
      <c r="H153" s="39">
        <v>913.71428571428567</v>
      </c>
    </row>
    <row r="154" spans="1:8" x14ac:dyDescent="0.3">
      <c r="A154" s="1109"/>
      <c r="B154" s="50" t="s">
        <v>33</v>
      </c>
      <c r="C154" s="23" t="s">
        <v>509</v>
      </c>
      <c r="D154" s="23" t="s">
        <v>509</v>
      </c>
      <c r="E154" s="23" t="s">
        <v>495</v>
      </c>
      <c r="F154" s="32" t="s">
        <v>463</v>
      </c>
      <c r="G154" s="32" t="s">
        <v>34</v>
      </c>
      <c r="H154" s="39">
        <v>618.85714285714289</v>
      </c>
    </row>
    <row r="155" spans="1:8" x14ac:dyDescent="0.3">
      <c r="A155" s="1109"/>
      <c r="B155" s="50" t="s">
        <v>31</v>
      </c>
      <c r="C155" s="23" t="s">
        <v>509</v>
      </c>
      <c r="D155" s="23" t="s">
        <v>509</v>
      </c>
      <c r="E155" s="23" t="s">
        <v>495</v>
      </c>
      <c r="F155" s="32" t="s">
        <v>463</v>
      </c>
      <c r="G155" s="32" t="s">
        <v>32</v>
      </c>
      <c r="H155" s="39">
        <v>406.28571428571428</v>
      </c>
    </row>
    <row r="156" spans="1:8" x14ac:dyDescent="0.3">
      <c r="A156" s="1109"/>
      <c r="B156" s="50" t="s">
        <v>49</v>
      </c>
      <c r="C156" s="23" t="s">
        <v>509</v>
      </c>
      <c r="D156" s="23" t="s">
        <v>509</v>
      </c>
      <c r="E156" s="23" t="s">
        <v>495</v>
      </c>
      <c r="F156" s="32" t="s">
        <v>463</v>
      </c>
      <c r="G156" s="32" t="s">
        <v>50</v>
      </c>
      <c r="H156" s="39">
        <v>38.4</v>
      </c>
    </row>
    <row r="157" spans="1:8" x14ac:dyDescent="0.3">
      <c r="A157" s="1109"/>
      <c r="B157" s="50" t="s">
        <v>51</v>
      </c>
      <c r="C157" s="23" t="s">
        <v>509</v>
      </c>
      <c r="D157" s="23" t="s">
        <v>509</v>
      </c>
      <c r="E157" s="23" t="s">
        <v>495</v>
      </c>
      <c r="F157" s="32" t="s">
        <v>463</v>
      </c>
      <c r="G157" s="32" t="s">
        <v>52</v>
      </c>
      <c r="H157" s="39">
        <v>692.57142857142856</v>
      </c>
    </row>
    <row r="158" spans="1:8" x14ac:dyDescent="0.3">
      <c r="A158" s="1109"/>
      <c r="B158" s="50" t="s">
        <v>105</v>
      </c>
      <c r="C158" s="23" t="s">
        <v>509</v>
      </c>
      <c r="D158" s="23" t="s">
        <v>509</v>
      </c>
      <c r="E158" s="23" t="s">
        <v>495</v>
      </c>
      <c r="F158" s="32" t="s">
        <v>479</v>
      </c>
      <c r="G158" s="32" t="s">
        <v>106</v>
      </c>
      <c r="H158" s="39">
        <f>7470.85714285714+400</f>
        <v>7870.8571428571404</v>
      </c>
    </row>
    <row r="159" spans="1:8" x14ac:dyDescent="0.3">
      <c r="A159" s="1109"/>
      <c r="B159" s="50" t="s">
        <v>107</v>
      </c>
      <c r="C159" s="23" t="s">
        <v>509</v>
      </c>
      <c r="D159" s="23" t="s">
        <v>509</v>
      </c>
      <c r="E159" s="23" t="s">
        <v>495</v>
      </c>
      <c r="F159" s="32" t="s">
        <v>479</v>
      </c>
      <c r="G159" s="32" t="s">
        <v>108</v>
      </c>
      <c r="H159" s="39">
        <f>5576+296</f>
        <v>5872</v>
      </c>
    </row>
    <row r="160" spans="1:8" x14ac:dyDescent="0.3">
      <c r="A160" s="1109"/>
      <c r="B160" s="50">
        <v>17</v>
      </c>
      <c r="C160" s="23" t="s">
        <v>509</v>
      </c>
      <c r="D160" s="23" t="s">
        <v>511</v>
      </c>
      <c r="E160" s="23" t="s">
        <v>495</v>
      </c>
      <c r="F160" s="32" t="s">
        <v>458</v>
      </c>
      <c r="G160" s="24" t="s">
        <v>355</v>
      </c>
      <c r="H160" s="39">
        <v>106.28571428571429</v>
      </c>
    </row>
    <row r="161" spans="1:8" x14ac:dyDescent="0.3">
      <c r="A161" s="1109"/>
      <c r="B161" s="50">
        <v>18</v>
      </c>
      <c r="C161" s="23" t="s">
        <v>509</v>
      </c>
      <c r="D161" s="23" t="s">
        <v>511</v>
      </c>
      <c r="E161" s="23" t="s">
        <v>495</v>
      </c>
      <c r="F161" s="32" t="s">
        <v>458</v>
      </c>
      <c r="G161" s="24" t="s">
        <v>90</v>
      </c>
      <c r="H161" s="39">
        <v>48</v>
      </c>
    </row>
    <row r="162" spans="1:8" x14ac:dyDescent="0.3">
      <c r="A162" s="1109"/>
      <c r="B162" s="50">
        <v>14</v>
      </c>
      <c r="C162" s="23" t="s">
        <v>509</v>
      </c>
      <c r="D162" s="23" t="s">
        <v>511</v>
      </c>
      <c r="E162" s="23" t="s">
        <v>495</v>
      </c>
      <c r="F162" s="32" t="s">
        <v>457</v>
      </c>
      <c r="G162" s="24" t="s">
        <v>353</v>
      </c>
      <c r="H162" s="39">
        <v>72</v>
      </c>
    </row>
    <row r="163" spans="1:8" x14ac:dyDescent="0.3">
      <c r="A163" s="1109"/>
      <c r="B163" s="50">
        <v>15</v>
      </c>
      <c r="C163" s="23" t="s">
        <v>509</v>
      </c>
      <c r="D163" s="23" t="s">
        <v>511</v>
      </c>
      <c r="E163" s="23" t="s">
        <v>495</v>
      </c>
      <c r="F163" s="32" t="s">
        <v>457</v>
      </c>
      <c r="G163" s="24" t="s">
        <v>354</v>
      </c>
      <c r="H163" s="39">
        <v>216</v>
      </c>
    </row>
    <row r="164" spans="1:8" x14ac:dyDescent="0.3">
      <c r="A164" s="1109"/>
      <c r="B164" s="50">
        <v>12</v>
      </c>
      <c r="C164" s="23" t="s">
        <v>509</v>
      </c>
      <c r="D164" s="23" t="s">
        <v>511</v>
      </c>
      <c r="E164" s="23" t="s">
        <v>495</v>
      </c>
      <c r="F164" s="32" t="s">
        <v>456</v>
      </c>
      <c r="G164" s="24" t="s">
        <v>351</v>
      </c>
      <c r="H164" s="39">
        <v>30</v>
      </c>
    </row>
    <row r="165" spans="1:8" x14ac:dyDescent="0.3">
      <c r="A165" s="1109"/>
      <c r="B165" s="50">
        <v>13</v>
      </c>
      <c r="C165" s="23" t="s">
        <v>509</v>
      </c>
      <c r="D165" s="23" t="s">
        <v>511</v>
      </c>
      <c r="E165" s="23" t="s">
        <v>495</v>
      </c>
      <c r="F165" s="32" t="s">
        <v>456</v>
      </c>
      <c r="G165" s="24" t="s">
        <v>352</v>
      </c>
      <c r="H165" s="39">
        <v>16</v>
      </c>
    </row>
    <row r="166" spans="1:8" x14ac:dyDescent="0.3">
      <c r="A166" s="1109"/>
      <c r="B166" s="50">
        <v>11</v>
      </c>
      <c r="C166" s="23" t="s">
        <v>509</v>
      </c>
      <c r="D166" s="23" t="s">
        <v>511</v>
      </c>
      <c r="E166" s="23" t="s">
        <v>495</v>
      </c>
      <c r="F166" s="32" t="s">
        <v>456</v>
      </c>
      <c r="G166" s="24" t="s">
        <v>350</v>
      </c>
      <c r="H166" s="39">
        <v>349.71428571428572</v>
      </c>
    </row>
    <row r="167" spans="1:8" x14ac:dyDescent="0.3">
      <c r="A167" s="1109"/>
      <c r="B167" s="50">
        <v>6</v>
      </c>
      <c r="C167" s="23" t="s">
        <v>509</v>
      </c>
      <c r="D167" s="23" t="s">
        <v>511</v>
      </c>
      <c r="E167" s="23" t="s">
        <v>495</v>
      </c>
      <c r="F167" s="32" t="s">
        <v>455</v>
      </c>
      <c r="G167" s="24" t="s">
        <v>347</v>
      </c>
      <c r="H167" s="39">
        <v>30</v>
      </c>
    </row>
    <row r="168" spans="1:8" x14ac:dyDescent="0.3">
      <c r="A168" s="1109"/>
      <c r="B168" s="50">
        <v>7</v>
      </c>
      <c r="C168" s="23" t="s">
        <v>509</v>
      </c>
      <c r="D168" s="23" t="s">
        <v>511</v>
      </c>
      <c r="E168" s="23" t="s">
        <v>495</v>
      </c>
      <c r="F168" s="32" t="s">
        <v>455</v>
      </c>
      <c r="G168" s="24" t="s">
        <v>348</v>
      </c>
      <c r="H168" s="39">
        <v>36</v>
      </c>
    </row>
    <row r="169" spans="1:8" x14ac:dyDescent="0.3">
      <c r="A169" s="1109"/>
      <c r="B169" s="50">
        <v>8</v>
      </c>
      <c r="C169" s="23" t="s">
        <v>509</v>
      </c>
      <c r="D169" s="23" t="s">
        <v>511</v>
      </c>
      <c r="E169" s="23" t="s">
        <v>495</v>
      </c>
      <c r="F169" s="32" t="s">
        <v>455</v>
      </c>
      <c r="G169" s="24" t="s">
        <v>349</v>
      </c>
      <c r="H169" s="39">
        <v>109.71428571428571</v>
      </c>
    </row>
    <row r="170" spans="1:8" x14ac:dyDescent="0.3">
      <c r="A170" s="1109"/>
      <c r="B170" s="50">
        <v>1</v>
      </c>
      <c r="C170" s="23" t="s">
        <v>509</v>
      </c>
      <c r="D170" s="23" t="s">
        <v>511</v>
      </c>
      <c r="E170" s="23" t="s">
        <v>495</v>
      </c>
      <c r="F170" s="32" t="s">
        <v>454</v>
      </c>
      <c r="G170" s="24" t="s">
        <v>342</v>
      </c>
      <c r="H170" s="39">
        <v>828</v>
      </c>
    </row>
    <row r="171" spans="1:8" x14ac:dyDescent="0.3">
      <c r="A171" s="1109"/>
      <c r="B171" s="50">
        <v>2</v>
      </c>
      <c r="C171" s="23" t="s">
        <v>509</v>
      </c>
      <c r="D171" s="23" t="s">
        <v>511</v>
      </c>
      <c r="E171" s="23" t="s">
        <v>495</v>
      </c>
      <c r="F171" s="32" t="s">
        <v>454</v>
      </c>
      <c r="G171" s="24" t="s">
        <v>343</v>
      </c>
      <c r="H171" s="39">
        <v>98</v>
      </c>
    </row>
    <row r="172" spans="1:8" x14ac:dyDescent="0.3">
      <c r="A172" s="1109"/>
      <c r="B172" s="50">
        <v>3</v>
      </c>
      <c r="C172" s="23" t="s">
        <v>509</v>
      </c>
      <c r="D172" s="23" t="s">
        <v>511</v>
      </c>
      <c r="E172" s="23" t="s">
        <v>495</v>
      </c>
      <c r="F172" s="32" t="s">
        <v>454</v>
      </c>
      <c r="G172" s="24" t="s">
        <v>344</v>
      </c>
      <c r="H172" s="39">
        <v>76</v>
      </c>
    </row>
    <row r="173" spans="1:8" x14ac:dyDescent="0.3">
      <c r="A173" s="1109"/>
      <c r="B173" s="50">
        <v>4</v>
      </c>
      <c r="C173" s="23" t="s">
        <v>509</v>
      </c>
      <c r="D173" s="23" t="s">
        <v>511</v>
      </c>
      <c r="E173" s="23" t="s">
        <v>495</v>
      </c>
      <c r="F173" s="32" t="s">
        <v>454</v>
      </c>
      <c r="G173" s="24" t="s">
        <v>345</v>
      </c>
      <c r="H173" s="39">
        <v>182.4</v>
      </c>
    </row>
    <row r="174" spans="1:8" x14ac:dyDescent="0.3">
      <c r="A174" s="1109"/>
      <c r="B174" s="50">
        <v>5</v>
      </c>
      <c r="C174" s="23" t="s">
        <v>509</v>
      </c>
      <c r="D174" s="23" t="s">
        <v>511</v>
      </c>
      <c r="E174" s="23" t="s">
        <v>495</v>
      </c>
      <c r="F174" s="32" t="s">
        <v>454</v>
      </c>
      <c r="G174" s="24" t="s">
        <v>346</v>
      </c>
      <c r="H174" s="39">
        <v>70.285714285714292</v>
      </c>
    </row>
    <row r="175" spans="1:8" x14ac:dyDescent="0.3">
      <c r="A175" s="1109"/>
      <c r="B175" s="50" t="s">
        <v>363</v>
      </c>
      <c r="C175" s="23" t="s">
        <v>509</v>
      </c>
      <c r="D175" s="23" t="s">
        <v>452</v>
      </c>
      <c r="E175" s="23" t="s">
        <v>478</v>
      </c>
      <c r="F175" s="32" t="s">
        <v>485</v>
      </c>
      <c r="G175" s="24" t="s">
        <v>369</v>
      </c>
      <c r="H175" s="39">
        <v>685.71428571428567</v>
      </c>
    </row>
    <row r="176" spans="1:8" x14ac:dyDescent="0.3">
      <c r="A176" s="1109"/>
      <c r="B176" s="50" t="s">
        <v>364</v>
      </c>
      <c r="C176" s="23" t="s">
        <v>509</v>
      </c>
      <c r="D176" s="23" t="s">
        <v>452</v>
      </c>
      <c r="E176" s="23" t="s">
        <v>478</v>
      </c>
      <c r="F176" s="32" t="s">
        <v>486</v>
      </c>
      <c r="G176" s="24" t="s">
        <v>370</v>
      </c>
      <c r="H176" s="39">
        <v>0</v>
      </c>
    </row>
    <row r="177" spans="1:8" x14ac:dyDescent="0.3">
      <c r="A177" s="1109"/>
      <c r="B177" s="50" t="s">
        <v>365</v>
      </c>
      <c r="C177" s="23" t="s">
        <v>509</v>
      </c>
      <c r="D177" s="23" t="s">
        <v>452</v>
      </c>
      <c r="E177" s="23" t="s">
        <v>478</v>
      </c>
      <c r="F177" s="32" t="s">
        <v>487</v>
      </c>
      <c r="G177" s="24" t="s">
        <v>371</v>
      </c>
      <c r="H177" s="39">
        <v>258</v>
      </c>
    </row>
    <row r="178" spans="1:8" x14ac:dyDescent="0.3">
      <c r="A178" s="1109"/>
      <c r="B178" s="50" t="s">
        <v>366</v>
      </c>
      <c r="C178" s="23" t="s">
        <v>509</v>
      </c>
      <c r="D178" s="23" t="s">
        <v>452</v>
      </c>
      <c r="E178" s="23" t="s">
        <v>341</v>
      </c>
      <c r="F178" s="32" t="s">
        <v>490</v>
      </c>
      <c r="G178" s="24" t="s">
        <v>372</v>
      </c>
      <c r="H178" s="39">
        <v>459.42857142857144</v>
      </c>
    </row>
    <row r="179" spans="1:8" x14ac:dyDescent="0.3">
      <c r="A179" s="1109"/>
      <c r="B179" s="50" t="s">
        <v>399</v>
      </c>
      <c r="C179" s="23" t="s">
        <v>509</v>
      </c>
      <c r="D179" s="23" t="s">
        <v>509</v>
      </c>
      <c r="E179" s="23" t="s">
        <v>492</v>
      </c>
      <c r="F179" s="32"/>
      <c r="G179" s="24" t="s">
        <v>401</v>
      </c>
      <c r="H179" s="39">
        <v>492</v>
      </c>
    </row>
    <row r="180" spans="1:8" x14ac:dyDescent="0.3">
      <c r="A180" s="1109"/>
      <c r="B180" s="55" t="s">
        <v>376</v>
      </c>
      <c r="C180" s="23" t="s">
        <v>509</v>
      </c>
      <c r="D180" s="23" t="s">
        <v>509</v>
      </c>
      <c r="E180" s="23" t="s">
        <v>450</v>
      </c>
      <c r="F180" s="32"/>
      <c r="G180" s="24" t="s">
        <v>381</v>
      </c>
      <c r="H180" s="39">
        <v>44</v>
      </c>
    </row>
    <row r="181" spans="1:8" x14ac:dyDescent="0.3">
      <c r="A181" s="1109"/>
      <c r="B181" s="55" t="s">
        <v>377</v>
      </c>
      <c r="C181" s="23" t="s">
        <v>509</v>
      </c>
      <c r="D181" s="23" t="s">
        <v>509</v>
      </c>
      <c r="E181" s="23" t="s">
        <v>450</v>
      </c>
      <c r="F181" s="32"/>
      <c r="G181" s="24" t="s">
        <v>382</v>
      </c>
      <c r="H181" s="39">
        <v>12</v>
      </c>
    </row>
    <row r="182" spans="1:8" x14ac:dyDescent="0.3">
      <c r="A182" s="1109"/>
      <c r="B182" s="50" t="s">
        <v>384</v>
      </c>
      <c r="C182" s="23" t="s">
        <v>509</v>
      </c>
      <c r="D182" s="23" t="s">
        <v>509</v>
      </c>
      <c r="E182" s="23" t="s">
        <v>450</v>
      </c>
      <c r="F182" s="32"/>
      <c r="G182" s="24" t="s">
        <v>392</v>
      </c>
      <c r="H182" s="39">
        <v>48</v>
      </c>
    </row>
    <row r="183" spans="1:8" x14ac:dyDescent="0.3">
      <c r="A183" s="1109"/>
      <c r="B183" s="50" t="s">
        <v>385</v>
      </c>
      <c r="C183" s="23" t="s">
        <v>509</v>
      </c>
      <c r="D183" s="23" t="s">
        <v>509</v>
      </c>
      <c r="E183" s="23" t="s">
        <v>450</v>
      </c>
      <c r="F183" s="32"/>
      <c r="G183" s="24" t="s">
        <v>393</v>
      </c>
      <c r="H183" s="39">
        <v>180</v>
      </c>
    </row>
    <row r="184" spans="1:8" x14ac:dyDescent="0.3">
      <c r="A184" s="1109"/>
      <c r="B184" s="50" t="s">
        <v>386</v>
      </c>
      <c r="C184" s="23" t="s">
        <v>509</v>
      </c>
      <c r="D184" s="23" t="s">
        <v>509</v>
      </c>
      <c r="E184" s="23" t="s">
        <v>450</v>
      </c>
      <c r="F184" s="32"/>
      <c r="G184" s="24" t="s">
        <v>394</v>
      </c>
      <c r="H184" s="39">
        <v>138.85714285714286</v>
      </c>
    </row>
    <row r="185" spans="1:8" x14ac:dyDescent="0.3">
      <c r="A185" s="1109"/>
      <c r="B185" s="53" t="s">
        <v>387</v>
      </c>
      <c r="C185" s="23" t="s">
        <v>509</v>
      </c>
      <c r="D185" s="23" t="s">
        <v>509</v>
      </c>
      <c r="E185" s="23" t="s">
        <v>450</v>
      </c>
      <c r="F185" s="32"/>
      <c r="G185" s="24" t="s">
        <v>395</v>
      </c>
      <c r="H185" s="39">
        <v>0</v>
      </c>
    </row>
    <row r="186" spans="1:8" ht="15" thickBot="1" x14ac:dyDescent="0.35">
      <c r="A186" s="1109"/>
      <c r="B186" s="59" t="s">
        <v>412</v>
      </c>
      <c r="C186" s="28" t="s">
        <v>509</v>
      </c>
      <c r="D186" s="28" t="s">
        <v>509</v>
      </c>
      <c r="E186" s="28" t="s">
        <v>450</v>
      </c>
      <c r="F186" s="36"/>
      <c r="G186" s="34" t="s">
        <v>413</v>
      </c>
      <c r="H186" s="49">
        <v>483</v>
      </c>
    </row>
    <row r="187" spans="1:8" ht="15" thickBot="1" x14ac:dyDescent="0.35">
      <c r="A187" s="132"/>
      <c r="B187" s="133"/>
      <c r="C187" s="133"/>
      <c r="D187" s="133"/>
      <c r="E187" s="133"/>
      <c r="F187" s="133"/>
      <c r="G187" s="133"/>
      <c r="H187" s="134"/>
    </row>
    <row r="188" spans="1:8" x14ac:dyDescent="0.3">
      <c r="A188" s="1108" t="s">
        <v>506</v>
      </c>
      <c r="B188" s="52" t="s">
        <v>439</v>
      </c>
      <c r="C188" s="27" t="s">
        <v>509</v>
      </c>
      <c r="D188" s="27" t="s">
        <v>509</v>
      </c>
      <c r="E188" s="27" t="s">
        <v>477</v>
      </c>
      <c r="F188" s="46"/>
      <c r="G188" s="35" t="s">
        <v>444</v>
      </c>
      <c r="H188" s="38">
        <v>90</v>
      </c>
    </row>
    <row r="189" spans="1:8" x14ac:dyDescent="0.3">
      <c r="A189" s="1109"/>
      <c r="B189" s="50" t="s">
        <v>440</v>
      </c>
      <c r="C189" s="23" t="s">
        <v>509</v>
      </c>
      <c r="D189" s="23" t="s">
        <v>509</v>
      </c>
      <c r="E189" s="23" t="s">
        <v>477</v>
      </c>
      <c r="F189" s="43"/>
      <c r="G189" s="24" t="s">
        <v>445</v>
      </c>
      <c r="H189" s="39">
        <v>124</v>
      </c>
    </row>
    <row r="190" spans="1:8" x14ac:dyDescent="0.3">
      <c r="A190" s="1109"/>
      <c r="B190" s="50" t="s">
        <v>441</v>
      </c>
      <c r="C190" s="23" t="s">
        <v>509</v>
      </c>
      <c r="D190" s="23" t="s">
        <v>509</v>
      </c>
      <c r="E190" s="23" t="s">
        <v>477</v>
      </c>
      <c r="F190" s="43"/>
      <c r="G190" s="24" t="s">
        <v>446</v>
      </c>
      <c r="H190" s="39">
        <v>236.57142857142858</v>
      </c>
    </row>
    <row r="191" spans="1:8" ht="15" thickBot="1" x14ac:dyDescent="0.35">
      <c r="A191" s="1110"/>
      <c r="B191" s="51" t="s">
        <v>442</v>
      </c>
      <c r="C191" s="29" t="s">
        <v>509</v>
      </c>
      <c r="D191" s="29" t="s">
        <v>509</v>
      </c>
      <c r="E191" s="29" t="s">
        <v>477</v>
      </c>
      <c r="F191" s="57"/>
      <c r="G191" s="30" t="s">
        <v>447</v>
      </c>
      <c r="H191" s="40">
        <v>86.571428571428569</v>
      </c>
    </row>
    <row r="192" spans="1:8" x14ac:dyDescent="0.3">
      <c r="B192"/>
      <c r="G192"/>
    </row>
    <row r="193" spans="2:8" x14ac:dyDescent="0.3">
      <c r="B193"/>
      <c r="G193"/>
      <c r="H193" s="31"/>
    </row>
    <row r="194" spans="2:8" x14ac:dyDescent="0.3">
      <c r="B194"/>
      <c r="G194"/>
      <c r="H194" s="31"/>
    </row>
    <row r="195" spans="2:8" x14ac:dyDescent="0.3">
      <c r="B195"/>
      <c r="G195"/>
      <c r="H195" s="31"/>
    </row>
    <row r="196" spans="2:8" x14ac:dyDescent="0.3">
      <c r="B196"/>
      <c r="G196"/>
      <c r="H196" s="31"/>
    </row>
    <row r="197" spans="2:8" x14ac:dyDescent="0.3">
      <c r="B197"/>
      <c r="G197"/>
      <c r="H197" s="31"/>
    </row>
    <row r="198" spans="2:8" x14ac:dyDescent="0.3">
      <c r="B198"/>
      <c r="G198"/>
    </row>
    <row r="199" spans="2:8" x14ac:dyDescent="0.3">
      <c r="B199"/>
      <c r="G199"/>
    </row>
    <row r="200" spans="2:8" x14ac:dyDescent="0.3">
      <c r="B200"/>
      <c r="G200"/>
    </row>
    <row r="201" spans="2:8" x14ac:dyDescent="0.3">
      <c r="B201"/>
      <c r="G201"/>
    </row>
    <row r="202" spans="2:8" x14ac:dyDescent="0.3">
      <c r="B202"/>
      <c r="G202"/>
    </row>
    <row r="203" spans="2:8" x14ac:dyDescent="0.3">
      <c r="B203"/>
      <c r="G203"/>
    </row>
    <row r="204" spans="2:8" x14ac:dyDescent="0.3">
      <c r="B204"/>
      <c r="G204"/>
    </row>
    <row r="205" spans="2:8" x14ac:dyDescent="0.3">
      <c r="B205"/>
      <c r="G205"/>
    </row>
    <row r="206" spans="2:8" x14ac:dyDescent="0.3">
      <c r="B206"/>
      <c r="G206"/>
    </row>
    <row r="207" spans="2:8" x14ac:dyDescent="0.3">
      <c r="B207"/>
      <c r="G207"/>
    </row>
    <row r="208" spans="2:8" x14ac:dyDescent="0.3">
      <c r="B208"/>
      <c r="G208"/>
    </row>
    <row r="209" spans="2:7" x14ac:dyDescent="0.3">
      <c r="B209"/>
      <c r="G209"/>
    </row>
    <row r="210" spans="2:7" x14ac:dyDescent="0.3">
      <c r="B210"/>
      <c r="G210"/>
    </row>
    <row r="211" spans="2:7" x14ac:dyDescent="0.3">
      <c r="B211"/>
      <c r="G211"/>
    </row>
    <row r="212" spans="2:7" x14ac:dyDescent="0.3">
      <c r="B212"/>
      <c r="G212"/>
    </row>
    <row r="213" spans="2:7" x14ac:dyDescent="0.3">
      <c r="B213"/>
      <c r="G213"/>
    </row>
    <row r="214" spans="2:7" x14ac:dyDescent="0.3">
      <c r="B214"/>
      <c r="G214"/>
    </row>
    <row r="215" spans="2:7" x14ac:dyDescent="0.3">
      <c r="B215"/>
      <c r="G215"/>
    </row>
    <row r="216" spans="2:7" x14ac:dyDescent="0.3">
      <c r="B216"/>
      <c r="G216"/>
    </row>
    <row r="217" spans="2:7" x14ac:dyDescent="0.3">
      <c r="B217"/>
      <c r="G217"/>
    </row>
    <row r="218" spans="2:7" x14ac:dyDescent="0.3">
      <c r="B218"/>
      <c r="G218"/>
    </row>
    <row r="219" spans="2:7" x14ac:dyDescent="0.3">
      <c r="B219"/>
      <c r="G219"/>
    </row>
    <row r="220" spans="2:7" x14ac:dyDescent="0.3">
      <c r="B220"/>
      <c r="G220"/>
    </row>
    <row r="221" spans="2:7" x14ac:dyDescent="0.3">
      <c r="B221"/>
      <c r="G221"/>
    </row>
    <row r="222" spans="2:7" x14ac:dyDescent="0.3">
      <c r="B222"/>
      <c r="G222"/>
    </row>
    <row r="223" spans="2:7" x14ac:dyDescent="0.3">
      <c r="B223"/>
      <c r="G223"/>
    </row>
    <row r="224" spans="2:7" x14ac:dyDescent="0.3">
      <c r="B224"/>
      <c r="G224"/>
    </row>
    <row r="225" spans="2:7" x14ac:dyDescent="0.3">
      <c r="B225"/>
      <c r="G225"/>
    </row>
    <row r="226" spans="2:7" x14ac:dyDescent="0.3">
      <c r="B226"/>
      <c r="G226"/>
    </row>
    <row r="227" spans="2:7" x14ac:dyDescent="0.3">
      <c r="B227"/>
      <c r="G227"/>
    </row>
    <row r="228" spans="2:7" x14ac:dyDescent="0.3">
      <c r="B228"/>
      <c r="G228"/>
    </row>
    <row r="229" spans="2:7" x14ac:dyDescent="0.3">
      <c r="B229"/>
      <c r="G229"/>
    </row>
    <row r="230" spans="2:7" x14ac:dyDescent="0.3">
      <c r="B230"/>
      <c r="G230"/>
    </row>
    <row r="231" spans="2:7" x14ac:dyDescent="0.3">
      <c r="B231"/>
      <c r="G231"/>
    </row>
    <row r="232" spans="2:7" x14ac:dyDescent="0.3">
      <c r="B232"/>
      <c r="G232"/>
    </row>
    <row r="233" spans="2:7" x14ac:dyDescent="0.3">
      <c r="B233"/>
      <c r="G233"/>
    </row>
    <row r="234" spans="2:7" x14ac:dyDescent="0.3">
      <c r="B234"/>
      <c r="G234"/>
    </row>
    <row r="235" spans="2:7" x14ac:dyDescent="0.3">
      <c r="B235"/>
      <c r="G235"/>
    </row>
    <row r="236" spans="2:7" x14ac:dyDescent="0.3">
      <c r="B236"/>
      <c r="G236"/>
    </row>
    <row r="237" spans="2:7" x14ac:dyDescent="0.3">
      <c r="B237"/>
      <c r="G237"/>
    </row>
    <row r="238" spans="2:7" x14ac:dyDescent="0.3">
      <c r="B238"/>
      <c r="G238"/>
    </row>
    <row r="239" spans="2:7" x14ac:dyDescent="0.3">
      <c r="B239"/>
      <c r="G239"/>
    </row>
    <row r="240" spans="2:7" x14ac:dyDescent="0.3">
      <c r="B240"/>
      <c r="G240"/>
    </row>
    <row r="241" spans="2:7" x14ac:dyDescent="0.3">
      <c r="B241"/>
      <c r="G241"/>
    </row>
    <row r="242" spans="2:7" x14ac:dyDescent="0.3">
      <c r="B242"/>
      <c r="G242"/>
    </row>
    <row r="243" spans="2:7" x14ac:dyDescent="0.3">
      <c r="B243"/>
      <c r="G243"/>
    </row>
    <row r="244" spans="2:7" x14ac:dyDescent="0.3">
      <c r="B244"/>
      <c r="G244"/>
    </row>
    <row r="245" spans="2:7" x14ac:dyDescent="0.3">
      <c r="B245"/>
      <c r="G245"/>
    </row>
    <row r="246" spans="2:7" x14ac:dyDescent="0.3">
      <c r="B246"/>
      <c r="G246"/>
    </row>
    <row r="247" spans="2:7" x14ac:dyDescent="0.3">
      <c r="B247"/>
      <c r="G247"/>
    </row>
    <row r="248" spans="2:7" x14ac:dyDescent="0.3">
      <c r="B248"/>
      <c r="G248"/>
    </row>
    <row r="249" spans="2:7" x14ac:dyDescent="0.3">
      <c r="B249"/>
      <c r="G249"/>
    </row>
    <row r="250" spans="2:7" x14ac:dyDescent="0.3">
      <c r="B250"/>
      <c r="G250"/>
    </row>
    <row r="251" spans="2:7" x14ac:dyDescent="0.3">
      <c r="B251"/>
      <c r="G251"/>
    </row>
    <row r="252" spans="2:7" x14ac:dyDescent="0.3">
      <c r="B252"/>
      <c r="G252"/>
    </row>
    <row r="253" spans="2:7" x14ac:dyDescent="0.3">
      <c r="B253"/>
      <c r="G253"/>
    </row>
    <row r="254" spans="2:7" x14ac:dyDescent="0.3">
      <c r="B254"/>
      <c r="G254"/>
    </row>
    <row r="255" spans="2:7" x14ac:dyDescent="0.3">
      <c r="B255"/>
      <c r="G255"/>
    </row>
    <row r="256" spans="2:7" x14ac:dyDescent="0.3">
      <c r="B256"/>
      <c r="G256"/>
    </row>
    <row r="257" spans="2:7" x14ac:dyDescent="0.3">
      <c r="B257"/>
      <c r="G257"/>
    </row>
    <row r="258" spans="2:7" x14ac:dyDescent="0.3">
      <c r="B258"/>
      <c r="G258"/>
    </row>
    <row r="259" spans="2:7" x14ac:dyDescent="0.3">
      <c r="B259"/>
      <c r="G259"/>
    </row>
    <row r="260" spans="2:7" x14ac:dyDescent="0.3">
      <c r="B260"/>
      <c r="G260"/>
    </row>
    <row r="261" spans="2:7" x14ac:dyDescent="0.3">
      <c r="B261"/>
      <c r="G261"/>
    </row>
    <row r="262" spans="2:7" x14ac:dyDescent="0.3">
      <c r="B262"/>
      <c r="G262"/>
    </row>
    <row r="263" spans="2:7" x14ac:dyDescent="0.3">
      <c r="B263"/>
      <c r="G263"/>
    </row>
    <row r="264" spans="2:7" x14ac:dyDescent="0.3">
      <c r="B264"/>
      <c r="G264"/>
    </row>
    <row r="265" spans="2:7" x14ac:dyDescent="0.3">
      <c r="B265"/>
      <c r="G265"/>
    </row>
    <row r="266" spans="2:7" x14ac:dyDescent="0.3">
      <c r="B266"/>
      <c r="G266"/>
    </row>
    <row r="267" spans="2:7" x14ac:dyDescent="0.3">
      <c r="B267"/>
      <c r="G267"/>
    </row>
    <row r="268" spans="2:7" x14ac:dyDescent="0.3">
      <c r="B268"/>
      <c r="G268"/>
    </row>
    <row r="269" spans="2:7" x14ac:dyDescent="0.3">
      <c r="B269"/>
      <c r="G269"/>
    </row>
    <row r="270" spans="2:7" x14ac:dyDescent="0.3">
      <c r="B270"/>
      <c r="G270"/>
    </row>
    <row r="271" spans="2:7" x14ac:dyDescent="0.3">
      <c r="B271"/>
      <c r="G271"/>
    </row>
    <row r="272" spans="2:7" x14ac:dyDescent="0.3">
      <c r="B272"/>
      <c r="G272"/>
    </row>
    <row r="273" spans="2:7" x14ac:dyDescent="0.3">
      <c r="B273"/>
      <c r="G273"/>
    </row>
    <row r="274" spans="2:7" x14ac:dyDescent="0.3">
      <c r="B274"/>
      <c r="G274"/>
    </row>
    <row r="275" spans="2:7" x14ac:dyDescent="0.3">
      <c r="B275"/>
      <c r="G275"/>
    </row>
    <row r="276" spans="2:7" x14ac:dyDescent="0.3">
      <c r="B276"/>
      <c r="G276"/>
    </row>
    <row r="277" spans="2:7" x14ac:dyDescent="0.3">
      <c r="B277"/>
      <c r="G277"/>
    </row>
    <row r="278" spans="2:7" x14ac:dyDescent="0.3">
      <c r="B278"/>
      <c r="G278"/>
    </row>
    <row r="279" spans="2:7" x14ac:dyDescent="0.3">
      <c r="B279"/>
      <c r="G279"/>
    </row>
    <row r="280" spans="2:7" x14ac:dyDescent="0.3">
      <c r="B280"/>
      <c r="G280"/>
    </row>
    <row r="281" spans="2:7" x14ac:dyDescent="0.3">
      <c r="B281"/>
      <c r="G281"/>
    </row>
    <row r="282" spans="2:7" x14ac:dyDescent="0.3">
      <c r="B282"/>
      <c r="G282"/>
    </row>
    <row r="283" spans="2:7" x14ac:dyDescent="0.3">
      <c r="B283"/>
      <c r="G283"/>
    </row>
    <row r="284" spans="2:7" x14ac:dyDescent="0.3">
      <c r="B284"/>
      <c r="G284"/>
    </row>
    <row r="285" spans="2:7" x14ac:dyDescent="0.3">
      <c r="B285"/>
      <c r="G285"/>
    </row>
    <row r="286" spans="2:7" x14ac:dyDescent="0.3">
      <c r="B286"/>
      <c r="G286"/>
    </row>
    <row r="287" spans="2:7" x14ac:dyDescent="0.3">
      <c r="B287"/>
      <c r="G287"/>
    </row>
    <row r="288" spans="2:7" x14ac:dyDescent="0.3">
      <c r="B288"/>
      <c r="G288"/>
    </row>
    <row r="289" spans="2:7" x14ac:dyDescent="0.3">
      <c r="B289"/>
      <c r="G289"/>
    </row>
    <row r="290" spans="2:7" x14ac:dyDescent="0.3">
      <c r="B290"/>
      <c r="G290"/>
    </row>
    <row r="291" spans="2:7" x14ac:dyDescent="0.3">
      <c r="B291"/>
      <c r="G291"/>
    </row>
    <row r="292" spans="2:7" x14ac:dyDescent="0.3">
      <c r="B292"/>
      <c r="G292"/>
    </row>
    <row r="293" spans="2:7" x14ac:dyDescent="0.3">
      <c r="B293"/>
      <c r="G293"/>
    </row>
    <row r="294" spans="2:7" x14ac:dyDescent="0.3">
      <c r="B294"/>
      <c r="G294"/>
    </row>
    <row r="295" spans="2:7" x14ac:dyDescent="0.3">
      <c r="B295"/>
      <c r="G295"/>
    </row>
    <row r="296" spans="2:7" x14ac:dyDescent="0.3">
      <c r="B296"/>
      <c r="G296"/>
    </row>
    <row r="297" spans="2:7" x14ac:dyDescent="0.3">
      <c r="B297"/>
      <c r="G297"/>
    </row>
    <row r="298" spans="2:7" x14ac:dyDescent="0.3">
      <c r="B298"/>
      <c r="G298"/>
    </row>
    <row r="299" spans="2:7" x14ac:dyDescent="0.3">
      <c r="B299"/>
      <c r="G299"/>
    </row>
    <row r="300" spans="2:7" x14ac:dyDescent="0.3">
      <c r="B300"/>
      <c r="G300"/>
    </row>
    <row r="301" spans="2:7" x14ac:dyDescent="0.3">
      <c r="B301"/>
      <c r="G301"/>
    </row>
    <row r="302" spans="2:7" x14ac:dyDescent="0.3">
      <c r="B302"/>
      <c r="G302"/>
    </row>
    <row r="303" spans="2:7" x14ac:dyDescent="0.3">
      <c r="B303"/>
      <c r="G303"/>
    </row>
    <row r="304" spans="2:7" x14ac:dyDescent="0.3">
      <c r="B304"/>
      <c r="G304"/>
    </row>
    <row r="305" spans="2:7" x14ac:dyDescent="0.3">
      <c r="B305"/>
      <c r="G305"/>
    </row>
    <row r="306" spans="2:7" x14ac:dyDescent="0.3">
      <c r="B306"/>
      <c r="G306"/>
    </row>
    <row r="307" spans="2:7" x14ac:dyDescent="0.3">
      <c r="B307"/>
      <c r="G307"/>
    </row>
    <row r="308" spans="2:7" x14ac:dyDescent="0.3">
      <c r="B308"/>
      <c r="G308"/>
    </row>
    <row r="309" spans="2:7" x14ac:dyDescent="0.3">
      <c r="B309"/>
      <c r="G309"/>
    </row>
    <row r="310" spans="2:7" x14ac:dyDescent="0.3">
      <c r="B310"/>
      <c r="G310"/>
    </row>
    <row r="311" spans="2:7" x14ac:dyDescent="0.3">
      <c r="B311"/>
      <c r="G311"/>
    </row>
    <row r="312" spans="2:7" x14ac:dyDescent="0.3">
      <c r="B312"/>
      <c r="G312"/>
    </row>
    <row r="313" spans="2:7" x14ac:dyDescent="0.3">
      <c r="B313"/>
      <c r="G313"/>
    </row>
    <row r="314" spans="2:7" x14ac:dyDescent="0.3">
      <c r="B314"/>
      <c r="G314"/>
    </row>
    <row r="315" spans="2:7" x14ac:dyDescent="0.3">
      <c r="B315"/>
      <c r="G315"/>
    </row>
    <row r="316" spans="2:7" x14ac:dyDescent="0.3">
      <c r="B316"/>
      <c r="G316"/>
    </row>
    <row r="317" spans="2:7" x14ac:dyDescent="0.3">
      <c r="B317"/>
      <c r="G317"/>
    </row>
    <row r="318" spans="2:7" x14ac:dyDescent="0.3">
      <c r="B318"/>
      <c r="G318"/>
    </row>
    <row r="319" spans="2:7" x14ac:dyDescent="0.3">
      <c r="B319"/>
      <c r="G319"/>
    </row>
    <row r="320" spans="2:7" x14ac:dyDescent="0.3">
      <c r="B320"/>
      <c r="G320"/>
    </row>
    <row r="321" spans="2:7" x14ac:dyDescent="0.3">
      <c r="B321"/>
      <c r="G321"/>
    </row>
    <row r="322" spans="2:7" x14ac:dyDescent="0.3">
      <c r="B322"/>
      <c r="G322"/>
    </row>
    <row r="323" spans="2:7" x14ac:dyDescent="0.3">
      <c r="B323"/>
      <c r="G323"/>
    </row>
    <row r="324" spans="2:7" x14ac:dyDescent="0.3">
      <c r="B324"/>
      <c r="G324"/>
    </row>
    <row r="325" spans="2:7" x14ac:dyDescent="0.3">
      <c r="B325"/>
      <c r="G325"/>
    </row>
  </sheetData>
  <autoFilter ref="B2:H2" xr:uid="{00000000-0009-0000-0000-000015000000}"/>
  <mergeCells count="4">
    <mergeCell ref="A1:H1"/>
    <mergeCell ref="A3:A6"/>
    <mergeCell ref="A7:A186"/>
    <mergeCell ref="A188:A191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9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81"/>
  <sheetViews>
    <sheetView workbookViewId="0">
      <selection sqref="A1:E1"/>
    </sheetView>
  </sheetViews>
  <sheetFormatPr baseColWidth="10" defaultRowHeight="14.4" x14ac:dyDescent="0.3"/>
  <cols>
    <col min="1" max="1" width="7.88671875" bestFit="1" customWidth="1"/>
    <col min="2" max="2" width="7.5546875" bestFit="1" customWidth="1"/>
    <col min="3" max="3" width="0.33203125" style="207" customWidth="1"/>
    <col min="4" max="4" width="7.88671875" bestFit="1" customWidth="1"/>
    <col min="5" max="5" width="6.33203125" bestFit="1" customWidth="1"/>
    <col min="6" max="6" width="3.5546875" customWidth="1"/>
    <col min="7" max="7" width="4.33203125" customWidth="1"/>
    <col min="8" max="8" width="3.109375" customWidth="1"/>
    <col min="252" max="252" width="7.88671875" bestFit="1" customWidth="1"/>
    <col min="253" max="253" width="7.5546875" bestFit="1" customWidth="1"/>
    <col min="254" max="254" width="1.33203125" customWidth="1"/>
    <col min="255" max="255" width="7.88671875" bestFit="1" customWidth="1"/>
    <col min="256" max="256" width="6.33203125" bestFit="1" customWidth="1"/>
    <col min="257" max="257" width="3.5546875" customWidth="1"/>
    <col min="258" max="258" width="4.33203125" customWidth="1"/>
    <col min="259" max="259" width="3.109375" customWidth="1"/>
    <col min="260" max="260" width="8.5546875" bestFit="1" customWidth="1"/>
    <col min="261" max="261" width="7.5546875" bestFit="1" customWidth="1"/>
    <col min="262" max="262" width="2.33203125" customWidth="1"/>
    <col min="263" max="263" width="8.33203125" bestFit="1" customWidth="1"/>
    <col min="264" max="264" width="6" bestFit="1" customWidth="1"/>
    <col min="508" max="508" width="7.88671875" bestFit="1" customWidth="1"/>
    <col min="509" max="509" width="7.5546875" bestFit="1" customWidth="1"/>
    <col min="510" max="510" width="1.33203125" customWidth="1"/>
    <col min="511" max="511" width="7.88671875" bestFit="1" customWidth="1"/>
    <col min="512" max="512" width="6.33203125" bestFit="1" customWidth="1"/>
    <col min="513" max="513" width="3.5546875" customWidth="1"/>
    <col min="514" max="514" width="4.33203125" customWidth="1"/>
    <col min="515" max="515" width="3.109375" customWidth="1"/>
    <col min="516" max="516" width="8.5546875" bestFit="1" customWidth="1"/>
    <col min="517" max="517" width="7.5546875" bestFit="1" customWidth="1"/>
    <col min="518" max="518" width="2.33203125" customWidth="1"/>
    <col min="519" max="519" width="8.33203125" bestFit="1" customWidth="1"/>
    <col min="520" max="520" width="6" bestFit="1" customWidth="1"/>
    <col min="764" max="764" width="7.88671875" bestFit="1" customWidth="1"/>
    <col min="765" max="765" width="7.5546875" bestFit="1" customWidth="1"/>
    <col min="766" max="766" width="1.33203125" customWidth="1"/>
    <col min="767" max="767" width="7.88671875" bestFit="1" customWidth="1"/>
    <col min="768" max="768" width="6.33203125" bestFit="1" customWidth="1"/>
    <col min="769" max="769" width="3.5546875" customWidth="1"/>
    <col min="770" max="770" width="4.33203125" customWidth="1"/>
    <col min="771" max="771" width="3.109375" customWidth="1"/>
    <col min="772" max="772" width="8.5546875" bestFit="1" customWidth="1"/>
    <col min="773" max="773" width="7.5546875" bestFit="1" customWidth="1"/>
    <col min="774" max="774" width="2.33203125" customWidth="1"/>
    <col min="775" max="775" width="8.33203125" bestFit="1" customWidth="1"/>
    <col min="776" max="776" width="6" bestFit="1" customWidth="1"/>
    <col min="1020" max="1020" width="7.88671875" bestFit="1" customWidth="1"/>
    <col min="1021" max="1021" width="7.5546875" bestFit="1" customWidth="1"/>
    <col min="1022" max="1022" width="1.33203125" customWidth="1"/>
    <col min="1023" max="1023" width="7.88671875" bestFit="1" customWidth="1"/>
    <col min="1024" max="1024" width="6.33203125" bestFit="1" customWidth="1"/>
    <col min="1025" max="1025" width="3.5546875" customWidth="1"/>
    <col min="1026" max="1026" width="4.33203125" customWidth="1"/>
    <col min="1027" max="1027" width="3.109375" customWidth="1"/>
    <col min="1028" max="1028" width="8.5546875" bestFit="1" customWidth="1"/>
    <col min="1029" max="1029" width="7.5546875" bestFit="1" customWidth="1"/>
    <col min="1030" max="1030" width="2.33203125" customWidth="1"/>
    <col min="1031" max="1031" width="8.33203125" bestFit="1" customWidth="1"/>
    <col min="1032" max="1032" width="6" bestFit="1" customWidth="1"/>
    <col min="1276" max="1276" width="7.88671875" bestFit="1" customWidth="1"/>
    <col min="1277" max="1277" width="7.5546875" bestFit="1" customWidth="1"/>
    <col min="1278" max="1278" width="1.33203125" customWidth="1"/>
    <col min="1279" max="1279" width="7.88671875" bestFit="1" customWidth="1"/>
    <col min="1280" max="1280" width="6.33203125" bestFit="1" customWidth="1"/>
    <col min="1281" max="1281" width="3.5546875" customWidth="1"/>
    <col min="1282" max="1282" width="4.33203125" customWidth="1"/>
    <col min="1283" max="1283" width="3.109375" customWidth="1"/>
    <col min="1284" max="1284" width="8.5546875" bestFit="1" customWidth="1"/>
    <col min="1285" max="1285" width="7.5546875" bestFit="1" customWidth="1"/>
    <col min="1286" max="1286" width="2.33203125" customWidth="1"/>
    <col min="1287" max="1287" width="8.33203125" bestFit="1" customWidth="1"/>
    <col min="1288" max="1288" width="6" bestFit="1" customWidth="1"/>
    <col min="1532" max="1532" width="7.88671875" bestFit="1" customWidth="1"/>
    <col min="1533" max="1533" width="7.5546875" bestFit="1" customWidth="1"/>
    <col min="1534" max="1534" width="1.33203125" customWidth="1"/>
    <col min="1535" max="1535" width="7.88671875" bestFit="1" customWidth="1"/>
    <col min="1536" max="1536" width="6.33203125" bestFit="1" customWidth="1"/>
    <col min="1537" max="1537" width="3.5546875" customWidth="1"/>
    <col min="1538" max="1538" width="4.33203125" customWidth="1"/>
    <col min="1539" max="1539" width="3.109375" customWidth="1"/>
    <col min="1540" max="1540" width="8.5546875" bestFit="1" customWidth="1"/>
    <col min="1541" max="1541" width="7.5546875" bestFit="1" customWidth="1"/>
    <col min="1542" max="1542" width="2.33203125" customWidth="1"/>
    <col min="1543" max="1543" width="8.33203125" bestFit="1" customWidth="1"/>
    <col min="1544" max="1544" width="6" bestFit="1" customWidth="1"/>
    <col min="1788" max="1788" width="7.88671875" bestFit="1" customWidth="1"/>
    <col min="1789" max="1789" width="7.5546875" bestFit="1" customWidth="1"/>
    <col min="1790" max="1790" width="1.33203125" customWidth="1"/>
    <col min="1791" max="1791" width="7.88671875" bestFit="1" customWidth="1"/>
    <col min="1792" max="1792" width="6.33203125" bestFit="1" customWidth="1"/>
    <col min="1793" max="1793" width="3.5546875" customWidth="1"/>
    <col min="1794" max="1794" width="4.33203125" customWidth="1"/>
    <col min="1795" max="1795" width="3.109375" customWidth="1"/>
    <col min="1796" max="1796" width="8.5546875" bestFit="1" customWidth="1"/>
    <col min="1797" max="1797" width="7.5546875" bestFit="1" customWidth="1"/>
    <col min="1798" max="1798" width="2.33203125" customWidth="1"/>
    <col min="1799" max="1799" width="8.33203125" bestFit="1" customWidth="1"/>
    <col min="1800" max="1800" width="6" bestFit="1" customWidth="1"/>
    <col min="2044" max="2044" width="7.88671875" bestFit="1" customWidth="1"/>
    <col min="2045" max="2045" width="7.5546875" bestFit="1" customWidth="1"/>
    <col min="2046" max="2046" width="1.33203125" customWidth="1"/>
    <col min="2047" max="2047" width="7.88671875" bestFit="1" customWidth="1"/>
    <col min="2048" max="2048" width="6.33203125" bestFit="1" customWidth="1"/>
    <col min="2049" max="2049" width="3.5546875" customWidth="1"/>
    <col min="2050" max="2050" width="4.33203125" customWidth="1"/>
    <col min="2051" max="2051" width="3.109375" customWidth="1"/>
    <col min="2052" max="2052" width="8.5546875" bestFit="1" customWidth="1"/>
    <col min="2053" max="2053" width="7.5546875" bestFit="1" customWidth="1"/>
    <col min="2054" max="2054" width="2.33203125" customWidth="1"/>
    <col min="2055" max="2055" width="8.33203125" bestFit="1" customWidth="1"/>
    <col min="2056" max="2056" width="6" bestFit="1" customWidth="1"/>
    <col min="2300" max="2300" width="7.88671875" bestFit="1" customWidth="1"/>
    <col min="2301" max="2301" width="7.5546875" bestFit="1" customWidth="1"/>
    <col min="2302" max="2302" width="1.33203125" customWidth="1"/>
    <col min="2303" max="2303" width="7.88671875" bestFit="1" customWidth="1"/>
    <col min="2304" max="2304" width="6.33203125" bestFit="1" customWidth="1"/>
    <col min="2305" max="2305" width="3.5546875" customWidth="1"/>
    <col min="2306" max="2306" width="4.33203125" customWidth="1"/>
    <col min="2307" max="2307" width="3.109375" customWidth="1"/>
    <col min="2308" max="2308" width="8.5546875" bestFit="1" customWidth="1"/>
    <col min="2309" max="2309" width="7.5546875" bestFit="1" customWidth="1"/>
    <col min="2310" max="2310" width="2.33203125" customWidth="1"/>
    <col min="2311" max="2311" width="8.33203125" bestFit="1" customWidth="1"/>
    <col min="2312" max="2312" width="6" bestFit="1" customWidth="1"/>
    <col min="2556" max="2556" width="7.88671875" bestFit="1" customWidth="1"/>
    <col min="2557" max="2557" width="7.5546875" bestFit="1" customWidth="1"/>
    <col min="2558" max="2558" width="1.33203125" customWidth="1"/>
    <col min="2559" max="2559" width="7.88671875" bestFit="1" customWidth="1"/>
    <col min="2560" max="2560" width="6.33203125" bestFit="1" customWidth="1"/>
    <col min="2561" max="2561" width="3.5546875" customWidth="1"/>
    <col min="2562" max="2562" width="4.33203125" customWidth="1"/>
    <col min="2563" max="2563" width="3.109375" customWidth="1"/>
    <col min="2564" max="2564" width="8.5546875" bestFit="1" customWidth="1"/>
    <col min="2565" max="2565" width="7.5546875" bestFit="1" customWidth="1"/>
    <col min="2566" max="2566" width="2.33203125" customWidth="1"/>
    <col min="2567" max="2567" width="8.33203125" bestFit="1" customWidth="1"/>
    <col min="2568" max="2568" width="6" bestFit="1" customWidth="1"/>
    <col min="2812" max="2812" width="7.88671875" bestFit="1" customWidth="1"/>
    <col min="2813" max="2813" width="7.5546875" bestFit="1" customWidth="1"/>
    <col min="2814" max="2814" width="1.33203125" customWidth="1"/>
    <col min="2815" max="2815" width="7.88671875" bestFit="1" customWidth="1"/>
    <col min="2816" max="2816" width="6.33203125" bestFit="1" customWidth="1"/>
    <col min="2817" max="2817" width="3.5546875" customWidth="1"/>
    <col min="2818" max="2818" width="4.33203125" customWidth="1"/>
    <col min="2819" max="2819" width="3.109375" customWidth="1"/>
    <col min="2820" max="2820" width="8.5546875" bestFit="1" customWidth="1"/>
    <col min="2821" max="2821" width="7.5546875" bestFit="1" customWidth="1"/>
    <col min="2822" max="2822" width="2.33203125" customWidth="1"/>
    <col min="2823" max="2823" width="8.33203125" bestFit="1" customWidth="1"/>
    <col min="2824" max="2824" width="6" bestFit="1" customWidth="1"/>
    <col min="3068" max="3068" width="7.88671875" bestFit="1" customWidth="1"/>
    <col min="3069" max="3069" width="7.5546875" bestFit="1" customWidth="1"/>
    <col min="3070" max="3070" width="1.33203125" customWidth="1"/>
    <col min="3071" max="3071" width="7.88671875" bestFit="1" customWidth="1"/>
    <col min="3072" max="3072" width="6.33203125" bestFit="1" customWidth="1"/>
    <col min="3073" max="3073" width="3.5546875" customWidth="1"/>
    <col min="3074" max="3074" width="4.33203125" customWidth="1"/>
    <col min="3075" max="3075" width="3.109375" customWidth="1"/>
    <col min="3076" max="3076" width="8.5546875" bestFit="1" customWidth="1"/>
    <col min="3077" max="3077" width="7.5546875" bestFit="1" customWidth="1"/>
    <col min="3078" max="3078" width="2.33203125" customWidth="1"/>
    <col min="3079" max="3079" width="8.33203125" bestFit="1" customWidth="1"/>
    <col min="3080" max="3080" width="6" bestFit="1" customWidth="1"/>
    <col min="3324" max="3324" width="7.88671875" bestFit="1" customWidth="1"/>
    <col min="3325" max="3325" width="7.5546875" bestFit="1" customWidth="1"/>
    <col min="3326" max="3326" width="1.33203125" customWidth="1"/>
    <col min="3327" max="3327" width="7.88671875" bestFit="1" customWidth="1"/>
    <col min="3328" max="3328" width="6.33203125" bestFit="1" customWidth="1"/>
    <col min="3329" max="3329" width="3.5546875" customWidth="1"/>
    <col min="3330" max="3330" width="4.33203125" customWidth="1"/>
    <col min="3331" max="3331" width="3.109375" customWidth="1"/>
    <col min="3332" max="3332" width="8.5546875" bestFit="1" customWidth="1"/>
    <col min="3333" max="3333" width="7.5546875" bestFit="1" customWidth="1"/>
    <col min="3334" max="3334" width="2.33203125" customWidth="1"/>
    <col min="3335" max="3335" width="8.33203125" bestFit="1" customWidth="1"/>
    <col min="3336" max="3336" width="6" bestFit="1" customWidth="1"/>
    <col min="3580" max="3580" width="7.88671875" bestFit="1" customWidth="1"/>
    <col min="3581" max="3581" width="7.5546875" bestFit="1" customWidth="1"/>
    <col min="3582" max="3582" width="1.33203125" customWidth="1"/>
    <col min="3583" max="3583" width="7.88671875" bestFit="1" customWidth="1"/>
    <col min="3584" max="3584" width="6.33203125" bestFit="1" customWidth="1"/>
    <col min="3585" max="3585" width="3.5546875" customWidth="1"/>
    <col min="3586" max="3586" width="4.33203125" customWidth="1"/>
    <col min="3587" max="3587" width="3.109375" customWidth="1"/>
    <col min="3588" max="3588" width="8.5546875" bestFit="1" customWidth="1"/>
    <col min="3589" max="3589" width="7.5546875" bestFit="1" customWidth="1"/>
    <col min="3590" max="3590" width="2.33203125" customWidth="1"/>
    <col min="3591" max="3591" width="8.33203125" bestFit="1" customWidth="1"/>
    <col min="3592" max="3592" width="6" bestFit="1" customWidth="1"/>
    <col min="3836" max="3836" width="7.88671875" bestFit="1" customWidth="1"/>
    <col min="3837" max="3837" width="7.5546875" bestFit="1" customWidth="1"/>
    <col min="3838" max="3838" width="1.33203125" customWidth="1"/>
    <col min="3839" max="3839" width="7.88671875" bestFit="1" customWidth="1"/>
    <col min="3840" max="3840" width="6.33203125" bestFit="1" customWidth="1"/>
    <col min="3841" max="3841" width="3.5546875" customWidth="1"/>
    <col min="3842" max="3842" width="4.33203125" customWidth="1"/>
    <col min="3843" max="3843" width="3.109375" customWidth="1"/>
    <col min="3844" max="3844" width="8.5546875" bestFit="1" customWidth="1"/>
    <col min="3845" max="3845" width="7.5546875" bestFit="1" customWidth="1"/>
    <col min="3846" max="3846" width="2.33203125" customWidth="1"/>
    <col min="3847" max="3847" width="8.33203125" bestFit="1" customWidth="1"/>
    <col min="3848" max="3848" width="6" bestFit="1" customWidth="1"/>
    <col min="4092" max="4092" width="7.88671875" bestFit="1" customWidth="1"/>
    <col min="4093" max="4093" width="7.5546875" bestFit="1" customWidth="1"/>
    <col min="4094" max="4094" width="1.33203125" customWidth="1"/>
    <col min="4095" max="4095" width="7.88671875" bestFit="1" customWidth="1"/>
    <col min="4096" max="4096" width="6.33203125" bestFit="1" customWidth="1"/>
    <col min="4097" max="4097" width="3.5546875" customWidth="1"/>
    <col min="4098" max="4098" width="4.33203125" customWidth="1"/>
    <col min="4099" max="4099" width="3.109375" customWidth="1"/>
    <col min="4100" max="4100" width="8.5546875" bestFit="1" customWidth="1"/>
    <col min="4101" max="4101" width="7.5546875" bestFit="1" customWidth="1"/>
    <col min="4102" max="4102" width="2.33203125" customWidth="1"/>
    <col min="4103" max="4103" width="8.33203125" bestFit="1" customWidth="1"/>
    <col min="4104" max="4104" width="6" bestFit="1" customWidth="1"/>
    <col min="4348" max="4348" width="7.88671875" bestFit="1" customWidth="1"/>
    <col min="4349" max="4349" width="7.5546875" bestFit="1" customWidth="1"/>
    <col min="4350" max="4350" width="1.33203125" customWidth="1"/>
    <col min="4351" max="4351" width="7.88671875" bestFit="1" customWidth="1"/>
    <col min="4352" max="4352" width="6.33203125" bestFit="1" customWidth="1"/>
    <col min="4353" max="4353" width="3.5546875" customWidth="1"/>
    <col min="4354" max="4354" width="4.33203125" customWidth="1"/>
    <col min="4355" max="4355" width="3.109375" customWidth="1"/>
    <col min="4356" max="4356" width="8.5546875" bestFit="1" customWidth="1"/>
    <col min="4357" max="4357" width="7.5546875" bestFit="1" customWidth="1"/>
    <col min="4358" max="4358" width="2.33203125" customWidth="1"/>
    <col min="4359" max="4359" width="8.33203125" bestFit="1" customWidth="1"/>
    <col min="4360" max="4360" width="6" bestFit="1" customWidth="1"/>
    <col min="4604" max="4604" width="7.88671875" bestFit="1" customWidth="1"/>
    <col min="4605" max="4605" width="7.5546875" bestFit="1" customWidth="1"/>
    <col min="4606" max="4606" width="1.33203125" customWidth="1"/>
    <col min="4607" max="4607" width="7.88671875" bestFit="1" customWidth="1"/>
    <col min="4608" max="4608" width="6.33203125" bestFit="1" customWidth="1"/>
    <col min="4609" max="4609" width="3.5546875" customWidth="1"/>
    <col min="4610" max="4610" width="4.33203125" customWidth="1"/>
    <col min="4611" max="4611" width="3.109375" customWidth="1"/>
    <col min="4612" max="4612" width="8.5546875" bestFit="1" customWidth="1"/>
    <col min="4613" max="4613" width="7.5546875" bestFit="1" customWidth="1"/>
    <col min="4614" max="4614" width="2.33203125" customWidth="1"/>
    <col min="4615" max="4615" width="8.33203125" bestFit="1" customWidth="1"/>
    <col min="4616" max="4616" width="6" bestFit="1" customWidth="1"/>
    <col min="4860" max="4860" width="7.88671875" bestFit="1" customWidth="1"/>
    <col min="4861" max="4861" width="7.5546875" bestFit="1" customWidth="1"/>
    <col min="4862" max="4862" width="1.33203125" customWidth="1"/>
    <col min="4863" max="4863" width="7.88671875" bestFit="1" customWidth="1"/>
    <col min="4864" max="4864" width="6.33203125" bestFit="1" customWidth="1"/>
    <col min="4865" max="4865" width="3.5546875" customWidth="1"/>
    <col min="4866" max="4866" width="4.33203125" customWidth="1"/>
    <col min="4867" max="4867" width="3.109375" customWidth="1"/>
    <col min="4868" max="4868" width="8.5546875" bestFit="1" customWidth="1"/>
    <col min="4869" max="4869" width="7.5546875" bestFit="1" customWidth="1"/>
    <col min="4870" max="4870" width="2.33203125" customWidth="1"/>
    <col min="4871" max="4871" width="8.33203125" bestFit="1" customWidth="1"/>
    <col min="4872" max="4872" width="6" bestFit="1" customWidth="1"/>
    <col min="5116" max="5116" width="7.88671875" bestFit="1" customWidth="1"/>
    <col min="5117" max="5117" width="7.5546875" bestFit="1" customWidth="1"/>
    <col min="5118" max="5118" width="1.33203125" customWidth="1"/>
    <col min="5119" max="5119" width="7.88671875" bestFit="1" customWidth="1"/>
    <col min="5120" max="5120" width="6.33203125" bestFit="1" customWidth="1"/>
    <col min="5121" max="5121" width="3.5546875" customWidth="1"/>
    <col min="5122" max="5122" width="4.33203125" customWidth="1"/>
    <col min="5123" max="5123" width="3.109375" customWidth="1"/>
    <col min="5124" max="5124" width="8.5546875" bestFit="1" customWidth="1"/>
    <col min="5125" max="5125" width="7.5546875" bestFit="1" customWidth="1"/>
    <col min="5126" max="5126" width="2.33203125" customWidth="1"/>
    <col min="5127" max="5127" width="8.33203125" bestFit="1" customWidth="1"/>
    <col min="5128" max="5128" width="6" bestFit="1" customWidth="1"/>
    <col min="5372" max="5372" width="7.88671875" bestFit="1" customWidth="1"/>
    <col min="5373" max="5373" width="7.5546875" bestFit="1" customWidth="1"/>
    <col min="5374" max="5374" width="1.33203125" customWidth="1"/>
    <col min="5375" max="5375" width="7.88671875" bestFit="1" customWidth="1"/>
    <col min="5376" max="5376" width="6.33203125" bestFit="1" customWidth="1"/>
    <col min="5377" max="5377" width="3.5546875" customWidth="1"/>
    <col min="5378" max="5378" width="4.33203125" customWidth="1"/>
    <col min="5379" max="5379" width="3.109375" customWidth="1"/>
    <col min="5380" max="5380" width="8.5546875" bestFit="1" customWidth="1"/>
    <col min="5381" max="5381" width="7.5546875" bestFit="1" customWidth="1"/>
    <col min="5382" max="5382" width="2.33203125" customWidth="1"/>
    <col min="5383" max="5383" width="8.33203125" bestFit="1" customWidth="1"/>
    <col min="5384" max="5384" width="6" bestFit="1" customWidth="1"/>
    <col min="5628" max="5628" width="7.88671875" bestFit="1" customWidth="1"/>
    <col min="5629" max="5629" width="7.5546875" bestFit="1" customWidth="1"/>
    <col min="5630" max="5630" width="1.33203125" customWidth="1"/>
    <col min="5631" max="5631" width="7.88671875" bestFit="1" customWidth="1"/>
    <col min="5632" max="5632" width="6.33203125" bestFit="1" customWidth="1"/>
    <col min="5633" max="5633" width="3.5546875" customWidth="1"/>
    <col min="5634" max="5634" width="4.33203125" customWidth="1"/>
    <col min="5635" max="5635" width="3.109375" customWidth="1"/>
    <col min="5636" max="5636" width="8.5546875" bestFit="1" customWidth="1"/>
    <col min="5637" max="5637" width="7.5546875" bestFit="1" customWidth="1"/>
    <col min="5638" max="5638" width="2.33203125" customWidth="1"/>
    <col min="5639" max="5639" width="8.33203125" bestFit="1" customWidth="1"/>
    <col min="5640" max="5640" width="6" bestFit="1" customWidth="1"/>
    <col min="5884" max="5884" width="7.88671875" bestFit="1" customWidth="1"/>
    <col min="5885" max="5885" width="7.5546875" bestFit="1" customWidth="1"/>
    <col min="5886" max="5886" width="1.33203125" customWidth="1"/>
    <col min="5887" max="5887" width="7.88671875" bestFit="1" customWidth="1"/>
    <col min="5888" max="5888" width="6.33203125" bestFit="1" customWidth="1"/>
    <col min="5889" max="5889" width="3.5546875" customWidth="1"/>
    <col min="5890" max="5890" width="4.33203125" customWidth="1"/>
    <col min="5891" max="5891" width="3.109375" customWidth="1"/>
    <col min="5892" max="5892" width="8.5546875" bestFit="1" customWidth="1"/>
    <col min="5893" max="5893" width="7.5546875" bestFit="1" customWidth="1"/>
    <col min="5894" max="5894" width="2.33203125" customWidth="1"/>
    <col min="5895" max="5895" width="8.33203125" bestFit="1" customWidth="1"/>
    <col min="5896" max="5896" width="6" bestFit="1" customWidth="1"/>
    <col min="6140" max="6140" width="7.88671875" bestFit="1" customWidth="1"/>
    <col min="6141" max="6141" width="7.5546875" bestFit="1" customWidth="1"/>
    <col min="6142" max="6142" width="1.33203125" customWidth="1"/>
    <col min="6143" max="6143" width="7.88671875" bestFit="1" customWidth="1"/>
    <col min="6144" max="6144" width="6.33203125" bestFit="1" customWidth="1"/>
    <col min="6145" max="6145" width="3.5546875" customWidth="1"/>
    <col min="6146" max="6146" width="4.33203125" customWidth="1"/>
    <col min="6147" max="6147" width="3.109375" customWidth="1"/>
    <col min="6148" max="6148" width="8.5546875" bestFit="1" customWidth="1"/>
    <col min="6149" max="6149" width="7.5546875" bestFit="1" customWidth="1"/>
    <col min="6150" max="6150" width="2.33203125" customWidth="1"/>
    <col min="6151" max="6151" width="8.33203125" bestFit="1" customWidth="1"/>
    <col min="6152" max="6152" width="6" bestFit="1" customWidth="1"/>
    <col min="6396" max="6396" width="7.88671875" bestFit="1" customWidth="1"/>
    <col min="6397" max="6397" width="7.5546875" bestFit="1" customWidth="1"/>
    <col min="6398" max="6398" width="1.33203125" customWidth="1"/>
    <col min="6399" max="6399" width="7.88671875" bestFit="1" customWidth="1"/>
    <col min="6400" max="6400" width="6.33203125" bestFit="1" customWidth="1"/>
    <col min="6401" max="6401" width="3.5546875" customWidth="1"/>
    <col min="6402" max="6402" width="4.33203125" customWidth="1"/>
    <col min="6403" max="6403" width="3.109375" customWidth="1"/>
    <col min="6404" max="6404" width="8.5546875" bestFit="1" customWidth="1"/>
    <col min="6405" max="6405" width="7.5546875" bestFit="1" customWidth="1"/>
    <col min="6406" max="6406" width="2.33203125" customWidth="1"/>
    <col min="6407" max="6407" width="8.33203125" bestFit="1" customWidth="1"/>
    <col min="6408" max="6408" width="6" bestFit="1" customWidth="1"/>
    <col min="6652" max="6652" width="7.88671875" bestFit="1" customWidth="1"/>
    <col min="6653" max="6653" width="7.5546875" bestFit="1" customWidth="1"/>
    <col min="6654" max="6654" width="1.33203125" customWidth="1"/>
    <col min="6655" max="6655" width="7.88671875" bestFit="1" customWidth="1"/>
    <col min="6656" max="6656" width="6.33203125" bestFit="1" customWidth="1"/>
    <col min="6657" max="6657" width="3.5546875" customWidth="1"/>
    <col min="6658" max="6658" width="4.33203125" customWidth="1"/>
    <col min="6659" max="6659" width="3.109375" customWidth="1"/>
    <col min="6660" max="6660" width="8.5546875" bestFit="1" customWidth="1"/>
    <col min="6661" max="6661" width="7.5546875" bestFit="1" customWidth="1"/>
    <col min="6662" max="6662" width="2.33203125" customWidth="1"/>
    <col min="6663" max="6663" width="8.33203125" bestFit="1" customWidth="1"/>
    <col min="6664" max="6664" width="6" bestFit="1" customWidth="1"/>
    <col min="6908" max="6908" width="7.88671875" bestFit="1" customWidth="1"/>
    <col min="6909" max="6909" width="7.5546875" bestFit="1" customWidth="1"/>
    <col min="6910" max="6910" width="1.33203125" customWidth="1"/>
    <col min="6911" max="6911" width="7.88671875" bestFit="1" customWidth="1"/>
    <col min="6912" max="6912" width="6.33203125" bestFit="1" customWidth="1"/>
    <col min="6913" max="6913" width="3.5546875" customWidth="1"/>
    <col min="6914" max="6914" width="4.33203125" customWidth="1"/>
    <col min="6915" max="6915" width="3.109375" customWidth="1"/>
    <col min="6916" max="6916" width="8.5546875" bestFit="1" customWidth="1"/>
    <col min="6917" max="6917" width="7.5546875" bestFit="1" customWidth="1"/>
    <col min="6918" max="6918" width="2.33203125" customWidth="1"/>
    <col min="6919" max="6919" width="8.33203125" bestFit="1" customWidth="1"/>
    <col min="6920" max="6920" width="6" bestFit="1" customWidth="1"/>
    <col min="7164" max="7164" width="7.88671875" bestFit="1" customWidth="1"/>
    <col min="7165" max="7165" width="7.5546875" bestFit="1" customWidth="1"/>
    <col min="7166" max="7166" width="1.33203125" customWidth="1"/>
    <col min="7167" max="7167" width="7.88671875" bestFit="1" customWidth="1"/>
    <col min="7168" max="7168" width="6.33203125" bestFit="1" customWidth="1"/>
    <col min="7169" max="7169" width="3.5546875" customWidth="1"/>
    <col min="7170" max="7170" width="4.33203125" customWidth="1"/>
    <col min="7171" max="7171" width="3.109375" customWidth="1"/>
    <col min="7172" max="7172" width="8.5546875" bestFit="1" customWidth="1"/>
    <col min="7173" max="7173" width="7.5546875" bestFit="1" customWidth="1"/>
    <col min="7174" max="7174" width="2.33203125" customWidth="1"/>
    <col min="7175" max="7175" width="8.33203125" bestFit="1" customWidth="1"/>
    <col min="7176" max="7176" width="6" bestFit="1" customWidth="1"/>
    <col min="7420" max="7420" width="7.88671875" bestFit="1" customWidth="1"/>
    <col min="7421" max="7421" width="7.5546875" bestFit="1" customWidth="1"/>
    <col min="7422" max="7422" width="1.33203125" customWidth="1"/>
    <col min="7423" max="7423" width="7.88671875" bestFit="1" customWidth="1"/>
    <col min="7424" max="7424" width="6.33203125" bestFit="1" customWidth="1"/>
    <col min="7425" max="7425" width="3.5546875" customWidth="1"/>
    <col min="7426" max="7426" width="4.33203125" customWidth="1"/>
    <col min="7427" max="7427" width="3.109375" customWidth="1"/>
    <col min="7428" max="7428" width="8.5546875" bestFit="1" customWidth="1"/>
    <col min="7429" max="7429" width="7.5546875" bestFit="1" customWidth="1"/>
    <col min="7430" max="7430" width="2.33203125" customWidth="1"/>
    <col min="7431" max="7431" width="8.33203125" bestFit="1" customWidth="1"/>
    <col min="7432" max="7432" width="6" bestFit="1" customWidth="1"/>
    <col min="7676" max="7676" width="7.88671875" bestFit="1" customWidth="1"/>
    <col min="7677" max="7677" width="7.5546875" bestFit="1" customWidth="1"/>
    <col min="7678" max="7678" width="1.33203125" customWidth="1"/>
    <col min="7679" max="7679" width="7.88671875" bestFit="1" customWidth="1"/>
    <col min="7680" max="7680" width="6.33203125" bestFit="1" customWidth="1"/>
    <col min="7681" max="7681" width="3.5546875" customWidth="1"/>
    <col min="7682" max="7682" width="4.33203125" customWidth="1"/>
    <col min="7683" max="7683" width="3.109375" customWidth="1"/>
    <col min="7684" max="7684" width="8.5546875" bestFit="1" customWidth="1"/>
    <col min="7685" max="7685" width="7.5546875" bestFit="1" customWidth="1"/>
    <col min="7686" max="7686" width="2.33203125" customWidth="1"/>
    <col min="7687" max="7687" width="8.33203125" bestFit="1" customWidth="1"/>
    <col min="7688" max="7688" width="6" bestFit="1" customWidth="1"/>
    <col min="7932" max="7932" width="7.88671875" bestFit="1" customWidth="1"/>
    <col min="7933" max="7933" width="7.5546875" bestFit="1" customWidth="1"/>
    <col min="7934" max="7934" width="1.33203125" customWidth="1"/>
    <col min="7935" max="7935" width="7.88671875" bestFit="1" customWidth="1"/>
    <col min="7936" max="7936" width="6.33203125" bestFit="1" customWidth="1"/>
    <col min="7937" max="7937" width="3.5546875" customWidth="1"/>
    <col min="7938" max="7938" width="4.33203125" customWidth="1"/>
    <col min="7939" max="7939" width="3.109375" customWidth="1"/>
    <col min="7940" max="7940" width="8.5546875" bestFit="1" customWidth="1"/>
    <col min="7941" max="7941" width="7.5546875" bestFit="1" customWidth="1"/>
    <col min="7942" max="7942" width="2.33203125" customWidth="1"/>
    <col min="7943" max="7943" width="8.33203125" bestFit="1" customWidth="1"/>
    <col min="7944" max="7944" width="6" bestFit="1" customWidth="1"/>
    <col min="8188" max="8188" width="7.88671875" bestFit="1" customWidth="1"/>
    <col min="8189" max="8189" width="7.5546875" bestFit="1" customWidth="1"/>
    <col min="8190" max="8190" width="1.33203125" customWidth="1"/>
    <col min="8191" max="8191" width="7.88671875" bestFit="1" customWidth="1"/>
    <col min="8192" max="8192" width="6.33203125" bestFit="1" customWidth="1"/>
    <col min="8193" max="8193" width="3.5546875" customWidth="1"/>
    <col min="8194" max="8194" width="4.33203125" customWidth="1"/>
    <col min="8195" max="8195" width="3.109375" customWidth="1"/>
    <col min="8196" max="8196" width="8.5546875" bestFit="1" customWidth="1"/>
    <col min="8197" max="8197" width="7.5546875" bestFit="1" customWidth="1"/>
    <col min="8198" max="8198" width="2.33203125" customWidth="1"/>
    <col min="8199" max="8199" width="8.33203125" bestFit="1" customWidth="1"/>
    <col min="8200" max="8200" width="6" bestFit="1" customWidth="1"/>
    <col min="8444" max="8444" width="7.88671875" bestFit="1" customWidth="1"/>
    <col min="8445" max="8445" width="7.5546875" bestFit="1" customWidth="1"/>
    <col min="8446" max="8446" width="1.33203125" customWidth="1"/>
    <col min="8447" max="8447" width="7.88671875" bestFit="1" customWidth="1"/>
    <col min="8448" max="8448" width="6.33203125" bestFit="1" customWidth="1"/>
    <col min="8449" max="8449" width="3.5546875" customWidth="1"/>
    <col min="8450" max="8450" width="4.33203125" customWidth="1"/>
    <col min="8451" max="8451" width="3.109375" customWidth="1"/>
    <col min="8452" max="8452" width="8.5546875" bestFit="1" customWidth="1"/>
    <col min="8453" max="8453" width="7.5546875" bestFit="1" customWidth="1"/>
    <col min="8454" max="8454" width="2.33203125" customWidth="1"/>
    <col min="8455" max="8455" width="8.33203125" bestFit="1" customWidth="1"/>
    <col min="8456" max="8456" width="6" bestFit="1" customWidth="1"/>
    <col min="8700" max="8700" width="7.88671875" bestFit="1" customWidth="1"/>
    <col min="8701" max="8701" width="7.5546875" bestFit="1" customWidth="1"/>
    <col min="8702" max="8702" width="1.33203125" customWidth="1"/>
    <col min="8703" max="8703" width="7.88671875" bestFit="1" customWidth="1"/>
    <col min="8704" max="8704" width="6.33203125" bestFit="1" customWidth="1"/>
    <col min="8705" max="8705" width="3.5546875" customWidth="1"/>
    <col min="8706" max="8706" width="4.33203125" customWidth="1"/>
    <col min="8707" max="8707" width="3.109375" customWidth="1"/>
    <col min="8708" max="8708" width="8.5546875" bestFit="1" customWidth="1"/>
    <col min="8709" max="8709" width="7.5546875" bestFit="1" customWidth="1"/>
    <col min="8710" max="8710" width="2.33203125" customWidth="1"/>
    <col min="8711" max="8711" width="8.33203125" bestFit="1" customWidth="1"/>
    <col min="8712" max="8712" width="6" bestFit="1" customWidth="1"/>
    <col min="8956" max="8956" width="7.88671875" bestFit="1" customWidth="1"/>
    <col min="8957" max="8957" width="7.5546875" bestFit="1" customWidth="1"/>
    <col min="8958" max="8958" width="1.33203125" customWidth="1"/>
    <col min="8959" max="8959" width="7.88671875" bestFit="1" customWidth="1"/>
    <col min="8960" max="8960" width="6.33203125" bestFit="1" customWidth="1"/>
    <col min="8961" max="8961" width="3.5546875" customWidth="1"/>
    <col min="8962" max="8962" width="4.33203125" customWidth="1"/>
    <col min="8963" max="8963" width="3.109375" customWidth="1"/>
    <col min="8964" max="8964" width="8.5546875" bestFit="1" customWidth="1"/>
    <col min="8965" max="8965" width="7.5546875" bestFit="1" customWidth="1"/>
    <col min="8966" max="8966" width="2.33203125" customWidth="1"/>
    <col min="8967" max="8967" width="8.33203125" bestFit="1" customWidth="1"/>
    <col min="8968" max="8968" width="6" bestFit="1" customWidth="1"/>
    <col min="9212" max="9212" width="7.88671875" bestFit="1" customWidth="1"/>
    <col min="9213" max="9213" width="7.5546875" bestFit="1" customWidth="1"/>
    <col min="9214" max="9214" width="1.33203125" customWidth="1"/>
    <col min="9215" max="9215" width="7.88671875" bestFit="1" customWidth="1"/>
    <col min="9216" max="9216" width="6.33203125" bestFit="1" customWidth="1"/>
    <col min="9217" max="9217" width="3.5546875" customWidth="1"/>
    <col min="9218" max="9218" width="4.33203125" customWidth="1"/>
    <col min="9219" max="9219" width="3.109375" customWidth="1"/>
    <col min="9220" max="9220" width="8.5546875" bestFit="1" customWidth="1"/>
    <col min="9221" max="9221" width="7.5546875" bestFit="1" customWidth="1"/>
    <col min="9222" max="9222" width="2.33203125" customWidth="1"/>
    <col min="9223" max="9223" width="8.33203125" bestFit="1" customWidth="1"/>
    <col min="9224" max="9224" width="6" bestFit="1" customWidth="1"/>
    <col min="9468" max="9468" width="7.88671875" bestFit="1" customWidth="1"/>
    <col min="9469" max="9469" width="7.5546875" bestFit="1" customWidth="1"/>
    <col min="9470" max="9470" width="1.33203125" customWidth="1"/>
    <col min="9471" max="9471" width="7.88671875" bestFit="1" customWidth="1"/>
    <col min="9472" max="9472" width="6.33203125" bestFit="1" customWidth="1"/>
    <col min="9473" max="9473" width="3.5546875" customWidth="1"/>
    <col min="9474" max="9474" width="4.33203125" customWidth="1"/>
    <col min="9475" max="9475" width="3.109375" customWidth="1"/>
    <col min="9476" max="9476" width="8.5546875" bestFit="1" customWidth="1"/>
    <col min="9477" max="9477" width="7.5546875" bestFit="1" customWidth="1"/>
    <col min="9478" max="9478" width="2.33203125" customWidth="1"/>
    <col min="9479" max="9479" width="8.33203125" bestFit="1" customWidth="1"/>
    <col min="9480" max="9480" width="6" bestFit="1" customWidth="1"/>
    <col min="9724" max="9724" width="7.88671875" bestFit="1" customWidth="1"/>
    <col min="9725" max="9725" width="7.5546875" bestFit="1" customWidth="1"/>
    <col min="9726" max="9726" width="1.33203125" customWidth="1"/>
    <col min="9727" max="9727" width="7.88671875" bestFit="1" customWidth="1"/>
    <col min="9728" max="9728" width="6.33203125" bestFit="1" customWidth="1"/>
    <col min="9729" max="9729" width="3.5546875" customWidth="1"/>
    <col min="9730" max="9730" width="4.33203125" customWidth="1"/>
    <col min="9731" max="9731" width="3.109375" customWidth="1"/>
    <col min="9732" max="9732" width="8.5546875" bestFit="1" customWidth="1"/>
    <col min="9733" max="9733" width="7.5546875" bestFit="1" customWidth="1"/>
    <col min="9734" max="9734" width="2.33203125" customWidth="1"/>
    <col min="9735" max="9735" width="8.33203125" bestFit="1" customWidth="1"/>
    <col min="9736" max="9736" width="6" bestFit="1" customWidth="1"/>
    <col min="9980" max="9980" width="7.88671875" bestFit="1" customWidth="1"/>
    <col min="9981" max="9981" width="7.5546875" bestFit="1" customWidth="1"/>
    <col min="9982" max="9982" width="1.33203125" customWidth="1"/>
    <col min="9983" max="9983" width="7.88671875" bestFit="1" customWidth="1"/>
    <col min="9984" max="9984" width="6.33203125" bestFit="1" customWidth="1"/>
    <col min="9985" max="9985" width="3.5546875" customWidth="1"/>
    <col min="9986" max="9986" width="4.33203125" customWidth="1"/>
    <col min="9987" max="9987" width="3.109375" customWidth="1"/>
    <col min="9988" max="9988" width="8.5546875" bestFit="1" customWidth="1"/>
    <col min="9989" max="9989" width="7.5546875" bestFit="1" customWidth="1"/>
    <col min="9990" max="9990" width="2.33203125" customWidth="1"/>
    <col min="9991" max="9991" width="8.33203125" bestFit="1" customWidth="1"/>
    <col min="9992" max="9992" width="6" bestFit="1" customWidth="1"/>
    <col min="10236" max="10236" width="7.88671875" bestFit="1" customWidth="1"/>
    <col min="10237" max="10237" width="7.5546875" bestFit="1" customWidth="1"/>
    <col min="10238" max="10238" width="1.33203125" customWidth="1"/>
    <col min="10239" max="10239" width="7.88671875" bestFit="1" customWidth="1"/>
    <col min="10240" max="10240" width="6.33203125" bestFit="1" customWidth="1"/>
    <col min="10241" max="10241" width="3.5546875" customWidth="1"/>
    <col min="10242" max="10242" width="4.33203125" customWidth="1"/>
    <col min="10243" max="10243" width="3.109375" customWidth="1"/>
    <col min="10244" max="10244" width="8.5546875" bestFit="1" customWidth="1"/>
    <col min="10245" max="10245" width="7.5546875" bestFit="1" customWidth="1"/>
    <col min="10246" max="10246" width="2.33203125" customWidth="1"/>
    <col min="10247" max="10247" width="8.33203125" bestFit="1" customWidth="1"/>
    <col min="10248" max="10248" width="6" bestFit="1" customWidth="1"/>
    <col min="10492" max="10492" width="7.88671875" bestFit="1" customWidth="1"/>
    <col min="10493" max="10493" width="7.5546875" bestFit="1" customWidth="1"/>
    <col min="10494" max="10494" width="1.33203125" customWidth="1"/>
    <col min="10495" max="10495" width="7.88671875" bestFit="1" customWidth="1"/>
    <col min="10496" max="10496" width="6.33203125" bestFit="1" customWidth="1"/>
    <col min="10497" max="10497" width="3.5546875" customWidth="1"/>
    <col min="10498" max="10498" width="4.33203125" customWidth="1"/>
    <col min="10499" max="10499" width="3.109375" customWidth="1"/>
    <col min="10500" max="10500" width="8.5546875" bestFit="1" customWidth="1"/>
    <col min="10501" max="10501" width="7.5546875" bestFit="1" customWidth="1"/>
    <col min="10502" max="10502" width="2.33203125" customWidth="1"/>
    <col min="10503" max="10503" width="8.33203125" bestFit="1" customWidth="1"/>
    <col min="10504" max="10504" width="6" bestFit="1" customWidth="1"/>
    <col min="10748" max="10748" width="7.88671875" bestFit="1" customWidth="1"/>
    <col min="10749" max="10749" width="7.5546875" bestFit="1" customWidth="1"/>
    <col min="10750" max="10750" width="1.33203125" customWidth="1"/>
    <col min="10751" max="10751" width="7.88671875" bestFit="1" customWidth="1"/>
    <col min="10752" max="10752" width="6.33203125" bestFit="1" customWidth="1"/>
    <col min="10753" max="10753" width="3.5546875" customWidth="1"/>
    <col min="10754" max="10754" width="4.33203125" customWidth="1"/>
    <col min="10755" max="10755" width="3.109375" customWidth="1"/>
    <col min="10756" max="10756" width="8.5546875" bestFit="1" customWidth="1"/>
    <col min="10757" max="10757" width="7.5546875" bestFit="1" customWidth="1"/>
    <col min="10758" max="10758" width="2.33203125" customWidth="1"/>
    <col min="10759" max="10759" width="8.33203125" bestFit="1" customWidth="1"/>
    <col min="10760" max="10760" width="6" bestFit="1" customWidth="1"/>
    <col min="11004" max="11004" width="7.88671875" bestFit="1" customWidth="1"/>
    <col min="11005" max="11005" width="7.5546875" bestFit="1" customWidth="1"/>
    <col min="11006" max="11006" width="1.33203125" customWidth="1"/>
    <col min="11007" max="11007" width="7.88671875" bestFit="1" customWidth="1"/>
    <col min="11008" max="11008" width="6.33203125" bestFit="1" customWidth="1"/>
    <col min="11009" max="11009" width="3.5546875" customWidth="1"/>
    <col min="11010" max="11010" width="4.33203125" customWidth="1"/>
    <col min="11011" max="11011" width="3.109375" customWidth="1"/>
    <col min="11012" max="11012" width="8.5546875" bestFit="1" customWidth="1"/>
    <col min="11013" max="11013" width="7.5546875" bestFit="1" customWidth="1"/>
    <col min="11014" max="11014" width="2.33203125" customWidth="1"/>
    <col min="11015" max="11015" width="8.33203125" bestFit="1" customWidth="1"/>
    <col min="11016" max="11016" width="6" bestFit="1" customWidth="1"/>
    <col min="11260" max="11260" width="7.88671875" bestFit="1" customWidth="1"/>
    <col min="11261" max="11261" width="7.5546875" bestFit="1" customWidth="1"/>
    <col min="11262" max="11262" width="1.33203125" customWidth="1"/>
    <col min="11263" max="11263" width="7.88671875" bestFit="1" customWidth="1"/>
    <col min="11264" max="11264" width="6.33203125" bestFit="1" customWidth="1"/>
    <col min="11265" max="11265" width="3.5546875" customWidth="1"/>
    <col min="11266" max="11266" width="4.33203125" customWidth="1"/>
    <col min="11267" max="11267" width="3.109375" customWidth="1"/>
    <col min="11268" max="11268" width="8.5546875" bestFit="1" customWidth="1"/>
    <col min="11269" max="11269" width="7.5546875" bestFit="1" customWidth="1"/>
    <col min="11270" max="11270" width="2.33203125" customWidth="1"/>
    <col min="11271" max="11271" width="8.33203125" bestFit="1" customWidth="1"/>
    <col min="11272" max="11272" width="6" bestFit="1" customWidth="1"/>
    <col min="11516" max="11516" width="7.88671875" bestFit="1" customWidth="1"/>
    <col min="11517" max="11517" width="7.5546875" bestFit="1" customWidth="1"/>
    <col min="11518" max="11518" width="1.33203125" customWidth="1"/>
    <col min="11519" max="11519" width="7.88671875" bestFit="1" customWidth="1"/>
    <col min="11520" max="11520" width="6.33203125" bestFit="1" customWidth="1"/>
    <col min="11521" max="11521" width="3.5546875" customWidth="1"/>
    <col min="11522" max="11522" width="4.33203125" customWidth="1"/>
    <col min="11523" max="11523" width="3.109375" customWidth="1"/>
    <col min="11524" max="11524" width="8.5546875" bestFit="1" customWidth="1"/>
    <col min="11525" max="11525" width="7.5546875" bestFit="1" customWidth="1"/>
    <col min="11526" max="11526" width="2.33203125" customWidth="1"/>
    <col min="11527" max="11527" width="8.33203125" bestFit="1" customWidth="1"/>
    <col min="11528" max="11528" width="6" bestFit="1" customWidth="1"/>
    <col min="11772" max="11772" width="7.88671875" bestFit="1" customWidth="1"/>
    <col min="11773" max="11773" width="7.5546875" bestFit="1" customWidth="1"/>
    <col min="11774" max="11774" width="1.33203125" customWidth="1"/>
    <col min="11775" max="11775" width="7.88671875" bestFit="1" customWidth="1"/>
    <col min="11776" max="11776" width="6.33203125" bestFit="1" customWidth="1"/>
    <col min="11777" max="11777" width="3.5546875" customWidth="1"/>
    <col min="11778" max="11778" width="4.33203125" customWidth="1"/>
    <col min="11779" max="11779" width="3.109375" customWidth="1"/>
    <col min="11780" max="11780" width="8.5546875" bestFit="1" customWidth="1"/>
    <col min="11781" max="11781" width="7.5546875" bestFit="1" customWidth="1"/>
    <col min="11782" max="11782" width="2.33203125" customWidth="1"/>
    <col min="11783" max="11783" width="8.33203125" bestFit="1" customWidth="1"/>
    <col min="11784" max="11784" width="6" bestFit="1" customWidth="1"/>
    <col min="12028" max="12028" width="7.88671875" bestFit="1" customWidth="1"/>
    <col min="12029" max="12029" width="7.5546875" bestFit="1" customWidth="1"/>
    <col min="12030" max="12030" width="1.33203125" customWidth="1"/>
    <col min="12031" max="12031" width="7.88671875" bestFit="1" customWidth="1"/>
    <col min="12032" max="12032" width="6.33203125" bestFit="1" customWidth="1"/>
    <col min="12033" max="12033" width="3.5546875" customWidth="1"/>
    <col min="12034" max="12034" width="4.33203125" customWidth="1"/>
    <col min="12035" max="12035" width="3.109375" customWidth="1"/>
    <col min="12036" max="12036" width="8.5546875" bestFit="1" customWidth="1"/>
    <col min="12037" max="12037" width="7.5546875" bestFit="1" customWidth="1"/>
    <col min="12038" max="12038" width="2.33203125" customWidth="1"/>
    <col min="12039" max="12039" width="8.33203125" bestFit="1" customWidth="1"/>
    <col min="12040" max="12040" width="6" bestFit="1" customWidth="1"/>
    <col min="12284" max="12284" width="7.88671875" bestFit="1" customWidth="1"/>
    <col min="12285" max="12285" width="7.5546875" bestFit="1" customWidth="1"/>
    <col min="12286" max="12286" width="1.33203125" customWidth="1"/>
    <col min="12287" max="12287" width="7.88671875" bestFit="1" customWidth="1"/>
    <col min="12288" max="12288" width="6.33203125" bestFit="1" customWidth="1"/>
    <col min="12289" max="12289" width="3.5546875" customWidth="1"/>
    <col min="12290" max="12290" width="4.33203125" customWidth="1"/>
    <col min="12291" max="12291" width="3.109375" customWidth="1"/>
    <col min="12292" max="12292" width="8.5546875" bestFit="1" customWidth="1"/>
    <col min="12293" max="12293" width="7.5546875" bestFit="1" customWidth="1"/>
    <col min="12294" max="12294" width="2.33203125" customWidth="1"/>
    <col min="12295" max="12295" width="8.33203125" bestFit="1" customWidth="1"/>
    <col min="12296" max="12296" width="6" bestFit="1" customWidth="1"/>
    <col min="12540" max="12540" width="7.88671875" bestFit="1" customWidth="1"/>
    <col min="12541" max="12541" width="7.5546875" bestFit="1" customWidth="1"/>
    <col min="12542" max="12542" width="1.33203125" customWidth="1"/>
    <col min="12543" max="12543" width="7.88671875" bestFit="1" customWidth="1"/>
    <col min="12544" max="12544" width="6.33203125" bestFit="1" customWidth="1"/>
    <col min="12545" max="12545" width="3.5546875" customWidth="1"/>
    <col min="12546" max="12546" width="4.33203125" customWidth="1"/>
    <col min="12547" max="12547" width="3.109375" customWidth="1"/>
    <col min="12548" max="12548" width="8.5546875" bestFit="1" customWidth="1"/>
    <col min="12549" max="12549" width="7.5546875" bestFit="1" customWidth="1"/>
    <col min="12550" max="12550" width="2.33203125" customWidth="1"/>
    <col min="12551" max="12551" width="8.33203125" bestFit="1" customWidth="1"/>
    <col min="12552" max="12552" width="6" bestFit="1" customWidth="1"/>
    <col min="12796" max="12796" width="7.88671875" bestFit="1" customWidth="1"/>
    <col min="12797" max="12797" width="7.5546875" bestFit="1" customWidth="1"/>
    <col min="12798" max="12798" width="1.33203125" customWidth="1"/>
    <col min="12799" max="12799" width="7.88671875" bestFit="1" customWidth="1"/>
    <col min="12800" max="12800" width="6.33203125" bestFit="1" customWidth="1"/>
    <col min="12801" max="12801" width="3.5546875" customWidth="1"/>
    <col min="12802" max="12802" width="4.33203125" customWidth="1"/>
    <col min="12803" max="12803" width="3.109375" customWidth="1"/>
    <col min="12804" max="12804" width="8.5546875" bestFit="1" customWidth="1"/>
    <col min="12805" max="12805" width="7.5546875" bestFit="1" customWidth="1"/>
    <col min="12806" max="12806" width="2.33203125" customWidth="1"/>
    <col min="12807" max="12807" width="8.33203125" bestFit="1" customWidth="1"/>
    <col min="12808" max="12808" width="6" bestFit="1" customWidth="1"/>
    <col min="13052" max="13052" width="7.88671875" bestFit="1" customWidth="1"/>
    <col min="13053" max="13053" width="7.5546875" bestFit="1" customWidth="1"/>
    <col min="13054" max="13054" width="1.33203125" customWidth="1"/>
    <col min="13055" max="13055" width="7.88671875" bestFit="1" customWidth="1"/>
    <col min="13056" max="13056" width="6.33203125" bestFit="1" customWidth="1"/>
    <col min="13057" max="13057" width="3.5546875" customWidth="1"/>
    <col min="13058" max="13058" width="4.33203125" customWidth="1"/>
    <col min="13059" max="13059" width="3.109375" customWidth="1"/>
    <col min="13060" max="13060" width="8.5546875" bestFit="1" customWidth="1"/>
    <col min="13061" max="13061" width="7.5546875" bestFit="1" customWidth="1"/>
    <col min="13062" max="13062" width="2.33203125" customWidth="1"/>
    <col min="13063" max="13063" width="8.33203125" bestFit="1" customWidth="1"/>
    <col min="13064" max="13064" width="6" bestFit="1" customWidth="1"/>
    <col min="13308" max="13308" width="7.88671875" bestFit="1" customWidth="1"/>
    <col min="13309" max="13309" width="7.5546875" bestFit="1" customWidth="1"/>
    <col min="13310" max="13310" width="1.33203125" customWidth="1"/>
    <col min="13311" max="13311" width="7.88671875" bestFit="1" customWidth="1"/>
    <col min="13312" max="13312" width="6.33203125" bestFit="1" customWidth="1"/>
    <col min="13313" max="13313" width="3.5546875" customWidth="1"/>
    <col min="13314" max="13314" width="4.33203125" customWidth="1"/>
    <col min="13315" max="13315" width="3.109375" customWidth="1"/>
    <col min="13316" max="13316" width="8.5546875" bestFit="1" customWidth="1"/>
    <col min="13317" max="13317" width="7.5546875" bestFit="1" customWidth="1"/>
    <col min="13318" max="13318" width="2.33203125" customWidth="1"/>
    <col min="13319" max="13319" width="8.33203125" bestFit="1" customWidth="1"/>
    <col min="13320" max="13320" width="6" bestFit="1" customWidth="1"/>
    <col min="13564" max="13564" width="7.88671875" bestFit="1" customWidth="1"/>
    <col min="13565" max="13565" width="7.5546875" bestFit="1" customWidth="1"/>
    <col min="13566" max="13566" width="1.33203125" customWidth="1"/>
    <col min="13567" max="13567" width="7.88671875" bestFit="1" customWidth="1"/>
    <col min="13568" max="13568" width="6.33203125" bestFit="1" customWidth="1"/>
    <col min="13569" max="13569" width="3.5546875" customWidth="1"/>
    <col min="13570" max="13570" width="4.33203125" customWidth="1"/>
    <col min="13571" max="13571" width="3.109375" customWidth="1"/>
    <col min="13572" max="13572" width="8.5546875" bestFit="1" customWidth="1"/>
    <col min="13573" max="13573" width="7.5546875" bestFit="1" customWidth="1"/>
    <col min="13574" max="13574" width="2.33203125" customWidth="1"/>
    <col min="13575" max="13575" width="8.33203125" bestFit="1" customWidth="1"/>
    <col min="13576" max="13576" width="6" bestFit="1" customWidth="1"/>
    <col min="13820" max="13820" width="7.88671875" bestFit="1" customWidth="1"/>
    <col min="13821" max="13821" width="7.5546875" bestFit="1" customWidth="1"/>
    <col min="13822" max="13822" width="1.33203125" customWidth="1"/>
    <col min="13823" max="13823" width="7.88671875" bestFit="1" customWidth="1"/>
    <col min="13824" max="13824" width="6.33203125" bestFit="1" customWidth="1"/>
    <col min="13825" max="13825" width="3.5546875" customWidth="1"/>
    <col min="13826" max="13826" width="4.33203125" customWidth="1"/>
    <col min="13827" max="13827" width="3.109375" customWidth="1"/>
    <col min="13828" max="13828" width="8.5546875" bestFit="1" customWidth="1"/>
    <col min="13829" max="13829" width="7.5546875" bestFit="1" customWidth="1"/>
    <col min="13830" max="13830" width="2.33203125" customWidth="1"/>
    <col min="13831" max="13831" width="8.33203125" bestFit="1" customWidth="1"/>
    <col min="13832" max="13832" width="6" bestFit="1" customWidth="1"/>
    <col min="14076" max="14076" width="7.88671875" bestFit="1" customWidth="1"/>
    <col min="14077" max="14077" width="7.5546875" bestFit="1" customWidth="1"/>
    <col min="14078" max="14078" width="1.33203125" customWidth="1"/>
    <col min="14079" max="14079" width="7.88671875" bestFit="1" customWidth="1"/>
    <col min="14080" max="14080" width="6.33203125" bestFit="1" customWidth="1"/>
    <col min="14081" max="14081" width="3.5546875" customWidth="1"/>
    <col min="14082" max="14082" width="4.33203125" customWidth="1"/>
    <col min="14083" max="14083" width="3.109375" customWidth="1"/>
    <col min="14084" max="14084" width="8.5546875" bestFit="1" customWidth="1"/>
    <col min="14085" max="14085" width="7.5546875" bestFit="1" customWidth="1"/>
    <col min="14086" max="14086" width="2.33203125" customWidth="1"/>
    <col min="14087" max="14087" width="8.33203125" bestFit="1" customWidth="1"/>
    <col min="14088" max="14088" width="6" bestFit="1" customWidth="1"/>
    <col min="14332" max="14332" width="7.88671875" bestFit="1" customWidth="1"/>
    <col min="14333" max="14333" width="7.5546875" bestFit="1" customWidth="1"/>
    <col min="14334" max="14334" width="1.33203125" customWidth="1"/>
    <col min="14335" max="14335" width="7.88671875" bestFit="1" customWidth="1"/>
    <col min="14336" max="14336" width="6.33203125" bestFit="1" customWidth="1"/>
    <col min="14337" max="14337" width="3.5546875" customWidth="1"/>
    <col min="14338" max="14338" width="4.33203125" customWidth="1"/>
    <col min="14339" max="14339" width="3.109375" customWidth="1"/>
    <col min="14340" max="14340" width="8.5546875" bestFit="1" customWidth="1"/>
    <col min="14341" max="14341" width="7.5546875" bestFit="1" customWidth="1"/>
    <col min="14342" max="14342" width="2.33203125" customWidth="1"/>
    <col min="14343" max="14343" width="8.33203125" bestFit="1" customWidth="1"/>
    <col min="14344" max="14344" width="6" bestFit="1" customWidth="1"/>
    <col min="14588" max="14588" width="7.88671875" bestFit="1" customWidth="1"/>
    <col min="14589" max="14589" width="7.5546875" bestFit="1" customWidth="1"/>
    <col min="14590" max="14590" width="1.33203125" customWidth="1"/>
    <col min="14591" max="14591" width="7.88671875" bestFit="1" customWidth="1"/>
    <col min="14592" max="14592" width="6.33203125" bestFit="1" customWidth="1"/>
    <col min="14593" max="14593" width="3.5546875" customWidth="1"/>
    <col min="14594" max="14594" width="4.33203125" customWidth="1"/>
    <col min="14595" max="14595" width="3.109375" customWidth="1"/>
    <col min="14596" max="14596" width="8.5546875" bestFit="1" customWidth="1"/>
    <col min="14597" max="14597" width="7.5546875" bestFit="1" customWidth="1"/>
    <col min="14598" max="14598" width="2.33203125" customWidth="1"/>
    <col min="14599" max="14599" width="8.33203125" bestFit="1" customWidth="1"/>
    <col min="14600" max="14600" width="6" bestFit="1" customWidth="1"/>
    <col min="14844" max="14844" width="7.88671875" bestFit="1" customWidth="1"/>
    <col min="14845" max="14845" width="7.5546875" bestFit="1" customWidth="1"/>
    <col min="14846" max="14846" width="1.33203125" customWidth="1"/>
    <col min="14847" max="14847" width="7.88671875" bestFit="1" customWidth="1"/>
    <col min="14848" max="14848" width="6.33203125" bestFit="1" customWidth="1"/>
    <col min="14849" max="14849" width="3.5546875" customWidth="1"/>
    <col min="14850" max="14850" width="4.33203125" customWidth="1"/>
    <col min="14851" max="14851" width="3.109375" customWidth="1"/>
    <col min="14852" max="14852" width="8.5546875" bestFit="1" customWidth="1"/>
    <col min="14853" max="14853" width="7.5546875" bestFit="1" customWidth="1"/>
    <col min="14854" max="14854" width="2.33203125" customWidth="1"/>
    <col min="14855" max="14855" width="8.33203125" bestFit="1" customWidth="1"/>
    <col min="14856" max="14856" width="6" bestFit="1" customWidth="1"/>
    <col min="15100" max="15100" width="7.88671875" bestFit="1" customWidth="1"/>
    <col min="15101" max="15101" width="7.5546875" bestFit="1" customWidth="1"/>
    <col min="15102" max="15102" width="1.33203125" customWidth="1"/>
    <col min="15103" max="15103" width="7.88671875" bestFit="1" customWidth="1"/>
    <col min="15104" max="15104" width="6.33203125" bestFit="1" customWidth="1"/>
    <col min="15105" max="15105" width="3.5546875" customWidth="1"/>
    <col min="15106" max="15106" width="4.33203125" customWidth="1"/>
    <col min="15107" max="15107" width="3.109375" customWidth="1"/>
    <col min="15108" max="15108" width="8.5546875" bestFit="1" customWidth="1"/>
    <col min="15109" max="15109" width="7.5546875" bestFit="1" customWidth="1"/>
    <col min="15110" max="15110" width="2.33203125" customWidth="1"/>
    <col min="15111" max="15111" width="8.33203125" bestFit="1" customWidth="1"/>
    <col min="15112" max="15112" width="6" bestFit="1" customWidth="1"/>
    <col min="15356" max="15356" width="7.88671875" bestFit="1" customWidth="1"/>
    <col min="15357" max="15357" width="7.5546875" bestFit="1" customWidth="1"/>
    <col min="15358" max="15358" width="1.33203125" customWidth="1"/>
    <col min="15359" max="15359" width="7.88671875" bestFit="1" customWidth="1"/>
    <col min="15360" max="15360" width="6.33203125" bestFit="1" customWidth="1"/>
    <col min="15361" max="15361" width="3.5546875" customWidth="1"/>
    <col min="15362" max="15362" width="4.33203125" customWidth="1"/>
    <col min="15363" max="15363" width="3.109375" customWidth="1"/>
    <col min="15364" max="15364" width="8.5546875" bestFit="1" customWidth="1"/>
    <col min="15365" max="15365" width="7.5546875" bestFit="1" customWidth="1"/>
    <col min="15366" max="15366" width="2.33203125" customWidth="1"/>
    <col min="15367" max="15367" width="8.33203125" bestFit="1" customWidth="1"/>
    <col min="15368" max="15368" width="6" bestFit="1" customWidth="1"/>
    <col min="15612" max="15612" width="7.88671875" bestFit="1" customWidth="1"/>
    <col min="15613" max="15613" width="7.5546875" bestFit="1" customWidth="1"/>
    <col min="15614" max="15614" width="1.33203125" customWidth="1"/>
    <col min="15615" max="15615" width="7.88671875" bestFit="1" customWidth="1"/>
    <col min="15616" max="15616" width="6.33203125" bestFit="1" customWidth="1"/>
    <col min="15617" max="15617" width="3.5546875" customWidth="1"/>
    <col min="15618" max="15618" width="4.33203125" customWidth="1"/>
    <col min="15619" max="15619" width="3.109375" customWidth="1"/>
    <col min="15620" max="15620" width="8.5546875" bestFit="1" customWidth="1"/>
    <col min="15621" max="15621" width="7.5546875" bestFit="1" customWidth="1"/>
    <col min="15622" max="15622" width="2.33203125" customWidth="1"/>
    <col min="15623" max="15623" width="8.33203125" bestFit="1" customWidth="1"/>
    <col min="15624" max="15624" width="6" bestFit="1" customWidth="1"/>
    <col min="15868" max="15868" width="7.88671875" bestFit="1" customWidth="1"/>
    <col min="15869" max="15869" width="7.5546875" bestFit="1" customWidth="1"/>
    <col min="15870" max="15870" width="1.33203125" customWidth="1"/>
    <col min="15871" max="15871" width="7.88671875" bestFit="1" customWidth="1"/>
    <col min="15872" max="15872" width="6.33203125" bestFit="1" customWidth="1"/>
    <col min="15873" max="15873" width="3.5546875" customWidth="1"/>
    <col min="15874" max="15874" width="4.33203125" customWidth="1"/>
    <col min="15875" max="15875" width="3.109375" customWidth="1"/>
    <col min="15876" max="15876" width="8.5546875" bestFit="1" customWidth="1"/>
    <col min="15877" max="15877" width="7.5546875" bestFit="1" customWidth="1"/>
    <col min="15878" max="15878" width="2.33203125" customWidth="1"/>
    <col min="15879" max="15879" width="8.33203125" bestFit="1" customWidth="1"/>
    <col min="15880" max="15880" width="6" bestFit="1" customWidth="1"/>
    <col min="16124" max="16124" width="7.88671875" bestFit="1" customWidth="1"/>
    <col min="16125" max="16125" width="7.5546875" bestFit="1" customWidth="1"/>
    <col min="16126" max="16126" width="1.33203125" customWidth="1"/>
    <col min="16127" max="16127" width="7.88671875" bestFit="1" customWidth="1"/>
    <col min="16128" max="16128" width="6.33203125" bestFit="1" customWidth="1"/>
    <col min="16129" max="16129" width="3.5546875" customWidth="1"/>
    <col min="16130" max="16130" width="4.33203125" customWidth="1"/>
    <col min="16131" max="16131" width="3.109375" customWidth="1"/>
    <col min="16132" max="16132" width="8.5546875" bestFit="1" customWidth="1"/>
    <col min="16133" max="16133" width="7.5546875" bestFit="1" customWidth="1"/>
    <col min="16134" max="16134" width="2.33203125" customWidth="1"/>
    <col min="16135" max="16135" width="8.33203125" bestFit="1" customWidth="1"/>
    <col min="16136" max="16136" width="6" bestFit="1" customWidth="1"/>
  </cols>
  <sheetData>
    <row r="1" spans="1:5" ht="18.75" customHeight="1" x14ac:dyDescent="0.3">
      <c r="A1" s="1325" t="s">
        <v>709</v>
      </c>
      <c r="B1" s="1326"/>
      <c r="C1" s="1326"/>
      <c r="D1" s="1326"/>
      <c r="E1" s="1326"/>
    </row>
    <row r="2" spans="1:5" x14ac:dyDescent="0.3">
      <c r="A2" t="s">
        <v>710</v>
      </c>
      <c r="B2" t="s">
        <v>711</v>
      </c>
      <c r="D2" t="s">
        <v>710</v>
      </c>
      <c r="E2" t="s">
        <v>712</v>
      </c>
    </row>
    <row r="3" spans="1:5" x14ac:dyDescent="0.3">
      <c r="A3">
        <v>600</v>
      </c>
      <c r="B3">
        <v>1725</v>
      </c>
      <c r="D3">
        <v>1</v>
      </c>
      <c r="E3">
        <v>1824</v>
      </c>
    </row>
    <row r="4" spans="1:5" x14ac:dyDescent="0.3">
      <c r="A4" t="s">
        <v>21</v>
      </c>
      <c r="B4">
        <v>1620</v>
      </c>
      <c r="D4">
        <v>2</v>
      </c>
      <c r="E4">
        <v>504</v>
      </c>
    </row>
    <row r="5" spans="1:5" x14ac:dyDescent="0.3">
      <c r="A5" t="s">
        <v>23</v>
      </c>
      <c r="B5">
        <v>4008</v>
      </c>
      <c r="D5">
        <v>3</v>
      </c>
      <c r="E5">
        <v>360</v>
      </c>
    </row>
    <row r="6" spans="1:5" x14ac:dyDescent="0.3">
      <c r="A6" t="s">
        <v>25</v>
      </c>
      <c r="B6">
        <v>4872</v>
      </c>
      <c r="D6">
        <v>4</v>
      </c>
      <c r="E6">
        <v>24</v>
      </c>
    </row>
    <row r="7" spans="1:5" x14ac:dyDescent="0.3">
      <c r="A7" t="s">
        <v>153</v>
      </c>
      <c r="B7">
        <v>528</v>
      </c>
      <c r="D7">
        <v>5</v>
      </c>
      <c r="E7">
        <v>48</v>
      </c>
    </row>
    <row r="8" spans="1:5" x14ac:dyDescent="0.3">
      <c r="A8" t="s">
        <v>27</v>
      </c>
      <c r="B8">
        <v>672</v>
      </c>
      <c r="D8">
        <v>8</v>
      </c>
      <c r="E8">
        <v>48</v>
      </c>
    </row>
    <row r="9" spans="1:5" x14ac:dyDescent="0.3">
      <c r="A9" t="s">
        <v>29</v>
      </c>
      <c r="B9">
        <v>1632</v>
      </c>
      <c r="D9">
        <v>11</v>
      </c>
      <c r="E9">
        <v>144</v>
      </c>
    </row>
    <row r="10" spans="1:5" x14ac:dyDescent="0.3">
      <c r="A10" t="s">
        <v>356</v>
      </c>
      <c r="B10">
        <v>5688</v>
      </c>
      <c r="D10">
        <v>14</v>
      </c>
      <c r="E10">
        <v>984</v>
      </c>
    </row>
    <row r="11" spans="1:5" x14ac:dyDescent="0.3">
      <c r="A11" t="s">
        <v>357</v>
      </c>
      <c r="B11">
        <v>960</v>
      </c>
      <c r="D11">
        <v>17</v>
      </c>
      <c r="E11">
        <v>96</v>
      </c>
    </row>
    <row r="12" spans="1:5" x14ac:dyDescent="0.3">
      <c r="A12" t="s">
        <v>31</v>
      </c>
      <c r="B12">
        <v>804</v>
      </c>
      <c r="D12">
        <v>35</v>
      </c>
      <c r="E12">
        <v>24</v>
      </c>
    </row>
    <row r="13" spans="1:5" x14ac:dyDescent="0.3">
      <c r="A13" t="s">
        <v>361</v>
      </c>
      <c r="B13">
        <v>540</v>
      </c>
      <c r="D13">
        <v>36</v>
      </c>
      <c r="E13">
        <v>108</v>
      </c>
    </row>
    <row r="14" spans="1:5" x14ac:dyDescent="0.3">
      <c r="A14" t="s">
        <v>362</v>
      </c>
      <c r="B14">
        <v>636</v>
      </c>
      <c r="D14">
        <v>37</v>
      </c>
      <c r="E14">
        <v>96</v>
      </c>
    </row>
    <row r="15" spans="1:5" x14ac:dyDescent="0.3">
      <c r="A15" t="s">
        <v>363</v>
      </c>
      <c r="B15">
        <v>312</v>
      </c>
      <c r="D15">
        <v>38</v>
      </c>
      <c r="E15">
        <v>96</v>
      </c>
    </row>
    <row r="16" spans="1:5" x14ac:dyDescent="0.3">
      <c r="A16" t="s">
        <v>161</v>
      </c>
      <c r="B16">
        <v>24</v>
      </c>
      <c r="D16">
        <v>40</v>
      </c>
      <c r="E16">
        <v>36</v>
      </c>
    </row>
    <row r="17" spans="1:5" x14ac:dyDescent="0.3">
      <c r="A17" t="s">
        <v>163</v>
      </c>
      <c r="B17">
        <v>24</v>
      </c>
      <c r="D17">
        <v>43</v>
      </c>
      <c r="E17">
        <v>168</v>
      </c>
    </row>
    <row r="18" spans="1:5" x14ac:dyDescent="0.3">
      <c r="A18" t="s">
        <v>167</v>
      </c>
      <c r="B18">
        <v>24</v>
      </c>
      <c r="D18">
        <v>51</v>
      </c>
      <c r="E18">
        <v>108</v>
      </c>
    </row>
    <row r="19" spans="1:5" x14ac:dyDescent="0.3">
      <c r="A19" t="s">
        <v>173</v>
      </c>
      <c r="B19">
        <v>636</v>
      </c>
      <c r="D19">
        <v>64</v>
      </c>
      <c r="E19">
        <v>6</v>
      </c>
    </row>
    <row r="20" spans="1:5" x14ac:dyDescent="0.3">
      <c r="A20" t="s">
        <v>177</v>
      </c>
      <c r="B20">
        <v>288</v>
      </c>
      <c r="D20">
        <v>600</v>
      </c>
      <c r="E20">
        <v>1465</v>
      </c>
    </row>
    <row r="21" spans="1:5" x14ac:dyDescent="0.3">
      <c r="A21" t="s">
        <v>181</v>
      </c>
      <c r="B21">
        <v>1836</v>
      </c>
      <c r="D21" t="s">
        <v>21</v>
      </c>
      <c r="E21">
        <v>1656</v>
      </c>
    </row>
    <row r="22" spans="1:5" x14ac:dyDescent="0.3">
      <c r="A22" t="s">
        <v>183</v>
      </c>
      <c r="B22">
        <v>36</v>
      </c>
      <c r="D22" t="s">
        <v>23</v>
      </c>
      <c r="E22">
        <v>4104</v>
      </c>
    </row>
    <row r="23" spans="1:5" x14ac:dyDescent="0.3">
      <c r="A23" t="s">
        <v>33</v>
      </c>
      <c r="B23">
        <v>108</v>
      </c>
      <c r="D23" t="s">
        <v>25</v>
      </c>
      <c r="E23">
        <v>4680</v>
      </c>
    </row>
    <row r="24" spans="1:5" x14ac:dyDescent="0.3">
      <c r="A24" t="s">
        <v>377</v>
      </c>
      <c r="B24">
        <v>42</v>
      </c>
      <c r="D24" t="s">
        <v>153</v>
      </c>
      <c r="E24">
        <v>48</v>
      </c>
    </row>
    <row r="25" spans="1:5" x14ac:dyDescent="0.3">
      <c r="A25" t="s">
        <v>228</v>
      </c>
      <c r="B25">
        <v>56</v>
      </c>
      <c r="D25" t="s">
        <v>27</v>
      </c>
      <c r="E25">
        <v>288</v>
      </c>
    </row>
    <row r="26" spans="1:5" x14ac:dyDescent="0.3">
      <c r="A26" t="s">
        <v>383</v>
      </c>
      <c r="B26">
        <v>12</v>
      </c>
      <c r="D26" t="s">
        <v>29</v>
      </c>
      <c r="E26">
        <v>1512</v>
      </c>
    </row>
    <row r="27" spans="1:5" x14ac:dyDescent="0.3">
      <c r="A27" t="s">
        <v>713</v>
      </c>
      <c r="B27">
        <v>2892</v>
      </c>
      <c r="D27" t="s">
        <v>714</v>
      </c>
      <c r="E27">
        <v>480</v>
      </c>
    </row>
    <row r="28" spans="1:5" x14ac:dyDescent="0.3">
      <c r="A28" t="s">
        <v>384</v>
      </c>
      <c r="B28">
        <v>72</v>
      </c>
      <c r="D28" t="s">
        <v>356</v>
      </c>
      <c r="E28">
        <v>7128</v>
      </c>
    </row>
    <row r="29" spans="1:5" x14ac:dyDescent="0.3">
      <c r="A29" t="s">
        <v>385</v>
      </c>
      <c r="B29">
        <v>36</v>
      </c>
      <c r="D29" t="s">
        <v>357</v>
      </c>
      <c r="E29">
        <v>960</v>
      </c>
    </row>
    <row r="30" spans="1:5" x14ac:dyDescent="0.3">
      <c r="A30" t="s">
        <v>386</v>
      </c>
      <c r="B30">
        <v>324</v>
      </c>
      <c r="D30" t="s">
        <v>358</v>
      </c>
      <c r="E30">
        <v>24</v>
      </c>
    </row>
    <row r="31" spans="1:5" x14ac:dyDescent="0.3">
      <c r="A31" t="s">
        <v>388</v>
      </c>
      <c r="B31">
        <v>960</v>
      </c>
      <c r="D31" t="s">
        <v>31</v>
      </c>
      <c r="E31">
        <v>1272</v>
      </c>
    </row>
    <row r="32" spans="1:5" x14ac:dyDescent="0.3">
      <c r="A32" t="s">
        <v>389</v>
      </c>
      <c r="B32">
        <v>60</v>
      </c>
      <c r="D32" t="s">
        <v>361</v>
      </c>
      <c r="E32">
        <v>384</v>
      </c>
    </row>
    <row r="33" spans="1:5" x14ac:dyDescent="0.3">
      <c r="A33" t="s">
        <v>390</v>
      </c>
      <c r="B33">
        <v>120</v>
      </c>
      <c r="D33" t="s">
        <v>362</v>
      </c>
      <c r="E33">
        <v>420</v>
      </c>
    </row>
    <row r="34" spans="1:5" x14ac:dyDescent="0.3">
      <c r="A34" t="s">
        <v>35</v>
      </c>
      <c r="B34">
        <v>1716</v>
      </c>
      <c r="D34" t="s">
        <v>363</v>
      </c>
      <c r="E34">
        <v>936</v>
      </c>
    </row>
    <row r="35" spans="1:5" x14ac:dyDescent="0.3">
      <c r="A35" t="s">
        <v>39</v>
      </c>
      <c r="B35">
        <v>6156</v>
      </c>
      <c r="D35" t="s">
        <v>365</v>
      </c>
      <c r="E35">
        <v>336</v>
      </c>
    </row>
    <row r="36" spans="1:5" x14ac:dyDescent="0.3">
      <c r="A36" t="s">
        <v>297</v>
      </c>
      <c r="B36">
        <v>72</v>
      </c>
      <c r="D36" t="s">
        <v>366</v>
      </c>
      <c r="E36">
        <v>936</v>
      </c>
    </row>
    <row r="37" spans="1:5" x14ac:dyDescent="0.3">
      <c r="A37" t="s">
        <v>230</v>
      </c>
      <c r="B37">
        <v>1020</v>
      </c>
      <c r="D37" t="s">
        <v>157</v>
      </c>
      <c r="E37">
        <v>108</v>
      </c>
    </row>
    <row r="38" spans="1:5" x14ac:dyDescent="0.3">
      <c r="A38" t="s">
        <v>402</v>
      </c>
      <c r="B38">
        <v>432</v>
      </c>
      <c r="D38" t="s">
        <v>159</v>
      </c>
      <c r="E38">
        <v>396</v>
      </c>
    </row>
    <row r="39" spans="1:5" x14ac:dyDescent="0.3">
      <c r="A39" t="s">
        <v>41</v>
      </c>
      <c r="B39">
        <v>3192</v>
      </c>
      <c r="D39" t="s">
        <v>161</v>
      </c>
      <c r="E39">
        <v>96</v>
      </c>
    </row>
    <row r="40" spans="1:5" x14ac:dyDescent="0.3">
      <c r="A40" t="s">
        <v>187</v>
      </c>
      <c r="B40">
        <v>96</v>
      </c>
      <c r="D40" t="s">
        <v>163</v>
      </c>
      <c r="E40">
        <v>48</v>
      </c>
    </row>
    <row r="41" spans="1:5" x14ac:dyDescent="0.3">
      <c r="A41" t="s">
        <v>715</v>
      </c>
      <c r="B41">
        <v>1464</v>
      </c>
      <c r="D41" t="s">
        <v>165</v>
      </c>
      <c r="E41">
        <v>120</v>
      </c>
    </row>
    <row r="42" spans="1:5" x14ac:dyDescent="0.3">
      <c r="A42" t="s">
        <v>193</v>
      </c>
      <c r="B42">
        <v>216</v>
      </c>
      <c r="D42" t="s">
        <v>167</v>
      </c>
      <c r="E42">
        <v>96</v>
      </c>
    </row>
    <row r="43" spans="1:5" x14ac:dyDescent="0.3">
      <c r="A43" t="s">
        <v>43</v>
      </c>
      <c r="B43">
        <v>336</v>
      </c>
      <c r="D43" t="s">
        <v>169</v>
      </c>
      <c r="E43">
        <v>252</v>
      </c>
    </row>
    <row r="44" spans="1:5" x14ac:dyDescent="0.3">
      <c r="A44" t="s">
        <v>195</v>
      </c>
      <c r="B44">
        <v>144</v>
      </c>
      <c r="D44" t="s">
        <v>173</v>
      </c>
      <c r="E44">
        <v>480</v>
      </c>
    </row>
    <row r="45" spans="1:5" x14ac:dyDescent="0.3">
      <c r="A45" t="s">
        <v>197</v>
      </c>
      <c r="B45">
        <v>408</v>
      </c>
      <c r="D45" t="s">
        <v>175</v>
      </c>
      <c r="E45">
        <v>36</v>
      </c>
    </row>
    <row r="46" spans="1:5" x14ac:dyDescent="0.3">
      <c r="A46" t="s">
        <v>199</v>
      </c>
      <c r="B46">
        <v>276</v>
      </c>
      <c r="D46" t="s">
        <v>177</v>
      </c>
      <c r="E46">
        <v>468</v>
      </c>
    </row>
    <row r="47" spans="1:5" x14ac:dyDescent="0.3">
      <c r="A47" t="s">
        <v>203</v>
      </c>
      <c r="B47">
        <v>264</v>
      </c>
      <c r="D47" t="s">
        <v>181</v>
      </c>
      <c r="E47">
        <v>1908</v>
      </c>
    </row>
    <row r="48" spans="1:5" x14ac:dyDescent="0.3">
      <c r="A48" t="s">
        <v>405</v>
      </c>
      <c r="B48">
        <v>864</v>
      </c>
      <c r="D48" t="s">
        <v>33</v>
      </c>
      <c r="E48">
        <v>948</v>
      </c>
    </row>
    <row r="49" spans="1:5" x14ac:dyDescent="0.3">
      <c r="A49" t="s">
        <v>716</v>
      </c>
      <c r="B49">
        <v>1200</v>
      </c>
      <c r="D49" t="s">
        <v>228</v>
      </c>
      <c r="E49">
        <v>126</v>
      </c>
    </row>
    <row r="50" spans="1:5" x14ac:dyDescent="0.3">
      <c r="A50" t="s">
        <v>717</v>
      </c>
      <c r="B50">
        <v>-1080</v>
      </c>
      <c r="D50" t="s">
        <v>713</v>
      </c>
      <c r="E50">
        <v>1284</v>
      </c>
    </row>
    <row r="51" spans="1:5" x14ac:dyDescent="0.3">
      <c r="A51" t="s">
        <v>718</v>
      </c>
      <c r="B51">
        <v>912</v>
      </c>
      <c r="D51" t="s">
        <v>384</v>
      </c>
      <c r="E51">
        <v>432</v>
      </c>
    </row>
    <row r="52" spans="1:5" x14ac:dyDescent="0.3">
      <c r="A52" t="s">
        <v>719</v>
      </c>
      <c r="B52">
        <v>36</v>
      </c>
      <c r="D52" t="s">
        <v>385</v>
      </c>
      <c r="E52">
        <v>324</v>
      </c>
    </row>
    <row r="53" spans="1:5" x14ac:dyDescent="0.3">
      <c r="A53" t="s">
        <v>720</v>
      </c>
      <c r="B53">
        <v>156</v>
      </c>
      <c r="D53" t="s">
        <v>386</v>
      </c>
      <c r="E53">
        <v>36</v>
      </c>
    </row>
    <row r="54" spans="1:5" x14ac:dyDescent="0.3">
      <c r="A54" t="s">
        <v>721</v>
      </c>
      <c r="B54">
        <v>-24</v>
      </c>
      <c r="D54" t="s">
        <v>388</v>
      </c>
      <c r="E54">
        <v>972</v>
      </c>
    </row>
    <row r="55" spans="1:5" x14ac:dyDescent="0.3">
      <c r="A55" t="s">
        <v>721</v>
      </c>
      <c r="B55">
        <v>120</v>
      </c>
      <c r="D55" t="s">
        <v>389</v>
      </c>
      <c r="E55">
        <v>288</v>
      </c>
    </row>
    <row r="56" spans="1:5" x14ac:dyDescent="0.3">
      <c r="A56" t="s">
        <v>722</v>
      </c>
      <c r="B56">
        <v>205</v>
      </c>
      <c r="D56" t="s">
        <v>723</v>
      </c>
      <c r="E56">
        <v>241</v>
      </c>
    </row>
    <row r="57" spans="1:5" x14ac:dyDescent="0.3">
      <c r="A57" t="s">
        <v>205</v>
      </c>
      <c r="B57">
        <v>216</v>
      </c>
      <c r="D57" t="s">
        <v>390</v>
      </c>
      <c r="E57">
        <v>264</v>
      </c>
    </row>
    <row r="58" spans="1:5" x14ac:dyDescent="0.3">
      <c r="A58" t="s">
        <v>207</v>
      </c>
      <c r="B58">
        <v>216</v>
      </c>
      <c r="D58" t="s">
        <v>35</v>
      </c>
      <c r="E58">
        <v>1992</v>
      </c>
    </row>
    <row r="59" spans="1:5" x14ac:dyDescent="0.3">
      <c r="A59" t="s">
        <v>209</v>
      </c>
      <c r="B59">
        <v>312</v>
      </c>
      <c r="D59" t="s">
        <v>39</v>
      </c>
      <c r="E59">
        <v>4596</v>
      </c>
    </row>
    <row r="60" spans="1:5" x14ac:dyDescent="0.3">
      <c r="A60" t="s">
        <v>211</v>
      </c>
      <c r="B60">
        <v>528</v>
      </c>
      <c r="D60" t="s">
        <v>297</v>
      </c>
      <c r="E60">
        <v>216</v>
      </c>
    </row>
    <row r="61" spans="1:5" x14ac:dyDescent="0.3">
      <c r="A61" t="s">
        <v>214</v>
      </c>
      <c r="B61">
        <v>336</v>
      </c>
      <c r="D61" t="s">
        <v>230</v>
      </c>
      <c r="E61">
        <v>744</v>
      </c>
    </row>
    <row r="62" spans="1:5" x14ac:dyDescent="0.3">
      <c r="A62" t="s">
        <v>45</v>
      </c>
      <c r="B62">
        <v>432</v>
      </c>
      <c r="D62" t="s">
        <v>41</v>
      </c>
      <c r="E62">
        <v>5664</v>
      </c>
    </row>
    <row r="63" spans="1:5" x14ac:dyDescent="0.3">
      <c r="A63" t="s">
        <v>47</v>
      </c>
      <c r="B63">
        <v>24</v>
      </c>
      <c r="D63" t="s">
        <v>187</v>
      </c>
      <c r="E63">
        <v>312</v>
      </c>
    </row>
    <row r="64" spans="1:5" x14ac:dyDescent="0.3">
      <c r="A64" t="s">
        <v>724</v>
      </c>
      <c r="B64">
        <v>1104</v>
      </c>
      <c r="D64" t="s">
        <v>715</v>
      </c>
      <c r="E64">
        <v>48</v>
      </c>
    </row>
    <row r="65" spans="1:5" x14ac:dyDescent="0.3">
      <c r="A65" t="s">
        <v>725</v>
      </c>
      <c r="B65">
        <v>432</v>
      </c>
      <c r="D65" t="s">
        <v>715</v>
      </c>
      <c r="E65">
        <v>-24</v>
      </c>
    </row>
    <row r="66" spans="1:5" x14ac:dyDescent="0.3">
      <c r="A66" t="s">
        <v>726</v>
      </c>
      <c r="B66">
        <v>876</v>
      </c>
      <c r="D66" t="s">
        <v>193</v>
      </c>
      <c r="E66">
        <v>288</v>
      </c>
    </row>
    <row r="67" spans="1:5" x14ac:dyDescent="0.3">
      <c r="A67" t="s">
        <v>727</v>
      </c>
      <c r="B67">
        <v>566</v>
      </c>
      <c r="D67" t="s">
        <v>43</v>
      </c>
      <c r="E67">
        <v>360</v>
      </c>
    </row>
    <row r="68" spans="1:5" x14ac:dyDescent="0.3">
      <c r="A68" t="s">
        <v>728</v>
      </c>
      <c r="B68">
        <v>90</v>
      </c>
      <c r="D68" t="s">
        <v>195</v>
      </c>
      <c r="E68">
        <v>264</v>
      </c>
    </row>
    <row r="69" spans="1:5" x14ac:dyDescent="0.3">
      <c r="A69" t="s">
        <v>729</v>
      </c>
      <c r="B69">
        <v>66</v>
      </c>
      <c r="D69" t="s">
        <v>197</v>
      </c>
      <c r="E69">
        <v>120</v>
      </c>
    </row>
    <row r="70" spans="1:5" x14ac:dyDescent="0.3">
      <c r="A70" t="s">
        <v>49</v>
      </c>
      <c r="B70">
        <v>24</v>
      </c>
      <c r="D70" t="s">
        <v>199</v>
      </c>
      <c r="E70">
        <v>276</v>
      </c>
    </row>
    <row r="71" spans="1:5" x14ac:dyDescent="0.3">
      <c r="A71" t="s">
        <v>730</v>
      </c>
      <c r="B71">
        <v>2568</v>
      </c>
      <c r="D71" t="s">
        <v>201</v>
      </c>
      <c r="E71">
        <v>48</v>
      </c>
    </row>
    <row r="72" spans="1:5" x14ac:dyDescent="0.3">
      <c r="A72" t="s">
        <v>51</v>
      </c>
      <c r="B72">
        <v>552</v>
      </c>
      <c r="D72" t="s">
        <v>203</v>
      </c>
      <c r="E72">
        <v>192</v>
      </c>
    </row>
    <row r="73" spans="1:5" x14ac:dyDescent="0.3">
      <c r="A73" t="s">
        <v>53</v>
      </c>
      <c r="B73">
        <v>2568</v>
      </c>
      <c r="D73" t="s">
        <v>405</v>
      </c>
      <c r="E73">
        <v>1056</v>
      </c>
    </row>
    <row r="74" spans="1:5" x14ac:dyDescent="0.3">
      <c r="A74" t="s">
        <v>55</v>
      </c>
      <c r="B74">
        <v>6792</v>
      </c>
      <c r="D74" t="s">
        <v>716</v>
      </c>
      <c r="E74">
        <v>1872</v>
      </c>
    </row>
    <row r="75" spans="1:5" x14ac:dyDescent="0.3">
      <c r="A75" t="s">
        <v>57</v>
      </c>
      <c r="B75">
        <v>8196</v>
      </c>
      <c r="D75" t="s">
        <v>718</v>
      </c>
      <c r="E75">
        <v>1056</v>
      </c>
    </row>
    <row r="76" spans="1:5" x14ac:dyDescent="0.3">
      <c r="A76" t="s">
        <v>731</v>
      </c>
      <c r="B76">
        <v>1080</v>
      </c>
      <c r="D76" t="s">
        <v>719</v>
      </c>
      <c r="E76">
        <v>564</v>
      </c>
    </row>
    <row r="77" spans="1:5" x14ac:dyDescent="0.3">
      <c r="A77" t="s">
        <v>59</v>
      </c>
      <c r="B77">
        <v>6588</v>
      </c>
      <c r="D77" t="s">
        <v>720</v>
      </c>
      <c r="E77">
        <v>672</v>
      </c>
    </row>
    <row r="78" spans="1:5" x14ac:dyDescent="0.3">
      <c r="A78" t="s">
        <v>61</v>
      </c>
      <c r="B78">
        <v>28968</v>
      </c>
      <c r="D78" t="s">
        <v>721</v>
      </c>
      <c r="E78">
        <v>432</v>
      </c>
    </row>
    <row r="79" spans="1:5" x14ac:dyDescent="0.3">
      <c r="A79" t="s">
        <v>63</v>
      </c>
      <c r="B79">
        <v>29256</v>
      </c>
      <c r="D79" t="s">
        <v>722</v>
      </c>
      <c r="E79">
        <v>-3</v>
      </c>
    </row>
    <row r="80" spans="1:5" x14ac:dyDescent="0.3">
      <c r="A80" t="s">
        <v>65</v>
      </c>
      <c r="B80">
        <v>558</v>
      </c>
      <c r="D80" t="s">
        <v>205</v>
      </c>
      <c r="E80">
        <v>456</v>
      </c>
    </row>
    <row r="81" spans="1:5" x14ac:dyDescent="0.3">
      <c r="A81" t="s">
        <v>67</v>
      </c>
      <c r="B81">
        <v>360</v>
      </c>
      <c r="D81" t="s">
        <v>207</v>
      </c>
      <c r="E81">
        <v>408</v>
      </c>
    </row>
    <row r="82" spans="1:5" x14ac:dyDescent="0.3">
      <c r="A82" t="s">
        <v>69</v>
      </c>
      <c r="B82">
        <v>384</v>
      </c>
      <c r="D82" t="s">
        <v>209</v>
      </c>
      <c r="E82">
        <v>600</v>
      </c>
    </row>
    <row r="83" spans="1:5" x14ac:dyDescent="0.3">
      <c r="A83" t="s">
        <v>71</v>
      </c>
      <c r="B83">
        <v>372</v>
      </c>
      <c r="D83" t="s">
        <v>211</v>
      </c>
      <c r="E83">
        <v>816</v>
      </c>
    </row>
    <row r="84" spans="1:5" x14ac:dyDescent="0.3">
      <c r="A84" t="s">
        <v>732</v>
      </c>
      <c r="B84">
        <v>924</v>
      </c>
      <c r="D84" t="s">
        <v>214</v>
      </c>
      <c r="E84">
        <v>1248</v>
      </c>
    </row>
    <row r="85" spans="1:5" x14ac:dyDescent="0.3">
      <c r="A85" t="s">
        <v>73</v>
      </c>
      <c r="B85">
        <v>18288</v>
      </c>
      <c r="D85" t="s">
        <v>45</v>
      </c>
      <c r="E85">
        <v>492</v>
      </c>
    </row>
    <row r="86" spans="1:5" x14ac:dyDescent="0.3">
      <c r="A86" t="s">
        <v>218</v>
      </c>
      <c r="B86">
        <v>216</v>
      </c>
      <c r="D86" t="s">
        <v>47</v>
      </c>
      <c r="E86">
        <v>72</v>
      </c>
    </row>
    <row r="87" spans="1:5" x14ac:dyDescent="0.3">
      <c r="A87" t="s">
        <v>408</v>
      </c>
      <c r="B87">
        <v>120</v>
      </c>
      <c r="D87" t="s">
        <v>724</v>
      </c>
      <c r="E87">
        <v>600</v>
      </c>
    </row>
    <row r="88" spans="1:5" x14ac:dyDescent="0.3">
      <c r="A88" t="s">
        <v>75</v>
      </c>
      <c r="B88">
        <v>84</v>
      </c>
      <c r="D88" t="s">
        <v>725</v>
      </c>
      <c r="E88">
        <v>1008</v>
      </c>
    </row>
    <row r="89" spans="1:5" x14ac:dyDescent="0.3">
      <c r="A89" t="s">
        <v>410</v>
      </c>
      <c r="B89">
        <v>564</v>
      </c>
      <c r="D89" t="s">
        <v>726</v>
      </c>
      <c r="E89">
        <v>1008</v>
      </c>
    </row>
    <row r="90" spans="1:5" x14ac:dyDescent="0.3">
      <c r="A90" t="s">
        <v>77</v>
      </c>
      <c r="B90">
        <v>132</v>
      </c>
      <c r="D90" t="s">
        <v>727</v>
      </c>
      <c r="E90">
        <v>1320</v>
      </c>
    </row>
    <row r="91" spans="1:5" x14ac:dyDescent="0.3">
      <c r="A91" t="s">
        <v>79</v>
      </c>
      <c r="B91">
        <v>2136</v>
      </c>
      <c r="D91" t="s">
        <v>728</v>
      </c>
      <c r="E91">
        <v>150</v>
      </c>
    </row>
    <row r="92" spans="1:5" x14ac:dyDescent="0.3">
      <c r="A92" t="s">
        <v>81</v>
      </c>
      <c r="B92">
        <v>1548</v>
      </c>
      <c r="D92" t="s">
        <v>729</v>
      </c>
      <c r="E92">
        <v>112</v>
      </c>
    </row>
    <row r="93" spans="1:5" x14ac:dyDescent="0.3">
      <c r="A93" t="s">
        <v>85</v>
      </c>
      <c r="B93">
        <v>1416</v>
      </c>
      <c r="D93" t="s">
        <v>730</v>
      </c>
      <c r="E93">
        <v>2100</v>
      </c>
    </row>
    <row r="94" spans="1:5" x14ac:dyDescent="0.3">
      <c r="A94" t="s">
        <v>87</v>
      </c>
      <c r="B94">
        <v>108</v>
      </c>
      <c r="D94" t="s">
        <v>51</v>
      </c>
      <c r="E94">
        <v>936</v>
      </c>
    </row>
    <row r="95" spans="1:5" x14ac:dyDescent="0.3">
      <c r="A95" t="s">
        <v>733</v>
      </c>
      <c r="B95">
        <v>864</v>
      </c>
      <c r="D95" t="s">
        <v>53</v>
      </c>
      <c r="E95">
        <v>1140</v>
      </c>
    </row>
    <row r="96" spans="1:5" x14ac:dyDescent="0.3">
      <c r="A96" t="s">
        <v>91</v>
      </c>
      <c r="B96">
        <v>252</v>
      </c>
      <c r="D96" t="s">
        <v>55</v>
      </c>
      <c r="E96">
        <v>8040</v>
      </c>
    </row>
    <row r="97" spans="1:5" x14ac:dyDescent="0.3">
      <c r="A97" t="s">
        <v>734</v>
      </c>
      <c r="B97">
        <v>1368</v>
      </c>
      <c r="D97" t="s">
        <v>57</v>
      </c>
      <c r="E97">
        <v>6948</v>
      </c>
    </row>
    <row r="98" spans="1:5" x14ac:dyDescent="0.3">
      <c r="A98" t="s">
        <v>734</v>
      </c>
      <c r="B98">
        <v>0</v>
      </c>
      <c r="D98" t="s">
        <v>731</v>
      </c>
      <c r="E98">
        <v>672</v>
      </c>
    </row>
    <row r="99" spans="1:5" x14ac:dyDescent="0.3">
      <c r="A99" t="s">
        <v>93</v>
      </c>
      <c r="B99">
        <v>1344</v>
      </c>
      <c r="D99" t="s">
        <v>59</v>
      </c>
      <c r="E99">
        <v>7044</v>
      </c>
    </row>
    <row r="100" spans="1:5" x14ac:dyDescent="0.3">
      <c r="A100" t="s">
        <v>95</v>
      </c>
      <c r="B100">
        <v>756</v>
      </c>
      <c r="D100" t="s">
        <v>61</v>
      </c>
      <c r="E100">
        <v>32748</v>
      </c>
    </row>
    <row r="101" spans="1:5" x14ac:dyDescent="0.3">
      <c r="A101" t="s">
        <v>97</v>
      </c>
      <c r="B101">
        <v>288</v>
      </c>
      <c r="D101" t="s">
        <v>61</v>
      </c>
      <c r="E101">
        <v>1704</v>
      </c>
    </row>
    <row r="102" spans="1:5" x14ac:dyDescent="0.3">
      <c r="A102" t="s">
        <v>220</v>
      </c>
      <c r="B102">
        <v>-39</v>
      </c>
      <c r="D102" t="s">
        <v>63</v>
      </c>
      <c r="E102">
        <v>28164</v>
      </c>
    </row>
    <row r="103" spans="1:5" x14ac:dyDescent="0.3">
      <c r="A103" t="s">
        <v>222</v>
      </c>
      <c r="B103">
        <v>768</v>
      </c>
      <c r="D103" t="s">
        <v>65</v>
      </c>
      <c r="E103">
        <v>582</v>
      </c>
    </row>
    <row r="104" spans="1:5" x14ac:dyDescent="0.3">
      <c r="A104" t="s">
        <v>99</v>
      </c>
      <c r="B104">
        <v>528</v>
      </c>
      <c r="D104" t="s">
        <v>67</v>
      </c>
      <c r="E104">
        <v>552</v>
      </c>
    </row>
    <row r="105" spans="1:5" x14ac:dyDescent="0.3">
      <c r="A105" t="s">
        <v>101</v>
      </c>
      <c r="B105">
        <v>348</v>
      </c>
      <c r="D105" t="s">
        <v>69</v>
      </c>
      <c r="E105">
        <v>732</v>
      </c>
    </row>
    <row r="106" spans="1:5" x14ac:dyDescent="0.3">
      <c r="A106" t="s">
        <v>103</v>
      </c>
      <c r="B106">
        <v>228</v>
      </c>
      <c r="D106" t="s">
        <v>71</v>
      </c>
      <c r="E106">
        <v>672</v>
      </c>
    </row>
    <row r="107" spans="1:5" x14ac:dyDescent="0.3">
      <c r="A107" t="s">
        <v>105</v>
      </c>
      <c r="B107">
        <v>7692</v>
      </c>
      <c r="D107" t="s">
        <v>732</v>
      </c>
      <c r="E107">
        <v>3408</v>
      </c>
    </row>
    <row r="108" spans="1:5" x14ac:dyDescent="0.3">
      <c r="A108" t="s">
        <v>735</v>
      </c>
      <c r="B108">
        <v>60</v>
      </c>
      <c r="D108" t="s">
        <v>73</v>
      </c>
      <c r="E108">
        <v>19464</v>
      </c>
    </row>
    <row r="109" spans="1:5" x14ac:dyDescent="0.3">
      <c r="A109" t="s">
        <v>735</v>
      </c>
      <c r="B109">
        <v>1320</v>
      </c>
      <c r="D109" t="s">
        <v>218</v>
      </c>
      <c r="E109">
        <v>216</v>
      </c>
    </row>
    <row r="110" spans="1:5" x14ac:dyDescent="0.3">
      <c r="A110" t="s">
        <v>107</v>
      </c>
      <c r="B110">
        <v>4032</v>
      </c>
      <c r="D110" t="s">
        <v>408</v>
      </c>
      <c r="E110">
        <v>840</v>
      </c>
    </row>
    <row r="111" spans="1:5" x14ac:dyDescent="0.3">
      <c r="A111" t="s">
        <v>109</v>
      </c>
      <c r="B111">
        <v>108</v>
      </c>
      <c r="D111" t="s">
        <v>75</v>
      </c>
      <c r="E111">
        <v>156</v>
      </c>
    </row>
    <row r="112" spans="1:5" x14ac:dyDescent="0.3">
      <c r="A112" t="s">
        <v>111</v>
      </c>
      <c r="B112">
        <v>408</v>
      </c>
      <c r="D112" t="s">
        <v>410</v>
      </c>
      <c r="E112">
        <v>564</v>
      </c>
    </row>
    <row r="113" spans="1:5" x14ac:dyDescent="0.3">
      <c r="A113" t="s">
        <v>419</v>
      </c>
      <c r="B113">
        <v>192</v>
      </c>
      <c r="D113" t="s">
        <v>77</v>
      </c>
      <c r="E113">
        <v>-132</v>
      </c>
    </row>
    <row r="114" spans="1:5" x14ac:dyDescent="0.3">
      <c r="A114" t="s">
        <v>420</v>
      </c>
      <c r="B114">
        <v>684</v>
      </c>
      <c r="D114" t="s">
        <v>79</v>
      </c>
      <c r="E114">
        <v>1320</v>
      </c>
    </row>
    <row r="115" spans="1:5" x14ac:dyDescent="0.3">
      <c r="A115" t="s">
        <v>319</v>
      </c>
      <c r="B115">
        <v>96</v>
      </c>
      <c r="D115" t="s">
        <v>81</v>
      </c>
      <c r="E115">
        <v>1692</v>
      </c>
    </row>
    <row r="116" spans="1:5" x14ac:dyDescent="0.3">
      <c r="A116" t="s">
        <v>320</v>
      </c>
      <c r="B116">
        <v>24</v>
      </c>
      <c r="D116" t="s">
        <v>85</v>
      </c>
      <c r="E116">
        <v>1908</v>
      </c>
    </row>
    <row r="117" spans="1:5" x14ac:dyDescent="0.3">
      <c r="A117" t="s">
        <v>321</v>
      </c>
      <c r="B117">
        <v>288</v>
      </c>
      <c r="D117" t="s">
        <v>87</v>
      </c>
      <c r="E117">
        <v>168</v>
      </c>
    </row>
    <row r="118" spans="1:5" x14ac:dyDescent="0.3">
      <c r="A118" t="s">
        <v>322</v>
      </c>
      <c r="B118">
        <v>864</v>
      </c>
      <c r="D118" t="s">
        <v>733</v>
      </c>
      <c r="E118">
        <v>1836</v>
      </c>
    </row>
    <row r="119" spans="1:5" x14ac:dyDescent="0.3">
      <c r="A119" t="s">
        <v>423</v>
      </c>
      <c r="B119">
        <v>408</v>
      </c>
      <c r="D119" t="s">
        <v>91</v>
      </c>
      <c r="E119">
        <v>732</v>
      </c>
    </row>
    <row r="120" spans="1:5" x14ac:dyDescent="0.3">
      <c r="A120" t="s">
        <v>424</v>
      </c>
      <c r="B120">
        <v>792</v>
      </c>
      <c r="D120" t="s">
        <v>734</v>
      </c>
      <c r="E120">
        <v>12</v>
      </c>
    </row>
    <row r="121" spans="1:5" x14ac:dyDescent="0.3">
      <c r="A121" t="s">
        <v>113</v>
      </c>
      <c r="B121">
        <v>552</v>
      </c>
      <c r="D121" t="s">
        <v>734</v>
      </c>
      <c r="E121">
        <v>564</v>
      </c>
    </row>
    <row r="122" spans="1:5" x14ac:dyDescent="0.3">
      <c r="A122" t="s">
        <v>115</v>
      </c>
      <c r="B122">
        <v>300</v>
      </c>
      <c r="D122" t="s">
        <v>93</v>
      </c>
      <c r="E122">
        <v>3096</v>
      </c>
    </row>
    <row r="123" spans="1:5" x14ac:dyDescent="0.3">
      <c r="A123" t="s">
        <v>117</v>
      </c>
      <c r="B123">
        <v>252</v>
      </c>
      <c r="D123" t="s">
        <v>95</v>
      </c>
      <c r="E123">
        <v>1572</v>
      </c>
    </row>
    <row r="124" spans="1:5" x14ac:dyDescent="0.3">
      <c r="A124" t="s">
        <v>119</v>
      </c>
      <c r="B124">
        <v>0</v>
      </c>
      <c r="D124" t="s">
        <v>97</v>
      </c>
      <c r="E124">
        <v>552</v>
      </c>
    </row>
    <row r="125" spans="1:5" x14ac:dyDescent="0.3">
      <c r="A125" t="s">
        <v>121</v>
      </c>
      <c r="B125">
        <v>360</v>
      </c>
      <c r="D125" t="s">
        <v>339</v>
      </c>
      <c r="E125">
        <v>-240</v>
      </c>
    </row>
    <row r="126" spans="1:5" x14ac:dyDescent="0.3">
      <c r="A126" t="s">
        <v>123</v>
      </c>
      <c r="B126">
        <v>1236</v>
      </c>
      <c r="D126" t="s">
        <v>220</v>
      </c>
      <c r="E126">
        <v>96</v>
      </c>
    </row>
    <row r="127" spans="1:5" x14ac:dyDescent="0.3">
      <c r="A127" t="s">
        <v>429</v>
      </c>
      <c r="B127">
        <v>144</v>
      </c>
      <c r="D127" t="s">
        <v>222</v>
      </c>
      <c r="E127">
        <v>1080</v>
      </c>
    </row>
    <row r="128" spans="1:5" x14ac:dyDescent="0.3">
      <c r="A128" t="s">
        <v>125</v>
      </c>
      <c r="B128">
        <v>360</v>
      </c>
      <c r="D128" t="s">
        <v>99</v>
      </c>
      <c r="E128">
        <v>624</v>
      </c>
    </row>
    <row r="129" spans="1:5" x14ac:dyDescent="0.3">
      <c r="A129" t="s">
        <v>431</v>
      </c>
      <c r="B129">
        <v>168</v>
      </c>
      <c r="D129" t="s">
        <v>101</v>
      </c>
      <c r="E129">
        <v>852</v>
      </c>
    </row>
    <row r="130" spans="1:5" x14ac:dyDescent="0.3">
      <c r="A130" t="s">
        <v>432</v>
      </c>
      <c r="B130">
        <v>936</v>
      </c>
      <c r="D130" t="s">
        <v>103</v>
      </c>
      <c r="E130">
        <v>252</v>
      </c>
    </row>
    <row r="131" spans="1:5" x14ac:dyDescent="0.3">
      <c r="A131" t="s">
        <v>127</v>
      </c>
      <c r="B131">
        <v>1764</v>
      </c>
      <c r="D131" t="s">
        <v>105</v>
      </c>
      <c r="E131">
        <v>2868</v>
      </c>
    </row>
    <row r="132" spans="1:5" x14ac:dyDescent="0.3">
      <c r="A132" t="s">
        <v>129</v>
      </c>
      <c r="B132">
        <v>1080</v>
      </c>
      <c r="D132" t="s">
        <v>735</v>
      </c>
      <c r="E132">
        <v>1248</v>
      </c>
    </row>
    <row r="133" spans="1:5" x14ac:dyDescent="0.3">
      <c r="A133" t="s">
        <v>131</v>
      </c>
      <c r="B133">
        <v>420</v>
      </c>
      <c r="D133" t="s">
        <v>107</v>
      </c>
      <c r="E133">
        <v>7224</v>
      </c>
    </row>
    <row r="134" spans="1:5" x14ac:dyDescent="0.3">
      <c r="A134" t="s">
        <v>133</v>
      </c>
      <c r="B134">
        <v>1200</v>
      </c>
      <c r="D134" t="s">
        <v>109</v>
      </c>
      <c r="E134">
        <v>12</v>
      </c>
    </row>
    <row r="135" spans="1:5" x14ac:dyDescent="0.3">
      <c r="A135" t="s">
        <v>435</v>
      </c>
      <c r="B135">
        <v>0</v>
      </c>
      <c r="D135" t="s">
        <v>111</v>
      </c>
      <c r="E135">
        <v>504</v>
      </c>
    </row>
    <row r="136" spans="1:5" x14ac:dyDescent="0.3">
      <c r="A136" t="s">
        <v>736</v>
      </c>
      <c r="B136">
        <v>72</v>
      </c>
      <c r="D136" t="s">
        <v>419</v>
      </c>
      <c r="E136">
        <v>528</v>
      </c>
    </row>
    <row r="137" spans="1:5" x14ac:dyDescent="0.3">
      <c r="A137" t="s">
        <v>135</v>
      </c>
      <c r="B137">
        <v>5988</v>
      </c>
      <c r="D137" t="s">
        <v>420</v>
      </c>
      <c r="E137">
        <v>912</v>
      </c>
    </row>
    <row r="138" spans="1:5" x14ac:dyDescent="0.3">
      <c r="A138" t="s">
        <v>224</v>
      </c>
      <c r="B138">
        <v>84</v>
      </c>
      <c r="D138" t="s">
        <v>319</v>
      </c>
      <c r="E138">
        <v>648</v>
      </c>
    </row>
    <row r="139" spans="1:5" x14ac:dyDescent="0.3">
      <c r="A139" t="s">
        <v>225</v>
      </c>
      <c r="B139">
        <v>216</v>
      </c>
      <c r="D139" t="s">
        <v>320</v>
      </c>
      <c r="E139">
        <v>672</v>
      </c>
    </row>
    <row r="140" spans="1:5" x14ac:dyDescent="0.3">
      <c r="A140" t="s">
        <v>137</v>
      </c>
      <c r="B140">
        <v>504</v>
      </c>
      <c r="D140" t="s">
        <v>321</v>
      </c>
      <c r="E140">
        <v>276</v>
      </c>
    </row>
    <row r="141" spans="1:5" x14ac:dyDescent="0.3">
      <c r="A141" t="s">
        <v>139</v>
      </c>
      <c r="B141">
        <v>120</v>
      </c>
      <c r="D141" t="s">
        <v>322</v>
      </c>
      <c r="E141">
        <v>1248</v>
      </c>
    </row>
    <row r="142" spans="1:5" x14ac:dyDescent="0.3">
      <c r="A142" t="s">
        <v>141</v>
      </c>
      <c r="B142">
        <v>240</v>
      </c>
      <c r="D142" t="s">
        <v>423</v>
      </c>
      <c r="E142">
        <v>312</v>
      </c>
    </row>
    <row r="143" spans="1:5" x14ac:dyDescent="0.3">
      <c r="A143" t="s">
        <v>327</v>
      </c>
      <c r="B143">
        <v>456</v>
      </c>
      <c r="D143" t="s">
        <v>424</v>
      </c>
      <c r="E143">
        <v>600</v>
      </c>
    </row>
    <row r="144" spans="1:5" x14ac:dyDescent="0.3">
      <c r="A144" t="s">
        <v>328</v>
      </c>
      <c r="B144">
        <v>216</v>
      </c>
      <c r="D144" t="s">
        <v>113</v>
      </c>
      <c r="E144">
        <v>840</v>
      </c>
    </row>
    <row r="145" spans="1:5" x14ac:dyDescent="0.3">
      <c r="A145" t="s">
        <v>329</v>
      </c>
      <c r="B145">
        <v>144</v>
      </c>
      <c r="D145" t="s">
        <v>115</v>
      </c>
      <c r="E145">
        <v>732</v>
      </c>
    </row>
    <row r="146" spans="1:5" x14ac:dyDescent="0.3">
      <c r="A146" t="s">
        <v>330</v>
      </c>
      <c r="B146">
        <v>96</v>
      </c>
      <c r="D146" t="s">
        <v>117</v>
      </c>
      <c r="E146">
        <v>324</v>
      </c>
    </row>
    <row r="147" spans="1:5" x14ac:dyDescent="0.3">
      <c r="A147" t="s">
        <v>737</v>
      </c>
      <c r="B147">
        <v>264</v>
      </c>
      <c r="D147" t="s">
        <v>121</v>
      </c>
      <c r="E147">
        <v>432</v>
      </c>
    </row>
    <row r="148" spans="1:5" x14ac:dyDescent="0.3">
      <c r="A148" t="s">
        <v>738</v>
      </c>
      <c r="B148">
        <v>48</v>
      </c>
      <c r="D148" t="s">
        <v>427</v>
      </c>
      <c r="E148">
        <v>36</v>
      </c>
    </row>
    <row r="149" spans="1:5" x14ac:dyDescent="0.3">
      <c r="A149" t="s">
        <v>738</v>
      </c>
      <c r="B149">
        <v>1320</v>
      </c>
      <c r="D149" t="s">
        <v>123</v>
      </c>
      <c r="E149">
        <v>984</v>
      </c>
    </row>
    <row r="150" spans="1:5" x14ac:dyDescent="0.3">
      <c r="A150" t="s">
        <v>739</v>
      </c>
      <c r="B150">
        <v>408</v>
      </c>
      <c r="D150" t="s">
        <v>429</v>
      </c>
      <c r="E150">
        <v>108</v>
      </c>
    </row>
    <row r="151" spans="1:5" x14ac:dyDescent="0.3">
      <c r="A151" t="s">
        <v>740</v>
      </c>
      <c r="B151">
        <v>0</v>
      </c>
      <c r="D151" t="s">
        <v>125</v>
      </c>
      <c r="E151">
        <v>504</v>
      </c>
    </row>
    <row r="152" spans="1:5" x14ac:dyDescent="0.3">
      <c r="A152" t="s">
        <v>740</v>
      </c>
      <c r="B152">
        <v>228</v>
      </c>
      <c r="D152" t="s">
        <v>431</v>
      </c>
      <c r="E152">
        <v>456</v>
      </c>
    </row>
    <row r="153" spans="1:5" x14ac:dyDescent="0.3">
      <c r="A153" t="s">
        <v>741</v>
      </c>
      <c r="B153">
        <v>1500</v>
      </c>
      <c r="D153" t="s">
        <v>432</v>
      </c>
      <c r="E153">
        <v>732</v>
      </c>
    </row>
    <row r="154" spans="1:5" x14ac:dyDescent="0.3">
      <c r="A154" t="s">
        <v>742</v>
      </c>
      <c r="B154">
        <v>216</v>
      </c>
      <c r="D154" t="s">
        <v>127</v>
      </c>
      <c r="E154">
        <v>1896</v>
      </c>
    </row>
    <row r="155" spans="1:5" x14ac:dyDescent="0.3">
      <c r="A155" t="s">
        <v>743</v>
      </c>
      <c r="B155">
        <v>156</v>
      </c>
      <c r="D155" t="s">
        <v>129</v>
      </c>
      <c r="E155">
        <v>1464</v>
      </c>
    </row>
    <row r="156" spans="1:5" x14ac:dyDescent="0.3">
      <c r="A156" t="s">
        <v>744</v>
      </c>
      <c r="B156">
        <v>420</v>
      </c>
      <c r="D156" t="s">
        <v>131</v>
      </c>
      <c r="E156">
        <v>348</v>
      </c>
    </row>
    <row r="157" spans="1:5" x14ac:dyDescent="0.3">
      <c r="A157" t="s">
        <v>442</v>
      </c>
      <c r="B157">
        <v>48</v>
      </c>
      <c r="D157" t="s">
        <v>133</v>
      </c>
      <c r="E157">
        <v>1260</v>
      </c>
    </row>
    <row r="158" spans="1:5" x14ac:dyDescent="0.3">
      <c r="D158" t="s">
        <v>435</v>
      </c>
      <c r="E158">
        <v>0</v>
      </c>
    </row>
    <row r="159" spans="1:5" x14ac:dyDescent="0.3">
      <c r="D159" t="s">
        <v>736</v>
      </c>
      <c r="E159">
        <v>984</v>
      </c>
    </row>
    <row r="160" spans="1:5" x14ac:dyDescent="0.3">
      <c r="D160" t="s">
        <v>135</v>
      </c>
      <c r="E160">
        <v>6300</v>
      </c>
    </row>
    <row r="161" spans="4:5" x14ac:dyDescent="0.3">
      <c r="D161" t="s">
        <v>224</v>
      </c>
      <c r="E161">
        <v>360</v>
      </c>
    </row>
    <row r="162" spans="4:5" x14ac:dyDescent="0.3">
      <c r="D162" t="s">
        <v>225</v>
      </c>
      <c r="E162">
        <v>348</v>
      </c>
    </row>
    <row r="163" spans="4:5" x14ac:dyDescent="0.3">
      <c r="D163" t="s">
        <v>137</v>
      </c>
      <c r="E163">
        <v>1392</v>
      </c>
    </row>
    <row r="164" spans="4:5" x14ac:dyDescent="0.3">
      <c r="D164" t="s">
        <v>139</v>
      </c>
      <c r="E164">
        <v>792</v>
      </c>
    </row>
    <row r="165" spans="4:5" x14ac:dyDescent="0.3">
      <c r="D165" t="s">
        <v>141</v>
      </c>
      <c r="E165">
        <v>528</v>
      </c>
    </row>
    <row r="166" spans="4:5" x14ac:dyDescent="0.3">
      <c r="D166" t="s">
        <v>327</v>
      </c>
      <c r="E166">
        <v>1128</v>
      </c>
    </row>
    <row r="167" spans="4:5" x14ac:dyDescent="0.3">
      <c r="D167" t="s">
        <v>328</v>
      </c>
      <c r="E167">
        <v>1028</v>
      </c>
    </row>
    <row r="168" spans="4:5" x14ac:dyDescent="0.3">
      <c r="D168" t="s">
        <v>329</v>
      </c>
      <c r="E168">
        <v>216</v>
      </c>
    </row>
    <row r="169" spans="4:5" x14ac:dyDescent="0.3">
      <c r="D169" t="s">
        <v>330</v>
      </c>
      <c r="E169">
        <v>264</v>
      </c>
    </row>
    <row r="170" spans="4:5" x14ac:dyDescent="0.3">
      <c r="D170" t="s">
        <v>737</v>
      </c>
      <c r="E170">
        <v>384</v>
      </c>
    </row>
    <row r="171" spans="4:5" x14ac:dyDescent="0.3">
      <c r="D171" t="s">
        <v>738</v>
      </c>
      <c r="E171">
        <v>1200</v>
      </c>
    </row>
    <row r="172" spans="4:5" x14ac:dyDescent="0.3">
      <c r="D172" t="s">
        <v>739</v>
      </c>
      <c r="E172">
        <v>408</v>
      </c>
    </row>
    <row r="173" spans="4:5" x14ac:dyDescent="0.3">
      <c r="D173" t="s">
        <v>745</v>
      </c>
      <c r="E173">
        <v>108</v>
      </c>
    </row>
    <row r="174" spans="4:5" x14ac:dyDescent="0.3">
      <c r="D174" t="s">
        <v>740</v>
      </c>
      <c r="E174">
        <v>300</v>
      </c>
    </row>
    <row r="175" spans="4:5" x14ac:dyDescent="0.3">
      <c r="D175" t="s">
        <v>741</v>
      </c>
      <c r="E175">
        <v>640</v>
      </c>
    </row>
    <row r="176" spans="4:5" x14ac:dyDescent="0.3">
      <c r="D176" t="s">
        <v>741</v>
      </c>
      <c r="E176">
        <v>480</v>
      </c>
    </row>
    <row r="177" spans="4:5" x14ac:dyDescent="0.3">
      <c r="D177" t="s">
        <v>741</v>
      </c>
      <c r="E177">
        <v>236</v>
      </c>
    </row>
    <row r="178" spans="4:5" x14ac:dyDescent="0.3">
      <c r="D178" t="s">
        <v>742</v>
      </c>
      <c r="E178">
        <v>492</v>
      </c>
    </row>
    <row r="179" spans="4:5" x14ac:dyDescent="0.3">
      <c r="D179" t="s">
        <v>743</v>
      </c>
      <c r="E179">
        <v>384</v>
      </c>
    </row>
    <row r="180" spans="4:5" x14ac:dyDescent="0.3">
      <c r="D180" t="s">
        <v>744</v>
      </c>
      <c r="E180">
        <v>276</v>
      </c>
    </row>
    <row r="181" spans="4:5" x14ac:dyDescent="0.3">
      <c r="D181" t="s">
        <v>442</v>
      </c>
      <c r="E181">
        <v>138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BA48"/>
  <sheetViews>
    <sheetView workbookViewId="0">
      <selection sqref="A1:S2"/>
    </sheetView>
  </sheetViews>
  <sheetFormatPr baseColWidth="10" defaultRowHeight="14.4" x14ac:dyDescent="0.3"/>
  <cols>
    <col min="1" max="1" width="10.33203125" bestFit="1" customWidth="1"/>
    <col min="2" max="2" width="5.109375" style="1" customWidth="1"/>
    <col min="3" max="3" width="6.109375" style="1" customWidth="1"/>
    <col min="4" max="4" width="5.5546875" style="1" customWidth="1"/>
    <col min="5" max="5" width="5.109375" style="1" customWidth="1"/>
    <col min="6" max="6" width="6.33203125" style="1" bestFit="1" customWidth="1"/>
    <col min="7" max="7" width="3.33203125" style="1" customWidth="1"/>
    <col min="8" max="8" width="5.6640625" style="1" customWidth="1"/>
    <col min="9" max="9" width="1.33203125" style="1" customWidth="1"/>
    <col min="10" max="11" width="5.6640625" style="1" customWidth="1"/>
    <col min="12" max="12" width="6.6640625" style="1" bestFit="1" customWidth="1"/>
    <col min="13" max="13" width="3.5546875" style="1" customWidth="1"/>
    <col min="14" max="14" width="5.88671875" style="1" bestFit="1" customWidth="1"/>
    <col min="15" max="15" width="5.33203125" style="1" customWidth="1"/>
    <col min="16" max="16" width="5.88671875" style="1" bestFit="1" customWidth="1"/>
    <col min="17" max="17" width="5.5546875" style="1" bestFit="1" customWidth="1"/>
    <col min="18" max="18" width="5.88671875" style="1" bestFit="1" customWidth="1"/>
    <col min="19" max="19" width="5.5546875" style="1" bestFit="1" customWidth="1"/>
    <col min="20" max="21" width="6.6640625" style="1" bestFit="1" customWidth="1"/>
    <col min="22" max="22" width="5.88671875" style="1" bestFit="1" customWidth="1"/>
    <col min="23" max="23" width="4.33203125" style="1" customWidth="1"/>
    <col min="24" max="24" width="6.6640625" style="1" bestFit="1" customWidth="1"/>
    <col min="25" max="25" width="4.33203125" style="1" customWidth="1"/>
    <col min="26" max="26" width="5.88671875" style="1" bestFit="1" customWidth="1"/>
    <col min="27" max="27" width="5.33203125" style="1" customWidth="1"/>
    <col min="28" max="28" width="6.6640625" style="1" bestFit="1" customWidth="1"/>
    <col min="29" max="29" width="5.5546875" style="1" customWidth="1"/>
    <col min="30" max="30" width="5.88671875" style="1" bestFit="1" customWidth="1"/>
    <col min="31" max="31" width="5" style="1" customWidth="1"/>
    <col min="32" max="32" width="5.88671875" style="1" bestFit="1" customWidth="1"/>
    <col min="33" max="33" width="4.33203125" style="1" customWidth="1"/>
    <col min="34" max="35" width="5.6640625" style="1" customWidth="1"/>
    <col min="36" max="36" width="7.33203125" style="1" bestFit="1" customWidth="1"/>
    <col min="37" max="37" width="3.33203125" style="1" customWidth="1"/>
    <col min="38" max="38" width="5.88671875" style="1" bestFit="1" customWidth="1"/>
    <col min="39" max="39" width="4.5546875" style="1" customWidth="1"/>
    <col min="40" max="40" width="5.88671875" style="1" bestFit="1" customWidth="1"/>
    <col min="41" max="41" width="5.33203125" style="1" customWidth="1"/>
    <col min="42" max="42" width="5.88671875" style="1" bestFit="1" customWidth="1"/>
    <col min="43" max="43" width="4.33203125" style="1" customWidth="1"/>
    <col min="44" max="44" width="7.33203125" style="1" customWidth="1"/>
    <col min="45" max="45" width="4.33203125" style="1" customWidth="1"/>
    <col min="46" max="46" width="5.88671875" style="1" bestFit="1" customWidth="1"/>
    <col min="47" max="47" width="4.5546875" style="1" customWidth="1"/>
    <col min="48" max="48" width="5.88671875" style="1" bestFit="1" customWidth="1"/>
    <col min="49" max="49" width="4.6640625" style="1" customWidth="1"/>
    <col min="50" max="50" width="5.88671875" style="1" bestFit="1" customWidth="1"/>
    <col min="51" max="51" width="4" style="1" customWidth="1"/>
    <col min="52" max="53" width="5.5546875" style="1" customWidth="1"/>
  </cols>
  <sheetData>
    <row r="1" spans="1:53" ht="15" customHeight="1" x14ac:dyDescent="0.3">
      <c r="A1" s="1153" t="s">
        <v>308</v>
      </c>
      <c r="B1" s="1369"/>
      <c r="C1" s="1369"/>
      <c r="D1" s="1369"/>
      <c r="E1" s="1369"/>
      <c r="F1" s="1369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154"/>
      <c r="T1" s="1153" t="s">
        <v>308</v>
      </c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154"/>
      <c r="AJ1" s="1153" t="s">
        <v>308</v>
      </c>
      <c r="AK1" s="1369"/>
      <c r="AL1" s="1369"/>
      <c r="AM1" s="1369"/>
      <c r="AN1" s="1369"/>
      <c r="AO1" s="1369"/>
      <c r="AP1" s="1369"/>
      <c r="AQ1" s="1369"/>
      <c r="AR1" s="1369"/>
      <c r="AS1" s="1369"/>
      <c r="AT1" s="1369"/>
      <c r="AU1" s="1369"/>
      <c r="AV1" s="1369"/>
      <c r="AW1" s="1369"/>
      <c r="AX1" s="1369"/>
      <c r="AY1" s="1369"/>
      <c r="AZ1" s="1369"/>
      <c r="BA1" s="1154"/>
    </row>
    <row r="2" spans="1:53" ht="16.2" customHeight="1" thickBot="1" x14ac:dyDescent="0.35">
      <c r="A2" s="1155"/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156"/>
      <c r="T2" s="1371"/>
      <c r="U2" s="1372"/>
      <c r="V2" s="1372"/>
      <c r="W2" s="1372"/>
      <c r="X2" s="1372"/>
      <c r="Y2" s="1372"/>
      <c r="Z2" s="1372"/>
      <c r="AA2" s="1372"/>
      <c r="AB2" s="1370"/>
      <c r="AC2" s="1370"/>
      <c r="AD2" s="1370"/>
      <c r="AE2" s="1370"/>
      <c r="AF2" s="1370"/>
      <c r="AG2" s="1370"/>
      <c r="AH2" s="1370"/>
      <c r="AI2" s="1156"/>
      <c r="AJ2" s="1155"/>
      <c r="AK2" s="1370"/>
      <c r="AL2" s="1370"/>
      <c r="AM2" s="1370"/>
      <c r="AN2" s="1370"/>
      <c r="AO2" s="1370"/>
      <c r="AP2" s="1370"/>
      <c r="AQ2" s="1370"/>
      <c r="AR2" s="1370"/>
      <c r="AS2" s="1370"/>
      <c r="AT2" s="1370"/>
      <c r="AU2" s="1370"/>
      <c r="AV2" s="1370"/>
      <c r="AW2" s="1370"/>
      <c r="AX2" s="1370"/>
      <c r="AY2" s="1370"/>
      <c r="AZ2" s="1370"/>
      <c r="BA2" s="1156"/>
    </row>
    <row r="3" spans="1:53" ht="21.6" thickBot="1" x14ac:dyDescent="0.35">
      <c r="A3" s="1337" t="s">
        <v>18</v>
      </c>
      <c r="B3" s="1338"/>
      <c r="C3" s="1338"/>
      <c r="D3" s="1338"/>
      <c r="E3" s="1339"/>
      <c r="F3" s="1340">
        <f ca="1">+TODAY()</f>
        <v>46052</v>
      </c>
      <c r="G3" s="1338"/>
      <c r="H3" s="1338"/>
      <c r="I3" s="1338"/>
      <c r="J3" s="1339"/>
      <c r="K3" s="1376"/>
      <c r="L3" s="1377"/>
      <c r="M3" s="1377"/>
      <c r="N3" s="1377"/>
      <c r="O3" s="1299"/>
      <c r="P3" s="1373" t="s">
        <v>316</v>
      </c>
      <c r="Q3" s="1374"/>
      <c r="R3" s="1374"/>
      <c r="S3" s="1375"/>
      <c r="T3" s="1333" t="s">
        <v>18</v>
      </c>
      <c r="U3" s="1334"/>
      <c r="V3" s="1334"/>
      <c r="W3" s="1335"/>
      <c r="X3" s="1336">
        <f ca="1">+TODAY()</f>
        <v>46052</v>
      </c>
      <c r="Y3" s="1334"/>
      <c r="Z3" s="1334"/>
      <c r="AA3" s="1335"/>
      <c r="AB3" s="1376"/>
      <c r="AC3" s="1377"/>
      <c r="AD3" s="1377"/>
      <c r="AE3" s="1299"/>
      <c r="AF3" s="1373" t="s">
        <v>317</v>
      </c>
      <c r="AG3" s="1374"/>
      <c r="AH3" s="1374"/>
      <c r="AI3" s="1375"/>
      <c r="AJ3" s="1337" t="s">
        <v>18</v>
      </c>
      <c r="AK3" s="1338"/>
      <c r="AL3" s="1338"/>
      <c r="AM3" s="1339"/>
      <c r="AN3" s="1340">
        <f ca="1">+TODAY()</f>
        <v>46052</v>
      </c>
      <c r="AO3" s="1338"/>
      <c r="AP3" s="1338"/>
      <c r="AQ3" s="1339"/>
      <c r="AR3" s="1376"/>
      <c r="AS3" s="1377"/>
      <c r="AT3" s="1377"/>
      <c r="AU3" s="1377"/>
      <c r="AV3" s="1377"/>
      <c r="AW3" s="1299"/>
      <c r="AX3" s="1373" t="s">
        <v>318</v>
      </c>
      <c r="AY3" s="1374"/>
      <c r="AZ3" s="1374"/>
      <c r="BA3" s="1375"/>
    </row>
    <row r="4" spans="1:53" ht="6" customHeight="1" thickBot="1" x14ac:dyDescent="0.35">
      <c r="A4" s="12"/>
      <c r="B4" s="13"/>
      <c r="C4" s="13"/>
      <c r="D4" s="13"/>
      <c r="E4" s="13"/>
      <c r="F4" s="14"/>
      <c r="G4" s="15"/>
      <c r="H4" s="15"/>
      <c r="I4" s="15"/>
      <c r="J4" s="16"/>
      <c r="K4" s="17"/>
      <c r="L4" s="17"/>
      <c r="M4" s="17"/>
      <c r="N4" s="17"/>
      <c r="O4" s="17"/>
      <c r="P4" s="18"/>
      <c r="Q4" s="18"/>
      <c r="R4" s="18"/>
      <c r="S4" s="19"/>
      <c r="T4" s="20"/>
      <c r="U4" s="15"/>
      <c r="V4" s="15"/>
      <c r="W4" s="15"/>
      <c r="X4" s="14"/>
      <c r="Y4" s="15"/>
      <c r="Z4" s="15"/>
      <c r="AA4" s="21"/>
      <c r="AB4" s="212"/>
      <c r="AC4" s="17"/>
      <c r="AD4" s="17"/>
      <c r="AE4" s="17"/>
      <c r="AF4" s="18"/>
      <c r="AG4" s="18"/>
      <c r="AH4" s="18"/>
      <c r="AI4" s="19"/>
      <c r="AJ4" s="20"/>
      <c r="AK4" s="15"/>
      <c r="AL4" s="15"/>
      <c r="AM4" s="15"/>
      <c r="AN4" s="14"/>
      <c r="AO4" s="15"/>
      <c r="AP4" s="15"/>
      <c r="AQ4" s="21"/>
      <c r="AR4" s="17"/>
      <c r="AS4" s="17"/>
      <c r="AT4" s="17"/>
      <c r="AU4" s="17"/>
      <c r="AV4" s="17"/>
      <c r="AW4" s="17"/>
      <c r="AX4" s="18"/>
      <c r="AY4" s="18"/>
      <c r="AZ4" s="18"/>
      <c r="BA4" s="19"/>
    </row>
    <row r="5" spans="1:53" s="22" customFormat="1" ht="23.7" customHeight="1" thickBot="1" x14ac:dyDescent="0.5">
      <c r="A5" s="1443">
        <v>2</v>
      </c>
      <c r="B5" s="1477" t="s">
        <v>0</v>
      </c>
      <c r="C5" s="1478"/>
      <c r="D5" s="1478"/>
      <c r="E5" s="1478"/>
      <c r="F5" s="1265"/>
      <c r="G5" s="1265"/>
      <c r="H5" s="1265"/>
      <c r="I5" s="1265"/>
      <c r="J5" s="1268"/>
      <c r="K5" s="1269"/>
      <c r="L5" s="1264" t="s">
        <v>2</v>
      </c>
      <c r="M5" s="1265"/>
      <c r="N5" s="1265"/>
      <c r="O5" s="1265"/>
      <c r="P5" s="1265"/>
      <c r="Q5" s="1265"/>
      <c r="R5" s="1265"/>
      <c r="S5" s="1266"/>
      <c r="T5" s="1264" t="s">
        <v>3</v>
      </c>
      <c r="U5" s="1265"/>
      <c r="V5" s="1265"/>
      <c r="W5" s="1265"/>
      <c r="X5" s="1265"/>
      <c r="Y5" s="1265"/>
      <c r="Z5" s="1265"/>
      <c r="AA5" s="1266"/>
      <c r="AB5" s="1264" t="s">
        <v>4</v>
      </c>
      <c r="AC5" s="1265"/>
      <c r="AD5" s="1265"/>
      <c r="AE5" s="1265"/>
      <c r="AF5" s="1265"/>
      <c r="AG5" s="1265"/>
      <c r="AH5" s="1265"/>
      <c r="AI5" s="1266"/>
      <c r="AJ5" s="1264" t="s">
        <v>5</v>
      </c>
      <c r="AK5" s="1265"/>
      <c r="AL5" s="1265"/>
      <c r="AM5" s="1265"/>
      <c r="AN5" s="1265"/>
      <c r="AO5" s="1265"/>
      <c r="AP5" s="1265"/>
      <c r="AQ5" s="1266"/>
      <c r="AR5" s="1280" t="s">
        <v>6</v>
      </c>
      <c r="AS5" s="1479"/>
      <c r="AT5" s="1281"/>
      <c r="AU5" s="1281"/>
      <c r="AV5" s="1281"/>
      <c r="AW5" s="1281"/>
      <c r="AX5" s="1281"/>
      <c r="AY5" s="1480"/>
      <c r="AZ5" s="1480"/>
      <c r="BA5" s="1282"/>
    </row>
    <row r="6" spans="1:53" ht="23.7" customHeight="1" thickBot="1" x14ac:dyDescent="0.35">
      <c r="A6" s="1444"/>
      <c r="B6" s="1389" t="s">
        <v>301</v>
      </c>
      <c r="C6" s="1389"/>
      <c r="D6" s="1442" t="s">
        <v>300</v>
      </c>
      <c r="E6" s="1468"/>
      <c r="F6" s="1481" t="s">
        <v>302</v>
      </c>
      <c r="G6" s="1466"/>
      <c r="H6" s="1341"/>
      <c r="I6" s="1342"/>
      <c r="J6" s="1465" t="s">
        <v>298</v>
      </c>
      <c r="K6" s="1466"/>
      <c r="L6" s="1468" t="s">
        <v>241</v>
      </c>
      <c r="M6" s="1468"/>
      <c r="N6" s="1481" t="s">
        <v>242</v>
      </c>
      <c r="O6" s="1466"/>
      <c r="P6" s="1341"/>
      <c r="Q6" s="1342"/>
      <c r="R6" s="1342"/>
      <c r="S6" s="1343"/>
      <c r="T6" s="1446" t="s">
        <v>240</v>
      </c>
      <c r="U6" s="1466"/>
      <c r="V6" s="1341"/>
      <c r="W6" s="1342"/>
      <c r="X6" s="1342"/>
      <c r="Y6" s="1342"/>
      <c r="Z6" s="1342"/>
      <c r="AA6" s="1343"/>
      <c r="AB6" s="1446" t="s">
        <v>239</v>
      </c>
      <c r="AC6" s="1466"/>
      <c r="AD6" s="1341"/>
      <c r="AE6" s="1342"/>
      <c r="AF6" s="1342"/>
      <c r="AG6" s="1342"/>
      <c r="AH6" s="1342"/>
      <c r="AI6" s="1343"/>
      <c r="AJ6" s="1446" t="s">
        <v>238</v>
      </c>
      <c r="AK6" s="1466"/>
      <c r="AL6" s="1341"/>
      <c r="AM6" s="1342"/>
      <c r="AN6" s="1342"/>
      <c r="AO6" s="1342"/>
      <c r="AP6" s="1342"/>
      <c r="AQ6" s="1343"/>
      <c r="AR6" s="1446" t="s">
        <v>238</v>
      </c>
      <c r="AS6" s="1466"/>
      <c r="AT6" s="1341"/>
      <c r="AU6" s="1342"/>
      <c r="AV6" s="1342"/>
      <c r="AW6" s="1342"/>
      <c r="AX6" s="1342"/>
      <c r="AY6" s="1343"/>
      <c r="AZ6" s="1433" t="s">
        <v>337</v>
      </c>
      <c r="BA6" s="1399"/>
    </row>
    <row r="7" spans="1:53" s="10" customFormat="1" ht="18.600000000000001" thickBot="1" x14ac:dyDescent="0.4">
      <c r="A7" s="1444"/>
      <c r="B7" s="1337" t="s">
        <v>55</v>
      </c>
      <c r="C7" s="1339"/>
      <c r="D7" s="1337" t="s">
        <v>57</v>
      </c>
      <c r="E7" s="1339"/>
      <c r="F7" s="1337" t="s">
        <v>71</v>
      </c>
      <c r="G7" s="1339"/>
      <c r="H7" s="1344"/>
      <c r="I7" s="1345"/>
      <c r="J7" s="1337" t="s">
        <v>16</v>
      </c>
      <c r="K7" s="1339"/>
      <c r="L7" s="1338">
        <v>504</v>
      </c>
      <c r="M7" s="1339"/>
      <c r="N7" s="1337">
        <v>586</v>
      </c>
      <c r="O7" s="1339"/>
      <c r="P7" s="1344"/>
      <c r="Q7" s="1345"/>
      <c r="R7" s="1345"/>
      <c r="S7" s="1346"/>
      <c r="T7" s="1337">
        <v>505</v>
      </c>
      <c r="U7" s="1339"/>
      <c r="V7" s="1344"/>
      <c r="W7" s="1345"/>
      <c r="X7" s="1345"/>
      <c r="Y7" s="1345"/>
      <c r="Z7" s="1345"/>
      <c r="AA7" s="1346"/>
      <c r="AB7" s="1337">
        <v>513</v>
      </c>
      <c r="AC7" s="1339"/>
      <c r="AD7" s="1344"/>
      <c r="AE7" s="1345"/>
      <c r="AF7" s="1345"/>
      <c r="AG7" s="1345"/>
      <c r="AH7" s="1345"/>
      <c r="AI7" s="1346"/>
      <c r="AJ7" s="1225">
        <v>506</v>
      </c>
      <c r="AK7" s="1226"/>
      <c r="AL7" s="1344"/>
      <c r="AM7" s="1345"/>
      <c r="AN7" s="1345"/>
      <c r="AO7" s="1345"/>
      <c r="AP7" s="1345"/>
      <c r="AQ7" s="1346"/>
      <c r="AR7" s="1338">
        <v>506</v>
      </c>
      <c r="AS7" s="1338"/>
      <c r="AT7" s="1344"/>
      <c r="AU7" s="1345"/>
      <c r="AV7" s="1345"/>
      <c r="AW7" s="1345"/>
      <c r="AX7" s="1345"/>
      <c r="AY7" s="1346"/>
      <c r="AZ7" s="1337">
        <v>225</v>
      </c>
      <c r="BA7" s="1339"/>
    </row>
    <row r="8" spans="1:53" ht="15.6" x14ac:dyDescent="0.3">
      <c r="A8" s="1444"/>
      <c r="B8" s="1438" t="s">
        <v>1</v>
      </c>
      <c r="C8" s="1402"/>
      <c r="D8" s="1434" t="s">
        <v>1</v>
      </c>
      <c r="E8" s="1402"/>
      <c r="F8" s="1434" t="s">
        <v>1</v>
      </c>
      <c r="G8" s="1439"/>
      <c r="H8" s="1344"/>
      <c r="I8" s="1345"/>
      <c r="J8" s="1438" t="s">
        <v>1</v>
      </c>
      <c r="K8" s="1439"/>
      <c r="L8" s="1435" t="s">
        <v>1</v>
      </c>
      <c r="M8" s="1402"/>
      <c r="N8" s="1434" t="s">
        <v>1</v>
      </c>
      <c r="O8" s="1439"/>
      <c r="P8" s="1344"/>
      <c r="Q8" s="1345"/>
      <c r="R8" s="1345"/>
      <c r="S8" s="1346"/>
      <c r="T8" s="1438" t="s">
        <v>1</v>
      </c>
      <c r="U8" s="1439"/>
      <c r="V8" s="1344"/>
      <c r="W8" s="1345"/>
      <c r="X8" s="1345"/>
      <c r="Y8" s="1345"/>
      <c r="Z8" s="1345"/>
      <c r="AA8" s="1346"/>
      <c r="AB8" s="1438" t="s">
        <v>1</v>
      </c>
      <c r="AC8" s="1439"/>
      <c r="AD8" s="1344"/>
      <c r="AE8" s="1345"/>
      <c r="AF8" s="1345"/>
      <c r="AG8" s="1345"/>
      <c r="AH8" s="1345"/>
      <c r="AI8" s="1346"/>
      <c r="AJ8" s="1416" t="s">
        <v>1</v>
      </c>
      <c r="AK8" s="1403"/>
      <c r="AL8" s="1345"/>
      <c r="AM8" s="1345"/>
      <c r="AN8" s="1345"/>
      <c r="AO8" s="1345"/>
      <c r="AP8" s="1345"/>
      <c r="AQ8" s="1346"/>
      <c r="AR8" s="1438" t="s">
        <v>1</v>
      </c>
      <c r="AS8" s="1435"/>
      <c r="AT8" s="1344"/>
      <c r="AU8" s="1345"/>
      <c r="AV8" s="1345"/>
      <c r="AW8" s="1345"/>
      <c r="AX8" s="1345"/>
      <c r="AY8" s="1346"/>
      <c r="AZ8" s="1438" t="s">
        <v>1</v>
      </c>
      <c r="BA8" s="1439"/>
    </row>
    <row r="9" spans="1:53" ht="15.6" x14ac:dyDescent="0.3">
      <c r="A9" s="1444"/>
      <c r="B9" s="1412">
        <f>+B11*2</f>
        <v>13416.285714285714</v>
      </c>
      <c r="C9" s="1413"/>
      <c r="D9" s="1476">
        <f>+D11*2</f>
        <v>15826.285714285714</v>
      </c>
      <c r="E9" s="1413"/>
      <c r="F9" s="1476">
        <f>+F11*2</f>
        <v>1196.5714285714287</v>
      </c>
      <c r="G9" s="1454"/>
      <c r="H9" s="1344"/>
      <c r="I9" s="1345"/>
      <c r="J9" s="1405">
        <v>300</v>
      </c>
      <c r="K9" s="1361"/>
      <c r="L9" s="1359">
        <v>13600</v>
      </c>
      <c r="M9" s="1357"/>
      <c r="N9" s="1360">
        <v>6800</v>
      </c>
      <c r="O9" s="1361"/>
      <c r="P9" s="1344"/>
      <c r="Q9" s="1345"/>
      <c r="R9" s="1345"/>
      <c r="S9" s="1346"/>
      <c r="T9" s="1405">
        <v>61600</v>
      </c>
      <c r="U9" s="1361"/>
      <c r="V9" s="1344"/>
      <c r="W9" s="1345"/>
      <c r="X9" s="1345"/>
      <c r="Y9" s="1345"/>
      <c r="Z9" s="1345"/>
      <c r="AA9" s="1346"/>
      <c r="AB9" s="1405">
        <v>36900</v>
      </c>
      <c r="AC9" s="1361"/>
      <c r="AD9" s="1344"/>
      <c r="AE9" s="1345"/>
      <c r="AF9" s="1345"/>
      <c r="AG9" s="1345"/>
      <c r="AH9" s="1345"/>
      <c r="AI9" s="1346"/>
      <c r="AJ9" s="1414">
        <v>24200</v>
      </c>
      <c r="AK9" s="1404"/>
      <c r="AL9" s="1345"/>
      <c r="AM9" s="1345"/>
      <c r="AN9" s="1345"/>
      <c r="AO9" s="1345"/>
      <c r="AP9" s="1345"/>
      <c r="AQ9" s="1346"/>
      <c r="AR9" s="1405">
        <v>24200</v>
      </c>
      <c r="AS9" s="1359"/>
      <c r="AT9" s="1344"/>
      <c r="AU9" s="1345"/>
      <c r="AV9" s="1345"/>
      <c r="AW9" s="1345"/>
      <c r="AX9" s="1345"/>
      <c r="AY9" s="1346"/>
      <c r="AZ9" s="1405">
        <f>+AZ11*2</f>
        <v>2160</v>
      </c>
      <c r="BA9" s="1361"/>
    </row>
    <row r="10" spans="1:53" ht="15.6" x14ac:dyDescent="0.3">
      <c r="A10" s="1444"/>
      <c r="B10" s="1405" t="s">
        <v>305</v>
      </c>
      <c r="C10" s="1357"/>
      <c r="D10" s="1360" t="s">
        <v>305</v>
      </c>
      <c r="E10" s="1357"/>
      <c r="F10" s="1360" t="s">
        <v>305</v>
      </c>
      <c r="G10" s="1361"/>
      <c r="H10" s="1344"/>
      <c r="I10" s="1345"/>
      <c r="J10" s="1405" t="s">
        <v>305</v>
      </c>
      <c r="K10" s="1361"/>
      <c r="L10" s="1359" t="s">
        <v>305</v>
      </c>
      <c r="M10" s="1357"/>
      <c r="N10" s="1360" t="s">
        <v>305</v>
      </c>
      <c r="O10" s="1361"/>
      <c r="P10" s="1344"/>
      <c r="Q10" s="1345"/>
      <c r="R10" s="1345"/>
      <c r="S10" s="1346"/>
      <c r="T10" s="1405" t="s">
        <v>305</v>
      </c>
      <c r="U10" s="1361"/>
      <c r="V10" s="1344"/>
      <c r="W10" s="1345"/>
      <c r="X10" s="1345"/>
      <c r="Y10" s="1345"/>
      <c r="Z10" s="1345"/>
      <c r="AA10" s="1346"/>
      <c r="AB10" s="1405" t="s">
        <v>305</v>
      </c>
      <c r="AC10" s="1361"/>
      <c r="AD10" s="1344"/>
      <c r="AE10" s="1345"/>
      <c r="AF10" s="1345"/>
      <c r="AG10" s="1345"/>
      <c r="AH10" s="1345"/>
      <c r="AI10" s="1346"/>
      <c r="AJ10" s="1414" t="s">
        <v>305</v>
      </c>
      <c r="AK10" s="1404"/>
      <c r="AL10" s="1345"/>
      <c r="AM10" s="1345"/>
      <c r="AN10" s="1345"/>
      <c r="AO10" s="1345"/>
      <c r="AP10" s="1345"/>
      <c r="AQ10" s="1346"/>
      <c r="AR10" s="1405" t="s">
        <v>305</v>
      </c>
      <c r="AS10" s="1359"/>
      <c r="AT10" s="1344"/>
      <c r="AU10" s="1345"/>
      <c r="AV10" s="1345"/>
      <c r="AW10" s="1345"/>
      <c r="AX10" s="1345"/>
      <c r="AY10" s="1346"/>
      <c r="AZ10" s="1405" t="s">
        <v>305</v>
      </c>
      <c r="BA10" s="1361"/>
    </row>
    <row r="11" spans="1:53" ht="15.6" x14ac:dyDescent="0.3">
      <c r="A11" s="1444"/>
      <c r="B11" s="1412">
        <v>6708.1428571428569</v>
      </c>
      <c r="C11" s="1453"/>
      <c r="D11" s="1412">
        <v>7913.1428571428569</v>
      </c>
      <c r="E11" s="1453"/>
      <c r="F11" s="1412">
        <v>598.28571428571433</v>
      </c>
      <c r="G11" s="1453"/>
      <c r="H11" s="1344"/>
      <c r="I11" s="1345"/>
      <c r="J11" s="1405">
        <v>136</v>
      </c>
      <c r="K11" s="1361"/>
      <c r="L11" s="1359">
        <f>L9/2</f>
        <v>6800</v>
      </c>
      <c r="M11" s="1357"/>
      <c r="N11" s="1360">
        <f>N9/2</f>
        <v>3400</v>
      </c>
      <c r="O11" s="1361"/>
      <c r="P11" s="1344"/>
      <c r="Q11" s="1345"/>
      <c r="R11" s="1345"/>
      <c r="S11" s="1346"/>
      <c r="T11" s="1412">
        <f>T9/2</f>
        <v>30800</v>
      </c>
      <c r="U11" s="1454"/>
      <c r="V11" s="1344"/>
      <c r="W11" s="1345"/>
      <c r="X11" s="1345"/>
      <c r="Y11" s="1345"/>
      <c r="Z11" s="1345"/>
      <c r="AA11" s="1346"/>
      <c r="AB11" s="1412">
        <f>AB9/2</f>
        <v>18450</v>
      </c>
      <c r="AC11" s="1454"/>
      <c r="AD11" s="1344"/>
      <c r="AE11" s="1345"/>
      <c r="AF11" s="1345"/>
      <c r="AG11" s="1345"/>
      <c r="AH11" s="1345"/>
      <c r="AI11" s="1346"/>
      <c r="AJ11" s="1414">
        <f>AJ9/2</f>
        <v>12100</v>
      </c>
      <c r="AK11" s="1404"/>
      <c r="AL11" s="1345"/>
      <c r="AM11" s="1345"/>
      <c r="AN11" s="1345"/>
      <c r="AO11" s="1345"/>
      <c r="AP11" s="1345"/>
      <c r="AQ11" s="1346"/>
      <c r="AR11" s="1405">
        <f>AR9/2</f>
        <v>12100</v>
      </c>
      <c r="AS11" s="1359"/>
      <c r="AT11" s="1344"/>
      <c r="AU11" s="1345"/>
      <c r="AV11" s="1345"/>
      <c r="AW11" s="1345"/>
      <c r="AX11" s="1345"/>
      <c r="AY11" s="1346"/>
      <c r="AZ11" s="1414">
        <v>1080</v>
      </c>
      <c r="BA11" s="1404"/>
    </row>
    <row r="12" spans="1:53" ht="15.6" x14ac:dyDescent="0.3">
      <c r="A12" s="1444"/>
      <c r="B12" s="1384" t="s">
        <v>17</v>
      </c>
      <c r="C12" s="1368"/>
      <c r="D12" s="1407" t="s">
        <v>17</v>
      </c>
      <c r="E12" s="1368"/>
      <c r="F12" s="1367" t="s">
        <v>17</v>
      </c>
      <c r="G12" s="1378"/>
      <c r="H12" s="1344"/>
      <c r="I12" s="1345"/>
      <c r="J12" s="1384" t="s">
        <v>17</v>
      </c>
      <c r="K12" s="1385"/>
      <c r="L12" s="1408" t="s">
        <v>17</v>
      </c>
      <c r="M12" s="1368"/>
      <c r="N12" s="1407" t="s">
        <v>17</v>
      </c>
      <c r="O12" s="1385"/>
      <c r="P12" s="1344"/>
      <c r="Q12" s="1345"/>
      <c r="R12" s="1345"/>
      <c r="S12" s="1346"/>
      <c r="T12" s="1384" t="s">
        <v>17</v>
      </c>
      <c r="U12" s="1385"/>
      <c r="V12" s="1344"/>
      <c r="W12" s="1345"/>
      <c r="X12" s="1345"/>
      <c r="Y12" s="1345"/>
      <c r="Z12" s="1345"/>
      <c r="AA12" s="1346"/>
      <c r="AB12" s="1384" t="s">
        <v>17</v>
      </c>
      <c r="AC12" s="1385"/>
      <c r="AD12" s="1344"/>
      <c r="AE12" s="1345"/>
      <c r="AF12" s="1345"/>
      <c r="AG12" s="1345"/>
      <c r="AH12" s="1345"/>
      <c r="AI12" s="1346"/>
      <c r="AJ12" s="1366" t="s">
        <v>17</v>
      </c>
      <c r="AK12" s="1378"/>
      <c r="AL12" s="1345"/>
      <c r="AM12" s="1345"/>
      <c r="AN12" s="1345"/>
      <c r="AO12" s="1345"/>
      <c r="AP12" s="1345"/>
      <c r="AQ12" s="1346"/>
      <c r="AR12" s="1472" t="s">
        <v>17</v>
      </c>
      <c r="AS12" s="1473"/>
      <c r="AT12" s="1344"/>
      <c r="AU12" s="1345"/>
      <c r="AV12" s="1345"/>
      <c r="AW12" s="1345"/>
      <c r="AX12" s="1345"/>
      <c r="AY12" s="1346"/>
      <c r="AZ12" s="1366" t="s">
        <v>17</v>
      </c>
      <c r="BA12" s="1378"/>
    </row>
    <row r="13" spans="1:53" ht="16.2" thickBot="1" x14ac:dyDescent="0.35">
      <c r="A13" s="1445"/>
      <c r="B13" s="1390">
        <v>13000</v>
      </c>
      <c r="C13" s="1391"/>
      <c r="D13" s="1392">
        <v>11375</v>
      </c>
      <c r="E13" s="1391"/>
      <c r="F13" s="1379">
        <v>4000</v>
      </c>
      <c r="G13" s="1380"/>
      <c r="H13" s="1344"/>
      <c r="I13" s="1345"/>
      <c r="J13" s="1390">
        <v>2000</v>
      </c>
      <c r="K13" s="1393"/>
      <c r="L13" s="1409">
        <v>4750</v>
      </c>
      <c r="M13" s="1391"/>
      <c r="N13" s="1392">
        <v>5000</v>
      </c>
      <c r="O13" s="1393"/>
      <c r="P13" s="1344"/>
      <c r="Q13" s="1345"/>
      <c r="R13" s="1345"/>
      <c r="S13" s="1346"/>
      <c r="T13" s="1390">
        <v>37750</v>
      </c>
      <c r="U13" s="1393"/>
      <c r="V13" s="1344"/>
      <c r="W13" s="1345"/>
      <c r="X13" s="1345"/>
      <c r="Y13" s="1345"/>
      <c r="Z13" s="1345"/>
      <c r="AA13" s="1346"/>
      <c r="AB13" s="1390">
        <v>31000</v>
      </c>
      <c r="AC13" s="1393"/>
      <c r="AD13" s="1344"/>
      <c r="AE13" s="1345"/>
      <c r="AF13" s="1345"/>
      <c r="AG13" s="1345"/>
      <c r="AH13" s="1345"/>
      <c r="AI13" s="1346"/>
      <c r="AJ13" s="1406">
        <f>2200*12</f>
        <v>26400</v>
      </c>
      <c r="AK13" s="1395"/>
      <c r="AL13" s="1345"/>
      <c r="AM13" s="1345"/>
      <c r="AN13" s="1345"/>
      <c r="AO13" s="1345"/>
      <c r="AP13" s="1345"/>
      <c r="AQ13" s="1346"/>
      <c r="AR13" s="1474"/>
      <c r="AS13" s="1475"/>
      <c r="AT13" s="1344"/>
      <c r="AU13" s="1345"/>
      <c r="AV13" s="1345"/>
      <c r="AW13" s="1345"/>
      <c r="AX13" s="1345"/>
      <c r="AY13" s="1346"/>
      <c r="AZ13" s="1406">
        <v>5000</v>
      </c>
      <c r="BA13" s="1395"/>
    </row>
    <row r="14" spans="1:53" ht="16.2" thickBot="1" x14ac:dyDescent="0.35">
      <c r="A14" s="7" t="s">
        <v>306</v>
      </c>
      <c r="B14" s="1383"/>
      <c r="C14" s="1363"/>
      <c r="D14" s="1363"/>
      <c r="E14" s="1363"/>
      <c r="F14" s="1363"/>
      <c r="G14" s="1381"/>
      <c r="H14" s="1344"/>
      <c r="I14" s="1345"/>
      <c r="J14" s="1462"/>
      <c r="K14" s="1463"/>
      <c r="L14" s="1362"/>
      <c r="M14" s="1363"/>
      <c r="N14" s="1363"/>
      <c r="O14" s="1381"/>
      <c r="P14" s="1344"/>
      <c r="Q14" s="1345"/>
      <c r="R14" s="1345"/>
      <c r="S14" s="1346"/>
      <c r="T14" s="1383">
        <v>7300</v>
      </c>
      <c r="U14" s="1381"/>
      <c r="V14" s="1344"/>
      <c r="W14" s="1345"/>
      <c r="X14" s="1345"/>
      <c r="Y14" s="1345"/>
      <c r="Z14" s="1345"/>
      <c r="AA14" s="1346"/>
      <c r="AB14" s="1383"/>
      <c r="AC14" s="1381"/>
      <c r="AD14" s="1344"/>
      <c r="AE14" s="1345"/>
      <c r="AF14" s="1345"/>
      <c r="AG14" s="1345"/>
      <c r="AH14" s="1345"/>
      <c r="AI14" s="1346"/>
      <c r="AJ14" s="1383"/>
      <c r="AK14" s="1381"/>
      <c r="AL14" s="1345"/>
      <c r="AM14" s="1345"/>
      <c r="AN14" s="1345"/>
      <c r="AO14" s="1345"/>
      <c r="AP14" s="1345"/>
      <c r="AQ14" s="1345"/>
      <c r="AR14" s="1488"/>
      <c r="AS14" s="1489"/>
      <c r="AT14" s="1344"/>
      <c r="AU14" s="1345"/>
      <c r="AV14" s="1345"/>
      <c r="AW14" s="1345"/>
      <c r="AX14" s="1345"/>
      <c r="AY14" s="1346"/>
      <c r="AZ14" s="1383"/>
      <c r="BA14" s="1381"/>
    </row>
    <row r="15" spans="1:53" ht="16.2" thickBot="1" x14ac:dyDescent="0.35">
      <c r="A15" s="7" t="s">
        <v>303</v>
      </c>
      <c r="B15" s="1355">
        <f>+B9-B13-B14</f>
        <v>416.28571428571377</v>
      </c>
      <c r="C15" s="1353"/>
      <c r="D15" s="1386">
        <f>+D9-D13-D14</f>
        <v>4451.2857142857138</v>
      </c>
      <c r="E15" s="1356"/>
      <c r="F15" s="1352">
        <f>+F9-F13-F14</f>
        <v>-2803.4285714285716</v>
      </c>
      <c r="G15" s="1469"/>
      <c r="H15" s="1347"/>
      <c r="I15" s="1348"/>
      <c r="J15" s="1350">
        <f>+J9-J13-J14</f>
        <v>-1700</v>
      </c>
      <c r="K15" s="1382"/>
      <c r="L15" s="1356">
        <f>+L9-L13-L14</f>
        <v>8850</v>
      </c>
      <c r="M15" s="1353"/>
      <c r="N15" s="1353">
        <f>+N9-N13-N14</f>
        <v>1800</v>
      </c>
      <c r="O15" s="1354"/>
      <c r="P15" s="1347"/>
      <c r="Q15" s="1348"/>
      <c r="R15" s="1348"/>
      <c r="S15" s="1349"/>
      <c r="T15" s="1470">
        <f>+T9-T13-T14</f>
        <v>16550</v>
      </c>
      <c r="U15" s="1471"/>
      <c r="V15" s="1482"/>
      <c r="W15" s="1483"/>
      <c r="X15" s="1483"/>
      <c r="Y15" s="1483"/>
      <c r="Z15" s="1483"/>
      <c r="AA15" s="1484"/>
      <c r="AB15" s="1470">
        <f>+AB9-AB13-AB14</f>
        <v>5900</v>
      </c>
      <c r="AC15" s="1471"/>
      <c r="AD15" s="1347"/>
      <c r="AE15" s="1348"/>
      <c r="AF15" s="1348"/>
      <c r="AG15" s="1348"/>
      <c r="AH15" s="1348"/>
      <c r="AI15" s="1349"/>
      <c r="AJ15" s="1490">
        <f>+AJ9-AJ13-AJ14</f>
        <v>-2200</v>
      </c>
      <c r="AK15" s="1469"/>
      <c r="AL15" s="1348"/>
      <c r="AM15" s="1348"/>
      <c r="AN15" s="1348"/>
      <c r="AO15" s="1348"/>
      <c r="AP15" s="1348"/>
      <c r="AQ15" s="1348"/>
      <c r="AR15" s="1485"/>
      <c r="AS15" s="1486"/>
      <c r="AT15" s="1347"/>
      <c r="AU15" s="1348"/>
      <c r="AV15" s="1348"/>
      <c r="AW15" s="1348"/>
      <c r="AX15" s="1348"/>
      <c r="AY15" s="1349"/>
      <c r="AZ15" s="1350">
        <f>+AZ9-AZ13-AZ14</f>
        <v>-2840</v>
      </c>
      <c r="BA15" s="1382"/>
    </row>
    <row r="16" spans="1:53" ht="16.5" customHeight="1" thickBot="1" x14ac:dyDescent="0.35">
      <c r="A16" s="2"/>
      <c r="B16" s="1418"/>
      <c r="C16" s="1418"/>
      <c r="D16" s="1418"/>
      <c r="E16" s="1418"/>
      <c r="F16" s="1418"/>
      <c r="G16" s="1418"/>
      <c r="H16" s="4"/>
      <c r="I16" s="4"/>
      <c r="J16" s="4"/>
      <c r="K16" s="4"/>
      <c r="L16" s="1418"/>
      <c r="M16" s="1418"/>
      <c r="N16" s="1418"/>
      <c r="O16" s="1418"/>
      <c r="P16" s="4"/>
      <c r="Q16" s="4"/>
      <c r="R16" s="4"/>
      <c r="S16" s="4"/>
      <c r="T16" s="1418"/>
      <c r="U16" s="1418"/>
      <c r="V16" s="3"/>
      <c r="W16" s="3"/>
      <c r="X16" s="3"/>
      <c r="Y16" s="3"/>
      <c r="Z16" s="3"/>
      <c r="AA16" s="210"/>
      <c r="AB16" s="1421"/>
      <c r="AC16" s="1418"/>
      <c r="AD16" s="3"/>
      <c r="AE16" s="3"/>
      <c r="AF16" s="3"/>
      <c r="AG16" s="3"/>
      <c r="AH16" s="3"/>
      <c r="AI16" s="3"/>
      <c r="AJ16" s="1418"/>
      <c r="AK16" s="1418"/>
      <c r="AL16" s="3"/>
      <c r="AM16" s="3"/>
      <c r="AN16" s="3"/>
      <c r="AO16" s="3"/>
      <c r="AP16" s="3"/>
      <c r="AQ16" s="3"/>
      <c r="AR16" s="1418"/>
      <c r="AS16" s="1418"/>
      <c r="AT16" s="5"/>
      <c r="AU16" s="5"/>
      <c r="AV16" s="5"/>
      <c r="AW16" s="5"/>
      <c r="AX16" s="5"/>
      <c r="AY16" s="5"/>
      <c r="AZ16" s="5"/>
      <c r="BA16" s="5"/>
    </row>
    <row r="17" spans="1:53" ht="22.5" customHeight="1" thickBot="1" x14ac:dyDescent="0.35">
      <c r="A17" s="1443">
        <v>3</v>
      </c>
      <c r="B17" s="1468" t="s">
        <v>243</v>
      </c>
      <c r="C17" s="1431"/>
      <c r="D17" s="1432" t="s">
        <v>244</v>
      </c>
      <c r="E17" s="1432"/>
      <c r="F17" s="1432" t="s">
        <v>245</v>
      </c>
      <c r="G17" s="1442"/>
      <c r="H17" s="1327"/>
      <c r="I17" s="1387"/>
      <c r="J17" s="1465" t="s">
        <v>335</v>
      </c>
      <c r="K17" s="1466"/>
      <c r="L17" s="1415" t="s">
        <v>246</v>
      </c>
      <c r="M17" s="1432"/>
      <c r="N17" s="1398" t="s">
        <v>307</v>
      </c>
      <c r="O17" s="1432"/>
      <c r="P17" s="1398" t="s">
        <v>247</v>
      </c>
      <c r="Q17" s="1442"/>
      <c r="R17" s="1327"/>
      <c r="S17" s="1328"/>
      <c r="T17" s="1433" t="s">
        <v>248</v>
      </c>
      <c r="U17" s="1442"/>
      <c r="V17" s="1398" t="s">
        <v>249</v>
      </c>
      <c r="W17" s="1432"/>
      <c r="X17" s="1398" t="s">
        <v>250</v>
      </c>
      <c r="Y17" s="1432"/>
      <c r="Z17" s="1398" t="s">
        <v>251</v>
      </c>
      <c r="AA17" s="1399"/>
      <c r="AB17" s="1433" t="s">
        <v>252</v>
      </c>
      <c r="AC17" s="1432"/>
      <c r="AD17" s="1398" t="s">
        <v>253</v>
      </c>
      <c r="AE17" s="1432"/>
      <c r="AF17" s="1398" t="s">
        <v>254</v>
      </c>
      <c r="AG17" s="1442"/>
      <c r="AH17" s="1327"/>
      <c r="AI17" s="1328"/>
      <c r="AJ17" s="1433" t="s">
        <v>255</v>
      </c>
      <c r="AK17" s="1432"/>
      <c r="AL17" s="1398" t="s">
        <v>256</v>
      </c>
      <c r="AM17" s="1432"/>
      <c r="AN17" s="1398" t="s">
        <v>299</v>
      </c>
      <c r="AO17" s="1442"/>
      <c r="AP17" s="1398" t="s">
        <v>257</v>
      </c>
      <c r="AQ17" s="1399"/>
      <c r="AR17" s="1447" t="s">
        <v>258</v>
      </c>
      <c r="AS17" s="1399"/>
      <c r="AT17" s="1431" t="s">
        <v>259</v>
      </c>
      <c r="AU17" s="1432"/>
      <c r="AV17" s="1432" t="s">
        <v>260</v>
      </c>
      <c r="AW17" s="1432"/>
      <c r="AX17" s="1398" t="s">
        <v>261</v>
      </c>
      <c r="AY17" s="1442"/>
      <c r="AZ17" s="1327"/>
      <c r="BA17" s="1328"/>
    </row>
    <row r="18" spans="1:53" s="10" customFormat="1" ht="18.600000000000001" thickBot="1" x14ac:dyDescent="0.4">
      <c r="A18" s="1444"/>
      <c r="B18" s="1337">
        <v>507</v>
      </c>
      <c r="C18" s="1339"/>
      <c r="D18" s="1337">
        <v>508</v>
      </c>
      <c r="E18" s="1339"/>
      <c r="F18" s="1337">
        <v>511</v>
      </c>
      <c r="G18" s="1338"/>
      <c r="H18" s="1329"/>
      <c r="I18" s="1388"/>
      <c r="J18" s="1337" t="s">
        <v>336</v>
      </c>
      <c r="K18" s="1339"/>
      <c r="L18" s="1374" t="s">
        <v>309</v>
      </c>
      <c r="M18" s="1375"/>
      <c r="N18" s="1337">
        <v>517</v>
      </c>
      <c r="O18" s="1339"/>
      <c r="P18" s="1337">
        <v>519</v>
      </c>
      <c r="Q18" s="1338"/>
      <c r="R18" s="1329"/>
      <c r="S18" s="1330"/>
      <c r="T18" s="1337">
        <v>520</v>
      </c>
      <c r="U18" s="1339"/>
      <c r="V18" s="1338">
        <v>521</v>
      </c>
      <c r="W18" s="1339"/>
      <c r="X18" s="1337">
        <v>530</v>
      </c>
      <c r="Y18" s="1339"/>
      <c r="Z18" s="1337">
        <v>531</v>
      </c>
      <c r="AA18" s="1339"/>
      <c r="AB18" s="1337">
        <v>522</v>
      </c>
      <c r="AC18" s="1339"/>
      <c r="AD18" s="1337">
        <v>523</v>
      </c>
      <c r="AE18" s="1339"/>
      <c r="AF18" s="1337">
        <v>524</v>
      </c>
      <c r="AG18" s="1338"/>
      <c r="AH18" s="1329"/>
      <c r="AI18" s="1330"/>
      <c r="AJ18" s="1337">
        <v>525</v>
      </c>
      <c r="AK18" s="1339"/>
      <c r="AL18" s="1337">
        <v>526</v>
      </c>
      <c r="AM18" s="1339"/>
      <c r="AN18" s="1337">
        <v>529</v>
      </c>
      <c r="AO18" s="1339"/>
      <c r="AP18" s="1337">
        <v>532</v>
      </c>
      <c r="AQ18" s="1339"/>
      <c r="AR18" s="1338">
        <v>537</v>
      </c>
      <c r="AS18" s="1339"/>
      <c r="AT18" s="1337">
        <v>542</v>
      </c>
      <c r="AU18" s="1339"/>
      <c r="AV18" s="1337">
        <v>543</v>
      </c>
      <c r="AW18" s="1339"/>
      <c r="AX18" s="1373" t="s">
        <v>310</v>
      </c>
      <c r="AY18" s="1374"/>
      <c r="AZ18" s="1329"/>
      <c r="BA18" s="1330"/>
    </row>
    <row r="19" spans="1:53" ht="15.6" x14ac:dyDescent="0.3">
      <c r="A19" s="1444"/>
      <c r="B19" s="1435" t="s">
        <v>1</v>
      </c>
      <c r="C19" s="1402"/>
      <c r="D19" s="1457" t="s">
        <v>1</v>
      </c>
      <c r="E19" s="1456"/>
      <c r="F19" s="1457" t="s">
        <v>1</v>
      </c>
      <c r="G19" s="1455"/>
      <c r="H19" s="1329"/>
      <c r="I19" s="1388"/>
      <c r="J19" s="1438" t="s">
        <v>1</v>
      </c>
      <c r="K19" s="1439"/>
      <c r="L19" s="1455" t="s">
        <v>1</v>
      </c>
      <c r="M19" s="1456"/>
      <c r="N19" s="1457" t="s">
        <v>1</v>
      </c>
      <c r="O19" s="1456"/>
      <c r="P19" s="1457" t="s">
        <v>1</v>
      </c>
      <c r="Q19" s="1455"/>
      <c r="R19" s="1329"/>
      <c r="S19" s="1330"/>
      <c r="T19" s="1438" t="s">
        <v>1</v>
      </c>
      <c r="U19" s="1402"/>
      <c r="V19" s="1435" t="s">
        <v>1</v>
      </c>
      <c r="W19" s="1402"/>
      <c r="X19" s="1457" t="s">
        <v>1</v>
      </c>
      <c r="Y19" s="1456"/>
      <c r="Z19" s="1457" t="s">
        <v>1</v>
      </c>
      <c r="AA19" s="1437"/>
      <c r="AB19" s="1327" t="s">
        <v>304</v>
      </c>
      <c r="AC19" s="1328"/>
      <c r="AD19" s="1455" t="s">
        <v>1</v>
      </c>
      <c r="AE19" s="1456"/>
      <c r="AF19" s="1457" t="s">
        <v>1</v>
      </c>
      <c r="AG19" s="1455"/>
      <c r="AH19" s="1329"/>
      <c r="AI19" s="1330"/>
      <c r="AJ19" s="1438" t="s">
        <v>1</v>
      </c>
      <c r="AK19" s="1435"/>
      <c r="AL19" s="1434" t="s">
        <v>1</v>
      </c>
      <c r="AM19" s="1439"/>
      <c r="AN19" s="1327" t="s">
        <v>304</v>
      </c>
      <c r="AO19" s="1328"/>
      <c r="AP19" s="1435" t="s">
        <v>1</v>
      </c>
      <c r="AQ19" s="1439"/>
      <c r="AR19" s="1435" t="s">
        <v>1</v>
      </c>
      <c r="AS19" s="1402"/>
      <c r="AT19" s="1434" t="s">
        <v>1</v>
      </c>
      <c r="AU19" s="1402"/>
      <c r="AV19" s="1434" t="s">
        <v>1</v>
      </c>
      <c r="AW19" s="1402"/>
      <c r="AX19" s="1434" t="s">
        <v>1</v>
      </c>
      <c r="AY19" s="1435"/>
      <c r="AZ19" s="1329"/>
      <c r="BA19" s="1330"/>
    </row>
    <row r="20" spans="1:53" ht="15.6" x14ac:dyDescent="0.3">
      <c r="A20" s="1444"/>
      <c r="B20" s="1359">
        <v>900</v>
      </c>
      <c r="C20" s="1357"/>
      <c r="D20" s="1360">
        <v>1500</v>
      </c>
      <c r="E20" s="1357"/>
      <c r="F20" s="1360">
        <v>2100</v>
      </c>
      <c r="G20" s="1359"/>
      <c r="H20" s="1329"/>
      <c r="I20" s="1388"/>
      <c r="J20" s="1405">
        <v>16000</v>
      </c>
      <c r="K20" s="1361"/>
      <c r="L20" s="1359">
        <v>400</v>
      </c>
      <c r="M20" s="1357"/>
      <c r="N20" s="1360">
        <v>400</v>
      </c>
      <c r="O20" s="1357"/>
      <c r="P20" s="1360">
        <v>5500</v>
      </c>
      <c r="Q20" s="1359"/>
      <c r="R20" s="1329"/>
      <c r="S20" s="1330"/>
      <c r="T20" s="1405">
        <v>4300</v>
      </c>
      <c r="U20" s="1357"/>
      <c r="V20" s="1359">
        <v>4200</v>
      </c>
      <c r="W20" s="1357"/>
      <c r="X20" s="1360">
        <v>6100</v>
      </c>
      <c r="Y20" s="1357"/>
      <c r="Z20" s="1360">
        <v>1900</v>
      </c>
      <c r="AA20" s="1361"/>
      <c r="AB20" s="1329"/>
      <c r="AC20" s="1330"/>
      <c r="AD20" s="1359">
        <v>3100</v>
      </c>
      <c r="AE20" s="1357"/>
      <c r="AF20" s="1360">
        <v>200</v>
      </c>
      <c r="AG20" s="1359"/>
      <c r="AH20" s="1329"/>
      <c r="AI20" s="1330"/>
      <c r="AJ20" s="1405">
        <v>900</v>
      </c>
      <c r="AK20" s="1359"/>
      <c r="AL20" s="1360">
        <v>900</v>
      </c>
      <c r="AM20" s="1361"/>
      <c r="AN20" s="1329"/>
      <c r="AO20" s="1330"/>
      <c r="AP20" s="1359">
        <v>500</v>
      </c>
      <c r="AQ20" s="1361"/>
      <c r="AR20" s="1359">
        <v>800</v>
      </c>
      <c r="AS20" s="1357"/>
      <c r="AT20" s="1360">
        <v>1200</v>
      </c>
      <c r="AU20" s="1357"/>
      <c r="AV20" s="1360">
        <v>800</v>
      </c>
      <c r="AW20" s="1357"/>
      <c r="AX20" s="1360">
        <v>300</v>
      </c>
      <c r="AY20" s="1359"/>
      <c r="AZ20" s="1329"/>
      <c r="BA20" s="1330"/>
    </row>
    <row r="21" spans="1:53" ht="15.6" x14ac:dyDescent="0.3">
      <c r="A21" s="1444"/>
      <c r="B21" s="1405" t="s">
        <v>305</v>
      </c>
      <c r="C21" s="1357"/>
      <c r="D21" s="1360" t="s">
        <v>305</v>
      </c>
      <c r="E21" s="1357"/>
      <c r="F21" s="1360" t="s">
        <v>305</v>
      </c>
      <c r="G21" s="1359"/>
      <c r="H21" s="1329"/>
      <c r="I21" s="1388"/>
      <c r="J21" s="1405" t="s">
        <v>305</v>
      </c>
      <c r="K21" s="1361"/>
      <c r="L21" s="1359" t="s">
        <v>305</v>
      </c>
      <c r="M21" s="1357"/>
      <c r="N21" s="1360" t="s">
        <v>305</v>
      </c>
      <c r="O21" s="1357"/>
      <c r="P21" s="1360" t="s">
        <v>305</v>
      </c>
      <c r="Q21" s="1359"/>
      <c r="R21" s="1329"/>
      <c r="S21" s="1330"/>
      <c r="T21" s="1405" t="s">
        <v>305</v>
      </c>
      <c r="U21" s="1357"/>
      <c r="V21" s="1359" t="s">
        <v>305</v>
      </c>
      <c r="W21" s="1357"/>
      <c r="X21" s="1360" t="s">
        <v>305</v>
      </c>
      <c r="Y21" s="1357"/>
      <c r="Z21" s="1360" t="s">
        <v>305</v>
      </c>
      <c r="AA21" s="1361"/>
      <c r="AB21" s="1329"/>
      <c r="AC21" s="1330"/>
      <c r="AD21" s="1359" t="s">
        <v>305</v>
      </c>
      <c r="AE21" s="1357"/>
      <c r="AF21" s="1360" t="s">
        <v>305</v>
      </c>
      <c r="AG21" s="1359"/>
      <c r="AH21" s="1329"/>
      <c r="AI21" s="1330"/>
      <c r="AJ21" s="1405" t="s">
        <v>305</v>
      </c>
      <c r="AK21" s="1359"/>
      <c r="AL21" s="1360" t="s">
        <v>305</v>
      </c>
      <c r="AM21" s="1361"/>
      <c r="AN21" s="1329"/>
      <c r="AO21" s="1330"/>
      <c r="AP21" s="1359" t="s">
        <v>305</v>
      </c>
      <c r="AQ21" s="1361"/>
      <c r="AR21" s="1359" t="s">
        <v>305</v>
      </c>
      <c r="AS21" s="1357"/>
      <c r="AT21" s="1360" t="s">
        <v>305</v>
      </c>
      <c r="AU21" s="1357"/>
      <c r="AV21" s="1360" t="s">
        <v>305</v>
      </c>
      <c r="AW21" s="1357"/>
      <c r="AX21" s="1360" t="s">
        <v>305</v>
      </c>
      <c r="AY21" s="1359"/>
      <c r="AZ21" s="1329"/>
      <c r="BA21" s="1330"/>
    </row>
    <row r="22" spans="1:53" ht="15.6" x14ac:dyDescent="0.3">
      <c r="A22" s="1444"/>
      <c r="B22" s="1405">
        <f>B20/2</f>
        <v>450</v>
      </c>
      <c r="C22" s="1359"/>
      <c r="D22" s="1358">
        <f>D20/2</f>
        <v>750</v>
      </c>
      <c r="E22" s="1358"/>
      <c r="F22" s="1359">
        <f>F20/2</f>
        <v>1050</v>
      </c>
      <c r="G22" s="1359"/>
      <c r="H22" s="1329"/>
      <c r="I22" s="1388"/>
      <c r="J22" s="1405">
        <v>8000</v>
      </c>
      <c r="K22" s="1361"/>
      <c r="L22" s="1359">
        <f>L20/2</f>
        <v>200</v>
      </c>
      <c r="M22" s="1359"/>
      <c r="N22" s="1358">
        <f>N20/2</f>
        <v>200</v>
      </c>
      <c r="O22" s="1358"/>
      <c r="P22" s="1359">
        <f>P20/2</f>
        <v>2750</v>
      </c>
      <c r="Q22" s="1359"/>
      <c r="R22" s="1329"/>
      <c r="S22" s="1330"/>
      <c r="T22" s="1405">
        <f>T20/2</f>
        <v>2150</v>
      </c>
      <c r="U22" s="1357"/>
      <c r="V22" s="1357">
        <f>V20/2</f>
        <v>2100</v>
      </c>
      <c r="W22" s="1358"/>
      <c r="X22" s="1358">
        <f>X20/2</f>
        <v>3050</v>
      </c>
      <c r="Y22" s="1358"/>
      <c r="Z22" s="1359">
        <f>Z20/2</f>
        <v>950</v>
      </c>
      <c r="AA22" s="1361"/>
      <c r="AB22" s="1329"/>
      <c r="AC22" s="1330"/>
      <c r="AD22" s="1357">
        <f>AD20/2</f>
        <v>1550</v>
      </c>
      <c r="AE22" s="1358"/>
      <c r="AF22" s="1358">
        <f>AF20/2</f>
        <v>100</v>
      </c>
      <c r="AG22" s="1360"/>
      <c r="AH22" s="1329"/>
      <c r="AI22" s="1330"/>
      <c r="AJ22" s="1414">
        <f>AJ20/2</f>
        <v>450</v>
      </c>
      <c r="AK22" s="1360"/>
      <c r="AL22" s="1358">
        <f>AL20/2</f>
        <v>450</v>
      </c>
      <c r="AM22" s="1404"/>
      <c r="AN22" s="1329"/>
      <c r="AO22" s="1330"/>
      <c r="AP22" s="1357">
        <f>AP20/2</f>
        <v>250</v>
      </c>
      <c r="AQ22" s="1404"/>
      <c r="AR22" s="1357">
        <f>AR20/2</f>
        <v>400</v>
      </c>
      <c r="AS22" s="1358"/>
      <c r="AT22" s="1358">
        <f>AT20/2</f>
        <v>600</v>
      </c>
      <c r="AU22" s="1358"/>
      <c r="AV22" s="1358">
        <f>AV20/2</f>
        <v>400</v>
      </c>
      <c r="AW22" s="1358"/>
      <c r="AX22" s="1358">
        <f>AX20/2</f>
        <v>150</v>
      </c>
      <c r="AY22" s="1360"/>
      <c r="AZ22" s="1329"/>
      <c r="BA22" s="1330"/>
    </row>
    <row r="23" spans="1:53" ht="15.6" x14ac:dyDescent="0.3">
      <c r="A23" s="1444"/>
      <c r="B23" s="1408" t="s">
        <v>17</v>
      </c>
      <c r="C23" s="1368"/>
      <c r="D23" s="1367" t="s">
        <v>17</v>
      </c>
      <c r="E23" s="1367"/>
      <c r="F23" s="1367" t="s">
        <v>17</v>
      </c>
      <c r="G23" s="1407"/>
      <c r="H23" s="1329"/>
      <c r="I23" s="1388"/>
      <c r="J23" s="1384" t="s">
        <v>17</v>
      </c>
      <c r="K23" s="1385"/>
      <c r="L23" s="1368" t="s">
        <v>17</v>
      </c>
      <c r="M23" s="1367"/>
      <c r="N23" s="1367" t="s">
        <v>17</v>
      </c>
      <c r="O23" s="1367"/>
      <c r="P23" s="1367" t="s">
        <v>17</v>
      </c>
      <c r="Q23" s="1407"/>
      <c r="R23" s="1329"/>
      <c r="S23" s="1330"/>
      <c r="T23" s="1366" t="s">
        <v>17</v>
      </c>
      <c r="U23" s="1367"/>
      <c r="V23" s="1368" t="s">
        <v>17</v>
      </c>
      <c r="W23" s="1367"/>
      <c r="X23" s="1367" t="s">
        <v>17</v>
      </c>
      <c r="Y23" s="1367"/>
      <c r="Z23" s="1367" t="s">
        <v>17</v>
      </c>
      <c r="AA23" s="1378"/>
      <c r="AB23" s="1329"/>
      <c r="AC23" s="1330"/>
      <c r="AD23" s="1368" t="s">
        <v>17</v>
      </c>
      <c r="AE23" s="1367"/>
      <c r="AF23" s="1367" t="s">
        <v>17</v>
      </c>
      <c r="AG23" s="1407"/>
      <c r="AH23" s="1329"/>
      <c r="AI23" s="1330"/>
      <c r="AJ23" s="1366" t="s">
        <v>17</v>
      </c>
      <c r="AK23" s="1407"/>
      <c r="AL23" s="1367" t="s">
        <v>17</v>
      </c>
      <c r="AM23" s="1378"/>
      <c r="AN23" s="1329"/>
      <c r="AO23" s="1330"/>
      <c r="AP23" s="1368" t="s">
        <v>17</v>
      </c>
      <c r="AQ23" s="1378"/>
      <c r="AR23" s="1368" t="s">
        <v>17</v>
      </c>
      <c r="AS23" s="1367"/>
      <c r="AT23" s="1367" t="s">
        <v>17</v>
      </c>
      <c r="AU23" s="1367"/>
      <c r="AV23" s="1367" t="s">
        <v>17</v>
      </c>
      <c r="AW23" s="1367"/>
      <c r="AX23" s="1367" t="s">
        <v>17</v>
      </c>
      <c r="AY23" s="1407"/>
      <c r="AZ23" s="1329"/>
      <c r="BA23" s="1330"/>
    </row>
    <row r="24" spans="1:53" ht="16.2" thickBot="1" x14ac:dyDescent="0.35">
      <c r="A24" s="1444"/>
      <c r="B24" s="1464">
        <v>2200</v>
      </c>
      <c r="C24" s="1397"/>
      <c r="D24" s="1364">
        <v>3000</v>
      </c>
      <c r="E24" s="1364"/>
      <c r="F24" s="1364">
        <v>3750</v>
      </c>
      <c r="G24" s="1365"/>
      <c r="H24" s="1329"/>
      <c r="I24" s="1388"/>
      <c r="J24" s="1390">
        <v>0</v>
      </c>
      <c r="K24" s="1393"/>
      <c r="L24" s="1397">
        <v>1300</v>
      </c>
      <c r="M24" s="1364"/>
      <c r="N24" s="1364">
        <v>1500</v>
      </c>
      <c r="O24" s="1364"/>
      <c r="P24" s="1364">
        <v>7000</v>
      </c>
      <c r="Q24" s="1365"/>
      <c r="R24" s="1329"/>
      <c r="S24" s="1330"/>
      <c r="T24" s="1406">
        <v>4300</v>
      </c>
      <c r="U24" s="1364"/>
      <c r="V24" s="1391">
        <v>3625</v>
      </c>
      <c r="W24" s="1379"/>
      <c r="X24" s="1364">
        <v>5000</v>
      </c>
      <c r="Y24" s="1364"/>
      <c r="Z24" s="1364">
        <v>620</v>
      </c>
      <c r="AA24" s="1395"/>
      <c r="AB24" s="1329"/>
      <c r="AC24" s="1330"/>
      <c r="AD24" s="1397">
        <v>4900</v>
      </c>
      <c r="AE24" s="1364"/>
      <c r="AF24" s="1364">
        <v>5000</v>
      </c>
      <c r="AG24" s="1365"/>
      <c r="AH24" s="1329"/>
      <c r="AI24" s="1330"/>
      <c r="AJ24" s="1396">
        <v>1250</v>
      </c>
      <c r="AK24" s="1392"/>
      <c r="AL24" s="1379">
        <v>0</v>
      </c>
      <c r="AM24" s="1380"/>
      <c r="AN24" s="1329"/>
      <c r="AO24" s="1330"/>
      <c r="AP24" s="1397">
        <v>0</v>
      </c>
      <c r="AQ24" s="1395"/>
      <c r="AR24" s="1397">
        <v>0</v>
      </c>
      <c r="AS24" s="1364"/>
      <c r="AT24" s="1364">
        <v>1500</v>
      </c>
      <c r="AU24" s="1364"/>
      <c r="AV24" s="1364">
        <v>1525</v>
      </c>
      <c r="AW24" s="1364"/>
      <c r="AX24" s="1364">
        <v>430</v>
      </c>
      <c r="AY24" s="1365"/>
      <c r="AZ24" s="1329"/>
      <c r="BA24" s="1330"/>
    </row>
    <row r="25" spans="1:53" ht="16.2" thickBot="1" x14ac:dyDescent="0.35">
      <c r="A25" s="6" t="s">
        <v>306</v>
      </c>
      <c r="B25" s="1383"/>
      <c r="C25" s="1363"/>
      <c r="D25" s="1363"/>
      <c r="E25" s="1363"/>
      <c r="F25" s="1363"/>
      <c r="G25" s="1381"/>
      <c r="H25" s="1329"/>
      <c r="I25" s="1388"/>
      <c r="J25" s="1462"/>
      <c r="K25" s="1463"/>
      <c r="L25" s="1383"/>
      <c r="M25" s="1363"/>
      <c r="N25" s="1363"/>
      <c r="O25" s="1363"/>
      <c r="P25" s="1363"/>
      <c r="Q25" s="1394"/>
      <c r="R25" s="1329"/>
      <c r="S25" s="1330"/>
      <c r="T25" s="1383"/>
      <c r="U25" s="1363"/>
      <c r="V25" s="1362"/>
      <c r="W25" s="1363"/>
      <c r="X25" s="1363"/>
      <c r="Y25" s="1363"/>
      <c r="Z25" s="1363"/>
      <c r="AA25" s="1381"/>
      <c r="AB25" s="1329"/>
      <c r="AC25" s="1388"/>
      <c r="AD25" s="1383"/>
      <c r="AE25" s="1363"/>
      <c r="AF25" s="1363"/>
      <c r="AG25" s="1394"/>
      <c r="AH25" s="1329"/>
      <c r="AI25" s="1330"/>
      <c r="AJ25" s="1383"/>
      <c r="AK25" s="1363"/>
      <c r="AL25" s="1363"/>
      <c r="AM25" s="1381"/>
      <c r="AN25" s="1329"/>
      <c r="AO25" s="1388"/>
      <c r="AP25" s="1383"/>
      <c r="AQ25" s="1381"/>
      <c r="AR25" s="1362"/>
      <c r="AS25" s="1363"/>
      <c r="AT25" s="1363">
        <v>1000</v>
      </c>
      <c r="AU25" s="1363"/>
      <c r="AV25" s="1467"/>
      <c r="AW25" s="1467"/>
      <c r="AX25" s="1363">
        <v>1000</v>
      </c>
      <c r="AY25" s="1394"/>
      <c r="AZ25" s="1329"/>
      <c r="BA25" s="1330"/>
    </row>
    <row r="26" spans="1:53" ht="16.2" thickBot="1" x14ac:dyDescent="0.35">
      <c r="A26" s="6" t="s">
        <v>303</v>
      </c>
      <c r="B26" s="1350">
        <f>+B20-B24-B25</f>
        <v>-1300</v>
      </c>
      <c r="C26" s="1351"/>
      <c r="D26" s="1351">
        <f>+D20-D24-D25</f>
        <v>-1500</v>
      </c>
      <c r="E26" s="1351"/>
      <c r="F26" s="1351">
        <f>+F20-F24-F25</f>
        <v>-1650</v>
      </c>
      <c r="G26" s="1382"/>
      <c r="H26" s="1331"/>
      <c r="I26" s="1389"/>
      <c r="J26" s="1355">
        <f>+J20-J24-J25</f>
        <v>16000</v>
      </c>
      <c r="K26" s="1354"/>
      <c r="L26" s="1350">
        <f>+L20-L24-L25</f>
        <v>-900</v>
      </c>
      <c r="M26" s="1351"/>
      <c r="N26" s="1351">
        <f>+N20-N24-N25</f>
        <v>-1100</v>
      </c>
      <c r="O26" s="1351"/>
      <c r="P26" s="1351">
        <f>+P20-P24-P25</f>
        <v>-1500</v>
      </c>
      <c r="Q26" s="1352"/>
      <c r="R26" s="1331"/>
      <c r="S26" s="1332"/>
      <c r="T26" s="1350">
        <f>+T20-T24-T25</f>
        <v>0</v>
      </c>
      <c r="U26" s="1351"/>
      <c r="V26" s="1356">
        <f>+V20-V24-V25</f>
        <v>575</v>
      </c>
      <c r="W26" s="1353"/>
      <c r="X26" s="1353">
        <f>+X20-X24-X25</f>
        <v>1100</v>
      </c>
      <c r="Y26" s="1353"/>
      <c r="Z26" s="1353">
        <f>+Z20-Z24-Z25</f>
        <v>1280</v>
      </c>
      <c r="AA26" s="1354"/>
      <c r="AB26" s="1331"/>
      <c r="AC26" s="1389"/>
      <c r="AD26" s="1350">
        <f>+AD20-AD24-AD25</f>
        <v>-1800</v>
      </c>
      <c r="AE26" s="1351"/>
      <c r="AF26" s="1351">
        <f>+AF20-AF24-AF25</f>
        <v>-4800</v>
      </c>
      <c r="AG26" s="1352"/>
      <c r="AH26" s="1331"/>
      <c r="AI26" s="1332"/>
      <c r="AJ26" s="1350">
        <f>+AJ20-AJ24-AJ25</f>
        <v>-350</v>
      </c>
      <c r="AK26" s="1351"/>
      <c r="AL26" s="1353">
        <f>+AL20-AL24-AL25</f>
        <v>900</v>
      </c>
      <c r="AM26" s="1354"/>
      <c r="AN26" s="1331"/>
      <c r="AO26" s="1389"/>
      <c r="AP26" s="1355">
        <f>+AP20-AP24-AP25</f>
        <v>500</v>
      </c>
      <c r="AQ26" s="1354"/>
      <c r="AR26" s="1356">
        <f>+AR20-AR24-AR25</f>
        <v>800</v>
      </c>
      <c r="AS26" s="1353"/>
      <c r="AT26" s="1351">
        <f>+AT20-AT24-AT25</f>
        <v>-1300</v>
      </c>
      <c r="AU26" s="1351"/>
      <c r="AV26" s="1351">
        <f>+AV20-AV24-AV25</f>
        <v>-725</v>
      </c>
      <c r="AW26" s="1351"/>
      <c r="AX26" s="1351">
        <f>+AX20-AX24-AX25</f>
        <v>-1130</v>
      </c>
      <c r="AY26" s="1352"/>
      <c r="AZ26" s="1331"/>
      <c r="BA26" s="1332"/>
    </row>
    <row r="27" spans="1:53" ht="15" thickBo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11"/>
      <c r="AB27" s="213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ht="23.7" customHeight="1" thickBot="1" x14ac:dyDescent="0.35">
      <c r="A28" s="1443">
        <v>4</v>
      </c>
      <c r="B28" s="1461" t="s">
        <v>262</v>
      </c>
      <c r="C28" s="1447"/>
      <c r="D28" s="1432" t="s">
        <v>263</v>
      </c>
      <c r="E28" s="1442"/>
      <c r="F28" s="1327"/>
      <c r="G28" s="1387"/>
      <c r="H28" s="1387"/>
      <c r="I28" s="1387"/>
      <c r="J28" s="1387"/>
      <c r="K28" s="1328"/>
      <c r="L28" s="1415" t="s">
        <v>264</v>
      </c>
      <c r="M28" s="1432"/>
      <c r="N28" s="1432" t="s">
        <v>265</v>
      </c>
      <c r="O28" s="1432"/>
      <c r="P28" s="1432" t="s">
        <v>266</v>
      </c>
      <c r="Q28" s="1432"/>
      <c r="R28" s="1432" t="s">
        <v>267</v>
      </c>
      <c r="S28" s="1399"/>
      <c r="T28" s="1415" t="s">
        <v>268</v>
      </c>
      <c r="U28" s="1442"/>
      <c r="V28" s="1432" t="s">
        <v>269</v>
      </c>
      <c r="W28" s="1432"/>
      <c r="X28" s="1398" t="s">
        <v>270</v>
      </c>
      <c r="Y28" s="1432"/>
      <c r="Z28" s="1432" t="s">
        <v>271</v>
      </c>
      <c r="AA28" s="1399"/>
      <c r="AB28" s="1433" t="s">
        <v>272</v>
      </c>
      <c r="AC28" s="1432"/>
      <c r="AD28" s="1398" t="s">
        <v>273</v>
      </c>
      <c r="AE28" s="1432"/>
      <c r="AF28" s="1398" t="s">
        <v>274</v>
      </c>
      <c r="AG28" s="1442"/>
      <c r="AH28" s="1327"/>
      <c r="AI28" s="1328"/>
      <c r="AJ28" s="1415" t="s">
        <v>275</v>
      </c>
      <c r="AK28" s="1432"/>
      <c r="AL28" s="1432" t="s">
        <v>276</v>
      </c>
      <c r="AM28" s="1432"/>
      <c r="AN28" s="1432" t="s">
        <v>277</v>
      </c>
      <c r="AO28" s="1399"/>
      <c r="AP28" s="1327"/>
      <c r="AQ28" s="1328"/>
      <c r="AR28" s="1415" t="s">
        <v>278</v>
      </c>
      <c r="AS28" s="1432"/>
      <c r="AT28" s="1432" t="s">
        <v>279</v>
      </c>
      <c r="AU28" s="1432"/>
      <c r="AV28" s="1398" t="s">
        <v>280</v>
      </c>
      <c r="AW28" s="1432"/>
      <c r="AX28" s="1398" t="s">
        <v>281</v>
      </c>
      <c r="AY28" s="1432"/>
      <c r="AZ28" s="1398" t="s">
        <v>282</v>
      </c>
      <c r="BA28" s="1399"/>
    </row>
    <row r="29" spans="1:53" s="10" customFormat="1" ht="18.600000000000001" thickBot="1" x14ac:dyDescent="0.4">
      <c r="A29" s="1444"/>
      <c r="B29" s="1338">
        <v>544</v>
      </c>
      <c r="C29" s="1338"/>
      <c r="D29" s="1337">
        <v>546</v>
      </c>
      <c r="E29" s="1338"/>
      <c r="F29" s="1329"/>
      <c r="G29" s="1388"/>
      <c r="H29" s="1388"/>
      <c r="I29" s="1388"/>
      <c r="J29" s="1388"/>
      <c r="K29" s="1330"/>
      <c r="L29" s="1338">
        <v>547</v>
      </c>
      <c r="M29" s="1339"/>
      <c r="N29" s="1337">
        <v>548</v>
      </c>
      <c r="O29" s="1339"/>
      <c r="P29" s="1337">
        <v>559</v>
      </c>
      <c r="Q29" s="1339"/>
      <c r="R29" s="1337">
        <v>560</v>
      </c>
      <c r="S29" s="1339"/>
      <c r="T29" s="1337">
        <v>561</v>
      </c>
      <c r="U29" s="1339"/>
      <c r="V29" s="1338">
        <v>562</v>
      </c>
      <c r="W29" s="1339"/>
      <c r="X29" s="1337">
        <v>563</v>
      </c>
      <c r="Y29" s="1339"/>
      <c r="Z29" s="1337">
        <v>565</v>
      </c>
      <c r="AA29" s="1339"/>
      <c r="AB29" s="1337">
        <v>594</v>
      </c>
      <c r="AC29" s="1339"/>
      <c r="AD29" s="1337">
        <v>595</v>
      </c>
      <c r="AE29" s="1339"/>
      <c r="AF29" s="1337">
        <v>596</v>
      </c>
      <c r="AG29" s="1338"/>
      <c r="AH29" s="1329"/>
      <c r="AI29" s="1330"/>
      <c r="AJ29" s="1458" t="s">
        <v>7</v>
      </c>
      <c r="AK29" s="1459"/>
      <c r="AL29" s="1458" t="s">
        <v>8</v>
      </c>
      <c r="AM29" s="1459"/>
      <c r="AN29" s="1458" t="s">
        <v>9</v>
      </c>
      <c r="AO29" s="1459"/>
      <c r="AP29" s="1329"/>
      <c r="AQ29" s="1330"/>
      <c r="AR29" s="1460" t="s">
        <v>10</v>
      </c>
      <c r="AS29" s="1459"/>
      <c r="AT29" s="1458" t="s">
        <v>11</v>
      </c>
      <c r="AU29" s="1459"/>
      <c r="AV29" s="1337">
        <v>315</v>
      </c>
      <c r="AW29" s="1339"/>
      <c r="AX29" s="1337">
        <v>325</v>
      </c>
      <c r="AY29" s="1339"/>
      <c r="AZ29" s="1337">
        <v>333</v>
      </c>
      <c r="BA29" s="1339"/>
    </row>
    <row r="30" spans="1:53" ht="15.6" x14ac:dyDescent="0.3">
      <c r="A30" s="1444"/>
      <c r="B30" s="1438" t="s">
        <v>1</v>
      </c>
      <c r="C30" s="1402"/>
      <c r="D30" s="1434" t="s">
        <v>1</v>
      </c>
      <c r="E30" s="1435"/>
      <c r="F30" s="1329"/>
      <c r="G30" s="1388"/>
      <c r="H30" s="1388"/>
      <c r="I30" s="1388"/>
      <c r="J30" s="1388"/>
      <c r="K30" s="1330"/>
      <c r="L30" s="1435" t="s">
        <v>1</v>
      </c>
      <c r="M30" s="1402"/>
      <c r="N30" s="1434" t="s">
        <v>1</v>
      </c>
      <c r="O30" s="1402"/>
      <c r="P30" s="1434" t="s">
        <v>1</v>
      </c>
      <c r="Q30" s="1402"/>
      <c r="R30" s="1434" t="s">
        <v>1</v>
      </c>
      <c r="S30" s="1439"/>
      <c r="T30" s="1438" t="s">
        <v>1</v>
      </c>
      <c r="U30" s="1402"/>
      <c r="V30" s="1455" t="s">
        <v>1</v>
      </c>
      <c r="W30" s="1456"/>
      <c r="X30" s="1457" t="s">
        <v>1</v>
      </c>
      <c r="Y30" s="1456"/>
      <c r="Z30" s="1457" t="s">
        <v>1</v>
      </c>
      <c r="AA30" s="1437"/>
      <c r="AB30" s="1438" t="s">
        <v>1</v>
      </c>
      <c r="AC30" s="1402"/>
      <c r="AD30" s="1434" t="s">
        <v>1</v>
      </c>
      <c r="AE30" s="1402"/>
      <c r="AF30" s="1434" t="s">
        <v>1</v>
      </c>
      <c r="AG30" s="1435"/>
      <c r="AH30" s="1329"/>
      <c r="AI30" s="1330"/>
      <c r="AJ30" s="1438" t="s">
        <v>1</v>
      </c>
      <c r="AK30" s="1402"/>
      <c r="AL30" s="1434" t="s">
        <v>1</v>
      </c>
      <c r="AM30" s="1402"/>
      <c r="AN30" s="1434" t="s">
        <v>1</v>
      </c>
      <c r="AO30" s="1439"/>
      <c r="AP30" s="1329"/>
      <c r="AQ30" s="1330"/>
      <c r="AR30" s="1435" t="s">
        <v>1</v>
      </c>
      <c r="AS30" s="1402"/>
      <c r="AT30" s="1434" t="s">
        <v>1</v>
      </c>
      <c r="AU30" s="1402"/>
      <c r="AV30" s="1434" t="s">
        <v>1</v>
      </c>
      <c r="AW30" s="1402"/>
      <c r="AX30" s="1434" t="s">
        <v>1</v>
      </c>
      <c r="AY30" s="1402"/>
      <c r="AZ30" s="1434" t="s">
        <v>13</v>
      </c>
      <c r="BA30" s="1439"/>
    </row>
    <row r="31" spans="1:53" ht="15.6" x14ac:dyDescent="0.3">
      <c r="A31" s="1444"/>
      <c r="B31" s="1405">
        <v>12300</v>
      </c>
      <c r="C31" s="1357"/>
      <c r="D31" s="1360">
        <v>10400</v>
      </c>
      <c r="E31" s="1359"/>
      <c r="F31" s="1329"/>
      <c r="G31" s="1388"/>
      <c r="H31" s="1388"/>
      <c r="I31" s="1388"/>
      <c r="J31" s="1388"/>
      <c r="K31" s="1330"/>
      <c r="L31" s="1359">
        <v>100</v>
      </c>
      <c r="M31" s="1357"/>
      <c r="N31" s="1360">
        <v>600</v>
      </c>
      <c r="O31" s="1357"/>
      <c r="P31" s="1360">
        <v>1100</v>
      </c>
      <c r="Q31" s="1357"/>
      <c r="R31" s="1360">
        <v>1000</v>
      </c>
      <c r="S31" s="1361"/>
      <c r="T31" s="1405">
        <v>700</v>
      </c>
      <c r="U31" s="1357"/>
      <c r="V31" s="1359">
        <v>2900</v>
      </c>
      <c r="W31" s="1357"/>
      <c r="X31" s="1360">
        <v>800</v>
      </c>
      <c r="Y31" s="1357"/>
      <c r="Z31" s="1360">
        <v>1200</v>
      </c>
      <c r="AA31" s="1361"/>
      <c r="AB31" s="1405">
        <v>600</v>
      </c>
      <c r="AC31" s="1357"/>
      <c r="AD31" s="1360">
        <v>1000</v>
      </c>
      <c r="AE31" s="1357"/>
      <c r="AF31" s="1360">
        <v>500</v>
      </c>
      <c r="AG31" s="1359"/>
      <c r="AH31" s="1329"/>
      <c r="AI31" s="1330"/>
      <c r="AJ31" s="1405">
        <v>5900</v>
      </c>
      <c r="AK31" s="1357"/>
      <c r="AL31" s="1360">
        <v>8200</v>
      </c>
      <c r="AM31" s="1357"/>
      <c r="AN31" s="1360">
        <v>12700</v>
      </c>
      <c r="AO31" s="1361"/>
      <c r="AP31" s="1329"/>
      <c r="AQ31" s="1330"/>
      <c r="AR31" s="1359">
        <v>2100</v>
      </c>
      <c r="AS31" s="1357"/>
      <c r="AT31" s="1360">
        <v>5200</v>
      </c>
      <c r="AU31" s="1357"/>
      <c r="AV31" s="1360">
        <v>3000</v>
      </c>
      <c r="AW31" s="1357"/>
      <c r="AX31" s="1360">
        <v>6200</v>
      </c>
      <c r="AY31" s="1357"/>
      <c r="AZ31" s="1360">
        <v>1200</v>
      </c>
      <c r="BA31" s="1361"/>
    </row>
    <row r="32" spans="1:53" ht="15.6" x14ac:dyDescent="0.3">
      <c r="A32" s="1444"/>
      <c r="B32" s="1405" t="s">
        <v>305</v>
      </c>
      <c r="C32" s="1357"/>
      <c r="D32" s="1360" t="s">
        <v>305</v>
      </c>
      <c r="E32" s="1359"/>
      <c r="F32" s="1329"/>
      <c r="G32" s="1388"/>
      <c r="H32" s="1388"/>
      <c r="I32" s="1388"/>
      <c r="J32" s="1388"/>
      <c r="K32" s="1330"/>
      <c r="L32" s="1359" t="s">
        <v>305</v>
      </c>
      <c r="M32" s="1357"/>
      <c r="N32" s="1360" t="s">
        <v>305</v>
      </c>
      <c r="O32" s="1357"/>
      <c r="P32" s="1360" t="s">
        <v>305</v>
      </c>
      <c r="Q32" s="1357"/>
      <c r="R32" s="1360" t="s">
        <v>305</v>
      </c>
      <c r="S32" s="1361"/>
      <c r="T32" s="1405" t="s">
        <v>305</v>
      </c>
      <c r="U32" s="1357"/>
      <c r="V32" s="1359" t="s">
        <v>305</v>
      </c>
      <c r="W32" s="1357"/>
      <c r="X32" s="1360" t="s">
        <v>305</v>
      </c>
      <c r="Y32" s="1357"/>
      <c r="Z32" s="1360" t="s">
        <v>305</v>
      </c>
      <c r="AA32" s="1361"/>
      <c r="AB32" s="1405" t="s">
        <v>305</v>
      </c>
      <c r="AC32" s="1357"/>
      <c r="AD32" s="1360" t="s">
        <v>305</v>
      </c>
      <c r="AE32" s="1357"/>
      <c r="AF32" s="1360" t="s">
        <v>305</v>
      </c>
      <c r="AG32" s="1359"/>
      <c r="AH32" s="1329"/>
      <c r="AI32" s="1330"/>
      <c r="AJ32" s="1405" t="s">
        <v>305</v>
      </c>
      <c r="AK32" s="1357"/>
      <c r="AL32" s="1360" t="s">
        <v>305</v>
      </c>
      <c r="AM32" s="1357"/>
      <c r="AN32" s="1360" t="s">
        <v>305</v>
      </c>
      <c r="AO32" s="1361"/>
      <c r="AP32" s="1329"/>
      <c r="AQ32" s="1330"/>
      <c r="AR32" s="1359" t="s">
        <v>305</v>
      </c>
      <c r="AS32" s="1357"/>
      <c r="AT32" s="1360" t="s">
        <v>305</v>
      </c>
      <c r="AU32" s="1357"/>
      <c r="AV32" s="1360" t="s">
        <v>305</v>
      </c>
      <c r="AW32" s="1357"/>
      <c r="AX32" s="1360" t="s">
        <v>305</v>
      </c>
      <c r="AY32" s="1357"/>
      <c r="AZ32" s="1360" t="s">
        <v>305</v>
      </c>
      <c r="BA32" s="1361"/>
    </row>
    <row r="33" spans="1:53" ht="15.6" x14ac:dyDescent="0.3">
      <c r="A33" s="1444"/>
      <c r="B33" s="1405">
        <f>B31/2</f>
        <v>6150</v>
      </c>
      <c r="C33" s="1357"/>
      <c r="D33" s="1360">
        <f>D31/2</f>
        <v>5200</v>
      </c>
      <c r="E33" s="1359"/>
      <c r="F33" s="1329"/>
      <c r="G33" s="1388"/>
      <c r="H33" s="1388"/>
      <c r="I33" s="1388"/>
      <c r="J33" s="1388"/>
      <c r="K33" s="1330"/>
      <c r="L33" s="1359">
        <f>L31/2</f>
        <v>50</v>
      </c>
      <c r="M33" s="1359"/>
      <c r="N33" s="1358">
        <f>N31/2</f>
        <v>300</v>
      </c>
      <c r="O33" s="1358"/>
      <c r="P33" s="1358">
        <f>P31/2</f>
        <v>550</v>
      </c>
      <c r="Q33" s="1358"/>
      <c r="R33" s="1358">
        <f>R31/2</f>
        <v>500</v>
      </c>
      <c r="S33" s="1404"/>
      <c r="T33" s="1414">
        <f>T31/2</f>
        <v>350</v>
      </c>
      <c r="U33" s="1358"/>
      <c r="V33" s="1357">
        <f>V31/2</f>
        <v>1450</v>
      </c>
      <c r="W33" s="1358"/>
      <c r="X33" s="1358">
        <f>X31/2</f>
        <v>400</v>
      </c>
      <c r="Y33" s="1358"/>
      <c r="Z33" s="1358">
        <f>Z31/2</f>
        <v>600</v>
      </c>
      <c r="AA33" s="1404"/>
      <c r="AB33" s="1414">
        <f>AB31/2</f>
        <v>300</v>
      </c>
      <c r="AC33" s="1358"/>
      <c r="AD33" s="1358">
        <f>AD31/2</f>
        <v>500</v>
      </c>
      <c r="AE33" s="1358"/>
      <c r="AF33" s="1358">
        <f>AF31/2</f>
        <v>250</v>
      </c>
      <c r="AG33" s="1360"/>
      <c r="AH33" s="1329"/>
      <c r="AI33" s="1330"/>
      <c r="AJ33" s="1414">
        <f>AJ31/2</f>
        <v>2950</v>
      </c>
      <c r="AK33" s="1358"/>
      <c r="AL33" s="1358">
        <f>AL31/2</f>
        <v>4100</v>
      </c>
      <c r="AM33" s="1358"/>
      <c r="AN33" s="1359">
        <f>AN31/2</f>
        <v>6350</v>
      </c>
      <c r="AO33" s="1361"/>
      <c r="AP33" s="1329"/>
      <c r="AQ33" s="1330"/>
      <c r="AR33" s="1453">
        <f>AR31/2</f>
        <v>1050</v>
      </c>
      <c r="AS33" s="1453"/>
      <c r="AT33" s="1452">
        <f>AT31/2</f>
        <v>2600</v>
      </c>
      <c r="AU33" s="1452"/>
      <c r="AV33" s="1452">
        <f>AV31/2</f>
        <v>1500</v>
      </c>
      <c r="AW33" s="1452"/>
      <c r="AX33" s="1452">
        <f>AX31/2</f>
        <v>3100</v>
      </c>
      <c r="AY33" s="1452"/>
      <c r="AZ33" s="1453">
        <f>AZ31/2</f>
        <v>600</v>
      </c>
      <c r="BA33" s="1454"/>
    </row>
    <row r="34" spans="1:53" ht="15.6" x14ac:dyDescent="0.3">
      <c r="A34" s="1444"/>
      <c r="B34" s="1384" t="s">
        <v>17</v>
      </c>
      <c r="C34" s="1368"/>
      <c r="D34" s="1367" t="s">
        <v>17</v>
      </c>
      <c r="E34" s="1407"/>
      <c r="F34" s="1329"/>
      <c r="G34" s="1388"/>
      <c r="H34" s="1388"/>
      <c r="I34" s="1388"/>
      <c r="J34" s="1388"/>
      <c r="K34" s="1330"/>
      <c r="L34" s="1368" t="s">
        <v>17</v>
      </c>
      <c r="M34" s="1367"/>
      <c r="N34" s="1367" t="s">
        <v>17</v>
      </c>
      <c r="O34" s="1367"/>
      <c r="P34" s="1367" t="s">
        <v>17</v>
      </c>
      <c r="Q34" s="1367"/>
      <c r="R34" s="1367" t="s">
        <v>17</v>
      </c>
      <c r="S34" s="1378"/>
      <c r="T34" s="1366" t="s">
        <v>17</v>
      </c>
      <c r="U34" s="1367"/>
      <c r="V34" s="1368" t="s">
        <v>17</v>
      </c>
      <c r="W34" s="1367"/>
      <c r="X34" s="1367" t="s">
        <v>17</v>
      </c>
      <c r="Y34" s="1367"/>
      <c r="Z34" s="1367" t="s">
        <v>17</v>
      </c>
      <c r="AA34" s="1378"/>
      <c r="AB34" s="1366" t="s">
        <v>17</v>
      </c>
      <c r="AC34" s="1367"/>
      <c r="AD34" s="1367" t="s">
        <v>17</v>
      </c>
      <c r="AE34" s="1367"/>
      <c r="AF34" s="1367" t="s">
        <v>17</v>
      </c>
      <c r="AG34" s="1407"/>
      <c r="AH34" s="1329"/>
      <c r="AI34" s="1330"/>
      <c r="AJ34" s="1366" t="s">
        <v>17</v>
      </c>
      <c r="AK34" s="1367"/>
      <c r="AL34" s="1367" t="s">
        <v>17</v>
      </c>
      <c r="AM34" s="1367"/>
      <c r="AN34" s="1367" t="s">
        <v>17</v>
      </c>
      <c r="AO34" s="1378"/>
      <c r="AP34" s="1329"/>
      <c r="AQ34" s="1330"/>
      <c r="AR34" s="1368" t="s">
        <v>17</v>
      </c>
      <c r="AS34" s="1367"/>
      <c r="AT34" s="1367" t="s">
        <v>17</v>
      </c>
      <c r="AU34" s="1367"/>
      <c r="AV34" s="1367" t="s">
        <v>17</v>
      </c>
      <c r="AW34" s="1367"/>
      <c r="AX34" s="1367" t="s">
        <v>17</v>
      </c>
      <c r="AY34" s="1367"/>
      <c r="AZ34" s="1367" t="s">
        <v>17</v>
      </c>
      <c r="BA34" s="1378"/>
    </row>
    <row r="35" spans="1:53" ht="16.2" thickBot="1" x14ac:dyDescent="0.35">
      <c r="A35" s="1445"/>
      <c r="B35" s="1390">
        <v>11250</v>
      </c>
      <c r="C35" s="1391"/>
      <c r="D35" s="1379">
        <v>7600</v>
      </c>
      <c r="E35" s="1392"/>
      <c r="F35" s="1329"/>
      <c r="G35" s="1388"/>
      <c r="H35" s="1388"/>
      <c r="I35" s="1388"/>
      <c r="J35" s="1388"/>
      <c r="K35" s="1330"/>
      <c r="L35" s="1397">
        <v>5000</v>
      </c>
      <c r="M35" s="1364"/>
      <c r="N35" s="1364">
        <v>1500</v>
      </c>
      <c r="O35" s="1364"/>
      <c r="P35" s="1364">
        <v>1750</v>
      </c>
      <c r="Q35" s="1364"/>
      <c r="R35" s="1364">
        <v>250</v>
      </c>
      <c r="S35" s="1395"/>
      <c r="T35" s="1396">
        <v>250</v>
      </c>
      <c r="U35" s="1379"/>
      <c r="V35" s="1397">
        <v>3320</v>
      </c>
      <c r="W35" s="1364"/>
      <c r="X35" s="1364">
        <v>3000</v>
      </c>
      <c r="Y35" s="1364"/>
      <c r="Z35" s="1364">
        <v>1700</v>
      </c>
      <c r="AA35" s="1395"/>
      <c r="AB35" s="1406">
        <v>0</v>
      </c>
      <c r="AC35" s="1364"/>
      <c r="AD35" s="1364">
        <v>1000</v>
      </c>
      <c r="AE35" s="1364"/>
      <c r="AF35" s="1364">
        <v>480</v>
      </c>
      <c r="AG35" s="1365"/>
      <c r="AH35" s="1329"/>
      <c r="AI35" s="1330"/>
      <c r="AJ35" s="1406">
        <v>8000</v>
      </c>
      <c r="AK35" s="1364"/>
      <c r="AL35" s="1364">
        <v>28000</v>
      </c>
      <c r="AM35" s="1364"/>
      <c r="AN35" s="1364">
        <v>40000</v>
      </c>
      <c r="AO35" s="1395"/>
      <c r="AP35" s="1329"/>
      <c r="AQ35" s="1330"/>
      <c r="AR35" s="1397">
        <v>6750</v>
      </c>
      <c r="AS35" s="1364"/>
      <c r="AT35" s="1364">
        <v>11750</v>
      </c>
      <c r="AU35" s="1364"/>
      <c r="AV35" s="1364">
        <v>5000</v>
      </c>
      <c r="AW35" s="1364"/>
      <c r="AX35" s="1364">
        <v>15000</v>
      </c>
      <c r="AY35" s="1364"/>
      <c r="AZ35" s="1364">
        <v>3000</v>
      </c>
      <c r="BA35" s="1395"/>
    </row>
    <row r="36" spans="1:53" ht="16.2" thickBot="1" x14ac:dyDescent="0.35">
      <c r="A36" s="6" t="s">
        <v>306</v>
      </c>
      <c r="B36" s="1383"/>
      <c r="C36" s="1363"/>
      <c r="D36" s="1363"/>
      <c r="E36" s="1394"/>
      <c r="F36" s="1329"/>
      <c r="G36" s="1388"/>
      <c r="H36" s="1388"/>
      <c r="I36" s="1388"/>
      <c r="J36" s="1388"/>
      <c r="K36" s="1330"/>
      <c r="L36" s="1383"/>
      <c r="M36" s="1363"/>
      <c r="N36" s="1363"/>
      <c r="O36" s="1363"/>
      <c r="P36" s="1363">
        <v>1000</v>
      </c>
      <c r="Q36" s="1363"/>
      <c r="R36" s="1363">
        <v>1000</v>
      </c>
      <c r="S36" s="1381"/>
      <c r="T36" s="1383">
        <v>1000</v>
      </c>
      <c r="U36" s="1363"/>
      <c r="V36" s="1362">
        <v>2000</v>
      </c>
      <c r="W36" s="1363"/>
      <c r="X36" s="1363"/>
      <c r="Y36" s="1363"/>
      <c r="Z36" s="1363"/>
      <c r="AA36" s="1381"/>
      <c r="AB36" s="1383"/>
      <c r="AC36" s="1363"/>
      <c r="AD36" s="1363"/>
      <c r="AE36" s="1363"/>
      <c r="AF36" s="1363"/>
      <c r="AG36" s="1394"/>
      <c r="AH36" s="1329"/>
      <c r="AI36" s="1330"/>
      <c r="AJ36" s="1383"/>
      <c r="AK36" s="1363"/>
      <c r="AL36" s="1363"/>
      <c r="AM36" s="1363"/>
      <c r="AN36" s="1363"/>
      <c r="AO36" s="1381"/>
      <c r="AP36" s="1329"/>
      <c r="AQ36" s="1330"/>
      <c r="AR36" s="1383"/>
      <c r="AS36" s="1363"/>
      <c r="AT36" s="1363"/>
      <c r="AU36" s="1363"/>
      <c r="AV36" s="1363"/>
      <c r="AW36" s="1363"/>
      <c r="AX36" s="1363"/>
      <c r="AY36" s="1363"/>
      <c r="AZ36" s="1363"/>
      <c r="BA36" s="1381"/>
    </row>
    <row r="37" spans="1:53" ht="16.2" thickBot="1" x14ac:dyDescent="0.35">
      <c r="A37" s="6" t="s">
        <v>303</v>
      </c>
      <c r="B37" s="1355">
        <f>+B31-B35-B36</f>
        <v>1050</v>
      </c>
      <c r="C37" s="1353"/>
      <c r="D37" s="1353">
        <f>+D31-D35-D36</f>
        <v>2800</v>
      </c>
      <c r="E37" s="1386"/>
      <c r="F37" s="1331"/>
      <c r="G37" s="1389"/>
      <c r="H37" s="1389"/>
      <c r="I37" s="1389"/>
      <c r="J37" s="1389"/>
      <c r="K37" s="1332"/>
      <c r="L37" s="1350">
        <f>+L31-L35-L36</f>
        <v>-4900</v>
      </c>
      <c r="M37" s="1351"/>
      <c r="N37" s="1351">
        <f>+N31-N35-N36</f>
        <v>-900</v>
      </c>
      <c r="O37" s="1351"/>
      <c r="P37" s="1351">
        <f>+P31-P35-P36</f>
        <v>-1650</v>
      </c>
      <c r="Q37" s="1351"/>
      <c r="R37" s="1351">
        <f>+R31-R35-R36</f>
        <v>-250</v>
      </c>
      <c r="S37" s="1382"/>
      <c r="T37" s="1487">
        <f>+T31-T35-T36</f>
        <v>-550</v>
      </c>
      <c r="U37" s="1487"/>
      <c r="V37" s="1487">
        <f>+V31-V35-V36</f>
        <v>-2420</v>
      </c>
      <c r="W37" s="1487"/>
      <c r="X37" s="1351">
        <f>+X31-X35-X36</f>
        <v>-2200</v>
      </c>
      <c r="Y37" s="1351"/>
      <c r="Z37" s="1351">
        <f>+Z31-Z35-Z36</f>
        <v>-500</v>
      </c>
      <c r="AA37" s="1382"/>
      <c r="AB37" s="1355">
        <f>+AB31-AB35-AB36</f>
        <v>600</v>
      </c>
      <c r="AC37" s="1353"/>
      <c r="AD37" s="1351">
        <f>+AD31-AD35-AD36</f>
        <v>0</v>
      </c>
      <c r="AE37" s="1351"/>
      <c r="AF37" s="1353">
        <f>+AF31-AF35-AF36</f>
        <v>20</v>
      </c>
      <c r="AG37" s="1386"/>
      <c r="AH37" s="1331"/>
      <c r="AI37" s="1332"/>
      <c r="AJ37" s="1350">
        <f>+AJ31-AJ35-AJ36</f>
        <v>-2100</v>
      </c>
      <c r="AK37" s="1351"/>
      <c r="AL37" s="1351">
        <f>+AL31-AL35-AL36</f>
        <v>-19800</v>
      </c>
      <c r="AM37" s="1351"/>
      <c r="AN37" s="1351">
        <f>+AN31-AN35-AN36</f>
        <v>-27300</v>
      </c>
      <c r="AO37" s="1382"/>
      <c r="AP37" s="1331"/>
      <c r="AQ37" s="1332"/>
      <c r="AR37" s="1350">
        <f>+AR31-AR35-AR36</f>
        <v>-4650</v>
      </c>
      <c r="AS37" s="1351"/>
      <c r="AT37" s="1351">
        <f>+AT31-AT35-AT36</f>
        <v>-6550</v>
      </c>
      <c r="AU37" s="1351"/>
      <c r="AV37" s="1351">
        <f>+AV31-AV35-AV36</f>
        <v>-2000</v>
      </c>
      <c r="AW37" s="1351"/>
      <c r="AX37" s="1351">
        <f>+AX31-AX35-AX36</f>
        <v>-8800</v>
      </c>
      <c r="AY37" s="1351"/>
      <c r="AZ37" s="1351">
        <f>+AZ31-AZ35-AZ36</f>
        <v>-1800</v>
      </c>
      <c r="BA37" s="1382"/>
    </row>
    <row r="38" spans="1:53" ht="16.5" customHeight="1" thickBot="1" x14ac:dyDescent="0.35">
      <c r="A38" s="2"/>
      <c r="B38" s="1419"/>
      <c r="C38" s="1419"/>
      <c r="D38" s="1418"/>
      <c r="E38" s="1418"/>
      <c r="F38" s="3"/>
      <c r="G38" s="3"/>
      <c r="H38" s="3"/>
      <c r="I38" s="3"/>
      <c r="J38" s="3"/>
      <c r="K38" s="3"/>
      <c r="L38" s="1418"/>
      <c r="M38" s="1418"/>
      <c r="N38" s="1418"/>
      <c r="O38" s="1418"/>
      <c r="P38" s="1418"/>
      <c r="Q38" s="1418"/>
      <c r="R38" s="1418"/>
      <c r="S38" s="1418"/>
      <c r="T38" s="1418"/>
      <c r="U38" s="1418"/>
      <c r="V38" s="1419"/>
      <c r="W38" s="1419"/>
      <c r="X38" s="1418"/>
      <c r="Y38" s="1418"/>
      <c r="Z38" s="1418"/>
      <c r="AA38" s="1420"/>
      <c r="AB38" s="1421"/>
      <c r="AC38" s="1418"/>
      <c r="AD38" s="1418"/>
      <c r="AE38" s="1418"/>
      <c r="AF38" s="1418"/>
      <c r="AG38" s="1418"/>
      <c r="AH38" s="4"/>
      <c r="AI38" s="4"/>
      <c r="AJ38" s="1418"/>
      <c r="AK38" s="1418"/>
      <c r="AL38" s="1418"/>
      <c r="AM38" s="1418"/>
      <c r="AN38" s="1418"/>
      <c r="AO38" s="1418"/>
      <c r="AP38" s="4"/>
      <c r="AQ38" s="4"/>
      <c r="AR38" s="1418"/>
      <c r="AS38" s="1418"/>
      <c r="AT38" s="1418"/>
      <c r="AU38" s="1418"/>
      <c r="AV38" s="1418"/>
      <c r="AW38" s="1418"/>
      <c r="AX38" s="1418"/>
      <c r="AY38" s="1418"/>
      <c r="AZ38" s="1418"/>
      <c r="BA38" s="1418"/>
    </row>
    <row r="39" spans="1:53" ht="23.7" customHeight="1" thickBot="1" x14ac:dyDescent="0.35">
      <c r="A39" s="1443">
        <v>5</v>
      </c>
      <c r="B39" s="1446" t="s">
        <v>283</v>
      </c>
      <c r="C39" s="1447"/>
      <c r="D39" s="1398" t="s">
        <v>284</v>
      </c>
      <c r="E39" s="1432"/>
      <c r="F39" s="1432" t="s">
        <v>285</v>
      </c>
      <c r="G39" s="1432"/>
      <c r="H39" s="1432"/>
      <c r="I39" s="1432"/>
      <c r="J39" s="1398" t="s">
        <v>286</v>
      </c>
      <c r="K39" s="1442"/>
      <c r="L39" s="1433" t="s">
        <v>287</v>
      </c>
      <c r="M39" s="1432"/>
      <c r="N39" s="1398" t="s">
        <v>288</v>
      </c>
      <c r="O39" s="1432"/>
      <c r="P39" s="1398" t="s">
        <v>289</v>
      </c>
      <c r="Q39" s="1432"/>
      <c r="R39" s="1398" t="s">
        <v>290</v>
      </c>
      <c r="S39" s="1442"/>
      <c r="T39" s="1433" t="s">
        <v>291</v>
      </c>
      <c r="U39" s="1442"/>
      <c r="V39" s="1450" t="s">
        <v>293</v>
      </c>
      <c r="W39" s="1451"/>
      <c r="X39" s="1398" t="s">
        <v>292</v>
      </c>
      <c r="Y39" s="1399"/>
      <c r="Z39" s="1327"/>
      <c r="AA39" s="1328"/>
      <c r="AB39" s="1433" t="s">
        <v>294</v>
      </c>
      <c r="AC39" s="1432"/>
      <c r="AD39" s="1398" t="s">
        <v>295</v>
      </c>
      <c r="AE39" s="1442"/>
      <c r="AF39" s="1398" t="s">
        <v>315</v>
      </c>
      <c r="AG39" s="1442"/>
      <c r="AH39" s="1398" t="s">
        <v>314</v>
      </c>
      <c r="AI39" s="1399"/>
      <c r="AJ39" s="1433" t="s">
        <v>296</v>
      </c>
      <c r="AK39" s="1399"/>
      <c r="AL39" s="1327"/>
      <c r="AM39" s="1387"/>
      <c r="AN39" s="1387"/>
      <c r="AO39" s="1387"/>
      <c r="AP39" s="1387"/>
      <c r="AQ39" s="1328"/>
      <c r="AR39" s="1415"/>
      <c r="AS39" s="1399"/>
      <c r="AT39" s="1415"/>
      <c r="AU39" s="1399"/>
      <c r="AV39" s="1431"/>
      <c r="AW39" s="1432"/>
      <c r="AX39" s="1432"/>
      <c r="AY39" s="1432"/>
      <c r="AZ39" s="1432"/>
      <c r="BA39" s="1399"/>
    </row>
    <row r="40" spans="1:53" s="10" customFormat="1" ht="18.600000000000001" thickBot="1" x14ac:dyDescent="0.4">
      <c r="A40" s="1444"/>
      <c r="B40" s="1440" t="s">
        <v>12</v>
      </c>
      <c r="C40" s="1441"/>
      <c r="D40" s="1225">
        <v>229</v>
      </c>
      <c r="E40" s="1226"/>
      <c r="F40" s="1225">
        <v>477</v>
      </c>
      <c r="G40" s="1226"/>
      <c r="H40" s="1225">
        <v>498</v>
      </c>
      <c r="I40" s="1226"/>
      <c r="J40" s="1225">
        <v>499</v>
      </c>
      <c r="K40" s="1226"/>
      <c r="L40" s="1225">
        <v>320</v>
      </c>
      <c r="M40" s="1226"/>
      <c r="N40" s="1225">
        <v>321</v>
      </c>
      <c r="O40" s="1226"/>
      <c r="P40" s="1225">
        <v>395</v>
      </c>
      <c r="Q40" s="1226"/>
      <c r="R40" s="1225">
        <v>396</v>
      </c>
      <c r="S40" s="1226"/>
      <c r="T40" s="1337">
        <v>575</v>
      </c>
      <c r="U40" s="1339"/>
      <c r="V40" s="1338">
        <v>577</v>
      </c>
      <c r="W40" s="1339"/>
      <c r="X40" s="1337">
        <v>579</v>
      </c>
      <c r="Y40" s="1338"/>
      <c r="Z40" s="1329"/>
      <c r="AA40" s="1330"/>
      <c r="AB40" s="1337">
        <v>570</v>
      </c>
      <c r="AC40" s="1339"/>
      <c r="AD40" s="1337">
        <v>578</v>
      </c>
      <c r="AE40" s="1338"/>
      <c r="AF40" s="1448" t="s">
        <v>312</v>
      </c>
      <c r="AG40" s="1449"/>
      <c r="AH40" s="1400" t="s">
        <v>313</v>
      </c>
      <c r="AI40" s="1401"/>
      <c r="AJ40" s="1337">
        <v>500</v>
      </c>
      <c r="AK40" s="1339"/>
      <c r="AL40" s="1329"/>
      <c r="AM40" s="1388"/>
      <c r="AN40" s="1388"/>
      <c r="AO40" s="1388"/>
      <c r="AP40" s="1388"/>
      <c r="AQ40" s="1330"/>
      <c r="AR40" s="1338" t="s">
        <v>15</v>
      </c>
      <c r="AS40" s="1339"/>
      <c r="AT40" s="1337" t="s">
        <v>14</v>
      </c>
      <c r="AU40" s="1338"/>
      <c r="AV40" s="1422"/>
      <c r="AW40" s="1423"/>
      <c r="AX40" s="1423"/>
      <c r="AY40" s="1423"/>
      <c r="AZ40" s="1423"/>
      <c r="BA40" s="1424"/>
    </row>
    <row r="41" spans="1:53" ht="15.6" x14ac:dyDescent="0.3">
      <c r="A41" s="1444"/>
      <c r="B41" s="1416" t="s">
        <v>1</v>
      </c>
      <c r="C41" s="1417"/>
      <c r="D41" s="1417" t="s">
        <v>1</v>
      </c>
      <c r="E41" s="1417"/>
      <c r="F41" s="1417" t="s">
        <v>1</v>
      </c>
      <c r="G41" s="1417"/>
      <c r="H41" s="1417" t="s">
        <v>1</v>
      </c>
      <c r="I41" s="1417"/>
      <c r="J41" s="1417" t="s">
        <v>1</v>
      </c>
      <c r="K41" s="1403"/>
      <c r="L41" s="1416" t="s">
        <v>1</v>
      </c>
      <c r="M41" s="1417"/>
      <c r="N41" s="1417" t="s">
        <v>1</v>
      </c>
      <c r="O41" s="1417"/>
      <c r="P41" s="1417" t="s">
        <v>1</v>
      </c>
      <c r="Q41" s="1417"/>
      <c r="R41" s="1417" t="s">
        <v>1</v>
      </c>
      <c r="S41" s="1403"/>
      <c r="T41" s="1438" t="s">
        <v>1</v>
      </c>
      <c r="U41" s="1402"/>
      <c r="V41" s="1435" t="s">
        <v>1</v>
      </c>
      <c r="W41" s="1402"/>
      <c r="X41" s="1434" t="s">
        <v>1</v>
      </c>
      <c r="Y41" s="1435"/>
      <c r="Z41" s="1329"/>
      <c r="AA41" s="1330"/>
      <c r="AB41" s="1438" t="s">
        <v>1</v>
      </c>
      <c r="AC41" s="1402"/>
      <c r="AD41" s="1434" t="s">
        <v>1</v>
      </c>
      <c r="AE41" s="1435"/>
      <c r="AF41" s="1417" t="s">
        <v>1</v>
      </c>
      <c r="AG41" s="1417"/>
      <c r="AH41" s="1402" t="s">
        <v>1</v>
      </c>
      <c r="AI41" s="1403"/>
      <c r="AJ41" s="1436" t="s">
        <v>1</v>
      </c>
      <c r="AK41" s="1437"/>
      <c r="AL41" s="1329"/>
      <c r="AM41" s="1388"/>
      <c r="AN41" s="1388"/>
      <c r="AO41" s="1388"/>
      <c r="AP41" s="1388"/>
      <c r="AQ41" s="1330"/>
      <c r="AR41" s="1438" t="s">
        <v>1</v>
      </c>
      <c r="AS41" s="1402"/>
      <c r="AT41" s="1434" t="s">
        <v>1</v>
      </c>
      <c r="AU41" s="1439"/>
      <c r="AV41" s="1425"/>
      <c r="AW41" s="1426"/>
      <c r="AX41" s="1426"/>
      <c r="AY41" s="1426"/>
      <c r="AZ41" s="1426"/>
      <c r="BA41" s="1427"/>
    </row>
    <row r="42" spans="1:53" ht="15.6" x14ac:dyDescent="0.3">
      <c r="A42" s="1444"/>
      <c r="B42" s="1414">
        <v>1100</v>
      </c>
      <c r="C42" s="1358"/>
      <c r="D42" s="1358">
        <v>1000</v>
      </c>
      <c r="E42" s="1358"/>
      <c r="F42" s="1358">
        <v>100</v>
      </c>
      <c r="G42" s="1358"/>
      <c r="H42" s="1358"/>
      <c r="I42" s="1358"/>
      <c r="J42" s="1358">
        <v>2300</v>
      </c>
      <c r="K42" s="1404"/>
      <c r="L42" s="1414">
        <v>1400</v>
      </c>
      <c r="M42" s="1358"/>
      <c r="N42" s="1358">
        <v>10800</v>
      </c>
      <c r="O42" s="1358"/>
      <c r="P42" s="1358">
        <v>1100</v>
      </c>
      <c r="Q42" s="1358"/>
      <c r="R42" s="1358">
        <v>100</v>
      </c>
      <c r="S42" s="1404"/>
      <c r="T42" s="1405">
        <v>1600</v>
      </c>
      <c r="U42" s="1357"/>
      <c r="V42" s="1359">
        <v>1000</v>
      </c>
      <c r="W42" s="1357"/>
      <c r="X42" s="1360">
        <v>2300</v>
      </c>
      <c r="Y42" s="1359"/>
      <c r="Z42" s="1329"/>
      <c r="AA42" s="1330"/>
      <c r="AB42" s="1405">
        <v>800</v>
      </c>
      <c r="AC42" s="1357"/>
      <c r="AD42" s="1360">
        <v>800</v>
      </c>
      <c r="AE42" s="1359"/>
      <c r="AF42" s="1358">
        <v>300</v>
      </c>
      <c r="AG42" s="1358"/>
      <c r="AH42" s="1357">
        <v>500</v>
      </c>
      <c r="AI42" s="1404"/>
      <c r="AJ42" s="1405">
        <v>1100</v>
      </c>
      <c r="AK42" s="1361"/>
      <c r="AL42" s="1329"/>
      <c r="AM42" s="1388"/>
      <c r="AN42" s="1388"/>
      <c r="AO42" s="1388"/>
      <c r="AP42" s="1388"/>
      <c r="AQ42" s="1330"/>
      <c r="AR42" s="1405">
        <v>25400</v>
      </c>
      <c r="AS42" s="1357"/>
      <c r="AT42" s="1360">
        <v>9300</v>
      </c>
      <c r="AU42" s="1361"/>
      <c r="AV42" s="1425"/>
      <c r="AW42" s="1426"/>
      <c r="AX42" s="1426"/>
      <c r="AY42" s="1426"/>
      <c r="AZ42" s="1426"/>
      <c r="BA42" s="1427"/>
    </row>
    <row r="43" spans="1:53" ht="15.6" x14ac:dyDescent="0.3">
      <c r="A43" s="1444"/>
      <c r="B43" s="1405" t="s">
        <v>305</v>
      </c>
      <c r="C43" s="1357"/>
      <c r="D43" s="1360" t="s">
        <v>305</v>
      </c>
      <c r="E43" s="1357"/>
      <c r="F43" s="1360" t="s">
        <v>305</v>
      </c>
      <c r="G43" s="1357"/>
      <c r="H43" s="1360" t="s">
        <v>305</v>
      </c>
      <c r="I43" s="1357"/>
      <c r="J43" s="1360" t="s">
        <v>305</v>
      </c>
      <c r="K43" s="1361"/>
      <c r="L43" s="1405" t="s">
        <v>305</v>
      </c>
      <c r="M43" s="1357"/>
      <c r="N43" s="1360" t="s">
        <v>305</v>
      </c>
      <c r="O43" s="1357"/>
      <c r="P43" s="1360" t="s">
        <v>305</v>
      </c>
      <c r="Q43" s="1357"/>
      <c r="R43" s="1360" t="s">
        <v>305</v>
      </c>
      <c r="S43" s="1361"/>
      <c r="T43" s="1405" t="s">
        <v>305</v>
      </c>
      <c r="U43" s="1357"/>
      <c r="V43" s="1359" t="s">
        <v>305</v>
      </c>
      <c r="W43" s="1357"/>
      <c r="X43" s="1360" t="s">
        <v>305</v>
      </c>
      <c r="Y43" s="1359"/>
      <c r="Z43" s="1329"/>
      <c r="AA43" s="1330"/>
      <c r="AB43" s="1405" t="s">
        <v>305</v>
      </c>
      <c r="AC43" s="1357"/>
      <c r="AD43" s="1360" t="s">
        <v>305</v>
      </c>
      <c r="AE43" s="1359"/>
      <c r="AF43" s="1358" t="s">
        <v>305</v>
      </c>
      <c r="AG43" s="1358"/>
      <c r="AH43" s="1357" t="s">
        <v>305</v>
      </c>
      <c r="AI43" s="1404"/>
      <c r="AJ43" s="1405" t="s">
        <v>305</v>
      </c>
      <c r="AK43" s="1361"/>
      <c r="AL43" s="1329"/>
      <c r="AM43" s="1388"/>
      <c r="AN43" s="1388"/>
      <c r="AO43" s="1388"/>
      <c r="AP43" s="1388"/>
      <c r="AQ43" s="1330"/>
      <c r="AR43" s="1405" t="s">
        <v>305</v>
      </c>
      <c r="AS43" s="1357"/>
      <c r="AT43" s="1360" t="s">
        <v>305</v>
      </c>
      <c r="AU43" s="1361"/>
      <c r="AV43" s="1425"/>
      <c r="AW43" s="1426"/>
      <c r="AX43" s="1426"/>
      <c r="AY43" s="1426"/>
      <c r="AZ43" s="1426"/>
      <c r="BA43" s="1427"/>
    </row>
    <row r="44" spans="1:53" ht="15.6" x14ac:dyDescent="0.3">
      <c r="A44" s="1444"/>
      <c r="B44" s="1405">
        <f>B42/2</f>
        <v>550</v>
      </c>
      <c r="C44" s="1359"/>
      <c r="D44" s="1358">
        <f>D42/2</f>
        <v>500</v>
      </c>
      <c r="E44" s="1358"/>
      <c r="F44" s="1358">
        <f>F42/2</f>
        <v>50</v>
      </c>
      <c r="G44" s="1358"/>
      <c r="H44" s="1358">
        <f>H42/2</f>
        <v>0</v>
      </c>
      <c r="I44" s="1358"/>
      <c r="J44" s="1358">
        <f>J42/2</f>
        <v>1150</v>
      </c>
      <c r="K44" s="1404"/>
      <c r="L44" s="1414">
        <f>L42/2</f>
        <v>700</v>
      </c>
      <c r="M44" s="1358"/>
      <c r="N44" s="1358">
        <f>N42/2</f>
        <v>5400</v>
      </c>
      <c r="O44" s="1358"/>
      <c r="P44" s="1358">
        <f>P42/2</f>
        <v>550</v>
      </c>
      <c r="Q44" s="1358"/>
      <c r="R44" s="1358">
        <f>R42/2</f>
        <v>50</v>
      </c>
      <c r="S44" s="1404"/>
      <c r="T44" s="1414">
        <f>T42/2</f>
        <v>800</v>
      </c>
      <c r="U44" s="1358"/>
      <c r="V44" s="1357">
        <f>V42/2</f>
        <v>500</v>
      </c>
      <c r="W44" s="1358"/>
      <c r="X44" s="1359">
        <f>X42/2</f>
        <v>1150</v>
      </c>
      <c r="Y44" s="1359"/>
      <c r="Z44" s="1329"/>
      <c r="AA44" s="1330"/>
      <c r="AB44" s="1405">
        <f>AB42/2</f>
        <v>400</v>
      </c>
      <c r="AC44" s="1359"/>
      <c r="AD44" s="1358">
        <f>AD42/2</f>
        <v>400</v>
      </c>
      <c r="AE44" s="1360"/>
      <c r="AF44" s="1358">
        <v>152</v>
      </c>
      <c r="AG44" s="1358"/>
      <c r="AH44" s="1357">
        <v>220</v>
      </c>
      <c r="AI44" s="1404"/>
      <c r="AJ44" s="1405">
        <f>AJ42/2</f>
        <v>550</v>
      </c>
      <c r="AK44" s="1361"/>
      <c r="AL44" s="1329"/>
      <c r="AM44" s="1388"/>
      <c r="AN44" s="1388"/>
      <c r="AO44" s="1388"/>
      <c r="AP44" s="1388"/>
      <c r="AQ44" s="1330"/>
      <c r="AR44" s="1412">
        <f>AR42/2</f>
        <v>12700</v>
      </c>
      <c r="AS44" s="1413"/>
      <c r="AT44" s="1360">
        <f>AT42/2</f>
        <v>4650</v>
      </c>
      <c r="AU44" s="1361"/>
      <c r="AV44" s="1425"/>
      <c r="AW44" s="1426"/>
      <c r="AX44" s="1426"/>
      <c r="AY44" s="1426"/>
      <c r="AZ44" s="1426"/>
      <c r="BA44" s="1427"/>
    </row>
    <row r="45" spans="1:53" ht="15.6" x14ac:dyDescent="0.3">
      <c r="A45" s="1444"/>
      <c r="B45" s="1366" t="s">
        <v>17</v>
      </c>
      <c r="C45" s="1367"/>
      <c r="D45" s="1367" t="s">
        <v>17</v>
      </c>
      <c r="E45" s="1367"/>
      <c r="F45" s="1367" t="s">
        <v>17</v>
      </c>
      <c r="G45" s="1367"/>
      <c r="H45" s="1367" t="s">
        <v>17</v>
      </c>
      <c r="I45" s="1367"/>
      <c r="J45" s="1367" t="s">
        <v>17</v>
      </c>
      <c r="K45" s="1378"/>
      <c r="L45" s="1366" t="s">
        <v>17</v>
      </c>
      <c r="M45" s="1367"/>
      <c r="N45" s="1367" t="s">
        <v>17</v>
      </c>
      <c r="O45" s="1367"/>
      <c r="P45" s="1367" t="s">
        <v>17</v>
      </c>
      <c r="Q45" s="1367"/>
      <c r="R45" s="1367" t="s">
        <v>17</v>
      </c>
      <c r="S45" s="1378"/>
      <c r="T45" s="1366" t="s">
        <v>17</v>
      </c>
      <c r="U45" s="1367"/>
      <c r="V45" s="1368" t="s">
        <v>17</v>
      </c>
      <c r="W45" s="1367"/>
      <c r="X45" s="1367" t="s">
        <v>17</v>
      </c>
      <c r="Y45" s="1407"/>
      <c r="Z45" s="1329"/>
      <c r="AA45" s="1330"/>
      <c r="AB45" s="1384" t="s">
        <v>17</v>
      </c>
      <c r="AC45" s="1368"/>
      <c r="AD45" s="1407" t="s">
        <v>17</v>
      </c>
      <c r="AE45" s="1408"/>
      <c r="AF45" s="1367" t="s">
        <v>17</v>
      </c>
      <c r="AG45" s="1367"/>
      <c r="AH45" s="1368" t="s">
        <v>17</v>
      </c>
      <c r="AI45" s="1378"/>
      <c r="AJ45" s="1384" t="s">
        <v>17</v>
      </c>
      <c r="AK45" s="1385"/>
      <c r="AL45" s="1329"/>
      <c r="AM45" s="1388"/>
      <c r="AN45" s="1388"/>
      <c r="AO45" s="1388"/>
      <c r="AP45" s="1388"/>
      <c r="AQ45" s="1330"/>
      <c r="AR45" s="1405" t="s">
        <v>17</v>
      </c>
      <c r="AS45" s="1357"/>
      <c r="AT45" s="1360" t="s">
        <v>17</v>
      </c>
      <c r="AU45" s="1361"/>
      <c r="AV45" s="1425"/>
      <c r="AW45" s="1426"/>
      <c r="AX45" s="1426"/>
      <c r="AY45" s="1426"/>
      <c r="AZ45" s="1426"/>
      <c r="BA45" s="1427"/>
    </row>
    <row r="46" spans="1:53" ht="16.2" thickBot="1" x14ac:dyDescent="0.35">
      <c r="A46" s="1445"/>
      <c r="B46" s="1396">
        <v>3000</v>
      </c>
      <c r="C46" s="1379"/>
      <c r="D46" s="1379">
        <v>1250</v>
      </c>
      <c r="E46" s="1379"/>
      <c r="F46" s="1379">
        <v>200</v>
      </c>
      <c r="G46" s="1379"/>
      <c r="H46" s="1379">
        <v>1000</v>
      </c>
      <c r="I46" s="1379"/>
      <c r="J46" s="1379">
        <v>6100</v>
      </c>
      <c r="K46" s="1380"/>
      <c r="L46" s="1406">
        <v>3500</v>
      </c>
      <c r="M46" s="1364"/>
      <c r="N46" s="1364">
        <v>23500</v>
      </c>
      <c r="O46" s="1364"/>
      <c r="P46" s="1364">
        <v>2510</v>
      </c>
      <c r="Q46" s="1364"/>
      <c r="R46" s="1364">
        <v>0</v>
      </c>
      <c r="S46" s="1395"/>
      <c r="T46" s="1396">
        <v>4000</v>
      </c>
      <c r="U46" s="1379"/>
      <c r="V46" s="1397">
        <v>6900</v>
      </c>
      <c r="W46" s="1364"/>
      <c r="X46" s="1364">
        <v>0</v>
      </c>
      <c r="Y46" s="1365"/>
      <c r="Z46" s="1329"/>
      <c r="AA46" s="1330"/>
      <c r="AB46" s="1390">
        <v>500</v>
      </c>
      <c r="AC46" s="1391"/>
      <c r="AD46" s="1392">
        <v>0</v>
      </c>
      <c r="AE46" s="1409"/>
      <c r="AF46" s="1379">
        <v>1000</v>
      </c>
      <c r="AG46" s="1392"/>
      <c r="AH46" s="1379">
        <v>2400</v>
      </c>
      <c r="AI46" s="1380"/>
      <c r="AJ46" s="1410">
        <v>12000</v>
      </c>
      <c r="AK46" s="1411"/>
      <c r="AL46" s="1329"/>
      <c r="AM46" s="1388"/>
      <c r="AN46" s="1388"/>
      <c r="AO46" s="1388"/>
      <c r="AP46" s="1388"/>
      <c r="AQ46" s="1330"/>
      <c r="AR46" s="1390">
        <v>32500</v>
      </c>
      <c r="AS46" s="1391"/>
      <c r="AT46" s="1392">
        <v>55000</v>
      </c>
      <c r="AU46" s="1393"/>
      <c r="AV46" s="1425"/>
      <c r="AW46" s="1426"/>
      <c r="AX46" s="1426"/>
      <c r="AY46" s="1426"/>
      <c r="AZ46" s="1426"/>
      <c r="BA46" s="1427"/>
    </row>
    <row r="47" spans="1:53" ht="16.2" thickBot="1" x14ac:dyDescent="0.35">
      <c r="A47" s="7" t="s">
        <v>306</v>
      </c>
      <c r="B47" s="1383"/>
      <c r="C47" s="1363"/>
      <c r="D47" s="1363">
        <v>1000</v>
      </c>
      <c r="E47" s="1363"/>
      <c r="F47" s="1363">
        <v>1000</v>
      </c>
      <c r="G47" s="1363"/>
      <c r="H47" s="1363"/>
      <c r="I47" s="1363"/>
      <c r="J47" s="1363"/>
      <c r="K47" s="1381"/>
      <c r="L47" s="1383"/>
      <c r="M47" s="1363"/>
      <c r="N47" s="1363"/>
      <c r="O47" s="1363"/>
      <c r="P47" s="1363"/>
      <c r="Q47" s="1363"/>
      <c r="R47" s="1363">
        <v>1000</v>
      </c>
      <c r="S47" s="1381"/>
      <c r="T47" s="1383"/>
      <c r="U47" s="1363"/>
      <c r="V47" s="1362"/>
      <c r="W47" s="1363"/>
      <c r="X47" s="1363"/>
      <c r="Y47" s="1394"/>
      <c r="Z47" s="1329"/>
      <c r="AA47" s="1330"/>
      <c r="AB47" s="1383"/>
      <c r="AC47" s="1363"/>
      <c r="AD47" s="1363">
        <v>2000</v>
      </c>
      <c r="AE47" s="1394"/>
      <c r="AF47" s="1363"/>
      <c r="AG47" s="1394"/>
      <c r="AH47" s="1363"/>
      <c r="AI47" s="1381"/>
      <c r="AJ47" s="1383"/>
      <c r="AK47" s="1381"/>
      <c r="AL47" s="1329"/>
      <c r="AM47" s="1388"/>
      <c r="AN47" s="1388"/>
      <c r="AO47" s="1388"/>
      <c r="AP47" s="1388"/>
      <c r="AQ47" s="1330"/>
      <c r="AR47" s="1383"/>
      <c r="AS47" s="1363"/>
      <c r="AT47" s="1363"/>
      <c r="AU47" s="1381"/>
      <c r="AV47" s="1425"/>
      <c r="AW47" s="1426"/>
      <c r="AX47" s="1426"/>
      <c r="AY47" s="1426"/>
      <c r="AZ47" s="1426"/>
      <c r="BA47" s="1427"/>
    </row>
    <row r="48" spans="1:53" s="8" customFormat="1" ht="16.5" customHeight="1" thickBot="1" x14ac:dyDescent="0.35">
      <c r="A48" s="9" t="s">
        <v>303</v>
      </c>
      <c r="B48" s="1350">
        <f>+B42-B46-B47</f>
        <v>-1900</v>
      </c>
      <c r="C48" s="1351"/>
      <c r="D48" s="1351">
        <f>+D42-D46-D47</f>
        <v>-1250</v>
      </c>
      <c r="E48" s="1351"/>
      <c r="F48" s="1351">
        <f>+F42-F46-F47</f>
        <v>-1100</v>
      </c>
      <c r="G48" s="1351"/>
      <c r="H48" s="1351"/>
      <c r="I48" s="1351"/>
      <c r="J48" s="1351">
        <f>+J42-J46-J47</f>
        <v>-3800</v>
      </c>
      <c r="K48" s="1382"/>
      <c r="L48" s="1350">
        <f>+L42-L46-L47</f>
        <v>-2100</v>
      </c>
      <c r="M48" s="1351"/>
      <c r="N48" s="1351">
        <f>+N42-N46-N47</f>
        <v>-12700</v>
      </c>
      <c r="O48" s="1351"/>
      <c r="P48" s="1351">
        <f>+P42-P46-P47</f>
        <v>-1410</v>
      </c>
      <c r="Q48" s="1351"/>
      <c r="R48" s="1351">
        <f>+R42-R46-R47</f>
        <v>-900</v>
      </c>
      <c r="S48" s="1382"/>
      <c r="T48" s="1350">
        <f>+T42-T46-T47</f>
        <v>-2400</v>
      </c>
      <c r="U48" s="1351"/>
      <c r="V48" s="1351">
        <f>+V42-V46-V47</f>
        <v>-5900</v>
      </c>
      <c r="W48" s="1351"/>
      <c r="X48" s="1353">
        <f>+X42-X46-X47</f>
        <v>2300</v>
      </c>
      <c r="Y48" s="1386"/>
      <c r="Z48" s="1331"/>
      <c r="AA48" s="1332"/>
      <c r="AB48" s="1355">
        <f>+AB42-AB46-AB47</f>
        <v>300</v>
      </c>
      <c r="AC48" s="1353"/>
      <c r="AD48" s="1351">
        <f>+AD42-AD46-AD47</f>
        <v>-1200</v>
      </c>
      <c r="AE48" s="1352"/>
      <c r="AF48" s="1351">
        <f>+AF42-AF46-AF47</f>
        <v>-700</v>
      </c>
      <c r="AG48" s="1352"/>
      <c r="AH48" s="1351">
        <f>+AH42-AH46-AH47</f>
        <v>-1900</v>
      </c>
      <c r="AI48" s="1382"/>
      <c r="AJ48" s="1350">
        <f>+AJ42-AJ46-AJ47</f>
        <v>-10900</v>
      </c>
      <c r="AK48" s="1382"/>
      <c r="AL48" s="1331"/>
      <c r="AM48" s="1389"/>
      <c r="AN48" s="1389"/>
      <c r="AO48" s="1389"/>
      <c r="AP48" s="1389"/>
      <c r="AQ48" s="1332"/>
      <c r="AR48" s="1350">
        <f>+AR42-AR46-AR47</f>
        <v>-7100</v>
      </c>
      <c r="AS48" s="1351"/>
      <c r="AT48" s="1351">
        <f>+AT42-AT46-AT47</f>
        <v>-45700</v>
      </c>
      <c r="AU48" s="1382"/>
      <c r="AV48" s="1428"/>
      <c r="AW48" s="1429"/>
      <c r="AX48" s="1429"/>
      <c r="AY48" s="1429"/>
      <c r="AZ48" s="1429"/>
      <c r="BA48" s="1430"/>
    </row>
  </sheetData>
  <mergeCells count="788">
    <mergeCell ref="L9:M9"/>
    <mergeCell ref="AR6:AS6"/>
    <mergeCell ref="AJ15:AK15"/>
    <mergeCell ref="L11:M11"/>
    <mergeCell ref="N11:O11"/>
    <mergeCell ref="T11:U11"/>
    <mergeCell ref="AZ15:BA15"/>
    <mergeCell ref="AT6:AY15"/>
    <mergeCell ref="AZ6:BA6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B11:AC11"/>
    <mergeCell ref="AB15:AC15"/>
    <mergeCell ref="AT18:AU18"/>
    <mergeCell ref="AV18:AW18"/>
    <mergeCell ref="AX18:AY18"/>
    <mergeCell ref="AR18:AS18"/>
    <mergeCell ref="AT19:AU19"/>
    <mergeCell ref="AV19:AW19"/>
    <mergeCell ref="AX19:AY19"/>
    <mergeCell ref="AR7:AS7"/>
    <mergeCell ref="AJ8:AK8"/>
    <mergeCell ref="AR8:AS8"/>
    <mergeCell ref="AL19:AM19"/>
    <mergeCell ref="AJ9:AK9"/>
    <mergeCell ref="AR9:AS9"/>
    <mergeCell ref="AJ14:AK14"/>
    <mergeCell ref="AR14:AS14"/>
    <mergeCell ref="AJ16:AK16"/>
    <mergeCell ref="AR16:AS16"/>
    <mergeCell ref="B37:C37"/>
    <mergeCell ref="D37:E37"/>
    <mergeCell ref="L37:M37"/>
    <mergeCell ref="N37:O37"/>
    <mergeCell ref="P37:Q37"/>
    <mergeCell ref="R37:S37"/>
    <mergeCell ref="T37:U37"/>
    <mergeCell ref="V37:W37"/>
    <mergeCell ref="X37:Y37"/>
    <mergeCell ref="F11:G11"/>
    <mergeCell ref="AV37:AW37"/>
    <mergeCell ref="AX37:AY37"/>
    <mergeCell ref="AZ37:BA37"/>
    <mergeCell ref="Z37:AA37"/>
    <mergeCell ref="AB37:AC37"/>
    <mergeCell ref="AD37:AE37"/>
    <mergeCell ref="AF37:AG37"/>
    <mergeCell ref="AJ37:AK37"/>
    <mergeCell ref="AL37:AM37"/>
    <mergeCell ref="AN37:AO37"/>
    <mergeCell ref="AR37:AS37"/>
    <mergeCell ref="AT37:AU37"/>
    <mergeCell ref="AV28:AW28"/>
    <mergeCell ref="AR15:AS15"/>
    <mergeCell ref="AB19:AC26"/>
    <mergeCell ref="AN19:AO26"/>
    <mergeCell ref="AV26:AW26"/>
    <mergeCell ref="AX26:AY26"/>
    <mergeCell ref="AX22:AY22"/>
    <mergeCell ref="AT17:AU17"/>
    <mergeCell ref="AV17:AW17"/>
    <mergeCell ref="AX17:AY17"/>
    <mergeCell ref="AJ19:AK19"/>
    <mergeCell ref="A5:A13"/>
    <mergeCell ref="B5:K5"/>
    <mergeCell ref="L5:S5"/>
    <mergeCell ref="T5:AA5"/>
    <mergeCell ref="AJ5:AQ5"/>
    <mergeCell ref="AR5:BA5"/>
    <mergeCell ref="B7:C7"/>
    <mergeCell ref="D7:E7"/>
    <mergeCell ref="F7:G7"/>
    <mergeCell ref="L7:M7"/>
    <mergeCell ref="N7:O7"/>
    <mergeCell ref="T7:U7"/>
    <mergeCell ref="T6:U6"/>
    <mergeCell ref="AB6:AC6"/>
    <mergeCell ref="AJ6:AK6"/>
    <mergeCell ref="B6:C6"/>
    <mergeCell ref="D6:E6"/>
    <mergeCell ref="F6:G6"/>
    <mergeCell ref="L6:M6"/>
    <mergeCell ref="V6:AA15"/>
    <mergeCell ref="P6:S15"/>
    <mergeCell ref="N6:O6"/>
    <mergeCell ref="AB7:AC7"/>
    <mergeCell ref="AJ7:AK7"/>
    <mergeCell ref="B8:C8"/>
    <mergeCell ref="D8:E8"/>
    <mergeCell ref="F8:G8"/>
    <mergeCell ref="L8:M8"/>
    <mergeCell ref="N8:O8"/>
    <mergeCell ref="T8:U8"/>
    <mergeCell ref="AB10:AC10"/>
    <mergeCell ref="AJ10:AK10"/>
    <mergeCell ref="AR10:AS10"/>
    <mergeCell ref="AB8:AC8"/>
    <mergeCell ref="B9:C9"/>
    <mergeCell ref="D9:E9"/>
    <mergeCell ref="F9:G9"/>
    <mergeCell ref="N9:O9"/>
    <mergeCell ref="T9:U9"/>
    <mergeCell ref="AB9:AC9"/>
    <mergeCell ref="B10:C10"/>
    <mergeCell ref="D10:E10"/>
    <mergeCell ref="F10:G10"/>
    <mergeCell ref="L10:M10"/>
    <mergeCell ref="N10:O10"/>
    <mergeCell ref="T10:U10"/>
    <mergeCell ref="H6:I15"/>
    <mergeCell ref="J8:K8"/>
    <mergeCell ref="J7:K7"/>
    <mergeCell ref="J6:K6"/>
    <mergeCell ref="J11:K11"/>
    <mergeCell ref="J10:K10"/>
    <mergeCell ref="J9:K9"/>
    <mergeCell ref="J15:K15"/>
    <mergeCell ref="J14:K14"/>
    <mergeCell ref="J13:K13"/>
    <mergeCell ref="J12:K12"/>
    <mergeCell ref="B11:C11"/>
    <mergeCell ref="D11:E11"/>
    <mergeCell ref="AJ11:AK11"/>
    <mergeCell ref="AR11:AS11"/>
    <mergeCell ref="AL6:AQ15"/>
    <mergeCell ref="B12:C12"/>
    <mergeCell ref="D12:E12"/>
    <mergeCell ref="F12:G12"/>
    <mergeCell ref="L12:M12"/>
    <mergeCell ref="N12:O12"/>
    <mergeCell ref="T12:U12"/>
    <mergeCell ref="AB12:AC12"/>
    <mergeCell ref="AJ12:AK12"/>
    <mergeCell ref="AR12:AS12"/>
    <mergeCell ref="B13:C13"/>
    <mergeCell ref="D13:E13"/>
    <mergeCell ref="F13:G13"/>
    <mergeCell ref="L13:M13"/>
    <mergeCell ref="N13:O13"/>
    <mergeCell ref="T13:U13"/>
    <mergeCell ref="AB13:AC13"/>
    <mergeCell ref="AJ13:AK13"/>
    <mergeCell ref="AR13:AS13"/>
    <mergeCell ref="AB14:AC14"/>
    <mergeCell ref="D16:E16"/>
    <mergeCell ref="F16:G16"/>
    <mergeCell ref="L16:M16"/>
    <mergeCell ref="N16:O16"/>
    <mergeCell ref="T16:U16"/>
    <mergeCell ref="AB16:AC16"/>
    <mergeCell ref="B14:C14"/>
    <mergeCell ref="D14:E14"/>
    <mergeCell ref="F14:G14"/>
    <mergeCell ref="L14:M14"/>
    <mergeCell ref="N14:O14"/>
    <mergeCell ref="T14:U14"/>
    <mergeCell ref="B15:C15"/>
    <mergeCell ref="D15:E15"/>
    <mergeCell ref="F15:G15"/>
    <mergeCell ref="L15:M15"/>
    <mergeCell ref="N15:O15"/>
    <mergeCell ref="T15:U15"/>
    <mergeCell ref="B16:C16"/>
    <mergeCell ref="A17:A24"/>
    <mergeCell ref="B17:C17"/>
    <mergeCell ref="D17:E17"/>
    <mergeCell ref="F17:G17"/>
    <mergeCell ref="L17:M17"/>
    <mergeCell ref="N17:O17"/>
    <mergeCell ref="P17:Q17"/>
    <mergeCell ref="AR17:AS17"/>
    <mergeCell ref="T18:U18"/>
    <mergeCell ref="V18:W18"/>
    <mergeCell ref="X18:Y18"/>
    <mergeCell ref="T20:U20"/>
    <mergeCell ref="V20:W20"/>
    <mergeCell ref="X20:Y20"/>
    <mergeCell ref="T21:U21"/>
    <mergeCell ref="B19:C19"/>
    <mergeCell ref="D19:E19"/>
    <mergeCell ref="F19:G19"/>
    <mergeCell ref="L19:M19"/>
    <mergeCell ref="N19:O19"/>
    <mergeCell ref="P19:Q19"/>
    <mergeCell ref="T19:U19"/>
    <mergeCell ref="V19:W19"/>
    <mergeCell ref="B18:C18"/>
    <mergeCell ref="D18:E18"/>
    <mergeCell ref="F18:G18"/>
    <mergeCell ref="L18:M18"/>
    <mergeCell ref="AD17:AE17"/>
    <mergeCell ref="AF17:AG17"/>
    <mergeCell ref="AJ17:AK17"/>
    <mergeCell ref="AL17:AM17"/>
    <mergeCell ref="AN17:AO17"/>
    <mergeCell ref="AP17:AQ17"/>
    <mergeCell ref="T17:U17"/>
    <mergeCell ref="V17:W17"/>
    <mergeCell ref="X17:Y17"/>
    <mergeCell ref="Z17:AA17"/>
    <mergeCell ref="AB17:AC17"/>
    <mergeCell ref="N18:O18"/>
    <mergeCell ref="P18:Q18"/>
    <mergeCell ref="AN18:AO18"/>
    <mergeCell ref="AP18:AQ18"/>
    <mergeCell ref="Z18:AA18"/>
    <mergeCell ref="AB18:AC18"/>
    <mergeCell ref="AD18:AE18"/>
    <mergeCell ref="AF18:AG18"/>
    <mergeCell ref="AJ18:AK18"/>
    <mergeCell ref="AL18:AM18"/>
    <mergeCell ref="AX23:AY23"/>
    <mergeCell ref="AX24:AY24"/>
    <mergeCell ref="AV24:AW24"/>
    <mergeCell ref="X19:Y19"/>
    <mergeCell ref="AD19:AE19"/>
    <mergeCell ref="AF19:AG19"/>
    <mergeCell ref="Z19:AA19"/>
    <mergeCell ref="AP19:AQ19"/>
    <mergeCell ref="AR19:AS19"/>
    <mergeCell ref="Z20:AA20"/>
    <mergeCell ref="Z22:AA22"/>
    <mergeCell ref="X23:Y23"/>
    <mergeCell ref="Z23:AA23"/>
    <mergeCell ref="AD20:AE20"/>
    <mergeCell ref="AF20:AG20"/>
    <mergeCell ref="AJ20:AK20"/>
    <mergeCell ref="AP21:AQ21"/>
    <mergeCell ref="AP22:AQ22"/>
    <mergeCell ref="AD23:AE23"/>
    <mergeCell ref="AF23:AG23"/>
    <mergeCell ref="AD21:AE21"/>
    <mergeCell ref="AF21:AG21"/>
    <mergeCell ref="AJ21:AK21"/>
    <mergeCell ref="AL21:AM21"/>
    <mergeCell ref="AX25:AY25"/>
    <mergeCell ref="AT21:AU21"/>
    <mergeCell ref="AV21:AW21"/>
    <mergeCell ref="AX21:AY21"/>
    <mergeCell ref="AT22:AU22"/>
    <mergeCell ref="AT24:AU24"/>
    <mergeCell ref="AV25:AW25"/>
    <mergeCell ref="AL20:AM20"/>
    <mergeCell ref="AP20:AQ20"/>
    <mergeCell ref="AR20:AS20"/>
    <mergeCell ref="AR21:AS21"/>
    <mergeCell ref="AV22:AW22"/>
    <mergeCell ref="AR23:AS23"/>
    <mergeCell ref="AT23:AU23"/>
    <mergeCell ref="AV23:AW23"/>
    <mergeCell ref="AL23:AM23"/>
    <mergeCell ref="AP23:AQ23"/>
    <mergeCell ref="AL24:AM24"/>
    <mergeCell ref="AP24:AQ24"/>
    <mergeCell ref="AT20:AU20"/>
    <mergeCell ref="AV20:AW20"/>
    <mergeCell ref="AX20:AY20"/>
    <mergeCell ref="AR22:AS22"/>
    <mergeCell ref="AR24:AS24"/>
    <mergeCell ref="B20:C20"/>
    <mergeCell ref="D20:E20"/>
    <mergeCell ref="F20:G20"/>
    <mergeCell ref="L20:M20"/>
    <mergeCell ref="N20:O20"/>
    <mergeCell ref="P20:Q20"/>
    <mergeCell ref="B22:C22"/>
    <mergeCell ref="D22:E22"/>
    <mergeCell ref="F22:G22"/>
    <mergeCell ref="L22:M22"/>
    <mergeCell ref="N22:O22"/>
    <mergeCell ref="P22:Q22"/>
    <mergeCell ref="B21:C21"/>
    <mergeCell ref="D21:E21"/>
    <mergeCell ref="F21:G21"/>
    <mergeCell ref="L21:M21"/>
    <mergeCell ref="N21:O21"/>
    <mergeCell ref="P21:Q21"/>
    <mergeCell ref="H17:I26"/>
    <mergeCell ref="J17:K17"/>
    <mergeCell ref="J18:K18"/>
    <mergeCell ref="J19:K19"/>
    <mergeCell ref="J20:K20"/>
    <mergeCell ref="J21:K21"/>
    <mergeCell ref="B24:C24"/>
    <mergeCell ref="D24:E24"/>
    <mergeCell ref="F24:G24"/>
    <mergeCell ref="L24:M24"/>
    <mergeCell ref="N24:O24"/>
    <mergeCell ref="P24:Q24"/>
    <mergeCell ref="AJ23:AK23"/>
    <mergeCell ref="B23:C23"/>
    <mergeCell ref="D23:E23"/>
    <mergeCell ref="F23:G23"/>
    <mergeCell ref="L23:M23"/>
    <mergeCell ref="N23:O23"/>
    <mergeCell ref="P23:Q23"/>
    <mergeCell ref="AJ24:AK24"/>
    <mergeCell ref="T24:U24"/>
    <mergeCell ref="V24:W24"/>
    <mergeCell ref="X24:Y24"/>
    <mergeCell ref="Z24:AA24"/>
    <mergeCell ref="AD24:AE24"/>
    <mergeCell ref="J22:K22"/>
    <mergeCell ref="J23:K23"/>
    <mergeCell ref="J24:K24"/>
    <mergeCell ref="J26:K26"/>
    <mergeCell ref="V22:W22"/>
    <mergeCell ref="X22:Y22"/>
    <mergeCell ref="AF22:AG22"/>
    <mergeCell ref="AJ22:AK22"/>
    <mergeCell ref="AL22:AM22"/>
    <mergeCell ref="V25:W25"/>
    <mergeCell ref="X25:Y25"/>
    <mergeCell ref="Z25:AA25"/>
    <mergeCell ref="Z26:AA26"/>
    <mergeCell ref="B25:C25"/>
    <mergeCell ref="D25:E25"/>
    <mergeCell ref="F25:G25"/>
    <mergeCell ref="L25:M25"/>
    <mergeCell ref="N25:O25"/>
    <mergeCell ref="P25:Q25"/>
    <mergeCell ref="AJ25:AK25"/>
    <mergeCell ref="AL25:AM25"/>
    <mergeCell ref="AP25:AQ25"/>
    <mergeCell ref="T25:U25"/>
    <mergeCell ref="J25:K25"/>
    <mergeCell ref="R17:S26"/>
    <mergeCell ref="T22:U22"/>
    <mergeCell ref="B26:C26"/>
    <mergeCell ref="AD25:AE25"/>
    <mergeCell ref="AF25:AG25"/>
    <mergeCell ref="D26:E26"/>
    <mergeCell ref="F26:G26"/>
    <mergeCell ref="L26:M26"/>
    <mergeCell ref="N26:O26"/>
    <mergeCell ref="P26:Q26"/>
    <mergeCell ref="T26:U26"/>
    <mergeCell ref="V26:W26"/>
    <mergeCell ref="X26:Y26"/>
    <mergeCell ref="A28:A35"/>
    <mergeCell ref="B28:C28"/>
    <mergeCell ref="D28:E28"/>
    <mergeCell ref="L28:M28"/>
    <mergeCell ref="N28:O28"/>
    <mergeCell ref="P28:Q28"/>
    <mergeCell ref="R28:S28"/>
    <mergeCell ref="T28:U28"/>
    <mergeCell ref="AB29:AC29"/>
    <mergeCell ref="B30:C30"/>
    <mergeCell ref="D30:E30"/>
    <mergeCell ref="L30:M30"/>
    <mergeCell ref="N30:O30"/>
    <mergeCell ref="P30:Q30"/>
    <mergeCell ref="X29:Y29"/>
    <mergeCell ref="Z29:AA29"/>
    <mergeCell ref="V29:W29"/>
    <mergeCell ref="AZ28:BA28"/>
    <mergeCell ref="B29:C29"/>
    <mergeCell ref="D29:E29"/>
    <mergeCell ref="L29:M29"/>
    <mergeCell ref="N29:O29"/>
    <mergeCell ref="P29:Q29"/>
    <mergeCell ref="R29:S29"/>
    <mergeCell ref="AJ28:AK28"/>
    <mergeCell ref="AL28:AM28"/>
    <mergeCell ref="AN28:AO28"/>
    <mergeCell ref="AR28:AS28"/>
    <mergeCell ref="AT28:AU28"/>
    <mergeCell ref="V28:W28"/>
    <mergeCell ref="X28:Y28"/>
    <mergeCell ref="Z28:AA28"/>
    <mergeCell ref="AB28:AC28"/>
    <mergeCell ref="AD28:AE28"/>
    <mergeCell ref="AF28:AG28"/>
    <mergeCell ref="AT29:AU29"/>
    <mergeCell ref="AV29:AW29"/>
    <mergeCell ref="AX29:AY29"/>
    <mergeCell ref="AZ29:BA29"/>
    <mergeCell ref="T29:U29"/>
    <mergeCell ref="AX28:AY28"/>
    <mergeCell ref="AR30:AS30"/>
    <mergeCell ref="AD32:AE32"/>
    <mergeCell ref="AB33:AC33"/>
    <mergeCell ref="AD33:AE33"/>
    <mergeCell ref="AF33:AG33"/>
    <mergeCell ref="AF29:AG29"/>
    <mergeCell ref="AJ29:AK29"/>
    <mergeCell ref="AL29:AM29"/>
    <mergeCell ref="AN29:AO29"/>
    <mergeCell ref="AR29:AS29"/>
    <mergeCell ref="AF30:AG30"/>
    <mergeCell ref="AJ30:AK30"/>
    <mergeCell ref="AL30:AM30"/>
    <mergeCell ref="AN30:AO30"/>
    <mergeCell ref="AB31:AC31"/>
    <mergeCell ref="AD29:AE29"/>
    <mergeCell ref="AT30:AU30"/>
    <mergeCell ref="AV30:AW30"/>
    <mergeCell ref="AX30:AY30"/>
    <mergeCell ref="AZ30:BA30"/>
    <mergeCell ref="B31:C31"/>
    <mergeCell ref="D31:E31"/>
    <mergeCell ref="L31:M31"/>
    <mergeCell ref="N31:O31"/>
    <mergeCell ref="P31:Q31"/>
    <mergeCell ref="T30:U30"/>
    <mergeCell ref="V30:W30"/>
    <mergeCell ref="X30:Y30"/>
    <mergeCell ref="Z30:AA30"/>
    <mergeCell ref="AB30:AC30"/>
    <mergeCell ref="AD30:AE30"/>
    <mergeCell ref="AT31:AU31"/>
    <mergeCell ref="AV31:AW31"/>
    <mergeCell ref="AX31:AY31"/>
    <mergeCell ref="AZ31:BA31"/>
    <mergeCell ref="AL31:AM31"/>
    <mergeCell ref="AN31:AO31"/>
    <mergeCell ref="AR31:AS31"/>
    <mergeCell ref="R30:S30"/>
    <mergeCell ref="AP28:AQ37"/>
    <mergeCell ref="AZ32:BA32"/>
    <mergeCell ref="B33:C33"/>
    <mergeCell ref="D33:E33"/>
    <mergeCell ref="L33:M33"/>
    <mergeCell ref="N33:O33"/>
    <mergeCell ref="P33:Q33"/>
    <mergeCell ref="R33:S33"/>
    <mergeCell ref="T33:U33"/>
    <mergeCell ref="AF32:AG32"/>
    <mergeCell ref="AJ32:AK32"/>
    <mergeCell ref="AL32:AM32"/>
    <mergeCell ref="AN32:AO32"/>
    <mergeCell ref="AR32:AS32"/>
    <mergeCell ref="AT32:AU32"/>
    <mergeCell ref="T32:U32"/>
    <mergeCell ref="V32:W32"/>
    <mergeCell ref="X32:Y32"/>
    <mergeCell ref="Z32:AA32"/>
    <mergeCell ref="AB32:AC32"/>
    <mergeCell ref="B32:C32"/>
    <mergeCell ref="D32:E32"/>
    <mergeCell ref="L32:M32"/>
    <mergeCell ref="N32:O32"/>
    <mergeCell ref="P32:Q32"/>
    <mergeCell ref="AZ33:BA33"/>
    <mergeCell ref="B34:C34"/>
    <mergeCell ref="D34:E34"/>
    <mergeCell ref="L34:M34"/>
    <mergeCell ref="N34:O34"/>
    <mergeCell ref="P34:Q34"/>
    <mergeCell ref="R34:S34"/>
    <mergeCell ref="T34:U34"/>
    <mergeCell ref="V34:W34"/>
    <mergeCell ref="AJ33:AK33"/>
    <mergeCell ref="AL33:AM33"/>
    <mergeCell ref="AN33:AO33"/>
    <mergeCell ref="AR33:AS33"/>
    <mergeCell ref="AT33:AU33"/>
    <mergeCell ref="AV33:AW33"/>
    <mergeCell ref="V33:W33"/>
    <mergeCell ref="X33:Y33"/>
    <mergeCell ref="Z33:AA33"/>
    <mergeCell ref="Z34:AA34"/>
    <mergeCell ref="AB34:AC34"/>
    <mergeCell ref="AD34:AE34"/>
    <mergeCell ref="AF34:AG34"/>
    <mergeCell ref="AJ34:AK34"/>
    <mergeCell ref="F28:K37"/>
    <mergeCell ref="AZ35:BA35"/>
    <mergeCell ref="Z35:AA35"/>
    <mergeCell ref="AB35:AC35"/>
    <mergeCell ref="AD35:AE35"/>
    <mergeCell ref="AF35:AG35"/>
    <mergeCell ref="AJ35:AK35"/>
    <mergeCell ref="AL35:AM35"/>
    <mergeCell ref="AZ34:BA34"/>
    <mergeCell ref="B35:C35"/>
    <mergeCell ref="D35:E35"/>
    <mergeCell ref="L35:M35"/>
    <mergeCell ref="N35:O35"/>
    <mergeCell ref="P35:Q35"/>
    <mergeCell ref="R35:S35"/>
    <mergeCell ref="T35:U35"/>
    <mergeCell ref="V35:W35"/>
    <mergeCell ref="X35:Y35"/>
    <mergeCell ref="AL34:AM34"/>
    <mergeCell ref="AN34:AO34"/>
    <mergeCell ref="AR34:AS34"/>
    <mergeCell ref="AT34:AU34"/>
    <mergeCell ref="AV34:AW34"/>
    <mergeCell ref="AX34:AY34"/>
    <mergeCell ref="X34:Y34"/>
    <mergeCell ref="L36:M36"/>
    <mergeCell ref="N36:O36"/>
    <mergeCell ref="P36:Q36"/>
    <mergeCell ref="R36:S36"/>
    <mergeCell ref="AN35:AO35"/>
    <mergeCell ref="AR35:AS35"/>
    <mergeCell ref="AT35:AU35"/>
    <mergeCell ref="AV35:AW35"/>
    <mergeCell ref="AX35:AY35"/>
    <mergeCell ref="AV36:AW36"/>
    <mergeCell ref="AX36:AY36"/>
    <mergeCell ref="AH28:AI37"/>
    <mergeCell ref="AX33:AY33"/>
    <mergeCell ref="AV32:AW32"/>
    <mergeCell ref="AX32:AY32"/>
    <mergeCell ref="R32:S32"/>
    <mergeCell ref="AD31:AE31"/>
    <mergeCell ref="AF31:AG31"/>
    <mergeCell ref="AJ31:AK31"/>
    <mergeCell ref="R31:S31"/>
    <mergeCell ref="T31:U31"/>
    <mergeCell ref="V31:W31"/>
    <mergeCell ref="X31:Y31"/>
    <mergeCell ref="Z31:AA31"/>
    <mergeCell ref="AZ36:BA36"/>
    <mergeCell ref="B38:C38"/>
    <mergeCell ref="D38:E38"/>
    <mergeCell ref="L38:M38"/>
    <mergeCell ref="N38:O38"/>
    <mergeCell ref="P38:Q38"/>
    <mergeCell ref="R38:S38"/>
    <mergeCell ref="T38:U38"/>
    <mergeCell ref="AF36:AG36"/>
    <mergeCell ref="AJ36:AK36"/>
    <mergeCell ref="AL36:AM36"/>
    <mergeCell ref="AN36:AO36"/>
    <mergeCell ref="AR36:AS36"/>
    <mergeCell ref="AT36:AU36"/>
    <mergeCell ref="T36:U36"/>
    <mergeCell ref="V36:W36"/>
    <mergeCell ref="X36:Y36"/>
    <mergeCell ref="Z36:AA36"/>
    <mergeCell ref="AB36:AC36"/>
    <mergeCell ref="AD36:AE36"/>
    <mergeCell ref="B36:C36"/>
    <mergeCell ref="D36:E36"/>
    <mergeCell ref="AX38:AY38"/>
    <mergeCell ref="AZ38:BA38"/>
    <mergeCell ref="AD40:AE40"/>
    <mergeCell ref="AF40:AG40"/>
    <mergeCell ref="AJ40:AK40"/>
    <mergeCell ref="AJ39:AK39"/>
    <mergeCell ref="V39:W39"/>
    <mergeCell ref="X39:Y39"/>
    <mergeCell ref="AB40:AC40"/>
    <mergeCell ref="T41:U41"/>
    <mergeCell ref="V41:W41"/>
    <mergeCell ref="X41:Y41"/>
    <mergeCell ref="AB41:AC41"/>
    <mergeCell ref="A39:A46"/>
    <mergeCell ref="B39:C39"/>
    <mergeCell ref="D39:E39"/>
    <mergeCell ref="F39:G39"/>
    <mergeCell ref="H39:I39"/>
    <mergeCell ref="J39:K39"/>
    <mergeCell ref="L39:M39"/>
    <mergeCell ref="N39:O39"/>
    <mergeCell ref="B42:C42"/>
    <mergeCell ref="D42:E42"/>
    <mergeCell ref="F42:G42"/>
    <mergeCell ref="H42:I42"/>
    <mergeCell ref="D41:E41"/>
    <mergeCell ref="F41:G41"/>
    <mergeCell ref="H41:I41"/>
    <mergeCell ref="J41:K41"/>
    <mergeCell ref="L41:M41"/>
    <mergeCell ref="N41:O41"/>
    <mergeCell ref="AL38:AM38"/>
    <mergeCell ref="AN38:AO38"/>
    <mergeCell ref="AR38:AS38"/>
    <mergeCell ref="AT38:AU38"/>
    <mergeCell ref="T42:U42"/>
    <mergeCell ref="B40:C40"/>
    <mergeCell ref="D40:E40"/>
    <mergeCell ref="F40:G40"/>
    <mergeCell ref="H40:I40"/>
    <mergeCell ref="J40:K40"/>
    <mergeCell ref="L40:M40"/>
    <mergeCell ref="N40:O40"/>
    <mergeCell ref="P40:Q40"/>
    <mergeCell ref="P39:Q39"/>
    <mergeCell ref="R39:S39"/>
    <mergeCell ref="T39:U39"/>
    <mergeCell ref="J42:K42"/>
    <mergeCell ref="L42:M42"/>
    <mergeCell ref="N42:O42"/>
    <mergeCell ref="AD39:AE39"/>
    <mergeCell ref="AF39:AG39"/>
    <mergeCell ref="AJ38:AK38"/>
    <mergeCell ref="P41:Q41"/>
    <mergeCell ref="R41:S41"/>
    <mergeCell ref="AV38:AW38"/>
    <mergeCell ref="V38:W38"/>
    <mergeCell ref="X38:Y38"/>
    <mergeCell ref="Z38:AA38"/>
    <mergeCell ref="AB38:AC38"/>
    <mergeCell ref="AD38:AE38"/>
    <mergeCell ref="AF38:AG38"/>
    <mergeCell ref="AV40:BA48"/>
    <mergeCell ref="AT43:AU43"/>
    <mergeCell ref="AT44:AU44"/>
    <mergeCell ref="AD44:AE44"/>
    <mergeCell ref="AT39:AU39"/>
    <mergeCell ref="V42:W42"/>
    <mergeCell ref="AV39:BA39"/>
    <mergeCell ref="AB39:AC39"/>
    <mergeCell ref="AT40:AU40"/>
    <mergeCell ref="AD41:AE41"/>
    <mergeCell ref="AF41:AG41"/>
    <mergeCell ref="AJ41:AK41"/>
    <mergeCell ref="AR41:AS41"/>
    <mergeCell ref="AT41:AU41"/>
    <mergeCell ref="AJ42:AK42"/>
    <mergeCell ref="AR42:AS42"/>
    <mergeCell ref="AF42:AG42"/>
    <mergeCell ref="AR39:AS39"/>
    <mergeCell ref="X43:Y43"/>
    <mergeCell ref="B44:C44"/>
    <mergeCell ref="D44:E44"/>
    <mergeCell ref="F44:G44"/>
    <mergeCell ref="H44:I44"/>
    <mergeCell ref="J44:K44"/>
    <mergeCell ref="P43:Q43"/>
    <mergeCell ref="R43:S43"/>
    <mergeCell ref="T43:U43"/>
    <mergeCell ref="B43:C43"/>
    <mergeCell ref="D43:E43"/>
    <mergeCell ref="F43:G43"/>
    <mergeCell ref="H43:I43"/>
    <mergeCell ref="J43:K43"/>
    <mergeCell ref="L43:M43"/>
    <mergeCell ref="N43:O43"/>
    <mergeCell ref="AH43:AI43"/>
    <mergeCell ref="AH44:AI44"/>
    <mergeCell ref="R42:S42"/>
    <mergeCell ref="AB43:AC43"/>
    <mergeCell ref="X42:Y42"/>
    <mergeCell ref="AB42:AC42"/>
    <mergeCell ref="B41:C41"/>
    <mergeCell ref="AT42:AU42"/>
    <mergeCell ref="AD42:AE42"/>
    <mergeCell ref="AR40:AS40"/>
    <mergeCell ref="AF44:AG44"/>
    <mergeCell ref="AJ44:AK44"/>
    <mergeCell ref="AR44:AS44"/>
    <mergeCell ref="L44:M44"/>
    <mergeCell ref="N44:O44"/>
    <mergeCell ref="P44:Q44"/>
    <mergeCell ref="R44:S44"/>
    <mergeCell ref="T44:U44"/>
    <mergeCell ref="V44:W44"/>
    <mergeCell ref="X44:Y44"/>
    <mergeCell ref="AB44:AC44"/>
    <mergeCell ref="AD43:AE43"/>
    <mergeCell ref="AF43:AG43"/>
    <mergeCell ref="AJ43:AK43"/>
    <mergeCell ref="AR43:AS43"/>
    <mergeCell ref="V43:W43"/>
    <mergeCell ref="R40:S40"/>
    <mergeCell ref="T40:U40"/>
    <mergeCell ref="V40:W40"/>
    <mergeCell ref="X40:Y40"/>
    <mergeCell ref="P42:Q42"/>
    <mergeCell ref="AR45:AS45"/>
    <mergeCell ref="AT45:AU45"/>
    <mergeCell ref="B46:C46"/>
    <mergeCell ref="D46:E46"/>
    <mergeCell ref="F46:G46"/>
    <mergeCell ref="H46:I46"/>
    <mergeCell ref="J46:K46"/>
    <mergeCell ref="L46:M46"/>
    <mergeCell ref="N46:O46"/>
    <mergeCell ref="T45:U45"/>
    <mergeCell ref="V45:W45"/>
    <mergeCell ref="X45:Y45"/>
    <mergeCell ref="AB45:AC45"/>
    <mergeCell ref="AD45:AE45"/>
    <mergeCell ref="AF45:AG45"/>
    <mergeCell ref="AD46:AE46"/>
    <mergeCell ref="AF46:AG46"/>
    <mergeCell ref="AJ46:AK46"/>
    <mergeCell ref="B45:C45"/>
    <mergeCell ref="D45:E45"/>
    <mergeCell ref="F45:G45"/>
    <mergeCell ref="H45:I45"/>
    <mergeCell ref="J45:K45"/>
    <mergeCell ref="L45:M45"/>
    <mergeCell ref="AR46:AS46"/>
    <mergeCell ref="AT46:AU46"/>
    <mergeCell ref="X46:Y46"/>
    <mergeCell ref="AB46:AC46"/>
    <mergeCell ref="N47:O47"/>
    <mergeCell ref="P47:Q47"/>
    <mergeCell ref="R47:S47"/>
    <mergeCell ref="T47:U47"/>
    <mergeCell ref="V47:W47"/>
    <mergeCell ref="X47:Y47"/>
    <mergeCell ref="AB47:AC47"/>
    <mergeCell ref="AD47:AE47"/>
    <mergeCell ref="AF47:AG47"/>
    <mergeCell ref="AJ47:AK47"/>
    <mergeCell ref="AR47:AS47"/>
    <mergeCell ref="P46:Q46"/>
    <mergeCell ref="R46:S46"/>
    <mergeCell ref="T46:U46"/>
    <mergeCell ref="V46:W46"/>
    <mergeCell ref="Z39:AA48"/>
    <mergeCell ref="AH39:AI39"/>
    <mergeCell ref="AH40:AI40"/>
    <mergeCell ref="AH41:AI41"/>
    <mergeCell ref="AH42:AI42"/>
    <mergeCell ref="AR48:AS48"/>
    <mergeCell ref="B47:C47"/>
    <mergeCell ref="D47:E47"/>
    <mergeCell ref="F47:G47"/>
    <mergeCell ref="H47:I47"/>
    <mergeCell ref="J47:K47"/>
    <mergeCell ref="AT48:AU48"/>
    <mergeCell ref="T48:U48"/>
    <mergeCell ref="V48:W48"/>
    <mergeCell ref="X48:Y48"/>
    <mergeCell ref="AB48:AC48"/>
    <mergeCell ref="AD48:AE48"/>
    <mergeCell ref="AF48:AG48"/>
    <mergeCell ref="AT47:A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AL39:AQ48"/>
    <mergeCell ref="AH45:AI45"/>
    <mergeCell ref="AH46:AI46"/>
    <mergeCell ref="AH47:AI47"/>
    <mergeCell ref="AH48:AI48"/>
    <mergeCell ref="L47:M47"/>
    <mergeCell ref="AJ48:AK48"/>
    <mergeCell ref="AJ45:AK45"/>
    <mergeCell ref="N45:O45"/>
    <mergeCell ref="P45:Q45"/>
    <mergeCell ref="R45:S45"/>
    <mergeCell ref="A1:S2"/>
    <mergeCell ref="T1:AI2"/>
    <mergeCell ref="AJ1:BA2"/>
    <mergeCell ref="P3:S3"/>
    <mergeCell ref="AF3:AI3"/>
    <mergeCell ref="AX3:BA3"/>
    <mergeCell ref="K3:O3"/>
    <mergeCell ref="AB3:AE3"/>
    <mergeCell ref="AR3:AW3"/>
    <mergeCell ref="A3:E3"/>
    <mergeCell ref="F3:J3"/>
    <mergeCell ref="AZ17:BA26"/>
    <mergeCell ref="T3:W3"/>
    <mergeCell ref="X3:AA3"/>
    <mergeCell ref="AJ3:AM3"/>
    <mergeCell ref="AN3:AQ3"/>
    <mergeCell ref="AB5:AI5"/>
    <mergeCell ref="AD6:AI15"/>
    <mergeCell ref="AH17:AI26"/>
    <mergeCell ref="AD26:AE26"/>
    <mergeCell ref="AF26:AG26"/>
    <mergeCell ref="AJ26:AK26"/>
    <mergeCell ref="AL26:AM26"/>
    <mergeCell ref="AP26:AQ26"/>
    <mergeCell ref="AR26:AS26"/>
    <mergeCell ref="AT26:AU26"/>
    <mergeCell ref="AD22:AE22"/>
    <mergeCell ref="V21:W21"/>
    <mergeCell ref="X21:Y21"/>
    <mergeCell ref="Z21:AA21"/>
    <mergeCell ref="AR25:AS25"/>
    <mergeCell ref="AT25:AU25"/>
    <mergeCell ref="AF24:AG24"/>
    <mergeCell ref="T23:U23"/>
    <mergeCell ref="V23:W23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59" orientation="landscape" r:id="rId1"/>
  <headerFooter>
    <oddFooter xml:space="preserve">&amp;CMAX TOMADOS DE ESTAD. MADRE 2017 (MARZO, ABRIL, MAYO)
</oddFooter>
  </headerFooter>
  <colBreaks count="2" manualBreakCount="2">
    <brk id="20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11</vt:i4>
      </vt:variant>
    </vt:vector>
  </HeadingPairs>
  <TitlesOfParts>
    <vt:vector size="36" baseType="lpstr">
      <vt:lpstr>Planimetría &amp; Nota de Ped.</vt:lpstr>
      <vt:lpstr>Planimetría &amp; Nota de Pedido</vt:lpstr>
      <vt:lpstr>O.C. Roster</vt:lpstr>
      <vt:lpstr>O.C. Cia Integral Etiquetas</vt:lpstr>
      <vt:lpstr>O.C. Sumatik</vt:lpstr>
      <vt:lpstr>O.C. Packaging y Servicios</vt:lpstr>
      <vt:lpstr>O.C. Precinter</vt:lpstr>
      <vt:lpstr>O.C. Envases Vihal</vt:lpstr>
      <vt:lpstr>O.C. Papelera 9 de Julio</vt:lpstr>
      <vt:lpstr>O.C. AJ Adhesivos</vt:lpstr>
      <vt:lpstr>O.C. Grafica Pol</vt:lpstr>
      <vt:lpstr>Pedido VACIO</vt:lpstr>
      <vt:lpstr>Copiar Pedido </vt:lpstr>
      <vt:lpstr>Conteo VACIO</vt:lpstr>
      <vt:lpstr>Carton x Categ.</vt:lpstr>
      <vt:lpstr>Stock CD</vt:lpstr>
      <vt:lpstr>Stock ISIS LK</vt:lpstr>
      <vt:lpstr>Stock ISIS CH</vt:lpstr>
      <vt:lpstr>TN ETIQUETAS</vt:lpstr>
      <vt:lpstr>Est Madre LK 10-25</vt:lpstr>
      <vt:lpstr>Est Madre CH 10-25</vt:lpstr>
      <vt:lpstr>Relevamiento a cargar</vt:lpstr>
      <vt:lpstr>Listado Cartones Viejos 2010</vt:lpstr>
      <vt:lpstr>Estadistica Mayo 18</vt:lpstr>
      <vt:lpstr>Relev &amp; Ped. Discont</vt:lpstr>
      <vt:lpstr>'Copiar Pedido '!Área_de_impresión</vt:lpstr>
      <vt:lpstr>'Listado Cartones Viejos 2010'!Área_de_impresión</vt:lpstr>
      <vt:lpstr>'Planimetría &amp; Nota de Ped.'!Área_de_impresión</vt:lpstr>
      <vt:lpstr>'Planimetría &amp; Nota de Pedido'!Área_de_impresión</vt:lpstr>
      <vt:lpstr>'Relev &amp; Ped. Discont'!Área_de_impresión</vt:lpstr>
      <vt:lpstr>'Conteo VACIO'!Títulos_a_imprimir</vt:lpstr>
      <vt:lpstr>'Listado Cartones Viejos 2010'!Títulos_a_imprimir</vt:lpstr>
      <vt:lpstr>'Pedido VACIO'!Títulos_a_imprimir</vt:lpstr>
      <vt:lpstr>'Planimetría &amp; Nota de Ped.'!Títulos_a_imprimir</vt:lpstr>
      <vt:lpstr>'Planimetría &amp; Nota de Pedido'!Títulos_a_imprimir</vt:lpstr>
      <vt:lpstr>'Relevamiento a cargar'!Títulos_a_imprimir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Tierra Nativa</cp:lastModifiedBy>
  <cp:lastPrinted>2026-01-30T14:47:39Z</cp:lastPrinted>
  <dcterms:created xsi:type="dcterms:W3CDTF">2017-02-07T14:29:21Z</dcterms:created>
  <dcterms:modified xsi:type="dcterms:W3CDTF">2026-01-30T14:49:47Z</dcterms:modified>
</cp:coreProperties>
</file>