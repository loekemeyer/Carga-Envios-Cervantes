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eke-svr\Documentos Compartidos\AA  LOGISTICA Relevamiento y Pedidos\A3 Relevamiento Stock y Pedidos Insumos\Relevamiento\A Relevamientos INSUMOS y Pedido\A Flejes\"/>
    </mc:Choice>
  </mc:AlternateContent>
  <xr:revisionPtr revIDLastSave="0" documentId="13_ncr:1_{728ED305-E489-47B5-9823-12BD67AF132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lejes" sheetId="3" r:id="rId1"/>
    <sheet name="Carteles Sector Provisorio" sheetId="4" r:id="rId2"/>
    <sheet name="Carteles" sheetId="2" r:id="rId3"/>
  </sheets>
  <definedNames>
    <definedName name="_xlnm._FilterDatabase" localSheetId="0" hidden="1">Flejes!$A$1:$K$76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1" i="4" l="1"/>
  <c r="S91" i="4" l="1"/>
  <c r="S71" i="4" l="1"/>
  <c r="S51" i="4" l="1"/>
  <c r="Q37" i="4"/>
  <c r="S31" i="4"/>
  <c r="J37" i="4"/>
  <c r="L31" i="4"/>
  <c r="Q17" i="4"/>
  <c r="S11" i="4"/>
  <c r="J17" i="4"/>
  <c r="L131" i="4"/>
  <c r="H131" i="4"/>
  <c r="E131" i="4"/>
  <c r="A131" i="4"/>
  <c r="L123" i="4"/>
  <c r="E123" i="4"/>
  <c r="L111" i="4"/>
  <c r="H111" i="4"/>
  <c r="E111" i="4"/>
  <c r="A111" i="4"/>
  <c r="L103" i="4"/>
  <c r="E103" i="4"/>
  <c r="L91" i="4"/>
  <c r="H91" i="4"/>
  <c r="E91" i="4"/>
  <c r="A91" i="4"/>
  <c r="L83" i="4"/>
  <c r="E83" i="4"/>
  <c r="L71" i="4"/>
  <c r="H71" i="4"/>
  <c r="E71" i="4"/>
  <c r="A71" i="4"/>
  <c r="L63" i="4"/>
  <c r="E63" i="4"/>
  <c r="C57" i="4"/>
  <c r="L51" i="4"/>
  <c r="H51" i="4"/>
  <c r="E51" i="4"/>
  <c r="A51" i="4"/>
  <c r="L43" i="4"/>
  <c r="E43" i="4"/>
  <c r="E31" i="4"/>
  <c r="A31" i="4"/>
  <c r="E23" i="4"/>
  <c r="L11" i="4"/>
  <c r="E11" i="4"/>
  <c r="A11" i="4"/>
  <c r="E3" i="4"/>
  <c r="E43" i="2" l="1"/>
  <c r="L131" i="2"/>
  <c r="H131" i="2"/>
  <c r="L123" i="2"/>
  <c r="E91" i="2"/>
  <c r="L91" i="2"/>
  <c r="H91" i="2"/>
  <c r="L83" i="2"/>
  <c r="L71" i="2"/>
  <c r="H71" i="2"/>
  <c r="L63" i="2"/>
  <c r="L51" i="2"/>
  <c r="H51" i="2"/>
  <c r="L43" i="2"/>
  <c r="L31" i="2"/>
  <c r="H31" i="2"/>
  <c r="L23" i="2"/>
  <c r="L11" i="2"/>
  <c r="H11" i="2"/>
  <c r="L3" i="2"/>
  <c r="L111" i="2"/>
  <c r="E111" i="2"/>
  <c r="H111" i="2"/>
  <c r="L103" i="2"/>
  <c r="E103" i="2"/>
  <c r="E131" i="2"/>
  <c r="A131" i="2"/>
  <c r="E123" i="2"/>
  <c r="A111" i="2"/>
  <c r="A91" i="2"/>
  <c r="E83" i="2"/>
  <c r="E71" i="2"/>
  <c r="A71" i="2"/>
  <c r="E63" i="2"/>
  <c r="E51" i="2"/>
  <c r="A51" i="2"/>
  <c r="E31" i="2"/>
  <c r="A31" i="2"/>
  <c r="E23" i="2"/>
  <c r="E11" i="2"/>
  <c r="E3" i="2"/>
  <c r="H3" i="3"/>
  <c r="C37" i="4" s="1"/>
  <c r="A11" i="2"/>
  <c r="H16" i="3"/>
  <c r="H19" i="3"/>
  <c r="H25" i="3"/>
  <c r="H71" i="3"/>
  <c r="H9" i="3"/>
  <c r="H23" i="3"/>
  <c r="H72" i="3"/>
  <c r="H73" i="3"/>
  <c r="H75" i="3"/>
  <c r="H13" i="3"/>
  <c r="J97" i="4" s="1"/>
  <c r="H10" i="3"/>
  <c r="H26" i="3"/>
  <c r="H60" i="3"/>
  <c r="H50" i="3"/>
  <c r="H51" i="3"/>
  <c r="H52" i="3"/>
  <c r="H8" i="3"/>
  <c r="C137" i="4" s="1"/>
  <c r="H53" i="3"/>
  <c r="H5" i="3"/>
  <c r="C77" i="4" s="1"/>
  <c r="H54" i="3"/>
  <c r="H14" i="3"/>
  <c r="J117" i="4" s="1"/>
  <c r="H55" i="3"/>
  <c r="H32" i="3"/>
  <c r="H29" i="3"/>
  <c r="H34" i="3"/>
  <c r="H56" i="3"/>
  <c r="H57" i="3"/>
  <c r="H58" i="3"/>
  <c r="H30" i="3"/>
  <c r="H35" i="3"/>
  <c r="H41" i="3"/>
  <c r="H42" i="3"/>
  <c r="H43" i="3"/>
  <c r="H44" i="3"/>
  <c r="H36" i="3"/>
  <c r="H12" i="3"/>
  <c r="J77" i="4" s="1"/>
  <c r="H18" i="3"/>
  <c r="H21" i="3"/>
  <c r="H7" i="3"/>
  <c r="C117" i="4" s="1"/>
  <c r="H45" i="3"/>
  <c r="H46" i="3"/>
  <c r="H6" i="3"/>
  <c r="C97" i="4" s="1"/>
  <c r="H47" i="3"/>
  <c r="H48" i="3"/>
  <c r="H22" i="3"/>
  <c r="H20" i="3"/>
  <c r="C57" i="2" s="1"/>
  <c r="H24" i="3"/>
  <c r="H37" i="3"/>
  <c r="C97" i="2" s="1"/>
  <c r="H15" i="3"/>
  <c r="H17" i="3"/>
  <c r="H11" i="3"/>
  <c r="H38" i="3"/>
  <c r="H39" i="3"/>
  <c r="H28" i="3"/>
  <c r="H2" i="3"/>
  <c r="C17" i="4" s="1"/>
  <c r="C77" i="2" l="1"/>
  <c r="C37" i="2"/>
  <c r="J97" i="2"/>
  <c r="J57" i="4"/>
  <c r="C117" i="2"/>
  <c r="J137" i="4"/>
  <c r="C137" i="2"/>
  <c r="J137" i="2"/>
  <c r="C17" i="2"/>
  <c r="J117" i="2"/>
  <c r="J17" i="2"/>
  <c r="J37" i="2"/>
  <c r="J57" i="2"/>
  <c r="J77" i="2"/>
</calcChain>
</file>

<file path=xl/sharedStrings.xml><?xml version="1.0" encoding="utf-8"?>
<sst xmlns="http://schemas.openxmlformats.org/spreadsheetml/2006/main" count="330" uniqueCount="209">
  <si>
    <t>N° Fleje</t>
  </si>
  <si>
    <t>Descripción Material</t>
  </si>
  <si>
    <t>Medida mm</t>
  </si>
  <si>
    <t>Kg x Rollo</t>
  </si>
  <si>
    <t xml:space="preserve">Mgo Plano Manija </t>
  </si>
  <si>
    <t>19 x 2,1</t>
  </si>
  <si>
    <t>Cuchilla De Abrelatas</t>
  </si>
  <si>
    <t>65 x 1,25</t>
  </si>
  <si>
    <t xml:space="preserve">Engranaje Grande </t>
  </si>
  <si>
    <t>40 X 1,9</t>
  </si>
  <si>
    <t xml:space="preserve">Buje De Manija </t>
  </si>
  <si>
    <t>46 x 2,1</t>
  </si>
  <si>
    <t xml:space="preserve">Arandela Fina Manija </t>
  </si>
  <si>
    <t>38 x 0,55</t>
  </si>
  <si>
    <t xml:space="preserve">Mgo Plano Marip </t>
  </si>
  <si>
    <t>18,5 x 1,9</t>
  </si>
  <si>
    <t xml:space="preserve">Marip De Abrelatas </t>
  </si>
  <si>
    <t>60 x 2,1</t>
  </si>
  <si>
    <t xml:space="preserve">Engranaje Chico </t>
  </si>
  <si>
    <t>33 x 2</t>
  </si>
  <si>
    <t xml:space="preserve">Arandela Fina Marip. </t>
  </si>
  <si>
    <t>33 x 0,6</t>
  </si>
  <si>
    <t xml:space="preserve">Arandela Gde/Chica Afila </t>
  </si>
  <si>
    <t>77 x 1,25</t>
  </si>
  <si>
    <t xml:space="preserve">Cuerpo  Uña </t>
  </si>
  <si>
    <t>84 x 1,75Cha</t>
  </si>
  <si>
    <t xml:space="preserve">Rompenueces </t>
  </si>
  <si>
    <t>190 x 1,25</t>
  </si>
  <si>
    <t xml:space="preserve">Pieza Gde Sacaf. </t>
  </si>
  <si>
    <t>77 x 1,40</t>
  </si>
  <si>
    <t xml:space="preserve">Pieza Chica Sacaf </t>
  </si>
  <si>
    <t>95 x 1,4</t>
  </si>
  <si>
    <t>Perfora Y 3 En 1</t>
  </si>
  <si>
    <t>20 x 1,6</t>
  </si>
  <si>
    <t xml:space="preserve">Cuchilla De Pelador </t>
  </si>
  <si>
    <t>13,6 x 0,8</t>
  </si>
  <si>
    <t xml:space="preserve">Manguito De Pelador </t>
  </si>
  <si>
    <t>11 x 0,9</t>
  </si>
  <si>
    <t xml:space="preserve">Destapa Corona </t>
  </si>
  <si>
    <t>106 x 1,25</t>
  </si>
  <si>
    <t xml:space="preserve">Cpo Sacacorchos </t>
  </si>
  <si>
    <t>121 x 1,20</t>
  </si>
  <si>
    <t>Piruli y Cuchufli</t>
  </si>
  <si>
    <t>20 x 2,8</t>
  </si>
  <si>
    <t xml:space="preserve">Cabezales </t>
  </si>
  <si>
    <t>42 x 1,5</t>
  </si>
  <si>
    <t xml:space="preserve">Sacatapitas </t>
  </si>
  <si>
    <t>76,5 x 2,8</t>
  </si>
  <si>
    <t>Resorte p/ Pinza</t>
  </si>
  <si>
    <t>92 x 1,25</t>
  </si>
  <si>
    <t xml:space="preserve">Virola Sacaf/Bisagra </t>
  </si>
  <si>
    <t>40 x 0,45</t>
  </si>
  <si>
    <t xml:space="preserve">Vástago Linea Ac Inox </t>
  </si>
  <si>
    <t>10 x 2 m</t>
  </si>
  <si>
    <t xml:space="preserve">Patita </t>
  </si>
  <si>
    <t>91 x 1,75</t>
  </si>
  <si>
    <t>Varilla 6 Mm</t>
  </si>
  <si>
    <t>Ø6 mm</t>
  </si>
  <si>
    <t>Varilla B Pera Corta</t>
  </si>
  <si>
    <t>Ø2 x 600</t>
  </si>
  <si>
    <t>Varilla B Pera Larga</t>
  </si>
  <si>
    <t>Ø2 x 665</t>
  </si>
  <si>
    <t>Varilla Batidor Resorte</t>
  </si>
  <si>
    <t>Ø3.2 x 395</t>
  </si>
  <si>
    <t>Varilla Paleta Batidora</t>
  </si>
  <si>
    <t>Ø3.2 x 450</t>
  </si>
  <si>
    <t xml:space="preserve">Arand. Mang. Manija </t>
  </si>
  <si>
    <t>38 x 0,8</t>
  </si>
  <si>
    <t xml:space="preserve">Arandela Base </t>
  </si>
  <si>
    <t>40 x 1,5</t>
  </si>
  <si>
    <t>Arand. Cuchillitos</t>
  </si>
  <si>
    <t>46 x 0,8</t>
  </si>
  <si>
    <t xml:space="preserve">Pinza De Fideos </t>
  </si>
  <si>
    <t>136 x 0,8</t>
  </si>
  <si>
    <t xml:space="preserve">Pinza De Fiambres </t>
  </si>
  <si>
    <t>128 x 0,8</t>
  </si>
  <si>
    <t>84 x 1</t>
  </si>
  <si>
    <t xml:space="preserve">Pala Canelones </t>
  </si>
  <si>
    <t>58 X 0.8</t>
  </si>
  <si>
    <t xml:space="preserve">Cuchara y Espatula. Inox </t>
  </si>
  <si>
    <t>123 x 0,8</t>
  </si>
  <si>
    <t xml:space="preserve">Cucharon. Inox </t>
  </si>
  <si>
    <t>130 x 0,9</t>
  </si>
  <si>
    <t>Pinza Ensalada</t>
  </si>
  <si>
    <t>117 x 0,8</t>
  </si>
  <si>
    <t>Resorte Sacacorcho</t>
  </si>
  <si>
    <t>2,75mm</t>
  </si>
  <si>
    <t>46B</t>
  </si>
  <si>
    <t>Espiral 520</t>
  </si>
  <si>
    <t>6 x 2,75</t>
  </si>
  <si>
    <t>Espiral Doble Aleta</t>
  </si>
  <si>
    <t>3 mm</t>
  </si>
  <si>
    <t>Ganchito</t>
  </si>
  <si>
    <t>32 x 0,45</t>
  </si>
  <si>
    <t xml:space="preserve">Aletas </t>
  </si>
  <si>
    <t>132 x 2</t>
  </si>
  <si>
    <t xml:space="preserve">Uñas Nuevo </t>
  </si>
  <si>
    <t>66 x 1.2</t>
  </si>
  <si>
    <t xml:space="preserve">Vast. C Pizza/ Flech. Ahueca </t>
  </si>
  <si>
    <t>60 x 2</t>
  </si>
  <si>
    <t>Sacatapitas Doble Aleta</t>
  </si>
  <si>
    <t>78 x 2.5</t>
  </si>
  <si>
    <t>Disco C Raviol</t>
  </si>
  <si>
    <t>45 x 0.6</t>
  </si>
  <si>
    <t xml:space="preserve">Esses </t>
  </si>
  <si>
    <t>19 x 0.8</t>
  </si>
  <si>
    <t xml:space="preserve">Hoja Cuchillo Untar Mgo Plast </t>
  </si>
  <si>
    <t>64 x 1</t>
  </si>
  <si>
    <t>Pinza Gastronomica</t>
  </si>
  <si>
    <t>170 x 0.8</t>
  </si>
  <si>
    <t>Puntas 520</t>
  </si>
  <si>
    <t>2.5 x 5</t>
  </si>
  <si>
    <t>Mango Pelador Inox</t>
  </si>
  <si>
    <t>11 x 0.8</t>
  </si>
  <si>
    <t>13.6 x 0.8</t>
  </si>
  <si>
    <t xml:space="preserve">Cuerpo Uña Laminado </t>
  </si>
  <si>
    <t xml:space="preserve">Espumad. Inox </t>
  </si>
  <si>
    <t>Arandela Batidor</t>
  </si>
  <si>
    <t>25.5 x 0.5</t>
  </si>
  <si>
    <t>Bocha Ch A Papa/ Descar.</t>
  </si>
  <si>
    <t>40 x 0.8</t>
  </si>
  <si>
    <t>Bocha Gde A Frutas</t>
  </si>
  <si>
    <t>47 x 0.8</t>
  </si>
  <si>
    <t>Vast. C Pizza Gastr.</t>
  </si>
  <si>
    <t>75.5 x 2</t>
  </si>
  <si>
    <t xml:space="preserve">Sacapizzero Pza Chica </t>
  </si>
  <si>
    <t>18.5 x 2.5</t>
  </si>
  <si>
    <t xml:space="preserve">Sacapizzero Pza Gde </t>
  </si>
  <si>
    <t>31.5 x 2.5</t>
  </si>
  <si>
    <t>64 x 0.8</t>
  </si>
  <si>
    <t>Varilla Corta Queso</t>
  </si>
  <si>
    <t>Ø4 x 118</t>
  </si>
  <si>
    <t>Varilla Pinza Ch y Gr</t>
  </si>
  <si>
    <t>Ø4 x 346</t>
  </si>
  <si>
    <t>Alamb. Aluminio Ganch.</t>
  </si>
  <si>
    <t>1,2 mm.</t>
  </si>
  <si>
    <t xml:space="preserve">Capsula Gde D/ Aleta </t>
  </si>
  <si>
    <t>58.5 x 1.25</t>
  </si>
  <si>
    <t>Aletas Cortas</t>
  </si>
  <si>
    <t>96 x 2</t>
  </si>
  <si>
    <t>Sector</t>
  </si>
  <si>
    <t>Max 6 Mes KG</t>
  </si>
  <si>
    <t>Disc Pisa-Gde C Pizza-Hoja C Untar Mad</t>
  </si>
  <si>
    <t>Disco C Pizza Chi/Hoja C Untar Plas</t>
  </si>
  <si>
    <t>A9</t>
  </si>
  <si>
    <t>Max 3 Mes KG</t>
  </si>
  <si>
    <t>Ubi</t>
  </si>
  <si>
    <t>C y Faltantes quedan pendientes</t>
  </si>
  <si>
    <t>+</t>
  </si>
  <si>
    <t>-</t>
  </si>
  <si>
    <t>A3</t>
  </si>
  <si>
    <t>C2</t>
  </si>
  <si>
    <t>B8</t>
  </si>
  <si>
    <t>C7</t>
  </si>
  <si>
    <t>B3</t>
  </si>
  <si>
    <t>B5</t>
  </si>
  <si>
    <t>A11</t>
  </si>
  <si>
    <t>A1/2</t>
  </si>
  <si>
    <t>P3</t>
  </si>
  <si>
    <t>P8</t>
  </si>
  <si>
    <t>P9/10</t>
  </si>
  <si>
    <t>A12</t>
  </si>
  <si>
    <t>B6</t>
  </si>
  <si>
    <t>C1</t>
  </si>
  <si>
    <t>A7</t>
  </si>
  <si>
    <t>A6</t>
  </si>
  <si>
    <t>A8</t>
  </si>
  <si>
    <t>A5</t>
  </si>
  <si>
    <t>P4</t>
  </si>
  <si>
    <t xml:space="preserve">Rollos en Desuso </t>
  </si>
  <si>
    <t>Vacio</t>
  </si>
  <si>
    <t>A4</t>
  </si>
  <si>
    <t>C6</t>
  </si>
  <si>
    <t xml:space="preserve">Cuchilla Pelador </t>
  </si>
  <si>
    <t>Cuchilla Pelador Inox (NO USA)</t>
  </si>
  <si>
    <t>P6</t>
  </si>
  <si>
    <t>B2</t>
  </si>
  <si>
    <t>P5</t>
  </si>
  <si>
    <t>P2</t>
  </si>
  <si>
    <t>P7</t>
  </si>
  <si>
    <t>B4</t>
  </si>
  <si>
    <t>B7</t>
  </si>
  <si>
    <t>C8</t>
  </si>
  <si>
    <t>B1</t>
  </si>
  <si>
    <t>A10</t>
  </si>
  <si>
    <t>P1</t>
  </si>
  <si>
    <t>Discon</t>
  </si>
  <si>
    <t>Max 3 Mes Rollo Correct</t>
  </si>
  <si>
    <t>Max 3 Mes Rollo Actual</t>
  </si>
  <si>
    <t>Orden</t>
  </si>
  <si>
    <t>N°</t>
  </si>
  <si>
    <t>84 x 1,75</t>
  </si>
  <si>
    <t xml:space="preserve">Max Rollo: </t>
  </si>
  <si>
    <t>P12/13</t>
  </si>
  <si>
    <t>Pinza Corta</t>
  </si>
  <si>
    <t>A</t>
  </si>
  <si>
    <t xml:space="preserve">Max : </t>
  </si>
  <si>
    <t>Pinza Larga</t>
  </si>
  <si>
    <t>B</t>
  </si>
  <si>
    <t>C4</t>
  </si>
  <si>
    <t>C5</t>
  </si>
  <si>
    <t>Flechita Cruda Estampada</t>
  </si>
  <si>
    <t xml:space="preserve">Bocha Cruda Ahuecapapa </t>
  </si>
  <si>
    <t>Bocha Cruda Ahuecafruta</t>
  </si>
  <si>
    <t>D1</t>
  </si>
  <si>
    <t>Ahuecafruta p/Cromar</t>
  </si>
  <si>
    <t>Ahuecapapa p/Cromar</t>
  </si>
  <si>
    <t>D2</t>
  </si>
  <si>
    <t>Alambre Filtro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</si>
</sst>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48"/>
      <color theme="1"/>
      <name val="Calibri"/>
      <family val="2"/>
      <scheme val="minor"/>
    </font>
    <font>
      <sz val="11.5"/>
      <name val="Arial"/>
      <family val="2"/>
    </font>
    <font>
      <b/>
      <sz val="7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85"/>
      <color theme="1"/>
      <name val="Calibri"/>
      <family val="2"/>
      <scheme val="minor"/>
    </font>
    <font>
      <b/>
      <sz val="9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3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81">
    <xf numFmtId="0" fontId="0" fillId="0" borderId="0" xfId="0"/>
    <xf numFmtId="0" fontId="2" fillId="0" borderId="1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165" fontId="4" fillId="0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4" fillId="0" borderId="3" xfId="0" applyFont="1" applyBorder="1"/>
    <xf numFmtId="165" fontId="4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14" xfId="2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6" fillId="0" borderId="5" xfId="0" applyFont="1" applyBorder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0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4" xfId="2" xr:uid="{00000000-0005-0000-0000-000002000000}"/>
    <cellStyle name="Normal 4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295273</xdr:colOff>
      <xdr:row>32</xdr:row>
      <xdr:rowOff>28574</xdr:rowOff>
    </xdr:from>
    <xdr:to>
      <xdr:col>5</xdr:col>
      <xdr:colOff>447674</xdr:colOff>
      <xdr:row>37</xdr:row>
      <xdr:rowOff>142875</xdr:rowOff>
    </xdr:to>
    <xdr:sp macro="" textlink="">
      <xdr:nvSpPr>
        <xdr:cNvPr id="2" name="Flecha: hacia abajo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0800000">
          <a:off x="4094387" y="5172074"/>
          <a:ext cx="936173" cy="914401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314325</xdr:colOff>
      <xdr:row>12</xdr:row>
      <xdr:rowOff>57150</xdr:rowOff>
    </xdr:from>
    <xdr:to>
      <xdr:col>5</xdr:col>
      <xdr:colOff>466726</xdr:colOff>
      <xdr:row>18</xdr:row>
      <xdr:rowOff>9526</xdr:rowOff>
    </xdr:to>
    <xdr:sp macro="" textlink="">
      <xdr:nvSpPr>
        <xdr:cNvPr id="3" name="Flecha: hacia abajo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0800000">
          <a:off x="4113439" y="1973036"/>
          <a:ext cx="936173" cy="92120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285750</xdr:colOff>
      <xdr:row>52</xdr:row>
      <xdr:rowOff>76200</xdr:rowOff>
    </xdr:from>
    <xdr:to>
      <xdr:col>5</xdr:col>
      <xdr:colOff>438151</xdr:colOff>
      <xdr:row>58</xdr:row>
      <xdr:rowOff>28576</xdr:rowOff>
    </xdr:to>
    <xdr:sp macro="" textlink="">
      <xdr:nvSpPr>
        <xdr:cNvPr id="4" name="Flecha: hacia abajo 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0800000">
          <a:off x="4084864" y="8420100"/>
          <a:ext cx="936173" cy="910319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333127</xdr:colOff>
      <xdr:row>12</xdr:row>
      <xdr:rowOff>122464</xdr:rowOff>
    </xdr:from>
    <xdr:to>
      <xdr:col>12</xdr:col>
      <xdr:colOff>485530</xdr:colOff>
      <xdr:row>18</xdr:row>
      <xdr:rowOff>74840</xdr:rowOff>
    </xdr:to>
    <xdr:sp macro="" textlink="">
      <xdr:nvSpPr>
        <xdr:cNvPr id="5" name="Flecha: hacia abajo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10800000">
          <a:off x="10189647" y="2042308"/>
          <a:ext cx="934194" cy="92219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333127</xdr:colOff>
      <xdr:row>12</xdr:row>
      <xdr:rowOff>122464</xdr:rowOff>
    </xdr:from>
    <xdr:to>
      <xdr:col>19</xdr:col>
      <xdr:colOff>485530</xdr:colOff>
      <xdr:row>18</xdr:row>
      <xdr:rowOff>74840</xdr:rowOff>
    </xdr:to>
    <xdr:sp macro="" textlink="">
      <xdr:nvSpPr>
        <xdr:cNvPr id="6" name="Flecha: hacia abajo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10800000">
          <a:off x="15662192" y="2042308"/>
          <a:ext cx="934194" cy="92219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333127</xdr:colOff>
      <xdr:row>32</xdr:row>
      <xdr:rowOff>122464</xdr:rowOff>
    </xdr:from>
    <xdr:to>
      <xdr:col>12</xdr:col>
      <xdr:colOff>485530</xdr:colOff>
      <xdr:row>38</xdr:row>
      <xdr:rowOff>74840</xdr:rowOff>
    </xdr:to>
    <xdr:sp macro="" textlink="">
      <xdr:nvSpPr>
        <xdr:cNvPr id="8" name="Flecha: hacia abajo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 rot="10800000">
          <a:off x="10189647" y="5288229"/>
          <a:ext cx="934194" cy="92219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333127</xdr:colOff>
      <xdr:row>32</xdr:row>
      <xdr:rowOff>122464</xdr:rowOff>
    </xdr:from>
    <xdr:to>
      <xdr:col>19</xdr:col>
      <xdr:colOff>485530</xdr:colOff>
      <xdr:row>38</xdr:row>
      <xdr:rowOff>74840</xdr:rowOff>
    </xdr:to>
    <xdr:sp macro="" textlink="">
      <xdr:nvSpPr>
        <xdr:cNvPr id="9" name="Flecha: hacia abajo 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rot="10800000">
          <a:off x="15662192" y="2042308"/>
          <a:ext cx="934194" cy="92219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333127</xdr:colOff>
      <xdr:row>52</xdr:row>
      <xdr:rowOff>122464</xdr:rowOff>
    </xdr:from>
    <xdr:to>
      <xdr:col>19</xdr:col>
      <xdr:colOff>485530</xdr:colOff>
      <xdr:row>58</xdr:row>
      <xdr:rowOff>74840</xdr:rowOff>
    </xdr:to>
    <xdr:sp macro="" textlink="">
      <xdr:nvSpPr>
        <xdr:cNvPr id="10" name="Flecha: hacia abajo 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rot="10800000">
          <a:off x="15662192" y="5288229"/>
          <a:ext cx="934194" cy="92219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333127</xdr:colOff>
      <xdr:row>72</xdr:row>
      <xdr:rowOff>122464</xdr:rowOff>
    </xdr:from>
    <xdr:to>
      <xdr:col>19</xdr:col>
      <xdr:colOff>485530</xdr:colOff>
      <xdr:row>78</xdr:row>
      <xdr:rowOff>74840</xdr:rowOff>
    </xdr:to>
    <xdr:sp macro="" textlink="">
      <xdr:nvSpPr>
        <xdr:cNvPr id="11" name="Flecha: hacia abajo 6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0800000">
          <a:off x="15662192" y="8524257"/>
          <a:ext cx="934194" cy="92219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333127</xdr:colOff>
      <xdr:row>92</xdr:row>
      <xdr:rowOff>122464</xdr:rowOff>
    </xdr:from>
    <xdr:to>
      <xdr:col>19</xdr:col>
      <xdr:colOff>485530</xdr:colOff>
      <xdr:row>98</xdr:row>
      <xdr:rowOff>74840</xdr:rowOff>
    </xdr:to>
    <xdr:sp macro="" textlink="">
      <xdr:nvSpPr>
        <xdr:cNvPr id="12" name="Flecha: hacia abajo 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 rot="10800000">
          <a:off x="15662192" y="11760282"/>
          <a:ext cx="934194" cy="92219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333127</xdr:colOff>
      <xdr:row>112</xdr:row>
      <xdr:rowOff>122464</xdr:rowOff>
    </xdr:from>
    <xdr:to>
      <xdr:col>19</xdr:col>
      <xdr:colOff>485530</xdr:colOff>
      <xdr:row>118</xdr:row>
      <xdr:rowOff>74840</xdr:rowOff>
    </xdr:to>
    <xdr:sp macro="" textlink="">
      <xdr:nvSpPr>
        <xdr:cNvPr id="13" name="Flecha: hacia abajo 6">
          <a:extLst>
            <a:ext uri="{FF2B5EF4-FFF2-40B4-BE49-F238E27FC236}">
              <a16:creationId xmlns:a16="http://schemas.microsoft.com/office/drawing/2014/main" id="{F0B2B872-1355-4B89-B404-0C39F159D8AA}"/>
            </a:ext>
          </a:extLst>
        </xdr:cNvPr>
        <xdr:cNvSpPr/>
      </xdr:nvSpPr>
      <xdr:spPr>
        <a:xfrm rot="10800000">
          <a:off x="15157491" y="14912191"/>
          <a:ext cx="914403" cy="974149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259773</xdr:colOff>
      <xdr:row>72</xdr:row>
      <xdr:rowOff>69272</xdr:rowOff>
    </xdr:from>
    <xdr:to>
      <xdr:col>5</xdr:col>
      <xdr:colOff>412176</xdr:colOff>
      <xdr:row>78</xdr:row>
      <xdr:rowOff>21648</xdr:rowOff>
    </xdr:to>
    <xdr:sp macro="" textlink="">
      <xdr:nvSpPr>
        <xdr:cNvPr id="14" name="Flecha: hacia abajo 6">
          <a:extLst>
            <a:ext uri="{FF2B5EF4-FFF2-40B4-BE49-F238E27FC236}">
              <a16:creationId xmlns:a16="http://schemas.microsoft.com/office/drawing/2014/main" id="{AB04A43C-A3B0-4036-8166-6C12B4A582BE}"/>
            </a:ext>
          </a:extLst>
        </xdr:cNvPr>
        <xdr:cNvSpPr/>
      </xdr:nvSpPr>
      <xdr:spPr>
        <a:xfrm rot="10800000">
          <a:off x="3896591" y="11568545"/>
          <a:ext cx="914403" cy="974148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295273</xdr:colOff>
      <xdr:row>32</xdr:row>
      <xdr:rowOff>28574</xdr:rowOff>
    </xdr:from>
    <xdr:to>
      <xdr:col>5</xdr:col>
      <xdr:colOff>447674</xdr:colOff>
      <xdr:row>37</xdr:row>
      <xdr:rowOff>142875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0800000">
          <a:off x="3924298" y="5305424"/>
          <a:ext cx="914401" cy="942976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314325</xdr:colOff>
      <xdr:row>12</xdr:row>
      <xdr:rowOff>57150</xdr:rowOff>
    </xdr:from>
    <xdr:to>
      <xdr:col>5</xdr:col>
      <xdr:colOff>466726</xdr:colOff>
      <xdr:row>18</xdr:row>
      <xdr:rowOff>9526</xdr:rowOff>
    </xdr:to>
    <xdr:sp macro="" textlink="">
      <xdr:nvSpPr>
        <xdr:cNvPr id="7" name="Flecha: hacia abaj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 rot="10800000">
          <a:off x="3943350" y="2019300"/>
          <a:ext cx="914401" cy="942976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285750</xdr:colOff>
      <xdr:row>52</xdr:row>
      <xdr:rowOff>76200</xdr:rowOff>
    </xdr:from>
    <xdr:to>
      <xdr:col>5</xdr:col>
      <xdr:colOff>438151</xdr:colOff>
      <xdr:row>58</xdr:row>
      <xdr:rowOff>28576</xdr:rowOff>
    </xdr:to>
    <xdr:sp macro="" textlink="">
      <xdr:nvSpPr>
        <xdr:cNvPr id="8" name="Flecha: hacia abaj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 rot="10800000">
          <a:off x="3914775" y="8667750"/>
          <a:ext cx="914401" cy="942976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6"/>
  <sheetViews>
    <sheetView workbookViewId="0">
      <selection activeCell="B20" sqref="B20"/>
    </sheetView>
  </sheetViews>
  <sheetFormatPr baseColWidth="10" defaultRowHeight="12.75" x14ac:dyDescent="0.2"/>
  <cols>
    <col min="1" max="1" width="9.85546875" customWidth="1"/>
    <col min="3" max="3" width="8.28515625" customWidth="1"/>
    <col min="4" max="4" width="39.140625" customWidth="1"/>
    <col min="5" max="5" width="18.28515625" customWidth="1"/>
    <col min="6" max="6" width="11.140625" customWidth="1"/>
    <col min="7" max="7" width="11.42578125" hidden="1" customWidth="1"/>
    <col min="8" max="8" width="11.42578125" customWidth="1"/>
    <col min="9" max="10" width="0" hidden="1" customWidth="1"/>
    <col min="11" max="11" width="8.5703125" customWidth="1"/>
    <col min="12" max="12" width="6.28515625" customWidth="1"/>
  </cols>
  <sheetData>
    <row r="1" spans="1:16" ht="72.75" thickBot="1" x14ac:dyDescent="0.25">
      <c r="A1" s="15" t="s">
        <v>189</v>
      </c>
      <c r="B1" s="15" t="s">
        <v>140</v>
      </c>
      <c r="C1" s="1" t="s">
        <v>0</v>
      </c>
      <c r="D1" s="1" t="s">
        <v>1</v>
      </c>
      <c r="E1" s="1" t="s">
        <v>2</v>
      </c>
      <c r="F1" s="1" t="s">
        <v>145</v>
      </c>
      <c r="G1" s="1" t="s">
        <v>141</v>
      </c>
      <c r="H1" s="1" t="s">
        <v>187</v>
      </c>
      <c r="I1" s="1" t="s">
        <v>188</v>
      </c>
      <c r="J1" s="1"/>
      <c r="K1" s="1" t="s">
        <v>3</v>
      </c>
      <c r="L1" s="1" t="s">
        <v>146</v>
      </c>
    </row>
    <row r="2" spans="1:16" ht="18" x14ac:dyDescent="0.25">
      <c r="A2" s="16">
        <v>1</v>
      </c>
      <c r="B2" s="8" t="s">
        <v>157</v>
      </c>
      <c r="C2" s="2">
        <v>13</v>
      </c>
      <c r="D2" s="19" t="s">
        <v>115</v>
      </c>
      <c r="E2" s="21" t="s">
        <v>191</v>
      </c>
      <c r="F2" s="18">
        <v>0</v>
      </c>
      <c r="G2" s="9"/>
      <c r="H2" s="18">
        <f>F2/K2</f>
        <v>0</v>
      </c>
      <c r="I2" s="8">
        <v>6</v>
      </c>
      <c r="J2" s="8"/>
      <c r="K2" s="8">
        <v>71</v>
      </c>
      <c r="L2" s="16" t="s">
        <v>148</v>
      </c>
    </row>
    <row r="3" spans="1:16" ht="18" x14ac:dyDescent="0.25">
      <c r="A3" s="16">
        <v>2</v>
      </c>
      <c r="B3" s="8" t="s">
        <v>150</v>
      </c>
      <c r="C3" s="3">
        <v>1</v>
      </c>
      <c r="D3" s="4" t="s">
        <v>4</v>
      </c>
      <c r="E3" s="17" t="s">
        <v>5</v>
      </c>
      <c r="F3" s="18">
        <v>849.01582080000003</v>
      </c>
      <c r="G3" s="9">
        <v>1698.0316416000001</v>
      </c>
      <c r="H3" s="18">
        <f>F3/K3</f>
        <v>10.61269776</v>
      </c>
      <c r="I3" s="8">
        <v>11</v>
      </c>
      <c r="J3" s="8"/>
      <c r="K3" s="8">
        <v>80</v>
      </c>
      <c r="L3" s="16" t="s">
        <v>148</v>
      </c>
      <c r="P3" t="s">
        <v>147</v>
      </c>
    </row>
    <row r="4" spans="1:16" ht="18" x14ac:dyDescent="0.25">
      <c r="A4" s="16">
        <v>3</v>
      </c>
      <c r="B4" s="8" t="s">
        <v>171</v>
      </c>
      <c r="C4" s="3"/>
      <c r="D4" s="4" t="s">
        <v>170</v>
      </c>
      <c r="E4" s="17"/>
      <c r="F4" s="18"/>
      <c r="G4" s="9"/>
      <c r="H4" s="18"/>
      <c r="I4" s="8"/>
      <c r="J4" s="8"/>
      <c r="K4" s="8"/>
      <c r="L4" s="16" t="s">
        <v>148</v>
      </c>
    </row>
    <row r="5" spans="1:16" ht="18" x14ac:dyDescent="0.25">
      <c r="A5" s="16">
        <v>4</v>
      </c>
      <c r="B5" s="8" t="s">
        <v>167</v>
      </c>
      <c r="C5" s="3">
        <v>39</v>
      </c>
      <c r="D5" s="4" t="s">
        <v>72</v>
      </c>
      <c r="E5" s="17" t="s">
        <v>73</v>
      </c>
      <c r="F5" s="18">
        <v>52.113082752000011</v>
      </c>
      <c r="G5" s="9">
        <v>104.22616550400002</v>
      </c>
      <c r="H5" s="18">
        <f t="shared" ref="H5:H26" si="0">F5/K5</f>
        <v>0.56035572851612914</v>
      </c>
      <c r="I5" s="8">
        <v>1</v>
      </c>
      <c r="J5" s="8"/>
      <c r="K5" s="8">
        <v>93</v>
      </c>
      <c r="L5" s="16" t="s">
        <v>148</v>
      </c>
    </row>
    <row r="6" spans="1:16" ht="18" x14ac:dyDescent="0.25">
      <c r="A6" s="16">
        <v>5</v>
      </c>
      <c r="B6" s="8" t="s">
        <v>165</v>
      </c>
      <c r="C6" s="3">
        <v>29</v>
      </c>
      <c r="D6" s="4" t="s">
        <v>54</v>
      </c>
      <c r="E6" s="17" t="s">
        <v>55</v>
      </c>
      <c r="F6" s="18">
        <v>396.38242917000002</v>
      </c>
      <c r="G6" s="9">
        <v>792.76485834000005</v>
      </c>
      <c r="H6" s="18">
        <f t="shared" si="0"/>
        <v>3.9638242917000004</v>
      </c>
      <c r="I6" s="8">
        <v>4</v>
      </c>
      <c r="J6" s="8"/>
      <c r="K6" s="8">
        <v>100</v>
      </c>
      <c r="L6" s="16"/>
    </row>
    <row r="7" spans="1:16" ht="18" x14ac:dyDescent="0.25">
      <c r="A7" s="16">
        <v>6</v>
      </c>
      <c r="B7" s="8" t="s">
        <v>164</v>
      </c>
      <c r="C7" s="3">
        <v>26</v>
      </c>
      <c r="D7" s="4" t="s">
        <v>48</v>
      </c>
      <c r="E7" s="17" t="s">
        <v>49</v>
      </c>
      <c r="F7" s="18">
        <v>61.566436800000005</v>
      </c>
      <c r="G7" s="9">
        <v>123.13287360000001</v>
      </c>
      <c r="H7" s="18">
        <f t="shared" si="0"/>
        <v>0.7076601931034483</v>
      </c>
      <c r="I7" s="8">
        <v>1</v>
      </c>
      <c r="J7" s="8"/>
      <c r="K7" s="8">
        <v>87</v>
      </c>
      <c r="L7" s="16" t="s">
        <v>148</v>
      </c>
    </row>
    <row r="8" spans="1:16" ht="18" x14ac:dyDescent="0.25">
      <c r="A8" s="16">
        <v>7</v>
      </c>
      <c r="B8" s="8" t="s">
        <v>166</v>
      </c>
      <c r="C8" s="3">
        <v>36</v>
      </c>
      <c r="D8" s="4" t="s">
        <v>68</v>
      </c>
      <c r="E8" s="17" t="s">
        <v>69</v>
      </c>
      <c r="F8" s="18">
        <v>67.825512000000003</v>
      </c>
      <c r="G8" s="9">
        <v>135.65102400000001</v>
      </c>
      <c r="H8" s="18">
        <f t="shared" si="0"/>
        <v>1.2797266415094339</v>
      </c>
      <c r="I8" s="8">
        <v>2</v>
      </c>
      <c r="J8" s="8"/>
      <c r="K8" s="8">
        <v>53</v>
      </c>
      <c r="L8" s="16" t="s">
        <v>148</v>
      </c>
    </row>
    <row r="9" spans="1:16" ht="18" x14ac:dyDescent="0.25">
      <c r="A9" s="16">
        <v>8</v>
      </c>
      <c r="B9" s="8" t="s">
        <v>144</v>
      </c>
      <c r="C9" s="3">
        <v>76</v>
      </c>
      <c r="D9" s="4" t="s">
        <v>104</v>
      </c>
      <c r="E9" s="17" t="s">
        <v>105</v>
      </c>
      <c r="F9" s="18">
        <v>39.018599424000001</v>
      </c>
      <c r="G9" s="9">
        <v>78.037198848000003</v>
      </c>
      <c r="H9" s="18">
        <f t="shared" si="0"/>
        <v>3.5471454021818185</v>
      </c>
      <c r="I9" s="8">
        <v>3</v>
      </c>
      <c r="J9" s="8"/>
      <c r="K9" s="8">
        <v>11</v>
      </c>
      <c r="L9" s="16" t="s">
        <v>148</v>
      </c>
    </row>
    <row r="10" spans="1:16" ht="18" x14ac:dyDescent="0.25">
      <c r="A10" s="16">
        <v>9</v>
      </c>
      <c r="B10" s="8" t="s">
        <v>184</v>
      </c>
      <c r="C10" s="3">
        <v>85</v>
      </c>
      <c r="D10" s="4" t="s">
        <v>174</v>
      </c>
      <c r="E10" s="17" t="s">
        <v>114</v>
      </c>
      <c r="F10" s="18">
        <v>0</v>
      </c>
      <c r="G10" s="9">
        <v>0</v>
      </c>
      <c r="H10" s="18">
        <f t="shared" si="0"/>
        <v>0</v>
      </c>
      <c r="I10" s="8">
        <v>17</v>
      </c>
      <c r="J10" s="8"/>
      <c r="K10" s="8">
        <v>25</v>
      </c>
      <c r="L10" s="16"/>
    </row>
    <row r="11" spans="1:16" ht="18" x14ac:dyDescent="0.25">
      <c r="A11" s="16">
        <v>10</v>
      </c>
      <c r="B11" s="8" t="s">
        <v>156</v>
      </c>
      <c r="C11" s="3">
        <v>8</v>
      </c>
      <c r="D11" s="4" t="s">
        <v>18</v>
      </c>
      <c r="E11" s="17" t="s">
        <v>19</v>
      </c>
      <c r="F11" s="18">
        <v>101.94256511999998</v>
      </c>
      <c r="G11" s="9">
        <v>203.88513023999997</v>
      </c>
      <c r="H11" s="18">
        <f t="shared" si="0"/>
        <v>1.9604339446153842</v>
      </c>
      <c r="I11" s="8">
        <v>2</v>
      </c>
      <c r="J11" s="8"/>
      <c r="K11" s="8">
        <v>52</v>
      </c>
      <c r="L11" s="16"/>
    </row>
    <row r="12" spans="1:16" ht="18" x14ac:dyDescent="0.25">
      <c r="A12" s="16">
        <v>11</v>
      </c>
      <c r="B12" s="8" t="s">
        <v>161</v>
      </c>
      <c r="C12" s="3">
        <v>23</v>
      </c>
      <c r="D12" s="4" t="s">
        <v>42</v>
      </c>
      <c r="E12" s="17" t="s">
        <v>43</v>
      </c>
      <c r="F12" s="18">
        <v>223.47539424000001</v>
      </c>
      <c r="G12" s="9">
        <v>446.95078848000003</v>
      </c>
      <c r="H12" s="18">
        <f t="shared" si="0"/>
        <v>2.9796719232000002</v>
      </c>
      <c r="I12" s="8">
        <v>3</v>
      </c>
      <c r="J12" s="8"/>
      <c r="K12" s="8">
        <v>75</v>
      </c>
      <c r="L12" s="16" t="s">
        <v>149</v>
      </c>
    </row>
    <row r="13" spans="1:16" ht="18" x14ac:dyDescent="0.25">
      <c r="A13" s="16">
        <v>12</v>
      </c>
      <c r="B13" s="8" t="s">
        <v>183</v>
      </c>
      <c r="C13" s="3">
        <v>84</v>
      </c>
      <c r="D13" s="4" t="s">
        <v>112</v>
      </c>
      <c r="E13" s="17" t="s">
        <v>113</v>
      </c>
      <c r="F13" s="18">
        <v>0</v>
      </c>
      <c r="G13" s="9">
        <v>0</v>
      </c>
      <c r="H13" s="18">
        <f t="shared" si="0"/>
        <v>0</v>
      </c>
      <c r="I13" s="8">
        <v>31</v>
      </c>
      <c r="J13" s="8"/>
      <c r="K13" s="8">
        <v>30</v>
      </c>
      <c r="L13" s="16" t="s">
        <v>148</v>
      </c>
    </row>
    <row r="14" spans="1:16" ht="18" x14ac:dyDescent="0.25">
      <c r="A14" s="16">
        <v>13</v>
      </c>
      <c r="B14" s="8" t="s">
        <v>176</v>
      </c>
      <c r="C14" s="3">
        <v>41</v>
      </c>
      <c r="D14" s="10" t="s">
        <v>142</v>
      </c>
      <c r="E14" s="17" t="s">
        <v>76</v>
      </c>
      <c r="F14" s="18">
        <v>467.48161152</v>
      </c>
      <c r="G14" s="9">
        <v>934.96322304</v>
      </c>
      <c r="H14" s="18">
        <f t="shared" si="0"/>
        <v>7.791360192</v>
      </c>
      <c r="I14" s="8">
        <v>10</v>
      </c>
      <c r="J14" s="8"/>
      <c r="K14" s="8">
        <v>60</v>
      </c>
      <c r="L14" s="16"/>
    </row>
    <row r="15" spans="1:16" ht="18" x14ac:dyDescent="0.25">
      <c r="A15" s="16">
        <v>14</v>
      </c>
      <c r="B15" s="8" t="s">
        <v>154</v>
      </c>
      <c r="C15" s="3">
        <v>6</v>
      </c>
      <c r="D15" s="4" t="s">
        <v>14</v>
      </c>
      <c r="E15" s="17" t="s">
        <v>15</v>
      </c>
      <c r="F15" s="18">
        <v>1092.6292943159999</v>
      </c>
      <c r="G15" s="9">
        <v>2185.2585886319998</v>
      </c>
      <c r="H15" s="18">
        <f t="shared" si="0"/>
        <v>18.2104882386</v>
      </c>
      <c r="I15" s="8">
        <v>18</v>
      </c>
      <c r="J15" s="8"/>
      <c r="K15" s="8">
        <v>60</v>
      </c>
      <c r="L15" s="16" t="s">
        <v>149</v>
      </c>
    </row>
    <row r="16" spans="1:16" ht="18" x14ac:dyDescent="0.25">
      <c r="A16" s="16">
        <v>15</v>
      </c>
      <c r="B16" s="8" t="s">
        <v>180</v>
      </c>
      <c r="C16" s="3">
        <v>57</v>
      </c>
      <c r="D16" s="4" t="s">
        <v>96</v>
      </c>
      <c r="E16" s="17" t="s">
        <v>97</v>
      </c>
      <c r="F16" s="18">
        <v>456.04668859200018</v>
      </c>
      <c r="G16" s="9">
        <v>912.09337718400036</v>
      </c>
      <c r="H16" s="18">
        <f t="shared" si="0"/>
        <v>6.3339817860000025</v>
      </c>
      <c r="I16" s="8">
        <v>6</v>
      </c>
      <c r="J16" s="8"/>
      <c r="K16" s="8">
        <v>72</v>
      </c>
      <c r="L16" s="16" t="s">
        <v>149</v>
      </c>
    </row>
    <row r="17" spans="1:12" ht="18" x14ac:dyDescent="0.25">
      <c r="A17" s="16">
        <v>16</v>
      </c>
      <c r="B17" s="8" t="s">
        <v>155</v>
      </c>
      <c r="C17" s="3">
        <v>7</v>
      </c>
      <c r="D17" s="4" t="s">
        <v>16</v>
      </c>
      <c r="E17" s="17" t="s">
        <v>17</v>
      </c>
      <c r="F17" s="18">
        <v>389.23524863999995</v>
      </c>
      <c r="G17" s="9">
        <v>778.4704972799999</v>
      </c>
      <c r="H17" s="18">
        <f t="shared" si="0"/>
        <v>3.4445597224778757</v>
      </c>
      <c r="I17" s="8">
        <v>3</v>
      </c>
      <c r="J17" s="8"/>
      <c r="K17" s="8">
        <v>113</v>
      </c>
      <c r="L17" s="16"/>
    </row>
    <row r="18" spans="1:12" ht="18" x14ac:dyDescent="0.25">
      <c r="A18" s="16">
        <v>17</v>
      </c>
      <c r="B18" s="8" t="s">
        <v>162</v>
      </c>
      <c r="C18" s="3">
        <v>24</v>
      </c>
      <c r="D18" s="4" t="s">
        <v>44</v>
      </c>
      <c r="E18" s="17" t="s">
        <v>45</v>
      </c>
      <c r="F18" s="18">
        <v>747.43459560000008</v>
      </c>
      <c r="G18" s="9">
        <v>1494.8691912000002</v>
      </c>
      <c r="H18" s="18">
        <f t="shared" si="0"/>
        <v>11.155740232835822</v>
      </c>
      <c r="I18" s="8">
        <v>11</v>
      </c>
      <c r="J18" s="8"/>
      <c r="K18" s="8">
        <v>67</v>
      </c>
      <c r="L18" s="16"/>
    </row>
    <row r="19" spans="1:12" ht="18" x14ac:dyDescent="0.25">
      <c r="A19" s="16">
        <v>18</v>
      </c>
      <c r="B19" s="8" t="s">
        <v>181</v>
      </c>
      <c r="C19" s="3">
        <v>59</v>
      </c>
      <c r="D19" s="11" t="s">
        <v>98</v>
      </c>
      <c r="E19" s="17" t="s">
        <v>99</v>
      </c>
      <c r="F19" s="18">
        <v>34.124976000000004</v>
      </c>
      <c r="G19" s="9">
        <v>68.249952000000008</v>
      </c>
      <c r="H19" s="18">
        <f t="shared" si="0"/>
        <v>0.34821404081632656</v>
      </c>
      <c r="I19" s="8">
        <v>1</v>
      </c>
      <c r="J19" s="8"/>
      <c r="K19" s="8">
        <v>98</v>
      </c>
      <c r="L19" s="16"/>
    </row>
    <row r="20" spans="1:12" ht="18" x14ac:dyDescent="0.25">
      <c r="A20" s="16">
        <v>19</v>
      </c>
      <c r="B20" s="8" t="s">
        <v>152</v>
      </c>
      <c r="C20" s="3">
        <v>3</v>
      </c>
      <c r="D20" s="4" t="s">
        <v>8</v>
      </c>
      <c r="E20" s="17" t="s">
        <v>9</v>
      </c>
      <c r="F20" s="18">
        <v>151.60996799999998</v>
      </c>
      <c r="G20" s="9">
        <v>303.21993599999996</v>
      </c>
      <c r="H20" s="18">
        <f t="shared" si="0"/>
        <v>1.7836466823529409</v>
      </c>
      <c r="I20" s="8">
        <v>1</v>
      </c>
      <c r="J20" s="8"/>
      <c r="K20" s="8">
        <v>85</v>
      </c>
      <c r="L20" s="16"/>
    </row>
    <row r="21" spans="1:12" ht="18" x14ac:dyDescent="0.25">
      <c r="A21" s="16"/>
      <c r="B21" s="8" t="s">
        <v>163</v>
      </c>
      <c r="C21" s="3">
        <v>25</v>
      </c>
      <c r="D21" s="4" t="s">
        <v>46</v>
      </c>
      <c r="E21" s="17" t="s">
        <v>47</v>
      </c>
      <c r="F21" s="18">
        <v>348.17937966</v>
      </c>
      <c r="G21" s="9">
        <v>696.35875931999999</v>
      </c>
      <c r="H21" s="18">
        <f t="shared" si="0"/>
        <v>4.4638382007692305</v>
      </c>
      <c r="I21" s="8">
        <v>4</v>
      </c>
      <c r="J21" s="8"/>
      <c r="K21" s="8">
        <v>78</v>
      </c>
      <c r="L21" s="16" t="s">
        <v>149</v>
      </c>
    </row>
    <row r="22" spans="1:12" ht="18" x14ac:dyDescent="0.25">
      <c r="A22" s="16"/>
      <c r="B22" s="8" t="s">
        <v>151</v>
      </c>
      <c r="C22" s="3">
        <v>2</v>
      </c>
      <c r="D22" s="4" t="s">
        <v>6</v>
      </c>
      <c r="E22" s="17" t="s">
        <v>7</v>
      </c>
      <c r="F22" s="18">
        <v>662.31798749999984</v>
      </c>
      <c r="G22" s="9">
        <v>1324.6359749999997</v>
      </c>
      <c r="H22" s="18">
        <f t="shared" si="0"/>
        <v>5.8612211283185829</v>
      </c>
      <c r="I22" s="8">
        <v>5</v>
      </c>
      <c r="J22" s="8"/>
      <c r="K22" s="8">
        <v>113</v>
      </c>
      <c r="L22" s="16" t="s">
        <v>148</v>
      </c>
    </row>
    <row r="23" spans="1:12" ht="18" x14ac:dyDescent="0.25">
      <c r="A23" s="16"/>
      <c r="B23" s="8" t="s">
        <v>172</v>
      </c>
      <c r="C23" s="3">
        <v>77</v>
      </c>
      <c r="D23" s="4" t="s">
        <v>106</v>
      </c>
      <c r="E23" s="17" t="s">
        <v>107</v>
      </c>
      <c r="F23" s="18">
        <v>0</v>
      </c>
      <c r="G23" s="9"/>
      <c r="H23" s="18">
        <f t="shared" si="0"/>
        <v>0</v>
      </c>
      <c r="I23" s="8" t="s">
        <v>186</v>
      </c>
      <c r="J23" s="8"/>
      <c r="K23" s="8">
        <v>45</v>
      </c>
      <c r="L23" s="16" t="s">
        <v>148</v>
      </c>
    </row>
    <row r="24" spans="1:12" ht="18" x14ac:dyDescent="0.25">
      <c r="A24" s="16"/>
      <c r="B24" s="8" t="s">
        <v>153</v>
      </c>
      <c r="C24" s="3">
        <v>4</v>
      </c>
      <c r="D24" s="4" t="s">
        <v>10</v>
      </c>
      <c r="E24" s="17" t="s">
        <v>11</v>
      </c>
      <c r="F24" s="18">
        <v>59.95243296000001</v>
      </c>
      <c r="G24" s="9">
        <v>119.90486592000002</v>
      </c>
      <c r="H24" s="18">
        <f t="shared" si="0"/>
        <v>0.98282676983606576</v>
      </c>
      <c r="I24" s="8">
        <v>1</v>
      </c>
      <c r="J24" s="8"/>
      <c r="K24" s="8">
        <v>61</v>
      </c>
      <c r="L24" s="16" t="s">
        <v>148</v>
      </c>
    </row>
    <row r="25" spans="1:12" ht="18" x14ac:dyDescent="0.25">
      <c r="A25" s="16"/>
      <c r="B25" s="8" t="s">
        <v>182</v>
      </c>
      <c r="C25" s="3">
        <v>62</v>
      </c>
      <c r="D25" s="11" t="s">
        <v>123</v>
      </c>
      <c r="E25" s="5" t="s">
        <v>124</v>
      </c>
      <c r="F25" s="18">
        <v>57.066127776000016</v>
      </c>
      <c r="G25" s="9">
        <v>114.13225555200003</v>
      </c>
      <c r="H25" s="18">
        <f t="shared" si="0"/>
        <v>0.71332659720000025</v>
      </c>
      <c r="I25" s="8">
        <v>1</v>
      </c>
      <c r="J25" s="8"/>
      <c r="K25" s="8">
        <v>80</v>
      </c>
      <c r="L25" s="16" t="s">
        <v>148</v>
      </c>
    </row>
    <row r="26" spans="1:12" ht="18" x14ac:dyDescent="0.25">
      <c r="A26" s="16"/>
      <c r="B26" s="8" t="s">
        <v>185</v>
      </c>
      <c r="C26" s="3">
        <v>85</v>
      </c>
      <c r="D26" s="4" t="s">
        <v>173</v>
      </c>
      <c r="E26" s="17" t="s">
        <v>114</v>
      </c>
      <c r="F26" s="18">
        <v>0</v>
      </c>
      <c r="G26" s="9">
        <v>0</v>
      </c>
      <c r="H26" s="18">
        <f t="shared" si="0"/>
        <v>0</v>
      </c>
      <c r="I26" s="8">
        <v>17</v>
      </c>
      <c r="J26" s="8"/>
      <c r="K26" s="8">
        <v>33</v>
      </c>
      <c r="L26" s="16"/>
    </row>
    <row r="27" spans="1:12" ht="18" x14ac:dyDescent="0.25">
      <c r="A27" s="16"/>
      <c r="B27" s="8" t="s">
        <v>185</v>
      </c>
      <c r="C27" s="3"/>
      <c r="D27" s="4" t="s">
        <v>170</v>
      </c>
      <c r="E27" s="17"/>
      <c r="F27" s="18"/>
      <c r="G27" s="9"/>
      <c r="H27" s="18"/>
      <c r="I27" s="8"/>
      <c r="J27" s="8"/>
      <c r="K27" s="8"/>
      <c r="L27" s="16"/>
    </row>
    <row r="28" spans="1:12" ht="18" x14ac:dyDescent="0.25">
      <c r="A28" s="16"/>
      <c r="B28" s="8" t="s">
        <v>193</v>
      </c>
      <c r="C28" s="3">
        <v>12</v>
      </c>
      <c r="D28" s="4" t="s">
        <v>24</v>
      </c>
      <c r="E28" s="17" t="s">
        <v>25</v>
      </c>
      <c r="F28" s="18">
        <v>1541.1407911200006</v>
      </c>
      <c r="G28" s="9">
        <v>3082.2815822400012</v>
      </c>
      <c r="H28" s="18">
        <f>F28/K28</f>
        <v>19.264259889000009</v>
      </c>
      <c r="I28" s="8">
        <v>10</v>
      </c>
      <c r="J28" s="8"/>
      <c r="K28" s="8">
        <v>80</v>
      </c>
      <c r="L28" s="16" t="s">
        <v>148</v>
      </c>
    </row>
    <row r="29" spans="1:12" ht="18" x14ac:dyDescent="0.25">
      <c r="A29" s="16"/>
      <c r="B29" s="8" t="s">
        <v>178</v>
      </c>
      <c r="C29" s="3">
        <v>44</v>
      </c>
      <c r="D29" s="4" t="s">
        <v>81</v>
      </c>
      <c r="E29" s="17" t="s">
        <v>82</v>
      </c>
      <c r="F29" s="18">
        <v>84.752179200000015</v>
      </c>
      <c r="G29" s="9">
        <v>169.50435840000003</v>
      </c>
      <c r="H29" s="18">
        <f>F29/K29</f>
        <v>1.0865664000000002</v>
      </c>
      <c r="I29" s="8">
        <v>1</v>
      </c>
      <c r="J29" s="8"/>
      <c r="K29" s="8">
        <v>78</v>
      </c>
      <c r="L29" s="16"/>
    </row>
    <row r="30" spans="1:12" ht="18" x14ac:dyDescent="0.25">
      <c r="A30" s="16"/>
      <c r="B30" s="8" t="s">
        <v>158</v>
      </c>
      <c r="C30" s="3">
        <v>16</v>
      </c>
      <c r="D30" s="4" t="s">
        <v>28</v>
      </c>
      <c r="E30" s="17" t="s">
        <v>29</v>
      </c>
      <c r="F30" s="18">
        <v>140.00917392000002</v>
      </c>
      <c r="G30" s="9">
        <v>280.01834784000005</v>
      </c>
      <c r="H30" s="18">
        <f>F30/K30</f>
        <v>1.9719601960563384</v>
      </c>
      <c r="I30" s="8">
        <v>2</v>
      </c>
      <c r="J30" s="8"/>
      <c r="K30" s="8">
        <v>71</v>
      </c>
      <c r="L30" s="16"/>
    </row>
    <row r="31" spans="1:12" ht="18" x14ac:dyDescent="0.25">
      <c r="A31" s="16"/>
      <c r="B31" s="8" t="s">
        <v>168</v>
      </c>
      <c r="C31" s="3"/>
      <c r="D31" s="4" t="s">
        <v>169</v>
      </c>
      <c r="E31" s="17"/>
      <c r="F31" s="18"/>
      <c r="G31" s="9"/>
      <c r="H31" s="18"/>
      <c r="I31" s="8"/>
      <c r="J31" s="8"/>
      <c r="K31" s="8"/>
      <c r="L31" s="16"/>
    </row>
    <row r="32" spans="1:12" ht="18" x14ac:dyDescent="0.25">
      <c r="A32" s="16"/>
      <c r="B32" s="8" t="s">
        <v>177</v>
      </c>
      <c r="C32" s="3">
        <v>43</v>
      </c>
      <c r="D32" s="4" t="s">
        <v>79</v>
      </c>
      <c r="E32" s="17" t="s">
        <v>80</v>
      </c>
      <c r="F32" s="18">
        <v>120.39427353600003</v>
      </c>
      <c r="G32" s="9">
        <v>240.78854707200006</v>
      </c>
      <c r="H32" s="18">
        <f>F32/K32</f>
        <v>1.4332651611428575</v>
      </c>
      <c r="I32" s="8">
        <v>1</v>
      </c>
      <c r="J32" s="8"/>
      <c r="K32" s="8">
        <v>84</v>
      </c>
      <c r="L32" s="16"/>
    </row>
    <row r="33" spans="1:12" ht="18" x14ac:dyDescent="0.25">
      <c r="A33" s="16"/>
      <c r="B33" s="8" t="s">
        <v>175</v>
      </c>
      <c r="C33" s="3"/>
      <c r="D33" s="4" t="s">
        <v>170</v>
      </c>
      <c r="E33" s="17"/>
      <c r="F33" s="18"/>
      <c r="G33" s="9"/>
      <c r="H33" s="18"/>
      <c r="I33" s="8"/>
      <c r="J33" s="8"/>
      <c r="K33" s="8"/>
      <c r="L33" s="16"/>
    </row>
    <row r="34" spans="1:12" ht="18" x14ac:dyDescent="0.25">
      <c r="A34" s="16"/>
      <c r="B34" s="8" t="s">
        <v>179</v>
      </c>
      <c r="C34" s="3">
        <v>45</v>
      </c>
      <c r="D34" s="4" t="s">
        <v>83</v>
      </c>
      <c r="E34" s="17" t="s">
        <v>84</v>
      </c>
      <c r="F34" s="18">
        <v>121.69883232000002</v>
      </c>
      <c r="G34" s="9">
        <v>243.39766464000004</v>
      </c>
      <c r="H34" s="18">
        <f t="shared" ref="H34:H39" si="1">F34/K34</f>
        <v>1.5212354040000002</v>
      </c>
      <c r="I34" s="8">
        <v>2</v>
      </c>
      <c r="J34" s="8"/>
      <c r="K34" s="8">
        <v>80</v>
      </c>
      <c r="L34" s="16"/>
    </row>
    <row r="35" spans="1:12" ht="18" x14ac:dyDescent="0.25">
      <c r="A35" s="16"/>
      <c r="B35" s="8" t="s">
        <v>159</v>
      </c>
      <c r="C35" s="3">
        <v>17</v>
      </c>
      <c r="D35" s="4" t="s">
        <v>30</v>
      </c>
      <c r="E35" s="17" t="s">
        <v>31</v>
      </c>
      <c r="F35" s="18">
        <v>54.192499200000015</v>
      </c>
      <c r="G35" s="9">
        <v>108.38499840000003</v>
      </c>
      <c r="H35" s="18">
        <f t="shared" si="1"/>
        <v>0.54192499200000011</v>
      </c>
      <c r="I35" s="8">
        <v>1</v>
      </c>
      <c r="J35" s="8"/>
      <c r="K35" s="8">
        <v>100</v>
      </c>
      <c r="L35" s="16" t="s">
        <v>148</v>
      </c>
    </row>
    <row r="36" spans="1:12" ht="18" x14ac:dyDescent="0.25">
      <c r="A36" s="16"/>
      <c r="B36" s="8" t="s">
        <v>160</v>
      </c>
      <c r="C36" s="3">
        <v>22</v>
      </c>
      <c r="D36" s="4" t="s">
        <v>40</v>
      </c>
      <c r="E36" s="17" t="s">
        <v>41</v>
      </c>
      <c r="F36" s="18">
        <v>1221.5216819520001</v>
      </c>
      <c r="G36" s="9">
        <v>2443.0433639040002</v>
      </c>
      <c r="H36" s="18">
        <f t="shared" si="1"/>
        <v>17.450309742171431</v>
      </c>
      <c r="I36" s="8">
        <v>17</v>
      </c>
      <c r="J36" s="8"/>
      <c r="K36" s="8">
        <v>70</v>
      </c>
      <c r="L36" s="16"/>
    </row>
    <row r="37" spans="1:12" ht="18" x14ac:dyDescent="0.25">
      <c r="A37" s="16"/>
      <c r="B37" s="8"/>
      <c r="C37" s="3">
        <v>5</v>
      </c>
      <c r="D37" s="4" t="s">
        <v>12</v>
      </c>
      <c r="E37" s="17" t="s">
        <v>13</v>
      </c>
      <c r="F37" s="18">
        <v>25.710523740000006</v>
      </c>
      <c r="G37" s="9">
        <v>51.421047480000013</v>
      </c>
      <c r="H37" s="18">
        <f t="shared" si="1"/>
        <v>0.40810355142857152</v>
      </c>
      <c r="I37" s="8"/>
      <c r="J37" s="8"/>
      <c r="K37" s="8">
        <v>63</v>
      </c>
      <c r="L37" s="16" t="s">
        <v>148</v>
      </c>
    </row>
    <row r="38" spans="1:12" ht="18" x14ac:dyDescent="0.25">
      <c r="A38" s="16"/>
      <c r="B38" s="8"/>
      <c r="C38" s="3">
        <v>9</v>
      </c>
      <c r="D38" s="4" t="s">
        <v>20</v>
      </c>
      <c r="E38" s="17" t="s">
        <v>21</v>
      </c>
      <c r="F38" s="18">
        <v>28.671346440000001</v>
      </c>
      <c r="G38" s="9">
        <v>57.342692880000001</v>
      </c>
      <c r="H38" s="18">
        <f t="shared" si="1"/>
        <v>0.44798978812500001</v>
      </c>
      <c r="I38" s="8"/>
      <c r="J38" s="8"/>
      <c r="K38" s="8">
        <v>64</v>
      </c>
      <c r="L38" s="16"/>
    </row>
    <row r="39" spans="1:12" ht="18" x14ac:dyDescent="0.25">
      <c r="A39" s="16"/>
      <c r="B39" s="8"/>
      <c r="C39" s="3">
        <v>10</v>
      </c>
      <c r="D39" s="4" t="s">
        <v>22</v>
      </c>
      <c r="E39" s="17" t="s">
        <v>23</v>
      </c>
      <c r="F39" s="18">
        <v>112.5817275</v>
      </c>
      <c r="G39" s="9">
        <v>225.163455</v>
      </c>
      <c r="H39" s="18">
        <f t="shared" si="1"/>
        <v>1.40727159375</v>
      </c>
      <c r="I39" s="8"/>
      <c r="J39" s="8"/>
      <c r="K39" s="8">
        <v>80</v>
      </c>
      <c r="L39" s="16" t="s">
        <v>148</v>
      </c>
    </row>
    <row r="40" spans="1:12" ht="18" x14ac:dyDescent="0.25">
      <c r="A40" s="16"/>
      <c r="B40" s="8"/>
      <c r="C40" s="3">
        <v>15</v>
      </c>
      <c r="D40" s="4" t="s">
        <v>26</v>
      </c>
      <c r="E40" s="17" t="s">
        <v>27</v>
      </c>
      <c r="F40" s="18">
        <v>191.12533200000001</v>
      </c>
      <c r="G40" s="9">
        <v>382.25066400000003</v>
      </c>
      <c r="H40" s="18"/>
      <c r="I40" s="8"/>
      <c r="J40" s="8"/>
      <c r="K40" s="8">
        <v>0</v>
      </c>
      <c r="L40" s="16"/>
    </row>
    <row r="41" spans="1:12" ht="18" x14ac:dyDescent="0.2">
      <c r="A41" s="16"/>
      <c r="B41" s="8"/>
      <c r="C41" s="6">
        <v>18</v>
      </c>
      <c r="D41" s="4" t="s">
        <v>32</v>
      </c>
      <c r="E41" s="17" t="s">
        <v>33</v>
      </c>
      <c r="F41" s="18">
        <v>68.227315200000007</v>
      </c>
      <c r="G41" s="9">
        <v>136.45463040000001</v>
      </c>
      <c r="H41" s="18">
        <f t="shared" ref="H41:H48" si="2">F41/K41</f>
        <v>1.8952032000000001</v>
      </c>
      <c r="I41" s="8"/>
      <c r="J41" s="8"/>
      <c r="K41" s="8">
        <v>36</v>
      </c>
      <c r="L41" s="16" t="s">
        <v>149</v>
      </c>
    </row>
    <row r="42" spans="1:12" ht="18" x14ac:dyDescent="0.25">
      <c r="A42" s="16"/>
      <c r="B42" s="8"/>
      <c r="C42" s="3">
        <v>19</v>
      </c>
      <c r="D42" s="4" t="s">
        <v>34</v>
      </c>
      <c r="E42" s="17" t="s">
        <v>35</v>
      </c>
      <c r="F42" s="18">
        <v>963.76749465600005</v>
      </c>
      <c r="G42" s="9">
        <v>1927.5349893120001</v>
      </c>
      <c r="H42" s="18">
        <f t="shared" si="2"/>
        <v>24.711987042461541</v>
      </c>
      <c r="I42" s="8"/>
      <c r="J42" s="8"/>
      <c r="K42" s="8">
        <v>39</v>
      </c>
      <c r="L42" s="16" t="s">
        <v>149</v>
      </c>
    </row>
    <row r="43" spans="1:12" ht="18" x14ac:dyDescent="0.25">
      <c r="A43" s="16"/>
      <c r="B43" s="8"/>
      <c r="C43" s="3">
        <v>20</v>
      </c>
      <c r="D43" s="4" t="s">
        <v>36</v>
      </c>
      <c r="E43" s="17" t="s">
        <v>37</v>
      </c>
      <c r="F43" s="18">
        <v>992.32926012000007</v>
      </c>
      <c r="G43" s="9">
        <v>1984.6585202400001</v>
      </c>
      <c r="H43" s="18">
        <f t="shared" si="2"/>
        <v>31.010289378750002</v>
      </c>
      <c r="I43" s="8"/>
      <c r="J43" s="8"/>
      <c r="K43" s="8">
        <v>32</v>
      </c>
      <c r="L43" s="16" t="s">
        <v>149</v>
      </c>
    </row>
    <row r="44" spans="1:12" ht="18" x14ac:dyDescent="0.25">
      <c r="A44" s="16"/>
      <c r="B44" s="8"/>
      <c r="C44" s="3">
        <v>21</v>
      </c>
      <c r="D44" s="4" t="s">
        <v>38</v>
      </c>
      <c r="E44" s="17" t="s">
        <v>39</v>
      </c>
      <c r="F44" s="18">
        <v>122.59949399999999</v>
      </c>
      <c r="G44" s="9">
        <v>245.19898799999999</v>
      </c>
      <c r="H44" s="18">
        <f t="shared" si="2"/>
        <v>1.70277075</v>
      </c>
      <c r="I44" s="8"/>
      <c r="J44" s="8"/>
      <c r="K44" s="8">
        <v>72</v>
      </c>
      <c r="L44" s="16"/>
    </row>
    <row r="45" spans="1:12" ht="18" x14ac:dyDescent="0.25">
      <c r="A45" s="16"/>
      <c r="B45" s="8"/>
      <c r="C45" s="3">
        <v>27</v>
      </c>
      <c r="D45" s="4" t="s">
        <v>50</v>
      </c>
      <c r="E45" s="17" t="s">
        <v>51</v>
      </c>
      <c r="F45" s="18">
        <v>33.450116399999999</v>
      </c>
      <c r="G45" s="9">
        <v>66.900232799999998</v>
      </c>
      <c r="H45" s="18">
        <f t="shared" si="2"/>
        <v>0.71170460425531912</v>
      </c>
      <c r="I45" s="8"/>
      <c r="J45" s="8"/>
      <c r="K45" s="8">
        <v>47</v>
      </c>
      <c r="L45" s="16"/>
    </row>
    <row r="46" spans="1:12" ht="18" x14ac:dyDescent="0.25">
      <c r="A46" s="16"/>
      <c r="B46" s="8"/>
      <c r="C46" s="3">
        <v>28</v>
      </c>
      <c r="D46" s="4" t="s">
        <v>52</v>
      </c>
      <c r="E46" s="17" t="s">
        <v>53</v>
      </c>
      <c r="F46" s="18">
        <v>211.46544000000003</v>
      </c>
      <c r="G46" s="9">
        <v>422.93088000000006</v>
      </c>
      <c r="H46" s="18">
        <f t="shared" si="2"/>
        <v>7.8320533333333344</v>
      </c>
      <c r="I46" s="8"/>
      <c r="J46" s="8"/>
      <c r="K46" s="8">
        <v>27</v>
      </c>
      <c r="L46" s="16"/>
    </row>
    <row r="47" spans="1:12" ht="18" x14ac:dyDescent="0.25">
      <c r="A47" s="16"/>
      <c r="B47" s="8"/>
      <c r="C47" s="3">
        <v>30</v>
      </c>
      <c r="D47" s="4" t="s">
        <v>56</v>
      </c>
      <c r="E47" s="17" t="s">
        <v>57</v>
      </c>
      <c r="F47" s="18">
        <v>2483.7404625803524</v>
      </c>
      <c r="G47" s="9">
        <v>4967.4809251607048</v>
      </c>
      <c r="H47" s="18">
        <f t="shared" si="2"/>
        <v>103.48918594084802</v>
      </c>
      <c r="I47" s="8"/>
      <c r="J47" s="8"/>
      <c r="K47" s="8">
        <v>24</v>
      </c>
      <c r="L47" s="16"/>
    </row>
    <row r="48" spans="1:12" ht="18" x14ac:dyDescent="0.25">
      <c r="A48" s="16"/>
      <c r="B48" s="8"/>
      <c r="C48" s="3">
        <v>31</v>
      </c>
      <c r="D48" s="4" t="s">
        <v>58</v>
      </c>
      <c r="E48" s="17" t="s">
        <v>59</v>
      </c>
      <c r="F48" s="18">
        <v>75.207321547199996</v>
      </c>
      <c r="G48" s="9">
        <v>150.41464309439999</v>
      </c>
      <c r="H48" s="18">
        <f t="shared" si="2"/>
        <v>7.5207321547199992</v>
      </c>
      <c r="I48" s="8"/>
      <c r="J48" s="8"/>
      <c r="K48" s="8">
        <v>10</v>
      </c>
      <c r="L48" s="16"/>
    </row>
    <row r="49" spans="1:12" ht="18" x14ac:dyDescent="0.25">
      <c r="A49" s="16"/>
      <c r="B49" s="8"/>
      <c r="C49" s="3">
        <v>32</v>
      </c>
      <c r="D49" s="4" t="s">
        <v>60</v>
      </c>
      <c r="E49" s="17" t="s">
        <v>61</v>
      </c>
      <c r="F49" s="18">
        <v>250.06434414444004</v>
      </c>
      <c r="G49" s="9">
        <v>500.12868828888008</v>
      </c>
      <c r="H49" s="18"/>
      <c r="I49" s="8"/>
      <c r="J49" s="8"/>
      <c r="K49" s="8">
        <v>0</v>
      </c>
      <c r="L49" s="16"/>
    </row>
    <row r="50" spans="1:12" ht="18" x14ac:dyDescent="0.25">
      <c r="A50" s="16"/>
      <c r="B50" s="8"/>
      <c r="C50" s="3">
        <v>33</v>
      </c>
      <c r="D50" s="4" t="s">
        <v>62</v>
      </c>
      <c r="E50" s="17" t="s">
        <v>63</v>
      </c>
      <c r="F50" s="18">
        <v>14.382911309414403</v>
      </c>
      <c r="G50" s="9">
        <v>28.765822618828807</v>
      </c>
      <c r="H50" s="18">
        <f t="shared" ref="H50:H58" si="3">F50/K50</f>
        <v>1.1063777930318772</v>
      </c>
      <c r="I50" s="8"/>
      <c r="J50" s="8"/>
      <c r="K50" s="8">
        <v>13</v>
      </c>
      <c r="L50" s="16"/>
    </row>
    <row r="51" spans="1:12" ht="18" x14ac:dyDescent="0.25">
      <c r="A51" s="16"/>
      <c r="B51" s="8"/>
      <c r="C51" s="3">
        <v>34</v>
      </c>
      <c r="D51" s="4" t="s">
        <v>64</v>
      </c>
      <c r="E51" s="17" t="s">
        <v>65</v>
      </c>
      <c r="F51" s="18">
        <v>8.9893195683840013</v>
      </c>
      <c r="G51" s="9">
        <v>17.978639136768003</v>
      </c>
      <c r="H51" s="18">
        <f t="shared" si="3"/>
        <v>0.6420942548845715</v>
      </c>
      <c r="I51" s="8"/>
      <c r="J51" s="8"/>
      <c r="K51" s="8">
        <v>14</v>
      </c>
      <c r="L51" s="16" t="s">
        <v>148</v>
      </c>
    </row>
    <row r="52" spans="1:12" ht="18" x14ac:dyDescent="0.25">
      <c r="A52" s="16"/>
      <c r="B52" s="8"/>
      <c r="C52" s="3">
        <v>35</v>
      </c>
      <c r="D52" s="4" t="s">
        <v>66</v>
      </c>
      <c r="E52" s="17" t="s">
        <v>67</v>
      </c>
      <c r="F52" s="18">
        <v>97.030379520000025</v>
      </c>
      <c r="G52" s="9">
        <v>194.06075904000005</v>
      </c>
      <c r="H52" s="18">
        <f t="shared" si="3"/>
        <v>4.2187121530434792</v>
      </c>
      <c r="I52" s="8"/>
      <c r="J52" s="8"/>
      <c r="K52" s="8">
        <v>23</v>
      </c>
      <c r="L52" s="16"/>
    </row>
    <row r="53" spans="1:12" ht="18" x14ac:dyDescent="0.25">
      <c r="A53" s="16"/>
      <c r="B53" s="8"/>
      <c r="C53" s="3">
        <v>38</v>
      </c>
      <c r="D53" s="4" t="s">
        <v>70</v>
      </c>
      <c r="E53" s="17" t="s">
        <v>71</v>
      </c>
      <c r="F53" s="18">
        <v>2.0874147839999999</v>
      </c>
      <c r="G53" s="9">
        <v>4.1748295679999998</v>
      </c>
      <c r="H53" s="18">
        <f t="shared" si="3"/>
        <v>5.7983743999999997E-2</v>
      </c>
      <c r="I53" s="8"/>
      <c r="J53" s="8"/>
      <c r="K53" s="8">
        <v>36</v>
      </c>
      <c r="L53" s="16" t="s">
        <v>148</v>
      </c>
    </row>
    <row r="54" spans="1:12" ht="18" x14ac:dyDescent="0.25">
      <c r="A54" s="16"/>
      <c r="B54" s="8"/>
      <c r="C54" s="3">
        <v>40</v>
      </c>
      <c r="D54" s="4" t="s">
        <v>74</v>
      </c>
      <c r="E54" s="17" t="s">
        <v>75</v>
      </c>
      <c r="F54" s="18">
        <v>27.989950464000003</v>
      </c>
      <c r="G54" s="9">
        <v>55.979900928000006</v>
      </c>
      <c r="H54" s="18">
        <f t="shared" si="3"/>
        <v>0.59553086093617025</v>
      </c>
      <c r="I54" s="8"/>
      <c r="J54" s="8"/>
      <c r="K54" s="8">
        <v>47</v>
      </c>
      <c r="L54" s="16"/>
    </row>
    <row r="55" spans="1:12" ht="18" x14ac:dyDescent="0.2">
      <c r="A55" s="16"/>
      <c r="B55" s="8"/>
      <c r="C55" s="6">
        <v>42</v>
      </c>
      <c r="D55" s="4" t="s">
        <v>77</v>
      </c>
      <c r="E55" s="17" t="s">
        <v>78</v>
      </c>
      <c r="F55" s="18">
        <v>53.751534336000006</v>
      </c>
      <c r="G55" s="9">
        <v>107.50306867200001</v>
      </c>
      <c r="H55" s="18">
        <f t="shared" si="3"/>
        <v>1.3782444701538463</v>
      </c>
      <c r="I55" s="8"/>
      <c r="J55" s="8"/>
      <c r="K55" s="8">
        <v>39</v>
      </c>
      <c r="L55" s="16"/>
    </row>
    <row r="56" spans="1:12" ht="18" x14ac:dyDescent="0.25">
      <c r="A56" s="16"/>
      <c r="B56" s="8"/>
      <c r="C56" s="3">
        <v>45</v>
      </c>
      <c r="D56" s="11" t="s">
        <v>116</v>
      </c>
      <c r="E56" s="5" t="s">
        <v>84</v>
      </c>
      <c r="F56" s="18">
        <v>121.69883232000002</v>
      </c>
      <c r="G56" s="9">
        <v>243.39766464000004</v>
      </c>
      <c r="H56" s="18">
        <f t="shared" si="3"/>
        <v>1.5212354040000002</v>
      </c>
      <c r="I56" s="8"/>
      <c r="J56" s="8"/>
      <c r="K56" s="8">
        <v>80</v>
      </c>
      <c r="L56" s="16" t="s">
        <v>148</v>
      </c>
    </row>
    <row r="57" spans="1:12" ht="18" x14ac:dyDescent="0.25">
      <c r="A57" s="16"/>
      <c r="B57" s="8"/>
      <c r="C57" s="3">
        <v>46</v>
      </c>
      <c r="D57" s="4" t="s">
        <v>85</v>
      </c>
      <c r="E57" s="17" t="s">
        <v>86</v>
      </c>
      <c r="F57" s="18">
        <v>127.03547820823204</v>
      </c>
      <c r="G57" s="9">
        <v>254.07095641646407</v>
      </c>
      <c r="H57" s="18">
        <f t="shared" si="3"/>
        <v>6.6860778004332646</v>
      </c>
      <c r="I57" s="8"/>
      <c r="J57" s="8"/>
      <c r="K57" s="8">
        <v>19</v>
      </c>
      <c r="L57" s="16"/>
    </row>
    <row r="58" spans="1:12" ht="18" x14ac:dyDescent="0.25">
      <c r="A58" s="16"/>
      <c r="B58" s="8"/>
      <c r="C58" s="3">
        <v>47</v>
      </c>
      <c r="D58" s="4" t="s">
        <v>90</v>
      </c>
      <c r="E58" s="17" t="s">
        <v>91</v>
      </c>
      <c r="F58" s="18">
        <v>30.002920830000001</v>
      </c>
      <c r="G58" s="9">
        <v>60.005841660000002</v>
      </c>
      <c r="H58" s="18">
        <f t="shared" si="3"/>
        <v>1.6668289350000001</v>
      </c>
      <c r="I58" s="8"/>
      <c r="J58" s="8"/>
      <c r="K58" s="8">
        <v>18</v>
      </c>
      <c r="L58" s="16"/>
    </row>
    <row r="59" spans="1:12" ht="18" x14ac:dyDescent="0.25">
      <c r="A59" s="16"/>
      <c r="B59" s="8"/>
      <c r="C59" s="3">
        <v>50</v>
      </c>
      <c r="D59" s="4" t="s">
        <v>92</v>
      </c>
      <c r="E59" s="17" t="s">
        <v>93</v>
      </c>
      <c r="F59" s="18">
        <v>0</v>
      </c>
      <c r="G59" s="9">
        <v>0</v>
      </c>
      <c r="H59" s="18"/>
      <c r="I59" s="8"/>
      <c r="J59" s="8"/>
      <c r="K59" s="8">
        <v>0</v>
      </c>
      <c r="L59" s="16"/>
    </row>
    <row r="60" spans="1:12" ht="18" x14ac:dyDescent="0.25">
      <c r="A60" s="16"/>
      <c r="B60" s="8"/>
      <c r="C60" s="3">
        <v>52</v>
      </c>
      <c r="D60" s="4" t="s">
        <v>94</v>
      </c>
      <c r="E60" s="17" t="s">
        <v>95</v>
      </c>
      <c r="F60" s="18">
        <v>142.86650400000002</v>
      </c>
      <c r="G60" s="9">
        <v>285.73300800000004</v>
      </c>
      <c r="H60" s="18">
        <f>F60/K60</f>
        <v>1.7858313000000003</v>
      </c>
      <c r="I60" s="8"/>
      <c r="J60" s="8"/>
      <c r="K60" s="8">
        <v>80</v>
      </c>
      <c r="L60" s="16"/>
    </row>
    <row r="61" spans="1:12" ht="18" x14ac:dyDescent="0.25">
      <c r="A61" s="16"/>
      <c r="B61" s="8"/>
      <c r="C61" s="3">
        <v>55</v>
      </c>
      <c r="D61" s="11" t="s">
        <v>134</v>
      </c>
      <c r="E61" s="5" t="s">
        <v>135</v>
      </c>
      <c r="F61" s="18">
        <v>3.9727999999999994</v>
      </c>
      <c r="G61" s="9">
        <v>7.9455999999999989</v>
      </c>
      <c r="H61" s="18"/>
      <c r="I61" s="8"/>
      <c r="J61" s="8"/>
      <c r="K61" s="8">
        <v>0</v>
      </c>
      <c r="L61" s="16"/>
    </row>
    <row r="62" spans="1:12" ht="18" x14ac:dyDescent="0.25">
      <c r="A62" s="16"/>
      <c r="B62" s="8"/>
      <c r="C62" s="3">
        <v>56</v>
      </c>
      <c r="D62" s="11" t="s">
        <v>136</v>
      </c>
      <c r="E62" s="5" t="s">
        <v>137</v>
      </c>
      <c r="F62" s="18">
        <v>0</v>
      </c>
      <c r="G62" s="9">
        <v>0</v>
      </c>
      <c r="H62" s="18"/>
      <c r="I62" s="8"/>
      <c r="J62" s="8"/>
      <c r="K62" s="8">
        <v>0</v>
      </c>
      <c r="L62" s="16"/>
    </row>
    <row r="63" spans="1:12" ht="18" x14ac:dyDescent="0.25">
      <c r="A63" s="16"/>
      <c r="B63" s="8"/>
      <c r="C63" s="3">
        <v>58</v>
      </c>
      <c r="D63" s="11" t="s">
        <v>117</v>
      </c>
      <c r="E63" s="5" t="s">
        <v>118</v>
      </c>
      <c r="F63" s="18">
        <v>38.914887510000007</v>
      </c>
      <c r="G63" s="9">
        <v>77.829775020000014</v>
      </c>
      <c r="H63" s="18"/>
      <c r="I63" s="8"/>
      <c r="J63" s="8"/>
      <c r="K63" s="8">
        <v>0</v>
      </c>
      <c r="L63" s="16" t="s">
        <v>148</v>
      </c>
    </row>
    <row r="64" spans="1:12" ht="18" x14ac:dyDescent="0.25">
      <c r="A64" s="16"/>
      <c r="B64" s="8"/>
      <c r="C64" s="3">
        <v>60</v>
      </c>
      <c r="D64" s="11" t="s">
        <v>119</v>
      </c>
      <c r="E64" s="5" t="s">
        <v>120</v>
      </c>
      <c r="F64" s="18">
        <v>13.560348672000002</v>
      </c>
      <c r="G64" s="9">
        <v>27.120697344000003</v>
      </c>
      <c r="H64" s="18"/>
      <c r="I64" s="8"/>
      <c r="J64" s="8"/>
      <c r="K64" s="8">
        <v>0</v>
      </c>
      <c r="L64" s="16" t="s">
        <v>148</v>
      </c>
    </row>
    <row r="65" spans="1:12" ht="18" x14ac:dyDescent="0.25">
      <c r="A65" s="16"/>
      <c r="B65" s="8"/>
      <c r="C65" s="3">
        <v>61</v>
      </c>
      <c r="D65" s="11" t="s">
        <v>121</v>
      </c>
      <c r="E65" s="5" t="s">
        <v>122</v>
      </c>
      <c r="F65" s="18">
        <v>11.439371059199999</v>
      </c>
      <c r="G65" s="9">
        <v>22.878742118399998</v>
      </c>
      <c r="H65" s="18"/>
      <c r="I65" s="8"/>
      <c r="J65" s="8"/>
      <c r="K65" s="8">
        <v>0</v>
      </c>
      <c r="L65" s="16"/>
    </row>
    <row r="66" spans="1:12" ht="18" x14ac:dyDescent="0.25">
      <c r="A66" s="16"/>
      <c r="B66" s="8"/>
      <c r="C66" s="3">
        <v>63</v>
      </c>
      <c r="D66" s="11" t="s">
        <v>138</v>
      </c>
      <c r="E66" s="5" t="s">
        <v>139</v>
      </c>
      <c r="F66" s="18">
        <v>0</v>
      </c>
      <c r="G66" s="9">
        <v>0</v>
      </c>
      <c r="H66" s="18"/>
      <c r="I66" s="8"/>
      <c r="J66" s="8"/>
      <c r="K66" s="8">
        <v>0</v>
      </c>
      <c r="L66" s="16"/>
    </row>
    <row r="67" spans="1:12" ht="18" x14ac:dyDescent="0.25">
      <c r="A67" s="16"/>
      <c r="B67" s="8"/>
      <c r="C67" s="3">
        <v>64</v>
      </c>
      <c r="D67" s="4" t="s">
        <v>100</v>
      </c>
      <c r="E67" s="17" t="s">
        <v>101</v>
      </c>
      <c r="F67" s="18">
        <v>0</v>
      </c>
      <c r="G67" s="12">
        <v>0</v>
      </c>
      <c r="H67" s="18"/>
      <c r="I67" s="8"/>
      <c r="J67" s="8"/>
      <c r="K67" s="8">
        <v>0</v>
      </c>
      <c r="L67" s="16"/>
    </row>
    <row r="68" spans="1:12" ht="18" x14ac:dyDescent="0.25">
      <c r="A68" s="16"/>
      <c r="B68" s="8"/>
      <c r="C68" s="3">
        <v>69</v>
      </c>
      <c r="D68" s="11" t="s">
        <v>125</v>
      </c>
      <c r="E68" s="5" t="s">
        <v>126</v>
      </c>
      <c r="F68" s="18">
        <v>10.247042700000002</v>
      </c>
      <c r="G68" s="9">
        <v>20.494085400000003</v>
      </c>
      <c r="H68" s="18"/>
      <c r="I68" s="8"/>
      <c r="J68" s="8"/>
      <c r="K68" s="8">
        <v>0</v>
      </c>
      <c r="L68" s="16"/>
    </row>
    <row r="69" spans="1:12" ht="18" x14ac:dyDescent="0.25">
      <c r="A69" s="16"/>
      <c r="B69" s="8"/>
      <c r="C69" s="3">
        <v>70</v>
      </c>
      <c r="D69" s="11" t="s">
        <v>127</v>
      </c>
      <c r="E69" s="5" t="s">
        <v>128</v>
      </c>
      <c r="F69" s="18">
        <v>25.001638200000002</v>
      </c>
      <c r="G69" s="9">
        <v>50.003276400000004</v>
      </c>
      <c r="H69" s="18"/>
      <c r="I69" s="8"/>
      <c r="J69" s="8"/>
      <c r="K69" s="8">
        <v>0</v>
      </c>
      <c r="L69" s="16" t="s">
        <v>148</v>
      </c>
    </row>
    <row r="70" spans="1:12" ht="18.75" thickBot="1" x14ac:dyDescent="0.3">
      <c r="A70" s="16"/>
      <c r="B70" s="8"/>
      <c r="C70" s="7">
        <v>74</v>
      </c>
      <c r="D70" s="20" t="s">
        <v>143</v>
      </c>
      <c r="E70" s="22" t="s">
        <v>129</v>
      </c>
      <c r="F70" s="18">
        <v>91.764154368000021</v>
      </c>
      <c r="G70" s="9">
        <v>183.52830873600004</v>
      </c>
      <c r="H70" s="18"/>
      <c r="I70" s="8"/>
      <c r="J70" s="8"/>
      <c r="K70" s="8">
        <v>0</v>
      </c>
      <c r="L70" s="16" t="s">
        <v>148</v>
      </c>
    </row>
    <row r="71" spans="1:12" ht="18" x14ac:dyDescent="0.25">
      <c r="A71" s="16"/>
      <c r="B71" s="8"/>
      <c r="C71" s="3">
        <v>75</v>
      </c>
      <c r="D71" s="13" t="s">
        <v>102</v>
      </c>
      <c r="E71" s="17" t="s">
        <v>103</v>
      </c>
      <c r="F71" s="18">
        <v>24.203266560000003</v>
      </c>
      <c r="G71" s="9">
        <v>48.406533120000006</v>
      </c>
      <c r="H71" s="18">
        <f>F71/K71</f>
        <v>0.69152190171428585</v>
      </c>
      <c r="I71" s="8"/>
      <c r="J71" s="8"/>
      <c r="K71" s="8">
        <v>35</v>
      </c>
      <c r="L71" s="16"/>
    </row>
    <row r="72" spans="1:12" ht="18" x14ac:dyDescent="0.25">
      <c r="A72" s="16"/>
      <c r="B72" s="8"/>
      <c r="C72" s="3">
        <v>78</v>
      </c>
      <c r="D72" s="11" t="s">
        <v>130</v>
      </c>
      <c r="E72" s="5" t="s">
        <v>131</v>
      </c>
      <c r="F72" s="18">
        <v>335.67712312320003</v>
      </c>
      <c r="G72" s="9">
        <v>671.35424624640007</v>
      </c>
      <c r="H72" s="18">
        <f>F72/K72</f>
        <v>16.783856156160002</v>
      </c>
      <c r="I72" s="8"/>
      <c r="J72" s="8"/>
      <c r="K72" s="8">
        <v>20</v>
      </c>
      <c r="L72" s="16"/>
    </row>
    <row r="73" spans="1:12" ht="18" x14ac:dyDescent="0.25">
      <c r="A73" s="16"/>
      <c r="B73" s="8"/>
      <c r="C73" s="3">
        <v>79</v>
      </c>
      <c r="D73" s="11" t="s">
        <v>132</v>
      </c>
      <c r="E73" s="5" t="s">
        <v>133</v>
      </c>
      <c r="F73" s="18">
        <v>147.64103974656001</v>
      </c>
      <c r="G73" s="9">
        <v>295.28207949312002</v>
      </c>
      <c r="H73" s="18">
        <f>F73/K73</f>
        <v>18.455129968320001</v>
      </c>
      <c r="I73" s="8"/>
      <c r="J73" s="8"/>
      <c r="K73" s="8">
        <v>8</v>
      </c>
      <c r="L73" s="16"/>
    </row>
    <row r="74" spans="1:12" ht="18" x14ac:dyDescent="0.25">
      <c r="A74" s="16"/>
      <c r="B74" s="8"/>
      <c r="C74" s="3">
        <v>82</v>
      </c>
      <c r="D74" s="4" t="s">
        <v>108</v>
      </c>
      <c r="E74" s="17" t="s">
        <v>109</v>
      </c>
      <c r="F74" s="18">
        <v>0</v>
      </c>
      <c r="G74" s="9">
        <v>0</v>
      </c>
      <c r="H74" s="18"/>
      <c r="I74" s="8"/>
      <c r="J74" s="8"/>
      <c r="K74" s="8">
        <v>0</v>
      </c>
      <c r="L74" s="16"/>
    </row>
    <row r="75" spans="1:12" ht="18" x14ac:dyDescent="0.25">
      <c r="A75" s="16"/>
      <c r="B75" s="8"/>
      <c r="C75" s="3">
        <v>83</v>
      </c>
      <c r="D75" s="4" t="s">
        <v>110</v>
      </c>
      <c r="E75" s="17" t="s">
        <v>111</v>
      </c>
      <c r="F75" s="18">
        <v>47.505447000000004</v>
      </c>
      <c r="G75" s="9">
        <v>95.010894000000008</v>
      </c>
      <c r="H75" s="18">
        <f>F75/K75</f>
        <v>0.59381808750000009</v>
      </c>
      <c r="I75" s="8"/>
      <c r="J75" s="8"/>
      <c r="K75" s="8">
        <v>80</v>
      </c>
      <c r="L75" s="16"/>
    </row>
    <row r="76" spans="1:12" ht="18" x14ac:dyDescent="0.25">
      <c r="A76" s="16"/>
      <c r="B76" s="8"/>
      <c r="C76" s="3" t="s">
        <v>87</v>
      </c>
      <c r="D76" s="4" t="s">
        <v>88</v>
      </c>
      <c r="E76" s="17" t="s">
        <v>89</v>
      </c>
      <c r="F76" s="18">
        <v>194.93585999999999</v>
      </c>
      <c r="G76" s="9">
        <v>389.87171999999998</v>
      </c>
      <c r="H76" s="18"/>
      <c r="I76" s="8"/>
      <c r="J76" s="8"/>
      <c r="K76" s="8">
        <v>0</v>
      </c>
      <c r="L76" s="16"/>
    </row>
  </sheetData>
  <autoFilter ref="A1:K76" xr:uid="{00000000-0009-0000-0000-000000000000}">
    <sortState xmlns:xlrd2="http://schemas.microsoft.com/office/spreadsheetml/2017/richdata2" ref="A2:K76">
      <sortCondition ref="A1:A76"/>
    </sortState>
  </autoFilter>
  <pageMargins left="0.7" right="0.7" top="0.75" bottom="0.75" header="0.3" footer="0.3"/>
  <pageSetup scale="47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42"/>
  <sheetViews>
    <sheetView tabSelected="1" zoomScale="55" zoomScaleNormal="55" workbookViewId="0">
      <selection activeCell="A3" sqref="A3:F21"/>
    </sheetView>
  </sheetViews>
  <sheetFormatPr baseColWidth="10" defaultRowHeight="12.75" x14ac:dyDescent="0.2"/>
  <cols>
    <col min="1" max="1" width="20.140625" customWidth="1"/>
    <col min="2" max="2" width="11.42578125" customWidth="1"/>
    <col min="6" max="6" width="10.42578125" customWidth="1"/>
    <col min="8" max="8" width="20.140625" customWidth="1"/>
  </cols>
  <sheetData>
    <row r="2" spans="1:20" ht="12.75" customHeight="1" thickBot="1" x14ac:dyDescent="0.25"/>
    <row r="3" spans="1:20" ht="12.75" customHeight="1" thickTop="1" x14ac:dyDescent="0.2">
      <c r="A3" s="23" t="s">
        <v>157</v>
      </c>
      <c r="B3" s="24"/>
      <c r="C3" s="24"/>
      <c r="D3" s="59" t="s">
        <v>190</v>
      </c>
      <c r="E3" s="62">
        <f>+VLOOKUP(A3,Flejes!B:H,2,)</f>
        <v>13</v>
      </c>
      <c r="F3" s="63"/>
      <c r="H3" s="23" t="s">
        <v>199</v>
      </c>
      <c r="I3" s="24"/>
      <c r="J3" s="24"/>
      <c r="K3" s="23" t="s">
        <v>195</v>
      </c>
      <c r="L3" s="24"/>
      <c r="M3" s="25"/>
      <c r="O3" s="23" t="s">
        <v>200</v>
      </c>
      <c r="P3" s="24"/>
      <c r="Q3" s="24"/>
      <c r="R3" s="23" t="s">
        <v>195</v>
      </c>
      <c r="S3" s="24"/>
      <c r="T3" s="25"/>
    </row>
    <row r="4" spans="1:20" ht="13.5" customHeight="1" x14ac:dyDescent="0.2">
      <c r="A4" s="26"/>
      <c r="B4" s="27"/>
      <c r="C4" s="27"/>
      <c r="D4" s="60"/>
      <c r="E4" s="64"/>
      <c r="F4" s="65"/>
      <c r="H4" s="26"/>
      <c r="I4" s="27"/>
      <c r="J4" s="27"/>
      <c r="K4" s="26"/>
      <c r="L4" s="27"/>
      <c r="M4" s="28"/>
      <c r="O4" s="26"/>
      <c r="P4" s="27"/>
      <c r="Q4" s="27"/>
      <c r="R4" s="26"/>
      <c r="S4" s="27"/>
      <c r="T4" s="28"/>
    </row>
    <row r="5" spans="1:20" ht="12.75" customHeight="1" x14ac:dyDescent="0.2">
      <c r="A5" s="26"/>
      <c r="B5" s="27"/>
      <c r="C5" s="27"/>
      <c r="D5" s="60"/>
      <c r="E5" s="64"/>
      <c r="F5" s="65"/>
      <c r="H5" s="26"/>
      <c r="I5" s="27"/>
      <c r="J5" s="27"/>
      <c r="K5" s="26"/>
      <c r="L5" s="27"/>
      <c r="M5" s="28"/>
      <c r="O5" s="26"/>
      <c r="P5" s="27"/>
      <c r="Q5" s="27"/>
      <c r="R5" s="26"/>
      <c r="S5" s="27"/>
      <c r="T5" s="28"/>
    </row>
    <row r="6" spans="1:20" ht="13.5" customHeight="1" x14ac:dyDescent="0.2">
      <c r="A6" s="26"/>
      <c r="B6" s="27"/>
      <c r="C6" s="27"/>
      <c r="D6" s="60"/>
      <c r="E6" s="64"/>
      <c r="F6" s="65"/>
      <c r="H6" s="26"/>
      <c r="I6" s="27"/>
      <c r="J6" s="27"/>
      <c r="K6" s="26"/>
      <c r="L6" s="27"/>
      <c r="M6" s="28"/>
      <c r="O6" s="26"/>
      <c r="P6" s="27"/>
      <c r="Q6" s="27"/>
      <c r="R6" s="26"/>
      <c r="S6" s="27"/>
      <c r="T6" s="28"/>
    </row>
    <row r="7" spans="1:20" ht="12.75" customHeight="1" x14ac:dyDescent="0.2">
      <c r="A7" s="26"/>
      <c r="B7" s="27"/>
      <c r="C7" s="27"/>
      <c r="D7" s="60"/>
      <c r="E7" s="64"/>
      <c r="F7" s="65"/>
      <c r="H7" s="26"/>
      <c r="I7" s="27"/>
      <c r="J7" s="27"/>
      <c r="K7" s="26"/>
      <c r="L7" s="27"/>
      <c r="M7" s="28"/>
      <c r="O7" s="26"/>
      <c r="P7" s="27"/>
      <c r="Q7" s="27"/>
      <c r="R7" s="26"/>
      <c r="S7" s="27"/>
      <c r="T7" s="28"/>
    </row>
    <row r="8" spans="1:20" ht="12.75" customHeight="1" x14ac:dyDescent="0.2">
      <c r="A8" s="26"/>
      <c r="B8" s="27"/>
      <c r="C8" s="27"/>
      <c r="D8" s="60"/>
      <c r="E8" s="64"/>
      <c r="F8" s="65"/>
      <c r="H8" s="26"/>
      <c r="I8" s="27"/>
      <c r="J8" s="27"/>
      <c r="K8" s="26"/>
      <c r="L8" s="27"/>
      <c r="M8" s="28"/>
      <c r="O8" s="26"/>
      <c r="P8" s="27"/>
      <c r="Q8" s="27"/>
      <c r="R8" s="26"/>
      <c r="S8" s="27"/>
      <c r="T8" s="28"/>
    </row>
    <row r="9" spans="1:20" ht="12.75" customHeight="1" x14ac:dyDescent="0.2">
      <c r="A9" s="26"/>
      <c r="B9" s="27"/>
      <c r="C9" s="27"/>
      <c r="D9" s="60"/>
      <c r="E9" s="64"/>
      <c r="F9" s="65"/>
      <c r="H9" s="26"/>
      <c r="I9" s="27"/>
      <c r="J9" s="27"/>
      <c r="K9" s="26"/>
      <c r="L9" s="27"/>
      <c r="M9" s="28"/>
      <c r="O9" s="26"/>
      <c r="P9" s="27"/>
      <c r="Q9" s="27"/>
      <c r="R9" s="26"/>
      <c r="S9" s="27"/>
      <c r="T9" s="28"/>
    </row>
    <row r="10" spans="1:20" ht="12.75" customHeight="1" thickBot="1" x14ac:dyDescent="0.25">
      <c r="A10" s="29"/>
      <c r="B10" s="30"/>
      <c r="C10" s="30"/>
      <c r="D10" s="61"/>
      <c r="E10" s="66"/>
      <c r="F10" s="67"/>
      <c r="H10" s="29"/>
      <c r="I10" s="30"/>
      <c r="J10" s="30"/>
      <c r="K10" s="29"/>
      <c r="L10" s="30"/>
      <c r="M10" s="31"/>
      <c r="O10" s="29"/>
      <c r="P10" s="30"/>
      <c r="Q10" s="30"/>
      <c r="R10" s="29"/>
      <c r="S10" s="30"/>
      <c r="T10" s="31"/>
    </row>
    <row r="11" spans="1:20" ht="12.75" customHeight="1" thickTop="1" x14ac:dyDescent="0.2">
      <c r="A11" s="54" t="str">
        <f>+VLOOKUP(A3,Flejes!B:H,4,)</f>
        <v>84 x 1,75</v>
      </c>
      <c r="B11" s="55"/>
      <c r="C11" s="55"/>
      <c r="D11" s="56"/>
      <c r="E11" s="37" t="str">
        <f>+VLOOKUP(A3,Flejes!B:L,11)</f>
        <v>+</v>
      </c>
      <c r="F11" s="38"/>
      <c r="H11" s="76" t="s">
        <v>194</v>
      </c>
      <c r="I11" s="77"/>
      <c r="J11" s="77"/>
      <c r="K11" s="78"/>
      <c r="L11" s="37" t="str">
        <f>+VLOOKUP(H3,Flejes!B:L,11)</f>
        <v>+</v>
      </c>
      <c r="M11" s="38"/>
      <c r="O11" s="32" t="s">
        <v>203</v>
      </c>
      <c r="P11" s="33"/>
      <c r="Q11" s="33"/>
      <c r="R11" s="34"/>
      <c r="S11" s="37" t="e">
        <f>+VLOOKUP(O3,Flejes!I:S,11)</f>
        <v>#N/A</v>
      </c>
      <c r="T11" s="38"/>
    </row>
    <row r="12" spans="1:20" ht="12.75" customHeight="1" x14ac:dyDescent="0.2">
      <c r="A12" s="57"/>
      <c r="B12" s="58"/>
      <c r="C12" s="58"/>
      <c r="D12" s="56"/>
      <c r="E12" s="37"/>
      <c r="F12" s="38"/>
      <c r="H12" s="79"/>
      <c r="I12" s="80"/>
      <c r="J12" s="80"/>
      <c r="K12" s="78"/>
      <c r="L12" s="37"/>
      <c r="M12" s="38"/>
      <c r="O12" s="35"/>
      <c r="P12" s="36"/>
      <c r="Q12" s="36"/>
      <c r="R12" s="34"/>
      <c r="S12" s="37"/>
      <c r="T12" s="38"/>
    </row>
    <row r="13" spans="1:20" ht="13.5" customHeight="1" x14ac:dyDescent="0.2">
      <c r="A13" s="57"/>
      <c r="B13" s="58"/>
      <c r="C13" s="58"/>
      <c r="D13" s="56"/>
      <c r="E13" s="37"/>
      <c r="F13" s="38"/>
      <c r="H13" s="79"/>
      <c r="I13" s="80"/>
      <c r="J13" s="80"/>
      <c r="K13" s="78"/>
      <c r="L13" s="37"/>
      <c r="M13" s="38"/>
      <c r="O13" s="35"/>
      <c r="P13" s="36"/>
      <c r="Q13" s="36"/>
      <c r="R13" s="34"/>
      <c r="S13" s="37"/>
      <c r="T13" s="38"/>
    </row>
    <row r="14" spans="1:20" ht="12.75" customHeight="1" x14ac:dyDescent="0.2">
      <c r="A14" s="57"/>
      <c r="B14" s="58"/>
      <c r="C14" s="58"/>
      <c r="D14" s="56"/>
      <c r="E14" s="37"/>
      <c r="F14" s="38"/>
      <c r="H14" s="79"/>
      <c r="I14" s="80"/>
      <c r="J14" s="80"/>
      <c r="K14" s="78"/>
      <c r="L14" s="37"/>
      <c r="M14" s="38"/>
      <c r="O14" s="35"/>
      <c r="P14" s="36"/>
      <c r="Q14" s="36"/>
      <c r="R14" s="34"/>
      <c r="S14" s="37"/>
      <c r="T14" s="38"/>
    </row>
    <row r="15" spans="1:20" ht="13.5" customHeight="1" x14ac:dyDescent="0.2">
      <c r="A15" s="57"/>
      <c r="B15" s="58"/>
      <c r="C15" s="58"/>
      <c r="D15" s="56"/>
      <c r="E15" s="37"/>
      <c r="F15" s="38"/>
      <c r="H15" s="79"/>
      <c r="I15" s="80"/>
      <c r="J15" s="80"/>
      <c r="K15" s="78"/>
      <c r="L15" s="37"/>
      <c r="M15" s="38"/>
      <c r="O15" s="35"/>
      <c r="P15" s="36"/>
      <c r="Q15" s="36"/>
      <c r="R15" s="34"/>
      <c r="S15" s="37"/>
      <c r="T15" s="38"/>
    </row>
    <row r="16" spans="1:20" ht="12.75" customHeight="1" thickBot="1" x14ac:dyDescent="0.25">
      <c r="A16" s="57"/>
      <c r="B16" s="58"/>
      <c r="C16" s="58"/>
      <c r="D16" s="56"/>
      <c r="E16" s="37"/>
      <c r="F16" s="38"/>
      <c r="H16" s="79"/>
      <c r="I16" s="80"/>
      <c r="J16" s="80"/>
      <c r="K16" s="78"/>
      <c r="L16" s="37"/>
      <c r="M16" s="38"/>
      <c r="O16" s="35"/>
      <c r="P16" s="36"/>
      <c r="Q16" s="36"/>
      <c r="R16" s="34"/>
      <c r="S16" s="37"/>
      <c r="T16" s="38"/>
    </row>
    <row r="17" spans="1:20" ht="12.75" customHeight="1" thickTop="1" x14ac:dyDescent="0.2">
      <c r="A17" s="42" t="s">
        <v>192</v>
      </c>
      <c r="B17" s="43"/>
      <c r="C17" s="48">
        <f>+VLOOKUP(A3,Flejes!B:H,7,)</f>
        <v>0</v>
      </c>
      <c r="D17" s="49"/>
      <c r="E17" s="39"/>
      <c r="F17" s="38"/>
      <c r="H17" s="42" t="s">
        <v>196</v>
      </c>
      <c r="I17" s="43"/>
      <c r="J17" s="48">
        <f>2</f>
        <v>2</v>
      </c>
      <c r="K17" s="49"/>
      <c r="L17" s="39"/>
      <c r="M17" s="38"/>
      <c r="O17" s="42" t="s">
        <v>196</v>
      </c>
      <c r="P17" s="43"/>
      <c r="Q17" s="48">
        <f>2</f>
        <v>2</v>
      </c>
      <c r="R17" s="49"/>
      <c r="S17" s="39"/>
      <c r="T17" s="38"/>
    </row>
    <row r="18" spans="1:20" ht="12.75" customHeight="1" x14ac:dyDescent="0.2">
      <c r="A18" s="44"/>
      <c r="B18" s="45"/>
      <c r="C18" s="50"/>
      <c r="D18" s="51"/>
      <c r="E18" s="39"/>
      <c r="F18" s="38"/>
      <c r="H18" s="44"/>
      <c r="I18" s="45"/>
      <c r="J18" s="50"/>
      <c r="K18" s="51"/>
      <c r="L18" s="39"/>
      <c r="M18" s="38"/>
      <c r="O18" s="44"/>
      <c r="P18" s="45"/>
      <c r="Q18" s="50"/>
      <c r="R18" s="51"/>
      <c r="S18" s="39"/>
      <c r="T18" s="38"/>
    </row>
    <row r="19" spans="1:20" ht="13.5" customHeight="1" x14ac:dyDescent="0.2">
      <c r="A19" s="44"/>
      <c r="B19" s="45"/>
      <c r="C19" s="50"/>
      <c r="D19" s="51"/>
      <c r="E19" s="39"/>
      <c r="F19" s="38"/>
      <c r="H19" s="44"/>
      <c r="I19" s="45"/>
      <c r="J19" s="50"/>
      <c r="K19" s="51"/>
      <c r="L19" s="39"/>
      <c r="M19" s="38"/>
      <c r="O19" s="44"/>
      <c r="P19" s="45"/>
      <c r="Q19" s="50"/>
      <c r="R19" s="51"/>
      <c r="S19" s="39"/>
      <c r="T19" s="38"/>
    </row>
    <row r="20" spans="1:20" ht="12.75" customHeight="1" x14ac:dyDescent="0.2">
      <c r="A20" s="44"/>
      <c r="B20" s="45"/>
      <c r="C20" s="50"/>
      <c r="D20" s="51"/>
      <c r="E20" s="39"/>
      <c r="F20" s="38"/>
      <c r="H20" s="44"/>
      <c r="I20" s="45"/>
      <c r="J20" s="50"/>
      <c r="K20" s="51"/>
      <c r="L20" s="39"/>
      <c r="M20" s="38"/>
      <c r="O20" s="44"/>
      <c r="P20" s="45"/>
      <c r="Q20" s="50"/>
      <c r="R20" s="51"/>
      <c r="S20" s="39"/>
      <c r="T20" s="38"/>
    </row>
    <row r="21" spans="1:20" ht="13.5" customHeight="1" thickBot="1" x14ac:dyDescent="0.25">
      <c r="A21" s="46"/>
      <c r="B21" s="47"/>
      <c r="C21" s="52"/>
      <c r="D21" s="53"/>
      <c r="E21" s="40"/>
      <c r="F21" s="41"/>
      <c r="H21" s="46"/>
      <c r="I21" s="47"/>
      <c r="J21" s="52"/>
      <c r="K21" s="53"/>
      <c r="L21" s="40"/>
      <c r="M21" s="41"/>
      <c r="O21" s="46"/>
      <c r="P21" s="47"/>
      <c r="Q21" s="52"/>
      <c r="R21" s="53"/>
      <c r="S21" s="40"/>
      <c r="T21" s="41"/>
    </row>
    <row r="22" spans="1:20" ht="13.5" customHeight="1" thickTop="1" thickBot="1" x14ac:dyDescent="0.25">
      <c r="A22" s="14"/>
      <c r="B22" s="14"/>
      <c r="C22" s="14"/>
      <c r="D22" s="14"/>
      <c r="E22" s="14"/>
      <c r="F22" s="14"/>
    </row>
    <row r="23" spans="1:20" ht="12.95" customHeight="1" thickTop="1" x14ac:dyDescent="0.2">
      <c r="A23" s="23" t="s">
        <v>150</v>
      </c>
      <c r="B23" s="24"/>
      <c r="C23" s="24"/>
      <c r="D23" s="59" t="s">
        <v>190</v>
      </c>
      <c r="E23" s="62">
        <f>+VLOOKUP(A23,Flejes!B:H,2,)</f>
        <v>1</v>
      </c>
      <c r="F23" s="63"/>
      <c r="H23" s="23" t="s">
        <v>199</v>
      </c>
      <c r="I23" s="24"/>
      <c r="J23" s="24"/>
      <c r="K23" s="23" t="s">
        <v>198</v>
      </c>
      <c r="L23" s="24"/>
      <c r="M23" s="25"/>
      <c r="O23" s="23" t="s">
        <v>200</v>
      </c>
      <c r="P23" s="24"/>
      <c r="Q23" s="24"/>
      <c r="R23" s="23" t="s">
        <v>198</v>
      </c>
      <c r="S23" s="24"/>
      <c r="T23" s="25"/>
    </row>
    <row r="24" spans="1:20" ht="12.4" customHeight="1" x14ac:dyDescent="0.2">
      <c r="A24" s="26"/>
      <c r="B24" s="27"/>
      <c r="C24" s="27"/>
      <c r="D24" s="60"/>
      <c r="E24" s="64"/>
      <c r="F24" s="65"/>
      <c r="H24" s="26"/>
      <c r="I24" s="27"/>
      <c r="J24" s="27"/>
      <c r="K24" s="26"/>
      <c r="L24" s="27"/>
      <c r="M24" s="28"/>
      <c r="O24" s="26"/>
      <c r="P24" s="27"/>
      <c r="Q24" s="27"/>
      <c r="R24" s="26"/>
      <c r="S24" s="27"/>
      <c r="T24" s="28"/>
    </row>
    <row r="25" spans="1:20" ht="12.4" customHeight="1" x14ac:dyDescent="0.2">
      <c r="A25" s="26"/>
      <c r="B25" s="27"/>
      <c r="C25" s="27"/>
      <c r="D25" s="60"/>
      <c r="E25" s="64"/>
      <c r="F25" s="65"/>
      <c r="H25" s="26"/>
      <c r="I25" s="27"/>
      <c r="J25" s="27"/>
      <c r="K25" s="26"/>
      <c r="L25" s="27"/>
      <c r="M25" s="28"/>
      <c r="O25" s="26"/>
      <c r="P25" s="27"/>
      <c r="Q25" s="27"/>
      <c r="R25" s="26"/>
      <c r="S25" s="27"/>
      <c r="T25" s="28"/>
    </row>
    <row r="26" spans="1:20" ht="12.4" customHeight="1" x14ac:dyDescent="0.2">
      <c r="A26" s="26"/>
      <c r="B26" s="27"/>
      <c r="C26" s="27"/>
      <c r="D26" s="60"/>
      <c r="E26" s="64"/>
      <c r="F26" s="65"/>
      <c r="H26" s="26"/>
      <c r="I26" s="27"/>
      <c r="J26" s="27"/>
      <c r="K26" s="26"/>
      <c r="L26" s="27"/>
      <c r="M26" s="28"/>
      <c r="O26" s="26"/>
      <c r="P26" s="27"/>
      <c r="Q26" s="27"/>
      <c r="R26" s="26"/>
      <c r="S26" s="27"/>
      <c r="T26" s="28"/>
    </row>
    <row r="27" spans="1:20" ht="12.4" customHeight="1" x14ac:dyDescent="0.2">
      <c r="A27" s="26"/>
      <c r="B27" s="27"/>
      <c r="C27" s="27"/>
      <c r="D27" s="60"/>
      <c r="E27" s="64"/>
      <c r="F27" s="65"/>
      <c r="H27" s="26"/>
      <c r="I27" s="27"/>
      <c r="J27" s="27"/>
      <c r="K27" s="26"/>
      <c r="L27" s="27"/>
      <c r="M27" s="28"/>
      <c r="O27" s="26"/>
      <c r="P27" s="27"/>
      <c r="Q27" s="27"/>
      <c r="R27" s="26"/>
      <c r="S27" s="27"/>
      <c r="T27" s="28"/>
    </row>
    <row r="28" spans="1:20" ht="12.4" customHeight="1" x14ac:dyDescent="0.2">
      <c r="A28" s="26"/>
      <c r="B28" s="27"/>
      <c r="C28" s="27"/>
      <c r="D28" s="60"/>
      <c r="E28" s="64"/>
      <c r="F28" s="65"/>
      <c r="H28" s="26"/>
      <c r="I28" s="27"/>
      <c r="J28" s="27"/>
      <c r="K28" s="26"/>
      <c r="L28" s="27"/>
      <c r="M28" s="28"/>
      <c r="O28" s="26"/>
      <c r="P28" s="27"/>
      <c r="Q28" s="27"/>
      <c r="R28" s="26"/>
      <c r="S28" s="27"/>
      <c r="T28" s="28"/>
    </row>
    <row r="29" spans="1:20" ht="12.4" customHeight="1" x14ac:dyDescent="0.2">
      <c r="A29" s="26"/>
      <c r="B29" s="27"/>
      <c r="C29" s="27"/>
      <c r="D29" s="60"/>
      <c r="E29" s="64"/>
      <c r="F29" s="65"/>
      <c r="H29" s="26"/>
      <c r="I29" s="27"/>
      <c r="J29" s="27"/>
      <c r="K29" s="26"/>
      <c r="L29" s="27"/>
      <c r="M29" s="28"/>
      <c r="O29" s="26"/>
      <c r="P29" s="27"/>
      <c r="Q29" s="27"/>
      <c r="R29" s="26"/>
      <c r="S29" s="27"/>
      <c r="T29" s="28"/>
    </row>
    <row r="30" spans="1:20" ht="12.95" customHeight="1" thickBot="1" x14ac:dyDescent="0.25">
      <c r="A30" s="29"/>
      <c r="B30" s="30"/>
      <c r="C30" s="30"/>
      <c r="D30" s="61"/>
      <c r="E30" s="66"/>
      <c r="F30" s="67"/>
      <c r="H30" s="29"/>
      <c r="I30" s="30"/>
      <c r="J30" s="30"/>
      <c r="K30" s="29"/>
      <c r="L30" s="30"/>
      <c r="M30" s="31"/>
      <c r="O30" s="29"/>
      <c r="P30" s="30"/>
      <c r="Q30" s="30"/>
      <c r="R30" s="29"/>
      <c r="S30" s="30"/>
      <c r="T30" s="31"/>
    </row>
    <row r="31" spans="1:20" ht="12.95" customHeight="1" thickTop="1" x14ac:dyDescent="0.2">
      <c r="A31" s="54" t="str">
        <f>+VLOOKUP(A23,Flejes!B:H,4,)</f>
        <v>19 x 2,1</v>
      </c>
      <c r="B31" s="55"/>
      <c r="C31" s="55"/>
      <c r="D31" s="56"/>
      <c r="E31" s="37" t="str">
        <f>+VLOOKUP(A23,Flejes!B:L,11)</f>
        <v>+</v>
      </c>
      <c r="F31" s="38"/>
      <c r="H31" s="68" t="s">
        <v>197</v>
      </c>
      <c r="I31" s="69"/>
      <c r="J31" s="69"/>
      <c r="K31" s="70"/>
      <c r="L31" s="37" t="str">
        <f>+VLOOKUP(H23,Flejes!B:L,11)</f>
        <v>+</v>
      </c>
      <c r="M31" s="38"/>
      <c r="O31" s="32" t="s">
        <v>202</v>
      </c>
      <c r="P31" s="33"/>
      <c r="Q31" s="33"/>
      <c r="R31" s="34"/>
      <c r="S31" s="37" t="e">
        <f>+VLOOKUP(O23,Flejes!I:S,11)</f>
        <v>#N/A</v>
      </c>
      <c r="T31" s="38"/>
    </row>
    <row r="32" spans="1:20" ht="12.4" customHeight="1" x14ac:dyDescent="0.2">
      <c r="A32" s="57"/>
      <c r="B32" s="58"/>
      <c r="C32" s="58"/>
      <c r="D32" s="56"/>
      <c r="E32" s="37"/>
      <c r="F32" s="38"/>
      <c r="H32" s="71"/>
      <c r="I32" s="72"/>
      <c r="J32" s="72"/>
      <c r="K32" s="70"/>
      <c r="L32" s="37"/>
      <c r="M32" s="38"/>
      <c r="O32" s="35"/>
      <c r="P32" s="36"/>
      <c r="Q32" s="36"/>
      <c r="R32" s="34"/>
      <c r="S32" s="37"/>
      <c r="T32" s="38"/>
    </row>
    <row r="33" spans="1:20" ht="12.4" customHeight="1" x14ac:dyDescent="0.2">
      <c r="A33" s="57"/>
      <c r="B33" s="58"/>
      <c r="C33" s="58"/>
      <c r="D33" s="56"/>
      <c r="E33" s="37"/>
      <c r="F33" s="38"/>
      <c r="H33" s="71"/>
      <c r="I33" s="72"/>
      <c r="J33" s="72"/>
      <c r="K33" s="70"/>
      <c r="L33" s="37"/>
      <c r="M33" s="38"/>
      <c r="O33" s="35"/>
      <c r="P33" s="36"/>
      <c r="Q33" s="36"/>
      <c r="R33" s="34"/>
      <c r="S33" s="37"/>
      <c r="T33" s="38"/>
    </row>
    <row r="34" spans="1:20" ht="12.4" customHeight="1" x14ac:dyDescent="0.2">
      <c r="A34" s="57"/>
      <c r="B34" s="58"/>
      <c r="C34" s="58"/>
      <c r="D34" s="56"/>
      <c r="E34" s="37"/>
      <c r="F34" s="38"/>
      <c r="H34" s="71"/>
      <c r="I34" s="72"/>
      <c r="J34" s="72"/>
      <c r="K34" s="70"/>
      <c r="L34" s="37"/>
      <c r="M34" s="38"/>
      <c r="O34" s="35"/>
      <c r="P34" s="36"/>
      <c r="Q34" s="36"/>
      <c r="R34" s="34"/>
      <c r="S34" s="37"/>
      <c r="T34" s="38"/>
    </row>
    <row r="35" spans="1:20" ht="12.4" customHeight="1" x14ac:dyDescent="0.2">
      <c r="A35" s="57"/>
      <c r="B35" s="58"/>
      <c r="C35" s="58"/>
      <c r="D35" s="56"/>
      <c r="E35" s="37"/>
      <c r="F35" s="38"/>
      <c r="H35" s="71"/>
      <c r="I35" s="72"/>
      <c r="J35" s="72"/>
      <c r="K35" s="70"/>
      <c r="L35" s="37"/>
      <c r="M35" s="38"/>
      <c r="O35" s="35"/>
      <c r="P35" s="36"/>
      <c r="Q35" s="36"/>
      <c r="R35" s="34"/>
      <c r="S35" s="37"/>
      <c r="T35" s="38"/>
    </row>
    <row r="36" spans="1:20" ht="12.95" customHeight="1" thickBot="1" x14ac:dyDescent="0.25">
      <c r="A36" s="57"/>
      <c r="B36" s="58"/>
      <c r="C36" s="58"/>
      <c r="D36" s="56"/>
      <c r="E36" s="37"/>
      <c r="F36" s="38"/>
      <c r="H36" s="71"/>
      <c r="I36" s="72"/>
      <c r="J36" s="72"/>
      <c r="K36" s="70"/>
      <c r="L36" s="37"/>
      <c r="M36" s="38"/>
      <c r="O36" s="35"/>
      <c r="P36" s="36"/>
      <c r="Q36" s="36"/>
      <c r="R36" s="34"/>
      <c r="S36" s="37"/>
      <c r="T36" s="38"/>
    </row>
    <row r="37" spans="1:20" ht="12.95" customHeight="1" thickTop="1" x14ac:dyDescent="0.2">
      <c r="A37" s="42" t="s">
        <v>192</v>
      </c>
      <c r="B37" s="43"/>
      <c r="C37" s="48">
        <f>+VLOOKUP(A23,Flejes!B:H,7,)</f>
        <v>10.61269776</v>
      </c>
      <c r="D37" s="49"/>
      <c r="E37" s="39"/>
      <c r="F37" s="38"/>
      <c r="H37" s="42" t="s">
        <v>196</v>
      </c>
      <c r="I37" s="43"/>
      <c r="J37" s="48">
        <f>2</f>
        <v>2</v>
      </c>
      <c r="K37" s="49"/>
      <c r="L37" s="39"/>
      <c r="M37" s="38"/>
      <c r="O37" s="42" t="s">
        <v>196</v>
      </c>
      <c r="P37" s="43"/>
      <c r="Q37" s="48">
        <f>2</f>
        <v>2</v>
      </c>
      <c r="R37" s="49"/>
      <c r="S37" s="39"/>
      <c r="T37" s="38"/>
    </row>
    <row r="38" spans="1:20" ht="12.4" customHeight="1" x14ac:dyDescent="0.2">
      <c r="A38" s="44"/>
      <c r="B38" s="45"/>
      <c r="C38" s="50"/>
      <c r="D38" s="51"/>
      <c r="E38" s="39"/>
      <c r="F38" s="38"/>
      <c r="H38" s="44"/>
      <c r="I38" s="45"/>
      <c r="J38" s="50"/>
      <c r="K38" s="51"/>
      <c r="L38" s="39"/>
      <c r="M38" s="38"/>
      <c r="O38" s="44"/>
      <c r="P38" s="45"/>
      <c r="Q38" s="50"/>
      <c r="R38" s="51"/>
      <c r="S38" s="39"/>
      <c r="T38" s="38"/>
    </row>
    <row r="39" spans="1:20" ht="12.4" customHeight="1" x14ac:dyDescent="0.2">
      <c r="A39" s="44"/>
      <c r="B39" s="45"/>
      <c r="C39" s="50"/>
      <c r="D39" s="51"/>
      <c r="E39" s="39"/>
      <c r="F39" s="38"/>
      <c r="H39" s="44"/>
      <c r="I39" s="45"/>
      <c r="J39" s="50"/>
      <c r="K39" s="51"/>
      <c r="L39" s="39"/>
      <c r="M39" s="38"/>
      <c r="O39" s="44"/>
      <c r="P39" s="45"/>
      <c r="Q39" s="50"/>
      <c r="R39" s="51"/>
      <c r="S39" s="39"/>
      <c r="T39" s="38"/>
    </row>
    <row r="40" spans="1:20" ht="12.4" customHeight="1" x14ac:dyDescent="0.2">
      <c r="A40" s="44"/>
      <c r="B40" s="45"/>
      <c r="C40" s="50"/>
      <c r="D40" s="51"/>
      <c r="E40" s="39"/>
      <c r="F40" s="38"/>
      <c r="H40" s="44"/>
      <c r="I40" s="45"/>
      <c r="J40" s="50"/>
      <c r="K40" s="51"/>
      <c r="L40" s="39"/>
      <c r="M40" s="38"/>
      <c r="O40" s="44"/>
      <c r="P40" s="45"/>
      <c r="Q40" s="50"/>
      <c r="R40" s="51"/>
      <c r="S40" s="39"/>
      <c r="T40" s="38"/>
    </row>
    <row r="41" spans="1:20" ht="12.95" customHeight="1" thickBot="1" x14ac:dyDescent="0.25">
      <c r="A41" s="46"/>
      <c r="B41" s="47"/>
      <c r="C41" s="52"/>
      <c r="D41" s="53"/>
      <c r="E41" s="40"/>
      <c r="F41" s="41"/>
      <c r="H41" s="46"/>
      <c r="I41" s="47"/>
      <c r="J41" s="52"/>
      <c r="K41" s="53"/>
      <c r="L41" s="40"/>
      <c r="M41" s="41"/>
      <c r="O41" s="46"/>
      <c r="P41" s="47"/>
      <c r="Q41" s="52"/>
      <c r="R41" s="53"/>
      <c r="S41" s="40"/>
      <c r="T41" s="41"/>
    </row>
    <row r="42" spans="1:20" ht="14.25" thickTop="1" thickBot="1" x14ac:dyDescent="0.25"/>
    <row r="43" spans="1:20" ht="12.95" customHeight="1" thickTop="1" x14ac:dyDescent="0.2">
      <c r="A43" s="23" t="s">
        <v>171</v>
      </c>
      <c r="B43" s="24"/>
      <c r="C43" s="24"/>
      <c r="D43" s="59" t="s">
        <v>190</v>
      </c>
      <c r="E43" s="62">
        <f>+VLOOKUP(A43,Flejes!B:H,2,)</f>
        <v>0</v>
      </c>
      <c r="F43" s="63"/>
      <c r="H43" s="23" t="s">
        <v>156</v>
      </c>
      <c r="I43" s="24"/>
      <c r="J43" s="24"/>
      <c r="K43" s="59" t="s">
        <v>190</v>
      </c>
      <c r="L43" s="62">
        <f>+VLOOKUP(H43,Flejes!B:H,2,)</f>
        <v>8</v>
      </c>
      <c r="M43" s="63"/>
      <c r="O43" s="23" t="s">
        <v>172</v>
      </c>
      <c r="P43" s="24"/>
      <c r="Q43" s="24"/>
      <c r="R43" s="24"/>
      <c r="S43" s="24"/>
      <c r="T43" s="25"/>
    </row>
    <row r="44" spans="1:20" ht="12.4" customHeight="1" x14ac:dyDescent="0.2">
      <c r="A44" s="26"/>
      <c r="B44" s="27"/>
      <c r="C44" s="27"/>
      <c r="D44" s="60"/>
      <c r="E44" s="64"/>
      <c r="F44" s="65"/>
      <c r="H44" s="26"/>
      <c r="I44" s="27"/>
      <c r="J44" s="27"/>
      <c r="K44" s="60"/>
      <c r="L44" s="64"/>
      <c r="M44" s="65"/>
      <c r="O44" s="26"/>
      <c r="P44" s="27"/>
      <c r="Q44" s="27"/>
      <c r="R44" s="27"/>
      <c r="S44" s="27"/>
      <c r="T44" s="28"/>
    </row>
    <row r="45" spans="1:20" ht="12.4" customHeight="1" x14ac:dyDescent="0.2">
      <c r="A45" s="26"/>
      <c r="B45" s="27"/>
      <c r="C45" s="27"/>
      <c r="D45" s="60"/>
      <c r="E45" s="64"/>
      <c r="F45" s="65"/>
      <c r="H45" s="26"/>
      <c r="I45" s="27"/>
      <c r="J45" s="27"/>
      <c r="K45" s="60"/>
      <c r="L45" s="64"/>
      <c r="M45" s="65"/>
      <c r="O45" s="26"/>
      <c r="P45" s="27"/>
      <c r="Q45" s="27"/>
      <c r="R45" s="27"/>
      <c r="S45" s="27"/>
      <c r="T45" s="28"/>
    </row>
    <row r="46" spans="1:20" ht="12.4" customHeight="1" x14ac:dyDescent="0.2">
      <c r="A46" s="26"/>
      <c r="B46" s="27"/>
      <c r="C46" s="27"/>
      <c r="D46" s="60"/>
      <c r="E46" s="64"/>
      <c r="F46" s="65"/>
      <c r="H46" s="26"/>
      <c r="I46" s="27"/>
      <c r="J46" s="27"/>
      <c r="K46" s="60"/>
      <c r="L46" s="64"/>
      <c r="M46" s="65"/>
      <c r="O46" s="26"/>
      <c r="P46" s="27"/>
      <c r="Q46" s="27"/>
      <c r="R46" s="27"/>
      <c r="S46" s="27"/>
      <c r="T46" s="28"/>
    </row>
    <row r="47" spans="1:20" ht="12.4" customHeight="1" x14ac:dyDescent="0.2">
      <c r="A47" s="26"/>
      <c r="B47" s="27"/>
      <c r="C47" s="27"/>
      <c r="D47" s="60"/>
      <c r="E47" s="64"/>
      <c r="F47" s="65"/>
      <c r="H47" s="26"/>
      <c r="I47" s="27"/>
      <c r="J47" s="27"/>
      <c r="K47" s="60"/>
      <c r="L47" s="64"/>
      <c r="M47" s="65"/>
      <c r="O47" s="26"/>
      <c r="P47" s="27"/>
      <c r="Q47" s="27"/>
      <c r="R47" s="27"/>
      <c r="S47" s="27"/>
      <c r="T47" s="28"/>
    </row>
    <row r="48" spans="1:20" ht="12.4" customHeight="1" x14ac:dyDescent="0.2">
      <c r="A48" s="26"/>
      <c r="B48" s="27"/>
      <c r="C48" s="27"/>
      <c r="D48" s="60"/>
      <c r="E48" s="64"/>
      <c r="F48" s="65"/>
      <c r="H48" s="26"/>
      <c r="I48" s="27"/>
      <c r="J48" s="27"/>
      <c r="K48" s="60"/>
      <c r="L48" s="64"/>
      <c r="M48" s="65"/>
      <c r="O48" s="26"/>
      <c r="P48" s="27"/>
      <c r="Q48" s="27"/>
      <c r="R48" s="27"/>
      <c r="S48" s="27"/>
      <c r="T48" s="28"/>
    </row>
    <row r="49" spans="1:20" ht="12.4" customHeight="1" x14ac:dyDescent="0.2">
      <c r="A49" s="26"/>
      <c r="B49" s="27"/>
      <c r="C49" s="27"/>
      <c r="D49" s="60"/>
      <c r="E49" s="64"/>
      <c r="F49" s="65"/>
      <c r="H49" s="26"/>
      <c r="I49" s="27"/>
      <c r="J49" s="27"/>
      <c r="K49" s="60"/>
      <c r="L49" s="64"/>
      <c r="M49" s="65"/>
      <c r="O49" s="26"/>
      <c r="P49" s="27"/>
      <c r="Q49" s="27"/>
      <c r="R49" s="27"/>
      <c r="S49" s="27"/>
      <c r="T49" s="28"/>
    </row>
    <row r="50" spans="1:20" ht="12.95" customHeight="1" thickBot="1" x14ac:dyDescent="0.25">
      <c r="A50" s="29"/>
      <c r="B50" s="30"/>
      <c r="C50" s="30"/>
      <c r="D50" s="61"/>
      <c r="E50" s="66"/>
      <c r="F50" s="67"/>
      <c r="H50" s="29"/>
      <c r="I50" s="30"/>
      <c r="J50" s="30"/>
      <c r="K50" s="61"/>
      <c r="L50" s="66"/>
      <c r="M50" s="67"/>
      <c r="O50" s="29"/>
      <c r="P50" s="30"/>
      <c r="Q50" s="30"/>
      <c r="R50" s="30"/>
      <c r="S50" s="30"/>
      <c r="T50" s="31"/>
    </row>
    <row r="51" spans="1:20" ht="13.5" thickTop="1" x14ac:dyDescent="0.2">
      <c r="A51" s="54">
        <f>+VLOOKUP(A43,Flejes!B:H,4,)</f>
        <v>0</v>
      </c>
      <c r="B51" s="55"/>
      <c r="C51" s="55"/>
      <c r="D51" s="56"/>
      <c r="E51" s="37" t="str">
        <f>+VLOOKUP(A43,Flejes!B:L,11)</f>
        <v>+</v>
      </c>
      <c r="F51" s="38"/>
      <c r="H51" s="54" t="str">
        <f>+VLOOKUP(H43,Flejes!B:H,4,)</f>
        <v>33 x 2</v>
      </c>
      <c r="I51" s="55"/>
      <c r="J51" s="55"/>
      <c r="K51" s="56"/>
      <c r="L51" s="37" t="str">
        <f>+VLOOKUP(H43,Flejes!B:L,11)</f>
        <v>+</v>
      </c>
      <c r="M51" s="38"/>
      <c r="O51" s="32" t="s">
        <v>201</v>
      </c>
      <c r="P51" s="33"/>
      <c r="Q51" s="33"/>
      <c r="R51" s="34"/>
      <c r="S51" s="37" t="e">
        <f>+VLOOKUP(O43,Flejes!I:S,11)</f>
        <v>#N/A</v>
      </c>
      <c r="T51" s="38"/>
    </row>
    <row r="52" spans="1:20" x14ac:dyDescent="0.2">
      <c r="A52" s="57"/>
      <c r="B52" s="58"/>
      <c r="C52" s="58"/>
      <c r="D52" s="56"/>
      <c r="E52" s="37"/>
      <c r="F52" s="38"/>
      <c r="H52" s="57"/>
      <c r="I52" s="58"/>
      <c r="J52" s="58"/>
      <c r="K52" s="56"/>
      <c r="L52" s="37"/>
      <c r="M52" s="38"/>
      <c r="O52" s="35"/>
      <c r="P52" s="36"/>
      <c r="Q52" s="36"/>
      <c r="R52" s="34"/>
      <c r="S52" s="37"/>
      <c r="T52" s="38"/>
    </row>
    <row r="53" spans="1:20" x14ac:dyDescent="0.2">
      <c r="A53" s="57"/>
      <c r="B53" s="58"/>
      <c r="C53" s="58"/>
      <c r="D53" s="56"/>
      <c r="E53" s="37"/>
      <c r="F53" s="38"/>
      <c r="H53" s="57"/>
      <c r="I53" s="58"/>
      <c r="J53" s="58"/>
      <c r="K53" s="56"/>
      <c r="L53" s="37"/>
      <c r="M53" s="38"/>
      <c r="O53" s="35"/>
      <c r="P53" s="36"/>
      <c r="Q53" s="36"/>
      <c r="R53" s="34"/>
      <c r="S53" s="37"/>
      <c r="T53" s="38"/>
    </row>
    <row r="54" spans="1:20" x14ac:dyDescent="0.2">
      <c r="A54" s="57"/>
      <c r="B54" s="58"/>
      <c r="C54" s="58"/>
      <c r="D54" s="56"/>
      <c r="E54" s="37"/>
      <c r="F54" s="38"/>
      <c r="H54" s="57"/>
      <c r="I54" s="58"/>
      <c r="J54" s="58"/>
      <c r="K54" s="56"/>
      <c r="L54" s="37"/>
      <c r="M54" s="38"/>
      <c r="O54" s="35"/>
      <c r="P54" s="36"/>
      <c r="Q54" s="36"/>
      <c r="R54" s="34"/>
      <c r="S54" s="37"/>
      <c r="T54" s="38"/>
    </row>
    <row r="55" spans="1:20" x14ac:dyDescent="0.2">
      <c r="A55" s="57"/>
      <c r="B55" s="58"/>
      <c r="C55" s="58"/>
      <c r="D55" s="56"/>
      <c r="E55" s="37"/>
      <c r="F55" s="38"/>
      <c r="H55" s="57"/>
      <c r="I55" s="58"/>
      <c r="J55" s="58"/>
      <c r="K55" s="56"/>
      <c r="L55" s="37"/>
      <c r="M55" s="38"/>
      <c r="O55" s="35"/>
      <c r="P55" s="36"/>
      <c r="Q55" s="36"/>
      <c r="R55" s="34"/>
      <c r="S55" s="37"/>
      <c r="T55" s="38"/>
    </row>
    <row r="56" spans="1:20" ht="13.5" thickBot="1" x14ac:dyDescent="0.25">
      <c r="A56" s="57"/>
      <c r="B56" s="58"/>
      <c r="C56" s="58"/>
      <c r="D56" s="56"/>
      <c r="E56" s="37"/>
      <c r="F56" s="38"/>
      <c r="H56" s="57"/>
      <c r="I56" s="58"/>
      <c r="J56" s="58"/>
      <c r="K56" s="56"/>
      <c r="L56" s="37"/>
      <c r="M56" s="38"/>
      <c r="O56" s="35"/>
      <c r="P56" s="36"/>
      <c r="Q56" s="36"/>
      <c r="R56" s="34"/>
      <c r="S56" s="37"/>
      <c r="T56" s="38"/>
    </row>
    <row r="57" spans="1:20" ht="13.5" thickTop="1" x14ac:dyDescent="0.2">
      <c r="A57" s="42" t="s">
        <v>192</v>
      </c>
      <c r="B57" s="43"/>
      <c r="C57" s="48">
        <f>+VLOOKUP(A43,Flejes!B:H,7,)</f>
        <v>0</v>
      </c>
      <c r="D57" s="49"/>
      <c r="E57" s="39"/>
      <c r="F57" s="38"/>
      <c r="H57" s="42" t="s">
        <v>192</v>
      </c>
      <c r="I57" s="43"/>
      <c r="J57" s="48">
        <f>+VLOOKUP(H43,Flejes!B:H,7,)</f>
        <v>1.9604339446153842</v>
      </c>
      <c r="K57" s="49"/>
      <c r="L57" s="39"/>
      <c r="M57" s="38"/>
      <c r="O57" s="42" t="s">
        <v>196</v>
      </c>
      <c r="P57" s="43"/>
      <c r="Q57" s="48">
        <v>4</v>
      </c>
      <c r="R57" s="49"/>
      <c r="S57" s="39"/>
      <c r="T57" s="38"/>
    </row>
    <row r="58" spans="1:20" x14ac:dyDescent="0.2">
      <c r="A58" s="44"/>
      <c r="B58" s="45"/>
      <c r="C58" s="50"/>
      <c r="D58" s="51"/>
      <c r="E58" s="39"/>
      <c r="F58" s="38"/>
      <c r="H58" s="44"/>
      <c r="I58" s="45"/>
      <c r="J58" s="50"/>
      <c r="K58" s="51"/>
      <c r="L58" s="39"/>
      <c r="M58" s="38"/>
      <c r="O58" s="44"/>
      <c r="P58" s="45"/>
      <c r="Q58" s="50"/>
      <c r="R58" s="51"/>
      <c r="S58" s="39"/>
      <c r="T58" s="38"/>
    </row>
    <row r="59" spans="1:20" x14ac:dyDescent="0.2">
      <c r="A59" s="44"/>
      <c r="B59" s="45"/>
      <c r="C59" s="50"/>
      <c r="D59" s="51"/>
      <c r="E59" s="39"/>
      <c r="F59" s="38"/>
      <c r="H59" s="44"/>
      <c r="I59" s="45"/>
      <c r="J59" s="50"/>
      <c r="K59" s="51"/>
      <c r="L59" s="39"/>
      <c r="M59" s="38"/>
      <c r="O59" s="44"/>
      <c r="P59" s="45"/>
      <c r="Q59" s="50"/>
      <c r="R59" s="51"/>
      <c r="S59" s="39"/>
      <c r="T59" s="38"/>
    </row>
    <row r="60" spans="1:20" x14ac:dyDescent="0.2">
      <c r="A60" s="44"/>
      <c r="B60" s="45"/>
      <c r="C60" s="50"/>
      <c r="D60" s="51"/>
      <c r="E60" s="39"/>
      <c r="F60" s="38"/>
      <c r="H60" s="44"/>
      <c r="I60" s="45"/>
      <c r="J60" s="50"/>
      <c r="K60" s="51"/>
      <c r="L60" s="39"/>
      <c r="M60" s="38"/>
      <c r="O60" s="44"/>
      <c r="P60" s="45"/>
      <c r="Q60" s="50"/>
      <c r="R60" s="51"/>
      <c r="S60" s="39"/>
      <c r="T60" s="38"/>
    </row>
    <row r="61" spans="1:20" ht="13.5" thickBot="1" x14ac:dyDescent="0.25">
      <c r="A61" s="46"/>
      <c r="B61" s="47"/>
      <c r="C61" s="52"/>
      <c r="D61" s="53"/>
      <c r="E61" s="40"/>
      <c r="F61" s="41"/>
      <c r="H61" s="46"/>
      <c r="I61" s="47"/>
      <c r="J61" s="52"/>
      <c r="K61" s="53"/>
      <c r="L61" s="40"/>
      <c r="M61" s="41"/>
      <c r="O61" s="46"/>
      <c r="P61" s="47"/>
      <c r="Q61" s="52"/>
      <c r="R61" s="53"/>
      <c r="S61" s="40"/>
      <c r="T61" s="41"/>
    </row>
    <row r="62" spans="1:20" ht="14.25" thickTop="1" thickBot="1" x14ac:dyDescent="0.25"/>
    <row r="63" spans="1:20" ht="13.5" thickTop="1" x14ac:dyDescent="0.2">
      <c r="A63" s="23" t="s">
        <v>167</v>
      </c>
      <c r="B63" s="24"/>
      <c r="C63" s="24"/>
      <c r="D63" s="59" t="s">
        <v>190</v>
      </c>
      <c r="E63" s="62">
        <f>+VLOOKUP(A63,Flejes!B:H,2,)</f>
        <v>39</v>
      </c>
      <c r="F63" s="63"/>
      <c r="H63" s="23" t="s">
        <v>161</v>
      </c>
      <c r="I63" s="24"/>
      <c r="J63" s="24"/>
      <c r="K63" s="59" t="s">
        <v>190</v>
      </c>
      <c r="L63" s="62">
        <f>+VLOOKUP(H63,Flejes!B:H,2,)</f>
        <v>23</v>
      </c>
      <c r="M63" s="63"/>
      <c r="O63" s="23" t="s">
        <v>204</v>
      </c>
      <c r="P63" s="24"/>
      <c r="Q63" s="24"/>
      <c r="R63" s="24"/>
      <c r="S63" s="24"/>
      <c r="T63" s="25"/>
    </row>
    <row r="64" spans="1:20" x14ac:dyDescent="0.2">
      <c r="A64" s="26"/>
      <c r="B64" s="27"/>
      <c r="C64" s="27"/>
      <c r="D64" s="60"/>
      <c r="E64" s="64"/>
      <c r="F64" s="65"/>
      <c r="H64" s="26"/>
      <c r="I64" s="27"/>
      <c r="J64" s="27"/>
      <c r="K64" s="60"/>
      <c r="L64" s="64"/>
      <c r="M64" s="65"/>
      <c r="O64" s="26"/>
      <c r="P64" s="27"/>
      <c r="Q64" s="27"/>
      <c r="R64" s="27"/>
      <c r="S64" s="27"/>
      <c r="T64" s="28"/>
    </row>
    <row r="65" spans="1:20" x14ac:dyDescent="0.2">
      <c r="A65" s="26"/>
      <c r="B65" s="27"/>
      <c r="C65" s="27"/>
      <c r="D65" s="60"/>
      <c r="E65" s="64"/>
      <c r="F65" s="65"/>
      <c r="H65" s="26"/>
      <c r="I65" s="27"/>
      <c r="J65" s="27"/>
      <c r="K65" s="60"/>
      <c r="L65" s="64"/>
      <c r="M65" s="65"/>
      <c r="O65" s="26"/>
      <c r="P65" s="27"/>
      <c r="Q65" s="27"/>
      <c r="R65" s="27"/>
      <c r="S65" s="27"/>
      <c r="T65" s="28"/>
    </row>
    <row r="66" spans="1:20" x14ac:dyDescent="0.2">
      <c r="A66" s="26"/>
      <c r="B66" s="27"/>
      <c r="C66" s="27"/>
      <c r="D66" s="60"/>
      <c r="E66" s="64"/>
      <c r="F66" s="65"/>
      <c r="H66" s="26"/>
      <c r="I66" s="27"/>
      <c r="J66" s="27"/>
      <c r="K66" s="60"/>
      <c r="L66" s="64"/>
      <c r="M66" s="65"/>
      <c r="O66" s="26"/>
      <c r="P66" s="27"/>
      <c r="Q66" s="27"/>
      <c r="R66" s="27"/>
      <c r="S66" s="27"/>
      <c r="T66" s="28"/>
    </row>
    <row r="67" spans="1:20" x14ac:dyDescent="0.2">
      <c r="A67" s="26"/>
      <c r="B67" s="27"/>
      <c r="C67" s="27"/>
      <c r="D67" s="60"/>
      <c r="E67" s="64"/>
      <c r="F67" s="65"/>
      <c r="H67" s="26"/>
      <c r="I67" s="27"/>
      <c r="J67" s="27"/>
      <c r="K67" s="60"/>
      <c r="L67" s="64"/>
      <c r="M67" s="65"/>
      <c r="O67" s="26"/>
      <c r="P67" s="27"/>
      <c r="Q67" s="27"/>
      <c r="R67" s="27"/>
      <c r="S67" s="27"/>
      <c r="T67" s="28"/>
    </row>
    <row r="68" spans="1:20" x14ac:dyDescent="0.2">
      <c r="A68" s="26"/>
      <c r="B68" s="27"/>
      <c r="C68" s="27"/>
      <c r="D68" s="60"/>
      <c r="E68" s="64"/>
      <c r="F68" s="65"/>
      <c r="H68" s="26"/>
      <c r="I68" s="27"/>
      <c r="J68" s="27"/>
      <c r="K68" s="60"/>
      <c r="L68" s="64"/>
      <c r="M68" s="65"/>
      <c r="O68" s="26"/>
      <c r="P68" s="27"/>
      <c r="Q68" s="27"/>
      <c r="R68" s="27"/>
      <c r="S68" s="27"/>
      <c r="T68" s="28"/>
    </row>
    <row r="69" spans="1:20" x14ac:dyDescent="0.2">
      <c r="A69" s="26"/>
      <c r="B69" s="27"/>
      <c r="C69" s="27"/>
      <c r="D69" s="60"/>
      <c r="E69" s="64"/>
      <c r="F69" s="65"/>
      <c r="H69" s="26"/>
      <c r="I69" s="27"/>
      <c r="J69" s="27"/>
      <c r="K69" s="60"/>
      <c r="L69" s="64"/>
      <c r="M69" s="65"/>
      <c r="O69" s="26"/>
      <c r="P69" s="27"/>
      <c r="Q69" s="27"/>
      <c r="R69" s="27"/>
      <c r="S69" s="27"/>
      <c r="T69" s="28"/>
    </row>
    <row r="70" spans="1:20" ht="13.5" thickBot="1" x14ac:dyDescent="0.25">
      <c r="A70" s="29"/>
      <c r="B70" s="30"/>
      <c r="C70" s="30"/>
      <c r="D70" s="61"/>
      <c r="E70" s="66"/>
      <c r="F70" s="67"/>
      <c r="H70" s="29"/>
      <c r="I70" s="30"/>
      <c r="J70" s="30"/>
      <c r="K70" s="61"/>
      <c r="L70" s="66"/>
      <c r="M70" s="67"/>
      <c r="O70" s="29"/>
      <c r="P70" s="30"/>
      <c r="Q70" s="30"/>
      <c r="R70" s="30"/>
      <c r="S70" s="30"/>
      <c r="T70" s="31"/>
    </row>
    <row r="71" spans="1:20" ht="13.5" thickTop="1" x14ac:dyDescent="0.2">
      <c r="A71" s="54" t="str">
        <f>+VLOOKUP(A63,Flejes!B:H,4,)</f>
        <v>136 x 0,8</v>
      </c>
      <c r="B71" s="55"/>
      <c r="C71" s="55"/>
      <c r="D71" s="56"/>
      <c r="E71" s="37" t="str">
        <f>+VLOOKUP(A63,Flejes!B:L,11)</f>
        <v>+</v>
      </c>
      <c r="F71" s="38"/>
      <c r="H71" s="54" t="str">
        <f>+VLOOKUP(H63,Flejes!B:H,4,)</f>
        <v>20 x 2,8</v>
      </c>
      <c r="I71" s="55"/>
      <c r="J71" s="55"/>
      <c r="K71" s="56"/>
      <c r="L71" s="37" t="str">
        <f>+VLOOKUP(H63,Flejes!B:L,11)</f>
        <v>+</v>
      </c>
      <c r="M71" s="38"/>
      <c r="O71" s="32" t="s">
        <v>205</v>
      </c>
      <c r="P71" s="33"/>
      <c r="Q71" s="33"/>
      <c r="R71" s="34"/>
      <c r="S71" s="37" t="e">
        <f>+VLOOKUP(O63,Flejes!I:S,11)</f>
        <v>#N/A</v>
      </c>
      <c r="T71" s="38"/>
    </row>
    <row r="72" spans="1:20" x14ac:dyDescent="0.2">
      <c r="A72" s="57"/>
      <c r="B72" s="58"/>
      <c r="C72" s="58"/>
      <c r="D72" s="56"/>
      <c r="E72" s="37"/>
      <c r="F72" s="38"/>
      <c r="H72" s="57"/>
      <c r="I72" s="58"/>
      <c r="J72" s="58"/>
      <c r="K72" s="56"/>
      <c r="L72" s="37"/>
      <c r="M72" s="38"/>
      <c r="O72" s="35"/>
      <c r="P72" s="36"/>
      <c r="Q72" s="36"/>
      <c r="R72" s="34"/>
      <c r="S72" s="37"/>
      <c r="T72" s="38"/>
    </row>
    <row r="73" spans="1:20" x14ac:dyDescent="0.2">
      <c r="A73" s="57"/>
      <c r="B73" s="58"/>
      <c r="C73" s="58"/>
      <c r="D73" s="56"/>
      <c r="E73" s="37"/>
      <c r="F73" s="38"/>
      <c r="H73" s="57"/>
      <c r="I73" s="58"/>
      <c r="J73" s="58"/>
      <c r="K73" s="56"/>
      <c r="L73" s="37"/>
      <c r="M73" s="38"/>
      <c r="O73" s="35"/>
      <c r="P73" s="36"/>
      <c r="Q73" s="36"/>
      <c r="R73" s="34"/>
      <c r="S73" s="37"/>
      <c r="T73" s="38"/>
    </row>
    <row r="74" spans="1:20" x14ac:dyDescent="0.2">
      <c r="A74" s="57"/>
      <c r="B74" s="58"/>
      <c r="C74" s="58"/>
      <c r="D74" s="56"/>
      <c r="E74" s="37"/>
      <c r="F74" s="38"/>
      <c r="H74" s="57"/>
      <c r="I74" s="58"/>
      <c r="J74" s="58"/>
      <c r="K74" s="56"/>
      <c r="L74" s="37"/>
      <c r="M74" s="38"/>
      <c r="O74" s="35"/>
      <c r="P74" s="36"/>
      <c r="Q74" s="36"/>
      <c r="R74" s="34"/>
      <c r="S74" s="37"/>
      <c r="T74" s="38"/>
    </row>
    <row r="75" spans="1:20" x14ac:dyDescent="0.2">
      <c r="A75" s="57"/>
      <c r="B75" s="58"/>
      <c r="C75" s="58"/>
      <c r="D75" s="56"/>
      <c r="E75" s="37"/>
      <c r="F75" s="38"/>
      <c r="H75" s="57"/>
      <c r="I75" s="58"/>
      <c r="J75" s="58"/>
      <c r="K75" s="56"/>
      <c r="L75" s="37"/>
      <c r="M75" s="38"/>
      <c r="O75" s="35"/>
      <c r="P75" s="36"/>
      <c r="Q75" s="36"/>
      <c r="R75" s="34"/>
      <c r="S75" s="37"/>
      <c r="T75" s="38"/>
    </row>
    <row r="76" spans="1:20" ht="18.399999999999999" customHeight="1" thickBot="1" x14ac:dyDescent="0.25">
      <c r="A76" s="57"/>
      <c r="B76" s="58"/>
      <c r="C76" s="58"/>
      <c r="D76" s="56"/>
      <c r="E76" s="37"/>
      <c r="F76" s="38"/>
      <c r="H76" s="57"/>
      <c r="I76" s="58"/>
      <c r="J76" s="58"/>
      <c r="K76" s="56"/>
      <c r="L76" s="37"/>
      <c r="M76" s="38"/>
      <c r="O76" s="35"/>
      <c r="P76" s="36"/>
      <c r="Q76" s="36"/>
      <c r="R76" s="34"/>
      <c r="S76" s="37"/>
      <c r="T76" s="38"/>
    </row>
    <row r="77" spans="1:20" ht="13.5" thickTop="1" x14ac:dyDescent="0.2">
      <c r="A77" s="42" t="s">
        <v>192</v>
      </c>
      <c r="B77" s="43"/>
      <c r="C77" s="48">
        <f>+VLOOKUP(A63,Flejes!B:H,7,)</f>
        <v>0.56035572851612914</v>
      </c>
      <c r="D77" s="49"/>
      <c r="E77" s="39"/>
      <c r="F77" s="38"/>
      <c r="H77" s="42" t="s">
        <v>192</v>
      </c>
      <c r="I77" s="43"/>
      <c r="J77" s="48">
        <f>+VLOOKUP(H63,Flejes!B:H,7,)</f>
        <v>2.9796719232000002</v>
      </c>
      <c r="K77" s="49"/>
      <c r="L77" s="39"/>
      <c r="M77" s="38"/>
      <c r="O77" s="42" t="s">
        <v>196</v>
      </c>
      <c r="P77" s="43"/>
      <c r="Q77" s="48">
        <v>2</v>
      </c>
      <c r="R77" s="49"/>
      <c r="S77" s="39"/>
      <c r="T77" s="38"/>
    </row>
    <row r="78" spans="1:20" x14ac:dyDescent="0.2">
      <c r="A78" s="44"/>
      <c r="B78" s="45"/>
      <c r="C78" s="50"/>
      <c r="D78" s="51"/>
      <c r="E78" s="39"/>
      <c r="F78" s="38"/>
      <c r="H78" s="44"/>
      <c r="I78" s="45"/>
      <c r="J78" s="50"/>
      <c r="K78" s="51"/>
      <c r="L78" s="39"/>
      <c r="M78" s="38"/>
      <c r="O78" s="44"/>
      <c r="P78" s="45"/>
      <c r="Q78" s="50"/>
      <c r="R78" s="51"/>
      <c r="S78" s="39"/>
      <c r="T78" s="38"/>
    </row>
    <row r="79" spans="1:20" x14ac:dyDescent="0.2">
      <c r="A79" s="44"/>
      <c r="B79" s="45"/>
      <c r="C79" s="50"/>
      <c r="D79" s="51"/>
      <c r="E79" s="39"/>
      <c r="F79" s="38"/>
      <c r="H79" s="44"/>
      <c r="I79" s="45"/>
      <c r="J79" s="50"/>
      <c r="K79" s="51"/>
      <c r="L79" s="39"/>
      <c r="M79" s="38"/>
      <c r="O79" s="44"/>
      <c r="P79" s="45"/>
      <c r="Q79" s="50"/>
      <c r="R79" s="51"/>
      <c r="S79" s="39"/>
      <c r="T79" s="38"/>
    </row>
    <row r="80" spans="1:20" x14ac:dyDescent="0.2">
      <c r="A80" s="44"/>
      <c r="B80" s="45"/>
      <c r="C80" s="50"/>
      <c r="D80" s="51"/>
      <c r="E80" s="39"/>
      <c r="F80" s="38"/>
      <c r="H80" s="44"/>
      <c r="I80" s="45"/>
      <c r="J80" s="50"/>
      <c r="K80" s="51"/>
      <c r="L80" s="39"/>
      <c r="M80" s="38"/>
      <c r="O80" s="44"/>
      <c r="P80" s="45"/>
      <c r="Q80" s="50"/>
      <c r="R80" s="51"/>
      <c r="S80" s="39"/>
      <c r="T80" s="38"/>
    </row>
    <row r="81" spans="1:20" ht="13.5" thickBot="1" x14ac:dyDescent="0.25">
      <c r="A81" s="46"/>
      <c r="B81" s="47"/>
      <c r="C81" s="52"/>
      <c r="D81" s="53"/>
      <c r="E81" s="40"/>
      <c r="F81" s="41"/>
      <c r="H81" s="46"/>
      <c r="I81" s="47"/>
      <c r="J81" s="52"/>
      <c r="K81" s="53"/>
      <c r="L81" s="40"/>
      <c r="M81" s="41"/>
      <c r="O81" s="46"/>
      <c r="P81" s="47"/>
      <c r="Q81" s="52"/>
      <c r="R81" s="53"/>
      <c r="S81" s="40"/>
      <c r="T81" s="41"/>
    </row>
    <row r="82" spans="1:20" ht="14.25" thickTop="1" thickBot="1" x14ac:dyDescent="0.25"/>
    <row r="83" spans="1:20" ht="13.5" thickTop="1" x14ac:dyDescent="0.2">
      <c r="A83" s="23" t="s">
        <v>165</v>
      </c>
      <c r="B83" s="24"/>
      <c r="C83" s="24"/>
      <c r="D83" s="59" t="s">
        <v>190</v>
      </c>
      <c r="E83" s="62">
        <f>+VLOOKUP(A83,Flejes!B:H,2,)</f>
        <v>29</v>
      </c>
      <c r="F83" s="63"/>
      <c r="H83" s="23" t="s">
        <v>183</v>
      </c>
      <c r="I83" s="24"/>
      <c r="J83" s="24"/>
      <c r="K83" s="59" t="s">
        <v>190</v>
      </c>
      <c r="L83" s="62">
        <f>+VLOOKUP(H83,Flejes!B:H,2,)</f>
        <v>84</v>
      </c>
      <c r="M83" s="63"/>
      <c r="O83" s="23" t="s">
        <v>207</v>
      </c>
      <c r="P83" s="24"/>
      <c r="Q83" s="24"/>
      <c r="R83" s="24"/>
      <c r="S83" s="24"/>
      <c r="T83" s="25"/>
    </row>
    <row r="84" spans="1:20" x14ac:dyDescent="0.2">
      <c r="A84" s="26"/>
      <c r="B84" s="27"/>
      <c r="C84" s="27"/>
      <c r="D84" s="60"/>
      <c r="E84" s="64"/>
      <c r="F84" s="65"/>
      <c r="H84" s="26"/>
      <c r="I84" s="27"/>
      <c r="J84" s="27"/>
      <c r="K84" s="60"/>
      <c r="L84" s="64"/>
      <c r="M84" s="65"/>
      <c r="O84" s="26"/>
      <c r="P84" s="27"/>
      <c r="Q84" s="27"/>
      <c r="R84" s="27"/>
      <c r="S84" s="27"/>
      <c r="T84" s="28"/>
    </row>
    <row r="85" spans="1:20" x14ac:dyDescent="0.2">
      <c r="A85" s="26"/>
      <c r="B85" s="27"/>
      <c r="C85" s="27"/>
      <c r="D85" s="60"/>
      <c r="E85" s="64"/>
      <c r="F85" s="65"/>
      <c r="H85" s="26"/>
      <c r="I85" s="27"/>
      <c r="J85" s="27"/>
      <c r="K85" s="60"/>
      <c r="L85" s="64"/>
      <c r="M85" s="65"/>
      <c r="O85" s="26"/>
      <c r="P85" s="27"/>
      <c r="Q85" s="27"/>
      <c r="R85" s="27"/>
      <c r="S85" s="27"/>
      <c r="T85" s="28"/>
    </row>
    <row r="86" spans="1:20" x14ac:dyDescent="0.2">
      <c r="A86" s="26"/>
      <c r="B86" s="27"/>
      <c r="C86" s="27"/>
      <c r="D86" s="60"/>
      <c r="E86" s="64"/>
      <c r="F86" s="65"/>
      <c r="H86" s="26"/>
      <c r="I86" s="27"/>
      <c r="J86" s="27"/>
      <c r="K86" s="60"/>
      <c r="L86" s="64"/>
      <c r="M86" s="65"/>
      <c r="O86" s="26"/>
      <c r="P86" s="27"/>
      <c r="Q86" s="27"/>
      <c r="R86" s="27"/>
      <c r="S86" s="27"/>
      <c r="T86" s="28"/>
    </row>
    <row r="87" spans="1:20" x14ac:dyDescent="0.2">
      <c r="A87" s="26"/>
      <c r="B87" s="27"/>
      <c r="C87" s="27"/>
      <c r="D87" s="60"/>
      <c r="E87" s="64"/>
      <c r="F87" s="65"/>
      <c r="H87" s="26"/>
      <c r="I87" s="27"/>
      <c r="J87" s="27"/>
      <c r="K87" s="60"/>
      <c r="L87" s="64"/>
      <c r="M87" s="65"/>
      <c r="O87" s="26"/>
      <c r="P87" s="27"/>
      <c r="Q87" s="27"/>
      <c r="R87" s="27"/>
      <c r="S87" s="27"/>
      <c r="T87" s="28"/>
    </row>
    <row r="88" spans="1:20" x14ac:dyDescent="0.2">
      <c r="A88" s="26"/>
      <c r="B88" s="27"/>
      <c r="C88" s="27"/>
      <c r="D88" s="60"/>
      <c r="E88" s="64"/>
      <c r="F88" s="65"/>
      <c r="H88" s="26"/>
      <c r="I88" s="27"/>
      <c r="J88" s="27"/>
      <c r="K88" s="60"/>
      <c r="L88" s="64"/>
      <c r="M88" s="65"/>
      <c r="O88" s="26"/>
      <c r="P88" s="27"/>
      <c r="Q88" s="27"/>
      <c r="R88" s="27"/>
      <c r="S88" s="27"/>
      <c r="T88" s="28"/>
    </row>
    <row r="89" spans="1:20" x14ac:dyDescent="0.2">
      <c r="A89" s="26"/>
      <c r="B89" s="27"/>
      <c r="C89" s="27"/>
      <c r="D89" s="60"/>
      <c r="E89" s="64"/>
      <c r="F89" s="65"/>
      <c r="H89" s="26"/>
      <c r="I89" s="27"/>
      <c r="J89" s="27"/>
      <c r="K89" s="60"/>
      <c r="L89" s="64"/>
      <c r="M89" s="65"/>
      <c r="O89" s="26"/>
      <c r="P89" s="27"/>
      <c r="Q89" s="27"/>
      <c r="R89" s="27"/>
      <c r="S89" s="27"/>
      <c r="T89" s="28"/>
    </row>
    <row r="90" spans="1:20" ht="13.5" thickBot="1" x14ac:dyDescent="0.25">
      <c r="A90" s="29"/>
      <c r="B90" s="30"/>
      <c r="C90" s="30"/>
      <c r="D90" s="61"/>
      <c r="E90" s="66"/>
      <c r="F90" s="67"/>
      <c r="H90" s="29"/>
      <c r="I90" s="30"/>
      <c r="J90" s="30"/>
      <c r="K90" s="61"/>
      <c r="L90" s="66"/>
      <c r="M90" s="67"/>
      <c r="O90" s="29"/>
      <c r="P90" s="30"/>
      <c r="Q90" s="30"/>
      <c r="R90" s="30"/>
      <c r="S90" s="30"/>
      <c r="T90" s="31"/>
    </row>
    <row r="91" spans="1:20" ht="13.5" thickTop="1" x14ac:dyDescent="0.2">
      <c r="A91" s="54" t="str">
        <f>+VLOOKUP(A83,Flejes!B:H,4,)</f>
        <v>91 x 1,75</v>
      </c>
      <c r="B91" s="55"/>
      <c r="C91" s="55"/>
      <c r="D91" s="56"/>
      <c r="E91" s="37">
        <f>+VLOOKUP(A83,Flejes!B:L,11)</f>
        <v>0</v>
      </c>
      <c r="F91" s="38"/>
      <c r="H91" s="54" t="str">
        <f>+VLOOKUP(H83,Flejes!B:H,4,)</f>
        <v>11 x 0.8</v>
      </c>
      <c r="I91" s="55"/>
      <c r="J91" s="55"/>
      <c r="K91" s="56"/>
      <c r="L91" s="37" t="str">
        <f>+VLOOKUP(H83,Flejes!B:L,11)</f>
        <v>+</v>
      </c>
      <c r="M91" s="38"/>
      <c r="O91" s="32" t="s">
        <v>206</v>
      </c>
      <c r="P91" s="33"/>
      <c r="Q91" s="33"/>
      <c r="R91" s="34"/>
      <c r="S91" s="37" t="e">
        <f>+VLOOKUP(O83,Flejes!I:S,11)</f>
        <v>#N/A</v>
      </c>
      <c r="T91" s="38"/>
    </row>
    <row r="92" spans="1:20" x14ac:dyDescent="0.2">
      <c r="A92" s="57"/>
      <c r="B92" s="58"/>
      <c r="C92" s="58"/>
      <c r="D92" s="56"/>
      <c r="E92" s="37"/>
      <c r="F92" s="38"/>
      <c r="H92" s="57"/>
      <c r="I92" s="58"/>
      <c r="J92" s="58"/>
      <c r="K92" s="56"/>
      <c r="L92" s="37"/>
      <c r="M92" s="38"/>
      <c r="O92" s="35"/>
      <c r="P92" s="36"/>
      <c r="Q92" s="36"/>
      <c r="R92" s="34"/>
      <c r="S92" s="37"/>
      <c r="T92" s="38"/>
    </row>
    <row r="93" spans="1:20" x14ac:dyDescent="0.2">
      <c r="A93" s="57"/>
      <c r="B93" s="58"/>
      <c r="C93" s="58"/>
      <c r="D93" s="56"/>
      <c r="E93" s="37"/>
      <c r="F93" s="38"/>
      <c r="H93" s="57"/>
      <c r="I93" s="58"/>
      <c r="J93" s="58"/>
      <c r="K93" s="56"/>
      <c r="L93" s="37"/>
      <c r="M93" s="38"/>
      <c r="O93" s="35"/>
      <c r="P93" s="36"/>
      <c r="Q93" s="36"/>
      <c r="R93" s="34"/>
      <c r="S93" s="37"/>
      <c r="T93" s="38"/>
    </row>
    <row r="94" spans="1:20" x14ac:dyDescent="0.2">
      <c r="A94" s="57"/>
      <c r="B94" s="58"/>
      <c r="C94" s="58"/>
      <c r="D94" s="56"/>
      <c r="E94" s="37"/>
      <c r="F94" s="38"/>
      <c r="H94" s="57"/>
      <c r="I94" s="58"/>
      <c r="J94" s="58"/>
      <c r="K94" s="56"/>
      <c r="L94" s="37"/>
      <c r="M94" s="38"/>
      <c r="O94" s="35"/>
      <c r="P94" s="36"/>
      <c r="Q94" s="36"/>
      <c r="R94" s="34"/>
      <c r="S94" s="37"/>
      <c r="T94" s="38"/>
    </row>
    <row r="95" spans="1:20" x14ac:dyDescent="0.2">
      <c r="A95" s="57"/>
      <c r="B95" s="58"/>
      <c r="C95" s="58"/>
      <c r="D95" s="56"/>
      <c r="E95" s="37"/>
      <c r="F95" s="38"/>
      <c r="H95" s="57"/>
      <c r="I95" s="58"/>
      <c r="J95" s="58"/>
      <c r="K95" s="56"/>
      <c r="L95" s="37"/>
      <c r="M95" s="38"/>
      <c r="O95" s="35"/>
      <c r="P95" s="36"/>
      <c r="Q95" s="36"/>
      <c r="R95" s="34"/>
      <c r="S95" s="37"/>
      <c r="T95" s="38"/>
    </row>
    <row r="96" spans="1:20" ht="18.399999999999999" customHeight="1" thickBot="1" x14ac:dyDescent="0.25">
      <c r="A96" s="57"/>
      <c r="B96" s="58"/>
      <c r="C96" s="58"/>
      <c r="D96" s="56"/>
      <c r="E96" s="37"/>
      <c r="F96" s="38"/>
      <c r="H96" s="57"/>
      <c r="I96" s="58"/>
      <c r="J96" s="58"/>
      <c r="K96" s="56"/>
      <c r="L96" s="37"/>
      <c r="M96" s="38"/>
      <c r="O96" s="35"/>
      <c r="P96" s="36"/>
      <c r="Q96" s="36"/>
      <c r="R96" s="34"/>
      <c r="S96" s="37"/>
      <c r="T96" s="38"/>
    </row>
    <row r="97" spans="1:20" ht="13.5" thickTop="1" x14ac:dyDescent="0.2">
      <c r="A97" s="42" t="s">
        <v>192</v>
      </c>
      <c r="B97" s="43"/>
      <c r="C97" s="48">
        <f>+VLOOKUP(A83,Flejes!B:H,7,)</f>
        <v>3.9638242917000004</v>
      </c>
      <c r="D97" s="49"/>
      <c r="E97" s="39"/>
      <c r="F97" s="38"/>
      <c r="H97" s="42" t="s">
        <v>192</v>
      </c>
      <c r="I97" s="43"/>
      <c r="J97" s="48">
        <f>+VLOOKUP(H83,Flejes!B:H,7,)</f>
        <v>0</v>
      </c>
      <c r="K97" s="49"/>
      <c r="L97" s="39"/>
      <c r="M97" s="38"/>
      <c r="O97" s="42" t="s">
        <v>196</v>
      </c>
      <c r="P97" s="43"/>
      <c r="Q97" s="48">
        <v>2</v>
      </c>
      <c r="R97" s="49"/>
      <c r="S97" s="39"/>
      <c r="T97" s="38"/>
    </row>
    <row r="98" spans="1:20" x14ac:dyDescent="0.2">
      <c r="A98" s="44"/>
      <c r="B98" s="45"/>
      <c r="C98" s="50"/>
      <c r="D98" s="51"/>
      <c r="E98" s="39"/>
      <c r="F98" s="38"/>
      <c r="H98" s="44"/>
      <c r="I98" s="45"/>
      <c r="J98" s="50"/>
      <c r="K98" s="51"/>
      <c r="L98" s="39"/>
      <c r="M98" s="38"/>
      <c r="O98" s="44"/>
      <c r="P98" s="45"/>
      <c r="Q98" s="50"/>
      <c r="R98" s="51"/>
      <c r="S98" s="39"/>
      <c r="T98" s="38"/>
    </row>
    <row r="99" spans="1:20" x14ac:dyDescent="0.2">
      <c r="A99" s="44"/>
      <c r="B99" s="45"/>
      <c r="C99" s="50"/>
      <c r="D99" s="51"/>
      <c r="E99" s="39"/>
      <c r="F99" s="38"/>
      <c r="H99" s="44"/>
      <c r="I99" s="45"/>
      <c r="J99" s="50"/>
      <c r="K99" s="51"/>
      <c r="L99" s="39"/>
      <c r="M99" s="38"/>
      <c r="O99" s="44"/>
      <c r="P99" s="45"/>
      <c r="Q99" s="50"/>
      <c r="R99" s="51"/>
      <c r="S99" s="39"/>
      <c r="T99" s="38"/>
    </row>
    <row r="100" spans="1:20" x14ac:dyDescent="0.2">
      <c r="A100" s="44"/>
      <c r="B100" s="45"/>
      <c r="C100" s="50"/>
      <c r="D100" s="51"/>
      <c r="E100" s="39"/>
      <c r="F100" s="38"/>
      <c r="H100" s="44"/>
      <c r="I100" s="45"/>
      <c r="J100" s="50"/>
      <c r="K100" s="51"/>
      <c r="L100" s="39"/>
      <c r="M100" s="38"/>
      <c r="O100" s="44"/>
      <c r="P100" s="45"/>
      <c r="Q100" s="50"/>
      <c r="R100" s="51"/>
      <c r="S100" s="39"/>
      <c r="T100" s="38"/>
    </row>
    <row r="101" spans="1:20" ht="13.5" thickBot="1" x14ac:dyDescent="0.25">
      <c r="A101" s="46"/>
      <c r="B101" s="47"/>
      <c r="C101" s="52"/>
      <c r="D101" s="53"/>
      <c r="E101" s="40"/>
      <c r="F101" s="41"/>
      <c r="H101" s="46"/>
      <c r="I101" s="47"/>
      <c r="J101" s="52"/>
      <c r="K101" s="53"/>
      <c r="L101" s="40"/>
      <c r="M101" s="41"/>
      <c r="O101" s="46"/>
      <c r="P101" s="47"/>
      <c r="Q101" s="52"/>
      <c r="R101" s="53"/>
      <c r="S101" s="40"/>
      <c r="T101" s="41"/>
    </row>
    <row r="102" spans="1:20" ht="14.25" thickTop="1" thickBot="1" x14ac:dyDescent="0.25"/>
    <row r="103" spans="1:20" ht="13.5" thickTop="1" x14ac:dyDescent="0.2">
      <c r="A103" s="23" t="s">
        <v>164</v>
      </c>
      <c r="B103" s="24"/>
      <c r="C103" s="24"/>
      <c r="D103" s="59" t="s">
        <v>190</v>
      </c>
      <c r="E103" s="62">
        <f>+VLOOKUP(A103,Flejes!B:H,2,)</f>
        <v>26</v>
      </c>
      <c r="F103" s="63"/>
      <c r="H103" s="23" t="s">
        <v>176</v>
      </c>
      <c r="I103" s="24"/>
      <c r="J103" s="24"/>
      <c r="K103" s="59" t="s">
        <v>190</v>
      </c>
      <c r="L103" s="62">
        <f>+VLOOKUP(H103,Flejes!B:H,2,)</f>
        <v>41</v>
      </c>
      <c r="M103" s="63"/>
      <c r="O103" s="23"/>
      <c r="P103" s="24"/>
      <c r="Q103" s="24"/>
      <c r="R103" s="24"/>
      <c r="S103" s="24"/>
      <c r="T103" s="25"/>
    </row>
    <row r="104" spans="1:20" x14ac:dyDescent="0.2">
      <c r="A104" s="26"/>
      <c r="B104" s="27"/>
      <c r="C104" s="27"/>
      <c r="D104" s="60"/>
      <c r="E104" s="64"/>
      <c r="F104" s="65"/>
      <c r="H104" s="26"/>
      <c r="I104" s="27"/>
      <c r="J104" s="27"/>
      <c r="K104" s="60"/>
      <c r="L104" s="64"/>
      <c r="M104" s="65"/>
      <c r="O104" s="26"/>
      <c r="P104" s="27"/>
      <c r="Q104" s="27"/>
      <c r="R104" s="27"/>
      <c r="S104" s="27"/>
      <c r="T104" s="28"/>
    </row>
    <row r="105" spans="1:20" x14ac:dyDescent="0.2">
      <c r="A105" s="26"/>
      <c r="B105" s="27"/>
      <c r="C105" s="27"/>
      <c r="D105" s="60"/>
      <c r="E105" s="64"/>
      <c r="F105" s="65"/>
      <c r="H105" s="26"/>
      <c r="I105" s="27"/>
      <c r="J105" s="27"/>
      <c r="K105" s="60"/>
      <c r="L105" s="64"/>
      <c r="M105" s="65"/>
      <c r="O105" s="26"/>
      <c r="P105" s="27"/>
      <c r="Q105" s="27"/>
      <c r="R105" s="27"/>
      <c r="S105" s="27"/>
      <c r="T105" s="28"/>
    </row>
    <row r="106" spans="1:20" x14ac:dyDescent="0.2">
      <c r="A106" s="26"/>
      <c r="B106" s="27"/>
      <c r="C106" s="27"/>
      <c r="D106" s="60"/>
      <c r="E106" s="64"/>
      <c r="F106" s="65"/>
      <c r="H106" s="26"/>
      <c r="I106" s="27"/>
      <c r="J106" s="27"/>
      <c r="K106" s="60"/>
      <c r="L106" s="64"/>
      <c r="M106" s="65"/>
      <c r="O106" s="26"/>
      <c r="P106" s="27"/>
      <c r="Q106" s="27"/>
      <c r="R106" s="27"/>
      <c r="S106" s="27"/>
      <c r="T106" s="28"/>
    </row>
    <row r="107" spans="1:20" x14ac:dyDescent="0.2">
      <c r="A107" s="26"/>
      <c r="B107" s="27"/>
      <c r="C107" s="27"/>
      <c r="D107" s="60"/>
      <c r="E107" s="64"/>
      <c r="F107" s="65"/>
      <c r="H107" s="26"/>
      <c r="I107" s="27"/>
      <c r="J107" s="27"/>
      <c r="K107" s="60"/>
      <c r="L107" s="64"/>
      <c r="M107" s="65"/>
      <c r="O107" s="26"/>
      <c r="P107" s="27"/>
      <c r="Q107" s="27"/>
      <c r="R107" s="27"/>
      <c r="S107" s="27"/>
      <c r="T107" s="28"/>
    </row>
    <row r="108" spans="1:20" x14ac:dyDescent="0.2">
      <c r="A108" s="26"/>
      <c r="B108" s="27"/>
      <c r="C108" s="27"/>
      <c r="D108" s="60"/>
      <c r="E108" s="64"/>
      <c r="F108" s="65"/>
      <c r="H108" s="26"/>
      <c r="I108" s="27"/>
      <c r="J108" s="27"/>
      <c r="K108" s="60"/>
      <c r="L108" s="64"/>
      <c r="M108" s="65"/>
      <c r="O108" s="26"/>
      <c r="P108" s="27"/>
      <c r="Q108" s="27"/>
      <c r="R108" s="27"/>
      <c r="S108" s="27"/>
      <c r="T108" s="28"/>
    </row>
    <row r="109" spans="1:20" x14ac:dyDescent="0.2">
      <c r="A109" s="26"/>
      <c r="B109" s="27"/>
      <c r="C109" s="27"/>
      <c r="D109" s="60"/>
      <c r="E109" s="64"/>
      <c r="F109" s="65"/>
      <c r="H109" s="26"/>
      <c r="I109" s="27"/>
      <c r="J109" s="27"/>
      <c r="K109" s="60"/>
      <c r="L109" s="64"/>
      <c r="M109" s="65"/>
      <c r="O109" s="26"/>
      <c r="P109" s="27"/>
      <c r="Q109" s="27"/>
      <c r="R109" s="27"/>
      <c r="S109" s="27"/>
      <c r="T109" s="28"/>
    </row>
    <row r="110" spans="1:20" ht="13.5" thickBot="1" x14ac:dyDescent="0.25">
      <c r="A110" s="29"/>
      <c r="B110" s="30"/>
      <c r="C110" s="30"/>
      <c r="D110" s="61"/>
      <c r="E110" s="66"/>
      <c r="F110" s="67"/>
      <c r="H110" s="29"/>
      <c r="I110" s="30"/>
      <c r="J110" s="30"/>
      <c r="K110" s="61"/>
      <c r="L110" s="66"/>
      <c r="M110" s="67"/>
      <c r="O110" s="26"/>
      <c r="P110" s="27"/>
      <c r="Q110" s="27"/>
      <c r="R110" s="27"/>
      <c r="S110" s="27"/>
      <c r="T110" s="28"/>
    </row>
    <row r="111" spans="1:20" ht="13.5" thickTop="1" x14ac:dyDescent="0.2">
      <c r="A111" s="54" t="str">
        <f>+VLOOKUP(A103,Flejes!B:H,4,)</f>
        <v>92 x 1,25</v>
      </c>
      <c r="B111" s="55"/>
      <c r="C111" s="55"/>
      <c r="D111" s="56"/>
      <c r="E111" s="37" t="str">
        <f>+VLOOKUP(A103,Flejes!B:L,11)</f>
        <v>+</v>
      </c>
      <c r="F111" s="38"/>
      <c r="H111" s="54" t="str">
        <f>+VLOOKUP(H103,Flejes!B:H,4,)</f>
        <v>84 x 1</v>
      </c>
      <c r="I111" s="55"/>
      <c r="J111" s="55"/>
      <c r="K111" s="56"/>
      <c r="L111" s="37">
        <f>+VLOOKUP(H103,Flejes!B:L,11)</f>
        <v>0</v>
      </c>
      <c r="M111" s="38"/>
      <c r="O111" s="32" t="s">
        <v>208</v>
      </c>
      <c r="P111" s="33"/>
      <c r="Q111" s="33"/>
      <c r="R111" s="73"/>
      <c r="S111" s="74" t="e">
        <f>+VLOOKUP(O103,Flejes!I:S,11)</f>
        <v>#N/A</v>
      </c>
      <c r="T111" s="75"/>
    </row>
    <row r="112" spans="1:20" x14ac:dyDescent="0.2">
      <c r="A112" s="57"/>
      <c r="B112" s="58"/>
      <c r="C112" s="58"/>
      <c r="D112" s="56"/>
      <c r="E112" s="37"/>
      <c r="F112" s="38"/>
      <c r="H112" s="57"/>
      <c r="I112" s="58"/>
      <c r="J112" s="58"/>
      <c r="K112" s="56"/>
      <c r="L112" s="37"/>
      <c r="M112" s="38"/>
      <c r="O112" s="35"/>
      <c r="P112" s="36"/>
      <c r="Q112" s="36"/>
      <c r="R112" s="34"/>
      <c r="S112" s="37"/>
      <c r="T112" s="38"/>
    </row>
    <row r="113" spans="1:20" x14ac:dyDescent="0.2">
      <c r="A113" s="57"/>
      <c r="B113" s="58"/>
      <c r="C113" s="58"/>
      <c r="D113" s="56"/>
      <c r="E113" s="37"/>
      <c r="F113" s="38"/>
      <c r="H113" s="57"/>
      <c r="I113" s="58"/>
      <c r="J113" s="58"/>
      <c r="K113" s="56"/>
      <c r="L113" s="37"/>
      <c r="M113" s="38"/>
      <c r="O113" s="35"/>
      <c r="P113" s="36"/>
      <c r="Q113" s="36"/>
      <c r="R113" s="34"/>
      <c r="S113" s="37"/>
      <c r="T113" s="38"/>
    </row>
    <row r="114" spans="1:20" x14ac:dyDescent="0.2">
      <c r="A114" s="57"/>
      <c r="B114" s="58"/>
      <c r="C114" s="58"/>
      <c r="D114" s="56"/>
      <c r="E114" s="37"/>
      <c r="F114" s="38"/>
      <c r="H114" s="57"/>
      <c r="I114" s="58"/>
      <c r="J114" s="58"/>
      <c r="K114" s="56"/>
      <c r="L114" s="37"/>
      <c r="M114" s="38"/>
      <c r="O114" s="35"/>
      <c r="P114" s="36"/>
      <c r="Q114" s="36"/>
      <c r="R114" s="34"/>
      <c r="S114" s="37"/>
      <c r="T114" s="38"/>
    </row>
    <row r="115" spans="1:20" x14ac:dyDescent="0.2">
      <c r="A115" s="57"/>
      <c r="B115" s="58"/>
      <c r="C115" s="58"/>
      <c r="D115" s="56"/>
      <c r="E115" s="37"/>
      <c r="F115" s="38"/>
      <c r="H115" s="57"/>
      <c r="I115" s="58"/>
      <c r="J115" s="58"/>
      <c r="K115" s="56"/>
      <c r="L115" s="37"/>
      <c r="M115" s="38"/>
      <c r="O115" s="35"/>
      <c r="P115" s="36"/>
      <c r="Q115" s="36"/>
      <c r="R115" s="34"/>
      <c r="S115" s="37"/>
      <c r="T115" s="38"/>
    </row>
    <row r="116" spans="1:20" ht="13.5" thickBot="1" x14ac:dyDescent="0.25">
      <c r="A116" s="57"/>
      <c r="B116" s="58"/>
      <c r="C116" s="58"/>
      <c r="D116" s="56"/>
      <c r="E116" s="37"/>
      <c r="F116" s="38"/>
      <c r="H116" s="57"/>
      <c r="I116" s="58"/>
      <c r="J116" s="58"/>
      <c r="K116" s="56"/>
      <c r="L116" s="37"/>
      <c r="M116" s="38"/>
      <c r="O116" s="35"/>
      <c r="P116" s="36"/>
      <c r="Q116" s="36"/>
      <c r="R116" s="34"/>
      <c r="S116" s="37"/>
      <c r="T116" s="38"/>
    </row>
    <row r="117" spans="1:20" ht="13.5" thickTop="1" x14ac:dyDescent="0.2">
      <c r="A117" s="42" t="s">
        <v>192</v>
      </c>
      <c r="B117" s="43"/>
      <c r="C117" s="48">
        <f>+VLOOKUP(A103,Flejes!B:H,7,)</f>
        <v>0.7076601931034483</v>
      </c>
      <c r="D117" s="49"/>
      <c r="E117" s="39"/>
      <c r="F117" s="38"/>
      <c r="H117" s="42" t="s">
        <v>192</v>
      </c>
      <c r="I117" s="43"/>
      <c r="J117" s="48">
        <f>+VLOOKUP(H103,Flejes!B:H,7,)</f>
        <v>7.791360192</v>
      </c>
      <c r="K117" s="49"/>
      <c r="L117" s="39"/>
      <c r="M117" s="38"/>
      <c r="O117" s="42" t="s">
        <v>196</v>
      </c>
      <c r="P117" s="43"/>
      <c r="Q117" s="48">
        <v>6</v>
      </c>
      <c r="R117" s="49"/>
      <c r="S117" s="39"/>
      <c r="T117" s="38"/>
    </row>
    <row r="118" spans="1:20" x14ac:dyDescent="0.2">
      <c r="A118" s="44"/>
      <c r="B118" s="45"/>
      <c r="C118" s="50"/>
      <c r="D118" s="51"/>
      <c r="E118" s="39"/>
      <c r="F118" s="38"/>
      <c r="H118" s="44"/>
      <c r="I118" s="45"/>
      <c r="J118" s="50"/>
      <c r="K118" s="51"/>
      <c r="L118" s="39"/>
      <c r="M118" s="38"/>
      <c r="O118" s="44"/>
      <c r="P118" s="45"/>
      <c r="Q118" s="50"/>
      <c r="R118" s="51"/>
      <c r="S118" s="39"/>
      <c r="T118" s="38"/>
    </row>
    <row r="119" spans="1:20" x14ac:dyDescent="0.2">
      <c r="A119" s="44"/>
      <c r="B119" s="45"/>
      <c r="C119" s="50"/>
      <c r="D119" s="51"/>
      <c r="E119" s="39"/>
      <c r="F119" s="38"/>
      <c r="H119" s="44"/>
      <c r="I119" s="45"/>
      <c r="J119" s="50"/>
      <c r="K119" s="51"/>
      <c r="L119" s="39"/>
      <c r="M119" s="38"/>
      <c r="O119" s="44"/>
      <c r="P119" s="45"/>
      <c r="Q119" s="50"/>
      <c r="R119" s="51"/>
      <c r="S119" s="39"/>
      <c r="T119" s="38"/>
    </row>
    <row r="120" spans="1:20" x14ac:dyDescent="0.2">
      <c r="A120" s="44"/>
      <c r="B120" s="45"/>
      <c r="C120" s="50"/>
      <c r="D120" s="51"/>
      <c r="E120" s="39"/>
      <c r="F120" s="38"/>
      <c r="H120" s="44"/>
      <c r="I120" s="45"/>
      <c r="J120" s="50"/>
      <c r="K120" s="51"/>
      <c r="L120" s="39"/>
      <c r="M120" s="38"/>
      <c r="O120" s="44"/>
      <c r="P120" s="45"/>
      <c r="Q120" s="50"/>
      <c r="R120" s="51"/>
      <c r="S120" s="39"/>
      <c r="T120" s="38"/>
    </row>
    <row r="121" spans="1:20" ht="13.5" thickBot="1" x14ac:dyDescent="0.25">
      <c r="A121" s="46"/>
      <c r="B121" s="47"/>
      <c r="C121" s="52"/>
      <c r="D121" s="53"/>
      <c r="E121" s="40"/>
      <c r="F121" s="41"/>
      <c r="H121" s="46"/>
      <c r="I121" s="47"/>
      <c r="J121" s="52"/>
      <c r="K121" s="53"/>
      <c r="L121" s="40"/>
      <c r="M121" s="41"/>
      <c r="O121" s="46"/>
      <c r="P121" s="47"/>
      <c r="Q121" s="52"/>
      <c r="R121" s="53"/>
      <c r="S121" s="40"/>
      <c r="T121" s="41"/>
    </row>
    <row r="122" spans="1:20" ht="14.25" thickTop="1" thickBot="1" x14ac:dyDescent="0.25"/>
    <row r="123" spans="1:20" ht="13.5" thickTop="1" x14ac:dyDescent="0.2">
      <c r="A123" s="23" t="s">
        <v>166</v>
      </c>
      <c r="B123" s="24"/>
      <c r="C123" s="24"/>
      <c r="D123" s="59" t="s">
        <v>190</v>
      </c>
      <c r="E123" s="62">
        <f>+VLOOKUP(A123,Flejes!B:H,2,)</f>
        <v>36</v>
      </c>
      <c r="F123" s="63"/>
      <c r="H123" s="23" t="s">
        <v>154</v>
      </c>
      <c r="I123" s="24"/>
      <c r="J123" s="24"/>
      <c r="K123" s="59" t="s">
        <v>190</v>
      </c>
      <c r="L123" s="62">
        <f>+VLOOKUP(H123,Flejes!B:H,2,)</f>
        <v>6</v>
      </c>
      <c r="M123" s="63"/>
    </row>
    <row r="124" spans="1:20" x14ac:dyDescent="0.2">
      <c r="A124" s="26"/>
      <c r="B124" s="27"/>
      <c r="C124" s="27"/>
      <c r="D124" s="60"/>
      <c r="E124" s="64"/>
      <c r="F124" s="65"/>
      <c r="H124" s="26"/>
      <c r="I124" s="27"/>
      <c r="J124" s="27"/>
      <c r="K124" s="60"/>
      <c r="L124" s="64"/>
      <c r="M124" s="65"/>
    </row>
    <row r="125" spans="1:20" x14ac:dyDescent="0.2">
      <c r="A125" s="26"/>
      <c r="B125" s="27"/>
      <c r="C125" s="27"/>
      <c r="D125" s="60"/>
      <c r="E125" s="64"/>
      <c r="F125" s="65"/>
      <c r="H125" s="26"/>
      <c r="I125" s="27"/>
      <c r="J125" s="27"/>
      <c r="K125" s="60"/>
      <c r="L125" s="64"/>
      <c r="M125" s="65"/>
    </row>
    <row r="126" spans="1:20" x14ac:dyDescent="0.2">
      <c r="A126" s="26"/>
      <c r="B126" s="27"/>
      <c r="C126" s="27"/>
      <c r="D126" s="60"/>
      <c r="E126" s="64"/>
      <c r="F126" s="65"/>
      <c r="H126" s="26"/>
      <c r="I126" s="27"/>
      <c r="J126" s="27"/>
      <c r="K126" s="60"/>
      <c r="L126" s="64"/>
      <c r="M126" s="65"/>
    </row>
    <row r="127" spans="1:20" x14ac:dyDescent="0.2">
      <c r="A127" s="26"/>
      <c r="B127" s="27"/>
      <c r="C127" s="27"/>
      <c r="D127" s="60"/>
      <c r="E127" s="64"/>
      <c r="F127" s="65"/>
      <c r="H127" s="26"/>
      <c r="I127" s="27"/>
      <c r="J127" s="27"/>
      <c r="K127" s="60"/>
      <c r="L127" s="64"/>
      <c r="M127" s="65"/>
    </row>
    <row r="128" spans="1:20" x14ac:dyDescent="0.2">
      <c r="A128" s="26"/>
      <c r="B128" s="27"/>
      <c r="C128" s="27"/>
      <c r="D128" s="60"/>
      <c r="E128" s="64"/>
      <c r="F128" s="65"/>
      <c r="H128" s="26"/>
      <c r="I128" s="27"/>
      <c r="J128" s="27"/>
      <c r="K128" s="60"/>
      <c r="L128" s="64"/>
      <c r="M128" s="65"/>
    </row>
    <row r="129" spans="1:13" x14ac:dyDescent="0.2">
      <c r="A129" s="26"/>
      <c r="B129" s="27"/>
      <c r="C129" s="27"/>
      <c r="D129" s="60"/>
      <c r="E129" s="64"/>
      <c r="F129" s="65"/>
      <c r="H129" s="26"/>
      <c r="I129" s="27"/>
      <c r="J129" s="27"/>
      <c r="K129" s="60"/>
      <c r="L129" s="64"/>
      <c r="M129" s="65"/>
    </row>
    <row r="130" spans="1:13" ht="13.5" thickBot="1" x14ac:dyDescent="0.25">
      <c r="A130" s="29"/>
      <c r="B130" s="30"/>
      <c r="C130" s="30"/>
      <c r="D130" s="61"/>
      <c r="E130" s="66"/>
      <c r="F130" s="67"/>
      <c r="H130" s="29"/>
      <c r="I130" s="30"/>
      <c r="J130" s="30"/>
      <c r="K130" s="61"/>
      <c r="L130" s="66"/>
      <c r="M130" s="67"/>
    </row>
    <row r="131" spans="1:13" ht="13.5" thickTop="1" x14ac:dyDescent="0.2">
      <c r="A131" s="54" t="str">
        <f>+VLOOKUP(A123,Flejes!B:H,4,)</f>
        <v>40 x 1,5</v>
      </c>
      <c r="B131" s="55"/>
      <c r="C131" s="55"/>
      <c r="D131" s="56"/>
      <c r="E131" s="37" t="str">
        <f>+VLOOKUP(A123,Flejes!B:L,11)</f>
        <v>+</v>
      </c>
      <c r="F131" s="38"/>
      <c r="H131" s="54" t="str">
        <f>+VLOOKUP(H123,Flejes!B:H,4,)</f>
        <v>18,5 x 1,9</v>
      </c>
      <c r="I131" s="55"/>
      <c r="J131" s="55"/>
      <c r="K131" s="56"/>
      <c r="L131" s="37" t="str">
        <f>+VLOOKUP(H123,Flejes!B:L,11)</f>
        <v>-</v>
      </c>
      <c r="M131" s="38"/>
    </row>
    <row r="132" spans="1:13" x14ac:dyDescent="0.2">
      <c r="A132" s="57"/>
      <c r="B132" s="58"/>
      <c r="C132" s="58"/>
      <c r="D132" s="56"/>
      <c r="E132" s="37"/>
      <c r="F132" s="38"/>
      <c r="H132" s="57"/>
      <c r="I132" s="58"/>
      <c r="J132" s="58"/>
      <c r="K132" s="56"/>
      <c r="L132" s="37"/>
      <c r="M132" s="38"/>
    </row>
    <row r="133" spans="1:13" x14ac:dyDescent="0.2">
      <c r="A133" s="57"/>
      <c r="B133" s="58"/>
      <c r="C133" s="58"/>
      <c r="D133" s="56"/>
      <c r="E133" s="37"/>
      <c r="F133" s="38"/>
      <c r="H133" s="57"/>
      <c r="I133" s="58"/>
      <c r="J133" s="58"/>
      <c r="K133" s="56"/>
      <c r="L133" s="37"/>
      <c r="M133" s="38"/>
    </row>
    <row r="134" spans="1:13" x14ac:dyDescent="0.2">
      <c r="A134" s="57"/>
      <c r="B134" s="58"/>
      <c r="C134" s="58"/>
      <c r="D134" s="56"/>
      <c r="E134" s="37"/>
      <c r="F134" s="38"/>
      <c r="H134" s="57"/>
      <c r="I134" s="58"/>
      <c r="J134" s="58"/>
      <c r="K134" s="56"/>
      <c r="L134" s="37"/>
      <c r="M134" s="38"/>
    </row>
    <row r="135" spans="1:13" x14ac:dyDescent="0.2">
      <c r="A135" s="57"/>
      <c r="B135" s="58"/>
      <c r="C135" s="58"/>
      <c r="D135" s="56"/>
      <c r="E135" s="37"/>
      <c r="F135" s="38"/>
      <c r="H135" s="57"/>
      <c r="I135" s="58"/>
      <c r="J135" s="58"/>
      <c r="K135" s="56"/>
      <c r="L135" s="37"/>
      <c r="M135" s="38"/>
    </row>
    <row r="136" spans="1:13" ht="13.5" thickBot="1" x14ac:dyDescent="0.25">
      <c r="A136" s="57"/>
      <c r="B136" s="58"/>
      <c r="C136" s="58"/>
      <c r="D136" s="56"/>
      <c r="E136" s="37"/>
      <c r="F136" s="38"/>
      <c r="H136" s="57"/>
      <c r="I136" s="58"/>
      <c r="J136" s="58"/>
      <c r="K136" s="56"/>
      <c r="L136" s="37"/>
      <c r="M136" s="38"/>
    </row>
    <row r="137" spans="1:13" ht="13.5" thickTop="1" x14ac:dyDescent="0.2">
      <c r="A137" s="42" t="s">
        <v>192</v>
      </c>
      <c r="B137" s="43"/>
      <c r="C137" s="48">
        <f>+VLOOKUP(A123,Flejes!B:H,7,)</f>
        <v>1.2797266415094339</v>
      </c>
      <c r="D137" s="49"/>
      <c r="E137" s="39"/>
      <c r="F137" s="38"/>
      <c r="H137" s="42" t="s">
        <v>192</v>
      </c>
      <c r="I137" s="43"/>
      <c r="J137" s="48">
        <f>+VLOOKUP(H123,Flejes!B:H,7,)</f>
        <v>18.2104882386</v>
      </c>
      <c r="K137" s="49"/>
      <c r="L137" s="39"/>
      <c r="M137" s="38"/>
    </row>
    <row r="138" spans="1:13" x14ac:dyDescent="0.2">
      <c r="A138" s="44"/>
      <c r="B138" s="45"/>
      <c r="C138" s="50"/>
      <c r="D138" s="51"/>
      <c r="E138" s="39"/>
      <c r="F138" s="38"/>
      <c r="H138" s="44"/>
      <c r="I138" s="45"/>
      <c r="J138" s="50"/>
      <c r="K138" s="51"/>
      <c r="L138" s="39"/>
      <c r="M138" s="38"/>
    </row>
    <row r="139" spans="1:13" x14ac:dyDescent="0.2">
      <c r="A139" s="44"/>
      <c r="B139" s="45"/>
      <c r="C139" s="50"/>
      <c r="D139" s="51"/>
      <c r="E139" s="39"/>
      <c r="F139" s="38"/>
      <c r="H139" s="44"/>
      <c r="I139" s="45"/>
      <c r="J139" s="50"/>
      <c r="K139" s="51"/>
      <c r="L139" s="39"/>
      <c r="M139" s="38"/>
    </row>
    <row r="140" spans="1:13" x14ac:dyDescent="0.2">
      <c r="A140" s="44"/>
      <c r="B140" s="45"/>
      <c r="C140" s="50"/>
      <c r="D140" s="51"/>
      <c r="E140" s="39"/>
      <c r="F140" s="38"/>
      <c r="H140" s="44"/>
      <c r="I140" s="45"/>
      <c r="J140" s="50"/>
      <c r="K140" s="51"/>
      <c r="L140" s="39"/>
      <c r="M140" s="38"/>
    </row>
    <row r="141" spans="1:13" ht="13.5" thickBot="1" x14ac:dyDescent="0.25">
      <c r="A141" s="46"/>
      <c r="B141" s="47"/>
      <c r="C141" s="52"/>
      <c r="D141" s="53"/>
      <c r="E141" s="40"/>
      <c r="F141" s="41"/>
      <c r="H141" s="46"/>
      <c r="I141" s="47"/>
      <c r="J141" s="52"/>
      <c r="K141" s="53"/>
      <c r="L141" s="40"/>
      <c r="M141" s="41"/>
    </row>
    <row r="142" spans="1:13" ht="13.5" thickTop="1" x14ac:dyDescent="0.2"/>
  </sheetData>
  <mergeCells count="128">
    <mergeCell ref="O103:T110"/>
    <mergeCell ref="O111:R116"/>
    <mergeCell ref="S111:T121"/>
    <mergeCell ref="O117:P121"/>
    <mergeCell ref="Q117:R121"/>
    <mergeCell ref="A3:C10"/>
    <mergeCell ref="D3:D10"/>
    <mergeCell ref="E3:F10"/>
    <mergeCell ref="H3:J10"/>
    <mergeCell ref="K3:M10"/>
    <mergeCell ref="A23:C30"/>
    <mergeCell ref="D23:D30"/>
    <mergeCell ref="E23:F30"/>
    <mergeCell ref="H23:J30"/>
    <mergeCell ref="K23:M30"/>
    <mergeCell ref="A11:D16"/>
    <mergeCell ref="E11:F21"/>
    <mergeCell ref="H11:K16"/>
    <mergeCell ref="L11:M21"/>
    <mergeCell ref="A17:B21"/>
    <mergeCell ref="C17:D21"/>
    <mergeCell ref="H17:I21"/>
    <mergeCell ref="J17:K21"/>
    <mergeCell ref="A43:C50"/>
    <mergeCell ref="D43:D50"/>
    <mergeCell ref="E43:F50"/>
    <mergeCell ref="H43:J50"/>
    <mergeCell ref="K43:K50"/>
    <mergeCell ref="L43:M50"/>
    <mergeCell ref="A31:D36"/>
    <mergeCell ref="E31:F41"/>
    <mergeCell ref="H31:K36"/>
    <mergeCell ref="L31:M41"/>
    <mergeCell ref="A37:B41"/>
    <mergeCell ref="C37:D41"/>
    <mergeCell ref="H37:I41"/>
    <mergeCell ref="J37:K41"/>
    <mergeCell ref="A63:C70"/>
    <mergeCell ref="D63:D70"/>
    <mergeCell ref="E63:F70"/>
    <mergeCell ref="H63:J70"/>
    <mergeCell ref="K63:K70"/>
    <mergeCell ref="L63:M70"/>
    <mergeCell ref="A51:D56"/>
    <mergeCell ref="E51:F61"/>
    <mergeCell ref="H51:K56"/>
    <mergeCell ref="L51:M61"/>
    <mergeCell ref="A57:B61"/>
    <mergeCell ref="C57:D61"/>
    <mergeCell ref="H57:I61"/>
    <mergeCell ref="J57:K61"/>
    <mergeCell ref="A83:C90"/>
    <mergeCell ref="D83:D90"/>
    <mergeCell ref="E83:F90"/>
    <mergeCell ref="H83:J90"/>
    <mergeCell ref="K83:K90"/>
    <mergeCell ref="L83:M90"/>
    <mergeCell ref="A71:D76"/>
    <mergeCell ref="E71:F81"/>
    <mergeCell ref="H71:K76"/>
    <mergeCell ref="L71:M81"/>
    <mergeCell ref="A77:B81"/>
    <mergeCell ref="C77:D81"/>
    <mergeCell ref="H77:I81"/>
    <mergeCell ref="J77:K81"/>
    <mergeCell ref="L103:M110"/>
    <mergeCell ref="A91:D96"/>
    <mergeCell ref="E91:F101"/>
    <mergeCell ref="H91:K96"/>
    <mergeCell ref="L91:M101"/>
    <mergeCell ref="A97:B101"/>
    <mergeCell ref="C97:D101"/>
    <mergeCell ref="H97:I101"/>
    <mergeCell ref="J97:K101"/>
    <mergeCell ref="A117:B121"/>
    <mergeCell ref="C117:D121"/>
    <mergeCell ref="H117:I121"/>
    <mergeCell ref="J117:K121"/>
    <mergeCell ref="A103:C110"/>
    <mergeCell ref="D103:D110"/>
    <mergeCell ref="E103:F110"/>
    <mergeCell ref="H103:J110"/>
    <mergeCell ref="K103:K110"/>
    <mergeCell ref="O3:Q10"/>
    <mergeCell ref="R3:T10"/>
    <mergeCell ref="O11:R16"/>
    <mergeCell ref="S11:T21"/>
    <mergeCell ref="O17:P21"/>
    <mergeCell ref="Q17:R21"/>
    <mergeCell ref="A131:D136"/>
    <mergeCell ref="E131:F141"/>
    <mergeCell ref="H131:K136"/>
    <mergeCell ref="L131:M141"/>
    <mergeCell ref="A137:B141"/>
    <mergeCell ref="C137:D141"/>
    <mergeCell ref="H137:I141"/>
    <mergeCell ref="J137:K141"/>
    <mergeCell ref="A123:C130"/>
    <mergeCell ref="D123:D130"/>
    <mergeCell ref="E123:F130"/>
    <mergeCell ref="H123:J130"/>
    <mergeCell ref="K123:K130"/>
    <mergeCell ref="L123:M130"/>
    <mergeCell ref="A111:D116"/>
    <mergeCell ref="E111:F121"/>
    <mergeCell ref="H111:K116"/>
    <mergeCell ref="L111:M121"/>
    <mergeCell ref="O51:R56"/>
    <mergeCell ref="S51:T61"/>
    <mergeCell ref="O57:P61"/>
    <mergeCell ref="Q57:R61"/>
    <mergeCell ref="O43:T50"/>
    <mergeCell ref="O23:Q30"/>
    <mergeCell ref="R23:T30"/>
    <mergeCell ref="O31:R36"/>
    <mergeCell ref="S31:T41"/>
    <mergeCell ref="O37:P41"/>
    <mergeCell ref="Q37:R41"/>
    <mergeCell ref="O63:T70"/>
    <mergeCell ref="O71:R76"/>
    <mergeCell ref="S71:T81"/>
    <mergeCell ref="O77:P81"/>
    <mergeCell ref="Q77:R81"/>
    <mergeCell ref="O83:T90"/>
    <mergeCell ref="O91:R96"/>
    <mergeCell ref="S91:T101"/>
    <mergeCell ref="O97:P101"/>
    <mergeCell ref="Q97:R10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42"/>
  <sheetViews>
    <sheetView zoomScale="55" zoomScaleNormal="55" workbookViewId="0">
      <selection activeCell="H3" sqref="H3:J10"/>
    </sheetView>
  </sheetViews>
  <sheetFormatPr baseColWidth="10" defaultRowHeight="12.75" x14ac:dyDescent="0.2"/>
  <cols>
    <col min="1" max="1" width="20.140625" customWidth="1"/>
    <col min="2" max="2" width="11.42578125" customWidth="1"/>
    <col min="6" max="6" width="10.42578125" customWidth="1"/>
    <col min="8" max="8" width="20.140625" customWidth="1"/>
  </cols>
  <sheetData>
    <row r="2" spans="1:13" ht="12.75" customHeight="1" thickBot="1" x14ac:dyDescent="0.25"/>
    <row r="3" spans="1:13" ht="12.75" customHeight="1" thickTop="1" x14ac:dyDescent="0.2">
      <c r="A3" s="23" t="s">
        <v>157</v>
      </c>
      <c r="B3" s="24"/>
      <c r="C3" s="24"/>
      <c r="D3" s="59" t="s">
        <v>190</v>
      </c>
      <c r="E3" s="62">
        <f>+VLOOKUP(A3,Flejes!B:H,2,)</f>
        <v>13</v>
      </c>
      <c r="F3" s="63"/>
      <c r="H3" s="23" t="s">
        <v>144</v>
      </c>
      <c r="I3" s="24"/>
      <c r="J3" s="24"/>
      <c r="K3" s="59" t="s">
        <v>190</v>
      </c>
      <c r="L3" s="62">
        <f>+VLOOKUP(H3,Flejes!B:H,2,)</f>
        <v>76</v>
      </c>
      <c r="M3" s="63"/>
    </row>
    <row r="4" spans="1:13" ht="13.5" customHeight="1" x14ac:dyDescent="0.2">
      <c r="A4" s="26"/>
      <c r="B4" s="27"/>
      <c r="C4" s="27"/>
      <c r="D4" s="60"/>
      <c r="E4" s="64"/>
      <c r="F4" s="65"/>
      <c r="H4" s="26"/>
      <c r="I4" s="27"/>
      <c r="J4" s="27"/>
      <c r="K4" s="60"/>
      <c r="L4" s="64"/>
      <c r="M4" s="65"/>
    </row>
    <row r="5" spans="1:13" ht="12.75" customHeight="1" x14ac:dyDescent="0.2">
      <c r="A5" s="26"/>
      <c r="B5" s="27"/>
      <c r="C5" s="27"/>
      <c r="D5" s="60"/>
      <c r="E5" s="64"/>
      <c r="F5" s="65"/>
      <c r="H5" s="26"/>
      <c r="I5" s="27"/>
      <c r="J5" s="27"/>
      <c r="K5" s="60"/>
      <c r="L5" s="64"/>
      <c r="M5" s="65"/>
    </row>
    <row r="6" spans="1:13" ht="13.5" customHeight="1" x14ac:dyDescent="0.2">
      <c r="A6" s="26"/>
      <c r="B6" s="27"/>
      <c r="C6" s="27"/>
      <c r="D6" s="60"/>
      <c r="E6" s="64"/>
      <c r="F6" s="65"/>
      <c r="H6" s="26"/>
      <c r="I6" s="27"/>
      <c r="J6" s="27"/>
      <c r="K6" s="60"/>
      <c r="L6" s="64"/>
      <c r="M6" s="65"/>
    </row>
    <row r="7" spans="1:13" ht="12.75" customHeight="1" x14ac:dyDescent="0.2">
      <c r="A7" s="26"/>
      <c r="B7" s="27"/>
      <c r="C7" s="27"/>
      <c r="D7" s="60"/>
      <c r="E7" s="64"/>
      <c r="F7" s="65"/>
      <c r="H7" s="26"/>
      <c r="I7" s="27"/>
      <c r="J7" s="27"/>
      <c r="K7" s="60"/>
      <c r="L7" s="64"/>
      <c r="M7" s="65"/>
    </row>
    <row r="8" spans="1:13" ht="12.75" customHeight="1" x14ac:dyDescent="0.2">
      <c r="A8" s="26"/>
      <c r="B8" s="27"/>
      <c r="C8" s="27"/>
      <c r="D8" s="60"/>
      <c r="E8" s="64"/>
      <c r="F8" s="65"/>
      <c r="H8" s="26"/>
      <c r="I8" s="27"/>
      <c r="J8" s="27"/>
      <c r="K8" s="60"/>
      <c r="L8" s="64"/>
      <c r="M8" s="65"/>
    </row>
    <row r="9" spans="1:13" ht="12.75" customHeight="1" x14ac:dyDescent="0.2">
      <c r="A9" s="26"/>
      <c r="B9" s="27"/>
      <c r="C9" s="27"/>
      <c r="D9" s="60"/>
      <c r="E9" s="64"/>
      <c r="F9" s="65"/>
      <c r="H9" s="26"/>
      <c r="I9" s="27"/>
      <c r="J9" s="27"/>
      <c r="K9" s="60"/>
      <c r="L9" s="64"/>
      <c r="M9" s="65"/>
    </row>
    <row r="10" spans="1:13" ht="12.75" customHeight="1" thickBot="1" x14ac:dyDescent="0.25">
      <c r="A10" s="29"/>
      <c r="B10" s="30"/>
      <c r="C10" s="30"/>
      <c r="D10" s="61"/>
      <c r="E10" s="66"/>
      <c r="F10" s="67"/>
      <c r="H10" s="29"/>
      <c r="I10" s="30"/>
      <c r="J10" s="30"/>
      <c r="K10" s="61"/>
      <c r="L10" s="66"/>
      <c r="M10" s="67"/>
    </row>
    <row r="11" spans="1:13" ht="12.75" customHeight="1" thickTop="1" x14ac:dyDescent="0.2">
      <c r="A11" s="54" t="str">
        <f>+VLOOKUP(A3,Flejes!B:H,4,)</f>
        <v>84 x 1,75</v>
      </c>
      <c r="B11" s="55"/>
      <c r="C11" s="55"/>
      <c r="D11" s="56"/>
      <c r="E11" s="37" t="str">
        <f>+VLOOKUP(A3,Flejes!B:L,11)</f>
        <v>+</v>
      </c>
      <c r="F11" s="38"/>
      <c r="H11" s="54" t="str">
        <f>+VLOOKUP(H3,Flejes!B:H,4,)</f>
        <v>19 x 0.8</v>
      </c>
      <c r="I11" s="55"/>
      <c r="J11" s="55"/>
      <c r="K11" s="56"/>
      <c r="L11" s="37" t="str">
        <f>+VLOOKUP(H3,Flejes!B:L,11)</f>
        <v>-</v>
      </c>
      <c r="M11" s="38"/>
    </row>
    <row r="12" spans="1:13" ht="12.75" customHeight="1" x14ac:dyDescent="0.2">
      <c r="A12" s="57"/>
      <c r="B12" s="58"/>
      <c r="C12" s="58"/>
      <c r="D12" s="56"/>
      <c r="E12" s="37"/>
      <c r="F12" s="38"/>
      <c r="H12" s="57"/>
      <c r="I12" s="58"/>
      <c r="J12" s="58"/>
      <c r="K12" s="56"/>
      <c r="L12" s="37"/>
      <c r="M12" s="38"/>
    </row>
    <row r="13" spans="1:13" ht="13.5" customHeight="1" x14ac:dyDescent="0.2">
      <c r="A13" s="57"/>
      <c r="B13" s="58"/>
      <c r="C13" s="58"/>
      <c r="D13" s="56"/>
      <c r="E13" s="37"/>
      <c r="F13" s="38"/>
      <c r="H13" s="57"/>
      <c r="I13" s="58"/>
      <c r="J13" s="58"/>
      <c r="K13" s="56"/>
      <c r="L13" s="37"/>
      <c r="M13" s="38"/>
    </row>
    <row r="14" spans="1:13" ht="12.75" customHeight="1" x14ac:dyDescent="0.2">
      <c r="A14" s="57"/>
      <c r="B14" s="58"/>
      <c r="C14" s="58"/>
      <c r="D14" s="56"/>
      <c r="E14" s="37"/>
      <c r="F14" s="38"/>
      <c r="H14" s="57"/>
      <c r="I14" s="58"/>
      <c r="J14" s="58"/>
      <c r="K14" s="56"/>
      <c r="L14" s="37"/>
      <c r="M14" s="38"/>
    </row>
    <row r="15" spans="1:13" ht="13.5" customHeight="1" x14ac:dyDescent="0.2">
      <c r="A15" s="57"/>
      <c r="B15" s="58"/>
      <c r="C15" s="58"/>
      <c r="D15" s="56"/>
      <c r="E15" s="37"/>
      <c r="F15" s="38"/>
      <c r="H15" s="57"/>
      <c r="I15" s="58"/>
      <c r="J15" s="58"/>
      <c r="K15" s="56"/>
      <c r="L15" s="37"/>
      <c r="M15" s="38"/>
    </row>
    <row r="16" spans="1:13" ht="12.75" customHeight="1" thickBot="1" x14ac:dyDescent="0.25">
      <c r="A16" s="57"/>
      <c r="B16" s="58"/>
      <c r="C16" s="58"/>
      <c r="D16" s="56"/>
      <c r="E16" s="37"/>
      <c r="F16" s="38"/>
      <c r="H16" s="57"/>
      <c r="I16" s="58"/>
      <c r="J16" s="58"/>
      <c r="K16" s="56"/>
      <c r="L16" s="37"/>
      <c r="M16" s="38"/>
    </row>
    <row r="17" spans="1:13" ht="12.75" customHeight="1" thickTop="1" x14ac:dyDescent="0.2">
      <c r="A17" s="42" t="s">
        <v>192</v>
      </c>
      <c r="B17" s="43"/>
      <c r="C17" s="48">
        <f>+VLOOKUP(A3,Flejes!B:H,7,)</f>
        <v>0</v>
      </c>
      <c r="D17" s="49"/>
      <c r="E17" s="39"/>
      <c r="F17" s="38"/>
      <c r="H17" s="42" t="s">
        <v>192</v>
      </c>
      <c r="I17" s="43"/>
      <c r="J17" s="48">
        <f>+VLOOKUP(H3,Flejes!B:H,7,)</f>
        <v>3.5471454021818185</v>
      </c>
      <c r="K17" s="49"/>
      <c r="L17" s="39"/>
      <c r="M17" s="38"/>
    </row>
    <row r="18" spans="1:13" ht="12.75" customHeight="1" x14ac:dyDescent="0.2">
      <c r="A18" s="44"/>
      <c r="B18" s="45"/>
      <c r="C18" s="50"/>
      <c r="D18" s="51"/>
      <c r="E18" s="39"/>
      <c r="F18" s="38"/>
      <c r="H18" s="44"/>
      <c r="I18" s="45"/>
      <c r="J18" s="50"/>
      <c r="K18" s="51"/>
      <c r="L18" s="39"/>
      <c r="M18" s="38"/>
    </row>
    <row r="19" spans="1:13" ht="13.5" customHeight="1" x14ac:dyDescent="0.2">
      <c r="A19" s="44"/>
      <c r="B19" s="45"/>
      <c r="C19" s="50"/>
      <c r="D19" s="51"/>
      <c r="E19" s="39"/>
      <c r="F19" s="38"/>
      <c r="H19" s="44"/>
      <c r="I19" s="45"/>
      <c r="J19" s="50"/>
      <c r="K19" s="51"/>
      <c r="L19" s="39"/>
      <c r="M19" s="38"/>
    </row>
    <row r="20" spans="1:13" ht="12.75" customHeight="1" x14ac:dyDescent="0.2">
      <c r="A20" s="44"/>
      <c r="B20" s="45"/>
      <c r="C20" s="50"/>
      <c r="D20" s="51"/>
      <c r="E20" s="39"/>
      <c r="F20" s="38"/>
      <c r="H20" s="44"/>
      <c r="I20" s="45"/>
      <c r="J20" s="50"/>
      <c r="K20" s="51"/>
      <c r="L20" s="39"/>
      <c r="M20" s="38"/>
    </row>
    <row r="21" spans="1:13" ht="13.5" customHeight="1" thickBot="1" x14ac:dyDescent="0.25">
      <c r="A21" s="46"/>
      <c r="B21" s="47"/>
      <c r="C21" s="52"/>
      <c r="D21" s="53"/>
      <c r="E21" s="40"/>
      <c r="F21" s="41"/>
      <c r="H21" s="46"/>
      <c r="I21" s="47"/>
      <c r="J21" s="52"/>
      <c r="K21" s="53"/>
      <c r="L21" s="40"/>
      <c r="M21" s="41"/>
    </row>
    <row r="22" spans="1:13" ht="13.5" customHeight="1" thickTop="1" thickBot="1" x14ac:dyDescent="0.25">
      <c r="A22" s="14"/>
      <c r="B22" s="14"/>
      <c r="C22" s="14"/>
      <c r="D22" s="14"/>
      <c r="E22" s="14"/>
      <c r="F22" s="14"/>
    </row>
    <row r="23" spans="1:13" ht="13.5" thickTop="1" x14ac:dyDescent="0.2">
      <c r="A23" s="23" t="s">
        <v>150</v>
      </c>
      <c r="B23" s="24"/>
      <c r="C23" s="24"/>
      <c r="D23" s="59" t="s">
        <v>190</v>
      </c>
      <c r="E23" s="62">
        <f>+VLOOKUP(A23,Flejes!B:H,2,)</f>
        <v>1</v>
      </c>
      <c r="F23" s="63"/>
      <c r="H23" s="23" t="s">
        <v>184</v>
      </c>
      <c r="I23" s="24"/>
      <c r="J23" s="24"/>
      <c r="K23" s="59" t="s">
        <v>190</v>
      </c>
      <c r="L23" s="62">
        <f>+VLOOKUP(H23,Flejes!B:H,2,)</f>
        <v>85</v>
      </c>
      <c r="M23" s="63"/>
    </row>
    <row r="24" spans="1:13" x14ac:dyDescent="0.2">
      <c r="A24" s="26"/>
      <c r="B24" s="27"/>
      <c r="C24" s="27"/>
      <c r="D24" s="60"/>
      <c r="E24" s="64"/>
      <c r="F24" s="65"/>
      <c r="H24" s="26"/>
      <c r="I24" s="27"/>
      <c r="J24" s="27"/>
      <c r="K24" s="60"/>
      <c r="L24" s="64"/>
      <c r="M24" s="65"/>
    </row>
    <row r="25" spans="1:13" x14ac:dyDescent="0.2">
      <c r="A25" s="26"/>
      <c r="B25" s="27"/>
      <c r="C25" s="27"/>
      <c r="D25" s="60"/>
      <c r="E25" s="64"/>
      <c r="F25" s="65"/>
      <c r="H25" s="26"/>
      <c r="I25" s="27"/>
      <c r="J25" s="27"/>
      <c r="K25" s="60"/>
      <c r="L25" s="64"/>
      <c r="M25" s="65"/>
    </row>
    <row r="26" spans="1:13" x14ac:dyDescent="0.2">
      <c r="A26" s="26"/>
      <c r="B26" s="27"/>
      <c r="C26" s="27"/>
      <c r="D26" s="60"/>
      <c r="E26" s="64"/>
      <c r="F26" s="65"/>
      <c r="H26" s="26"/>
      <c r="I26" s="27"/>
      <c r="J26" s="27"/>
      <c r="K26" s="60"/>
      <c r="L26" s="64"/>
      <c r="M26" s="65"/>
    </row>
    <row r="27" spans="1:13" x14ac:dyDescent="0.2">
      <c r="A27" s="26"/>
      <c r="B27" s="27"/>
      <c r="C27" s="27"/>
      <c r="D27" s="60"/>
      <c r="E27" s="64"/>
      <c r="F27" s="65"/>
      <c r="H27" s="26"/>
      <c r="I27" s="27"/>
      <c r="J27" s="27"/>
      <c r="K27" s="60"/>
      <c r="L27" s="64"/>
      <c r="M27" s="65"/>
    </row>
    <row r="28" spans="1:13" x14ac:dyDescent="0.2">
      <c r="A28" s="26"/>
      <c r="B28" s="27"/>
      <c r="C28" s="27"/>
      <c r="D28" s="60"/>
      <c r="E28" s="64"/>
      <c r="F28" s="65"/>
      <c r="H28" s="26"/>
      <c r="I28" s="27"/>
      <c r="J28" s="27"/>
      <c r="K28" s="60"/>
      <c r="L28" s="64"/>
      <c r="M28" s="65"/>
    </row>
    <row r="29" spans="1:13" x14ac:dyDescent="0.2">
      <c r="A29" s="26"/>
      <c r="B29" s="27"/>
      <c r="C29" s="27"/>
      <c r="D29" s="60"/>
      <c r="E29" s="64"/>
      <c r="F29" s="65"/>
      <c r="H29" s="26"/>
      <c r="I29" s="27"/>
      <c r="J29" s="27"/>
      <c r="K29" s="60"/>
      <c r="L29" s="64"/>
      <c r="M29" s="65"/>
    </row>
    <row r="30" spans="1:13" ht="13.5" thickBot="1" x14ac:dyDescent="0.25">
      <c r="A30" s="29"/>
      <c r="B30" s="30"/>
      <c r="C30" s="30"/>
      <c r="D30" s="61"/>
      <c r="E30" s="66"/>
      <c r="F30" s="67"/>
      <c r="H30" s="29"/>
      <c r="I30" s="30"/>
      <c r="J30" s="30"/>
      <c r="K30" s="61"/>
      <c r="L30" s="66"/>
      <c r="M30" s="67"/>
    </row>
    <row r="31" spans="1:13" ht="13.5" thickTop="1" x14ac:dyDescent="0.2">
      <c r="A31" s="54" t="str">
        <f>+VLOOKUP(A23,Flejes!B:H,4,)</f>
        <v>19 x 2,1</v>
      </c>
      <c r="B31" s="55"/>
      <c r="C31" s="55"/>
      <c r="D31" s="56"/>
      <c r="E31" s="37" t="str">
        <f>+VLOOKUP(A23,Flejes!B:L,11)</f>
        <v>+</v>
      </c>
      <c r="F31" s="38"/>
      <c r="H31" s="54" t="str">
        <f>+VLOOKUP(H23,Flejes!B:H,4,)</f>
        <v>13.6 x 0.8</v>
      </c>
      <c r="I31" s="55"/>
      <c r="J31" s="55"/>
      <c r="K31" s="56"/>
      <c r="L31" s="37" t="str">
        <f>+VLOOKUP(H23,Flejes!B:L,11)</f>
        <v>+</v>
      </c>
      <c r="M31" s="38"/>
    </row>
    <row r="32" spans="1:13" x14ac:dyDescent="0.2">
      <c r="A32" s="57"/>
      <c r="B32" s="58"/>
      <c r="C32" s="58"/>
      <c r="D32" s="56"/>
      <c r="E32" s="37"/>
      <c r="F32" s="38"/>
      <c r="H32" s="57"/>
      <c r="I32" s="58"/>
      <c r="J32" s="58"/>
      <c r="K32" s="56"/>
      <c r="L32" s="37"/>
      <c r="M32" s="38"/>
    </row>
    <row r="33" spans="1:13" x14ac:dyDescent="0.2">
      <c r="A33" s="57"/>
      <c r="B33" s="58"/>
      <c r="C33" s="58"/>
      <c r="D33" s="56"/>
      <c r="E33" s="37"/>
      <c r="F33" s="38"/>
      <c r="H33" s="57"/>
      <c r="I33" s="58"/>
      <c r="J33" s="58"/>
      <c r="K33" s="56"/>
      <c r="L33" s="37"/>
      <c r="M33" s="38"/>
    </row>
    <row r="34" spans="1:13" x14ac:dyDescent="0.2">
      <c r="A34" s="57"/>
      <c r="B34" s="58"/>
      <c r="C34" s="58"/>
      <c r="D34" s="56"/>
      <c r="E34" s="37"/>
      <c r="F34" s="38"/>
      <c r="H34" s="57"/>
      <c r="I34" s="58"/>
      <c r="J34" s="58"/>
      <c r="K34" s="56"/>
      <c r="L34" s="37"/>
      <c r="M34" s="38"/>
    </row>
    <row r="35" spans="1:13" x14ac:dyDescent="0.2">
      <c r="A35" s="57"/>
      <c r="B35" s="58"/>
      <c r="C35" s="58"/>
      <c r="D35" s="56"/>
      <c r="E35" s="37"/>
      <c r="F35" s="38"/>
      <c r="H35" s="57"/>
      <c r="I35" s="58"/>
      <c r="J35" s="58"/>
      <c r="K35" s="56"/>
      <c r="L35" s="37"/>
      <c r="M35" s="38"/>
    </row>
    <row r="36" spans="1:13" ht="13.5" thickBot="1" x14ac:dyDescent="0.25">
      <c r="A36" s="57"/>
      <c r="B36" s="58"/>
      <c r="C36" s="58"/>
      <c r="D36" s="56"/>
      <c r="E36" s="37"/>
      <c r="F36" s="38"/>
      <c r="H36" s="57"/>
      <c r="I36" s="58"/>
      <c r="J36" s="58"/>
      <c r="K36" s="56"/>
      <c r="L36" s="37"/>
      <c r="M36" s="38"/>
    </row>
    <row r="37" spans="1:13" ht="13.5" thickTop="1" x14ac:dyDescent="0.2">
      <c r="A37" s="42" t="s">
        <v>192</v>
      </c>
      <c r="B37" s="43"/>
      <c r="C37" s="48">
        <f>+VLOOKUP(A23,Flejes!B:H,7,)</f>
        <v>10.61269776</v>
      </c>
      <c r="D37" s="49"/>
      <c r="E37" s="39"/>
      <c r="F37" s="38"/>
      <c r="H37" s="42" t="s">
        <v>192</v>
      </c>
      <c r="I37" s="43"/>
      <c r="J37" s="48">
        <f>+VLOOKUP(H23,Flejes!B:H,7,)</f>
        <v>0</v>
      </c>
      <c r="K37" s="49"/>
      <c r="L37" s="39"/>
      <c r="M37" s="38"/>
    </row>
    <row r="38" spans="1:13" x14ac:dyDescent="0.2">
      <c r="A38" s="44"/>
      <c r="B38" s="45"/>
      <c r="C38" s="50"/>
      <c r="D38" s="51"/>
      <c r="E38" s="39"/>
      <c r="F38" s="38"/>
      <c r="H38" s="44"/>
      <c r="I38" s="45"/>
      <c r="J38" s="50"/>
      <c r="K38" s="51"/>
      <c r="L38" s="39"/>
      <c r="M38" s="38"/>
    </row>
    <row r="39" spans="1:13" x14ac:dyDescent="0.2">
      <c r="A39" s="44"/>
      <c r="B39" s="45"/>
      <c r="C39" s="50"/>
      <c r="D39" s="51"/>
      <c r="E39" s="39"/>
      <c r="F39" s="38"/>
      <c r="H39" s="44"/>
      <c r="I39" s="45"/>
      <c r="J39" s="50"/>
      <c r="K39" s="51"/>
      <c r="L39" s="39"/>
      <c r="M39" s="38"/>
    </row>
    <row r="40" spans="1:13" x14ac:dyDescent="0.2">
      <c r="A40" s="44"/>
      <c r="B40" s="45"/>
      <c r="C40" s="50"/>
      <c r="D40" s="51"/>
      <c r="E40" s="39"/>
      <c r="F40" s="38"/>
      <c r="H40" s="44"/>
      <c r="I40" s="45"/>
      <c r="J40" s="50"/>
      <c r="K40" s="51"/>
      <c r="L40" s="39"/>
      <c r="M40" s="38"/>
    </row>
    <row r="41" spans="1:13" ht="13.5" thickBot="1" x14ac:dyDescent="0.25">
      <c r="A41" s="46"/>
      <c r="B41" s="47"/>
      <c r="C41" s="52"/>
      <c r="D41" s="53"/>
      <c r="E41" s="40"/>
      <c r="F41" s="41"/>
      <c r="H41" s="46"/>
      <c r="I41" s="47"/>
      <c r="J41" s="52"/>
      <c r="K41" s="53"/>
      <c r="L41" s="40"/>
      <c r="M41" s="41"/>
    </row>
    <row r="42" spans="1:13" ht="14.25" thickTop="1" thickBot="1" x14ac:dyDescent="0.25"/>
    <row r="43" spans="1:13" ht="13.5" thickTop="1" x14ac:dyDescent="0.2">
      <c r="A43" s="23" t="s">
        <v>171</v>
      </c>
      <c r="B43" s="24"/>
      <c r="C43" s="24"/>
      <c r="D43" s="59" t="s">
        <v>190</v>
      </c>
      <c r="E43" s="62">
        <f>+VLOOKUP(A43,Flejes!B:H,2,)</f>
        <v>0</v>
      </c>
      <c r="F43" s="63"/>
      <c r="H43" s="23" t="s">
        <v>156</v>
      </c>
      <c r="I43" s="24"/>
      <c r="J43" s="24"/>
      <c r="K43" s="59" t="s">
        <v>190</v>
      </c>
      <c r="L43" s="62">
        <f>+VLOOKUP(H43,Flejes!B:H,2,)</f>
        <v>8</v>
      </c>
      <c r="M43" s="63"/>
    </row>
    <row r="44" spans="1:13" x14ac:dyDescent="0.2">
      <c r="A44" s="26"/>
      <c r="B44" s="27"/>
      <c r="C44" s="27"/>
      <c r="D44" s="60"/>
      <c r="E44" s="64"/>
      <c r="F44" s="65"/>
      <c r="H44" s="26"/>
      <c r="I44" s="27"/>
      <c r="J44" s="27"/>
      <c r="K44" s="60"/>
      <c r="L44" s="64"/>
      <c r="M44" s="65"/>
    </row>
    <row r="45" spans="1:13" x14ac:dyDescent="0.2">
      <c r="A45" s="26"/>
      <c r="B45" s="27"/>
      <c r="C45" s="27"/>
      <c r="D45" s="60"/>
      <c r="E45" s="64"/>
      <c r="F45" s="65"/>
      <c r="H45" s="26"/>
      <c r="I45" s="27"/>
      <c r="J45" s="27"/>
      <c r="K45" s="60"/>
      <c r="L45" s="64"/>
      <c r="M45" s="65"/>
    </row>
    <row r="46" spans="1:13" x14ac:dyDescent="0.2">
      <c r="A46" s="26"/>
      <c r="B46" s="27"/>
      <c r="C46" s="27"/>
      <c r="D46" s="60"/>
      <c r="E46" s="64"/>
      <c r="F46" s="65"/>
      <c r="H46" s="26"/>
      <c r="I46" s="27"/>
      <c r="J46" s="27"/>
      <c r="K46" s="60"/>
      <c r="L46" s="64"/>
      <c r="M46" s="65"/>
    </row>
    <row r="47" spans="1:13" x14ac:dyDescent="0.2">
      <c r="A47" s="26"/>
      <c r="B47" s="27"/>
      <c r="C47" s="27"/>
      <c r="D47" s="60"/>
      <c r="E47" s="64"/>
      <c r="F47" s="65"/>
      <c r="H47" s="26"/>
      <c r="I47" s="27"/>
      <c r="J47" s="27"/>
      <c r="K47" s="60"/>
      <c r="L47" s="64"/>
      <c r="M47" s="65"/>
    </row>
    <row r="48" spans="1:13" x14ac:dyDescent="0.2">
      <c r="A48" s="26"/>
      <c r="B48" s="27"/>
      <c r="C48" s="27"/>
      <c r="D48" s="60"/>
      <c r="E48" s="64"/>
      <c r="F48" s="65"/>
      <c r="H48" s="26"/>
      <c r="I48" s="27"/>
      <c r="J48" s="27"/>
      <c r="K48" s="60"/>
      <c r="L48" s="64"/>
      <c r="M48" s="65"/>
    </row>
    <row r="49" spans="1:13" x14ac:dyDescent="0.2">
      <c r="A49" s="26"/>
      <c r="B49" s="27"/>
      <c r="C49" s="27"/>
      <c r="D49" s="60"/>
      <c r="E49" s="64"/>
      <c r="F49" s="65"/>
      <c r="H49" s="26"/>
      <c r="I49" s="27"/>
      <c r="J49" s="27"/>
      <c r="K49" s="60"/>
      <c r="L49" s="64"/>
      <c r="M49" s="65"/>
    </row>
    <row r="50" spans="1:13" ht="13.5" thickBot="1" x14ac:dyDescent="0.25">
      <c r="A50" s="29"/>
      <c r="B50" s="30"/>
      <c r="C50" s="30"/>
      <c r="D50" s="61"/>
      <c r="E50" s="66"/>
      <c r="F50" s="67"/>
      <c r="H50" s="29"/>
      <c r="I50" s="30"/>
      <c r="J50" s="30"/>
      <c r="K50" s="61"/>
      <c r="L50" s="66"/>
      <c r="M50" s="67"/>
    </row>
    <row r="51" spans="1:13" ht="13.5" thickTop="1" x14ac:dyDescent="0.2">
      <c r="A51" s="54">
        <f>+VLOOKUP(A43,Flejes!B:H,4,)</f>
        <v>0</v>
      </c>
      <c r="B51" s="55"/>
      <c r="C51" s="55"/>
      <c r="D51" s="56"/>
      <c r="E51" s="37" t="str">
        <f>+VLOOKUP(A43,Flejes!B:L,11)</f>
        <v>+</v>
      </c>
      <c r="F51" s="38"/>
      <c r="H51" s="54" t="str">
        <f>+VLOOKUP(H43,Flejes!B:H,4,)</f>
        <v>33 x 2</v>
      </c>
      <c r="I51" s="55"/>
      <c r="J51" s="55"/>
      <c r="K51" s="56"/>
      <c r="L51" s="37" t="str">
        <f>+VLOOKUP(H43,Flejes!B:L,11)</f>
        <v>+</v>
      </c>
      <c r="M51" s="38"/>
    </row>
    <row r="52" spans="1:13" x14ac:dyDescent="0.2">
      <c r="A52" s="57"/>
      <c r="B52" s="58"/>
      <c r="C52" s="58"/>
      <c r="D52" s="56"/>
      <c r="E52" s="37"/>
      <c r="F52" s="38"/>
      <c r="H52" s="57"/>
      <c r="I52" s="58"/>
      <c r="J52" s="58"/>
      <c r="K52" s="56"/>
      <c r="L52" s="37"/>
      <c r="M52" s="38"/>
    </row>
    <row r="53" spans="1:13" x14ac:dyDescent="0.2">
      <c r="A53" s="57"/>
      <c r="B53" s="58"/>
      <c r="C53" s="58"/>
      <c r="D53" s="56"/>
      <c r="E53" s="37"/>
      <c r="F53" s="38"/>
      <c r="H53" s="57"/>
      <c r="I53" s="58"/>
      <c r="J53" s="58"/>
      <c r="K53" s="56"/>
      <c r="L53" s="37"/>
      <c r="M53" s="38"/>
    </row>
    <row r="54" spans="1:13" x14ac:dyDescent="0.2">
      <c r="A54" s="57"/>
      <c r="B54" s="58"/>
      <c r="C54" s="58"/>
      <c r="D54" s="56"/>
      <c r="E54" s="37"/>
      <c r="F54" s="38"/>
      <c r="H54" s="57"/>
      <c r="I54" s="58"/>
      <c r="J54" s="58"/>
      <c r="K54" s="56"/>
      <c r="L54" s="37"/>
      <c r="M54" s="38"/>
    </row>
    <row r="55" spans="1:13" x14ac:dyDescent="0.2">
      <c r="A55" s="57"/>
      <c r="B55" s="58"/>
      <c r="C55" s="58"/>
      <c r="D55" s="56"/>
      <c r="E55" s="37"/>
      <c r="F55" s="38"/>
      <c r="H55" s="57"/>
      <c r="I55" s="58"/>
      <c r="J55" s="58"/>
      <c r="K55" s="56"/>
      <c r="L55" s="37"/>
      <c r="M55" s="38"/>
    </row>
    <row r="56" spans="1:13" ht="13.5" thickBot="1" x14ac:dyDescent="0.25">
      <c r="A56" s="57"/>
      <c r="B56" s="58"/>
      <c r="C56" s="58"/>
      <c r="D56" s="56"/>
      <c r="E56" s="37"/>
      <c r="F56" s="38"/>
      <c r="H56" s="57"/>
      <c r="I56" s="58"/>
      <c r="J56" s="58"/>
      <c r="K56" s="56"/>
      <c r="L56" s="37"/>
      <c r="M56" s="38"/>
    </row>
    <row r="57" spans="1:13" ht="13.5" thickTop="1" x14ac:dyDescent="0.2">
      <c r="A57" s="42" t="s">
        <v>192</v>
      </c>
      <c r="B57" s="43"/>
      <c r="C57" s="48">
        <f>+VLOOKUP(A43,Flejes!B:H,7,)</f>
        <v>0</v>
      </c>
      <c r="D57" s="49"/>
      <c r="E57" s="39"/>
      <c r="F57" s="38"/>
      <c r="H57" s="42" t="s">
        <v>192</v>
      </c>
      <c r="I57" s="43"/>
      <c r="J57" s="48">
        <f>+VLOOKUP(H43,Flejes!B:H,7,)</f>
        <v>1.9604339446153842</v>
      </c>
      <c r="K57" s="49"/>
      <c r="L57" s="39"/>
      <c r="M57" s="38"/>
    </row>
    <row r="58" spans="1:13" x14ac:dyDescent="0.2">
      <c r="A58" s="44"/>
      <c r="B58" s="45"/>
      <c r="C58" s="50"/>
      <c r="D58" s="51"/>
      <c r="E58" s="39"/>
      <c r="F58" s="38"/>
      <c r="H58" s="44"/>
      <c r="I58" s="45"/>
      <c r="J58" s="50"/>
      <c r="K58" s="51"/>
      <c r="L58" s="39"/>
      <c r="M58" s="38"/>
    </row>
    <row r="59" spans="1:13" x14ac:dyDescent="0.2">
      <c r="A59" s="44"/>
      <c r="B59" s="45"/>
      <c r="C59" s="50"/>
      <c r="D59" s="51"/>
      <c r="E59" s="39"/>
      <c r="F59" s="38"/>
      <c r="H59" s="44"/>
      <c r="I59" s="45"/>
      <c r="J59" s="50"/>
      <c r="K59" s="51"/>
      <c r="L59" s="39"/>
      <c r="M59" s="38"/>
    </row>
    <row r="60" spans="1:13" x14ac:dyDescent="0.2">
      <c r="A60" s="44"/>
      <c r="B60" s="45"/>
      <c r="C60" s="50"/>
      <c r="D60" s="51"/>
      <c r="E60" s="39"/>
      <c r="F60" s="38"/>
      <c r="H60" s="44"/>
      <c r="I60" s="45"/>
      <c r="J60" s="50"/>
      <c r="K60" s="51"/>
      <c r="L60" s="39"/>
      <c r="M60" s="38"/>
    </row>
    <row r="61" spans="1:13" ht="13.5" thickBot="1" x14ac:dyDescent="0.25">
      <c r="A61" s="46"/>
      <c r="B61" s="47"/>
      <c r="C61" s="52"/>
      <c r="D61" s="53"/>
      <c r="E61" s="40"/>
      <c r="F61" s="41"/>
      <c r="H61" s="46"/>
      <c r="I61" s="47"/>
      <c r="J61" s="52"/>
      <c r="K61" s="53"/>
      <c r="L61" s="40"/>
      <c r="M61" s="41"/>
    </row>
    <row r="62" spans="1:13" ht="14.25" thickTop="1" thickBot="1" x14ac:dyDescent="0.25"/>
    <row r="63" spans="1:13" ht="13.5" thickTop="1" x14ac:dyDescent="0.2">
      <c r="A63" s="23" t="s">
        <v>167</v>
      </c>
      <c r="B63" s="24"/>
      <c r="C63" s="24"/>
      <c r="D63" s="59" t="s">
        <v>190</v>
      </c>
      <c r="E63" s="62">
        <f>+VLOOKUP(A63,Flejes!B:H,2,)</f>
        <v>39</v>
      </c>
      <c r="F63" s="63"/>
      <c r="H63" s="23" t="s">
        <v>161</v>
      </c>
      <c r="I63" s="24"/>
      <c r="J63" s="24"/>
      <c r="K63" s="59" t="s">
        <v>190</v>
      </c>
      <c r="L63" s="62">
        <f>+VLOOKUP(H63,Flejes!B:H,2,)</f>
        <v>23</v>
      </c>
      <c r="M63" s="63"/>
    </row>
    <row r="64" spans="1:13" x14ac:dyDescent="0.2">
      <c r="A64" s="26"/>
      <c r="B64" s="27"/>
      <c r="C64" s="27"/>
      <c r="D64" s="60"/>
      <c r="E64" s="64"/>
      <c r="F64" s="65"/>
      <c r="H64" s="26"/>
      <c r="I64" s="27"/>
      <c r="J64" s="27"/>
      <c r="K64" s="60"/>
      <c r="L64" s="64"/>
      <c r="M64" s="65"/>
    </row>
    <row r="65" spans="1:13" x14ac:dyDescent="0.2">
      <c r="A65" s="26"/>
      <c r="B65" s="27"/>
      <c r="C65" s="27"/>
      <c r="D65" s="60"/>
      <c r="E65" s="64"/>
      <c r="F65" s="65"/>
      <c r="H65" s="26"/>
      <c r="I65" s="27"/>
      <c r="J65" s="27"/>
      <c r="K65" s="60"/>
      <c r="L65" s="64"/>
      <c r="M65" s="65"/>
    </row>
    <row r="66" spans="1:13" x14ac:dyDescent="0.2">
      <c r="A66" s="26"/>
      <c r="B66" s="27"/>
      <c r="C66" s="27"/>
      <c r="D66" s="60"/>
      <c r="E66" s="64"/>
      <c r="F66" s="65"/>
      <c r="H66" s="26"/>
      <c r="I66" s="27"/>
      <c r="J66" s="27"/>
      <c r="K66" s="60"/>
      <c r="L66" s="64"/>
      <c r="M66" s="65"/>
    </row>
    <row r="67" spans="1:13" x14ac:dyDescent="0.2">
      <c r="A67" s="26"/>
      <c r="B67" s="27"/>
      <c r="C67" s="27"/>
      <c r="D67" s="60"/>
      <c r="E67" s="64"/>
      <c r="F67" s="65"/>
      <c r="H67" s="26"/>
      <c r="I67" s="27"/>
      <c r="J67" s="27"/>
      <c r="K67" s="60"/>
      <c r="L67" s="64"/>
      <c r="M67" s="65"/>
    </row>
    <row r="68" spans="1:13" x14ac:dyDescent="0.2">
      <c r="A68" s="26"/>
      <c r="B68" s="27"/>
      <c r="C68" s="27"/>
      <c r="D68" s="60"/>
      <c r="E68" s="64"/>
      <c r="F68" s="65"/>
      <c r="H68" s="26"/>
      <c r="I68" s="27"/>
      <c r="J68" s="27"/>
      <c r="K68" s="60"/>
      <c r="L68" s="64"/>
      <c r="M68" s="65"/>
    </row>
    <row r="69" spans="1:13" x14ac:dyDescent="0.2">
      <c r="A69" s="26"/>
      <c r="B69" s="27"/>
      <c r="C69" s="27"/>
      <c r="D69" s="60"/>
      <c r="E69" s="64"/>
      <c r="F69" s="65"/>
      <c r="H69" s="26"/>
      <c r="I69" s="27"/>
      <c r="J69" s="27"/>
      <c r="K69" s="60"/>
      <c r="L69" s="64"/>
      <c r="M69" s="65"/>
    </row>
    <row r="70" spans="1:13" ht="13.5" thickBot="1" x14ac:dyDescent="0.25">
      <c r="A70" s="29"/>
      <c r="B70" s="30"/>
      <c r="C70" s="30"/>
      <c r="D70" s="61"/>
      <c r="E70" s="66"/>
      <c r="F70" s="67"/>
      <c r="H70" s="29"/>
      <c r="I70" s="30"/>
      <c r="J70" s="30"/>
      <c r="K70" s="61"/>
      <c r="L70" s="66"/>
      <c r="M70" s="67"/>
    </row>
    <row r="71" spans="1:13" ht="13.5" thickTop="1" x14ac:dyDescent="0.2">
      <c r="A71" s="54" t="str">
        <f>+VLOOKUP(A63,Flejes!B:H,4,)</f>
        <v>136 x 0,8</v>
      </c>
      <c r="B71" s="55"/>
      <c r="C71" s="55"/>
      <c r="D71" s="56"/>
      <c r="E71" s="37" t="str">
        <f>+VLOOKUP(A63,Flejes!B:L,11)</f>
        <v>+</v>
      </c>
      <c r="F71" s="38"/>
      <c r="H71" s="54" t="str">
        <f>+VLOOKUP(H63,Flejes!B:H,4,)</f>
        <v>20 x 2,8</v>
      </c>
      <c r="I71" s="55"/>
      <c r="J71" s="55"/>
      <c r="K71" s="56"/>
      <c r="L71" s="37" t="str">
        <f>+VLOOKUP(H63,Flejes!B:L,11)</f>
        <v>+</v>
      </c>
      <c r="M71" s="38"/>
    </row>
    <row r="72" spans="1:13" x14ac:dyDescent="0.2">
      <c r="A72" s="57"/>
      <c r="B72" s="58"/>
      <c r="C72" s="58"/>
      <c r="D72" s="56"/>
      <c r="E72" s="37"/>
      <c r="F72" s="38"/>
      <c r="H72" s="57"/>
      <c r="I72" s="58"/>
      <c r="J72" s="58"/>
      <c r="K72" s="56"/>
      <c r="L72" s="37"/>
      <c r="M72" s="38"/>
    </row>
    <row r="73" spans="1:13" x14ac:dyDescent="0.2">
      <c r="A73" s="57"/>
      <c r="B73" s="58"/>
      <c r="C73" s="58"/>
      <c r="D73" s="56"/>
      <c r="E73" s="37"/>
      <c r="F73" s="38"/>
      <c r="H73" s="57"/>
      <c r="I73" s="58"/>
      <c r="J73" s="58"/>
      <c r="K73" s="56"/>
      <c r="L73" s="37"/>
      <c r="M73" s="38"/>
    </row>
    <row r="74" spans="1:13" x14ac:dyDescent="0.2">
      <c r="A74" s="57"/>
      <c r="B74" s="58"/>
      <c r="C74" s="58"/>
      <c r="D74" s="56"/>
      <c r="E74" s="37"/>
      <c r="F74" s="38"/>
      <c r="H74" s="57"/>
      <c r="I74" s="58"/>
      <c r="J74" s="58"/>
      <c r="K74" s="56"/>
      <c r="L74" s="37"/>
      <c r="M74" s="38"/>
    </row>
    <row r="75" spans="1:13" x14ac:dyDescent="0.2">
      <c r="A75" s="57"/>
      <c r="B75" s="58"/>
      <c r="C75" s="58"/>
      <c r="D75" s="56"/>
      <c r="E75" s="37"/>
      <c r="F75" s="38"/>
      <c r="H75" s="57"/>
      <c r="I75" s="58"/>
      <c r="J75" s="58"/>
      <c r="K75" s="56"/>
      <c r="L75" s="37"/>
      <c r="M75" s="38"/>
    </row>
    <row r="76" spans="1:13" ht="13.5" thickBot="1" x14ac:dyDescent="0.25">
      <c r="A76" s="57"/>
      <c r="B76" s="58"/>
      <c r="C76" s="58"/>
      <c r="D76" s="56"/>
      <c r="E76" s="37"/>
      <c r="F76" s="38"/>
      <c r="H76" s="57"/>
      <c r="I76" s="58"/>
      <c r="J76" s="58"/>
      <c r="K76" s="56"/>
      <c r="L76" s="37"/>
      <c r="M76" s="38"/>
    </row>
    <row r="77" spans="1:13" ht="13.5" thickTop="1" x14ac:dyDescent="0.2">
      <c r="A77" s="42" t="s">
        <v>192</v>
      </c>
      <c r="B77" s="43"/>
      <c r="C77" s="48">
        <f>+VLOOKUP(A63,Flejes!B:H,7,)</f>
        <v>0.56035572851612914</v>
      </c>
      <c r="D77" s="49"/>
      <c r="E77" s="39"/>
      <c r="F77" s="38"/>
      <c r="H77" s="42" t="s">
        <v>192</v>
      </c>
      <c r="I77" s="43"/>
      <c r="J77" s="48">
        <f>+VLOOKUP(H63,Flejes!B:H,7,)</f>
        <v>2.9796719232000002</v>
      </c>
      <c r="K77" s="49"/>
      <c r="L77" s="39"/>
      <c r="M77" s="38"/>
    </row>
    <row r="78" spans="1:13" x14ac:dyDescent="0.2">
      <c r="A78" s="44"/>
      <c r="B78" s="45"/>
      <c r="C78" s="50"/>
      <c r="D78" s="51"/>
      <c r="E78" s="39"/>
      <c r="F78" s="38"/>
      <c r="H78" s="44"/>
      <c r="I78" s="45"/>
      <c r="J78" s="50"/>
      <c r="K78" s="51"/>
      <c r="L78" s="39"/>
      <c r="M78" s="38"/>
    </row>
    <row r="79" spans="1:13" x14ac:dyDescent="0.2">
      <c r="A79" s="44"/>
      <c r="B79" s="45"/>
      <c r="C79" s="50"/>
      <c r="D79" s="51"/>
      <c r="E79" s="39"/>
      <c r="F79" s="38"/>
      <c r="H79" s="44"/>
      <c r="I79" s="45"/>
      <c r="J79" s="50"/>
      <c r="K79" s="51"/>
      <c r="L79" s="39"/>
      <c r="M79" s="38"/>
    </row>
    <row r="80" spans="1:13" x14ac:dyDescent="0.2">
      <c r="A80" s="44"/>
      <c r="B80" s="45"/>
      <c r="C80" s="50"/>
      <c r="D80" s="51"/>
      <c r="E80" s="39"/>
      <c r="F80" s="38"/>
      <c r="H80" s="44"/>
      <c r="I80" s="45"/>
      <c r="J80" s="50"/>
      <c r="K80" s="51"/>
      <c r="L80" s="39"/>
      <c r="M80" s="38"/>
    </row>
    <row r="81" spans="1:13" ht="13.5" thickBot="1" x14ac:dyDescent="0.25">
      <c r="A81" s="46"/>
      <c r="B81" s="47"/>
      <c r="C81" s="52"/>
      <c r="D81" s="53"/>
      <c r="E81" s="40"/>
      <c r="F81" s="41"/>
      <c r="H81" s="46"/>
      <c r="I81" s="47"/>
      <c r="J81" s="52"/>
      <c r="K81" s="53"/>
      <c r="L81" s="40"/>
      <c r="M81" s="41"/>
    </row>
    <row r="82" spans="1:13" ht="14.25" thickTop="1" thickBot="1" x14ac:dyDescent="0.25"/>
    <row r="83" spans="1:13" ht="13.5" thickTop="1" x14ac:dyDescent="0.2">
      <c r="A83" s="23" t="s">
        <v>165</v>
      </c>
      <c r="B83" s="24"/>
      <c r="C83" s="24"/>
      <c r="D83" s="59" t="s">
        <v>190</v>
      </c>
      <c r="E83" s="62">
        <f>+VLOOKUP(A83,Flejes!B:H,2,)</f>
        <v>29</v>
      </c>
      <c r="F83" s="63"/>
      <c r="H83" s="23" t="s">
        <v>183</v>
      </c>
      <c r="I83" s="24"/>
      <c r="J83" s="24"/>
      <c r="K83" s="59" t="s">
        <v>190</v>
      </c>
      <c r="L83" s="62">
        <f>+VLOOKUP(H83,Flejes!B:H,2,)</f>
        <v>84</v>
      </c>
      <c r="M83" s="63"/>
    </row>
    <row r="84" spans="1:13" x14ac:dyDescent="0.2">
      <c r="A84" s="26"/>
      <c r="B84" s="27"/>
      <c r="C84" s="27"/>
      <c r="D84" s="60"/>
      <c r="E84" s="64"/>
      <c r="F84" s="65"/>
      <c r="H84" s="26"/>
      <c r="I84" s="27"/>
      <c r="J84" s="27"/>
      <c r="K84" s="60"/>
      <c r="L84" s="64"/>
      <c r="M84" s="65"/>
    </row>
    <row r="85" spans="1:13" x14ac:dyDescent="0.2">
      <c r="A85" s="26"/>
      <c r="B85" s="27"/>
      <c r="C85" s="27"/>
      <c r="D85" s="60"/>
      <c r="E85" s="64"/>
      <c r="F85" s="65"/>
      <c r="H85" s="26"/>
      <c r="I85" s="27"/>
      <c r="J85" s="27"/>
      <c r="K85" s="60"/>
      <c r="L85" s="64"/>
      <c r="M85" s="65"/>
    </row>
    <row r="86" spans="1:13" x14ac:dyDescent="0.2">
      <c r="A86" s="26"/>
      <c r="B86" s="27"/>
      <c r="C86" s="27"/>
      <c r="D86" s="60"/>
      <c r="E86" s="64"/>
      <c r="F86" s="65"/>
      <c r="H86" s="26"/>
      <c r="I86" s="27"/>
      <c r="J86" s="27"/>
      <c r="K86" s="60"/>
      <c r="L86" s="64"/>
      <c r="M86" s="65"/>
    </row>
    <row r="87" spans="1:13" x14ac:dyDescent="0.2">
      <c r="A87" s="26"/>
      <c r="B87" s="27"/>
      <c r="C87" s="27"/>
      <c r="D87" s="60"/>
      <c r="E87" s="64"/>
      <c r="F87" s="65"/>
      <c r="H87" s="26"/>
      <c r="I87" s="27"/>
      <c r="J87" s="27"/>
      <c r="K87" s="60"/>
      <c r="L87" s="64"/>
      <c r="M87" s="65"/>
    </row>
    <row r="88" spans="1:13" x14ac:dyDescent="0.2">
      <c r="A88" s="26"/>
      <c r="B88" s="27"/>
      <c r="C88" s="27"/>
      <c r="D88" s="60"/>
      <c r="E88" s="64"/>
      <c r="F88" s="65"/>
      <c r="H88" s="26"/>
      <c r="I88" s="27"/>
      <c r="J88" s="27"/>
      <c r="K88" s="60"/>
      <c r="L88" s="64"/>
      <c r="M88" s="65"/>
    </row>
    <row r="89" spans="1:13" x14ac:dyDescent="0.2">
      <c r="A89" s="26"/>
      <c r="B89" s="27"/>
      <c r="C89" s="27"/>
      <c r="D89" s="60"/>
      <c r="E89" s="64"/>
      <c r="F89" s="65"/>
      <c r="H89" s="26"/>
      <c r="I89" s="27"/>
      <c r="J89" s="27"/>
      <c r="K89" s="60"/>
      <c r="L89" s="64"/>
      <c r="M89" s="65"/>
    </row>
    <row r="90" spans="1:13" ht="13.5" thickBot="1" x14ac:dyDescent="0.25">
      <c r="A90" s="29"/>
      <c r="B90" s="30"/>
      <c r="C90" s="30"/>
      <c r="D90" s="61"/>
      <c r="E90" s="66"/>
      <c r="F90" s="67"/>
      <c r="H90" s="29"/>
      <c r="I90" s="30"/>
      <c r="J90" s="30"/>
      <c r="K90" s="61"/>
      <c r="L90" s="66"/>
      <c r="M90" s="67"/>
    </row>
    <row r="91" spans="1:13" ht="13.5" thickTop="1" x14ac:dyDescent="0.2">
      <c r="A91" s="54" t="str">
        <f>+VLOOKUP(A83,Flejes!B:H,4,)</f>
        <v>91 x 1,75</v>
      </c>
      <c r="B91" s="55"/>
      <c r="C91" s="55"/>
      <c r="D91" s="56"/>
      <c r="E91" s="37">
        <f>+VLOOKUP(A83,Flejes!B:L,11)</f>
        <v>0</v>
      </c>
      <c r="F91" s="38"/>
      <c r="H91" s="54" t="str">
        <f>+VLOOKUP(H83,Flejes!B:H,4,)</f>
        <v>11 x 0.8</v>
      </c>
      <c r="I91" s="55"/>
      <c r="J91" s="55"/>
      <c r="K91" s="56"/>
      <c r="L91" s="37" t="str">
        <f>+VLOOKUP(H83,Flejes!B:L,11)</f>
        <v>+</v>
      </c>
      <c r="M91" s="38"/>
    </row>
    <row r="92" spans="1:13" x14ac:dyDescent="0.2">
      <c r="A92" s="57"/>
      <c r="B92" s="58"/>
      <c r="C92" s="58"/>
      <c r="D92" s="56"/>
      <c r="E92" s="37"/>
      <c r="F92" s="38"/>
      <c r="H92" s="57"/>
      <c r="I92" s="58"/>
      <c r="J92" s="58"/>
      <c r="K92" s="56"/>
      <c r="L92" s="37"/>
      <c r="M92" s="38"/>
    </row>
    <row r="93" spans="1:13" x14ac:dyDescent="0.2">
      <c r="A93" s="57"/>
      <c r="B93" s="58"/>
      <c r="C93" s="58"/>
      <c r="D93" s="56"/>
      <c r="E93" s="37"/>
      <c r="F93" s="38"/>
      <c r="H93" s="57"/>
      <c r="I93" s="58"/>
      <c r="J93" s="58"/>
      <c r="K93" s="56"/>
      <c r="L93" s="37"/>
      <c r="M93" s="38"/>
    </row>
    <row r="94" spans="1:13" x14ac:dyDescent="0.2">
      <c r="A94" s="57"/>
      <c r="B94" s="58"/>
      <c r="C94" s="58"/>
      <c r="D94" s="56"/>
      <c r="E94" s="37"/>
      <c r="F94" s="38"/>
      <c r="H94" s="57"/>
      <c r="I94" s="58"/>
      <c r="J94" s="58"/>
      <c r="K94" s="56"/>
      <c r="L94" s="37"/>
      <c r="M94" s="38"/>
    </row>
    <row r="95" spans="1:13" x14ac:dyDescent="0.2">
      <c r="A95" s="57"/>
      <c r="B95" s="58"/>
      <c r="C95" s="58"/>
      <c r="D95" s="56"/>
      <c r="E95" s="37"/>
      <c r="F95" s="38"/>
      <c r="H95" s="57"/>
      <c r="I95" s="58"/>
      <c r="J95" s="58"/>
      <c r="K95" s="56"/>
      <c r="L95" s="37"/>
      <c r="M95" s="38"/>
    </row>
    <row r="96" spans="1:13" ht="13.5" thickBot="1" x14ac:dyDescent="0.25">
      <c r="A96" s="57"/>
      <c r="B96" s="58"/>
      <c r="C96" s="58"/>
      <c r="D96" s="56"/>
      <c r="E96" s="37"/>
      <c r="F96" s="38"/>
      <c r="H96" s="57"/>
      <c r="I96" s="58"/>
      <c r="J96" s="58"/>
      <c r="K96" s="56"/>
      <c r="L96" s="37"/>
      <c r="M96" s="38"/>
    </row>
    <row r="97" spans="1:13" ht="13.5" thickTop="1" x14ac:dyDescent="0.2">
      <c r="A97" s="42" t="s">
        <v>192</v>
      </c>
      <c r="B97" s="43"/>
      <c r="C97" s="48">
        <f>+VLOOKUP(A83,Flejes!B:H,7,)</f>
        <v>3.9638242917000004</v>
      </c>
      <c r="D97" s="49"/>
      <c r="E97" s="39"/>
      <c r="F97" s="38"/>
      <c r="H97" s="42" t="s">
        <v>192</v>
      </c>
      <c r="I97" s="43"/>
      <c r="J97" s="48">
        <f>+VLOOKUP(H83,Flejes!B:H,7,)</f>
        <v>0</v>
      </c>
      <c r="K97" s="49"/>
      <c r="L97" s="39"/>
      <c r="M97" s="38"/>
    </row>
    <row r="98" spans="1:13" x14ac:dyDescent="0.2">
      <c r="A98" s="44"/>
      <c r="B98" s="45"/>
      <c r="C98" s="50"/>
      <c r="D98" s="51"/>
      <c r="E98" s="39"/>
      <c r="F98" s="38"/>
      <c r="H98" s="44"/>
      <c r="I98" s="45"/>
      <c r="J98" s="50"/>
      <c r="K98" s="51"/>
      <c r="L98" s="39"/>
      <c r="M98" s="38"/>
    </row>
    <row r="99" spans="1:13" x14ac:dyDescent="0.2">
      <c r="A99" s="44"/>
      <c r="B99" s="45"/>
      <c r="C99" s="50"/>
      <c r="D99" s="51"/>
      <c r="E99" s="39"/>
      <c r="F99" s="38"/>
      <c r="H99" s="44"/>
      <c r="I99" s="45"/>
      <c r="J99" s="50"/>
      <c r="K99" s="51"/>
      <c r="L99" s="39"/>
      <c r="M99" s="38"/>
    </row>
    <row r="100" spans="1:13" x14ac:dyDescent="0.2">
      <c r="A100" s="44"/>
      <c r="B100" s="45"/>
      <c r="C100" s="50"/>
      <c r="D100" s="51"/>
      <c r="E100" s="39"/>
      <c r="F100" s="38"/>
      <c r="H100" s="44"/>
      <c r="I100" s="45"/>
      <c r="J100" s="50"/>
      <c r="K100" s="51"/>
      <c r="L100" s="39"/>
      <c r="M100" s="38"/>
    </row>
    <row r="101" spans="1:13" ht="13.5" thickBot="1" x14ac:dyDescent="0.25">
      <c r="A101" s="46"/>
      <c r="B101" s="47"/>
      <c r="C101" s="52"/>
      <c r="D101" s="53"/>
      <c r="E101" s="40"/>
      <c r="F101" s="41"/>
      <c r="H101" s="46"/>
      <c r="I101" s="47"/>
      <c r="J101" s="52"/>
      <c r="K101" s="53"/>
      <c r="L101" s="40"/>
      <c r="M101" s="41"/>
    </row>
    <row r="102" spans="1:13" ht="14.25" thickTop="1" thickBot="1" x14ac:dyDescent="0.25"/>
    <row r="103" spans="1:13" ht="13.5" thickTop="1" x14ac:dyDescent="0.2">
      <c r="A103" s="23" t="s">
        <v>164</v>
      </c>
      <c r="B103" s="24"/>
      <c r="C103" s="24"/>
      <c r="D103" s="59" t="s">
        <v>190</v>
      </c>
      <c r="E103" s="62">
        <f>+VLOOKUP(A103,Flejes!B:H,2,)</f>
        <v>26</v>
      </c>
      <c r="F103" s="63"/>
      <c r="H103" s="23" t="s">
        <v>176</v>
      </c>
      <c r="I103" s="24"/>
      <c r="J103" s="24"/>
      <c r="K103" s="59" t="s">
        <v>190</v>
      </c>
      <c r="L103" s="62">
        <f>+VLOOKUP(H103,Flejes!B:H,2,)</f>
        <v>41</v>
      </c>
      <c r="M103" s="63"/>
    </row>
    <row r="104" spans="1:13" x14ac:dyDescent="0.2">
      <c r="A104" s="26"/>
      <c r="B104" s="27"/>
      <c r="C104" s="27"/>
      <c r="D104" s="60"/>
      <c r="E104" s="64"/>
      <c r="F104" s="65"/>
      <c r="H104" s="26"/>
      <c r="I104" s="27"/>
      <c r="J104" s="27"/>
      <c r="K104" s="60"/>
      <c r="L104" s="64"/>
      <c r="M104" s="65"/>
    </row>
    <row r="105" spans="1:13" x14ac:dyDescent="0.2">
      <c r="A105" s="26"/>
      <c r="B105" s="27"/>
      <c r="C105" s="27"/>
      <c r="D105" s="60"/>
      <c r="E105" s="64"/>
      <c r="F105" s="65"/>
      <c r="H105" s="26"/>
      <c r="I105" s="27"/>
      <c r="J105" s="27"/>
      <c r="K105" s="60"/>
      <c r="L105" s="64"/>
      <c r="M105" s="65"/>
    </row>
    <row r="106" spans="1:13" x14ac:dyDescent="0.2">
      <c r="A106" s="26"/>
      <c r="B106" s="27"/>
      <c r="C106" s="27"/>
      <c r="D106" s="60"/>
      <c r="E106" s="64"/>
      <c r="F106" s="65"/>
      <c r="H106" s="26"/>
      <c r="I106" s="27"/>
      <c r="J106" s="27"/>
      <c r="K106" s="60"/>
      <c r="L106" s="64"/>
      <c r="M106" s="65"/>
    </row>
    <row r="107" spans="1:13" x14ac:dyDescent="0.2">
      <c r="A107" s="26"/>
      <c r="B107" s="27"/>
      <c r="C107" s="27"/>
      <c r="D107" s="60"/>
      <c r="E107" s="64"/>
      <c r="F107" s="65"/>
      <c r="H107" s="26"/>
      <c r="I107" s="27"/>
      <c r="J107" s="27"/>
      <c r="K107" s="60"/>
      <c r="L107" s="64"/>
      <c r="M107" s="65"/>
    </row>
    <row r="108" spans="1:13" x14ac:dyDescent="0.2">
      <c r="A108" s="26"/>
      <c r="B108" s="27"/>
      <c r="C108" s="27"/>
      <c r="D108" s="60"/>
      <c r="E108" s="64"/>
      <c r="F108" s="65"/>
      <c r="H108" s="26"/>
      <c r="I108" s="27"/>
      <c r="J108" s="27"/>
      <c r="K108" s="60"/>
      <c r="L108" s="64"/>
      <c r="M108" s="65"/>
    </row>
    <row r="109" spans="1:13" x14ac:dyDescent="0.2">
      <c r="A109" s="26"/>
      <c r="B109" s="27"/>
      <c r="C109" s="27"/>
      <c r="D109" s="60"/>
      <c r="E109" s="64"/>
      <c r="F109" s="65"/>
      <c r="H109" s="26"/>
      <c r="I109" s="27"/>
      <c r="J109" s="27"/>
      <c r="K109" s="60"/>
      <c r="L109" s="64"/>
      <c r="M109" s="65"/>
    </row>
    <row r="110" spans="1:13" ht="13.5" thickBot="1" x14ac:dyDescent="0.25">
      <c r="A110" s="29"/>
      <c r="B110" s="30"/>
      <c r="C110" s="30"/>
      <c r="D110" s="61"/>
      <c r="E110" s="66"/>
      <c r="F110" s="67"/>
      <c r="H110" s="29"/>
      <c r="I110" s="30"/>
      <c r="J110" s="30"/>
      <c r="K110" s="61"/>
      <c r="L110" s="66"/>
      <c r="M110" s="67"/>
    </row>
    <row r="111" spans="1:13" ht="13.5" thickTop="1" x14ac:dyDescent="0.2">
      <c r="A111" s="54" t="str">
        <f>+VLOOKUP(A103,Flejes!B:H,4,)</f>
        <v>92 x 1,25</v>
      </c>
      <c r="B111" s="55"/>
      <c r="C111" s="55"/>
      <c r="D111" s="56"/>
      <c r="E111" s="37" t="str">
        <f>+VLOOKUP(A103,Flejes!B:L,11)</f>
        <v>+</v>
      </c>
      <c r="F111" s="38"/>
      <c r="H111" s="54" t="str">
        <f>+VLOOKUP(H103,Flejes!B:H,4,)</f>
        <v>84 x 1</v>
      </c>
      <c r="I111" s="55"/>
      <c r="J111" s="55"/>
      <c r="K111" s="56"/>
      <c r="L111" s="37">
        <f>+VLOOKUP(H103,Flejes!B:L,11)</f>
        <v>0</v>
      </c>
      <c r="M111" s="38"/>
    </row>
    <row r="112" spans="1:13" x14ac:dyDescent="0.2">
      <c r="A112" s="57"/>
      <c r="B112" s="58"/>
      <c r="C112" s="58"/>
      <c r="D112" s="56"/>
      <c r="E112" s="37"/>
      <c r="F112" s="38"/>
      <c r="H112" s="57"/>
      <c r="I112" s="58"/>
      <c r="J112" s="58"/>
      <c r="K112" s="56"/>
      <c r="L112" s="37"/>
      <c r="M112" s="38"/>
    </row>
    <row r="113" spans="1:13" x14ac:dyDescent="0.2">
      <c r="A113" s="57"/>
      <c r="B113" s="58"/>
      <c r="C113" s="58"/>
      <c r="D113" s="56"/>
      <c r="E113" s="37"/>
      <c r="F113" s="38"/>
      <c r="H113" s="57"/>
      <c r="I113" s="58"/>
      <c r="J113" s="58"/>
      <c r="K113" s="56"/>
      <c r="L113" s="37"/>
      <c r="M113" s="38"/>
    </row>
    <row r="114" spans="1:13" x14ac:dyDescent="0.2">
      <c r="A114" s="57"/>
      <c r="B114" s="58"/>
      <c r="C114" s="58"/>
      <c r="D114" s="56"/>
      <c r="E114" s="37"/>
      <c r="F114" s="38"/>
      <c r="H114" s="57"/>
      <c r="I114" s="58"/>
      <c r="J114" s="58"/>
      <c r="K114" s="56"/>
      <c r="L114" s="37"/>
      <c r="M114" s="38"/>
    </row>
    <row r="115" spans="1:13" x14ac:dyDescent="0.2">
      <c r="A115" s="57"/>
      <c r="B115" s="58"/>
      <c r="C115" s="58"/>
      <c r="D115" s="56"/>
      <c r="E115" s="37"/>
      <c r="F115" s="38"/>
      <c r="H115" s="57"/>
      <c r="I115" s="58"/>
      <c r="J115" s="58"/>
      <c r="K115" s="56"/>
      <c r="L115" s="37"/>
      <c r="M115" s="38"/>
    </row>
    <row r="116" spans="1:13" ht="13.5" thickBot="1" x14ac:dyDescent="0.25">
      <c r="A116" s="57"/>
      <c r="B116" s="58"/>
      <c r="C116" s="58"/>
      <c r="D116" s="56"/>
      <c r="E116" s="37"/>
      <c r="F116" s="38"/>
      <c r="H116" s="57"/>
      <c r="I116" s="58"/>
      <c r="J116" s="58"/>
      <c r="K116" s="56"/>
      <c r="L116" s="37"/>
      <c r="M116" s="38"/>
    </row>
    <row r="117" spans="1:13" ht="13.5" thickTop="1" x14ac:dyDescent="0.2">
      <c r="A117" s="42" t="s">
        <v>192</v>
      </c>
      <c r="B117" s="43"/>
      <c r="C117" s="48">
        <f>+VLOOKUP(A103,Flejes!B:H,7,)</f>
        <v>0.7076601931034483</v>
      </c>
      <c r="D117" s="49"/>
      <c r="E117" s="39"/>
      <c r="F117" s="38"/>
      <c r="H117" s="42" t="s">
        <v>192</v>
      </c>
      <c r="I117" s="43"/>
      <c r="J117" s="48">
        <f>+VLOOKUP(H103,Flejes!B:H,7,)</f>
        <v>7.791360192</v>
      </c>
      <c r="K117" s="49"/>
      <c r="L117" s="39"/>
      <c r="M117" s="38"/>
    </row>
    <row r="118" spans="1:13" x14ac:dyDescent="0.2">
      <c r="A118" s="44"/>
      <c r="B118" s="45"/>
      <c r="C118" s="50"/>
      <c r="D118" s="51"/>
      <c r="E118" s="39"/>
      <c r="F118" s="38"/>
      <c r="H118" s="44"/>
      <c r="I118" s="45"/>
      <c r="J118" s="50"/>
      <c r="K118" s="51"/>
      <c r="L118" s="39"/>
      <c r="M118" s="38"/>
    </row>
    <row r="119" spans="1:13" x14ac:dyDescent="0.2">
      <c r="A119" s="44"/>
      <c r="B119" s="45"/>
      <c r="C119" s="50"/>
      <c r="D119" s="51"/>
      <c r="E119" s="39"/>
      <c r="F119" s="38"/>
      <c r="H119" s="44"/>
      <c r="I119" s="45"/>
      <c r="J119" s="50"/>
      <c r="K119" s="51"/>
      <c r="L119" s="39"/>
      <c r="M119" s="38"/>
    </row>
    <row r="120" spans="1:13" x14ac:dyDescent="0.2">
      <c r="A120" s="44"/>
      <c r="B120" s="45"/>
      <c r="C120" s="50"/>
      <c r="D120" s="51"/>
      <c r="E120" s="39"/>
      <c r="F120" s="38"/>
      <c r="H120" s="44"/>
      <c r="I120" s="45"/>
      <c r="J120" s="50"/>
      <c r="K120" s="51"/>
      <c r="L120" s="39"/>
      <c r="M120" s="38"/>
    </row>
    <row r="121" spans="1:13" ht="13.5" thickBot="1" x14ac:dyDescent="0.25">
      <c r="A121" s="46"/>
      <c r="B121" s="47"/>
      <c r="C121" s="52"/>
      <c r="D121" s="53"/>
      <c r="E121" s="40"/>
      <c r="F121" s="41"/>
      <c r="H121" s="46"/>
      <c r="I121" s="47"/>
      <c r="J121" s="52"/>
      <c r="K121" s="53"/>
      <c r="L121" s="40"/>
      <c r="M121" s="41"/>
    </row>
    <row r="122" spans="1:13" ht="14.25" thickTop="1" thickBot="1" x14ac:dyDescent="0.25"/>
    <row r="123" spans="1:13" ht="13.5" thickTop="1" x14ac:dyDescent="0.2">
      <c r="A123" s="23" t="s">
        <v>166</v>
      </c>
      <c r="B123" s="24"/>
      <c r="C123" s="24"/>
      <c r="D123" s="59" t="s">
        <v>190</v>
      </c>
      <c r="E123" s="62">
        <f>+VLOOKUP(A123,Flejes!B:H,2,)</f>
        <v>36</v>
      </c>
      <c r="F123" s="63"/>
      <c r="H123" s="23" t="s">
        <v>154</v>
      </c>
      <c r="I123" s="24"/>
      <c r="J123" s="24"/>
      <c r="K123" s="59" t="s">
        <v>190</v>
      </c>
      <c r="L123" s="62">
        <f>+VLOOKUP(H123,Flejes!B:H,2,)</f>
        <v>6</v>
      </c>
      <c r="M123" s="63"/>
    </row>
    <row r="124" spans="1:13" x14ac:dyDescent="0.2">
      <c r="A124" s="26"/>
      <c r="B124" s="27"/>
      <c r="C124" s="27"/>
      <c r="D124" s="60"/>
      <c r="E124" s="64"/>
      <c r="F124" s="65"/>
      <c r="H124" s="26"/>
      <c r="I124" s="27"/>
      <c r="J124" s="27"/>
      <c r="K124" s="60"/>
      <c r="L124" s="64"/>
      <c r="M124" s="65"/>
    </row>
    <row r="125" spans="1:13" x14ac:dyDescent="0.2">
      <c r="A125" s="26"/>
      <c r="B125" s="27"/>
      <c r="C125" s="27"/>
      <c r="D125" s="60"/>
      <c r="E125" s="64"/>
      <c r="F125" s="65"/>
      <c r="H125" s="26"/>
      <c r="I125" s="27"/>
      <c r="J125" s="27"/>
      <c r="K125" s="60"/>
      <c r="L125" s="64"/>
      <c r="M125" s="65"/>
    </row>
    <row r="126" spans="1:13" x14ac:dyDescent="0.2">
      <c r="A126" s="26"/>
      <c r="B126" s="27"/>
      <c r="C126" s="27"/>
      <c r="D126" s="60"/>
      <c r="E126" s="64"/>
      <c r="F126" s="65"/>
      <c r="H126" s="26"/>
      <c r="I126" s="27"/>
      <c r="J126" s="27"/>
      <c r="K126" s="60"/>
      <c r="L126" s="64"/>
      <c r="M126" s="65"/>
    </row>
    <row r="127" spans="1:13" x14ac:dyDescent="0.2">
      <c r="A127" s="26"/>
      <c r="B127" s="27"/>
      <c r="C127" s="27"/>
      <c r="D127" s="60"/>
      <c r="E127" s="64"/>
      <c r="F127" s="65"/>
      <c r="H127" s="26"/>
      <c r="I127" s="27"/>
      <c r="J127" s="27"/>
      <c r="K127" s="60"/>
      <c r="L127" s="64"/>
      <c r="M127" s="65"/>
    </row>
    <row r="128" spans="1:13" x14ac:dyDescent="0.2">
      <c r="A128" s="26"/>
      <c r="B128" s="27"/>
      <c r="C128" s="27"/>
      <c r="D128" s="60"/>
      <c r="E128" s="64"/>
      <c r="F128" s="65"/>
      <c r="H128" s="26"/>
      <c r="I128" s="27"/>
      <c r="J128" s="27"/>
      <c r="K128" s="60"/>
      <c r="L128" s="64"/>
      <c r="M128" s="65"/>
    </row>
    <row r="129" spans="1:13" x14ac:dyDescent="0.2">
      <c r="A129" s="26"/>
      <c r="B129" s="27"/>
      <c r="C129" s="27"/>
      <c r="D129" s="60"/>
      <c r="E129" s="64"/>
      <c r="F129" s="65"/>
      <c r="H129" s="26"/>
      <c r="I129" s="27"/>
      <c r="J129" s="27"/>
      <c r="K129" s="60"/>
      <c r="L129" s="64"/>
      <c r="M129" s="65"/>
    </row>
    <row r="130" spans="1:13" ht="13.5" thickBot="1" x14ac:dyDescent="0.25">
      <c r="A130" s="29"/>
      <c r="B130" s="30"/>
      <c r="C130" s="30"/>
      <c r="D130" s="61"/>
      <c r="E130" s="66"/>
      <c r="F130" s="67"/>
      <c r="H130" s="29"/>
      <c r="I130" s="30"/>
      <c r="J130" s="30"/>
      <c r="K130" s="61"/>
      <c r="L130" s="66"/>
      <c r="M130" s="67"/>
    </row>
    <row r="131" spans="1:13" ht="13.5" thickTop="1" x14ac:dyDescent="0.2">
      <c r="A131" s="54" t="str">
        <f>+VLOOKUP(A123,Flejes!B:H,4,)</f>
        <v>40 x 1,5</v>
      </c>
      <c r="B131" s="55"/>
      <c r="C131" s="55"/>
      <c r="D131" s="56"/>
      <c r="E131" s="37" t="str">
        <f>+VLOOKUP(A123,Flejes!B:L,11)</f>
        <v>+</v>
      </c>
      <c r="F131" s="38"/>
      <c r="H131" s="54" t="str">
        <f>+VLOOKUP(H123,Flejes!B:H,4,)</f>
        <v>18,5 x 1,9</v>
      </c>
      <c r="I131" s="55"/>
      <c r="J131" s="55"/>
      <c r="K131" s="56"/>
      <c r="L131" s="37" t="str">
        <f>+VLOOKUP(H123,Flejes!B:L,11)</f>
        <v>-</v>
      </c>
      <c r="M131" s="38"/>
    </row>
    <row r="132" spans="1:13" x14ac:dyDescent="0.2">
      <c r="A132" s="57"/>
      <c r="B132" s="58"/>
      <c r="C132" s="58"/>
      <c r="D132" s="56"/>
      <c r="E132" s="37"/>
      <c r="F132" s="38"/>
      <c r="H132" s="57"/>
      <c r="I132" s="58"/>
      <c r="J132" s="58"/>
      <c r="K132" s="56"/>
      <c r="L132" s="37"/>
      <c r="M132" s="38"/>
    </row>
    <row r="133" spans="1:13" x14ac:dyDescent="0.2">
      <c r="A133" s="57"/>
      <c r="B133" s="58"/>
      <c r="C133" s="58"/>
      <c r="D133" s="56"/>
      <c r="E133" s="37"/>
      <c r="F133" s="38"/>
      <c r="H133" s="57"/>
      <c r="I133" s="58"/>
      <c r="J133" s="58"/>
      <c r="K133" s="56"/>
      <c r="L133" s="37"/>
      <c r="M133" s="38"/>
    </row>
    <row r="134" spans="1:13" x14ac:dyDescent="0.2">
      <c r="A134" s="57"/>
      <c r="B134" s="58"/>
      <c r="C134" s="58"/>
      <c r="D134" s="56"/>
      <c r="E134" s="37"/>
      <c r="F134" s="38"/>
      <c r="H134" s="57"/>
      <c r="I134" s="58"/>
      <c r="J134" s="58"/>
      <c r="K134" s="56"/>
      <c r="L134" s="37"/>
      <c r="M134" s="38"/>
    </row>
    <row r="135" spans="1:13" x14ac:dyDescent="0.2">
      <c r="A135" s="57"/>
      <c r="B135" s="58"/>
      <c r="C135" s="58"/>
      <c r="D135" s="56"/>
      <c r="E135" s="37"/>
      <c r="F135" s="38"/>
      <c r="H135" s="57"/>
      <c r="I135" s="58"/>
      <c r="J135" s="58"/>
      <c r="K135" s="56"/>
      <c r="L135" s="37"/>
      <c r="M135" s="38"/>
    </row>
    <row r="136" spans="1:13" ht="13.5" thickBot="1" x14ac:dyDescent="0.25">
      <c r="A136" s="57"/>
      <c r="B136" s="58"/>
      <c r="C136" s="58"/>
      <c r="D136" s="56"/>
      <c r="E136" s="37"/>
      <c r="F136" s="38"/>
      <c r="H136" s="57"/>
      <c r="I136" s="58"/>
      <c r="J136" s="58"/>
      <c r="K136" s="56"/>
      <c r="L136" s="37"/>
      <c r="M136" s="38"/>
    </row>
    <row r="137" spans="1:13" ht="13.5" thickTop="1" x14ac:dyDescent="0.2">
      <c r="A137" s="42" t="s">
        <v>192</v>
      </c>
      <c r="B137" s="43"/>
      <c r="C137" s="48">
        <f>+VLOOKUP(A123,Flejes!B:H,7,)</f>
        <v>1.2797266415094339</v>
      </c>
      <c r="D137" s="49"/>
      <c r="E137" s="39"/>
      <c r="F137" s="38"/>
      <c r="H137" s="42" t="s">
        <v>192</v>
      </c>
      <c r="I137" s="43"/>
      <c r="J137" s="48">
        <f>+VLOOKUP(H123,Flejes!B:H,7,)</f>
        <v>18.2104882386</v>
      </c>
      <c r="K137" s="49"/>
      <c r="L137" s="39"/>
      <c r="M137" s="38"/>
    </row>
    <row r="138" spans="1:13" x14ac:dyDescent="0.2">
      <c r="A138" s="44"/>
      <c r="B138" s="45"/>
      <c r="C138" s="50"/>
      <c r="D138" s="51"/>
      <c r="E138" s="39"/>
      <c r="F138" s="38"/>
      <c r="H138" s="44"/>
      <c r="I138" s="45"/>
      <c r="J138" s="50"/>
      <c r="K138" s="51"/>
      <c r="L138" s="39"/>
      <c r="M138" s="38"/>
    </row>
    <row r="139" spans="1:13" x14ac:dyDescent="0.2">
      <c r="A139" s="44"/>
      <c r="B139" s="45"/>
      <c r="C139" s="50"/>
      <c r="D139" s="51"/>
      <c r="E139" s="39"/>
      <c r="F139" s="38"/>
      <c r="H139" s="44"/>
      <c r="I139" s="45"/>
      <c r="J139" s="50"/>
      <c r="K139" s="51"/>
      <c r="L139" s="39"/>
      <c r="M139" s="38"/>
    </row>
    <row r="140" spans="1:13" x14ac:dyDescent="0.2">
      <c r="A140" s="44"/>
      <c r="B140" s="45"/>
      <c r="C140" s="50"/>
      <c r="D140" s="51"/>
      <c r="E140" s="39"/>
      <c r="F140" s="38"/>
      <c r="H140" s="44"/>
      <c r="I140" s="45"/>
      <c r="J140" s="50"/>
      <c r="K140" s="51"/>
      <c r="L140" s="39"/>
      <c r="M140" s="38"/>
    </row>
    <row r="141" spans="1:13" ht="13.5" thickBot="1" x14ac:dyDescent="0.25">
      <c r="A141" s="46"/>
      <c r="B141" s="47"/>
      <c r="C141" s="52"/>
      <c r="D141" s="53"/>
      <c r="E141" s="40"/>
      <c r="F141" s="41"/>
      <c r="H141" s="46"/>
      <c r="I141" s="47"/>
      <c r="J141" s="52"/>
      <c r="K141" s="53"/>
      <c r="L141" s="40"/>
      <c r="M141" s="41"/>
    </row>
    <row r="142" spans="1:13" ht="13.5" thickTop="1" x14ac:dyDescent="0.2"/>
  </sheetData>
  <mergeCells count="98">
    <mergeCell ref="H123:J130"/>
    <mergeCell ref="K123:K130"/>
    <mergeCell ref="L123:M130"/>
    <mergeCell ref="H131:K136"/>
    <mergeCell ref="L131:M141"/>
    <mergeCell ref="H137:I141"/>
    <mergeCell ref="J137:K141"/>
    <mergeCell ref="H83:J90"/>
    <mergeCell ref="K83:K90"/>
    <mergeCell ref="L83:M90"/>
    <mergeCell ref="H91:K96"/>
    <mergeCell ref="L91:M101"/>
    <mergeCell ref="H97:I101"/>
    <mergeCell ref="J97:K101"/>
    <mergeCell ref="H63:J70"/>
    <mergeCell ref="K63:K70"/>
    <mergeCell ref="L63:M70"/>
    <mergeCell ref="H71:K76"/>
    <mergeCell ref="L71:M81"/>
    <mergeCell ref="H77:I81"/>
    <mergeCell ref="J77:K81"/>
    <mergeCell ref="H43:J50"/>
    <mergeCell ref="K43:K50"/>
    <mergeCell ref="L43:M50"/>
    <mergeCell ref="H51:K56"/>
    <mergeCell ref="L51:M61"/>
    <mergeCell ref="H57:I61"/>
    <mergeCell ref="J57:K61"/>
    <mergeCell ref="H23:J30"/>
    <mergeCell ref="K23:K30"/>
    <mergeCell ref="L23:M30"/>
    <mergeCell ref="H31:K36"/>
    <mergeCell ref="L31:M41"/>
    <mergeCell ref="H37:I41"/>
    <mergeCell ref="J37:K41"/>
    <mergeCell ref="H3:J10"/>
    <mergeCell ref="K3:K10"/>
    <mergeCell ref="L3:M10"/>
    <mergeCell ref="H11:K16"/>
    <mergeCell ref="L11:M21"/>
    <mergeCell ref="H17:I21"/>
    <mergeCell ref="J17:K21"/>
    <mergeCell ref="H103:J110"/>
    <mergeCell ref="K103:K110"/>
    <mergeCell ref="L103:M110"/>
    <mergeCell ref="H111:K116"/>
    <mergeCell ref="L111:M121"/>
    <mergeCell ref="H117:I121"/>
    <mergeCell ref="J117:K121"/>
    <mergeCell ref="A123:C130"/>
    <mergeCell ref="D123:D130"/>
    <mergeCell ref="E123:F130"/>
    <mergeCell ref="A131:D136"/>
    <mergeCell ref="E131:F141"/>
    <mergeCell ref="A137:B141"/>
    <mergeCell ref="C137:D141"/>
    <mergeCell ref="A103:C110"/>
    <mergeCell ref="D103:D110"/>
    <mergeCell ref="E103:F110"/>
    <mergeCell ref="A111:D116"/>
    <mergeCell ref="E111:F121"/>
    <mergeCell ref="A117:B121"/>
    <mergeCell ref="C117:D121"/>
    <mergeCell ref="A83:C90"/>
    <mergeCell ref="D83:D90"/>
    <mergeCell ref="E83:F90"/>
    <mergeCell ref="A91:D96"/>
    <mergeCell ref="E91:F101"/>
    <mergeCell ref="A97:B101"/>
    <mergeCell ref="C97:D101"/>
    <mergeCell ref="E43:F50"/>
    <mergeCell ref="A57:B61"/>
    <mergeCell ref="C57:D61"/>
    <mergeCell ref="D63:D70"/>
    <mergeCell ref="E63:F70"/>
    <mergeCell ref="E51:F61"/>
    <mergeCell ref="A63:C70"/>
    <mergeCell ref="A71:D76"/>
    <mergeCell ref="E71:F81"/>
    <mergeCell ref="A77:B81"/>
    <mergeCell ref="C77:D81"/>
    <mergeCell ref="A11:D16"/>
    <mergeCell ref="E11:F21"/>
    <mergeCell ref="A31:D36"/>
    <mergeCell ref="E31:F41"/>
    <mergeCell ref="A43:C50"/>
    <mergeCell ref="A51:D56"/>
    <mergeCell ref="A17:B21"/>
    <mergeCell ref="D23:D30"/>
    <mergeCell ref="E23:F30"/>
    <mergeCell ref="A37:B41"/>
    <mergeCell ref="C37:D41"/>
    <mergeCell ref="D43:D50"/>
    <mergeCell ref="A3:C10"/>
    <mergeCell ref="A23:C30"/>
    <mergeCell ref="D3:D10"/>
    <mergeCell ref="E3:F10"/>
    <mergeCell ref="C17:D2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Flejes</vt:lpstr>
      <vt:lpstr>Carteles Sector Provisorio</vt:lpstr>
      <vt:lpstr>Carteles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Logistica1</dc:creator>
  <cp:lastModifiedBy>Pagos</cp:lastModifiedBy>
  <cp:lastPrinted>2024-09-17T18:16:50Z</cp:lastPrinted>
  <dcterms:created xsi:type="dcterms:W3CDTF">2024-07-18T13:37:35Z</dcterms:created>
  <dcterms:modified xsi:type="dcterms:W3CDTF">2024-09-27T16:21:53Z</dcterms:modified>
</cp:coreProperties>
</file>