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A  LOGISTICA\A4 Relevamiento INSUMOS Stock y OP\A1 Conteo INSUMOS y OC (Compra)\A7 Garage\"/>
    </mc:Choice>
  </mc:AlternateContent>
  <xr:revisionPtr revIDLastSave="0" documentId="13_ncr:1_{CA34EFF4-60D8-422C-89F4-AAB74BCFF6E5}" xr6:coauthVersionLast="47" xr6:coauthVersionMax="47" xr10:uidLastSave="{00000000-0000-0000-0000-000000000000}"/>
  <bookViews>
    <workbookView xWindow="-120" yWindow="-120" windowWidth="29040" windowHeight="15720" xr2:uid="{2F38161C-1106-4903-9EF2-93B8639521BA}"/>
  </bookViews>
  <sheets>
    <sheet name="Garage" sheetId="5" r:id="rId1"/>
    <sheet name="LK" sheetId="2" state="hidden" r:id="rId2"/>
    <sheet name="Hoja2" sheetId="6" state="hidden" r:id="rId3"/>
    <sheet name="Ch" sheetId="3" state="hidden" r:id="rId4"/>
    <sheet name="Importado" sheetId="4" state="hidden" r:id="rId5"/>
    <sheet name="Hoja1" sheetId="1" state="hidden" r:id="rId6"/>
  </sheets>
  <externalReferences>
    <externalReference r:id="rId7"/>
  </externalReferences>
  <definedNames>
    <definedName name="_xlnm._FilterDatabase" localSheetId="3" hidden="1">Ch!$A$4:$B$26</definedName>
    <definedName name="_xlnm._FilterDatabase" localSheetId="0" hidden="1">Garage!$A$2:$F$166</definedName>
    <definedName name="_xlnm._FilterDatabase" localSheetId="4" hidden="1">Importado!$A$4:$B$35</definedName>
    <definedName name="_xlnm._FilterDatabase" localSheetId="1" hidden="1">LK!$A$4:$C$82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6" i="5" l="1"/>
  <c r="D127" i="5"/>
  <c r="D135" i="5"/>
  <c r="D134" i="5"/>
  <c r="D133" i="5"/>
  <c r="D130" i="5"/>
  <c r="D129" i="5"/>
  <c r="D5" i="2" l="1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Logística3</author>
  </authors>
  <commentList>
    <comment ref="A27" authorId="0" shapeId="0" xr:uid="{1FC7D2E7-D8F7-4579-B4BF-6314BD566FB4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c/ Mango</t>
        </r>
      </text>
    </comment>
    <comment ref="A32" authorId="0" shapeId="0" xr:uid="{31420287-9273-42BC-976C-BE1344680E6E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c/ Mgo</t>
        </r>
      </text>
    </comment>
    <comment ref="A33" authorId="0" shapeId="0" xr:uid="{CAA237B7-A6CF-447A-9B74-2ADEC7803A60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c/ Mango</t>
        </r>
      </text>
    </comment>
    <comment ref="A41" authorId="0" shapeId="0" xr:uid="{0503E06E-1E8C-44F4-BEE8-7A44D77B78CF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Viejo</t>
        </r>
      </text>
    </comment>
    <comment ref="A45" authorId="0" shapeId="0" xr:uid="{35D40407-D704-440C-A00E-CD14E218C855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Mgo violeta</t>
        </r>
      </text>
    </comment>
    <comment ref="A94" authorId="0" shapeId="0" xr:uid="{57FBDFF5-A354-49BA-9018-DE935154F539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Cachas Blancas</t>
        </r>
      </text>
    </comment>
    <comment ref="A96" authorId="0" shapeId="0" xr:uid="{29281E9F-E35D-4733-80B0-8EE3D3233047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cachas blancas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Logística3</author>
  </authors>
  <commentList>
    <comment ref="F8" authorId="0" shapeId="0" xr:uid="{5C3C99E9-A568-46E6-A140-0779CF724D46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Viejo</t>
        </r>
      </text>
    </comment>
    <comment ref="F11" authorId="0" shapeId="0" xr:uid="{558C0676-48DB-419D-B504-FB26F1C677E8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Mgo violeta</t>
        </r>
      </text>
    </comment>
    <comment ref="A26" authorId="0" shapeId="0" xr:uid="{DCF59A44-F203-48C6-943B-680B8DC86E0D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c/ Mango</t>
        </r>
      </text>
    </comment>
    <comment ref="K30" authorId="0" shapeId="0" xr:uid="{9778ABB7-C3ED-4BBD-999A-E2C5AD7DA8AB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Cachas Blancas</t>
        </r>
      </text>
    </comment>
    <comment ref="A31" authorId="0" shapeId="0" xr:uid="{333FF291-B73B-44F6-AB3C-7DE0BD265FF4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c/ Mgo</t>
        </r>
      </text>
    </comment>
    <comment ref="A32" authorId="0" shapeId="0" xr:uid="{DB3F23F2-C090-4CBA-92F4-16D993CADD2E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c/ Mango</t>
        </r>
      </text>
    </comment>
    <comment ref="K32" authorId="0" shapeId="0" xr:uid="{CC0D4F11-F5CE-4B5A-AA02-76999A0F7A90}">
      <text>
        <r>
          <rPr>
            <b/>
            <sz val="9"/>
            <color indexed="81"/>
            <rFont val="Tahoma"/>
            <family val="2"/>
          </rPr>
          <t>Logística3:</t>
        </r>
        <r>
          <rPr>
            <sz val="9"/>
            <color indexed="81"/>
            <rFont val="Tahoma"/>
            <family val="2"/>
          </rPr>
          <t xml:space="preserve">
cachas blancas</t>
        </r>
      </text>
    </comment>
  </commentList>
</comments>
</file>

<file path=xl/sharedStrings.xml><?xml version="1.0" encoding="utf-8"?>
<sst xmlns="http://schemas.openxmlformats.org/spreadsheetml/2006/main" count="808" uniqueCount="373">
  <si>
    <t>Limpieza Baño</t>
  </si>
  <si>
    <t>Fecha</t>
  </si>
  <si>
    <t>Firma</t>
  </si>
  <si>
    <t>Encargado</t>
  </si>
  <si>
    <t>Un</t>
  </si>
  <si>
    <t>Cod. Art.</t>
  </si>
  <si>
    <t>Loekemeyer</t>
  </si>
  <si>
    <t>026</t>
  </si>
  <si>
    <t>031</t>
  </si>
  <si>
    <t>059</t>
  </si>
  <si>
    <t>066</t>
  </si>
  <si>
    <t>Chef</t>
  </si>
  <si>
    <t>099</t>
  </si>
  <si>
    <t>034</t>
  </si>
  <si>
    <t>439E</t>
  </si>
  <si>
    <t>503E</t>
  </si>
  <si>
    <t>035E</t>
  </si>
  <si>
    <t>361E</t>
  </si>
  <si>
    <t>367E</t>
  </si>
  <si>
    <t>440E</t>
  </si>
  <si>
    <t>521E</t>
  </si>
  <si>
    <t>538E</t>
  </si>
  <si>
    <t>541E</t>
  </si>
  <si>
    <t>574E</t>
  </si>
  <si>
    <t>585E</t>
  </si>
  <si>
    <t>598E</t>
  </si>
  <si>
    <t>601E</t>
  </si>
  <si>
    <t>606E</t>
  </si>
  <si>
    <t>607E</t>
  </si>
  <si>
    <t>636E</t>
  </si>
  <si>
    <t>702E</t>
  </si>
  <si>
    <t>712E</t>
  </si>
  <si>
    <t>809E</t>
  </si>
  <si>
    <t>811E</t>
  </si>
  <si>
    <t>812E</t>
  </si>
  <si>
    <t>814E</t>
  </si>
  <si>
    <t>816E</t>
  </si>
  <si>
    <t>817E</t>
  </si>
  <si>
    <t>819E</t>
  </si>
  <si>
    <t>870E</t>
  </si>
  <si>
    <t>935E</t>
  </si>
  <si>
    <t>952E</t>
  </si>
  <si>
    <t>953E</t>
  </si>
  <si>
    <t>955E</t>
  </si>
  <si>
    <t>960E</t>
  </si>
  <si>
    <t>Importado</t>
  </si>
  <si>
    <t>Salidas</t>
  </si>
  <si>
    <t>713 Krea</t>
  </si>
  <si>
    <t>731 Krea</t>
  </si>
  <si>
    <t>501 Beq</t>
  </si>
  <si>
    <t>501 B</t>
  </si>
  <si>
    <t>Cod</t>
  </si>
  <si>
    <t>Descripcion</t>
  </si>
  <si>
    <t>Colador N°8</t>
  </si>
  <si>
    <t>027</t>
  </si>
  <si>
    <t>Colador N°10</t>
  </si>
  <si>
    <t>029</t>
  </si>
  <si>
    <t>Colador N°16</t>
  </si>
  <si>
    <t>030</t>
  </si>
  <si>
    <t>Colador N°20</t>
  </si>
  <si>
    <t>Filtro De Cafe</t>
  </si>
  <si>
    <t>Filtro De Cafe Gastronomico</t>
  </si>
  <si>
    <t>057</t>
  </si>
  <si>
    <t>Destapa Corona x1 Cromado</t>
  </si>
  <si>
    <t>058</t>
  </si>
  <si>
    <t>Cierra Bolsa x2</t>
  </si>
  <si>
    <t>Cuchillito De Untar Plast x2</t>
  </si>
  <si>
    <t>Ñoquera Madera mango redondo</t>
  </si>
  <si>
    <t>Cucharita 13cm Azucarera Madera</t>
  </si>
  <si>
    <t>Cuchara Madera 40 Cm</t>
  </si>
  <si>
    <t>Cuchara Madera 45 Cm</t>
  </si>
  <si>
    <t>Bate Bife Madera</t>
  </si>
  <si>
    <t>Cuchara Madera 25 Cm</t>
  </si>
  <si>
    <t>Cuchara Madera 30 Cm</t>
  </si>
  <si>
    <t>Cuchara Madera 35 Cm</t>
  </si>
  <si>
    <t>Ñoquera Madera</t>
  </si>
  <si>
    <t>Palo de amasar 30cm</t>
  </si>
  <si>
    <t>Palo de amasar 40cm</t>
  </si>
  <si>
    <t>Palo de amasar 50cm</t>
  </si>
  <si>
    <t>Prensa Matambre</t>
  </si>
  <si>
    <t>Cuchara Nylon Reforzada  Antimancha/hongo 33 Cm</t>
  </si>
  <si>
    <t>Manga Repostera + 4 Boquillas</t>
  </si>
  <si>
    <t>Muñeco Silicona Antiderrame</t>
  </si>
  <si>
    <t>Cuchillo De Torta Ac. Inox</t>
  </si>
  <si>
    <t>Pala De Torta Acero Inox</t>
  </si>
  <si>
    <t>Pisa Papas Acero Inox</t>
  </si>
  <si>
    <t>Rallador Cilindrico</t>
  </si>
  <si>
    <t>Tenedor Copetin</t>
  </si>
  <si>
    <t>Rallador Cilindrico Chico</t>
  </si>
  <si>
    <t>Pinche De Choclo X 4 Unid</t>
  </si>
  <si>
    <t>Espatula Repostera Plast 1 Pza</t>
  </si>
  <si>
    <t>Corta Torta Plastica 3 Usos</t>
  </si>
  <si>
    <t>Espatula Calada Ac. Inox.</t>
  </si>
  <si>
    <t>Espumadera Ac.Inox.</t>
  </si>
  <si>
    <t>Cuchara Salsera Inox</t>
  </si>
  <si>
    <t>Cuchara Calada Ac.Inox.</t>
  </si>
  <si>
    <t>Cucharon Ac.Inox.</t>
  </si>
  <si>
    <t>Pinche Ac.Inox.</t>
  </si>
  <si>
    <t>Espatula Lisa Ac.Inox.</t>
  </si>
  <si>
    <t>Cuchara Spaghetti Ac. Inox</t>
  </si>
  <si>
    <t>Pisa Papas Nylon con Mgo</t>
  </si>
  <si>
    <t>Espumadera Nylon con Mgo</t>
  </si>
  <si>
    <t>Cuchara Calada Nylon 1 Pza</t>
  </si>
  <si>
    <t>Cuchara Pulpo Nylon 1 Pza</t>
  </si>
  <si>
    <t>Cucharon Nylon 1 Pza</t>
  </si>
  <si>
    <t>Espatula Calada Nylon 1 Pza</t>
  </si>
  <si>
    <t>Espatula Lisa Nylon 1 Pza</t>
  </si>
  <si>
    <t>Descorazonador De Manzana</t>
  </si>
  <si>
    <t>Enrulador De Manteca</t>
  </si>
  <si>
    <t>Llavero Destapador Pie Cromado</t>
  </si>
  <si>
    <t>Llavero Destapador Pie Color</t>
  </si>
  <si>
    <t>Abrelata Uña Pie Color</t>
  </si>
  <si>
    <t>Abrelatas A Manija</t>
  </si>
  <si>
    <t>Abrelatas Mariposa Cromado</t>
  </si>
  <si>
    <t>Afila Cuchillos</t>
  </si>
  <si>
    <t>Pelador Mgo Plastico</t>
  </si>
  <si>
    <t>Abrelatas Uña Rojo</t>
  </si>
  <si>
    <t>Rompenueces</t>
  </si>
  <si>
    <t>Sacafuentes Articulado</t>
  </si>
  <si>
    <t>Paleta Batidora</t>
  </si>
  <si>
    <t>Abrelata Uña Cromado</t>
  </si>
  <si>
    <t>Abrelatas Uña 3 En 1</t>
  </si>
  <si>
    <t>Abrelatas Mariposa Capuchon Rojo</t>
  </si>
  <si>
    <t>Pelador Mgo Metalico</t>
  </si>
  <si>
    <t>Batidor Resorte</t>
  </si>
  <si>
    <t>Destapa Corona x1 Cromado Suelto</t>
  </si>
  <si>
    <t>Sacafuente Gastronomico</t>
  </si>
  <si>
    <t>Cuchillo Untar Mgo Madera x2</t>
  </si>
  <si>
    <t>Sacacorcho Tipo Mozo Cromado</t>
  </si>
  <si>
    <t>Sacacorcho Combinado Cromado</t>
  </si>
  <si>
    <t>Sacacorcho Doble Aleta  Metalico Cuerpo en Nylon Reforzado</t>
  </si>
  <si>
    <t>Sacacorcho Tipo Mozo Color</t>
  </si>
  <si>
    <t>Sacacorcho Combinado Color</t>
  </si>
  <si>
    <t>Cuchara De Helado Oferta!!</t>
  </si>
  <si>
    <t>Cepillo Lavavajilla</t>
  </si>
  <si>
    <t>Cepillo Limpia Vaso y Mamadera</t>
  </si>
  <si>
    <t>Ahueca Papas</t>
  </si>
  <si>
    <t>Ahueca Frutas</t>
  </si>
  <si>
    <t>Batidor Pera Alambre</t>
  </si>
  <si>
    <t>Corta Queso Blandos Mango Loeke</t>
  </si>
  <si>
    <t>Corta Torta</t>
  </si>
  <si>
    <t>Pincel Pastelero</t>
  </si>
  <si>
    <t>Filtro Para Bombillas</t>
  </si>
  <si>
    <t>Cuchillo De Untar Mgo Plast x2</t>
  </si>
  <si>
    <t>Cucharita Matera</t>
  </si>
  <si>
    <t>Cepillo Limpia Bombilla</t>
  </si>
  <si>
    <t>Sacayerba</t>
  </si>
  <si>
    <t>Bombilla Resorte Chata</t>
  </si>
  <si>
    <t>Bombilla Resorte Tradicional</t>
  </si>
  <si>
    <t>Corta Ravioles c/Mango Loeke</t>
  </si>
  <si>
    <t>Pinza Corta Alambre</t>
  </si>
  <si>
    <t>Corta Pizza Mgo Loeke  6cm</t>
  </si>
  <si>
    <t xml:space="preserve">Corta Pizza Gastro. Mgo Madera Ø 8cm </t>
  </si>
  <si>
    <t>Pinza De Hielo</t>
  </si>
  <si>
    <t>Pelanaranjas x 1 Display</t>
  </si>
  <si>
    <t>Pala De Canelones</t>
  </si>
  <si>
    <t>Bombilla Colores Metalizados</t>
  </si>
  <si>
    <t>Tapon De Vino/Cerveza x1 Negro</t>
  </si>
  <si>
    <t>Tapon De Vino/Cerveza x1 Prem</t>
  </si>
  <si>
    <t>Tapon De Vino/Cerveza x1 Color</t>
  </si>
  <si>
    <t>Sacacorcho Mango Ergonomico Plastico                           NUEVO!!!     Oferta Lanzamiento!!!!</t>
  </si>
  <si>
    <t>Pelapapas Mgo Plastico Ergonomico</t>
  </si>
  <si>
    <t>Pelador Metalico Cuchilla Corte Laser</t>
  </si>
  <si>
    <t>Tostador</t>
  </si>
  <si>
    <t>Tostador Enlozado</t>
  </si>
  <si>
    <t>Pinza De Fideos Mgo Plastico</t>
  </si>
  <si>
    <t>Pinza De Fiambre Mgo Plastico</t>
  </si>
  <si>
    <t>Pinza De Ensalada Mgo Plastico</t>
  </si>
  <si>
    <t>Bombilla Autolimpiante Inox</t>
  </si>
  <si>
    <t>Bomb Ac. Inox Coco de Nylon</t>
  </si>
  <si>
    <t>Exprimidor De Citricos</t>
  </si>
  <si>
    <t>328E</t>
  </si>
  <si>
    <t>Rallador Plano 3 Usos Ac Inox</t>
  </si>
  <si>
    <t>360E</t>
  </si>
  <si>
    <t>Rallador 4 Lados A/L Mgo Plast</t>
  </si>
  <si>
    <t>Rallador 4 Lados Ac Inox (20 Cm)</t>
  </si>
  <si>
    <t>362E</t>
  </si>
  <si>
    <t>Rallador 4 Lados Ac Inox (23 Cm)</t>
  </si>
  <si>
    <t>363E</t>
  </si>
  <si>
    <t>Rallador Gourmet Grano Fino</t>
  </si>
  <si>
    <t>364E</t>
  </si>
  <si>
    <t>Rallador Gourmet Grano Medio</t>
  </si>
  <si>
    <t>366E</t>
  </si>
  <si>
    <t>Rallador Conico</t>
  </si>
  <si>
    <t>Rallador Hexagonal</t>
  </si>
  <si>
    <t>368E</t>
  </si>
  <si>
    <t>Rallador Hexagonal A/I Con Bas</t>
  </si>
  <si>
    <t>369E</t>
  </si>
  <si>
    <t>Rallador 4 Lados A/L Mgo C/Bas</t>
  </si>
  <si>
    <t>478E</t>
  </si>
  <si>
    <t>Sac. Doble Impulso Pintado</t>
  </si>
  <si>
    <t>502E</t>
  </si>
  <si>
    <t>Abrelata Mariposa Rojo</t>
  </si>
  <si>
    <t>Abrelata Doble Engranaje</t>
  </si>
  <si>
    <t>Sacacorcho Cabo De Madera</t>
  </si>
  <si>
    <t>529E</t>
  </si>
  <si>
    <t>Sac. Doble Impulso Acero</t>
  </si>
  <si>
    <t>Corta Queso Blandos Mango Alambre</t>
  </si>
  <si>
    <t>580E</t>
  </si>
  <si>
    <t>Mini Batidor Pera x1</t>
  </si>
  <si>
    <t>Sacacorcho Doble Aleta Fundicion</t>
  </si>
  <si>
    <t xml:space="preserve">Corta Pizza Mgo Ergonomico Ø 6cm </t>
  </si>
  <si>
    <t>810E</t>
  </si>
  <si>
    <t>Corta Queso Semiduro Ac Inox</t>
  </si>
  <si>
    <t xml:space="preserve">Corta Pizza Mgo Ergonomico Ø 9cm </t>
  </si>
  <si>
    <t>Corta Huevo Luxe Marco Plastico</t>
  </si>
  <si>
    <t>Mariposa Manopla Magnetica</t>
  </si>
  <si>
    <t>Pelador V Con Mgo Ergonomico</t>
  </si>
  <si>
    <t>Rallador C/Mgo Ergonomico</t>
  </si>
  <si>
    <t>Sacacorcho "Fish" Grande</t>
  </si>
  <si>
    <t xml:space="preserve">Abrelatas Super Mariposa                         </t>
  </si>
  <si>
    <r>
      <t xml:space="preserve">Abrelatas Mariposa Mango Goma </t>
    </r>
    <r>
      <rPr>
        <b/>
        <sz val="12"/>
        <color rgb="FFFF0000"/>
        <rFont val="Calibri"/>
        <family val="2"/>
        <scheme val="minor"/>
      </rPr>
      <t>OFERTA!!!</t>
    </r>
  </si>
  <si>
    <t>067</t>
  </si>
  <si>
    <t>Sacacorcho Tipo Mozo S/Marca Suelto</t>
  </si>
  <si>
    <r>
      <t xml:space="preserve">Espatula Calada Nylon                        Mango Goma  </t>
    </r>
    <r>
      <rPr>
        <b/>
        <sz val="12"/>
        <color rgb="FFFF0000"/>
        <rFont val="Calibri"/>
        <family val="2"/>
        <scheme val="minor"/>
      </rPr>
      <t>OFERTA!!!</t>
    </r>
  </si>
  <si>
    <r>
      <t xml:space="preserve">Cucharon Nylon                                    Mango Goma  </t>
    </r>
    <r>
      <rPr>
        <b/>
        <sz val="12"/>
        <color rgb="FFFF0000"/>
        <rFont val="Calibri"/>
        <family val="2"/>
        <scheme val="minor"/>
      </rPr>
      <t>OFERTA!!!</t>
    </r>
  </si>
  <si>
    <r>
      <t xml:space="preserve">Cuchara de Fideos Nylon                   Mango Goma </t>
    </r>
    <r>
      <rPr>
        <b/>
        <sz val="12"/>
        <color rgb="FFFF0000"/>
        <rFont val="Calibri"/>
        <family val="2"/>
        <scheme val="minor"/>
      </rPr>
      <t xml:space="preserve"> OFERTA!!!</t>
    </r>
  </si>
  <si>
    <t>Pizzera Madera 35 cm</t>
  </si>
  <si>
    <t>Tabla Pino 22*40</t>
  </si>
  <si>
    <t xml:space="preserve">Bombilla Coco Hexagonal </t>
  </si>
  <si>
    <t xml:space="preserve">Pinza Grande Alambre     </t>
  </si>
  <si>
    <t xml:space="preserve">Pinza articulada de Madera Ensalada/Sushi </t>
  </si>
  <si>
    <t>Batidor Mini</t>
  </si>
  <si>
    <t>Descripción</t>
  </si>
  <si>
    <t>Espatula Calada Nylon</t>
  </si>
  <si>
    <t xml:space="preserve">Cuchara Nylon </t>
  </si>
  <si>
    <t>Abrelata a Manija Loke</t>
  </si>
  <si>
    <t>Cuchara Nylon</t>
  </si>
  <si>
    <t>Sacac Tipo Mozo Color</t>
  </si>
  <si>
    <t>Sacac Mango Ergo Plast</t>
  </si>
  <si>
    <t>Filtro  Cafe</t>
  </si>
  <si>
    <t>Cuchillito  Untar Plast x2</t>
  </si>
  <si>
    <t>Cuchillo  Torta Ac. Inox</t>
  </si>
  <si>
    <t>Pala  Torta Acero Inox</t>
  </si>
  <si>
    <t>scorazonador  Manzana</t>
  </si>
  <si>
    <t>Enrulador  Manteca</t>
  </si>
  <si>
    <t>Cuchara  Fios Nylon</t>
  </si>
  <si>
    <t>Llavero stapador Pie Color</t>
  </si>
  <si>
    <t>Cuchillo  Untar Mgo Plast x2</t>
  </si>
  <si>
    <t>Pinza  Hielo</t>
  </si>
  <si>
    <t>Pala  Canelones</t>
  </si>
  <si>
    <t>Pinza  Fios Mgo Plast</t>
  </si>
  <si>
    <t>Pinza  Fiambre Mgo Plast</t>
  </si>
  <si>
    <t>Pinza  Ensalada Mgo Plast</t>
  </si>
  <si>
    <t>Exprimidor  Citricos</t>
  </si>
  <si>
    <t>Tapon  Vino/Cerv x1 Negro</t>
  </si>
  <si>
    <t>Tapon  Vino/Cerv x1 Prem</t>
  </si>
  <si>
    <t>Tapon  Vino/Cerv x1 Color</t>
  </si>
  <si>
    <t xml:space="preserve">Pinza Gran Alamb     </t>
  </si>
  <si>
    <t>C.Q. Blandos Mango Alamb</t>
  </si>
  <si>
    <t>Pel Mgo Plast</t>
  </si>
  <si>
    <t>Pelador Mgo Plast Ergo</t>
  </si>
  <si>
    <t>Pel Mgo Metal</t>
  </si>
  <si>
    <t>Sacac Doble Aleta  Metal</t>
  </si>
  <si>
    <t>Pel Metal  Laser</t>
  </si>
  <si>
    <t>Filtro Para Bombs</t>
  </si>
  <si>
    <t>Cepillo Limpia Bomb</t>
  </si>
  <si>
    <t>Bomb Resorte Chata</t>
  </si>
  <si>
    <t>Bomb Colores Metalizados</t>
  </si>
  <si>
    <t>Bomb Autolimpiante Inox</t>
  </si>
  <si>
    <t>Bomb Resorte Trad</t>
  </si>
  <si>
    <t>Cuchara  Helado</t>
  </si>
  <si>
    <t>Abrel A Manija</t>
  </si>
  <si>
    <t>Abrel Uña 3 En 1</t>
  </si>
  <si>
    <t>Sacaf Artic</t>
  </si>
  <si>
    <t>Abrel Uña Pie Color</t>
  </si>
  <si>
    <t xml:space="preserve">Abrel Marip </t>
  </si>
  <si>
    <t>Abrel Uña Crom</t>
  </si>
  <si>
    <t>Sacac Tipo Mozo Crom</t>
  </si>
  <si>
    <t>Sacac Combinado Crom</t>
  </si>
  <si>
    <t>Cuchara Mra 40 Cm</t>
  </si>
  <si>
    <t>Cuchara Mra 45 Cm</t>
  </si>
  <si>
    <t>Cuchara Mra 25 Cm</t>
  </si>
  <si>
    <t>Cuchara Mra 30 Cm</t>
  </si>
  <si>
    <t>Cuchara Mra 35 Cm</t>
  </si>
  <si>
    <t>Ñoquera Mra</t>
  </si>
  <si>
    <t>Cuchillo Untar Mgo Mra x2</t>
  </si>
  <si>
    <t>Sacac Cabo  Mra</t>
  </si>
  <si>
    <t>Cepillo Limpia Vaso y MaMra</t>
  </si>
  <si>
    <t xml:space="preserve">Corta Pizza Gastro. Mgo Mra Ø 8cm </t>
  </si>
  <si>
    <t>Pinza Artic Mra</t>
  </si>
  <si>
    <t>Cucharita 13cm Azuc Mra</t>
  </si>
  <si>
    <t>Filtro  Cafe Gastr</t>
  </si>
  <si>
    <t>Sacafuente Gastr</t>
  </si>
  <si>
    <t>Abrel A Manija Loke</t>
  </si>
  <si>
    <t>Talle</t>
  </si>
  <si>
    <t>Abr Marip Loke</t>
  </si>
  <si>
    <t>Poly</t>
  </si>
  <si>
    <t>Log/ Fabr</t>
  </si>
  <si>
    <t>Pintos</t>
  </si>
  <si>
    <t>Carlos E</t>
  </si>
  <si>
    <t>German</t>
  </si>
  <si>
    <t>Carriero</t>
  </si>
  <si>
    <t>Garcia</t>
  </si>
  <si>
    <t>INACTIVO</t>
  </si>
  <si>
    <t>Oscar</t>
  </si>
  <si>
    <t>Lucho</t>
  </si>
  <si>
    <t>Manfer</t>
  </si>
  <si>
    <t>Sac Zincado Loke</t>
  </si>
  <si>
    <t xml:space="preserve">Garcia </t>
  </si>
  <si>
    <t>Linea</t>
  </si>
  <si>
    <t>LK</t>
  </si>
  <si>
    <t>Batidor Pera</t>
  </si>
  <si>
    <t>Pinza Chica</t>
  </si>
  <si>
    <t>Bate Bife</t>
  </si>
  <si>
    <t>Maspoli</t>
  </si>
  <si>
    <t>Ñoquera Fresada</t>
  </si>
  <si>
    <t>Imp</t>
  </si>
  <si>
    <t>932E</t>
  </si>
  <si>
    <t>933E</t>
  </si>
  <si>
    <t>934E</t>
  </si>
  <si>
    <t>936E</t>
  </si>
  <si>
    <t>937E</t>
  </si>
  <si>
    <t>102E</t>
  </si>
  <si>
    <t>582E</t>
  </si>
  <si>
    <t>583E</t>
  </si>
  <si>
    <t>584E</t>
  </si>
  <si>
    <t>Pel Cuchilla Laser Loke</t>
  </si>
  <si>
    <t>Pel Mgo Met Loke</t>
  </si>
  <si>
    <t>Abrelata Mariposa</t>
  </si>
  <si>
    <t xml:space="preserve">Sacacorcho Doble Aleta   </t>
  </si>
  <si>
    <t>Pisa Papas Nylon Con Mgo</t>
  </si>
  <si>
    <t>Cuchillo De Untar Mgo Plast X2</t>
  </si>
  <si>
    <t>Cernidor de Harina</t>
  </si>
  <si>
    <t>Abr Mariposa Loke</t>
  </si>
  <si>
    <t>Rallador 4 Lados Ac Inox(</t>
  </si>
  <si>
    <t>Rallador Gurmet Grano Fin</t>
  </si>
  <si>
    <t>Rallador Hexagonal Ac Ino</t>
  </si>
  <si>
    <t>Colador Pasta</t>
  </si>
  <si>
    <t>Colador Extensible</t>
  </si>
  <si>
    <t>Abrelatas Doble Engranaje</t>
  </si>
  <si>
    <t>Sacacorcho Azul</t>
  </si>
  <si>
    <t>Corta Queso</t>
  </si>
  <si>
    <t>Salero 90ml</t>
  </si>
  <si>
    <t>Especiero Bamboo 120ml</t>
  </si>
  <si>
    <t>Aceitera 400 Ml-</t>
  </si>
  <si>
    <t>Sac.Doble Aleta Fundicion</t>
  </si>
  <si>
    <t>Pelador Negro Dentado</t>
  </si>
  <si>
    <t>Pinza Puntera Siliciona</t>
  </si>
  <si>
    <t xml:space="preserve">Pinza 30 cm Ac Inox c/ Silic </t>
  </si>
  <si>
    <t>Pinza Hielo 15 cm</t>
  </si>
  <si>
    <t>Pelador Mgo Plastico Econ</t>
  </si>
  <si>
    <t>Corta Pizza C/Mgo Ergonom</t>
  </si>
  <si>
    <t xml:space="preserve">Pelador "V" Horizontal   </t>
  </si>
  <si>
    <t>Mandolina Rallador</t>
  </si>
  <si>
    <t>Cuchara Nylon Mgo Madera</t>
  </si>
  <si>
    <t>Cucharon Nylon Mgo Madera</t>
  </si>
  <si>
    <t>Cuchara Fideos Nylon Mgo Mad</t>
  </si>
  <si>
    <t>Espatula Calada Nylon Mgo Madera</t>
  </si>
  <si>
    <t>Espumadera Nylon  Mgo Madera</t>
  </si>
  <si>
    <t>Batidor Pera  Nylon  Mgo Madera</t>
  </si>
  <si>
    <t>Cuchara Silicona Mgo Bambú</t>
  </si>
  <si>
    <t>Cucharon Silicona Mgo Bambú</t>
  </si>
  <si>
    <t xml:space="preserve"> Espatula Silicona Mgo Bambú</t>
  </si>
  <si>
    <t>Pincel Silicona 52gms</t>
  </si>
  <si>
    <t>Sac Doble Impulso Loke</t>
  </si>
  <si>
    <t>942E</t>
  </si>
  <si>
    <t>943E</t>
  </si>
  <si>
    <t>944E</t>
  </si>
  <si>
    <t>945E</t>
  </si>
  <si>
    <t>948E</t>
  </si>
  <si>
    <t>Cuchara Ac Inox Mgo Madera</t>
  </si>
  <si>
    <t>Cucharon Ac Inox Mgo Madera</t>
  </si>
  <si>
    <t>Cuchara Fideos Ac Inox Mgo Madera</t>
  </si>
  <si>
    <t xml:space="preserve"> Espatula Calada Ac Inox Mgo Madera</t>
  </si>
  <si>
    <t>Espumadera Ac Inox Mgo Madera</t>
  </si>
  <si>
    <t>TN</t>
  </si>
  <si>
    <t>Telam</t>
  </si>
  <si>
    <t>Rafael</t>
  </si>
  <si>
    <t xml:space="preserve">Rafael </t>
  </si>
  <si>
    <t>Martin</t>
  </si>
  <si>
    <t>Abrel Super Marip</t>
  </si>
  <si>
    <t>C.Q. Blandos Mango Blanco Alamb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</si>
</sst>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59">
    <xf numFmtId="0" fontId="0" fillId="0" borderId="0" xfId="0"/>
    <xf numFmtId="0" fontId="0" fillId="0" borderId="1" xfId="0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0" xfId="0" applyFont="1"/>
    <xf numFmtId="164" fontId="11" fillId="0" borderId="0" xfId="1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12" fillId="0" borderId="0" xfId="1" quotePrefix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4" fillId="0" borderId="0" xfId="0" applyFont="1"/>
    <xf numFmtId="0" fontId="15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4" fillId="3" borderId="0" xfId="0" applyFont="1" applyFill="1"/>
    <xf numFmtId="0" fontId="14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eke-svr\Documentos%20Compartidos\AA%20%20LOGISTICA\A2%20Control%20PARTES%20OP%20Tall%20y%20Prov%20Serv\A3%20OC%20Art%20Term\A1%20OC%20%20VACIO%20Art%20Term\Pedidos%20Talleristas-Prov%20Art.%20Term%20VAC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rto Cuchillas"/>
      <sheetName val="Pegar Stock Integrado Loeke"/>
      <sheetName val="Stock x Dep Loeke"/>
      <sheetName val="Pegar Stock Integrado Chef"/>
      <sheetName val="Stock x Dep Chef"/>
      <sheetName val="OCUPACION VIRGILIO"/>
      <sheetName val="Eduardo"/>
      <sheetName val="Racks"/>
      <sheetName val="Art a Env"/>
      <sheetName val="Envasado"/>
      <sheetName val="Tierra Nativa"/>
      <sheetName val="Carlos E"/>
      <sheetName val="Oscar"/>
      <sheetName val="Carlos E."/>
      <sheetName val="Martin C."/>
      <sheetName val="Fabrica Extra"/>
      <sheetName val="Lucho"/>
      <sheetName val="Ruben"/>
      <sheetName val="Poly"/>
      <sheetName val="Pedernera"/>
      <sheetName val="Garcia"/>
      <sheetName val="German"/>
      <sheetName val="ManFer"/>
      <sheetName val="Pintos"/>
      <sheetName val="Maspoli"/>
      <sheetName val="Pettofrezza"/>
      <sheetName val="ThePlast"/>
      <sheetName val="Joe"/>
      <sheetName val="Juan"/>
      <sheetName val="Jose Miguel"/>
      <sheetName val="Carriero"/>
      <sheetName val="Paternal Goma"/>
      <sheetName val="Lopez Jose"/>
      <sheetName val="Kuffo"/>
      <sheetName val="Melinox"/>
      <sheetName val="Colodis - Ralladores"/>
      <sheetName val="Roster - Cepillos"/>
      <sheetName val="Poly Extra"/>
      <sheetName val="Angela"/>
      <sheetName val="JuanG"/>
      <sheetName val="Redu - Cepillos"/>
      <sheetName val="Equivalencias Imp-Nacional"/>
      <sheetName val="Est Madre LK 15-01-26"/>
      <sheetName val="Est Madre Chef 15-01-26"/>
      <sheetName val="Conversor Art p-Env"/>
      <sheetName val="Alumchap-fundicion"/>
      <sheetName val="Manolo-inyeccion"/>
      <sheetName val="Pintos-madera"/>
      <sheetName val="Bombillas del Cimarrón"/>
    </sheetNames>
    <sheetDataSet>
      <sheetData sheetId="0"/>
      <sheetData sheetId="1"/>
      <sheetData sheetId="2"/>
      <sheetData sheetId="3"/>
      <sheetData sheetId="4"/>
      <sheetData sheetId="5">
        <row r="1">
          <cell r="B1"/>
          <cell r="C1"/>
          <cell r="D1"/>
          <cell r="E1"/>
          <cell r="F1"/>
          <cell r="G1"/>
          <cell r="H1"/>
          <cell r="I1"/>
          <cell r="J1"/>
        </row>
        <row r="2">
          <cell r="B2" t="str">
            <v>Cod.</v>
          </cell>
          <cell r="C2" t="str">
            <v>Cod. Isis</v>
          </cell>
          <cell r="D2" t="str">
            <v>Descripcion</v>
          </cell>
          <cell r="E2" t="str">
            <v>Stock Max Cajas</v>
          </cell>
          <cell r="F2" t="str">
            <v>Pedidos</v>
          </cell>
          <cell r="G2" t="str">
            <v>Stock Real</v>
          </cell>
          <cell r="H2" t="str">
            <v>Falta</v>
          </cell>
          <cell r="I2" t="str">
            <v>% Ocup</v>
          </cell>
          <cell r="J2" t="str">
            <v>Tallerista ó
Proveedor</v>
          </cell>
        </row>
        <row r="3">
          <cell r="B3" t="str">
            <v>607E</v>
          </cell>
          <cell r="C3" t="str">
            <v>607E</v>
          </cell>
          <cell r="D3" t="str">
            <v>Pinza Hielo 15 cm</v>
          </cell>
          <cell r="E3">
            <v>66.666666666666671</v>
          </cell>
          <cell r="F3">
            <v>0</v>
          </cell>
          <cell r="G3">
            <v>0</v>
          </cell>
          <cell r="H3">
            <v>66.666666666666671</v>
          </cell>
          <cell r="I3">
            <v>0</v>
          </cell>
          <cell r="J3" t="str">
            <v>Tierra Nativa</v>
          </cell>
        </row>
        <row r="4">
          <cell r="B4" t="str">
            <v>769</v>
          </cell>
          <cell r="C4">
            <v>769</v>
          </cell>
          <cell r="D4" t="str">
            <v>Bombilla Autolimpiante Inox</v>
          </cell>
          <cell r="E4">
            <v>15</v>
          </cell>
          <cell r="F4">
            <v>0</v>
          </cell>
          <cell r="G4">
            <v>0</v>
          </cell>
          <cell r="H4">
            <v>15</v>
          </cell>
          <cell r="I4">
            <v>0</v>
          </cell>
          <cell r="J4" t="str">
            <v>Oscar</v>
          </cell>
        </row>
        <row r="5">
          <cell r="B5" t="str">
            <v>367E</v>
          </cell>
          <cell r="C5" t="str">
            <v>367E</v>
          </cell>
          <cell r="D5" t="str">
            <v>Rallador Hexagonal Ac Ino</v>
          </cell>
          <cell r="E5">
            <v>60</v>
          </cell>
          <cell r="F5">
            <v>0</v>
          </cell>
          <cell r="G5">
            <v>0</v>
          </cell>
          <cell r="H5">
            <v>60</v>
          </cell>
          <cell r="I5">
            <v>0</v>
          </cell>
          <cell r="J5" t="str">
            <v>Racks</v>
          </cell>
        </row>
        <row r="6">
          <cell r="B6" t="str">
            <v>801</v>
          </cell>
          <cell r="C6">
            <v>801</v>
          </cell>
          <cell r="D6" t="str">
            <v xml:space="preserve">Pinza Grande Alambre </v>
          </cell>
          <cell r="E6">
            <v>4.5</v>
          </cell>
          <cell r="F6">
            <v>0</v>
          </cell>
          <cell r="G6">
            <v>0</v>
          </cell>
          <cell r="H6">
            <v>4.5</v>
          </cell>
          <cell r="I6">
            <v>0</v>
          </cell>
          <cell r="J6" t="str">
            <v>Pedernera</v>
          </cell>
        </row>
        <row r="7">
          <cell r="B7" t="str">
            <v>836</v>
          </cell>
          <cell r="C7">
            <v>836</v>
          </cell>
          <cell r="D7" t="str">
            <v>Filtro De Café 10Cm</v>
          </cell>
          <cell r="E7">
            <v>150</v>
          </cell>
          <cell r="F7">
            <v>0</v>
          </cell>
          <cell r="G7">
            <v>0</v>
          </cell>
          <cell r="H7">
            <v>150</v>
          </cell>
          <cell r="I7">
            <v>0</v>
          </cell>
          <cell r="J7" t="str">
            <v>Poly</v>
          </cell>
        </row>
        <row r="8">
          <cell r="B8" t="str">
            <v>590E</v>
          </cell>
          <cell r="C8" t="str">
            <v>590E</v>
          </cell>
          <cell r="D8" t="str">
            <v>Pincel Silicona 11 Gms</v>
          </cell>
          <cell r="E8">
            <v>75</v>
          </cell>
          <cell r="F8">
            <v>0</v>
          </cell>
          <cell r="G8">
            <v>0</v>
          </cell>
          <cell r="H8">
            <v>75</v>
          </cell>
          <cell r="I8">
            <v>0</v>
          </cell>
          <cell r="J8" t="str">
            <v>Garcia</v>
          </cell>
        </row>
        <row r="9">
          <cell r="B9" t="str">
            <v>582E</v>
          </cell>
          <cell r="C9" t="str">
            <v>582E</v>
          </cell>
          <cell r="D9" t="str">
            <v>Salero 90ml</v>
          </cell>
          <cell r="E9">
            <v>40.5</v>
          </cell>
          <cell r="F9">
            <v>0</v>
          </cell>
          <cell r="G9">
            <v>0</v>
          </cell>
          <cell r="H9">
            <v>40.5</v>
          </cell>
          <cell r="I9">
            <v>0</v>
          </cell>
          <cell r="J9" t="str">
            <v>Tierra Nativa</v>
          </cell>
        </row>
        <row r="10">
          <cell r="B10" t="str">
            <v>719</v>
          </cell>
          <cell r="C10">
            <v>719</v>
          </cell>
          <cell r="D10" t="str">
            <v>Cuchillo Untar Mgo Madera X2</v>
          </cell>
          <cell r="E10">
            <v>9</v>
          </cell>
          <cell r="F10">
            <v>0</v>
          </cell>
          <cell r="G10">
            <v>0</v>
          </cell>
          <cell r="H10">
            <v>9</v>
          </cell>
          <cell r="I10">
            <v>0</v>
          </cell>
          <cell r="J10" t="str">
            <v>Log/ Fabr</v>
          </cell>
        </row>
        <row r="11">
          <cell r="B11" t="str">
            <v>858</v>
          </cell>
          <cell r="C11">
            <v>858</v>
          </cell>
          <cell r="D11" t="str">
            <v>Pala De Canelones Ac. Inox</v>
          </cell>
          <cell r="E11">
            <v>12</v>
          </cell>
          <cell r="F11">
            <v>0</v>
          </cell>
          <cell r="G11">
            <v>0</v>
          </cell>
          <cell r="H11">
            <v>12</v>
          </cell>
          <cell r="I11">
            <v>0</v>
          </cell>
          <cell r="J11" t="str">
            <v>Log/ Fabr</v>
          </cell>
        </row>
        <row r="12">
          <cell r="B12" t="str">
            <v>583E</v>
          </cell>
          <cell r="C12" t="str">
            <v>583E</v>
          </cell>
          <cell r="D12" t="str">
            <v>Set x3 Especiero / Salero Dobl-</v>
          </cell>
          <cell r="E12">
            <v>43.5</v>
          </cell>
          <cell r="F12">
            <v>0</v>
          </cell>
          <cell r="G12">
            <v>0</v>
          </cell>
          <cell r="H12">
            <v>43.5</v>
          </cell>
          <cell r="I12">
            <v>0</v>
          </cell>
          <cell r="J12" t="str">
            <v>Tierra Nativa</v>
          </cell>
        </row>
        <row r="13">
          <cell r="B13" t="str">
            <v>315</v>
          </cell>
          <cell r="C13">
            <v>315</v>
          </cell>
          <cell r="D13" t="str">
            <v xml:space="preserve">Pisa Papas Acero Inox    </v>
          </cell>
          <cell r="E13">
            <v>562.5</v>
          </cell>
          <cell r="F13">
            <v>0</v>
          </cell>
          <cell r="G13">
            <v>0</v>
          </cell>
          <cell r="H13">
            <v>562.5</v>
          </cell>
          <cell r="I13">
            <v>0</v>
          </cell>
          <cell r="J13" t="str">
            <v>German / Garcia</v>
          </cell>
        </row>
        <row r="14">
          <cell r="B14" t="str">
            <v>544</v>
          </cell>
          <cell r="C14">
            <v>544</v>
          </cell>
          <cell r="D14" t="str">
            <v xml:space="preserve">Batidor Pera Alambre     </v>
          </cell>
          <cell r="E14">
            <v>622</v>
          </cell>
          <cell r="F14">
            <v>0</v>
          </cell>
          <cell r="G14">
            <v>0</v>
          </cell>
          <cell r="H14">
            <v>622</v>
          </cell>
          <cell r="I14">
            <v>0</v>
          </cell>
          <cell r="J14" t="str">
            <v>Pedernera</v>
          </cell>
        </row>
        <row r="15">
          <cell r="B15" t="str">
            <v>523</v>
          </cell>
          <cell r="C15">
            <v>523</v>
          </cell>
          <cell r="D15" t="str">
            <v xml:space="preserve">Sacacorcho Doble Aleta   </v>
          </cell>
          <cell r="E15">
            <v>300</v>
          </cell>
          <cell r="F15">
            <v>0</v>
          </cell>
          <cell r="G15">
            <v>0</v>
          </cell>
          <cell r="H15">
            <v>300</v>
          </cell>
          <cell r="I15">
            <v>0</v>
          </cell>
          <cell r="J15" t="str">
            <v>Tierra Nativa</v>
          </cell>
        </row>
        <row r="16">
          <cell r="B16" t="str">
            <v>558</v>
          </cell>
          <cell r="C16">
            <v>558</v>
          </cell>
          <cell r="D16" t="str">
            <v>Bombilla Resorte Tradicio</v>
          </cell>
          <cell r="E16">
            <v>132.75</v>
          </cell>
          <cell r="F16">
            <v>0</v>
          </cell>
          <cell r="G16">
            <v>0</v>
          </cell>
          <cell r="H16">
            <v>132.75</v>
          </cell>
          <cell r="I16">
            <v>0</v>
          </cell>
          <cell r="J16" t="str">
            <v>Oscar</v>
          </cell>
        </row>
        <row r="17">
          <cell r="B17" t="str">
            <v>122</v>
          </cell>
          <cell r="C17">
            <v>122</v>
          </cell>
          <cell r="D17" t="str">
            <v>Rallador Cilin Loke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Carriero</v>
          </cell>
        </row>
        <row r="18">
          <cell r="B18" t="str">
            <v>437E</v>
          </cell>
          <cell r="C18" t="str">
            <v>437E</v>
          </cell>
          <cell r="D18" t="str">
            <v xml:space="preserve">Colador N°16         </v>
          </cell>
          <cell r="E18">
            <v>57</v>
          </cell>
          <cell r="F18">
            <v>0</v>
          </cell>
          <cell r="G18">
            <v>0</v>
          </cell>
          <cell r="H18">
            <v>57</v>
          </cell>
          <cell r="I18">
            <v>0</v>
          </cell>
          <cell r="J18" t="str">
            <v>Garcia</v>
          </cell>
        </row>
        <row r="19">
          <cell r="B19" t="str">
            <v>548</v>
          </cell>
          <cell r="C19">
            <v>548</v>
          </cell>
          <cell r="D19" t="str">
            <v xml:space="preserve">Pincel Pastelero         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INACTIVO</v>
          </cell>
        </row>
        <row r="20">
          <cell r="B20" t="str">
            <v>942E</v>
          </cell>
          <cell r="C20" t="str">
            <v>942E</v>
          </cell>
          <cell r="D20" t="str">
            <v>Cuchara Ac Inox Mgo Madera</v>
          </cell>
          <cell r="E20">
            <v>4</v>
          </cell>
          <cell r="F20">
            <v>0</v>
          </cell>
          <cell r="G20">
            <v>0</v>
          </cell>
          <cell r="H20">
            <v>4</v>
          </cell>
          <cell r="I20">
            <v>0</v>
          </cell>
          <cell r="J20" t="str">
            <v>Log/ Fabr</v>
          </cell>
        </row>
        <row r="21">
          <cell r="B21" t="str">
            <v>943E</v>
          </cell>
          <cell r="C21" t="str">
            <v>943E</v>
          </cell>
          <cell r="D21" t="str">
            <v>Cucharon Ac Inox Mgo Madera</v>
          </cell>
          <cell r="E21">
            <v>2</v>
          </cell>
          <cell r="F21">
            <v>0</v>
          </cell>
          <cell r="G21">
            <v>0</v>
          </cell>
          <cell r="H21">
            <v>2</v>
          </cell>
          <cell r="I21">
            <v>0</v>
          </cell>
          <cell r="J21" t="str">
            <v>Log/ Fabr</v>
          </cell>
        </row>
        <row r="22">
          <cell r="B22" t="str">
            <v>944E</v>
          </cell>
          <cell r="C22" t="str">
            <v>944E</v>
          </cell>
          <cell r="D22" t="str">
            <v>Cuchara Fideos Ac Inox Mgo Madera</v>
          </cell>
          <cell r="E22">
            <v>2</v>
          </cell>
          <cell r="F22">
            <v>0</v>
          </cell>
          <cell r="G22">
            <v>0</v>
          </cell>
          <cell r="H22">
            <v>2</v>
          </cell>
          <cell r="I22">
            <v>0</v>
          </cell>
          <cell r="J22" t="str">
            <v>Log/ Fabr</v>
          </cell>
        </row>
        <row r="23">
          <cell r="B23" t="str">
            <v>945E</v>
          </cell>
          <cell r="C23" t="str">
            <v>945E</v>
          </cell>
          <cell r="D23" t="str">
            <v xml:space="preserve"> Espatula Calada Ac Inox Mgo Madera</v>
          </cell>
          <cell r="E23">
            <v>2</v>
          </cell>
          <cell r="F23">
            <v>0</v>
          </cell>
          <cell r="G23">
            <v>0</v>
          </cell>
          <cell r="H23">
            <v>2</v>
          </cell>
          <cell r="I23">
            <v>0</v>
          </cell>
          <cell r="J23" t="str">
            <v>Log/ Fabr</v>
          </cell>
        </row>
        <row r="24">
          <cell r="B24" t="str">
            <v>948E</v>
          </cell>
          <cell r="C24" t="str">
            <v>948E</v>
          </cell>
          <cell r="D24" t="str">
            <v>Espumadera Ac Inox Mgo Madera</v>
          </cell>
          <cell r="E24">
            <v>4</v>
          </cell>
          <cell r="F24">
            <v>0</v>
          </cell>
          <cell r="G24">
            <v>0</v>
          </cell>
          <cell r="H24">
            <v>4</v>
          </cell>
          <cell r="I24">
            <v>0</v>
          </cell>
          <cell r="J24" t="str">
            <v>Log/ Fabr</v>
          </cell>
        </row>
        <row r="25">
          <cell r="B25" t="str">
            <v>107</v>
          </cell>
          <cell r="C25">
            <v>107</v>
          </cell>
          <cell r="D25" t="str">
            <v>Pel Cuchilla Laser Loke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Lucho</v>
          </cell>
        </row>
        <row r="26">
          <cell r="B26" t="str">
            <v>118</v>
          </cell>
          <cell r="C26">
            <v>118</v>
          </cell>
          <cell r="D26" t="str">
            <v>Corta  Queso  Loke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Lucho</v>
          </cell>
        </row>
        <row r="27">
          <cell r="B27" t="str">
            <v>193</v>
          </cell>
          <cell r="C27">
            <v>193</v>
          </cell>
          <cell r="D27" t="str">
            <v>Tostador Enlozado Loke</v>
          </cell>
          <cell r="E27">
            <v>57.5</v>
          </cell>
          <cell r="F27">
            <v>0</v>
          </cell>
          <cell r="G27">
            <v>0</v>
          </cell>
          <cell r="H27">
            <v>57.5</v>
          </cell>
          <cell r="I27">
            <v>0</v>
          </cell>
          <cell r="J27" t="str">
            <v>Log/ Fabr</v>
          </cell>
        </row>
        <row r="28">
          <cell r="B28" t="str">
            <v>109</v>
          </cell>
          <cell r="C28">
            <v>109</v>
          </cell>
          <cell r="D28" t="str">
            <v>Sac Zincado Loke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Martin C</v>
          </cell>
        </row>
        <row r="29">
          <cell r="B29" t="str">
            <v>116</v>
          </cell>
          <cell r="C29">
            <v>116</v>
          </cell>
          <cell r="D29" t="str">
            <v>Corta Pizza Loke</v>
          </cell>
          <cell r="E29">
            <v>15</v>
          </cell>
          <cell r="F29">
            <v>0</v>
          </cell>
          <cell r="G29">
            <v>0</v>
          </cell>
          <cell r="H29">
            <v>15</v>
          </cell>
          <cell r="I29">
            <v>0</v>
          </cell>
          <cell r="J29" t="str">
            <v>Martin C</v>
          </cell>
        </row>
        <row r="30">
          <cell r="B30" t="str">
            <v>117</v>
          </cell>
          <cell r="C30">
            <v>117</v>
          </cell>
          <cell r="D30" t="str">
            <v>Corta Pizza Familiar Loke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Martin C</v>
          </cell>
        </row>
        <row r="31">
          <cell r="B31" t="str">
            <v>554</v>
          </cell>
          <cell r="C31">
            <v>554</v>
          </cell>
          <cell r="D31" t="str">
            <v xml:space="preserve">Cucharita Matera         </v>
          </cell>
          <cell r="E31">
            <v>12</v>
          </cell>
          <cell r="F31">
            <v>0</v>
          </cell>
          <cell r="G31">
            <v>0</v>
          </cell>
          <cell r="H31">
            <v>12</v>
          </cell>
          <cell r="I31">
            <v>0</v>
          </cell>
          <cell r="J31" t="str">
            <v>Melinox</v>
          </cell>
        </row>
        <row r="32">
          <cell r="B32" t="str">
            <v>120</v>
          </cell>
          <cell r="C32">
            <v>120</v>
          </cell>
          <cell r="D32" t="str">
            <v>Filtros de Café Loke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Poly</v>
          </cell>
        </row>
        <row r="33">
          <cell r="B33" t="str">
            <v>198E</v>
          </cell>
          <cell r="C33" t="str">
            <v>198E</v>
          </cell>
          <cell r="D33" t="str">
            <v>Pelador Negro Dentado Loke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Racks</v>
          </cell>
        </row>
        <row r="34">
          <cell r="B34" t="str">
            <v>525E</v>
          </cell>
          <cell r="C34" t="str">
            <v>525E</v>
          </cell>
          <cell r="D34" t="str">
            <v>Sacacorcho Cabo De Madera</v>
          </cell>
          <cell r="E34">
            <v>187.5</v>
          </cell>
          <cell r="F34">
            <v>0</v>
          </cell>
          <cell r="G34">
            <v>0</v>
          </cell>
          <cell r="H34">
            <v>187.5</v>
          </cell>
          <cell r="I34">
            <v>0</v>
          </cell>
          <cell r="J34" t="str">
            <v>Racks</v>
          </cell>
        </row>
        <row r="35">
          <cell r="B35" t="str">
            <v>361E</v>
          </cell>
          <cell r="C35" t="str">
            <v>361E</v>
          </cell>
          <cell r="D35" t="str">
            <v>Rallador 4 Lados Ac Inox(</v>
          </cell>
          <cell r="E35">
            <v>60</v>
          </cell>
          <cell r="F35">
            <v>0</v>
          </cell>
          <cell r="G35">
            <v>0</v>
          </cell>
          <cell r="H35">
            <v>60</v>
          </cell>
          <cell r="I35">
            <v>0</v>
          </cell>
          <cell r="J35" t="str">
            <v>Racks</v>
          </cell>
        </row>
        <row r="36">
          <cell r="B36" t="str">
            <v>260E</v>
          </cell>
          <cell r="C36" t="str">
            <v>260E</v>
          </cell>
          <cell r="D36" t="str">
            <v>Infusor Te</v>
          </cell>
          <cell r="E36">
            <v>15</v>
          </cell>
          <cell r="F36">
            <v>0</v>
          </cell>
          <cell r="G36">
            <v>0</v>
          </cell>
          <cell r="H36">
            <v>15</v>
          </cell>
          <cell r="I36">
            <v>0</v>
          </cell>
          <cell r="J36" t="str">
            <v>Racks</v>
          </cell>
        </row>
        <row r="37">
          <cell r="B37" t="str">
            <v>598E</v>
          </cell>
          <cell r="C37" t="str">
            <v>598E</v>
          </cell>
          <cell r="D37" t="str">
            <v>Pelador Negro Dentado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 t="str">
            <v>Racks</v>
          </cell>
        </row>
        <row r="38">
          <cell r="B38" t="str">
            <v>105</v>
          </cell>
          <cell r="C38">
            <v>105</v>
          </cell>
          <cell r="D38" t="str">
            <v>Sac  Doble Aleta  Loke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 t="str">
            <v>Tierra Nativa</v>
          </cell>
        </row>
        <row r="39">
          <cell r="B39" t="str">
            <v>124E</v>
          </cell>
          <cell r="C39" t="str">
            <v>124E</v>
          </cell>
          <cell r="D39" t="str">
            <v>Sac Negro Premiun Loke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 t="str">
            <v>Tierra Nativa</v>
          </cell>
        </row>
        <row r="40">
          <cell r="B40" t="str">
            <v>121</v>
          </cell>
          <cell r="C40">
            <v>121</v>
          </cell>
          <cell r="D40" t="str">
            <v>Pisa Papas  Loke</v>
          </cell>
          <cell r="E40">
            <v>38</v>
          </cell>
          <cell r="F40">
            <v>0</v>
          </cell>
          <cell r="G40">
            <v>0</v>
          </cell>
          <cell r="H40">
            <v>38</v>
          </cell>
          <cell r="I40">
            <v>0</v>
          </cell>
          <cell r="J40" t="str">
            <v>German / Garcia</v>
          </cell>
        </row>
        <row r="41">
          <cell r="B41" t="str">
            <v>509</v>
          </cell>
          <cell r="C41">
            <v>509</v>
          </cell>
          <cell r="D41" t="str">
            <v xml:space="preserve">Paleta Batidora          </v>
          </cell>
          <cell r="E41">
            <v>24</v>
          </cell>
          <cell r="F41">
            <v>0</v>
          </cell>
          <cell r="G41">
            <v>0</v>
          </cell>
          <cell r="H41">
            <v>24</v>
          </cell>
          <cell r="I41">
            <v>0</v>
          </cell>
          <cell r="J41" t="str">
            <v>Carlos E</v>
          </cell>
        </row>
        <row r="42">
          <cell r="B42" t="str">
            <v>066</v>
          </cell>
          <cell r="C42">
            <v>66</v>
          </cell>
          <cell r="D42" t="str">
            <v>Abrelata Super Mariposa</v>
          </cell>
          <cell r="E42">
            <v>262.5</v>
          </cell>
          <cell r="F42">
            <v>0</v>
          </cell>
          <cell r="G42">
            <v>0</v>
          </cell>
          <cell r="H42">
            <v>262.5</v>
          </cell>
          <cell r="I42">
            <v>0</v>
          </cell>
          <cell r="J42" t="str">
            <v>Poly</v>
          </cell>
        </row>
        <row r="43">
          <cell r="B43" t="str">
            <v>186</v>
          </cell>
          <cell r="C43">
            <v>186</v>
          </cell>
          <cell r="D43" t="str">
            <v>Pelador  Ergo  Loke</v>
          </cell>
          <cell r="E43">
            <v>387.5</v>
          </cell>
          <cell r="F43">
            <v>0</v>
          </cell>
          <cell r="G43">
            <v>0</v>
          </cell>
          <cell r="H43">
            <v>387.5</v>
          </cell>
          <cell r="I43">
            <v>0</v>
          </cell>
          <cell r="J43" t="str">
            <v>Lucho</v>
          </cell>
        </row>
        <row r="44">
          <cell r="B44" t="str">
            <v>067</v>
          </cell>
          <cell r="C44">
            <v>67</v>
          </cell>
          <cell r="D44" t="str">
            <v>Sac Zincado</v>
          </cell>
          <cell r="E44">
            <v>21</v>
          </cell>
          <cell r="F44">
            <v>0</v>
          </cell>
          <cell r="G44">
            <v>0</v>
          </cell>
          <cell r="H44">
            <v>21</v>
          </cell>
          <cell r="I44">
            <v>0</v>
          </cell>
          <cell r="J44" t="str">
            <v>Martin C</v>
          </cell>
        </row>
        <row r="45">
          <cell r="B45" t="str">
            <v>817E</v>
          </cell>
          <cell r="C45" t="str">
            <v>817E</v>
          </cell>
          <cell r="D45" t="str">
            <v>Rallador C/Mgo Ergonomico</v>
          </cell>
          <cell r="E45">
            <v>52.5</v>
          </cell>
          <cell r="F45">
            <v>0</v>
          </cell>
          <cell r="G45">
            <v>0</v>
          </cell>
          <cell r="H45">
            <v>52.5</v>
          </cell>
          <cell r="I45">
            <v>0</v>
          </cell>
          <cell r="J45" t="str">
            <v>Racks</v>
          </cell>
        </row>
        <row r="46">
          <cell r="B46" t="str">
            <v>587</v>
          </cell>
          <cell r="C46">
            <v>587</v>
          </cell>
          <cell r="D46" t="str">
            <v>Pelador Cuchilla corte Laser</v>
          </cell>
          <cell r="E46">
            <v>375</v>
          </cell>
          <cell r="F46">
            <v>0</v>
          </cell>
          <cell r="G46">
            <v>0</v>
          </cell>
          <cell r="H46">
            <v>375</v>
          </cell>
          <cell r="I46">
            <v>0</v>
          </cell>
          <cell r="J46" t="str">
            <v>Lucho</v>
          </cell>
        </row>
        <row r="47">
          <cell r="B47" t="str">
            <v>516</v>
          </cell>
          <cell r="C47">
            <v>516</v>
          </cell>
          <cell r="D47" t="str">
            <v xml:space="preserve">Destapacorona Suelto     </v>
          </cell>
          <cell r="E47">
            <v>7.5</v>
          </cell>
          <cell r="F47">
            <v>0</v>
          </cell>
          <cell r="G47">
            <v>0</v>
          </cell>
          <cell r="H47">
            <v>7.5</v>
          </cell>
          <cell r="I47">
            <v>0</v>
          </cell>
          <cell r="J47" t="str">
            <v>Garcia</v>
          </cell>
        </row>
        <row r="48">
          <cell r="B48" t="str">
            <v>280</v>
          </cell>
          <cell r="C48">
            <v>280</v>
          </cell>
          <cell r="D48" t="str">
            <v>Manga Repostera + 4 Boqui</v>
          </cell>
          <cell r="E48">
            <v>162.5</v>
          </cell>
          <cell r="F48">
            <v>0</v>
          </cell>
          <cell r="G48">
            <v>0</v>
          </cell>
          <cell r="H48">
            <v>162.5</v>
          </cell>
          <cell r="I48">
            <v>0</v>
          </cell>
          <cell r="J48" t="str">
            <v>Oscar</v>
          </cell>
        </row>
        <row r="49">
          <cell r="B49" t="str">
            <v>501</v>
          </cell>
          <cell r="C49">
            <v>501</v>
          </cell>
          <cell r="D49" t="str">
            <v xml:space="preserve">Abrelatas A Manija       </v>
          </cell>
          <cell r="E49">
            <v>1728</v>
          </cell>
          <cell r="F49">
            <v>0</v>
          </cell>
          <cell r="G49">
            <v>0</v>
          </cell>
          <cell r="H49">
            <v>1728</v>
          </cell>
          <cell r="I49">
            <v>0</v>
          </cell>
          <cell r="J49" t="str">
            <v>Pettofrezza</v>
          </cell>
        </row>
        <row r="50">
          <cell r="B50" t="str">
            <v>338</v>
          </cell>
          <cell r="C50">
            <v>338</v>
          </cell>
          <cell r="D50" t="str">
            <v xml:space="preserve">Espatula Lisa Ac.Inox.   </v>
          </cell>
          <cell r="E50">
            <v>15</v>
          </cell>
          <cell r="F50">
            <v>0</v>
          </cell>
          <cell r="G50">
            <v>0</v>
          </cell>
          <cell r="H50">
            <v>15</v>
          </cell>
          <cell r="I50">
            <v>0</v>
          </cell>
          <cell r="J50" t="str">
            <v>Carlos E</v>
          </cell>
        </row>
        <row r="51">
          <cell r="B51" t="str">
            <v>031</v>
          </cell>
          <cell r="C51">
            <v>31</v>
          </cell>
          <cell r="D51" t="str">
            <v xml:space="preserve">Filtro De Cafe           </v>
          </cell>
          <cell r="E51">
            <v>1137</v>
          </cell>
          <cell r="F51">
            <v>0</v>
          </cell>
          <cell r="G51">
            <v>0</v>
          </cell>
          <cell r="H51">
            <v>1137</v>
          </cell>
          <cell r="I51">
            <v>0</v>
          </cell>
          <cell r="J51" t="str">
            <v>Poly</v>
          </cell>
        </row>
        <row r="52">
          <cell r="B52" t="str">
            <v>222</v>
          </cell>
          <cell r="C52">
            <v>222</v>
          </cell>
          <cell r="D52" t="str">
            <v xml:space="preserve">Bate Bife Madera         </v>
          </cell>
          <cell r="E52">
            <v>75</v>
          </cell>
          <cell r="F52">
            <v>0</v>
          </cell>
          <cell r="G52">
            <v>0</v>
          </cell>
          <cell r="H52">
            <v>75</v>
          </cell>
          <cell r="I52">
            <v>0</v>
          </cell>
          <cell r="J52" t="str">
            <v>Pintos / Maspoli</v>
          </cell>
        </row>
        <row r="53">
          <cell r="B53" t="str">
            <v>504</v>
          </cell>
          <cell r="C53">
            <v>504</v>
          </cell>
          <cell r="D53" t="str">
            <v xml:space="preserve">Afila Cuchillos          </v>
          </cell>
          <cell r="E53">
            <v>1749</v>
          </cell>
          <cell r="F53">
            <v>0</v>
          </cell>
          <cell r="G53">
            <v>0</v>
          </cell>
          <cell r="H53">
            <v>1749</v>
          </cell>
          <cell r="I53">
            <v>0</v>
          </cell>
          <cell r="J53" t="str">
            <v>Martin C</v>
          </cell>
        </row>
        <row r="54">
          <cell r="B54" t="str">
            <v>508</v>
          </cell>
          <cell r="C54">
            <v>508</v>
          </cell>
          <cell r="D54" t="str">
            <v xml:space="preserve">Sacafuentes Articulado   </v>
          </cell>
          <cell r="E54">
            <v>52.5</v>
          </cell>
          <cell r="F54">
            <v>0</v>
          </cell>
          <cell r="G54">
            <v>0</v>
          </cell>
          <cell r="H54">
            <v>52.5</v>
          </cell>
          <cell r="I54">
            <v>0</v>
          </cell>
          <cell r="J54" t="str">
            <v>Martin C</v>
          </cell>
        </row>
        <row r="55">
          <cell r="B55" t="str">
            <v>502</v>
          </cell>
          <cell r="C55">
            <v>502</v>
          </cell>
          <cell r="D55" t="str">
            <v xml:space="preserve">Abrelatas A Mariposa     </v>
          </cell>
          <cell r="E55">
            <v>724.5</v>
          </cell>
          <cell r="F55">
            <v>0</v>
          </cell>
          <cell r="G55">
            <v>0</v>
          </cell>
          <cell r="H55">
            <v>724.5</v>
          </cell>
          <cell r="I55">
            <v>0</v>
          </cell>
          <cell r="J55" t="str">
            <v>Poly</v>
          </cell>
        </row>
        <row r="56">
          <cell r="B56" t="str">
            <v>584E</v>
          </cell>
          <cell r="C56" t="str">
            <v>584E</v>
          </cell>
          <cell r="D56" t="str">
            <v>Aceitera 400 Ml-</v>
          </cell>
          <cell r="E56">
            <v>66</v>
          </cell>
          <cell r="F56">
            <v>0</v>
          </cell>
          <cell r="G56">
            <v>0</v>
          </cell>
          <cell r="H56">
            <v>66</v>
          </cell>
          <cell r="I56">
            <v>0</v>
          </cell>
          <cell r="J56" t="str">
            <v>Garcia</v>
          </cell>
        </row>
        <row r="57">
          <cell r="B57" t="str">
            <v>507</v>
          </cell>
          <cell r="C57">
            <v>507</v>
          </cell>
          <cell r="D57" t="str">
            <v xml:space="preserve">Rompenueces              </v>
          </cell>
          <cell r="E57">
            <v>99</v>
          </cell>
          <cell r="F57">
            <v>0</v>
          </cell>
          <cell r="G57">
            <v>0</v>
          </cell>
          <cell r="H57">
            <v>99</v>
          </cell>
          <cell r="I57">
            <v>0</v>
          </cell>
          <cell r="J57" t="str">
            <v>Log/ Fabr</v>
          </cell>
        </row>
        <row r="58">
          <cell r="B58" t="str">
            <v>555</v>
          </cell>
          <cell r="C58">
            <v>555</v>
          </cell>
          <cell r="D58" t="str">
            <v xml:space="preserve">Cepillo Limpia Bombilla  </v>
          </cell>
          <cell r="E58">
            <v>100</v>
          </cell>
          <cell r="F58">
            <v>0</v>
          </cell>
          <cell r="G58">
            <v>0</v>
          </cell>
          <cell r="H58">
            <v>100</v>
          </cell>
          <cell r="I58">
            <v>0</v>
          </cell>
          <cell r="J58" t="str">
            <v>Oscar</v>
          </cell>
        </row>
        <row r="59">
          <cell r="B59" t="str">
            <v>323</v>
          </cell>
          <cell r="C59">
            <v>323</v>
          </cell>
          <cell r="D59" t="str">
            <v>Rallador Cilindrico Chico</v>
          </cell>
          <cell r="E59">
            <v>33</v>
          </cell>
          <cell r="F59">
            <v>0</v>
          </cell>
          <cell r="G59">
            <v>0</v>
          </cell>
          <cell r="H59">
            <v>33</v>
          </cell>
          <cell r="I59">
            <v>0</v>
          </cell>
          <cell r="J59" t="str">
            <v>Garcia</v>
          </cell>
        </row>
        <row r="60">
          <cell r="B60" t="str">
            <v>512</v>
          </cell>
          <cell r="C60">
            <v>512</v>
          </cell>
          <cell r="D60" t="str">
            <v>Abrelata Mariposa Plastic</v>
          </cell>
          <cell r="E60">
            <v>207</v>
          </cell>
          <cell r="F60">
            <v>0</v>
          </cell>
          <cell r="G60">
            <v>0</v>
          </cell>
          <cell r="H60">
            <v>207</v>
          </cell>
          <cell r="I60">
            <v>0</v>
          </cell>
          <cell r="J60" t="str">
            <v>Poly</v>
          </cell>
        </row>
        <row r="61">
          <cell r="B61" t="str">
            <v>395</v>
          </cell>
          <cell r="C61">
            <v>395</v>
          </cell>
          <cell r="D61" t="str">
            <v>Descorazonador De Manzana</v>
          </cell>
          <cell r="E61">
            <v>75</v>
          </cell>
          <cell r="F61">
            <v>0</v>
          </cell>
          <cell r="G61">
            <v>0</v>
          </cell>
          <cell r="H61">
            <v>75</v>
          </cell>
          <cell r="I61">
            <v>0</v>
          </cell>
          <cell r="J61" t="str">
            <v>Carlos E</v>
          </cell>
        </row>
        <row r="62">
          <cell r="B62" t="str">
            <v>546</v>
          </cell>
          <cell r="C62">
            <v>546</v>
          </cell>
          <cell r="D62" t="str">
            <v xml:space="preserve">Corta Queso              </v>
          </cell>
          <cell r="E62">
            <v>900</v>
          </cell>
          <cell r="F62">
            <v>0</v>
          </cell>
          <cell r="G62">
            <v>0</v>
          </cell>
          <cell r="H62">
            <v>900</v>
          </cell>
          <cell r="I62">
            <v>0</v>
          </cell>
          <cell r="J62" t="str">
            <v>Log/ Fabr</v>
          </cell>
        </row>
        <row r="63">
          <cell r="B63" t="str">
            <v>355</v>
          </cell>
          <cell r="C63">
            <v>355</v>
          </cell>
          <cell r="D63" t="str">
            <v>Pisa Papas Nylon Mgo Plas</v>
          </cell>
          <cell r="E63">
            <v>45</v>
          </cell>
          <cell r="F63">
            <v>0</v>
          </cell>
          <cell r="G63">
            <v>0</v>
          </cell>
          <cell r="H63">
            <v>45</v>
          </cell>
          <cell r="I63">
            <v>0</v>
          </cell>
          <cell r="J63" t="str">
            <v>German</v>
          </cell>
        </row>
        <row r="64">
          <cell r="B64" t="str">
            <v>104</v>
          </cell>
          <cell r="C64">
            <v>104</v>
          </cell>
          <cell r="D64" t="str">
            <v>Sac  Ergo  Loke</v>
          </cell>
          <cell r="E64">
            <v>95</v>
          </cell>
          <cell r="F64">
            <v>0</v>
          </cell>
          <cell r="G64">
            <v>0</v>
          </cell>
          <cell r="H64">
            <v>95</v>
          </cell>
          <cell r="I64">
            <v>0</v>
          </cell>
          <cell r="J64" t="str">
            <v>Martin C</v>
          </cell>
        </row>
        <row r="65">
          <cell r="B65" t="str">
            <v>506</v>
          </cell>
          <cell r="C65">
            <v>506</v>
          </cell>
          <cell r="D65" t="str">
            <v xml:space="preserve">Abrelatas Uña            </v>
          </cell>
          <cell r="E65">
            <v>2355</v>
          </cell>
          <cell r="F65">
            <v>0</v>
          </cell>
          <cell r="G65">
            <v>0</v>
          </cell>
          <cell r="H65">
            <v>2355</v>
          </cell>
          <cell r="I65">
            <v>0</v>
          </cell>
          <cell r="J65" t="str">
            <v>Oscar</v>
          </cell>
        </row>
        <row r="66">
          <cell r="B66" t="str">
            <v>559</v>
          </cell>
          <cell r="C66">
            <v>559</v>
          </cell>
          <cell r="D66" t="str">
            <v xml:space="preserve">Corta Ravioles           </v>
          </cell>
          <cell r="E66">
            <v>124.5</v>
          </cell>
          <cell r="F66">
            <v>0</v>
          </cell>
          <cell r="G66">
            <v>0</v>
          </cell>
          <cell r="H66">
            <v>124.5</v>
          </cell>
          <cell r="I66">
            <v>0</v>
          </cell>
          <cell r="J66" t="str">
            <v>Martin C</v>
          </cell>
        </row>
        <row r="67">
          <cell r="B67" t="str">
            <v>570</v>
          </cell>
          <cell r="C67">
            <v>570</v>
          </cell>
          <cell r="D67" t="str">
            <v xml:space="preserve">Pala De Canelones        </v>
          </cell>
          <cell r="E67">
            <v>27</v>
          </cell>
          <cell r="F67">
            <v>0</v>
          </cell>
          <cell r="G67">
            <v>0</v>
          </cell>
          <cell r="H67">
            <v>27</v>
          </cell>
          <cell r="I67">
            <v>0</v>
          </cell>
          <cell r="J67" t="str">
            <v>Log/ Fabr</v>
          </cell>
        </row>
        <row r="68">
          <cell r="B68" t="str">
            <v>510</v>
          </cell>
          <cell r="C68">
            <v>510</v>
          </cell>
          <cell r="D68" t="str">
            <v>Abrelata Uña Cromado</v>
          </cell>
          <cell r="E68">
            <v>807</v>
          </cell>
          <cell r="F68">
            <v>0</v>
          </cell>
          <cell r="G68">
            <v>0</v>
          </cell>
          <cell r="H68">
            <v>807</v>
          </cell>
          <cell r="I68">
            <v>0</v>
          </cell>
          <cell r="J68" t="str">
            <v>Oscar</v>
          </cell>
        </row>
        <row r="69">
          <cell r="B69" t="str">
            <v>505</v>
          </cell>
          <cell r="C69">
            <v>505</v>
          </cell>
          <cell r="D69" t="str">
            <v xml:space="preserve">Pelador Mgo Plastico     </v>
          </cell>
          <cell r="E69">
            <v>3750</v>
          </cell>
          <cell r="F69">
            <v>0</v>
          </cell>
          <cell r="G69">
            <v>0</v>
          </cell>
          <cell r="H69">
            <v>3750</v>
          </cell>
          <cell r="I69">
            <v>0</v>
          </cell>
          <cell r="J69" t="str">
            <v>Garcia / Lucho</v>
          </cell>
        </row>
        <row r="70">
          <cell r="B70" t="str">
            <v>511</v>
          </cell>
          <cell r="C70">
            <v>511</v>
          </cell>
          <cell r="D70" t="str">
            <v>Abrelatas Uña 3 En 1</v>
          </cell>
          <cell r="E70">
            <v>60.5</v>
          </cell>
          <cell r="F70">
            <v>0</v>
          </cell>
          <cell r="G70">
            <v>0</v>
          </cell>
          <cell r="H70">
            <v>60.5</v>
          </cell>
          <cell r="I70">
            <v>0</v>
          </cell>
          <cell r="J70" t="str">
            <v>Martin C</v>
          </cell>
        </row>
        <row r="71">
          <cell r="B71" t="str">
            <v>499</v>
          </cell>
          <cell r="C71">
            <v>499</v>
          </cell>
          <cell r="D71" t="str">
            <v xml:space="preserve">Destapador Pie Color     </v>
          </cell>
          <cell r="E71">
            <v>18</v>
          </cell>
          <cell r="F71">
            <v>0</v>
          </cell>
          <cell r="G71">
            <v>0</v>
          </cell>
          <cell r="H71">
            <v>18</v>
          </cell>
          <cell r="I71">
            <v>0</v>
          </cell>
          <cell r="J71" t="str">
            <v>Garcia</v>
          </cell>
        </row>
        <row r="72">
          <cell r="B72" t="str">
            <v>513</v>
          </cell>
          <cell r="C72">
            <v>513</v>
          </cell>
          <cell r="D72" t="str">
            <v xml:space="preserve">Pelador Mgo Metalico     </v>
          </cell>
          <cell r="E72">
            <v>2275.5</v>
          </cell>
          <cell r="F72">
            <v>0</v>
          </cell>
          <cell r="G72">
            <v>0</v>
          </cell>
          <cell r="H72">
            <v>2275.5</v>
          </cell>
          <cell r="I72">
            <v>0</v>
          </cell>
          <cell r="J72" t="str">
            <v>Poly</v>
          </cell>
        </row>
        <row r="73">
          <cell r="B73" t="str">
            <v>562</v>
          </cell>
          <cell r="C73">
            <v>562</v>
          </cell>
          <cell r="D73" t="str">
            <v>Corta Pizza Mgo Loeke  6cm</v>
          </cell>
          <cell r="E73">
            <v>150</v>
          </cell>
          <cell r="F73">
            <v>0</v>
          </cell>
          <cell r="G73">
            <v>0</v>
          </cell>
          <cell r="H73">
            <v>150</v>
          </cell>
          <cell r="I73">
            <v>0</v>
          </cell>
          <cell r="J73" t="str">
            <v>Martin C</v>
          </cell>
        </row>
        <row r="74">
          <cell r="B74" t="str">
            <v>248</v>
          </cell>
          <cell r="C74">
            <v>248</v>
          </cell>
          <cell r="D74" t="str">
            <v>Cuchara De Cocina 33 Cm X 12</v>
          </cell>
          <cell r="E74">
            <v>115.5</v>
          </cell>
          <cell r="F74">
            <v>0</v>
          </cell>
          <cell r="G74">
            <v>0</v>
          </cell>
          <cell r="H74">
            <v>115.5</v>
          </cell>
          <cell r="I74">
            <v>0</v>
          </cell>
          <cell r="J74" t="str">
            <v>Log/ Fabr</v>
          </cell>
        </row>
        <row r="75">
          <cell r="B75" t="str">
            <v>058</v>
          </cell>
          <cell r="C75">
            <v>58</v>
          </cell>
          <cell r="D75" t="str">
            <v xml:space="preserve">Cierra Bolsa X2          </v>
          </cell>
          <cell r="E75">
            <v>39</v>
          </cell>
          <cell r="F75">
            <v>0</v>
          </cell>
          <cell r="G75">
            <v>0</v>
          </cell>
          <cell r="H75">
            <v>39</v>
          </cell>
          <cell r="I75">
            <v>0</v>
          </cell>
          <cell r="J75" t="str">
            <v>Log/ Fabr</v>
          </cell>
        </row>
        <row r="76">
          <cell r="B76" t="str">
            <v>321</v>
          </cell>
          <cell r="C76">
            <v>321</v>
          </cell>
          <cell r="D76" t="str">
            <v xml:space="preserve">Rallador Cilindrico      </v>
          </cell>
          <cell r="E76">
            <v>390</v>
          </cell>
          <cell r="F76">
            <v>0</v>
          </cell>
          <cell r="G76">
            <v>0</v>
          </cell>
          <cell r="H76">
            <v>390</v>
          </cell>
          <cell r="I76">
            <v>0</v>
          </cell>
          <cell r="J76" t="str">
            <v>Carriero</v>
          </cell>
        </row>
        <row r="77">
          <cell r="B77" t="str">
            <v>325</v>
          </cell>
          <cell r="C77">
            <v>325</v>
          </cell>
          <cell r="D77" t="str">
            <v xml:space="preserve">Espatula Repostera Plast </v>
          </cell>
          <cell r="E77">
            <v>141</v>
          </cell>
          <cell r="F77">
            <v>0</v>
          </cell>
          <cell r="G77">
            <v>0</v>
          </cell>
          <cell r="H77">
            <v>141</v>
          </cell>
          <cell r="I77">
            <v>0</v>
          </cell>
          <cell r="J77" t="str">
            <v>The Plast</v>
          </cell>
        </row>
        <row r="78">
          <cell r="B78" t="str">
            <v>518</v>
          </cell>
          <cell r="C78">
            <v>518</v>
          </cell>
          <cell r="D78" t="str">
            <v>Sacafuente Gastronomico</v>
          </cell>
          <cell r="E78">
            <v>97.5</v>
          </cell>
          <cell r="F78">
            <v>0</v>
          </cell>
          <cell r="G78">
            <v>0</v>
          </cell>
          <cell r="H78">
            <v>97.5</v>
          </cell>
          <cell r="I78">
            <v>0</v>
          </cell>
          <cell r="J78" t="str">
            <v>Lucho</v>
          </cell>
        </row>
        <row r="79">
          <cell r="B79" t="str">
            <v>394</v>
          </cell>
          <cell r="C79">
            <v>394</v>
          </cell>
          <cell r="D79" t="str">
            <v>Espatula Lisa Nylon 1 Pza</v>
          </cell>
          <cell r="E79">
            <v>22.5</v>
          </cell>
          <cell r="F79">
            <v>0</v>
          </cell>
          <cell r="G79">
            <v>0</v>
          </cell>
          <cell r="H79">
            <v>22.5</v>
          </cell>
          <cell r="I79">
            <v>0</v>
          </cell>
          <cell r="J79" t="str">
            <v>Log/ Fabr</v>
          </cell>
        </row>
        <row r="80">
          <cell r="B80" t="str">
            <v>542</v>
          </cell>
          <cell r="C80">
            <v>542</v>
          </cell>
          <cell r="D80" t="str">
            <v>Ahueca Papas</v>
          </cell>
          <cell r="E80">
            <v>48</v>
          </cell>
          <cell r="F80">
            <v>0</v>
          </cell>
          <cell r="G80">
            <v>0</v>
          </cell>
          <cell r="H80">
            <v>48</v>
          </cell>
          <cell r="I80">
            <v>0</v>
          </cell>
          <cell r="J80" t="str">
            <v>Log/ Fabr</v>
          </cell>
        </row>
        <row r="81">
          <cell r="B81" t="str">
            <v>220</v>
          </cell>
          <cell r="C81">
            <v>220</v>
          </cell>
          <cell r="D81" t="str">
            <v>Cuchara Madera 40 Cm X 12</v>
          </cell>
          <cell r="E81">
            <v>67.5</v>
          </cell>
          <cell r="F81">
            <v>0</v>
          </cell>
          <cell r="G81">
            <v>0</v>
          </cell>
          <cell r="H81">
            <v>67.5</v>
          </cell>
          <cell r="I81">
            <v>0</v>
          </cell>
          <cell r="J81" t="str">
            <v>Pintos</v>
          </cell>
        </row>
        <row r="82">
          <cell r="B82" t="str">
            <v>099</v>
          </cell>
          <cell r="C82">
            <v>99</v>
          </cell>
          <cell r="D82" t="str">
            <v>Pelapapas Mgo Plastico Ergonomico</v>
          </cell>
          <cell r="E82">
            <v>372</v>
          </cell>
          <cell r="F82">
            <v>0</v>
          </cell>
          <cell r="G82">
            <v>0</v>
          </cell>
          <cell r="H82">
            <v>372</v>
          </cell>
          <cell r="I82">
            <v>0</v>
          </cell>
          <cell r="J82" t="str">
            <v>Lucho</v>
          </cell>
        </row>
        <row r="83">
          <cell r="B83" t="str">
            <v>580</v>
          </cell>
          <cell r="C83">
            <v>580</v>
          </cell>
          <cell r="D83" t="str">
            <v>Batidor Mini</v>
          </cell>
          <cell r="E83">
            <v>85.5</v>
          </cell>
          <cell r="F83">
            <v>0</v>
          </cell>
          <cell r="G83">
            <v>0</v>
          </cell>
          <cell r="H83">
            <v>85.5</v>
          </cell>
          <cell r="I83">
            <v>0</v>
          </cell>
          <cell r="J83" t="str">
            <v>Carlos E</v>
          </cell>
        </row>
        <row r="84">
          <cell r="B84" t="str">
            <v>561</v>
          </cell>
          <cell r="C84">
            <v>561</v>
          </cell>
          <cell r="D84" t="str">
            <v>Pinza Grande</v>
          </cell>
          <cell r="E84">
            <v>76.5</v>
          </cell>
          <cell r="F84">
            <v>0</v>
          </cell>
          <cell r="G84">
            <v>0</v>
          </cell>
          <cell r="H84">
            <v>76.5</v>
          </cell>
          <cell r="I84">
            <v>0</v>
          </cell>
          <cell r="J84" t="str">
            <v>Pedernera</v>
          </cell>
        </row>
        <row r="85">
          <cell r="B85" t="str">
            <v>543</v>
          </cell>
          <cell r="C85">
            <v>543</v>
          </cell>
          <cell r="D85" t="str">
            <v>Ahueca Frutas</v>
          </cell>
          <cell r="E85">
            <v>49.5</v>
          </cell>
          <cell r="F85">
            <v>0</v>
          </cell>
          <cell r="G85">
            <v>0</v>
          </cell>
          <cell r="H85">
            <v>49.5</v>
          </cell>
          <cell r="I85">
            <v>0</v>
          </cell>
          <cell r="J85" t="str">
            <v>Log/ Fabr</v>
          </cell>
        </row>
        <row r="86">
          <cell r="B86" t="str">
            <v>052</v>
          </cell>
          <cell r="C86">
            <v>52</v>
          </cell>
          <cell r="D86" t="str">
            <v>Cepillo Lavavajilla</v>
          </cell>
          <cell r="E86">
            <v>4</v>
          </cell>
          <cell r="F86">
            <v>0</v>
          </cell>
          <cell r="G86">
            <v>0</v>
          </cell>
          <cell r="H86">
            <v>4</v>
          </cell>
          <cell r="I86">
            <v>0</v>
          </cell>
          <cell r="J86" t="str">
            <v>Carlos E</v>
          </cell>
        </row>
        <row r="87">
          <cell r="B87" t="str">
            <v>439E</v>
          </cell>
          <cell r="C87" t="str">
            <v>439E</v>
          </cell>
          <cell r="D87" t="str">
            <v>Colador Pasta</v>
          </cell>
          <cell r="E87">
            <v>20</v>
          </cell>
          <cell r="F87">
            <v>0</v>
          </cell>
          <cell r="G87">
            <v>0</v>
          </cell>
          <cell r="H87">
            <v>20</v>
          </cell>
          <cell r="I87">
            <v>0</v>
          </cell>
          <cell r="J87" t="str">
            <v>Garcia</v>
          </cell>
        </row>
        <row r="88">
          <cell r="B88" t="str">
            <v>521</v>
          </cell>
          <cell r="C88">
            <v>521</v>
          </cell>
          <cell r="D88" t="str">
            <v>Sacacorcho Combinado Crom</v>
          </cell>
          <cell r="E88">
            <v>277.5</v>
          </cell>
          <cell r="F88">
            <v>0</v>
          </cell>
          <cell r="G88">
            <v>0</v>
          </cell>
          <cell r="H88">
            <v>277.5</v>
          </cell>
          <cell r="I88">
            <v>0</v>
          </cell>
          <cell r="J88" t="str">
            <v>Martin C</v>
          </cell>
        </row>
        <row r="89">
          <cell r="B89" t="str">
            <v>097</v>
          </cell>
          <cell r="C89">
            <v>97</v>
          </cell>
          <cell r="D89" t="str">
            <v>Afila Cuchillos Base Blanca/Verde</v>
          </cell>
          <cell r="E89">
            <v>210</v>
          </cell>
          <cell r="F89">
            <v>0</v>
          </cell>
          <cell r="G89">
            <v>0</v>
          </cell>
          <cell r="H89">
            <v>210</v>
          </cell>
          <cell r="I89">
            <v>0</v>
          </cell>
          <cell r="J89" t="str">
            <v>Martin C</v>
          </cell>
        </row>
        <row r="90">
          <cell r="B90" t="str">
            <v>529E</v>
          </cell>
          <cell r="C90" t="str">
            <v>529E</v>
          </cell>
          <cell r="D90" t="str">
            <v>Sac. Doble Impulso Acero</v>
          </cell>
          <cell r="E90">
            <v>300</v>
          </cell>
          <cell r="F90">
            <v>0</v>
          </cell>
          <cell r="G90">
            <v>0</v>
          </cell>
          <cell r="H90">
            <v>300</v>
          </cell>
          <cell r="I90">
            <v>0</v>
          </cell>
          <cell r="J90" t="str">
            <v>Tierra Nativa</v>
          </cell>
        </row>
        <row r="91">
          <cell r="B91" t="str">
            <v>246</v>
          </cell>
          <cell r="C91">
            <v>246</v>
          </cell>
          <cell r="D91" t="str">
            <v xml:space="preserve">Prensa Matambre          </v>
          </cell>
          <cell r="E91">
            <v>30</v>
          </cell>
          <cell r="F91">
            <v>0</v>
          </cell>
          <cell r="G91">
            <v>0</v>
          </cell>
          <cell r="H91">
            <v>30</v>
          </cell>
          <cell r="I91">
            <v>0</v>
          </cell>
          <cell r="J91" t="str">
            <v>Maspoli</v>
          </cell>
        </row>
        <row r="92">
          <cell r="B92" t="str">
            <v>027</v>
          </cell>
          <cell r="C92">
            <v>27</v>
          </cell>
          <cell r="D92" t="str">
            <v>Colador N°10</v>
          </cell>
          <cell r="E92">
            <v>188</v>
          </cell>
          <cell r="F92">
            <v>0</v>
          </cell>
          <cell r="G92">
            <v>0</v>
          </cell>
          <cell r="H92">
            <v>188</v>
          </cell>
          <cell r="I92">
            <v>0</v>
          </cell>
          <cell r="J92" t="str">
            <v>Lopez Jose</v>
          </cell>
        </row>
        <row r="93">
          <cell r="B93" t="str">
            <v>520</v>
          </cell>
          <cell r="C93">
            <v>520</v>
          </cell>
          <cell r="D93" t="str">
            <v>Sacacorcho Tipo Mozo Crom</v>
          </cell>
          <cell r="E93">
            <v>390</v>
          </cell>
          <cell r="F93">
            <v>0</v>
          </cell>
          <cell r="G93">
            <v>0</v>
          </cell>
          <cell r="H93">
            <v>390</v>
          </cell>
          <cell r="I93">
            <v>0</v>
          </cell>
          <cell r="J93" t="str">
            <v>Martin C</v>
          </cell>
        </row>
        <row r="94">
          <cell r="B94" t="str">
            <v>531</v>
          </cell>
          <cell r="C94">
            <v>531</v>
          </cell>
          <cell r="D94" t="str">
            <v>Sacacorcho Combinado Colo</v>
          </cell>
          <cell r="E94">
            <v>180</v>
          </cell>
          <cell r="F94">
            <v>0</v>
          </cell>
          <cell r="G94">
            <v>0</v>
          </cell>
          <cell r="H94">
            <v>180</v>
          </cell>
          <cell r="I94">
            <v>0</v>
          </cell>
          <cell r="J94" t="str">
            <v>Martin C</v>
          </cell>
        </row>
        <row r="95">
          <cell r="B95" t="str">
            <v>564</v>
          </cell>
          <cell r="C95">
            <v>564</v>
          </cell>
          <cell r="D95" t="str">
            <v xml:space="preserve">Corta Pizza Gastronomico </v>
          </cell>
          <cell r="E95">
            <v>55.5</v>
          </cell>
          <cell r="F95">
            <v>0</v>
          </cell>
          <cell r="G95">
            <v>0</v>
          </cell>
          <cell r="H95">
            <v>55.5</v>
          </cell>
          <cell r="I95">
            <v>0</v>
          </cell>
          <cell r="J95" t="str">
            <v>Martin C</v>
          </cell>
        </row>
        <row r="96">
          <cell r="B96" t="str">
            <v>565</v>
          </cell>
          <cell r="C96">
            <v>565</v>
          </cell>
          <cell r="D96" t="str">
            <v xml:space="preserve">Pinza De Hielo           </v>
          </cell>
          <cell r="E96">
            <v>54</v>
          </cell>
          <cell r="F96">
            <v>0</v>
          </cell>
          <cell r="G96">
            <v>0</v>
          </cell>
          <cell r="H96">
            <v>54</v>
          </cell>
          <cell r="I96">
            <v>0</v>
          </cell>
          <cell r="J96" t="str">
            <v>Manfer</v>
          </cell>
        </row>
        <row r="97">
          <cell r="B97" t="str">
            <v>530</v>
          </cell>
          <cell r="C97">
            <v>530</v>
          </cell>
          <cell r="D97" t="str">
            <v>Sacacorcho Tipo Mozo Colo</v>
          </cell>
          <cell r="E97">
            <v>450</v>
          </cell>
          <cell r="F97">
            <v>0</v>
          </cell>
          <cell r="G97">
            <v>0</v>
          </cell>
          <cell r="H97">
            <v>450</v>
          </cell>
          <cell r="I97">
            <v>0</v>
          </cell>
          <cell r="J97" t="str">
            <v>Martin C</v>
          </cell>
        </row>
        <row r="98">
          <cell r="B98" t="str">
            <v>393</v>
          </cell>
          <cell r="C98">
            <v>393</v>
          </cell>
          <cell r="D98" t="str">
            <v>Espatula Calada Nylon 1 P</v>
          </cell>
          <cell r="E98">
            <v>19.5</v>
          </cell>
          <cell r="F98">
            <v>0</v>
          </cell>
          <cell r="G98">
            <v>0</v>
          </cell>
          <cell r="H98">
            <v>19.5</v>
          </cell>
          <cell r="I98">
            <v>0</v>
          </cell>
          <cell r="J98" t="str">
            <v>Log/ Fabr</v>
          </cell>
        </row>
        <row r="99">
          <cell r="B99" t="str">
            <v>438E</v>
          </cell>
          <cell r="C99" t="str">
            <v>438E</v>
          </cell>
          <cell r="D99" t="str">
            <v>Colador N°20</v>
          </cell>
          <cell r="E99">
            <v>43.75</v>
          </cell>
          <cell r="F99">
            <v>0</v>
          </cell>
          <cell r="G99">
            <v>0</v>
          </cell>
          <cell r="H99">
            <v>43.75</v>
          </cell>
          <cell r="I99">
            <v>0</v>
          </cell>
          <cell r="J99" t="str">
            <v>Garcia</v>
          </cell>
        </row>
        <row r="100">
          <cell r="B100" t="str">
            <v>337</v>
          </cell>
          <cell r="C100">
            <v>337</v>
          </cell>
          <cell r="D100" t="str">
            <v>Tenedor Ac Inox</v>
          </cell>
          <cell r="E100">
            <v>6</v>
          </cell>
          <cell r="F100">
            <v>0</v>
          </cell>
          <cell r="G100">
            <v>0</v>
          </cell>
          <cell r="H100">
            <v>6</v>
          </cell>
          <cell r="I100">
            <v>0</v>
          </cell>
          <cell r="J100" t="str">
            <v>Carlos E</v>
          </cell>
        </row>
        <row r="101">
          <cell r="B101" t="str">
            <v>055</v>
          </cell>
          <cell r="C101">
            <v>55</v>
          </cell>
          <cell r="D101" t="str">
            <v>Pinza De Fideos Inox Cachas Plasticas 25Cm</v>
          </cell>
          <cell r="E101">
            <v>12</v>
          </cell>
          <cell r="F101">
            <v>0</v>
          </cell>
          <cell r="G101">
            <v>0</v>
          </cell>
          <cell r="H101">
            <v>12</v>
          </cell>
          <cell r="I101">
            <v>0</v>
          </cell>
          <cell r="J101" t="str">
            <v>Log/ Fabr</v>
          </cell>
        </row>
        <row r="102">
          <cell r="B102" t="str">
            <v>026</v>
          </cell>
          <cell r="C102">
            <v>26</v>
          </cell>
          <cell r="D102" t="str">
            <v xml:space="preserve">Colador N°8              </v>
          </cell>
          <cell r="E102">
            <v>301.5</v>
          </cell>
          <cell r="F102">
            <v>0</v>
          </cell>
          <cell r="G102">
            <v>0</v>
          </cell>
          <cell r="H102">
            <v>301.5</v>
          </cell>
          <cell r="I102">
            <v>0</v>
          </cell>
          <cell r="J102" t="str">
            <v>Lopez Jose</v>
          </cell>
        </row>
        <row r="103">
          <cell r="B103" t="str">
            <v>113</v>
          </cell>
          <cell r="C103">
            <v>113</v>
          </cell>
          <cell r="D103" t="str">
            <v>Colador  N°20  Loke</v>
          </cell>
          <cell r="E103">
            <v>15</v>
          </cell>
          <cell r="F103">
            <v>0</v>
          </cell>
          <cell r="G103">
            <v>0</v>
          </cell>
          <cell r="H103">
            <v>15</v>
          </cell>
          <cell r="I103">
            <v>0</v>
          </cell>
          <cell r="J103" t="str">
            <v>Garcia</v>
          </cell>
        </row>
        <row r="104">
          <cell r="B104" t="str">
            <v>532</v>
          </cell>
          <cell r="C104">
            <v>532</v>
          </cell>
          <cell r="D104" t="str">
            <v xml:space="preserve">Cuchara De Helado        </v>
          </cell>
          <cell r="E104">
            <v>19.5</v>
          </cell>
          <cell r="F104">
            <v>0</v>
          </cell>
          <cell r="G104">
            <v>0</v>
          </cell>
          <cell r="H104">
            <v>19.5</v>
          </cell>
          <cell r="I104">
            <v>0</v>
          </cell>
          <cell r="J104" t="str">
            <v xml:space="preserve">Pettofrezza </v>
          </cell>
        </row>
        <row r="105">
          <cell r="B105" t="str">
            <v>577</v>
          </cell>
          <cell r="C105">
            <v>577</v>
          </cell>
          <cell r="D105" t="str">
            <v>Tapon De Vino/Cerveza Premium</v>
          </cell>
          <cell r="E105">
            <v>123</v>
          </cell>
          <cell r="F105">
            <v>0</v>
          </cell>
          <cell r="G105">
            <v>0</v>
          </cell>
          <cell r="H105">
            <v>123</v>
          </cell>
          <cell r="I105">
            <v>0</v>
          </cell>
          <cell r="J105" t="str">
            <v xml:space="preserve">Pettofrezza </v>
          </cell>
        </row>
        <row r="106">
          <cell r="B106" t="str">
            <v>299</v>
          </cell>
          <cell r="C106">
            <v>299</v>
          </cell>
          <cell r="D106" t="str">
            <v>Muñeco Silicona Antiderra</v>
          </cell>
          <cell r="E106">
            <v>40.5</v>
          </cell>
          <cell r="F106">
            <v>0</v>
          </cell>
          <cell r="G106">
            <v>0</v>
          </cell>
          <cell r="H106">
            <v>40.5</v>
          </cell>
          <cell r="I106">
            <v>0</v>
          </cell>
          <cell r="J106" t="str">
            <v>Log/ Fabr</v>
          </cell>
        </row>
        <row r="107">
          <cell r="B107" t="str">
            <v>029</v>
          </cell>
          <cell r="C107">
            <v>29</v>
          </cell>
          <cell r="D107" t="str">
            <v xml:space="preserve">Colador N°16             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 t="str">
            <v>Lopez Jose</v>
          </cell>
        </row>
        <row r="108">
          <cell r="B108" t="str">
            <v>101</v>
          </cell>
          <cell r="C108">
            <v>101</v>
          </cell>
          <cell r="D108" t="str">
            <v>Abr Manija Loke</v>
          </cell>
          <cell r="E108">
            <v>50</v>
          </cell>
          <cell r="F108">
            <v>0</v>
          </cell>
          <cell r="G108">
            <v>0</v>
          </cell>
          <cell r="H108">
            <v>50</v>
          </cell>
          <cell r="I108">
            <v>0</v>
          </cell>
          <cell r="J108" t="str">
            <v>Pettofrezza</v>
          </cell>
        </row>
        <row r="109">
          <cell r="B109" t="str">
            <v>119</v>
          </cell>
          <cell r="C109">
            <v>119</v>
          </cell>
          <cell r="D109" t="str">
            <v>Corta Quesos  Mgo Alamb Loke</v>
          </cell>
          <cell r="E109">
            <v>15</v>
          </cell>
          <cell r="F109">
            <v>0</v>
          </cell>
          <cell r="G109">
            <v>0</v>
          </cell>
          <cell r="H109">
            <v>15</v>
          </cell>
          <cell r="I109">
            <v>0</v>
          </cell>
          <cell r="J109" t="str">
            <v>Log/ Fabr</v>
          </cell>
        </row>
        <row r="110">
          <cell r="B110" t="str">
            <v>586</v>
          </cell>
          <cell r="C110">
            <v>586</v>
          </cell>
          <cell r="D110" t="str">
            <v xml:space="preserve">Pelapapas Mgo Ergonomico </v>
          </cell>
          <cell r="E110">
            <v>874.5</v>
          </cell>
          <cell r="F110">
            <v>0</v>
          </cell>
          <cell r="G110">
            <v>0</v>
          </cell>
          <cell r="H110">
            <v>874.5</v>
          </cell>
          <cell r="I110">
            <v>0</v>
          </cell>
          <cell r="J110" t="str">
            <v>Lucho</v>
          </cell>
        </row>
        <row r="111">
          <cell r="B111" t="str">
            <v>312</v>
          </cell>
          <cell r="C111">
            <v>312</v>
          </cell>
          <cell r="D111" t="str">
            <v xml:space="preserve">Pala De Torta Acero Inox </v>
          </cell>
          <cell r="E111">
            <v>25.5</v>
          </cell>
          <cell r="F111">
            <v>0</v>
          </cell>
          <cell r="G111">
            <v>0</v>
          </cell>
          <cell r="H111">
            <v>25.5</v>
          </cell>
          <cell r="I111">
            <v>0</v>
          </cell>
          <cell r="J111" t="str">
            <v>Martin C</v>
          </cell>
        </row>
        <row r="112">
          <cell r="B112" t="str">
            <v>816E</v>
          </cell>
          <cell r="C112" t="str">
            <v>816E</v>
          </cell>
          <cell r="D112" t="str">
            <v xml:space="preserve">Pelador "V" Horizontal   </v>
          </cell>
          <cell r="E112">
            <v>234</v>
          </cell>
          <cell r="F112">
            <v>0</v>
          </cell>
          <cell r="G112">
            <v>0</v>
          </cell>
          <cell r="H112">
            <v>234</v>
          </cell>
          <cell r="I112">
            <v>0</v>
          </cell>
          <cell r="J112" t="str">
            <v>Racks</v>
          </cell>
        </row>
        <row r="113">
          <cell r="B113" t="str">
            <v>440E</v>
          </cell>
          <cell r="C113" t="str">
            <v>440E</v>
          </cell>
          <cell r="D113" t="str">
            <v>Colador Extensible</v>
          </cell>
          <cell r="E113">
            <v>30</v>
          </cell>
          <cell r="F113">
            <v>0</v>
          </cell>
          <cell r="G113">
            <v>0</v>
          </cell>
          <cell r="H113">
            <v>30</v>
          </cell>
          <cell r="I113">
            <v>0</v>
          </cell>
          <cell r="J113" t="str">
            <v>Garcia</v>
          </cell>
        </row>
        <row r="114">
          <cell r="B114" t="str">
            <v>043</v>
          </cell>
          <cell r="C114">
            <v>43</v>
          </cell>
          <cell r="D114" t="str">
            <v>Abrelatas Uña 3 En 1</v>
          </cell>
          <cell r="E114">
            <v>30</v>
          </cell>
          <cell r="F114">
            <v>0</v>
          </cell>
          <cell r="G114">
            <v>0</v>
          </cell>
          <cell r="H114">
            <v>30</v>
          </cell>
          <cell r="I114">
            <v>0</v>
          </cell>
          <cell r="J114" t="str">
            <v>Martin C</v>
          </cell>
        </row>
        <row r="115">
          <cell r="B115" t="str">
            <v>392</v>
          </cell>
          <cell r="C115">
            <v>392</v>
          </cell>
          <cell r="D115" t="str">
            <v xml:space="preserve">Cucharon Nylon 1 Pza     </v>
          </cell>
          <cell r="E115">
            <v>19.5</v>
          </cell>
          <cell r="F115">
            <v>0</v>
          </cell>
          <cell r="G115">
            <v>0</v>
          </cell>
          <cell r="H115">
            <v>19.5</v>
          </cell>
          <cell r="I115">
            <v>0</v>
          </cell>
          <cell r="J115" t="str">
            <v>Log/ Fabr</v>
          </cell>
        </row>
        <row r="116">
          <cell r="B116" t="str">
            <v>551</v>
          </cell>
          <cell r="C116">
            <v>551</v>
          </cell>
          <cell r="D116" t="str">
            <v>Cuchillo De Untar Mgo Pla</v>
          </cell>
          <cell r="E116">
            <v>58.5</v>
          </cell>
          <cell r="F116">
            <v>0</v>
          </cell>
          <cell r="G116">
            <v>0</v>
          </cell>
          <cell r="H116">
            <v>58.5</v>
          </cell>
          <cell r="I116">
            <v>0</v>
          </cell>
          <cell r="J116" t="str">
            <v xml:space="preserve">Pettofrezza </v>
          </cell>
        </row>
        <row r="117">
          <cell r="B117" t="str">
            <v>123</v>
          </cell>
          <cell r="C117">
            <v>123</v>
          </cell>
          <cell r="D117" t="str">
            <v>Pelador Plastico  Loke</v>
          </cell>
          <cell r="E117">
            <v>178</v>
          </cell>
          <cell r="F117">
            <v>0</v>
          </cell>
          <cell r="G117">
            <v>0</v>
          </cell>
          <cell r="H117">
            <v>178</v>
          </cell>
          <cell r="I117">
            <v>0</v>
          </cell>
          <cell r="J117" t="str">
            <v>Garcia</v>
          </cell>
        </row>
        <row r="118">
          <cell r="B118" t="str">
            <v>057</v>
          </cell>
          <cell r="C118">
            <v>57</v>
          </cell>
          <cell r="D118" t="str">
            <v>Destapa Corona X1 Cromado</v>
          </cell>
          <cell r="E118">
            <v>93</v>
          </cell>
          <cell r="F118">
            <v>0</v>
          </cell>
          <cell r="G118">
            <v>0</v>
          </cell>
          <cell r="H118">
            <v>93</v>
          </cell>
          <cell r="I118">
            <v>0</v>
          </cell>
          <cell r="J118" t="str">
            <v>Garcia</v>
          </cell>
        </row>
        <row r="119">
          <cell r="B119" t="str">
            <v>112</v>
          </cell>
          <cell r="C119">
            <v>112</v>
          </cell>
          <cell r="D119" t="str">
            <v xml:space="preserve"> Ø 16 Env. Loke</v>
          </cell>
          <cell r="E119">
            <v>15</v>
          </cell>
          <cell r="F119">
            <v>0</v>
          </cell>
          <cell r="G119">
            <v>0</v>
          </cell>
          <cell r="H119">
            <v>15</v>
          </cell>
          <cell r="I119">
            <v>0</v>
          </cell>
          <cell r="J119" t="str">
            <v>Lopez Jose</v>
          </cell>
        </row>
        <row r="120">
          <cell r="B120" t="str">
            <v>106E</v>
          </cell>
          <cell r="C120" t="str">
            <v>106E</v>
          </cell>
          <cell r="D120" t="str">
            <v>Sac Doble Impulso Loke</v>
          </cell>
          <cell r="E120">
            <v>125</v>
          </cell>
          <cell r="F120">
            <v>0</v>
          </cell>
          <cell r="G120">
            <v>0</v>
          </cell>
          <cell r="H120">
            <v>125</v>
          </cell>
          <cell r="I120">
            <v>0</v>
          </cell>
          <cell r="J120" t="str">
            <v>Tierra Nativa</v>
          </cell>
        </row>
        <row r="121">
          <cell r="B121" t="str">
            <v>575</v>
          </cell>
          <cell r="C121">
            <v>575</v>
          </cell>
          <cell r="D121" t="str">
            <v>Tapon De Vino/Cerv X1  Negro</v>
          </cell>
          <cell r="E121">
            <v>136.5</v>
          </cell>
          <cell r="F121">
            <v>0</v>
          </cell>
          <cell r="G121">
            <v>0</v>
          </cell>
          <cell r="H121">
            <v>136.5</v>
          </cell>
          <cell r="I121">
            <v>0</v>
          </cell>
          <cell r="J121" t="str">
            <v xml:space="preserve">Pettofrezza </v>
          </cell>
        </row>
        <row r="122">
          <cell r="B122" t="str">
            <v>579</v>
          </cell>
          <cell r="C122">
            <v>579</v>
          </cell>
          <cell r="D122" t="str">
            <v>Tapon De Vino/Cerv X 1 Color</v>
          </cell>
          <cell r="E122">
            <v>82.5</v>
          </cell>
          <cell r="F122">
            <v>0</v>
          </cell>
          <cell r="G122">
            <v>0</v>
          </cell>
          <cell r="H122">
            <v>82.5</v>
          </cell>
          <cell r="I122">
            <v>0</v>
          </cell>
          <cell r="J122" t="str">
            <v xml:space="preserve">Pettofrezza </v>
          </cell>
        </row>
        <row r="123">
          <cell r="B123" t="str">
            <v>391</v>
          </cell>
          <cell r="C123">
            <v>391</v>
          </cell>
          <cell r="D123" t="str">
            <v>Cuchara Pulpo Nylon 1 Pza</v>
          </cell>
          <cell r="E123">
            <v>12</v>
          </cell>
          <cell r="F123">
            <v>0</v>
          </cell>
          <cell r="G123">
            <v>0</v>
          </cell>
          <cell r="H123">
            <v>12</v>
          </cell>
          <cell r="I123">
            <v>0</v>
          </cell>
          <cell r="J123" t="str">
            <v>Log/ Fabr</v>
          </cell>
        </row>
        <row r="124">
          <cell r="B124" t="str">
            <v>498</v>
          </cell>
          <cell r="C124">
            <v>498</v>
          </cell>
          <cell r="D124" t="str">
            <v>Destapador Pie Cromado</v>
          </cell>
          <cell r="E124">
            <v>18</v>
          </cell>
          <cell r="F124">
            <v>0</v>
          </cell>
          <cell r="G124">
            <v>0</v>
          </cell>
          <cell r="H124">
            <v>18</v>
          </cell>
          <cell r="I124">
            <v>0</v>
          </cell>
          <cell r="J124" t="str">
            <v>Garcia</v>
          </cell>
        </row>
        <row r="125">
          <cell r="B125" t="str">
            <v>326</v>
          </cell>
          <cell r="C125">
            <v>326</v>
          </cell>
          <cell r="D125" t="str">
            <v xml:space="preserve">Espatula Plastica 3 Usos </v>
          </cell>
          <cell r="E125">
            <v>9</v>
          </cell>
          <cell r="F125">
            <v>0</v>
          </cell>
          <cell r="G125">
            <v>0</v>
          </cell>
          <cell r="H125">
            <v>9</v>
          </cell>
          <cell r="I125">
            <v>0</v>
          </cell>
          <cell r="J125" t="str">
            <v>The Plast</v>
          </cell>
        </row>
        <row r="126">
          <cell r="B126" t="str">
            <v>500</v>
          </cell>
          <cell r="C126">
            <v>500</v>
          </cell>
          <cell r="D126" t="str">
            <v xml:space="preserve">Abrelata Uña Pie Color   </v>
          </cell>
          <cell r="E126">
            <v>180</v>
          </cell>
          <cell r="F126">
            <v>0</v>
          </cell>
          <cell r="G126">
            <v>0</v>
          </cell>
          <cell r="H126">
            <v>180</v>
          </cell>
          <cell r="I126">
            <v>0</v>
          </cell>
          <cell r="J126" t="str">
            <v>Oscar</v>
          </cell>
        </row>
        <row r="127">
          <cell r="B127" t="str">
            <v>862</v>
          </cell>
          <cell r="C127">
            <v>862</v>
          </cell>
          <cell r="D127" t="str">
            <v>Corta Pizza Mgo Chef 6Cm</v>
          </cell>
          <cell r="E127">
            <v>22.5</v>
          </cell>
          <cell r="F127">
            <v>0</v>
          </cell>
          <cell r="G127">
            <v>0</v>
          </cell>
          <cell r="H127">
            <v>22.5</v>
          </cell>
          <cell r="I127">
            <v>0</v>
          </cell>
          <cell r="J127" t="str">
            <v>Martin C</v>
          </cell>
        </row>
        <row r="128">
          <cell r="B128" t="str">
            <v>594</v>
          </cell>
          <cell r="C128">
            <v>594</v>
          </cell>
          <cell r="D128" t="str">
            <v>Pinza De Fideos Mgo Plast X 12</v>
          </cell>
          <cell r="E128">
            <v>39</v>
          </cell>
          <cell r="F128">
            <v>0</v>
          </cell>
          <cell r="G128">
            <v>0</v>
          </cell>
          <cell r="H128">
            <v>39</v>
          </cell>
          <cell r="I128">
            <v>0</v>
          </cell>
          <cell r="J128" t="str">
            <v>Log/ Fabr</v>
          </cell>
        </row>
        <row r="129">
          <cell r="B129" t="str">
            <v>225</v>
          </cell>
          <cell r="C129">
            <v>225</v>
          </cell>
          <cell r="D129" t="str">
            <v>Cuchara Madera 35 Cm X 12</v>
          </cell>
          <cell r="E129">
            <v>200</v>
          </cell>
          <cell r="F129">
            <v>0</v>
          </cell>
          <cell r="G129">
            <v>0</v>
          </cell>
          <cell r="H129">
            <v>200</v>
          </cell>
          <cell r="I129">
            <v>0</v>
          </cell>
          <cell r="J129" t="str">
            <v>Pintos</v>
          </cell>
        </row>
        <row r="130">
          <cell r="B130" t="str">
            <v>534</v>
          </cell>
          <cell r="C130">
            <v>534</v>
          </cell>
          <cell r="D130" t="str">
            <v>Cepillo Lava Vajilla</v>
          </cell>
          <cell r="E130">
            <v>12</v>
          </cell>
          <cell r="F130">
            <v>0</v>
          </cell>
          <cell r="G130">
            <v>0</v>
          </cell>
          <cell r="H130">
            <v>12</v>
          </cell>
          <cell r="I130">
            <v>0</v>
          </cell>
          <cell r="J130" t="str">
            <v>Carlos E</v>
          </cell>
        </row>
        <row r="131">
          <cell r="B131" t="str">
            <v>585E</v>
          </cell>
          <cell r="C131" t="str">
            <v>585E</v>
          </cell>
          <cell r="D131" t="str">
            <v>Sac.Doble Aleta Fundicion</v>
          </cell>
          <cell r="E131">
            <v>75</v>
          </cell>
          <cell r="F131">
            <v>0</v>
          </cell>
          <cell r="G131">
            <v>0</v>
          </cell>
          <cell r="H131">
            <v>75</v>
          </cell>
          <cell r="I131">
            <v>0</v>
          </cell>
          <cell r="J131" t="str">
            <v>Racks</v>
          </cell>
        </row>
        <row r="132">
          <cell r="B132" t="str">
            <v>333</v>
          </cell>
          <cell r="C132">
            <v>333</v>
          </cell>
          <cell r="D132" t="str">
            <v xml:space="preserve">Espumadera Ac.Inox.      </v>
          </cell>
          <cell r="E132">
            <v>36</v>
          </cell>
          <cell r="F132">
            <v>0</v>
          </cell>
          <cell r="G132">
            <v>0</v>
          </cell>
          <cell r="H132">
            <v>36</v>
          </cell>
          <cell r="I132">
            <v>0</v>
          </cell>
          <cell r="J132" t="str">
            <v>Carlos E</v>
          </cell>
        </row>
        <row r="133">
          <cell r="B133" t="str">
            <v>221</v>
          </cell>
          <cell r="C133">
            <v>221</v>
          </cell>
          <cell r="D133" t="str">
            <v>Cuchara Madera 45 Cm X 12</v>
          </cell>
          <cell r="E133">
            <v>49.5</v>
          </cell>
          <cell r="F133">
            <v>0</v>
          </cell>
          <cell r="G133">
            <v>0</v>
          </cell>
          <cell r="H133">
            <v>49.5</v>
          </cell>
          <cell r="I133">
            <v>0</v>
          </cell>
          <cell r="J133" t="str">
            <v>Pintos</v>
          </cell>
        </row>
        <row r="134">
          <cell r="B134" t="str">
            <v>581</v>
          </cell>
          <cell r="C134">
            <v>581</v>
          </cell>
          <cell r="D134" t="str">
            <v>Sacacorcho Cabo Plastico</v>
          </cell>
          <cell r="E134">
            <v>96</v>
          </cell>
          <cell r="F134">
            <v>0</v>
          </cell>
          <cell r="G134">
            <v>0</v>
          </cell>
          <cell r="H134">
            <v>96</v>
          </cell>
          <cell r="I134">
            <v>0</v>
          </cell>
          <cell r="J134" t="str">
            <v>Martin C</v>
          </cell>
        </row>
        <row r="135">
          <cell r="B135" t="str">
            <v>035E</v>
          </cell>
          <cell r="C135" t="str">
            <v>035E</v>
          </cell>
          <cell r="D135" t="str">
            <v>Cernidor de Harina</v>
          </cell>
          <cell r="E135">
            <v>15</v>
          </cell>
          <cell r="F135">
            <v>0</v>
          </cell>
          <cell r="G135">
            <v>0</v>
          </cell>
          <cell r="H135">
            <v>15</v>
          </cell>
          <cell r="I135">
            <v>0</v>
          </cell>
          <cell r="J135" t="str">
            <v>Garcia</v>
          </cell>
        </row>
        <row r="136">
          <cell r="B136" t="str">
            <v>540E</v>
          </cell>
          <cell r="C136" t="str">
            <v>540E</v>
          </cell>
          <cell r="D136" t="str">
            <v>Sacacorcho Premium</v>
          </cell>
          <cell r="E136">
            <v>70.5</v>
          </cell>
          <cell r="F136">
            <v>0</v>
          </cell>
          <cell r="G136">
            <v>0</v>
          </cell>
          <cell r="H136">
            <v>70.5</v>
          </cell>
          <cell r="I136">
            <v>0</v>
          </cell>
          <cell r="J136" t="str">
            <v>Tierra Nativa</v>
          </cell>
        </row>
        <row r="137">
          <cell r="B137" t="str">
            <v>631</v>
          </cell>
          <cell r="C137">
            <v>631</v>
          </cell>
          <cell r="D137" t="str">
            <v>Espumadera Ac.Inox.</v>
          </cell>
          <cell r="E137">
            <v>6</v>
          </cell>
          <cell r="F137">
            <v>0</v>
          </cell>
          <cell r="G137">
            <v>0</v>
          </cell>
          <cell r="H137">
            <v>6</v>
          </cell>
          <cell r="I137">
            <v>0</v>
          </cell>
          <cell r="J137" t="str">
            <v>Carlos E</v>
          </cell>
        </row>
        <row r="138">
          <cell r="B138" t="str">
            <v>390</v>
          </cell>
          <cell r="C138">
            <v>390</v>
          </cell>
          <cell r="D138" t="str">
            <v>Cuchara Calada Nylon 1 Pz</v>
          </cell>
          <cell r="E138">
            <v>7.5</v>
          </cell>
          <cell r="F138">
            <v>0</v>
          </cell>
          <cell r="G138">
            <v>0</v>
          </cell>
          <cell r="H138">
            <v>7.5</v>
          </cell>
          <cell r="I138">
            <v>0</v>
          </cell>
          <cell r="J138" t="str">
            <v>Log/ Fabr</v>
          </cell>
        </row>
        <row r="139">
          <cell r="B139" t="str">
            <v>208</v>
          </cell>
          <cell r="C139">
            <v>208</v>
          </cell>
          <cell r="D139" t="str">
            <v>Cucharita 13cm Azucarera Madera</v>
          </cell>
          <cell r="E139">
            <v>18</v>
          </cell>
          <cell r="F139">
            <v>0</v>
          </cell>
          <cell r="G139">
            <v>0</v>
          </cell>
          <cell r="H139">
            <v>18</v>
          </cell>
          <cell r="I139">
            <v>0</v>
          </cell>
          <cell r="J139" t="str">
            <v>Pintos</v>
          </cell>
        </row>
        <row r="140">
          <cell r="B140" t="str">
            <v>114</v>
          </cell>
          <cell r="C140">
            <v>114</v>
          </cell>
          <cell r="D140" t="str">
            <v>Afila  Cuch  Loke</v>
          </cell>
          <cell r="E140">
            <v>44</v>
          </cell>
          <cell r="F140">
            <v>0</v>
          </cell>
          <cell r="G140">
            <v>0</v>
          </cell>
          <cell r="H140">
            <v>44</v>
          </cell>
          <cell r="I140">
            <v>0</v>
          </cell>
          <cell r="J140" t="str">
            <v>Martin C</v>
          </cell>
        </row>
        <row r="141">
          <cell r="B141" t="str">
            <v>207</v>
          </cell>
          <cell r="C141">
            <v>207</v>
          </cell>
          <cell r="D141" t="str">
            <v>Ñoquera Madera mango redondo</v>
          </cell>
          <cell r="E141">
            <v>60</v>
          </cell>
          <cell r="F141">
            <v>0</v>
          </cell>
          <cell r="G141">
            <v>0</v>
          </cell>
          <cell r="H141">
            <v>60</v>
          </cell>
          <cell r="I141">
            <v>0</v>
          </cell>
          <cell r="J141" t="str">
            <v>Tierra Nativa</v>
          </cell>
        </row>
        <row r="142">
          <cell r="B142" t="str">
            <v>709</v>
          </cell>
          <cell r="C142">
            <v>709</v>
          </cell>
          <cell r="D142" t="str">
            <v>Descorazonador De Manzana</v>
          </cell>
          <cell r="E142">
            <v>3</v>
          </cell>
          <cell r="F142">
            <v>0</v>
          </cell>
          <cell r="G142">
            <v>0</v>
          </cell>
          <cell r="H142">
            <v>3</v>
          </cell>
          <cell r="I142">
            <v>0</v>
          </cell>
          <cell r="J142" t="str">
            <v>Carlos E</v>
          </cell>
        </row>
        <row r="143">
          <cell r="B143" t="str">
            <v>111</v>
          </cell>
          <cell r="C143">
            <v>111</v>
          </cell>
          <cell r="D143" t="str">
            <v>Colador  N°10  Loke</v>
          </cell>
          <cell r="E143">
            <v>23</v>
          </cell>
          <cell r="F143">
            <v>0</v>
          </cell>
          <cell r="G143">
            <v>0</v>
          </cell>
          <cell r="H143">
            <v>23</v>
          </cell>
          <cell r="I143">
            <v>0</v>
          </cell>
          <cell r="J143" t="str">
            <v>Lopez Jose</v>
          </cell>
        </row>
        <row r="144">
          <cell r="B144" t="str">
            <v>332</v>
          </cell>
          <cell r="C144">
            <v>332</v>
          </cell>
          <cell r="D144" t="str">
            <v xml:space="preserve">Espatula Acero Inox.     </v>
          </cell>
          <cell r="E144">
            <v>16.5</v>
          </cell>
          <cell r="F144">
            <v>0</v>
          </cell>
          <cell r="G144">
            <v>0</v>
          </cell>
          <cell r="H144">
            <v>16.5</v>
          </cell>
          <cell r="I144">
            <v>0</v>
          </cell>
          <cell r="J144" t="str">
            <v>Carlos E</v>
          </cell>
        </row>
        <row r="145">
          <cell r="B145" t="str">
            <v>560</v>
          </cell>
          <cell r="C145">
            <v>560</v>
          </cell>
          <cell r="D145" t="str">
            <v xml:space="preserve">Pinza Chica              </v>
          </cell>
          <cell r="E145">
            <v>82.5</v>
          </cell>
          <cell r="F145">
            <v>0</v>
          </cell>
          <cell r="G145">
            <v>0</v>
          </cell>
          <cell r="H145">
            <v>82.5</v>
          </cell>
          <cell r="I145">
            <v>0</v>
          </cell>
          <cell r="J145" t="str">
            <v>Pedernera</v>
          </cell>
        </row>
        <row r="146">
          <cell r="B146" t="str">
            <v>334</v>
          </cell>
          <cell r="C146">
            <v>334</v>
          </cell>
          <cell r="D146" t="str">
            <v xml:space="preserve">Cuchara Salsera Inox     </v>
          </cell>
          <cell r="E146">
            <v>12</v>
          </cell>
          <cell r="F146">
            <v>0</v>
          </cell>
          <cell r="G146">
            <v>0</v>
          </cell>
          <cell r="H146">
            <v>12</v>
          </cell>
          <cell r="I146">
            <v>0</v>
          </cell>
          <cell r="J146" t="str">
            <v>Carlos E</v>
          </cell>
        </row>
        <row r="147">
          <cell r="B147" t="str">
            <v>547</v>
          </cell>
          <cell r="C147">
            <v>547</v>
          </cell>
          <cell r="D147" t="str">
            <v xml:space="preserve">Corta Torta              </v>
          </cell>
          <cell r="E147">
            <v>3</v>
          </cell>
          <cell r="F147">
            <v>0</v>
          </cell>
          <cell r="G147">
            <v>0</v>
          </cell>
          <cell r="H147">
            <v>3</v>
          </cell>
          <cell r="I147">
            <v>0</v>
          </cell>
          <cell r="J147" t="str">
            <v>Carlos E</v>
          </cell>
        </row>
        <row r="148">
          <cell r="B148" t="str">
            <v>336</v>
          </cell>
          <cell r="C148">
            <v>336</v>
          </cell>
          <cell r="D148" t="str">
            <v xml:space="preserve">Cucharon Ac.Inox.        </v>
          </cell>
          <cell r="E148">
            <v>27</v>
          </cell>
          <cell r="F148">
            <v>0</v>
          </cell>
          <cell r="G148">
            <v>0</v>
          </cell>
          <cell r="H148">
            <v>27</v>
          </cell>
          <cell r="I148">
            <v>0</v>
          </cell>
          <cell r="J148" t="str">
            <v>Carlos E</v>
          </cell>
        </row>
        <row r="149">
          <cell r="B149" t="str">
            <v>103</v>
          </cell>
          <cell r="C149">
            <v>103</v>
          </cell>
          <cell r="D149" t="str">
            <v>Abr Uña Pint Loke</v>
          </cell>
          <cell r="E149">
            <v>85.333333333333329</v>
          </cell>
          <cell r="F149">
            <v>0</v>
          </cell>
          <cell r="G149">
            <v>0</v>
          </cell>
          <cell r="H149">
            <v>85.333333333333329</v>
          </cell>
          <cell r="I149">
            <v>0</v>
          </cell>
          <cell r="J149" t="str">
            <v>Martin C</v>
          </cell>
        </row>
        <row r="150">
          <cell r="B150" t="str">
            <v>557</v>
          </cell>
          <cell r="C150">
            <v>557</v>
          </cell>
          <cell r="D150" t="str">
            <v xml:space="preserve">Bombilla Resorte Chata   </v>
          </cell>
          <cell r="E150">
            <v>18</v>
          </cell>
          <cell r="F150">
            <v>0</v>
          </cell>
          <cell r="G150">
            <v>0</v>
          </cell>
          <cell r="H150">
            <v>18</v>
          </cell>
          <cell r="I150">
            <v>0</v>
          </cell>
          <cell r="J150" t="str">
            <v>Oscar</v>
          </cell>
        </row>
        <row r="151">
          <cell r="B151" t="str">
            <v>525</v>
          </cell>
          <cell r="C151">
            <v>525</v>
          </cell>
          <cell r="D151" t="str">
            <v>Sacacorcho Cabo De Madera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>Lucho</v>
          </cell>
        </row>
        <row r="152">
          <cell r="B152" t="str">
            <v>110</v>
          </cell>
          <cell r="C152">
            <v>110</v>
          </cell>
          <cell r="D152" t="str">
            <v>Colador N° 8 Loke</v>
          </cell>
          <cell r="E152">
            <v>33.333333333333336</v>
          </cell>
          <cell r="F152">
            <v>0</v>
          </cell>
          <cell r="G152">
            <v>0</v>
          </cell>
          <cell r="H152">
            <v>33.333333333333336</v>
          </cell>
          <cell r="I152">
            <v>0</v>
          </cell>
          <cell r="J152" t="str">
            <v>Lopez Jose</v>
          </cell>
        </row>
        <row r="153">
          <cell r="B153" t="str">
            <v>053</v>
          </cell>
          <cell r="C153">
            <v>53</v>
          </cell>
          <cell r="D153" t="str">
            <v>Pinza De Fiambre Inox Cachas Plasticas 23Cm</v>
          </cell>
          <cell r="E153">
            <v>6</v>
          </cell>
          <cell r="F153">
            <v>0</v>
          </cell>
          <cell r="G153">
            <v>0</v>
          </cell>
          <cell r="H153">
            <v>6</v>
          </cell>
          <cell r="I153">
            <v>0</v>
          </cell>
          <cell r="J153" t="str">
            <v>Log/ Fabr</v>
          </cell>
        </row>
        <row r="154">
          <cell r="B154" t="str">
            <v>229</v>
          </cell>
          <cell r="C154">
            <v>229</v>
          </cell>
          <cell r="D154" t="str">
            <v xml:space="preserve">Ñoquera Madera           </v>
          </cell>
          <cell r="E154">
            <v>126</v>
          </cell>
          <cell r="F154">
            <v>0</v>
          </cell>
          <cell r="G154">
            <v>0</v>
          </cell>
          <cell r="H154">
            <v>126</v>
          </cell>
          <cell r="I154">
            <v>0</v>
          </cell>
          <cell r="J154" t="str">
            <v>Tierra Nativa</v>
          </cell>
        </row>
        <row r="155">
          <cell r="B155" t="str">
            <v>811E</v>
          </cell>
          <cell r="C155" t="str">
            <v>811E</v>
          </cell>
          <cell r="D155" t="str">
            <v>Corta Pizza C/Mgo Ergonom</v>
          </cell>
          <cell r="E155">
            <v>45</v>
          </cell>
          <cell r="F155">
            <v>0</v>
          </cell>
          <cell r="G155">
            <v>0</v>
          </cell>
          <cell r="H155">
            <v>45</v>
          </cell>
          <cell r="I155">
            <v>0</v>
          </cell>
          <cell r="J155" t="str">
            <v>Racks</v>
          </cell>
        </row>
        <row r="156">
          <cell r="B156" t="str">
            <v>108</v>
          </cell>
          <cell r="C156">
            <v>108</v>
          </cell>
          <cell r="D156" t="str">
            <v>Pel Mgo Met Loke</v>
          </cell>
          <cell r="E156">
            <v>34</v>
          </cell>
          <cell r="F156">
            <v>0</v>
          </cell>
          <cell r="G156">
            <v>0</v>
          </cell>
          <cell r="H156">
            <v>34</v>
          </cell>
          <cell r="I156">
            <v>0</v>
          </cell>
          <cell r="J156" t="str">
            <v>Poly</v>
          </cell>
        </row>
        <row r="157">
          <cell r="B157" t="str">
            <v>115</v>
          </cell>
          <cell r="C157">
            <v>115</v>
          </cell>
          <cell r="D157" t="str">
            <v>Batidor Pera Loke</v>
          </cell>
          <cell r="E157">
            <v>26</v>
          </cell>
          <cell r="F157">
            <v>0</v>
          </cell>
          <cell r="G157">
            <v>0</v>
          </cell>
          <cell r="H157">
            <v>26</v>
          </cell>
          <cell r="I157">
            <v>0</v>
          </cell>
          <cell r="J157" t="str">
            <v>Pedernera</v>
          </cell>
        </row>
        <row r="158">
          <cell r="B158" t="str">
            <v>515</v>
          </cell>
          <cell r="C158">
            <v>515</v>
          </cell>
          <cell r="D158" t="str">
            <v xml:space="preserve">Batidor Resorte          </v>
          </cell>
          <cell r="E158">
            <v>55.2</v>
          </cell>
          <cell r="F158">
            <v>0</v>
          </cell>
          <cell r="G158">
            <v>0</v>
          </cell>
          <cell r="H158">
            <v>55.2</v>
          </cell>
          <cell r="I158">
            <v>0</v>
          </cell>
          <cell r="J158" t="str">
            <v>Carlos E</v>
          </cell>
        </row>
        <row r="159">
          <cell r="B159" t="str">
            <v>503E</v>
          </cell>
          <cell r="C159" t="str">
            <v>503E</v>
          </cell>
          <cell r="D159" t="str">
            <v>Abrelatas Doble Engranaje</v>
          </cell>
          <cell r="E159">
            <v>45</v>
          </cell>
          <cell r="F159">
            <v>0</v>
          </cell>
          <cell r="G159">
            <v>0</v>
          </cell>
          <cell r="H159">
            <v>45</v>
          </cell>
          <cell r="I159">
            <v>0</v>
          </cell>
          <cell r="J159" t="str">
            <v>Racks</v>
          </cell>
        </row>
        <row r="160">
          <cell r="B160" t="str">
            <v>335</v>
          </cell>
          <cell r="C160">
            <v>335</v>
          </cell>
          <cell r="D160" t="str">
            <v xml:space="preserve">Cuchara Calada Ac.Inox.  </v>
          </cell>
          <cell r="E160">
            <v>7.5</v>
          </cell>
          <cell r="F160">
            <v>0</v>
          </cell>
          <cell r="G160">
            <v>0</v>
          </cell>
          <cell r="H160">
            <v>7.5</v>
          </cell>
          <cell r="I160">
            <v>0</v>
          </cell>
          <cell r="J160" t="str">
            <v>Carlos E</v>
          </cell>
        </row>
        <row r="161">
          <cell r="B161" t="str">
            <v>596</v>
          </cell>
          <cell r="C161">
            <v>596</v>
          </cell>
          <cell r="D161" t="str">
            <v>Pinza De Ensalada Mgo Pla X 12</v>
          </cell>
          <cell r="E161">
            <v>13.5</v>
          </cell>
          <cell r="F161">
            <v>0</v>
          </cell>
          <cell r="G161">
            <v>0</v>
          </cell>
          <cell r="H161">
            <v>13.5</v>
          </cell>
          <cell r="I161">
            <v>0</v>
          </cell>
          <cell r="J161" t="str">
            <v>Log/ Fabr</v>
          </cell>
        </row>
        <row r="162">
          <cell r="B162" t="str">
            <v>311</v>
          </cell>
          <cell r="C162">
            <v>311</v>
          </cell>
          <cell r="D162" t="str">
            <v xml:space="preserve">Cuchillo Torta Acero Inox </v>
          </cell>
          <cell r="E162">
            <v>12</v>
          </cell>
          <cell r="F162">
            <v>0</v>
          </cell>
          <cell r="G162">
            <v>0</v>
          </cell>
          <cell r="H162">
            <v>12</v>
          </cell>
          <cell r="I162">
            <v>0</v>
          </cell>
          <cell r="J162" t="str">
            <v>Martin C</v>
          </cell>
        </row>
        <row r="163">
          <cell r="B163" t="str">
            <v>223</v>
          </cell>
          <cell r="C163">
            <v>223</v>
          </cell>
          <cell r="D163" t="str">
            <v>Cuchara Madera 25 Cm X 12</v>
          </cell>
          <cell r="E163">
            <v>34.5</v>
          </cell>
          <cell r="F163">
            <v>0</v>
          </cell>
          <cell r="G163">
            <v>0</v>
          </cell>
          <cell r="H163">
            <v>34.5</v>
          </cell>
          <cell r="I163">
            <v>0</v>
          </cell>
          <cell r="J163" t="str">
            <v>Pintos</v>
          </cell>
        </row>
        <row r="164">
          <cell r="B164" t="str">
            <v>810E</v>
          </cell>
          <cell r="C164" t="str">
            <v>810E</v>
          </cell>
          <cell r="D164" t="str">
            <v>Corta Queso Semiduros A/I</v>
          </cell>
          <cell r="E164">
            <v>30</v>
          </cell>
          <cell r="F164">
            <v>0</v>
          </cell>
          <cell r="G164">
            <v>0</v>
          </cell>
          <cell r="H164">
            <v>30</v>
          </cell>
          <cell r="I164">
            <v>0</v>
          </cell>
          <cell r="J164" t="str">
            <v>Racks</v>
          </cell>
        </row>
        <row r="165">
          <cell r="B165" t="str">
            <v>224</v>
          </cell>
          <cell r="C165">
            <v>224</v>
          </cell>
          <cell r="D165" t="str">
            <v>Cuchara 30cm</v>
          </cell>
          <cell r="E165">
            <v>73.5</v>
          </cell>
          <cell r="F165">
            <v>0</v>
          </cell>
          <cell r="G165">
            <v>0</v>
          </cell>
          <cell r="H165">
            <v>73.5</v>
          </cell>
          <cell r="I165">
            <v>0</v>
          </cell>
          <cell r="J165" t="str">
            <v>Pintos</v>
          </cell>
        </row>
        <row r="166">
          <cell r="B166" t="str">
            <v>569</v>
          </cell>
          <cell r="C166">
            <v>569</v>
          </cell>
          <cell r="D166" t="str">
            <v xml:space="preserve">Pelanaranjas X 1 Display </v>
          </cell>
          <cell r="E166">
            <v>21</v>
          </cell>
          <cell r="F166">
            <v>0</v>
          </cell>
          <cell r="G166">
            <v>0</v>
          </cell>
          <cell r="H166">
            <v>21</v>
          </cell>
          <cell r="I166">
            <v>0</v>
          </cell>
          <cell r="J166" t="str">
            <v>Lucho</v>
          </cell>
        </row>
        <row r="167">
          <cell r="B167" t="str">
            <v>601E</v>
          </cell>
          <cell r="C167" t="str">
            <v>601E</v>
          </cell>
          <cell r="D167" t="str">
            <v>Pinza Puntera Siliciona</v>
          </cell>
          <cell r="E167">
            <v>30</v>
          </cell>
          <cell r="F167">
            <v>0</v>
          </cell>
          <cell r="G167">
            <v>0</v>
          </cell>
          <cell r="H167">
            <v>30</v>
          </cell>
          <cell r="I167">
            <v>0</v>
          </cell>
          <cell r="J167" t="str">
            <v>Tierra Nativa</v>
          </cell>
        </row>
        <row r="168">
          <cell r="B168" t="str">
            <v>059</v>
          </cell>
          <cell r="C168">
            <v>59</v>
          </cell>
          <cell r="D168" t="str">
            <v>Cuchillito De Untar Plast</v>
          </cell>
          <cell r="E168">
            <v>18</v>
          </cell>
          <cell r="F168">
            <v>0</v>
          </cell>
          <cell r="G168">
            <v>0</v>
          </cell>
          <cell r="H168">
            <v>18</v>
          </cell>
          <cell r="I168">
            <v>0</v>
          </cell>
          <cell r="J168" t="str">
            <v>Log/ Fabr</v>
          </cell>
        </row>
        <row r="169">
          <cell r="B169" t="str">
            <v>363E</v>
          </cell>
          <cell r="C169" t="str">
            <v>363E</v>
          </cell>
          <cell r="D169" t="str">
            <v>Rallador Gurmet Grano Fin</v>
          </cell>
          <cell r="E169">
            <v>18</v>
          </cell>
          <cell r="F169">
            <v>0</v>
          </cell>
          <cell r="G169">
            <v>0</v>
          </cell>
          <cell r="H169">
            <v>18</v>
          </cell>
          <cell r="I169">
            <v>0</v>
          </cell>
          <cell r="J169" t="str">
            <v>Racks</v>
          </cell>
        </row>
        <row r="170">
          <cell r="B170" t="str">
            <v>539E</v>
          </cell>
          <cell r="C170" t="str">
            <v>539E</v>
          </cell>
          <cell r="D170" t="str">
            <v>Sacacorcho Negro</v>
          </cell>
          <cell r="E170">
            <v>75</v>
          </cell>
          <cell r="F170">
            <v>0</v>
          </cell>
          <cell r="G170">
            <v>0</v>
          </cell>
          <cell r="H170">
            <v>75</v>
          </cell>
          <cell r="I170">
            <v>0</v>
          </cell>
          <cell r="J170" t="str">
            <v>Tierra Nativa</v>
          </cell>
        </row>
        <row r="171">
          <cell r="B171" t="str">
            <v>538E</v>
          </cell>
          <cell r="C171" t="str">
            <v>538E</v>
          </cell>
          <cell r="D171" t="str">
            <v>Sacacorcho Azul</v>
          </cell>
          <cell r="E171">
            <v>15</v>
          </cell>
          <cell r="F171">
            <v>0</v>
          </cell>
          <cell r="G171">
            <v>0</v>
          </cell>
          <cell r="H171">
            <v>15</v>
          </cell>
          <cell r="I171">
            <v>0</v>
          </cell>
          <cell r="J171" t="str">
            <v>Tierra Nativa</v>
          </cell>
        </row>
        <row r="172">
          <cell r="B172" t="str">
            <v>328E</v>
          </cell>
          <cell r="C172" t="str">
            <v>328E</v>
          </cell>
          <cell r="D172" t="str">
            <v xml:space="preserve">Rallador Plano 3 Usos Ac </v>
          </cell>
          <cell r="E172">
            <v>39</v>
          </cell>
          <cell r="F172">
            <v>0</v>
          </cell>
          <cell r="G172">
            <v>0</v>
          </cell>
          <cell r="H172">
            <v>39</v>
          </cell>
          <cell r="I172">
            <v>0</v>
          </cell>
          <cell r="J172" t="str">
            <v>Racks</v>
          </cell>
        </row>
        <row r="173">
          <cell r="B173" t="str">
            <v>360E</v>
          </cell>
          <cell r="C173" t="str">
            <v>360E</v>
          </cell>
          <cell r="D173" t="str">
            <v xml:space="preserve">Rallador 4 Lados A/I Mgo </v>
          </cell>
          <cell r="E173">
            <v>22.5</v>
          </cell>
          <cell r="F173">
            <v>0</v>
          </cell>
          <cell r="G173">
            <v>0</v>
          </cell>
          <cell r="H173">
            <v>22.5</v>
          </cell>
          <cell r="I173">
            <v>0</v>
          </cell>
          <cell r="J173" t="str">
            <v>Racks</v>
          </cell>
        </row>
        <row r="174">
          <cell r="B174" t="str">
            <v>366E</v>
          </cell>
          <cell r="C174" t="str">
            <v>366E</v>
          </cell>
          <cell r="D174" t="str">
            <v>Rallador Conico A/I X 12</v>
          </cell>
          <cell r="E174">
            <v>15</v>
          </cell>
          <cell r="F174">
            <v>0</v>
          </cell>
          <cell r="G174">
            <v>0</v>
          </cell>
          <cell r="H174">
            <v>15</v>
          </cell>
          <cell r="I174">
            <v>0</v>
          </cell>
          <cell r="J174" t="str">
            <v>Racks</v>
          </cell>
        </row>
        <row r="175">
          <cell r="B175" t="str">
            <v>589E</v>
          </cell>
          <cell r="C175" t="str">
            <v>589E</v>
          </cell>
          <cell r="D175" t="str">
            <v>Pelador Acrilico</v>
          </cell>
          <cell r="E175">
            <v>30</v>
          </cell>
          <cell r="F175">
            <v>0</v>
          </cell>
          <cell r="G175">
            <v>0</v>
          </cell>
          <cell r="H175">
            <v>30</v>
          </cell>
          <cell r="I175">
            <v>0</v>
          </cell>
          <cell r="J175" t="str">
            <v>Racks</v>
          </cell>
        </row>
        <row r="176">
          <cell r="B176" t="str">
            <v>323E</v>
          </cell>
          <cell r="C176" t="str">
            <v>323E</v>
          </cell>
          <cell r="D176" t="str">
            <v>Rallador 4 Lados Mini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Racks</v>
          </cell>
        </row>
        <row r="177">
          <cell r="B177">
            <v>234</v>
          </cell>
          <cell r="C177">
            <v>234</v>
          </cell>
          <cell r="D177" t="str">
            <v>Palo de Amasar Frances 40 cm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Tierra Nativa</v>
          </cell>
        </row>
        <row r="178">
          <cell r="B178">
            <v>591</v>
          </cell>
          <cell r="C178">
            <v>591</v>
          </cell>
          <cell r="D178" t="str">
            <v>Despolvillador de Yerba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 t="str">
            <v>Tierra Nativa</v>
          </cell>
        </row>
        <row r="179">
          <cell r="B179">
            <v>597</v>
          </cell>
          <cell r="C179">
            <v>597</v>
          </cell>
          <cell r="D179" t="str">
            <v>Mate Autocebante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Tierra Nativa</v>
          </cell>
        </row>
        <row r="180">
          <cell r="B180" t="str">
            <v>960E</v>
          </cell>
          <cell r="C180" t="str">
            <v>960E</v>
          </cell>
          <cell r="D180" t="str">
            <v>Pincel Silicona 52gms</v>
          </cell>
          <cell r="E180">
            <v>75</v>
          </cell>
          <cell r="F180">
            <v>0</v>
          </cell>
          <cell r="G180">
            <v>0</v>
          </cell>
          <cell r="H180">
            <v>75</v>
          </cell>
          <cell r="I180">
            <v>0</v>
          </cell>
          <cell r="J180" t="str">
            <v>Tierra Nativa</v>
          </cell>
        </row>
        <row r="181">
          <cell r="B181" t="str">
            <v>606E</v>
          </cell>
          <cell r="C181" t="str">
            <v>606E</v>
          </cell>
          <cell r="D181" t="str">
            <v xml:space="preserve">Pinza 30 cm Ac Inox c/ Silic </v>
          </cell>
          <cell r="E181">
            <v>40</v>
          </cell>
          <cell r="F181">
            <v>0</v>
          </cell>
          <cell r="G181">
            <v>0</v>
          </cell>
          <cell r="H181">
            <v>40</v>
          </cell>
          <cell r="I181">
            <v>0</v>
          </cell>
          <cell r="J181" t="str">
            <v>Tierra Nativa</v>
          </cell>
        </row>
        <row r="182">
          <cell r="B182" t="str">
            <v>054</v>
          </cell>
          <cell r="C182">
            <v>54</v>
          </cell>
          <cell r="D182" t="str">
            <v>Pinza De Ensalada Inox Cachas Plasticas 23Cm</v>
          </cell>
          <cell r="E182">
            <v>3</v>
          </cell>
          <cell r="F182">
            <v>0</v>
          </cell>
          <cell r="G182">
            <v>0</v>
          </cell>
          <cell r="H182">
            <v>3</v>
          </cell>
          <cell r="I182">
            <v>0</v>
          </cell>
          <cell r="J182" t="str">
            <v>Log/ Fabr</v>
          </cell>
        </row>
        <row r="183">
          <cell r="B183" t="str">
            <v>952E</v>
          </cell>
          <cell r="C183" t="str">
            <v>952E</v>
          </cell>
          <cell r="D183" t="str">
            <v>Cuchara Silicona Mgo Bambú</v>
          </cell>
          <cell r="E183">
            <v>10</v>
          </cell>
          <cell r="F183">
            <v>0</v>
          </cell>
          <cell r="G183">
            <v>0</v>
          </cell>
          <cell r="H183">
            <v>10</v>
          </cell>
          <cell r="I183">
            <v>0</v>
          </cell>
          <cell r="J183" t="str">
            <v>Tierra Nativa</v>
          </cell>
        </row>
        <row r="184">
          <cell r="B184" t="str">
            <v>934E</v>
          </cell>
          <cell r="C184" t="str">
            <v>934E</v>
          </cell>
          <cell r="D184" t="str">
            <v>Cuchara Fideos Nylon Mgo Mad</v>
          </cell>
          <cell r="E184">
            <v>10</v>
          </cell>
          <cell r="F184">
            <v>0</v>
          </cell>
          <cell r="G184">
            <v>0</v>
          </cell>
          <cell r="H184">
            <v>10</v>
          </cell>
          <cell r="I184">
            <v>0</v>
          </cell>
          <cell r="J184" t="str">
            <v>Tierra Nativa</v>
          </cell>
        </row>
        <row r="185">
          <cell r="B185" t="str">
            <v>932E</v>
          </cell>
          <cell r="C185" t="str">
            <v>932E</v>
          </cell>
          <cell r="D185" t="str">
            <v>Cuchara Nylon Mgo Madera</v>
          </cell>
          <cell r="E185">
            <v>10</v>
          </cell>
          <cell r="F185">
            <v>0</v>
          </cell>
          <cell r="G185">
            <v>0</v>
          </cell>
          <cell r="H185">
            <v>10</v>
          </cell>
          <cell r="I185">
            <v>0</v>
          </cell>
          <cell r="J185" t="str">
            <v>Tierra Nativa</v>
          </cell>
        </row>
        <row r="186">
          <cell r="B186" t="str">
            <v>953E</v>
          </cell>
          <cell r="C186" t="str">
            <v>953E</v>
          </cell>
          <cell r="D186" t="str">
            <v>Cucharon Silicona Mgo Bambú</v>
          </cell>
          <cell r="E186">
            <v>10</v>
          </cell>
          <cell r="F186">
            <v>0</v>
          </cell>
          <cell r="G186">
            <v>0</v>
          </cell>
          <cell r="H186">
            <v>10</v>
          </cell>
          <cell r="I186">
            <v>0</v>
          </cell>
          <cell r="J186" t="str">
            <v>Tierra Nativa</v>
          </cell>
        </row>
        <row r="187">
          <cell r="B187" t="str">
            <v>936E</v>
          </cell>
          <cell r="C187" t="str">
            <v>936E</v>
          </cell>
          <cell r="D187" t="str">
            <v>Espumadera Nylon  Mgo Madera</v>
          </cell>
          <cell r="E187">
            <v>10</v>
          </cell>
          <cell r="F187">
            <v>0</v>
          </cell>
          <cell r="G187">
            <v>0</v>
          </cell>
          <cell r="H187">
            <v>10</v>
          </cell>
          <cell r="I187">
            <v>0</v>
          </cell>
          <cell r="J187" t="str">
            <v>Tierra Nativa</v>
          </cell>
        </row>
        <row r="188">
          <cell r="B188" t="str">
            <v>937E</v>
          </cell>
          <cell r="C188" t="str">
            <v>937E</v>
          </cell>
          <cell r="D188" t="str">
            <v>Batidor Pera  Nylon  Mgo Madera</v>
          </cell>
          <cell r="E188">
            <v>10</v>
          </cell>
          <cell r="F188">
            <v>0</v>
          </cell>
          <cell r="G188">
            <v>0</v>
          </cell>
          <cell r="H188">
            <v>10</v>
          </cell>
          <cell r="I188">
            <v>0</v>
          </cell>
          <cell r="J188" t="str">
            <v>Tierra Nativa</v>
          </cell>
        </row>
        <row r="189">
          <cell r="B189" t="str">
            <v>955E</v>
          </cell>
          <cell r="C189" t="str">
            <v>955E</v>
          </cell>
          <cell r="D189" t="str">
            <v xml:space="preserve"> Espatula Silicona Mgo Bambú</v>
          </cell>
          <cell r="E189">
            <v>10</v>
          </cell>
          <cell r="F189">
            <v>0</v>
          </cell>
          <cell r="G189">
            <v>0</v>
          </cell>
          <cell r="H189">
            <v>10</v>
          </cell>
          <cell r="I189">
            <v>0</v>
          </cell>
          <cell r="J189" t="str">
            <v>Tierra Nativa</v>
          </cell>
        </row>
        <row r="190">
          <cell r="B190" t="str">
            <v>933E</v>
          </cell>
          <cell r="C190" t="str">
            <v>933E</v>
          </cell>
          <cell r="D190" t="str">
            <v>Cucharon Nylon Mgo Madera</v>
          </cell>
          <cell r="E190">
            <v>10</v>
          </cell>
          <cell r="F190">
            <v>0</v>
          </cell>
          <cell r="G190">
            <v>0</v>
          </cell>
          <cell r="H190">
            <v>10</v>
          </cell>
          <cell r="I190">
            <v>0</v>
          </cell>
          <cell r="J190" t="str">
            <v>Tierra Nativa</v>
          </cell>
        </row>
        <row r="191">
          <cell r="B191" t="str">
            <v>935E</v>
          </cell>
          <cell r="C191" t="str">
            <v>935E</v>
          </cell>
          <cell r="D191" t="str">
            <v>Espatula Calada Nylon Mgo Madera</v>
          </cell>
          <cell r="E191">
            <v>10</v>
          </cell>
          <cell r="F191">
            <v>0</v>
          </cell>
          <cell r="G191">
            <v>0</v>
          </cell>
          <cell r="H191">
            <v>10</v>
          </cell>
          <cell r="I191">
            <v>0</v>
          </cell>
          <cell r="J191" t="str">
            <v>Tierra Nativa</v>
          </cell>
        </row>
        <row r="192">
          <cell r="B192" t="str">
            <v>870E</v>
          </cell>
          <cell r="C192" t="str">
            <v>870E</v>
          </cell>
          <cell r="D192" t="str">
            <v>Mandolina Rallador</v>
          </cell>
          <cell r="E192">
            <v>10</v>
          </cell>
          <cell r="F192">
            <v>0</v>
          </cell>
          <cell r="G192">
            <v>0</v>
          </cell>
          <cell r="H192">
            <v>10</v>
          </cell>
          <cell r="I192">
            <v>0</v>
          </cell>
          <cell r="J192" t="str">
            <v>Racks</v>
          </cell>
        </row>
        <row r="193">
          <cell r="B193"/>
          <cell r="C193"/>
          <cell r="D193"/>
          <cell r="E193"/>
          <cell r="F193"/>
          <cell r="G193"/>
          <cell r="H193"/>
          <cell r="I193"/>
          <cell r="J193"/>
        </row>
        <row r="194">
          <cell r="B194" t="str">
            <v>307</v>
          </cell>
          <cell r="C194">
            <v>307</v>
          </cell>
          <cell r="D194" t="str">
            <v>Cepillo Limpia Vaso Y Mamadera</v>
          </cell>
          <cell r="E194">
            <v>30</v>
          </cell>
          <cell r="F194">
            <v>0</v>
          </cell>
          <cell r="G194">
            <v>0</v>
          </cell>
          <cell r="H194">
            <v>30</v>
          </cell>
          <cell r="I194">
            <v>0</v>
          </cell>
          <cell r="J194" t="str">
            <v>Carlos E</v>
          </cell>
        </row>
        <row r="195">
          <cell r="B195" t="str">
            <v>437E-</v>
          </cell>
          <cell r="C195" t="str">
            <v>437E-</v>
          </cell>
          <cell r="D195" t="str">
            <v xml:space="preserve">Colador N°16         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 t="str">
            <v>Garcia</v>
          </cell>
        </row>
        <row r="196">
          <cell r="B196" t="str">
            <v>438E-</v>
          </cell>
          <cell r="C196" t="str">
            <v>438E-</v>
          </cell>
          <cell r="D196" t="str">
            <v>Colador N°20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 t="str">
            <v>Garcia</v>
          </cell>
        </row>
        <row r="197">
          <cell r="B197" t="str">
            <v>712E</v>
          </cell>
          <cell r="C197" t="str">
            <v>712E</v>
          </cell>
          <cell r="D197" t="str">
            <v>Pelador Mgo Plastico Econ</v>
          </cell>
          <cell r="E197">
            <v>30</v>
          </cell>
          <cell r="F197">
            <v>0</v>
          </cell>
          <cell r="G197">
            <v>0</v>
          </cell>
          <cell r="H197">
            <v>30</v>
          </cell>
          <cell r="I197">
            <v>0</v>
          </cell>
          <cell r="J197" t="str">
            <v>Racks</v>
          </cell>
        </row>
        <row r="198">
          <cell r="B198" t="str">
            <v>865E</v>
          </cell>
          <cell r="C198" t="str">
            <v>865E</v>
          </cell>
          <cell r="D198" t="str">
            <v>Rallador Plano A/I 3 Usos</v>
          </cell>
          <cell r="E198">
            <v>15</v>
          </cell>
          <cell r="F198">
            <v>0</v>
          </cell>
          <cell r="G198">
            <v>0</v>
          </cell>
          <cell r="H198">
            <v>15</v>
          </cell>
          <cell r="I198">
            <v>0</v>
          </cell>
          <cell r="J198" t="str">
            <v>Racks</v>
          </cell>
        </row>
        <row r="199">
          <cell r="B199" t="str">
            <v>828</v>
          </cell>
          <cell r="C199">
            <v>828</v>
          </cell>
          <cell r="D199" t="str">
            <v>Colador Ø 16Cm</v>
          </cell>
          <cell r="E199">
            <v>7.5</v>
          </cell>
          <cell r="F199">
            <v>0</v>
          </cell>
          <cell r="G199">
            <v>0</v>
          </cell>
          <cell r="H199">
            <v>7.5</v>
          </cell>
          <cell r="I199">
            <v>0</v>
          </cell>
          <cell r="J199" t="str">
            <v>Lopez Jose</v>
          </cell>
        </row>
        <row r="200">
          <cell r="B200" t="str">
            <v>830</v>
          </cell>
          <cell r="C200">
            <v>830</v>
          </cell>
          <cell r="D200" t="str">
            <v>Colador Ø 20Cm</v>
          </cell>
          <cell r="E200">
            <v>6</v>
          </cell>
          <cell r="F200">
            <v>0</v>
          </cell>
          <cell r="G200">
            <v>0</v>
          </cell>
          <cell r="H200">
            <v>6</v>
          </cell>
          <cell r="I200">
            <v>0</v>
          </cell>
          <cell r="J200" t="str">
            <v>Lopez Jose</v>
          </cell>
        </row>
        <row r="201">
          <cell r="B201" t="str">
            <v>609</v>
          </cell>
          <cell r="C201">
            <v>609</v>
          </cell>
          <cell r="D201" t="str">
            <v>Pisa Papas Acero Inox</v>
          </cell>
          <cell r="E201">
            <v>40</v>
          </cell>
          <cell r="F201">
            <v>0</v>
          </cell>
          <cell r="G201">
            <v>0</v>
          </cell>
          <cell r="H201">
            <v>40</v>
          </cell>
          <cell r="I201">
            <v>0</v>
          </cell>
          <cell r="J201" t="str">
            <v>German / Garcia</v>
          </cell>
        </row>
        <row r="202">
          <cell r="B202" t="str">
            <v>613</v>
          </cell>
          <cell r="C202">
            <v>613</v>
          </cell>
          <cell r="D202" t="str">
            <v>Cuchara Calada 1 Pieza Ac. Inox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 t="str">
            <v>Carlos E</v>
          </cell>
        </row>
        <row r="203">
          <cell r="B203" t="str">
            <v>615</v>
          </cell>
          <cell r="C203">
            <v>615</v>
          </cell>
          <cell r="D203" t="str">
            <v>Batidor Resorte</v>
          </cell>
          <cell r="E203">
            <v>7.5</v>
          </cell>
          <cell r="F203">
            <v>0</v>
          </cell>
          <cell r="G203">
            <v>0</v>
          </cell>
          <cell r="H203">
            <v>7.5</v>
          </cell>
          <cell r="I203">
            <v>0</v>
          </cell>
          <cell r="J203" t="str">
            <v>Carlos E</v>
          </cell>
        </row>
        <row r="204">
          <cell r="B204" t="str">
            <v>618</v>
          </cell>
          <cell r="C204">
            <v>618</v>
          </cell>
          <cell r="D204" t="str">
            <v>Espatula Repostera Goma 24Cm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 t="str">
            <v>Paternal Goma</v>
          </cell>
        </row>
        <row r="205">
          <cell r="B205" t="str">
            <v>619</v>
          </cell>
          <cell r="C205">
            <v>619</v>
          </cell>
          <cell r="D205" t="str">
            <v>Espatula Repostera Goma Gastronomica 35Cm</v>
          </cell>
          <cell r="E205">
            <v>3</v>
          </cell>
          <cell r="F205">
            <v>0</v>
          </cell>
          <cell r="G205">
            <v>0</v>
          </cell>
          <cell r="H205">
            <v>3</v>
          </cell>
          <cell r="I205">
            <v>0</v>
          </cell>
          <cell r="J205" t="str">
            <v>Paternal Goma</v>
          </cell>
        </row>
        <row r="206">
          <cell r="B206" t="str">
            <v>630</v>
          </cell>
          <cell r="C206">
            <v>630</v>
          </cell>
          <cell r="D206" t="str">
            <v>Cucharon Ac.Inox.</v>
          </cell>
          <cell r="E206">
            <v>9</v>
          </cell>
          <cell r="F206">
            <v>0</v>
          </cell>
          <cell r="G206">
            <v>0</v>
          </cell>
          <cell r="H206">
            <v>9</v>
          </cell>
          <cell r="I206">
            <v>0</v>
          </cell>
          <cell r="J206" t="str">
            <v>Carlos E</v>
          </cell>
        </row>
        <row r="207">
          <cell r="B207" t="str">
            <v>764</v>
          </cell>
          <cell r="C207">
            <v>764</v>
          </cell>
          <cell r="D207" t="str">
            <v>Cepillo Limpia Bombilla</v>
          </cell>
          <cell r="E207">
            <v>28</v>
          </cell>
          <cell r="F207">
            <v>0</v>
          </cell>
          <cell r="G207">
            <v>0</v>
          </cell>
          <cell r="H207">
            <v>28</v>
          </cell>
          <cell r="I207">
            <v>0</v>
          </cell>
          <cell r="J207" t="str">
            <v>Oscar</v>
          </cell>
        </row>
        <row r="208">
          <cell r="B208" t="str">
            <v>632</v>
          </cell>
          <cell r="C208">
            <v>632</v>
          </cell>
          <cell r="D208" t="str">
            <v>Tenedor Carne Ac.Inox.</v>
          </cell>
          <cell r="E208">
            <v>3</v>
          </cell>
          <cell r="F208">
            <v>0</v>
          </cell>
          <cell r="G208">
            <v>0</v>
          </cell>
          <cell r="H208">
            <v>3</v>
          </cell>
          <cell r="I208">
            <v>0</v>
          </cell>
          <cell r="J208" t="str">
            <v>Carlos E</v>
          </cell>
        </row>
        <row r="209">
          <cell r="B209" t="str">
            <v>633</v>
          </cell>
          <cell r="C209">
            <v>633</v>
          </cell>
          <cell r="D209" t="str">
            <v>Cuchara Salsera Inox</v>
          </cell>
          <cell r="E209">
            <v>4.5</v>
          </cell>
          <cell r="F209">
            <v>0</v>
          </cell>
          <cell r="G209">
            <v>0</v>
          </cell>
          <cell r="H209">
            <v>4.5</v>
          </cell>
          <cell r="I209">
            <v>0</v>
          </cell>
          <cell r="J209" t="str">
            <v>Carlos E</v>
          </cell>
        </row>
        <row r="210">
          <cell r="B210" t="str">
            <v>634</v>
          </cell>
          <cell r="C210">
            <v>634</v>
          </cell>
          <cell r="D210" t="str">
            <v>Cuchara Calada Ac.Inox.</v>
          </cell>
          <cell r="E210">
            <v>1.5</v>
          </cell>
          <cell r="F210">
            <v>0</v>
          </cell>
          <cell r="G210">
            <v>0</v>
          </cell>
          <cell r="H210">
            <v>1.5</v>
          </cell>
          <cell r="I210">
            <v>0</v>
          </cell>
          <cell r="J210" t="str">
            <v>Carlos E</v>
          </cell>
        </row>
        <row r="211">
          <cell r="B211" t="str">
            <v>635</v>
          </cell>
          <cell r="C211">
            <v>635</v>
          </cell>
          <cell r="D211" t="str">
            <v>Espatula Lisa Ac.Inox.</v>
          </cell>
          <cell r="E211">
            <v>6</v>
          </cell>
          <cell r="F211">
            <v>0</v>
          </cell>
          <cell r="G211">
            <v>0</v>
          </cell>
          <cell r="H211">
            <v>6</v>
          </cell>
          <cell r="I211">
            <v>0</v>
          </cell>
          <cell r="J211" t="str">
            <v>Carlos E</v>
          </cell>
        </row>
        <row r="212">
          <cell r="B212" t="str">
            <v>636</v>
          </cell>
          <cell r="C212">
            <v>636</v>
          </cell>
          <cell r="D212" t="str">
            <v>Espatula Calada Ac. Inox.</v>
          </cell>
          <cell r="E212">
            <v>6</v>
          </cell>
          <cell r="F212">
            <v>0</v>
          </cell>
          <cell r="G212">
            <v>0</v>
          </cell>
          <cell r="H212">
            <v>6</v>
          </cell>
          <cell r="I212">
            <v>0</v>
          </cell>
          <cell r="J212" t="str">
            <v>Carlos E</v>
          </cell>
        </row>
        <row r="213">
          <cell r="B213" t="str">
            <v>637</v>
          </cell>
          <cell r="C213">
            <v>637</v>
          </cell>
          <cell r="D213" t="str">
            <v>Cuchara Spaghetti Ac. Inox</v>
          </cell>
          <cell r="E213">
            <v>3</v>
          </cell>
          <cell r="F213">
            <v>0</v>
          </cell>
          <cell r="G213">
            <v>0</v>
          </cell>
          <cell r="H213">
            <v>3</v>
          </cell>
          <cell r="I213">
            <v>0</v>
          </cell>
          <cell r="J213" t="str">
            <v>Carlos E</v>
          </cell>
        </row>
        <row r="214">
          <cell r="B214" t="str">
            <v>700</v>
          </cell>
          <cell r="C214">
            <v>700</v>
          </cell>
          <cell r="D214" t="str">
            <v>Destapa Corona X1 Blanco</v>
          </cell>
          <cell r="E214">
            <v>12</v>
          </cell>
          <cell r="F214">
            <v>0</v>
          </cell>
          <cell r="G214">
            <v>0</v>
          </cell>
          <cell r="H214">
            <v>12</v>
          </cell>
          <cell r="I214">
            <v>0</v>
          </cell>
          <cell r="J214" t="str">
            <v>Garcia</v>
          </cell>
        </row>
        <row r="215">
          <cell r="B215" t="str">
            <v>701</v>
          </cell>
          <cell r="C215">
            <v>701</v>
          </cell>
          <cell r="D215" t="str">
            <v>Abrelatas A Manija</v>
          </cell>
          <cell r="E215">
            <v>154.5</v>
          </cell>
          <cell r="F215">
            <v>0</v>
          </cell>
          <cell r="G215">
            <v>0</v>
          </cell>
          <cell r="H215">
            <v>154.5</v>
          </cell>
          <cell r="I215">
            <v>0</v>
          </cell>
          <cell r="J215" t="str">
            <v>Pettofrezza</v>
          </cell>
        </row>
        <row r="216">
          <cell r="B216" t="str">
            <v>706</v>
          </cell>
          <cell r="C216">
            <v>706</v>
          </cell>
          <cell r="D216" t="str">
            <v>Abrelatas Uña Blanco</v>
          </cell>
          <cell r="E216">
            <v>393</v>
          </cell>
          <cell r="F216">
            <v>0</v>
          </cell>
          <cell r="G216">
            <v>0</v>
          </cell>
          <cell r="H216">
            <v>393</v>
          </cell>
          <cell r="I216">
            <v>0</v>
          </cell>
          <cell r="J216" t="str">
            <v>Martin C</v>
          </cell>
        </row>
        <row r="217">
          <cell r="B217" t="str">
            <v>707</v>
          </cell>
          <cell r="C217">
            <v>707</v>
          </cell>
          <cell r="D217" t="str">
            <v>Rompenueces</v>
          </cell>
          <cell r="E217">
            <v>6</v>
          </cell>
          <cell r="F217">
            <v>0</v>
          </cell>
          <cell r="G217">
            <v>0</v>
          </cell>
          <cell r="H217">
            <v>6</v>
          </cell>
          <cell r="I217">
            <v>0</v>
          </cell>
          <cell r="J217" t="str">
            <v>Log/ Fabr</v>
          </cell>
        </row>
        <row r="218">
          <cell r="B218" t="str">
            <v>708</v>
          </cell>
          <cell r="C218">
            <v>708</v>
          </cell>
          <cell r="D218" t="str">
            <v>Sacafuentes Articulado</v>
          </cell>
          <cell r="E218">
            <v>18</v>
          </cell>
          <cell r="F218">
            <v>0</v>
          </cell>
          <cell r="G218">
            <v>0</v>
          </cell>
          <cell r="H218">
            <v>18</v>
          </cell>
          <cell r="I218">
            <v>0</v>
          </cell>
          <cell r="J218" t="str">
            <v>Martin C</v>
          </cell>
        </row>
        <row r="219">
          <cell r="B219" t="str">
            <v>550</v>
          </cell>
          <cell r="C219">
            <v>550</v>
          </cell>
          <cell r="D219" t="str">
            <v xml:space="preserve">Filtro Para Bombillas    </v>
          </cell>
          <cell r="E219">
            <v>57</v>
          </cell>
          <cell r="F219">
            <v>0</v>
          </cell>
          <cell r="G219">
            <v>0</v>
          </cell>
          <cell r="H219">
            <v>57</v>
          </cell>
          <cell r="I219">
            <v>0</v>
          </cell>
          <cell r="J219" t="str">
            <v>Poly</v>
          </cell>
        </row>
        <row r="220">
          <cell r="B220" t="str">
            <v>710</v>
          </cell>
          <cell r="C220">
            <v>710</v>
          </cell>
          <cell r="D220" t="str">
            <v>Enrulador De Manteca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 t="str">
            <v>Carlos E</v>
          </cell>
        </row>
        <row r="221">
          <cell r="B221" t="str">
            <v>713</v>
          </cell>
          <cell r="C221">
            <v>713</v>
          </cell>
          <cell r="D221" t="str">
            <v>Pelador Mgo Metalico</v>
          </cell>
          <cell r="E221">
            <v>285</v>
          </cell>
          <cell r="F221">
            <v>0</v>
          </cell>
          <cell r="G221">
            <v>0</v>
          </cell>
          <cell r="H221">
            <v>285</v>
          </cell>
          <cell r="I221">
            <v>0</v>
          </cell>
          <cell r="J221" t="str">
            <v>Poly</v>
          </cell>
        </row>
        <row r="222">
          <cell r="B222" t="str">
            <v>715</v>
          </cell>
          <cell r="C222">
            <v>715</v>
          </cell>
          <cell r="D222" t="str">
            <v>Cierra Bolsa X2</v>
          </cell>
          <cell r="E222">
            <v>12</v>
          </cell>
          <cell r="F222">
            <v>0</v>
          </cell>
          <cell r="G222">
            <v>0</v>
          </cell>
          <cell r="H222">
            <v>12</v>
          </cell>
          <cell r="I222">
            <v>0</v>
          </cell>
          <cell r="J222" t="str">
            <v>Log/ Fabr</v>
          </cell>
        </row>
        <row r="223">
          <cell r="B223" t="str">
            <v>717</v>
          </cell>
          <cell r="C223">
            <v>717</v>
          </cell>
          <cell r="D223" t="str">
            <v>Cuchillo De Untar Acrilico Transp. X4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 t="str">
            <v>Log/ Fabr</v>
          </cell>
        </row>
        <row r="224">
          <cell r="B224" t="str">
            <v>718</v>
          </cell>
          <cell r="C224">
            <v>718</v>
          </cell>
          <cell r="D224" t="str">
            <v>Cuchillito De Untar Plast X2</v>
          </cell>
          <cell r="E224">
            <v>3</v>
          </cell>
          <cell r="F224">
            <v>0</v>
          </cell>
          <cell r="G224">
            <v>0</v>
          </cell>
          <cell r="H224">
            <v>3</v>
          </cell>
          <cell r="I224">
            <v>0</v>
          </cell>
          <cell r="J224" t="str">
            <v>Log/ Fabr</v>
          </cell>
        </row>
        <row r="225">
          <cell r="B225" t="str">
            <v>519</v>
          </cell>
          <cell r="C225">
            <v>519</v>
          </cell>
          <cell r="D225" t="str">
            <v xml:space="preserve">Cuchillo De Untar X 2    </v>
          </cell>
          <cell r="E225">
            <v>75</v>
          </cell>
          <cell r="F225">
            <v>0</v>
          </cell>
          <cell r="G225">
            <v>0</v>
          </cell>
          <cell r="H225">
            <v>75</v>
          </cell>
          <cell r="I225">
            <v>0</v>
          </cell>
          <cell r="J225" t="str">
            <v>Log/ Fabr</v>
          </cell>
        </row>
        <row r="226">
          <cell r="B226" t="str">
            <v>720</v>
          </cell>
          <cell r="C226">
            <v>720</v>
          </cell>
          <cell r="D226" t="str">
            <v>Ahueca Papas</v>
          </cell>
          <cell r="E226">
            <v>3</v>
          </cell>
          <cell r="F226">
            <v>0</v>
          </cell>
          <cell r="G226">
            <v>0</v>
          </cell>
          <cell r="H226">
            <v>3</v>
          </cell>
          <cell r="I226">
            <v>0</v>
          </cell>
          <cell r="J226" t="str">
            <v>Log/ Fabr</v>
          </cell>
        </row>
        <row r="227">
          <cell r="B227" t="str">
            <v>722</v>
          </cell>
          <cell r="C227">
            <v>722</v>
          </cell>
          <cell r="D227" t="str">
            <v>Ahueca Frutas</v>
          </cell>
          <cell r="E227">
            <v>3</v>
          </cell>
          <cell r="F227">
            <v>0</v>
          </cell>
          <cell r="G227">
            <v>0</v>
          </cell>
          <cell r="H227">
            <v>3</v>
          </cell>
          <cell r="I227">
            <v>0</v>
          </cell>
          <cell r="J227" t="str">
            <v>Log/ Fabr</v>
          </cell>
        </row>
        <row r="228">
          <cell r="B228" t="str">
            <v>034</v>
          </cell>
          <cell r="C228">
            <v>34</v>
          </cell>
          <cell r="D228" t="str">
            <v>Filtro De Cafe Gastronomi</v>
          </cell>
          <cell r="E228">
            <v>96</v>
          </cell>
          <cell r="F228">
            <v>0</v>
          </cell>
          <cell r="G228">
            <v>0</v>
          </cell>
          <cell r="H228">
            <v>96</v>
          </cell>
          <cell r="I228">
            <v>0</v>
          </cell>
          <cell r="J228" t="str">
            <v>Poly</v>
          </cell>
        </row>
        <row r="229">
          <cell r="B229" t="str">
            <v>725</v>
          </cell>
          <cell r="C229">
            <v>725</v>
          </cell>
          <cell r="D229" t="str">
            <v>Sacacorcho Cabo De Madera</v>
          </cell>
          <cell r="E229">
            <v>30</v>
          </cell>
          <cell r="F229">
            <v>0</v>
          </cell>
          <cell r="G229">
            <v>0</v>
          </cell>
          <cell r="H229">
            <v>30</v>
          </cell>
          <cell r="I229">
            <v>0</v>
          </cell>
          <cell r="J229" t="str">
            <v>Lucho</v>
          </cell>
        </row>
        <row r="230">
          <cell r="B230" t="str">
            <v>725E</v>
          </cell>
          <cell r="C230" t="str">
            <v>725E</v>
          </cell>
          <cell r="D230" t="str">
            <v>Sacacorcho Cabo De Madera</v>
          </cell>
          <cell r="E230">
            <v>112.5</v>
          </cell>
          <cell r="F230">
            <v>0</v>
          </cell>
          <cell r="G230">
            <v>0</v>
          </cell>
          <cell r="H230">
            <v>112.5</v>
          </cell>
          <cell r="I230">
            <v>0</v>
          </cell>
          <cell r="J230" t="str">
            <v>Racks</v>
          </cell>
        </row>
        <row r="231">
          <cell r="B231" t="str">
            <v>730</v>
          </cell>
          <cell r="C231">
            <v>730</v>
          </cell>
          <cell r="D231" t="str">
            <v>Sacacorcho Tipo Mozo Color</v>
          </cell>
          <cell r="E231">
            <v>87.5</v>
          </cell>
          <cell r="F231">
            <v>0</v>
          </cell>
          <cell r="G231">
            <v>0</v>
          </cell>
          <cell r="H231">
            <v>87.5</v>
          </cell>
          <cell r="I231">
            <v>0</v>
          </cell>
          <cell r="J231" t="str">
            <v>Martin C</v>
          </cell>
        </row>
        <row r="232">
          <cell r="B232" t="str">
            <v>731</v>
          </cell>
          <cell r="C232">
            <v>731</v>
          </cell>
          <cell r="D232" t="str">
            <v>Sacacorcho Combinado Color</v>
          </cell>
          <cell r="E232">
            <v>49.5</v>
          </cell>
          <cell r="F232">
            <v>0</v>
          </cell>
          <cell r="G232">
            <v>0</v>
          </cell>
          <cell r="H232">
            <v>49.5</v>
          </cell>
          <cell r="I232">
            <v>0</v>
          </cell>
          <cell r="J232" t="str">
            <v>Martin C</v>
          </cell>
        </row>
        <row r="233">
          <cell r="B233" t="str">
            <v>732</v>
          </cell>
          <cell r="C233">
            <v>732</v>
          </cell>
          <cell r="D233" t="str">
            <v>Cuchara De Helado</v>
          </cell>
          <cell r="E233">
            <v>22</v>
          </cell>
          <cell r="F233">
            <v>0</v>
          </cell>
          <cell r="G233">
            <v>0</v>
          </cell>
          <cell r="H233">
            <v>22</v>
          </cell>
          <cell r="I233">
            <v>0</v>
          </cell>
          <cell r="J233" t="str">
            <v xml:space="preserve">Pettofrezza </v>
          </cell>
        </row>
        <row r="234">
          <cell r="B234" t="str">
            <v>800</v>
          </cell>
          <cell r="C234">
            <v>800</v>
          </cell>
          <cell r="D234" t="str">
            <v>Pinza Corta Alambre 21Cm</v>
          </cell>
          <cell r="E234">
            <v>9</v>
          </cell>
          <cell r="F234">
            <v>0</v>
          </cell>
          <cell r="G234">
            <v>0</v>
          </cell>
          <cell r="H234">
            <v>9</v>
          </cell>
          <cell r="I234">
            <v>0</v>
          </cell>
          <cell r="J234" t="str">
            <v>Pedernera</v>
          </cell>
        </row>
        <row r="235">
          <cell r="B235" t="str">
            <v>761</v>
          </cell>
          <cell r="C235">
            <v>761</v>
          </cell>
          <cell r="D235" t="str">
            <v>Cucharita Matera</v>
          </cell>
          <cell r="E235">
            <v>3</v>
          </cell>
          <cell r="F235">
            <v>0</v>
          </cell>
          <cell r="G235">
            <v>0</v>
          </cell>
          <cell r="H235">
            <v>3</v>
          </cell>
          <cell r="I235">
            <v>0</v>
          </cell>
          <cell r="J235" t="str">
            <v>Melinox</v>
          </cell>
        </row>
        <row r="236">
          <cell r="B236" t="str">
            <v>762</v>
          </cell>
          <cell r="C236">
            <v>762</v>
          </cell>
          <cell r="D236" t="str">
            <v>Bombilla Resorte Chata</v>
          </cell>
          <cell r="E236">
            <v>1.5</v>
          </cell>
          <cell r="F236">
            <v>0</v>
          </cell>
          <cell r="G236">
            <v>0</v>
          </cell>
          <cell r="H236">
            <v>1.5</v>
          </cell>
          <cell r="I236">
            <v>0</v>
          </cell>
          <cell r="J236" t="str">
            <v>Oscar</v>
          </cell>
        </row>
        <row r="237">
          <cell r="B237" t="str">
            <v>763</v>
          </cell>
          <cell r="C237">
            <v>763</v>
          </cell>
          <cell r="D237" t="str">
            <v>Bombilla Resorte Tradicional</v>
          </cell>
          <cell r="E237">
            <v>30</v>
          </cell>
          <cell r="F237">
            <v>0</v>
          </cell>
          <cell r="G237">
            <v>0</v>
          </cell>
          <cell r="H237">
            <v>30</v>
          </cell>
          <cell r="I237">
            <v>0</v>
          </cell>
          <cell r="J237" t="str">
            <v>Oscar</v>
          </cell>
        </row>
        <row r="238">
          <cell r="B238" t="str">
            <v>823</v>
          </cell>
          <cell r="C238">
            <v>823</v>
          </cell>
          <cell r="D238" t="str">
            <v xml:space="preserve">Exprimidor De Citricos   </v>
          </cell>
          <cell r="E238">
            <v>27</v>
          </cell>
          <cell r="F238">
            <v>0</v>
          </cell>
          <cell r="G238">
            <v>0</v>
          </cell>
          <cell r="H238">
            <v>27</v>
          </cell>
          <cell r="I238">
            <v>0</v>
          </cell>
          <cell r="J238" t="str">
            <v xml:space="preserve">Pettofrezza </v>
          </cell>
        </row>
        <row r="239">
          <cell r="B239" t="str">
            <v>723</v>
          </cell>
          <cell r="C239">
            <v>723</v>
          </cell>
          <cell r="D239" t="str">
            <v xml:space="preserve">Sacacorcho Doble Aleta   </v>
          </cell>
          <cell r="E239">
            <v>46.5</v>
          </cell>
          <cell r="F239">
            <v>0</v>
          </cell>
          <cell r="G239">
            <v>0</v>
          </cell>
          <cell r="H239">
            <v>46.5</v>
          </cell>
          <cell r="I239">
            <v>0</v>
          </cell>
          <cell r="J239" t="str">
            <v>Tierra Nativa</v>
          </cell>
        </row>
        <row r="240">
          <cell r="B240" t="str">
            <v>789</v>
          </cell>
          <cell r="C240">
            <v>789</v>
          </cell>
          <cell r="D240" t="str">
            <v>Pisa Papas Nylon Con Mgo</v>
          </cell>
          <cell r="E240">
            <v>66</v>
          </cell>
          <cell r="F240">
            <v>0</v>
          </cell>
          <cell r="G240">
            <v>0</v>
          </cell>
          <cell r="H240">
            <v>66</v>
          </cell>
          <cell r="I240">
            <v>0</v>
          </cell>
          <cell r="J240" t="str">
            <v>German</v>
          </cell>
        </row>
        <row r="241">
          <cell r="B241" t="str">
            <v>760</v>
          </cell>
          <cell r="C241">
            <v>760</v>
          </cell>
          <cell r="D241" t="str">
            <v>Filtro De Bombilla</v>
          </cell>
          <cell r="E241">
            <v>18</v>
          </cell>
          <cell r="F241">
            <v>0</v>
          </cell>
          <cell r="G241">
            <v>0</v>
          </cell>
          <cell r="H241">
            <v>18</v>
          </cell>
          <cell r="I241">
            <v>0</v>
          </cell>
          <cell r="J241" t="str">
            <v>Poly</v>
          </cell>
        </row>
        <row r="242">
          <cell r="B242" t="str">
            <v>654</v>
          </cell>
          <cell r="C242">
            <v>654</v>
          </cell>
          <cell r="D242" t="str">
            <v>Bombilla Autolimpiante In</v>
          </cell>
          <cell r="E242">
            <v>57</v>
          </cell>
          <cell r="F242">
            <v>0</v>
          </cell>
          <cell r="G242">
            <v>0</v>
          </cell>
          <cell r="H242">
            <v>57</v>
          </cell>
          <cell r="I242">
            <v>0</v>
          </cell>
          <cell r="J242" t="str">
            <v>Oscar</v>
          </cell>
        </row>
        <row r="243">
          <cell r="B243" t="str">
            <v>802</v>
          </cell>
          <cell r="C243">
            <v>802</v>
          </cell>
          <cell r="D243" t="str">
            <v>Batidor Pera Alambre</v>
          </cell>
          <cell r="E243">
            <v>45</v>
          </cell>
          <cell r="F243">
            <v>0</v>
          </cell>
          <cell r="G243">
            <v>0</v>
          </cell>
          <cell r="H243">
            <v>45</v>
          </cell>
          <cell r="I243">
            <v>0</v>
          </cell>
          <cell r="J243" t="str">
            <v>Pedernera</v>
          </cell>
        </row>
        <row r="244">
          <cell r="B244" t="str">
            <v>816</v>
          </cell>
          <cell r="C244">
            <v>816</v>
          </cell>
          <cell r="D244" t="str">
            <v>Tapon De Vino/Cerveza X2 Color</v>
          </cell>
          <cell r="E244">
            <v>25.5</v>
          </cell>
          <cell r="F244">
            <v>0</v>
          </cell>
          <cell r="G244">
            <v>0</v>
          </cell>
          <cell r="H244">
            <v>25.5</v>
          </cell>
          <cell r="I244">
            <v>0</v>
          </cell>
          <cell r="J244" t="str">
            <v xml:space="preserve">Pettofrezza </v>
          </cell>
        </row>
        <row r="245">
          <cell r="B245" t="str">
            <v>817</v>
          </cell>
          <cell r="C245">
            <v>817</v>
          </cell>
          <cell r="D245" t="str">
            <v>Tapon De Vino/Cerveza X2 Negro</v>
          </cell>
          <cell r="E245">
            <v>39</v>
          </cell>
          <cell r="F245">
            <v>0</v>
          </cell>
          <cell r="G245">
            <v>0</v>
          </cell>
          <cell r="H245">
            <v>39</v>
          </cell>
          <cell r="I245">
            <v>0</v>
          </cell>
          <cell r="J245" t="str">
            <v xml:space="preserve">Pettofrezza </v>
          </cell>
        </row>
        <row r="246">
          <cell r="B246" t="str">
            <v>818</v>
          </cell>
          <cell r="C246">
            <v>818</v>
          </cell>
          <cell r="D246" t="str">
            <v>Corta Torta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 t="str">
            <v>Carlos E</v>
          </cell>
        </row>
        <row r="247">
          <cell r="B247" t="str">
            <v>824</v>
          </cell>
          <cell r="C247">
            <v>824</v>
          </cell>
          <cell r="D247" t="str">
            <v>Colador Ø 8Cm</v>
          </cell>
          <cell r="E247">
            <v>240</v>
          </cell>
          <cell r="F247">
            <v>0</v>
          </cell>
          <cell r="G247">
            <v>0</v>
          </cell>
          <cell r="H247">
            <v>240</v>
          </cell>
          <cell r="I247">
            <v>0</v>
          </cell>
          <cell r="J247" t="str">
            <v>Lopez Jose</v>
          </cell>
        </row>
        <row r="248">
          <cell r="B248" t="str">
            <v>825</v>
          </cell>
          <cell r="C248">
            <v>825</v>
          </cell>
          <cell r="D248" t="str">
            <v>Colador Ø 10Cm Inox</v>
          </cell>
          <cell r="E248">
            <v>145.5</v>
          </cell>
          <cell r="F248">
            <v>0</v>
          </cell>
          <cell r="G248">
            <v>0</v>
          </cell>
          <cell r="H248">
            <v>145.5</v>
          </cell>
          <cell r="I248">
            <v>0</v>
          </cell>
          <cell r="J248" t="str">
            <v>Lopez Jose</v>
          </cell>
        </row>
        <row r="249">
          <cell r="B249" t="str">
            <v>852</v>
          </cell>
          <cell r="C249">
            <v>852</v>
          </cell>
          <cell r="D249" t="str">
            <v>Pinza De Hielo 14Cm</v>
          </cell>
          <cell r="E249">
            <v>7.5</v>
          </cell>
          <cell r="F249">
            <v>0</v>
          </cell>
          <cell r="G249">
            <v>0</v>
          </cell>
          <cell r="H249">
            <v>7.5</v>
          </cell>
          <cell r="I249">
            <v>0</v>
          </cell>
          <cell r="J249" t="str">
            <v>Manfer</v>
          </cell>
        </row>
        <row r="250">
          <cell r="B250" t="str">
            <v>839</v>
          </cell>
          <cell r="C250">
            <v>839</v>
          </cell>
          <cell r="D250" t="str">
            <v>Rallador Chocolate/Limon 14Cm</v>
          </cell>
          <cell r="E250">
            <v>22.5</v>
          </cell>
          <cell r="F250">
            <v>0</v>
          </cell>
          <cell r="G250">
            <v>0</v>
          </cell>
          <cell r="H250">
            <v>22.5</v>
          </cell>
          <cell r="I250">
            <v>0</v>
          </cell>
          <cell r="J250" t="str">
            <v>Garcia</v>
          </cell>
        </row>
        <row r="251">
          <cell r="B251" t="str">
            <v>840</v>
          </cell>
          <cell r="C251">
            <v>840</v>
          </cell>
          <cell r="D251" t="str">
            <v>Rallador Cilindrico 21Cm</v>
          </cell>
          <cell r="E251">
            <v>300</v>
          </cell>
          <cell r="F251">
            <v>0</v>
          </cell>
          <cell r="G251">
            <v>0</v>
          </cell>
          <cell r="H251">
            <v>300</v>
          </cell>
          <cell r="I251">
            <v>0</v>
          </cell>
          <cell r="J251" t="str">
            <v>Carriero</v>
          </cell>
        </row>
        <row r="252">
          <cell r="B252" t="str">
            <v>842</v>
          </cell>
          <cell r="C252">
            <v>842</v>
          </cell>
          <cell r="D252" t="str">
            <v>Espatula Lisa Nylon 1 Pza</v>
          </cell>
          <cell r="E252">
            <v>7.5</v>
          </cell>
          <cell r="F252">
            <v>0</v>
          </cell>
          <cell r="G252">
            <v>0</v>
          </cell>
          <cell r="H252">
            <v>7.5</v>
          </cell>
          <cell r="I252">
            <v>0</v>
          </cell>
          <cell r="J252" t="str">
            <v>Log/ Fabr</v>
          </cell>
        </row>
        <row r="253">
          <cell r="B253" t="str">
            <v>843</v>
          </cell>
          <cell r="C253">
            <v>843</v>
          </cell>
          <cell r="D253" t="str">
            <v>Cuchara Calada Nylon 1 Pza</v>
          </cell>
          <cell r="E253">
            <v>3</v>
          </cell>
          <cell r="F253">
            <v>0</v>
          </cell>
          <cell r="G253">
            <v>0</v>
          </cell>
          <cell r="H253">
            <v>3</v>
          </cell>
          <cell r="I253">
            <v>0</v>
          </cell>
          <cell r="J253" t="str">
            <v>Log/ Fabr</v>
          </cell>
        </row>
        <row r="254">
          <cell r="B254" t="str">
            <v>844</v>
          </cell>
          <cell r="C254">
            <v>844</v>
          </cell>
          <cell r="D254" t="str">
            <v>Cuchara Fideos Nylon 1 Pza</v>
          </cell>
          <cell r="E254">
            <v>3</v>
          </cell>
          <cell r="F254">
            <v>0</v>
          </cell>
          <cell r="G254">
            <v>0</v>
          </cell>
          <cell r="H254">
            <v>3</v>
          </cell>
          <cell r="I254">
            <v>0</v>
          </cell>
          <cell r="J254" t="str">
            <v>Log/ Fabr</v>
          </cell>
        </row>
        <row r="255">
          <cell r="B255" t="str">
            <v>845</v>
          </cell>
          <cell r="C255">
            <v>845</v>
          </cell>
          <cell r="D255" t="str">
            <v>Cucharon Nylon 1 Pza</v>
          </cell>
          <cell r="E255">
            <v>10.5</v>
          </cell>
          <cell r="F255">
            <v>0</v>
          </cell>
          <cell r="G255">
            <v>0</v>
          </cell>
          <cell r="H255">
            <v>10.5</v>
          </cell>
          <cell r="I255">
            <v>0</v>
          </cell>
          <cell r="J255" t="str">
            <v>Log/ Fabr</v>
          </cell>
        </row>
        <row r="256">
          <cell r="B256" t="str">
            <v>846</v>
          </cell>
          <cell r="C256">
            <v>846</v>
          </cell>
          <cell r="D256" t="str">
            <v>Espatula Calada Nylon 1 Pza</v>
          </cell>
          <cell r="E256">
            <v>12</v>
          </cell>
          <cell r="F256">
            <v>0</v>
          </cell>
          <cell r="G256">
            <v>0</v>
          </cell>
          <cell r="H256">
            <v>12</v>
          </cell>
          <cell r="I256">
            <v>0</v>
          </cell>
          <cell r="J256" t="str">
            <v>Log/ Fabr</v>
          </cell>
        </row>
        <row r="257">
          <cell r="B257" t="str">
            <v>847</v>
          </cell>
          <cell r="C257">
            <v>847</v>
          </cell>
          <cell r="D257" t="str">
            <v>Espatula Repostera Plast 1 Pza</v>
          </cell>
          <cell r="E257">
            <v>90</v>
          </cell>
          <cell r="F257">
            <v>0</v>
          </cell>
          <cell r="G257">
            <v>0</v>
          </cell>
          <cell r="H257">
            <v>90</v>
          </cell>
          <cell r="I257">
            <v>0</v>
          </cell>
          <cell r="J257" t="str">
            <v>The Plast</v>
          </cell>
        </row>
        <row r="258">
          <cell r="B258" t="str">
            <v>848</v>
          </cell>
          <cell r="C258">
            <v>848</v>
          </cell>
          <cell r="D258" t="str">
            <v>Corta Torta Plastica 3 Usos</v>
          </cell>
          <cell r="E258">
            <v>1.5</v>
          </cell>
          <cell r="F258">
            <v>0</v>
          </cell>
          <cell r="G258">
            <v>0</v>
          </cell>
          <cell r="H258">
            <v>1.5</v>
          </cell>
          <cell r="I258">
            <v>0</v>
          </cell>
          <cell r="J258" t="str">
            <v>The Plast</v>
          </cell>
        </row>
        <row r="259">
          <cell r="B259" t="str">
            <v>102E</v>
          </cell>
          <cell r="C259" t="str">
            <v>102E</v>
          </cell>
          <cell r="D259" t="str">
            <v>Abr Mariposa Loke</v>
          </cell>
          <cell r="E259">
            <v>333.33333333333331</v>
          </cell>
          <cell r="F259">
            <v>0</v>
          </cell>
          <cell r="G259">
            <v>0</v>
          </cell>
          <cell r="H259">
            <v>333.33333333333331</v>
          </cell>
          <cell r="I259">
            <v>0</v>
          </cell>
          <cell r="J259" t="str">
            <v>Tierra Nativa</v>
          </cell>
        </row>
        <row r="260">
          <cell r="B260" t="str">
            <v>856</v>
          </cell>
          <cell r="C260">
            <v>856</v>
          </cell>
          <cell r="D260" t="str">
            <v>Pala De Torta Acero Inox</v>
          </cell>
          <cell r="E260">
            <v>6</v>
          </cell>
          <cell r="F260">
            <v>0</v>
          </cell>
          <cell r="G260">
            <v>0</v>
          </cell>
          <cell r="H260">
            <v>6</v>
          </cell>
          <cell r="I260">
            <v>0</v>
          </cell>
          <cell r="J260" t="str">
            <v>Martin C</v>
          </cell>
        </row>
        <row r="261">
          <cell r="B261" t="str">
            <v>857</v>
          </cell>
          <cell r="C261">
            <v>857</v>
          </cell>
          <cell r="D261" t="str">
            <v>Cuchillo De Torta Ac. Inox</v>
          </cell>
          <cell r="E261">
            <v>1.5</v>
          </cell>
          <cell r="F261">
            <v>0</v>
          </cell>
          <cell r="G261">
            <v>0</v>
          </cell>
          <cell r="H261">
            <v>1.5</v>
          </cell>
          <cell r="I261">
            <v>0</v>
          </cell>
          <cell r="J261" t="str">
            <v>Martin C</v>
          </cell>
        </row>
        <row r="262">
          <cell r="B262" t="str">
            <v>595</v>
          </cell>
          <cell r="C262">
            <v>595</v>
          </cell>
          <cell r="D262" t="str">
            <v>Pinza De Fiambre Mgo Plas X 12</v>
          </cell>
          <cell r="E262">
            <v>36</v>
          </cell>
          <cell r="F262">
            <v>0</v>
          </cell>
          <cell r="G262">
            <v>0</v>
          </cell>
          <cell r="H262">
            <v>36</v>
          </cell>
          <cell r="I262">
            <v>0</v>
          </cell>
          <cell r="J262" t="str">
            <v>Log/ Fabr</v>
          </cell>
        </row>
        <row r="263">
          <cell r="B263" t="str">
            <v>859</v>
          </cell>
          <cell r="C263">
            <v>859</v>
          </cell>
          <cell r="D263" t="str">
            <v>Corta Ravioles C/Mango Loeke</v>
          </cell>
          <cell r="E263">
            <v>9</v>
          </cell>
          <cell r="F263">
            <v>0</v>
          </cell>
          <cell r="G263">
            <v>0</v>
          </cell>
          <cell r="H263">
            <v>9</v>
          </cell>
          <cell r="I263">
            <v>0</v>
          </cell>
          <cell r="J263" t="str">
            <v>Martin C</v>
          </cell>
        </row>
        <row r="264">
          <cell r="B264" t="str">
            <v>867</v>
          </cell>
          <cell r="C264">
            <v>867</v>
          </cell>
          <cell r="D264" t="str">
            <v>Filtro De Cafe Gastronomico 14Cm</v>
          </cell>
          <cell r="E264">
            <v>19.5</v>
          </cell>
          <cell r="F264">
            <v>0</v>
          </cell>
          <cell r="G264">
            <v>0</v>
          </cell>
          <cell r="H264">
            <v>19.5</v>
          </cell>
          <cell r="I264">
            <v>0</v>
          </cell>
          <cell r="J264" t="str">
            <v>Poly</v>
          </cell>
        </row>
        <row r="265">
          <cell r="B265" t="str">
            <v>863</v>
          </cell>
          <cell r="C265">
            <v>863</v>
          </cell>
          <cell r="D265" t="str">
            <v>Corta Pizza Gastro. Mgo Chef Ø 8Cm</v>
          </cell>
          <cell r="E265">
            <v>4</v>
          </cell>
          <cell r="F265">
            <v>0</v>
          </cell>
          <cell r="G265">
            <v>0</v>
          </cell>
          <cell r="H265">
            <v>4</v>
          </cell>
          <cell r="I265">
            <v>0</v>
          </cell>
          <cell r="J265" t="str">
            <v>Martin C</v>
          </cell>
        </row>
        <row r="266">
          <cell r="B266" t="str">
            <v>890E</v>
          </cell>
          <cell r="C266" t="str">
            <v>890E</v>
          </cell>
          <cell r="D266" t="str">
            <v>Pincel Silicona 11gms</v>
          </cell>
          <cell r="E266">
            <v>31.5</v>
          </cell>
          <cell r="F266">
            <v>0</v>
          </cell>
          <cell r="G266">
            <v>0</v>
          </cell>
          <cell r="H266">
            <v>31.5</v>
          </cell>
          <cell r="I266">
            <v>0</v>
          </cell>
          <cell r="J266" t="str">
            <v>Garcia</v>
          </cell>
        </row>
        <row r="267">
          <cell r="B267" t="str">
            <v>702E</v>
          </cell>
          <cell r="C267" t="str">
            <v>702E</v>
          </cell>
          <cell r="D267" t="str">
            <v>Abrelata Mariposa</v>
          </cell>
          <cell r="E267">
            <v>150</v>
          </cell>
          <cell r="F267">
            <v>0</v>
          </cell>
          <cell r="G267">
            <v>0</v>
          </cell>
          <cell r="H267">
            <v>150</v>
          </cell>
          <cell r="I267">
            <v>0</v>
          </cell>
          <cell r="J267" t="str">
            <v>Racks</v>
          </cell>
        </row>
        <row r="268">
          <cell r="B268" t="str">
            <v>798E</v>
          </cell>
          <cell r="C268" t="str">
            <v>798E</v>
          </cell>
          <cell r="D268" t="str">
            <v>Pelador Negro Dentado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 t="str">
            <v>Racks</v>
          </cell>
        </row>
        <row r="269">
          <cell r="B269" t="str">
            <v>535</v>
          </cell>
          <cell r="C269">
            <v>535</v>
          </cell>
          <cell r="D269" t="str">
            <v>Cepillo Limpia Vaso Mamad</v>
          </cell>
          <cell r="E269">
            <v>132</v>
          </cell>
          <cell r="F269">
            <v>0</v>
          </cell>
          <cell r="G269">
            <v>0</v>
          </cell>
          <cell r="H269">
            <v>132</v>
          </cell>
          <cell r="I269">
            <v>0</v>
          </cell>
          <cell r="J269" t="str">
            <v>Carlos E</v>
          </cell>
        </row>
        <row r="270">
          <cell r="B270" t="str">
            <v>878</v>
          </cell>
          <cell r="C270">
            <v>878</v>
          </cell>
          <cell r="D270" t="str">
            <v>Cuchillo De Untar Mgo Plast X2</v>
          </cell>
          <cell r="E270">
            <v>15</v>
          </cell>
          <cell r="F270">
            <v>0</v>
          </cell>
          <cell r="G270">
            <v>0</v>
          </cell>
          <cell r="H270">
            <v>15</v>
          </cell>
          <cell r="I270">
            <v>0</v>
          </cell>
          <cell r="J270" t="str">
            <v xml:space="preserve">Pettofrezza </v>
          </cell>
        </row>
        <row r="271">
          <cell r="B271" t="str">
            <v>900</v>
          </cell>
          <cell r="C271">
            <v>900</v>
          </cell>
          <cell r="D271" t="str">
            <v>Prensa Matambre</v>
          </cell>
          <cell r="E271">
            <v>6</v>
          </cell>
          <cell r="F271">
            <v>0</v>
          </cell>
          <cell r="G271">
            <v>0</v>
          </cell>
          <cell r="H271">
            <v>6</v>
          </cell>
          <cell r="I271">
            <v>0</v>
          </cell>
          <cell r="J271" t="str">
            <v>Maspoli</v>
          </cell>
        </row>
        <row r="272">
          <cell r="B272" t="str">
            <v>901</v>
          </cell>
          <cell r="C272">
            <v>901</v>
          </cell>
          <cell r="D272" t="str">
            <v>Cuchara Madera 35 Cm</v>
          </cell>
          <cell r="E272">
            <v>120</v>
          </cell>
          <cell r="F272">
            <v>0</v>
          </cell>
          <cell r="G272">
            <v>0</v>
          </cell>
          <cell r="H272">
            <v>120</v>
          </cell>
          <cell r="I272">
            <v>0</v>
          </cell>
          <cell r="J272" t="str">
            <v>Pintos</v>
          </cell>
        </row>
        <row r="273">
          <cell r="B273" t="str">
            <v>902</v>
          </cell>
          <cell r="C273">
            <v>902</v>
          </cell>
          <cell r="D273" t="str">
            <v>Cuchara Madera 45 Cm</v>
          </cell>
          <cell r="E273">
            <v>28.5</v>
          </cell>
          <cell r="F273">
            <v>0</v>
          </cell>
          <cell r="G273">
            <v>0</v>
          </cell>
          <cell r="H273">
            <v>28.5</v>
          </cell>
          <cell r="I273">
            <v>0</v>
          </cell>
          <cell r="J273" t="str">
            <v>Pintos</v>
          </cell>
        </row>
        <row r="274">
          <cell r="B274" t="str">
            <v>908</v>
          </cell>
          <cell r="C274">
            <v>908</v>
          </cell>
          <cell r="D274" t="str">
            <v>Cuchara Nylon 33Cm</v>
          </cell>
          <cell r="E274">
            <v>7.5</v>
          </cell>
          <cell r="F274">
            <v>0</v>
          </cell>
          <cell r="G274">
            <v>0</v>
          </cell>
          <cell r="H274">
            <v>7.5</v>
          </cell>
          <cell r="I274">
            <v>0</v>
          </cell>
          <cell r="J274" t="str">
            <v>Carlos E</v>
          </cell>
        </row>
        <row r="275">
          <cell r="B275" t="str">
            <v>909</v>
          </cell>
          <cell r="C275">
            <v>909</v>
          </cell>
          <cell r="D275" t="str">
            <v>Ñoquera Madera</v>
          </cell>
          <cell r="E275">
            <v>34.5</v>
          </cell>
          <cell r="F275">
            <v>0</v>
          </cell>
          <cell r="G275">
            <v>0</v>
          </cell>
          <cell r="H275">
            <v>34.5</v>
          </cell>
          <cell r="I275">
            <v>0</v>
          </cell>
          <cell r="J275" t="str">
            <v>Tierra Nativa</v>
          </cell>
        </row>
        <row r="276">
          <cell r="B276" t="str">
            <v>910</v>
          </cell>
          <cell r="C276">
            <v>910</v>
          </cell>
          <cell r="D276" t="str">
            <v>Bate Bife Madera</v>
          </cell>
          <cell r="E276">
            <v>108</v>
          </cell>
          <cell r="F276">
            <v>0</v>
          </cell>
          <cell r="G276">
            <v>0</v>
          </cell>
          <cell r="H276">
            <v>108</v>
          </cell>
          <cell r="I276">
            <v>0</v>
          </cell>
          <cell r="J276" t="str">
            <v>Pintos / Maspoli</v>
          </cell>
        </row>
        <row r="277">
          <cell r="B277" t="str">
            <v>911</v>
          </cell>
          <cell r="C277">
            <v>911</v>
          </cell>
          <cell r="D277" t="str">
            <v>Cuchara Madera 30 Cm</v>
          </cell>
          <cell r="E277">
            <v>42</v>
          </cell>
          <cell r="F277">
            <v>0</v>
          </cell>
          <cell r="G277">
            <v>0</v>
          </cell>
          <cell r="H277">
            <v>42</v>
          </cell>
          <cell r="I277">
            <v>0</v>
          </cell>
          <cell r="J277" t="str">
            <v>Pintos</v>
          </cell>
        </row>
        <row r="278">
          <cell r="B278" t="str">
            <v>920</v>
          </cell>
          <cell r="C278">
            <v>920</v>
          </cell>
          <cell r="D278" t="str">
            <v>Cuchara Madera 40 Cm</v>
          </cell>
          <cell r="E278">
            <v>18</v>
          </cell>
          <cell r="F278">
            <v>0</v>
          </cell>
          <cell r="G278">
            <v>0</v>
          </cell>
          <cell r="H278">
            <v>18</v>
          </cell>
          <cell r="I278">
            <v>0</v>
          </cell>
          <cell r="J278" t="str">
            <v>Pintos</v>
          </cell>
        </row>
        <row r="279">
          <cell r="B279" t="str">
            <v>922</v>
          </cell>
          <cell r="C279">
            <v>922</v>
          </cell>
          <cell r="D279" t="str">
            <v>Cuchara Madera 25 Cm</v>
          </cell>
          <cell r="E279">
            <v>87</v>
          </cell>
          <cell r="F279">
            <v>0</v>
          </cell>
          <cell r="G279">
            <v>0</v>
          </cell>
          <cell r="H279">
            <v>87</v>
          </cell>
          <cell r="I279">
            <v>0</v>
          </cell>
          <cell r="J279" t="str">
            <v>Pintos</v>
          </cell>
        </row>
        <row r="280">
          <cell r="G280"/>
        </row>
        <row r="281">
          <cell r="D281" t="str">
            <v>DISCONTINUO</v>
          </cell>
          <cell r="G281"/>
        </row>
        <row r="282">
          <cell r="B282" t="str">
            <v>755</v>
          </cell>
          <cell r="C282">
            <v>755</v>
          </cell>
          <cell r="D282" t="str">
            <v>Bombilla Colores Metalizados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 t="str">
            <v>INACTIVO</v>
          </cell>
        </row>
        <row r="283">
          <cell r="B283" t="str">
            <v>573</v>
          </cell>
          <cell r="C283">
            <v>573</v>
          </cell>
          <cell r="D283" t="str">
            <v>Bombilla Colores Metaliza</v>
          </cell>
          <cell r="E283">
            <v>22.5</v>
          </cell>
          <cell r="F283">
            <v>0</v>
          </cell>
          <cell r="G283">
            <v>0</v>
          </cell>
          <cell r="H283">
            <v>22.5</v>
          </cell>
          <cell r="I283">
            <v>0</v>
          </cell>
          <cell r="J283" t="str">
            <v>INACTIVO</v>
          </cell>
        </row>
        <row r="284">
          <cell r="B284" t="str">
            <v>396</v>
          </cell>
          <cell r="C284">
            <v>396</v>
          </cell>
          <cell r="D284" t="str">
            <v xml:space="preserve">Enrulador De Manteca     </v>
          </cell>
          <cell r="E284">
            <v>22.5</v>
          </cell>
          <cell r="F284">
            <v>0</v>
          </cell>
          <cell r="G284">
            <v>0</v>
          </cell>
          <cell r="H284">
            <v>22.5</v>
          </cell>
          <cell r="I284">
            <v>0</v>
          </cell>
          <cell r="J284" t="str">
            <v>INACTIVO</v>
          </cell>
        </row>
        <row r="285">
          <cell r="B285" t="str">
            <v>556</v>
          </cell>
          <cell r="C285">
            <v>556</v>
          </cell>
          <cell r="D285" t="str">
            <v>Sacayerba</v>
          </cell>
          <cell r="E285">
            <v>1.5</v>
          </cell>
          <cell r="F285">
            <v>0</v>
          </cell>
          <cell r="G285">
            <v>0</v>
          </cell>
          <cell r="H285">
            <v>1.5</v>
          </cell>
          <cell r="I285">
            <v>0</v>
          </cell>
          <cell r="J285" t="str">
            <v>INACTIVO</v>
          </cell>
        </row>
        <row r="286">
          <cell r="B286" t="str">
            <v>563</v>
          </cell>
          <cell r="C286">
            <v>563</v>
          </cell>
          <cell r="D286" t="str">
            <v>Pinza Articulada Madera Ensalada y Sushi</v>
          </cell>
          <cell r="E286">
            <v>12</v>
          </cell>
          <cell r="F286">
            <v>0</v>
          </cell>
          <cell r="G286">
            <v>0</v>
          </cell>
          <cell r="H286">
            <v>12</v>
          </cell>
          <cell r="I286">
            <v>0</v>
          </cell>
          <cell r="J286" t="str">
            <v>INACTIVO</v>
          </cell>
        </row>
        <row r="287">
          <cell r="B287" t="str">
            <v>502T</v>
          </cell>
          <cell r="C287" t="str">
            <v>502T</v>
          </cell>
          <cell r="D287" t="str">
            <v>Abrelata Mariposa Tira Impulsiva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 t="str">
            <v>INACTIVO</v>
          </cell>
        </row>
        <row r="288">
          <cell r="B288" t="str">
            <v>581T</v>
          </cell>
          <cell r="C288" t="str">
            <v>581T</v>
          </cell>
          <cell r="D288" t="str">
            <v>Sac. Cabo Nylon Tira Impulsiva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 t="str">
            <v>Martin C</v>
          </cell>
        </row>
        <row r="289">
          <cell r="B289" t="str">
            <v>587T</v>
          </cell>
          <cell r="C289" t="str">
            <v>587T</v>
          </cell>
          <cell r="D289" t="str">
            <v>Pelador Cuchilla Corte Laser Tira Impulsiva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 t="str">
            <v>INACTIVO</v>
          </cell>
        </row>
        <row r="290">
          <cell r="B290" t="str">
            <v>655</v>
          </cell>
          <cell r="C290">
            <v>655</v>
          </cell>
          <cell r="D290" t="str">
            <v>Bombilla Eco Plastica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 t="str">
            <v>INACTIVO</v>
          </cell>
        </row>
        <row r="291">
          <cell r="B291" t="str">
            <v>735</v>
          </cell>
          <cell r="C291">
            <v>735</v>
          </cell>
          <cell r="D291" t="str">
            <v>Sac. Cabo Nylon</v>
          </cell>
          <cell r="E291">
            <v>12</v>
          </cell>
          <cell r="F291">
            <v>0</v>
          </cell>
          <cell r="G291">
            <v>0</v>
          </cell>
          <cell r="H291">
            <v>12</v>
          </cell>
          <cell r="I291">
            <v>0</v>
          </cell>
          <cell r="J291" t="str">
            <v>Martin C</v>
          </cell>
        </row>
        <row r="292">
          <cell r="B292" t="str">
            <v>809</v>
          </cell>
          <cell r="C292">
            <v>809</v>
          </cell>
          <cell r="D292" t="str">
            <v>Corta Queso</v>
          </cell>
          <cell r="E292">
            <v>162</v>
          </cell>
          <cell r="F292">
            <v>0</v>
          </cell>
          <cell r="G292">
            <v>0</v>
          </cell>
          <cell r="H292">
            <v>162</v>
          </cell>
          <cell r="I292">
            <v>0</v>
          </cell>
          <cell r="J292" t="str">
            <v>Lucho</v>
          </cell>
        </row>
        <row r="293">
          <cell r="B293" t="str">
            <v>809E</v>
          </cell>
          <cell r="C293" t="str">
            <v>809E</v>
          </cell>
          <cell r="D293" t="str">
            <v>Corta Queso</v>
          </cell>
          <cell r="E293">
            <v>25</v>
          </cell>
          <cell r="F293">
            <v>0</v>
          </cell>
          <cell r="G293">
            <v>0</v>
          </cell>
          <cell r="H293">
            <v>25</v>
          </cell>
          <cell r="I293">
            <v>0</v>
          </cell>
          <cell r="J293" t="str">
            <v>Racks</v>
          </cell>
        </row>
        <row r="294">
          <cell r="B294" t="str">
            <v>574</v>
          </cell>
          <cell r="C294">
            <v>574</v>
          </cell>
          <cell r="D294" t="str">
            <v>Corta Queso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 t="str">
            <v>Lucho</v>
          </cell>
        </row>
        <row r="295">
          <cell r="B295" t="str">
            <v>574E</v>
          </cell>
          <cell r="C295" t="str">
            <v>574E</v>
          </cell>
          <cell r="D295" t="str">
            <v>Corta Queso</v>
          </cell>
          <cell r="E295">
            <v>243</v>
          </cell>
          <cell r="F295">
            <v>0</v>
          </cell>
          <cell r="G295">
            <v>0</v>
          </cell>
          <cell r="H295">
            <v>243</v>
          </cell>
          <cell r="I295">
            <v>0</v>
          </cell>
          <cell r="J295" t="str">
            <v>Racks</v>
          </cell>
        </row>
        <row r="296">
          <cell r="B296" t="str">
            <v>702</v>
          </cell>
          <cell r="C296">
            <v>702</v>
          </cell>
          <cell r="D296" t="str">
            <v>Abrelata Mariposa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 t="str">
            <v>INACTIVO</v>
          </cell>
        </row>
        <row r="297">
          <cell r="B297" t="str">
            <v>030</v>
          </cell>
          <cell r="C297">
            <v>30</v>
          </cell>
          <cell r="D297" t="str">
            <v xml:space="preserve">Colador N°20             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 t="str">
            <v>Lopez Jose</v>
          </cell>
        </row>
        <row r="298">
          <cell r="B298" t="str">
            <v>553</v>
          </cell>
          <cell r="C298">
            <v>553</v>
          </cell>
          <cell r="D298" t="str">
            <v xml:space="preserve">Bombilla Coco Hexagonal 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 t="str">
            <v>INACTIVO</v>
          </cell>
        </row>
        <row r="299">
          <cell r="B299" t="str">
            <v>747</v>
          </cell>
          <cell r="C299">
            <v>747</v>
          </cell>
          <cell r="D299" t="str">
            <v>Bombilla Coco Hexagonal</v>
          </cell>
          <cell r="E299">
            <v>1.5</v>
          </cell>
          <cell r="F299">
            <v>0</v>
          </cell>
          <cell r="G299">
            <v>0</v>
          </cell>
          <cell r="H299">
            <v>1.5</v>
          </cell>
          <cell r="I299">
            <v>0</v>
          </cell>
          <cell r="J299" t="str">
            <v>INACTIVO</v>
          </cell>
        </row>
        <row r="300">
          <cell r="B300" t="str">
            <v>864</v>
          </cell>
          <cell r="C300">
            <v>864</v>
          </cell>
          <cell r="D300" t="str">
            <v>Pincel Pastelero</v>
          </cell>
          <cell r="E300">
            <v>6</v>
          </cell>
          <cell r="F300">
            <v>0</v>
          </cell>
          <cell r="G300">
            <v>0</v>
          </cell>
          <cell r="H300">
            <v>6</v>
          </cell>
          <cell r="I300">
            <v>0</v>
          </cell>
          <cell r="J300" t="str">
            <v>INACTIVO</v>
          </cell>
        </row>
        <row r="301">
          <cell r="F301"/>
          <cell r="G301"/>
          <cell r="H301"/>
        </row>
        <row r="302">
          <cell r="H302"/>
        </row>
        <row r="305">
          <cell r="B305"/>
          <cell r="C305"/>
          <cell r="D305"/>
          <cell r="E305"/>
          <cell r="F305"/>
          <cell r="G305"/>
          <cell r="H305"/>
          <cell r="I305"/>
          <cell r="J305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C8BD-1604-4170-A881-E157ED382E78}">
  <dimension ref="A2:F166"/>
  <sheetViews>
    <sheetView tabSelected="1" topLeftCell="A16" zoomScaleNormal="100" workbookViewId="0">
      <selection activeCell="G49" sqref="A1:G49"/>
    </sheetView>
  </sheetViews>
  <sheetFormatPr baseColWidth="10" defaultRowHeight="15" x14ac:dyDescent="0.25"/>
  <cols>
    <col min="1" max="1" width="6.85546875" customWidth="1"/>
    <col min="2" max="2" width="33" bestFit="1" customWidth="1"/>
    <col min="3" max="3" width="6.85546875" customWidth="1"/>
    <col min="4" max="4" width="11.7109375" bestFit="1" customWidth="1"/>
    <col min="5" max="5" width="4.7109375" customWidth="1"/>
  </cols>
  <sheetData>
    <row r="2" spans="1:6" ht="42" x14ac:dyDescent="0.25">
      <c r="A2" s="15" t="s">
        <v>5</v>
      </c>
      <c r="B2" s="15" t="s">
        <v>223</v>
      </c>
      <c r="C2" s="15" t="s">
        <v>4</v>
      </c>
      <c r="D2" s="15" t="s">
        <v>285</v>
      </c>
      <c r="F2" s="15" t="s">
        <v>300</v>
      </c>
    </row>
    <row r="3" spans="1:6" ht="18.75" hidden="1" x14ac:dyDescent="0.25">
      <c r="A3" s="48" t="s">
        <v>7</v>
      </c>
      <c r="B3" s="49" t="s">
        <v>53</v>
      </c>
      <c r="C3" s="49">
        <v>30</v>
      </c>
      <c r="D3" s="49" t="s">
        <v>367</v>
      </c>
      <c r="E3" s="50"/>
      <c r="F3" s="49" t="s">
        <v>301</v>
      </c>
    </row>
    <row r="4" spans="1:6" ht="18.75" x14ac:dyDescent="0.25">
      <c r="A4" s="16" t="s">
        <v>8</v>
      </c>
      <c r="B4" s="41" t="s">
        <v>230</v>
      </c>
      <c r="C4" s="41">
        <v>11</v>
      </c>
      <c r="D4" s="41" t="s">
        <v>287</v>
      </c>
      <c r="F4" s="41" t="s">
        <v>301</v>
      </c>
    </row>
    <row r="5" spans="1:6" ht="18.75" x14ac:dyDescent="0.25">
      <c r="A5" s="16" t="s">
        <v>8</v>
      </c>
      <c r="B5" s="41" t="s">
        <v>230</v>
      </c>
      <c r="C5" s="41">
        <v>23</v>
      </c>
      <c r="D5" s="41" t="s">
        <v>287</v>
      </c>
      <c r="F5" s="41" t="s">
        <v>301</v>
      </c>
    </row>
    <row r="6" spans="1:6" ht="18.75" x14ac:dyDescent="0.25">
      <c r="A6" s="16" t="s">
        <v>13</v>
      </c>
      <c r="B6" s="41" t="s">
        <v>282</v>
      </c>
      <c r="C6" s="41">
        <v>23</v>
      </c>
      <c r="D6" s="41" t="s">
        <v>287</v>
      </c>
      <c r="F6" s="41" t="s">
        <v>301</v>
      </c>
    </row>
    <row r="7" spans="1:6" ht="18.75" x14ac:dyDescent="0.25">
      <c r="A7" s="16" t="s">
        <v>9</v>
      </c>
      <c r="B7" s="41" t="s">
        <v>231</v>
      </c>
      <c r="C7" s="41">
        <v>17</v>
      </c>
      <c r="D7" s="41" t="s">
        <v>288</v>
      </c>
      <c r="F7" s="41" t="s">
        <v>301</v>
      </c>
    </row>
    <row r="8" spans="1:6" ht="18.75" x14ac:dyDescent="0.25">
      <c r="A8" s="16" t="s">
        <v>10</v>
      </c>
      <c r="B8" s="41" t="s">
        <v>371</v>
      </c>
      <c r="C8" s="41">
        <v>3</v>
      </c>
      <c r="D8" s="41" t="s">
        <v>287</v>
      </c>
      <c r="F8" s="41" t="s">
        <v>301</v>
      </c>
    </row>
    <row r="9" spans="1:6" ht="18.75" x14ac:dyDescent="0.25">
      <c r="A9" s="17">
        <v>102</v>
      </c>
      <c r="B9" s="41" t="s">
        <v>286</v>
      </c>
      <c r="C9" s="41">
        <v>2</v>
      </c>
      <c r="D9" s="41" t="s">
        <v>287</v>
      </c>
      <c r="F9" s="41" t="s">
        <v>301</v>
      </c>
    </row>
    <row r="10" spans="1:6" ht="18.75" x14ac:dyDescent="0.25">
      <c r="A10" s="17">
        <v>101</v>
      </c>
      <c r="B10" s="41" t="s">
        <v>284</v>
      </c>
      <c r="C10" s="41">
        <v>2</v>
      </c>
      <c r="D10" s="41" t="s">
        <v>368</v>
      </c>
      <c r="F10" s="41" t="s">
        <v>301</v>
      </c>
    </row>
    <row r="11" spans="1:6" ht="18.75" x14ac:dyDescent="0.25">
      <c r="A11" s="17">
        <v>109</v>
      </c>
      <c r="B11" s="41" t="s">
        <v>298</v>
      </c>
      <c r="C11" s="41">
        <v>7</v>
      </c>
      <c r="D11" s="41" t="s">
        <v>370</v>
      </c>
      <c r="F11" s="41" t="s">
        <v>301</v>
      </c>
    </row>
    <row r="12" spans="1:6" ht="18.75" x14ac:dyDescent="0.25">
      <c r="A12" s="17">
        <v>207</v>
      </c>
      <c r="B12" s="41" t="s">
        <v>306</v>
      </c>
      <c r="C12" s="41">
        <v>6</v>
      </c>
      <c r="D12" s="41" t="s">
        <v>366</v>
      </c>
      <c r="F12" s="41" t="s">
        <v>301</v>
      </c>
    </row>
    <row r="13" spans="1:6" ht="18.75" x14ac:dyDescent="0.25">
      <c r="A13" s="17">
        <v>208</v>
      </c>
      <c r="B13" s="41" t="s">
        <v>281</v>
      </c>
      <c r="C13" s="41">
        <v>11</v>
      </c>
      <c r="D13" s="41" t="s">
        <v>289</v>
      </c>
      <c r="F13" s="41" t="s">
        <v>301</v>
      </c>
    </row>
    <row r="14" spans="1:6" ht="18.75" x14ac:dyDescent="0.25">
      <c r="A14" s="17">
        <v>220</v>
      </c>
      <c r="B14" s="41" t="s">
        <v>270</v>
      </c>
      <c r="C14" s="41">
        <v>11</v>
      </c>
      <c r="D14" s="41" t="s">
        <v>289</v>
      </c>
      <c r="F14" s="41" t="s">
        <v>301</v>
      </c>
    </row>
    <row r="15" spans="1:6" ht="18.75" x14ac:dyDescent="0.25">
      <c r="A15" s="17">
        <v>221</v>
      </c>
      <c r="B15" s="41" t="s">
        <v>271</v>
      </c>
      <c r="C15" s="41">
        <v>11</v>
      </c>
      <c r="D15" s="41" t="s">
        <v>289</v>
      </c>
      <c r="F15" s="41" t="s">
        <v>301</v>
      </c>
    </row>
    <row r="16" spans="1:6" ht="18.75" x14ac:dyDescent="0.25">
      <c r="A16" s="17">
        <v>222</v>
      </c>
      <c r="B16" s="41" t="s">
        <v>304</v>
      </c>
      <c r="C16" s="41">
        <v>11</v>
      </c>
      <c r="D16" s="41" t="s">
        <v>305</v>
      </c>
      <c r="F16" s="41" t="s">
        <v>301</v>
      </c>
    </row>
    <row r="17" spans="1:6" ht="18.75" hidden="1" x14ac:dyDescent="0.25">
      <c r="A17" s="51">
        <v>223</v>
      </c>
      <c r="B17" s="49" t="s">
        <v>272</v>
      </c>
      <c r="C17" s="49">
        <v>5</v>
      </c>
      <c r="D17" s="49" t="s">
        <v>289</v>
      </c>
      <c r="E17" s="50"/>
      <c r="F17" s="49" t="s">
        <v>301</v>
      </c>
    </row>
    <row r="18" spans="1:6" ht="18.75" x14ac:dyDescent="0.25">
      <c r="A18" s="17">
        <v>224</v>
      </c>
      <c r="B18" s="41" t="s">
        <v>273</v>
      </c>
      <c r="C18" s="41">
        <v>10</v>
      </c>
      <c r="D18" s="41" t="s">
        <v>289</v>
      </c>
      <c r="F18" s="41" t="s">
        <v>301</v>
      </c>
    </row>
    <row r="19" spans="1:6" ht="18.75" x14ac:dyDescent="0.25">
      <c r="A19" s="17">
        <v>225</v>
      </c>
      <c r="B19" s="41" t="s">
        <v>274</v>
      </c>
      <c r="C19" s="41">
        <v>11</v>
      </c>
      <c r="D19" s="41" t="s">
        <v>289</v>
      </c>
      <c r="F19" s="41" t="s">
        <v>301</v>
      </c>
    </row>
    <row r="20" spans="1:6" ht="18.75" hidden="1" x14ac:dyDescent="0.25">
      <c r="A20" s="51">
        <v>229</v>
      </c>
      <c r="B20" s="49" t="s">
        <v>275</v>
      </c>
      <c r="C20" s="49">
        <v>3</v>
      </c>
      <c r="D20" s="49" t="s">
        <v>366</v>
      </c>
      <c r="E20" s="50"/>
      <c r="F20" s="49" t="s">
        <v>301</v>
      </c>
    </row>
    <row r="21" spans="1:6" ht="18.75" hidden="1" x14ac:dyDescent="0.25">
      <c r="A21" s="51">
        <v>248</v>
      </c>
      <c r="B21" s="49" t="s">
        <v>227</v>
      </c>
      <c r="C21" s="49">
        <v>1</v>
      </c>
      <c r="D21" s="49" t="s">
        <v>290</v>
      </c>
      <c r="E21" s="50"/>
      <c r="F21" s="49" t="s">
        <v>301</v>
      </c>
    </row>
    <row r="22" spans="1:6" ht="18.75" x14ac:dyDescent="0.25">
      <c r="A22" s="17">
        <v>311</v>
      </c>
      <c r="B22" s="41" t="s">
        <v>232</v>
      </c>
      <c r="C22" s="41">
        <v>11</v>
      </c>
      <c r="D22" s="41" t="s">
        <v>370</v>
      </c>
      <c r="F22" s="41" t="s">
        <v>301</v>
      </c>
    </row>
    <row r="23" spans="1:6" ht="18.75" x14ac:dyDescent="0.25">
      <c r="A23" s="17">
        <v>312</v>
      </c>
      <c r="B23" s="41" t="s">
        <v>233</v>
      </c>
      <c r="C23" s="41">
        <v>8</v>
      </c>
      <c r="D23" s="41" t="s">
        <v>370</v>
      </c>
      <c r="F23" s="41" t="s">
        <v>301</v>
      </c>
    </row>
    <row r="24" spans="1:6" ht="18.75" hidden="1" x14ac:dyDescent="0.25">
      <c r="A24" s="51">
        <v>315</v>
      </c>
      <c r="B24" s="49" t="s">
        <v>85</v>
      </c>
      <c r="C24" s="49">
        <v>4</v>
      </c>
      <c r="D24" s="49" t="s">
        <v>291</v>
      </c>
      <c r="E24" s="50"/>
      <c r="F24" s="49" t="s">
        <v>301</v>
      </c>
    </row>
    <row r="25" spans="1:6" ht="18.75" hidden="1" x14ac:dyDescent="0.25">
      <c r="A25" s="51">
        <v>321</v>
      </c>
      <c r="B25" s="49" t="s">
        <v>86</v>
      </c>
      <c r="C25" s="49">
        <v>6</v>
      </c>
      <c r="D25" s="49" t="s">
        <v>292</v>
      </c>
      <c r="E25" s="50"/>
      <c r="F25" s="49" t="s">
        <v>301</v>
      </c>
    </row>
    <row r="26" spans="1:6" ht="18.75" x14ac:dyDescent="0.25">
      <c r="A26" s="17">
        <v>323</v>
      </c>
      <c r="B26" s="41" t="s">
        <v>88</v>
      </c>
      <c r="C26" s="41">
        <v>11</v>
      </c>
      <c r="D26" s="41" t="s">
        <v>293</v>
      </c>
      <c r="F26" s="41" t="s">
        <v>301</v>
      </c>
    </row>
    <row r="27" spans="1:6" ht="18.75" x14ac:dyDescent="0.25">
      <c r="A27" s="17">
        <v>334</v>
      </c>
      <c r="B27" s="41" t="s">
        <v>94</v>
      </c>
      <c r="C27" s="41">
        <v>15</v>
      </c>
      <c r="D27" s="41" t="s">
        <v>290</v>
      </c>
      <c r="F27" s="41" t="s">
        <v>301</v>
      </c>
    </row>
    <row r="28" spans="1:6" ht="18.75" x14ac:dyDescent="0.25">
      <c r="A28" s="17">
        <v>335</v>
      </c>
      <c r="B28" s="41" t="s">
        <v>95</v>
      </c>
      <c r="C28" s="41">
        <v>23</v>
      </c>
      <c r="D28" s="41" t="s">
        <v>290</v>
      </c>
      <c r="F28" s="41" t="s">
        <v>301</v>
      </c>
    </row>
    <row r="29" spans="1:6" ht="18.75" x14ac:dyDescent="0.25">
      <c r="A29" s="17">
        <v>338</v>
      </c>
      <c r="B29" s="41" t="s">
        <v>98</v>
      </c>
      <c r="C29" s="41">
        <v>23</v>
      </c>
      <c r="D29" s="41" t="s">
        <v>290</v>
      </c>
      <c r="F29" s="41" t="s">
        <v>301</v>
      </c>
    </row>
    <row r="30" spans="1:6" ht="18.75" x14ac:dyDescent="0.25">
      <c r="A30" s="17">
        <v>355</v>
      </c>
      <c r="B30" s="41" t="s">
        <v>100</v>
      </c>
      <c r="C30" s="41">
        <v>7</v>
      </c>
      <c r="D30" s="41" t="s">
        <v>291</v>
      </c>
      <c r="F30" s="41" t="s">
        <v>301</v>
      </c>
    </row>
    <row r="31" spans="1:6" ht="18.75" hidden="1" x14ac:dyDescent="0.25">
      <c r="A31" s="51">
        <v>390</v>
      </c>
      <c r="B31" s="49" t="s">
        <v>102</v>
      </c>
      <c r="C31" s="49">
        <v>4</v>
      </c>
      <c r="D31" s="49" t="s">
        <v>288</v>
      </c>
      <c r="E31" s="50"/>
      <c r="F31" s="49" t="s">
        <v>301</v>
      </c>
    </row>
    <row r="32" spans="1:6" ht="18.75" x14ac:dyDescent="0.25">
      <c r="A32" s="17">
        <v>391</v>
      </c>
      <c r="B32" s="41" t="s">
        <v>103</v>
      </c>
      <c r="C32" s="41">
        <v>11</v>
      </c>
      <c r="D32" s="41" t="s">
        <v>288</v>
      </c>
      <c r="F32" s="41" t="s">
        <v>301</v>
      </c>
    </row>
    <row r="33" spans="1:6" ht="18.75" x14ac:dyDescent="0.25">
      <c r="A33" s="17">
        <v>393</v>
      </c>
      <c r="B33" s="41" t="s">
        <v>105</v>
      </c>
      <c r="C33" s="41">
        <v>25</v>
      </c>
      <c r="D33" s="41" t="s">
        <v>288</v>
      </c>
      <c r="F33" s="41" t="s">
        <v>301</v>
      </c>
    </row>
    <row r="34" spans="1:6" ht="18.75" x14ac:dyDescent="0.25">
      <c r="A34" s="17">
        <v>393</v>
      </c>
      <c r="B34" s="41" t="s">
        <v>105</v>
      </c>
      <c r="C34" s="41">
        <v>5</v>
      </c>
      <c r="D34" s="41" t="s">
        <v>288</v>
      </c>
      <c r="F34" s="41" t="s">
        <v>301</v>
      </c>
    </row>
    <row r="35" spans="1:6" ht="18.75" x14ac:dyDescent="0.25">
      <c r="A35" s="17">
        <v>395</v>
      </c>
      <c r="B35" s="41" t="s">
        <v>234</v>
      </c>
      <c r="C35" s="41">
        <v>11</v>
      </c>
      <c r="D35" s="41" t="s">
        <v>290</v>
      </c>
      <c r="F35" s="41" t="s">
        <v>301</v>
      </c>
    </row>
    <row r="36" spans="1:6" ht="18.75" x14ac:dyDescent="0.25">
      <c r="A36" s="17">
        <v>396</v>
      </c>
      <c r="B36" s="41" t="s">
        <v>235</v>
      </c>
      <c r="C36" s="41">
        <v>6</v>
      </c>
      <c r="D36" s="41" t="s">
        <v>294</v>
      </c>
      <c r="F36" s="41" t="s">
        <v>301</v>
      </c>
    </row>
    <row r="37" spans="1:6" ht="18.75" x14ac:dyDescent="0.25">
      <c r="A37" s="17">
        <v>398</v>
      </c>
      <c r="B37" s="41" t="s">
        <v>224</v>
      </c>
      <c r="C37" s="41">
        <v>11</v>
      </c>
      <c r="D37" s="41"/>
      <c r="F37" s="41" t="s">
        <v>301</v>
      </c>
    </row>
    <row r="38" spans="1:6" ht="18.75" x14ac:dyDescent="0.25">
      <c r="A38" s="17">
        <v>400</v>
      </c>
      <c r="B38" s="41" t="s">
        <v>236</v>
      </c>
      <c r="C38" s="41">
        <v>11</v>
      </c>
      <c r="D38" s="41"/>
      <c r="F38" s="41" t="s">
        <v>301</v>
      </c>
    </row>
    <row r="39" spans="1:6" ht="18.75" x14ac:dyDescent="0.25">
      <c r="A39" s="17">
        <v>499</v>
      </c>
      <c r="B39" s="41" t="s">
        <v>237</v>
      </c>
      <c r="C39" s="41">
        <v>9</v>
      </c>
      <c r="D39" s="41" t="s">
        <v>293</v>
      </c>
      <c r="F39" s="41" t="s">
        <v>301</v>
      </c>
    </row>
    <row r="40" spans="1:6" ht="18.75" x14ac:dyDescent="0.25">
      <c r="A40" s="17">
        <v>500</v>
      </c>
      <c r="B40" s="41" t="s">
        <v>265</v>
      </c>
      <c r="C40" s="41">
        <v>8</v>
      </c>
      <c r="D40" s="41" t="s">
        <v>295</v>
      </c>
      <c r="F40" s="41" t="s">
        <v>301</v>
      </c>
    </row>
    <row r="41" spans="1:6" ht="18.75" x14ac:dyDescent="0.25">
      <c r="A41" s="17">
        <v>501</v>
      </c>
      <c r="B41" s="41" t="s">
        <v>262</v>
      </c>
      <c r="C41" s="41">
        <v>3</v>
      </c>
      <c r="D41" s="41" t="s">
        <v>368</v>
      </c>
      <c r="F41" s="41" t="s">
        <v>301</v>
      </c>
    </row>
    <row r="42" spans="1:6" ht="18.75" hidden="1" x14ac:dyDescent="0.25">
      <c r="A42" s="51" t="s">
        <v>49</v>
      </c>
      <c r="B42" s="49" t="s">
        <v>262</v>
      </c>
      <c r="C42" s="49">
        <v>17</v>
      </c>
      <c r="D42" s="49" t="s">
        <v>368</v>
      </c>
      <c r="E42" s="50"/>
      <c r="F42" s="49" t="s">
        <v>301</v>
      </c>
    </row>
    <row r="43" spans="1:6" ht="18.75" x14ac:dyDescent="0.25">
      <c r="A43" s="17">
        <v>504</v>
      </c>
      <c r="B43" s="41" t="s">
        <v>114</v>
      </c>
      <c r="C43" s="41">
        <v>5</v>
      </c>
      <c r="D43" s="41" t="s">
        <v>370</v>
      </c>
      <c r="F43" s="41" t="s">
        <v>301</v>
      </c>
    </row>
    <row r="44" spans="1:6" ht="18.75" x14ac:dyDescent="0.25">
      <c r="A44" s="39">
        <v>505</v>
      </c>
      <c r="B44" s="42" t="s">
        <v>250</v>
      </c>
      <c r="C44" s="42">
        <v>2</v>
      </c>
      <c r="D44" s="42" t="s">
        <v>299</v>
      </c>
      <c r="F44" s="41" t="s">
        <v>301</v>
      </c>
    </row>
    <row r="45" spans="1:6" ht="18.75" x14ac:dyDescent="0.25">
      <c r="A45" s="39">
        <v>505</v>
      </c>
      <c r="B45" s="42" t="s">
        <v>250</v>
      </c>
      <c r="C45" s="42">
        <v>5</v>
      </c>
      <c r="D45" s="42" t="s">
        <v>299</v>
      </c>
      <c r="F45" s="41" t="s">
        <v>301</v>
      </c>
    </row>
    <row r="46" spans="1:6" ht="18.75" hidden="1" x14ac:dyDescent="0.25">
      <c r="A46" s="52">
        <v>507</v>
      </c>
      <c r="B46" s="53" t="s">
        <v>117</v>
      </c>
      <c r="C46" s="53">
        <v>11</v>
      </c>
      <c r="D46" s="53" t="s">
        <v>370</v>
      </c>
      <c r="E46" s="54"/>
      <c r="F46" s="53" t="s">
        <v>301</v>
      </c>
    </row>
    <row r="47" spans="1:6" ht="18.75" x14ac:dyDescent="0.25">
      <c r="A47" s="17">
        <v>508</v>
      </c>
      <c r="B47" s="41" t="s">
        <v>264</v>
      </c>
      <c r="C47" s="41">
        <v>10</v>
      </c>
      <c r="D47" s="41" t="s">
        <v>370</v>
      </c>
      <c r="F47" s="41" t="s">
        <v>301</v>
      </c>
    </row>
    <row r="48" spans="1:6" ht="18.75" hidden="1" x14ac:dyDescent="0.25">
      <c r="A48" s="51">
        <v>510</v>
      </c>
      <c r="B48" s="49" t="s">
        <v>267</v>
      </c>
      <c r="C48" s="49">
        <v>6</v>
      </c>
      <c r="D48" s="49" t="s">
        <v>295</v>
      </c>
      <c r="E48" s="50"/>
      <c r="F48" s="49" t="s">
        <v>301</v>
      </c>
    </row>
    <row r="49" spans="1:6" ht="18.75" x14ac:dyDescent="0.25">
      <c r="A49" s="17">
        <v>511</v>
      </c>
      <c r="B49" s="41" t="s">
        <v>263</v>
      </c>
      <c r="C49" s="41">
        <v>7</v>
      </c>
      <c r="D49" s="41" t="s">
        <v>370</v>
      </c>
      <c r="F49" s="41" t="s">
        <v>301</v>
      </c>
    </row>
    <row r="50" spans="1:6" ht="18.75" x14ac:dyDescent="0.25">
      <c r="A50" s="17">
        <v>512</v>
      </c>
      <c r="B50" s="41" t="s">
        <v>266</v>
      </c>
      <c r="C50" s="41">
        <v>3</v>
      </c>
      <c r="D50" s="41" t="s">
        <v>287</v>
      </c>
      <c r="F50" s="41" t="s">
        <v>301</v>
      </c>
    </row>
    <row r="51" spans="1:6" ht="18.75" x14ac:dyDescent="0.25">
      <c r="A51" s="17">
        <v>512</v>
      </c>
      <c r="B51" s="41" t="s">
        <v>266</v>
      </c>
      <c r="C51" s="41">
        <v>10</v>
      </c>
      <c r="D51" s="41" t="s">
        <v>287</v>
      </c>
      <c r="F51" s="41" t="s">
        <v>301</v>
      </c>
    </row>
    <row r="52" spans="1:6" ht="18.75" hidden="1" x14ac:dyDescent="0.25">
      <c r="A52" s="51">
        <v>513</v>
      </c>
      <c r="B52" s="49" t="s">
        <v>252</v>
      </c>
      <c r="C52" s="49">
        <v>5</v>
      </c>
      <c r="D52" s="49" t="s">
        <v>287</v>
      </c>
      <c r="E52" s="50"/>
      <c r="F52" s="49" t="s">
        <v>301</v>
      </c>
    </row>
    <row r="53" spans="1:6" ht="18.75" x14ac:dyDescent="0.25">
      <c r="A53" s="17">
        <v>518</v>
      </c>
      <c r="B53" s="41" t="s">
        <v>283</v>
      </c>
      <c r="C53" s="41">
        <v>6</v>
      </c>
      <c r="D53" s="41" t="s">
        <v>296</v>
      </c>
      <c r="F53" s="41" t="s">
        <v>301</v>
      </c>
    </row>
    <row r="54" spans="1:6" ht="18.75" x14ac:dyDescent="0.25">
      <c r="A54" s="17">
        <v>519</v>
      </c>
      <c r="B54" s="41" t="s">
        <v>276</v>
      </c>
      <c r="C54" s="41">
        <v>10</v>
      </c>
      <c r="D54" s="41" t="s">
        <v>288</v>
      </c>
      <c r="F54" s="41" t="s">
        <v>301</v>
      </c>
    </row>
    <row r="55" spans="1:6" ht="18.75" x14ac:dyDescent="0.25">
      <c r="A55" s="17">
        <v>520</v>
      </c>
      <c r="B55" s="41" t="s">
        <v>268</v>
      </c>
      <c r="C55" s="41">
        <v>10</v>
      </c>
      <c r="D55" s="41" t="s">
        <v>370</v>
      </c>
      <c r="F55" s="41" t="s">
        <v>301</v>
      </c>
    </row>
    <row r="56" spans="1:6" ht="18.75" hidden="1" x14ac:dyDescent="0.25">
      <c r="A56" s="51">
        <v>521</v>
      </c>
      <c r="B56" s="49" t="s">
        <v>269</v>
      </c>
      <c r="C56" s="49">
        <v>3</v>
      </c>
      <c r="D56" s="49" t="s">
        <v>370</v>
      </c>
      <c r="E56" s="50"/>
      <c r="F56" s="49" t="s">
        <v>301</v>
      </c>
    </row>
    <row r="57" spans="1:6" ht="18.75" x14ac:dyDescent="0.25">
      <c r="A57" s="17">
        <v>523</v>
      </c>
      <c r="B57" s="41" t="s">
        <v>253</v>
      </c>
      <c r="C57" s="41">
        <v>11</v>
      </c>
      <c r="D57" s="41" t="s">
        <v>366</v>
      </c>
      <c r="F57" s="41" t="s">
        <v>301</v>
      </c>
    </row>
    <row r="58" spans="1:6" ht="18.75" x14ac:dyDescent="0.25">
      <c r="A58" s="17">
        <v>523</v>
      </c>
      <c r="B58" s="41" t="s">
        <v>253</v>
      </c>
      <c r="C58" s="41">
        <v>5</v>
      </c>
      <c r="D58" s="41" t="s">
        <v>366</v>
      </c>
      <c r="F58" s="41" t="s">
        <v>301</v>
      </c>
    </row>
    <row r="59" spans="1:6" ht="18.75" x14ac:dyDescent="0.25">
      <c r="A59" s="17">
        <v>525</v>
      </c>
      <c r="B59" s="41" t="s">
        <v>277</v>
      </c>
      <c r="C59" s="41">
        <v>11</v>
      </c>
      <c r="D59" s="41" t="s">
        <v>296</v>
      </c>
      <c r="F59" s="41" t="s">
        <v>301</v>
      </c>
    </row>
    <row r="60" spans="1:6" ht="18.75" x14ac:dyDescent="0.25">
      <c r="A60" s="17">
        <v>526</v>
      </c>
      <c r="B60" s="41"/>
      <c r="C60" s="41">
        <v>9</v>
      </c>
      <c r="D60" s="41"/>
      <c r="F60" s="41" t="s">
        <v>301</v>
      </c>
    </row>
    <row r="61" spans="1:6" ht="18.75" x14ac:dyDescent="0.25">
      <c r="A61" s="17">
        <v>530</v>
      </c>
      <c r="B61" s="41" t="s">
        <v>228</v>
      </c>
      <c r="C61" s="41">
        <v>9</v>
      </c>
      <c r="D61" s="41" t="s">
        <v>370</v>
      </c>
      <c r="F61" s="41" t="s">
        <v>301</v>
      </c>
    </row>
    <row r="62" spans="1:6" ht="18.75" x14ac:dyDescent="0.25">
      <c r="A62" s="17">
        <v>532</v>
      </c>
      <c r="B62" s="41" t="s">
        <v>261</v>
      </c>
      <c r="C62" s="41">
        <v>22</v>
      </c>
      <c r="D62" s="41" t="s">
        <v>369</v>
      </c>
      <c r="F62" s="41" t="s">
        <v>301</v>
      </c>
    </row>
    <row r="63" spans="1:6" ht="18.75" x14ac:dyDescent="0.25">
      <c r="A63" s="17">
        <v>534</v>
      </c>
      <c r="B63" s="41" t="s">
        <v>134</v>
      </c>
      <c r="C63" s="41">
        <v>19</v>
      </c>
      <c r="D63" s="41" t="s">
        <v>290</v>
      </c>
      <c r="F63" s="41" t="s">
        <v>301</v>
      </c>
    </row>
    <row r="64" spans="1:6" ht="18.75" x14ac:dyDescent="0.25">
      <c r="A64" s="17">
        <v>535</v>
      </c>
      <c r="B64" s="41" t="s">
        <v>278</v>
      </c>
      <c r="C64" s="41">
        <v>12</v>
      </c>
      <c r="D64" s="41" t="s">
        <v>290</v>
      </c>
      <c r="F64" s="41" t="s">
        <v>301</v>
      </c>
    </row>
    <row r="65" spans="1:6" ht="18.75" x14ac:dyDescent="0.25">
      <c r="A65" s="17">
        <v>537</v>
      </c>
      <c r="B65" s="41"/>
      <c r="C65" s="41">
        <v>14</v>
      </c>
      <c r="D65" s="41"/>
      <c r="F65" s="41" t="s">
        <v>301</v>
      </c>
    </row>
    <row r="66" spans="1:6" ht="18.75" x14ac:dyDescent="0.25">
      <c r="A66" s="17">
        <v>542</v>
      </c>
      <c r="B66" s="41" t="s">
        <v>136</v>
      </c>
      <c r="C66" s="41">
        <v>10</v>
      </c>
      <c r="D66" s="41" t="s">
        <v>288</v>
      </c>
      <c r="F66" s="41" t="s">
        <v>301</v>
      </c>
    </row>
    <row r="67" spans="1:6" ht="18.75" x14ac:dyDescent="0.25">
      <c r="A67" s="17">
        <v>543</v>
      </c>
      <c r="B67" s="41" t="s">
        <v>137</v>
      </c>
      <c r="C67" s="41">
        <v>9</v>
      </c>
      <c r="D67" s="41" t="s">
        <v>288</v>
      </c>
      <c r="F67" s="41" t="s">
        <v>301</v>
      </c>
    </row>
    <row r="68" spans="1:6" ht="18.75" x14ac:dyDescent="0.25">
      <c r="A68" s="17">
        <v>544</v>
      </c>
      <c r="B68" s="41" t="s">
        <v>302</v>
      </c>
      <c r="C68" s="41">
        <v>5</v>
      </c>
      <c r="D68" s="41" t="s">
        <v>288</v>
      </c>
      <c r="F68" s="41" t="s">
        <v>301</v>
      </c>
    </row>
    <row r="69" spans="1:6" ht="18.75" x14ac:dyDescent="0.25">
      <c r="A69" s="17">
        <v>548</v>
      </c>
      <c r="B69" s="41" t="s">
        <v>141</v>
      </c>
      <c r="C69" s="41">
        <v>6</v>
      </c>
      <c r="D69" s="41" t="s">
        <v>294</v>
      </c>
      <c r="F69" s="41" t="s">
        <v>301</v>
      </c>
    </row>
    <row r="70" spans="1:6" ht="18.75" x14ac:dyDescent="0.25">
      <c r="A70" s="17">
        <v>550</v>
      </c>
      <c r="B70" s="41" t="s">
        <v>255</v>
      </c>
      <c r="C70" s="41">
        <v>28</v>
      </c>
      <c r="D70" s="41" t="s">
        <v>287</v>
      </c>
      <c r="F70" s="41" t="s">
        <v>301</v>
      </c>
    </row>
    <row r="71" spans="1:6" ht="18.75" x14ac:dyDescent="0.25">
      <c r="A71" s="17">
        <v>551</v>
      </c>
      <c r="B71" s="41" t="s">
        <v>238</v>
      </c>
      <c r="C71" s="41">
        <v>8</v>
      </c>
      <c r="D71" s="41" t="s">
        <v>369</v>
      </c>
      <c r="F71" s="41" t="s">
        <v>301</v>
      </c>
    </row>
    <row r="72" spans="1:6" ht="18.75" x14ac:dyDescent="0.25">
      <c r="A72" s="17">
        <v>555</v>
      </c>
      <c r="B72" s="41" t="s">
        <v>256</v>
      </c>
      <c r="C72" s="41">
        <v>15</v>
      </c>
      <c r="D72" s="41" t="s">
        <v>295</v>
      </c>
      <c r="F72" s="41" t="s">
        <v>301</v>
      </c>
    </row>
    <row r="73" spans="1:6" ht="18.75" x14ac:dyDescent="0.25">
      <c r="A73" s="17">
        <v>556</v>
      </c>
      <c r="B73" s="41" t="s">
        <v>146</v>
      </c>
      <c r="C73" s="41">
        <v>23</v>
      </c>
      <c r="D73" s="41" t="s">
        <v>294</v>
      </c>
      <c r="F73" s="41" t="s">
        <v>301</v>
      </c>
    </row>
    <row r="74" spans="1:6" ht="18.75" hidden="1" x14ac:dyDescent="0.25">
      <c r="A74" s="51">
        <v>557</v>
      </c>
      <c r="B74" s="49" t="s">
        <v>257</v>
      </c>
      <c r="C74" s="49">
        <v>5</v>
      </c>
      <c r="D74" s="49" t="s">
        <v>295</v>
      </c>
      <c r="E74" s="50"/>
      <c r="F74" s="49" t="s">
        <v>301</v>
      </c>
    </row>
    <row r="75" spans="1:6" ht="18.75" x14ac:dyDescent="0.25">
      <c r="A75" s="17">
        <v>558</v>
      </c>
      <c r="B75" s="41" t="s">
        <v>260</v>
      </c>
      <c r="C75" s="41">
        <v>19</v>
      </c>
      <c r="D75" s="41" t="s">
        <v>295</v>
      </c>
      <c r="F75" s="41" t="s">
        <v>301</v>
      </c>
    </row>
    <row r="76" spans="1:6" ht="18.75" x14ac:dyDescent="0.25">
      <c r="A76" s="17">
        <v>560</v>
      </c>
      <c r="B76" s="41" t="s">
        <v>303</v>
      </c>
      <c r="C76" s="41">
        <v>5</v>
      </c>
      <c r="D76" s="41" t="s">
        <v>288</v>
      </c>
      <c r="F76" s="41"/>
    </row>
    <row r="77" spans="1:6" ht="18.75" x14ac:dyDescent="0.25">
      <c r="A77" s="17">
        <v>561</v>
      </c>
      <c r="B77" s="41" t="s">
        <v>248</v>
      </c>
      <c r="C77" s="41">
        <v>10</v>
      </c>
      <c r="D77" s="41" t="s">
        <v>288</v>
      </c>
      <c r="F77" s="41" t="s">
        <v>301</v>
      </c>
    </row>
    <row r="78" spans="1:6" ht="18.75" x14ac:dyDescent="0.25">
      <c r="A78" s="17">
        <v>562</v>
      </c>
      <c r="B78" s="41"/>
      <c r="C78" s="41">
        <v>12</v>
      </c>
      <c r="D78" s="41"/>
      <c r="F78" s="41"/>
    </row>
    <row r="79" spans="1:6" ht="18.75" x14ac:dyDescent="0.25">
      <c r="A79" s="17">
        <v>563</v>
      </c>
      <c r="B79" s="41" t="s">
        <v>280</v>
      </c>
      <c r="C79" s="41">
        <v>10</v>
      </c>
      <c r="D79" s="41" t="s">
        <v>294</v>
      </c>
      <c r="F79" s="41" t="s">
        <v>301</v>
      </c>
    </row>
    <row r="80" spans="1:6" ht="18.75" x14ac:dyDescent="0.25">
      <c r="A80" s="17">
        <v>564</v>
      </c>
      <c r="B80" s="41" t="s">
        <v>279</v>
      </c>
      <c r="C80" s="41">
        <v>2</v>
      </c>
      <c r="D80" s="41" t="s">
        <v>370</v>
      </c>
      <c r="F80" s="41" t="s">
        <v>301</v>
      </c>
    </row>
    <row r="81" spans="1:6" ht="18.75" x14ac:dyDescent="0.25">
      <c r="A81" s="17">
        <v>565</v>
      </c>
      <c r="B81" s="41" t="s">
        <v>239</v>
      </c>
      <c r="C81" s="41">
        <v>11</v>
      </c>
      <c r="D81" s="41" t="s">
        <v>297</v>
      </c>
      <c r="F81" s="41" t="s">
        <v>301</v>
      </c>
    </row>
    <row r="82" spans="1:6" ht="18.75" x14ac:dyDescent="0.25">
      <c r="A82" s="17">
        <v>570</v>
      </c>
      <c r="B82" s="41" t="s">
        <v>240</v>
      </c>
      <c r="C82" s="41">
        <v>23</v>
      </c>
      <c r="D82" s="41" t="s">
        <v>370</v>
      </c>
      <c r="F82" s="41" t="s">
        <v>301</v>
      </c>
    </row>
    <row r="83" spans="1:6" ht="18.75" x14ac:dyDescent="0.25">
      <c r="A83" s="17">
        <v>573</v>
      </c>
      <c r="B83" s="41" t="s">
        <v>258</v>
      </c>
      <c r="C83" s="41">
        <v>10</v>
      </c>
      <c r="D83" s="41" t="s">
        <v>294</v>
      </c>
      <c r="F83" s="41" t="s">
        <v>301</v>
      </c>
    </row>
    <row r="84" spans="1:6" ht="18.75" x14ac:dyDescent="0.25">
      <c r="A84" s="17">
        <v>574</v>
      </c>
      <c r="B84" s="41" t="s">
        <v>249</v>
      </c>
      <c r="C84" s="41">
        <v>3</v>
      </c>
      <c r="D84" s="41" t="s">
        <v>296</v>
      </c>
      <c r="F84" s="41" t="s">
        <v>301</v>
      </c>
    </row>
    <row r="85" spans="1:6" ht="18.75" x14ac:dyDescent="0.25">
      <c r="A85" s="17">
        <v>574</v>
      </c>
      <c r="B85" s="41" t="s">
        <v>372</v>
      </c>
      <c r="C85" s="41">
        <v>8</v>
      </c>
      <c r="D85" s="41" t="s">
        <v>296</v>
      </c>
      <c r="F85" s="41" t="s">
        <v>301</v>
      </c>
    </row>
    <row r="86" spans="1:6" ht="18.75" x14ac:dyDescent="0.25">
      <c r="A86" s="17">
        <v>575</v>
      </c>
      <c r="B86" s="41" t="s">
        <v>245</v>
      </c>
      <c r="C86" s="41">
        <v>5</v>
      </c>
      <c r="D86" s="41" t="s">
        <v>369</v>
      </c>
      <c r="F86" s="41" t="s">
        <v>301</v>
      </c>
    </row>
    <row r="87" spans="1:6" ht="18.75" x14ac:dyDescent="0.25">
      <c r="A87" s="17">
        <v>577</v>
      </c>
      <c r="B87" s="41" t="s">
        <v>246</v>
      </c>
      <c r="C87" s="41">
        <v>10</v>
      </c>
      <c r="D87" s="41" t="s">
        <v>369</v>
      </c>
      <c r="F87" s="41" t="s">
        <v>301</v>
      </c>
    </row>
    <row r="88" spans="1:6" ht="18.75" x14ac:dyDescent="0.25">
      <c r="A88" s="17">
        <v>579</v>
      </c>
      <c r="B88" s="41" t="s">
        <v>247</v>
      </c>
      <c r="C88" s="41">
        <v>10</v>
      </c>
      <c r="D88" s="41" t="s">
        <v>369</v>
      </c>
      <c r="F88" s="41" t="s">
        <v>301</v>
      </c>
    </row>
    <row r="89" spans="1:6" ht="18.75" x14ac:dyDescent="0.25">
      <c r="A89" s="17">
        <v>581</v>
      </c>
      <c r="B89" s="41" t="s">
        <v>229</v>
      </c>
      <c r="C89" s="41">
        <v>2</v>
      </c>
      <c r="D89" s="41" t="s">
        <v>370</v>
      </c>
      <c r="F89" s="41" t="s">
        <v>301</v>
      </c>
    </row>
    <row r="90" spans="1:6" ht="18.75" x14ac:dyDescent="0.25">
      <c r="A90" s="17">
        <v>586</v>
      </c>
      <c r="B90" s="41" t="s">
        <v>251</v>
      </c>
      <c r="C90" s="41">
        <v>5</v>
      </c>
      <c r="D90" s="41" t="s">
        <v>296</v>
      </c>
      <c r="F90" s="41" t="s">
        <v>301</v>
      </c>
    </row>
    <row r="91" spans="1:6" ht="18.75" x14ac:dyDescent="0.25">
      <c r="A91" s="17">
        <v>586</v>
      </c>
      <c r="B91" s="41" t="s">
        <v>251</v>
      </c>
      <c r="C91" s="41">
        <v>9</v>
      </c>
      <c r="D91" s="41" t="s">
        <v>296</v>
      </c>
      <c r="F91" s="41" t="s">
        <v>301</v>
      </c>
    </row>
    <row r="92" spans="1:6" ht="18.75" x14ac:dyDescent="0.25">
      <c r="A92" s="17">
        <v>587</v>
      </c>
      <c r="B92" s="41" t="s">
        <v>254</v>
      </c>
      <c r="C92" s="41">
        <v>4</v>
      </c>
      <c r="D92" s="41" t="s">
        <v>296</v>
      </c>
      <c r="F92" s="41" t="s">
        <v>301</v>
      </c>
    </row>
    <row r="93" spans="1:6" ht="18.75" hidden="1" x14ac:dyDescent="0.25">
      <c r="A93" s="51">
        <v>594</v>
      </c>
      <c r="B93" s="49" t="s">
        <v>241</v>
      </c>
      <c r="C93" s="49">
        <v>8</v>
      </c>
      <c r="D93" s="49" t="s">
        <v>288</v>
      </c>
      <c r="E93" s="50"/>
      <c r="F93" s="49" t="s">
        <v>301</v>
      </c>
    </row>
    <row r="94" spans="1:6" ht="18.75" x14ac:dyDescent="0.25">
      <c r="A94" s="17">
        <v>595</v>
      </c>
      <c r="B94" s="41" t="s">
        <v>242</v>
      </c>
      <c r="C94" s="41">
        <v>9</v>
      </c>
      <c r="D94" s="41" t="s">
        <v>288</v>
      </c>
      <c r="F94" s="41" t="s">
        <v>301</v>
      </c>
    </row>
    <row r="95" spans="1:6" ht="18.75" x14ac:dyDescent="0.25">
      <c r="A95" s="17">
        <v>595</v>
      </c>
      <c r="B95" s="41" t="s">
        <v>242</v>
      </c>
      <c r="C95" s="41">
        <v>6</v>
      </c>
      <c r="D95" s="41" t="s">
        <v>288</v>
      </c>
      <c r="F95" s="41" t="s">
        <v>301</v>
      </c>
    </row>
    <row r="96" spans="1:6" ht="18.75" x14ac:dyDescent="0.25">
      <c r="A96" s="17">
        <v>596</v>
      </c>
      <c r="B96" s="41" t="s">
        <v>243</v>
      </c>
      <c r="C96" s="41">
        <v>8</v>
      </c>
      <c r="D96" s="41" t="s">
        <v>288</v>
      </c>
      <c r="F96" s="41" t="s">
        <v>301</v>
      </c>
    </row>
    <row r="97" spans="1:6" ht="18.75" x14ac:dyDescent="0.25">
      <c r="A97" s="17">
        <v>596</v>
      </c>
      <c r="B97" s="41" t="s">
        <v>243</v>
      </c>
      <c r="C97" s="41">
        <v>5</v>
      </c>
      <c r="D97" s="41" t="s">
        <v>288</v>
      </c>
      <c r="F97" s="41" t="s">
        <v>301</v>
      </c>
    </row>
    <row r="98" spans="1:6" ht="18.75" x14ac:dyDescent="0.25">
      <c r="A98" s="17">
        <v>654</v>
      </c>
      <c r="B98" s="41" t="s">
        <v>259</v>
      </c>
      <c r="C98" s="41">
        <v>19</v>
      </c>
      <c r="D98" s="41" t="s">
        <v>295</v>
      </c>
      <c r="F98" s="41" t="s">
        <v>301</v>
      </c>
    </row>
    <row r="99" spans="1:6" ht="18.75" x14ac:dyDescent="0.25">
      <c r="A99" s="17">
        <v>823</v>
      </c>
      <c r="B99" s="41" t="s">
        <v>244</v>
      </c>
      <c r="C99" s="41">
        <v>4</v>
      </c>
      <c r="D99" s="41" t="s">
        <v>369</v>
      </c>
      <c r="F99" s="41" t="s">
        <v>301</v>
      </c>
    </row>
    <row r="100" spans="1:6" ht="15.75" x14ac:dyDescent="0.25">
      <c r="A100" s="40" t="s">
        <v>12</v>
      </c>
      <c r="B100" s="41" t="s">
        <v>161</v>
      </c>
      <c r="C100" s="41">
        <v>10</v>
      </c>
      <c r="D100" s="41" t="s">
        <v>296</v>
      </c>
      <c r="F100" s="41" t="s">
        <v>11</v>
      </c>
    </row>
    <row r="101" spans="1:6" ht="15.75" x14ac:dyDescent="0.25">
      <c r="A101" s="40">
        <v>106</v>
      </c>
      <c r="B101" s="41" t="s">
        <v>355</v>
      </c>
      <c r="C101" s="41">
        <v>8</v>
      </c>
      <c r="D101" s="41" t="s">
        <v>366</v>
      </c>
      <c r="F101" s="41" t="s">
        <v>11</v>
      </c>
    </row>
    <row r="102" spans="1:6" ht="15.75" x14ac:dyDescent="0.25">
      <c r="A102" s="40">
        <v>107</v>
      </c>
      <c r="B102" s="41" t="s">
        <v>317</v>
      </c>
      <c r="C102" s="41">
        <v>12</v>
      </c>
      <c r="D102" s="41" t="s">
        <v>296</v>
      </c>
      <c r="F102" s="41" t="s">
        <v>11</v>
      </c>
    </row>
    <row r="103" spans="1:6" ht="15.75" x14ac:dyDescent="0.25">
      <c r="A103" s="40">
        <v>108</v>
      </c>
      <c r="B103" s="41" t="s">
        <v>318</v>
      </c>
      <c r="C103" s="41">
        <v>6</v>
      </c>
      <c r="D103" s="41" t="s">
        <v>287</v>
      </c>
      <c r="F103" s="41" t="s">
        <v>11</v>
      </c>
    </row>
    <row r="104" spans="1:6" ht="15.75" hidden="1" x14ac:dyDescent="0.25">
      <c r="A104" s="55">
        <v>160</v>
      </c>
      <c r="B104" s="49"/>
      <c r="C104" s="49">
        <v>23</v>
      </c>
      <c r="D104" s="49"/>
      <c r="E104" s="50"/>
      <c r="F104" s="49" t="s">
        <v>11</v>
      </c>
    </row>
    <row r="105" spans="1:6" ht="15.75" hidden="1" x14ac:dyDescent="0.25">
      <c r="A105" s="55">
        <v>609</v>
      </c>
      <c r="B105" s="49" t="s">
        <v>85</v>
      </c>
      <c r="C105" s="49">
        <v>8</v>
      </c>
      <c r="D105" s="49" t="s">
        <v>291</v>
      </c>
      <c r="E105" s="50"/>
      <c r="F105" s="49" t="s">
        <v>11</v>
      </c>
    </row>
    <row r="106" spans="1:6" ht="15.75" x14ac:dyDescent="0.25">
      <c r="A106" s="40">
        <v>701</v>
      </c>
      <c r="B106" s="41" t="s">
        <v>112</v>
      </c>
      <c r="C106" s="41">
        <v>2</v>
      </c>
      <c r="D106" s="41" t="s">
        <v>368</v>
      </c>
      <c r="F106" s="41" t="s">
        <v>11</v>
      </c>
    </row>
    <row r="107" spans="1:6" ht="15.75" x14ac:dyDescent="0.25">
      <c r="A107" s="40">
        <v>701</v>
      </c>
      <c r="B107" s="41" t="s">
        <v>112</v>
      </c>
      <c r="C107" s="41">
        <v>3</v>
      </c>
      <c r="D107" s="41" t="s">
        <v>368</v>
      </c>
      <c r="F107" s="41" t="s">
        <v>11</v>
      </c>
    </row>
    <row r="108" spans="1:6" ht="15.75" x14ac:dyDescent="0.25">
      <c r="A108" s="40">
        <v>702</v>
      </c>
      <c r="B108" s="41" t="s">
        <v>319</v>
      </c>
      <c r="C108" s="41">
        <v>11</v>
      </c>
      <c r="D108" s="41" t="s">
        <v>287</v>
      </c>
      <c r="F108" s="41" t="s">
        <v>11</v>
      </c>
    </row>
    <row r="109" spans="1:6" ht="15.75" x14ac:dyDescent="0.25">
      <c r="A109" s="40" t="s">
        <v>47</v>
      </c>
      <c r="B109" s="41"/>
      <c r="C109" s="41">
        <v>10</v>
      </c>
      <c r="D109" s="41" t="s">
        <v>287</v>
      </c>
      <c r="F109" s="41" t="s">
        <v>11</v>
      </c>
    </row>
    <row r="110" spans="1:6" ht="15.75" x14ac:dyDescent="0.25">
      <c r="A110" s="40">
        <v>723</v>
      </c>
      <c r="B110" s="41" t="s">
        <v>320</v>
      </c>
      <c r="C110" s="41">
        <v>10</v>
      </c>
      <c r="D110" s="41" t="s">
        <v>366</v>
      </c>
      <c r="F110" s="41" t="s">
        <v>11</v>
      </c>
    </row>
    <row r="111" spans="1:6" ht="15.75" x14ac:dyDescent="0.25">
      <c r="A111" s="40" t="s">
        <v>48</v>
      </c>
      <c r="B111" s="41"/>
      <c r="C111" s="41">
        <v>9</v>
      </c>
      <c r="D111" s="41" t="s">
        <v>370</v>
      </c>
      <c r="F111" s="41" t="s">
        <v>11</v>
      </c>
    </row>
    <row r="112" spans="1:6" ht="15.75" x14ac:dyDescent="0.25">
      <c r="A112" s="40">
        <v>731</v>
      </c>
      <c r="B112" s="41" t="s">
        <v>132</v>
      </c>
      <c r="C112" s="41">
        <v>9</v>
      </c>
      <c r="D112" s="41" t="s">
        <v>370</v>
      </c>
      <c r="F112" s="41" t="s">
        <v>11</v>
      </c>
    </row>
    <row r="113" spans="1:6" ht="15.75" x14ac:dyDescent="0.25">
      <c r="A113" s="40">
        <v>757</v>
      </c>
      <c r="B113" s="41"/>
      <c r="C113" s="41">
        <v>91</v>
      </c>
      <c r="D113" s="41"/>
      <c r="F113" s="41" t="s">
        <v>11</v>
      </c>
    </row>
    <row r="114" spans="1:6" ht="15.75" x14ac:dyDescent="0.25">
      <c r="A114" s="40">
        <v>771</v>
      </c>
      <c r="B114" s="41"/>
      <c r="C114" s="41">
        <v>7</v>
      </c>
      <c r="D114" s="41"/>
      <c r="F114" s="41" t="s">
        <v>11</v>
      </c>
    </row>
    <row r="115" spans="1:6" ht="15.75" x14ac:dyDescent="0.25">
      <c r="A115" s="40">
        <v>789</v>
      </c>
      <c r="B115" s="41" t="s">
        <v>321</v>
      </c>
      <c r="C115" s="41">
        <v>17</v>
      </c>
      <c r="D115" s="41" t="s">
        <v>291</v>
      </c>
      <c r="F115" s="41" t="s">
        <v>11</v>
      </c>
    </row>
    <row r="116" spans="1:6" ht="15.75" hidden="1" x14ac:dyDescent="0.25">
      <c r="A116" s="55">
        <v>802</v>
      </c>
      <c r="B116" s="49" t="s">
        <v>138</v>
      </c>
      <c r="C116" s="49">
        <v>8</v>
      </c>
      <c r="D116" s="49" t="s">
        <v>288</v>
      </c>
      <c r="E116" s="50"/>
      <c r="F116" s="49" t="s">
        <v>11</v>
      </c>
    </row>
    <row r="117" spans="1:6" ht="15.75" x14ac:dyDescent="0.25">
      <c r="A117" s="40">
        <v>845</v>
      </c>
      <c r="B117" s="41" t="s">
        <v>104</v>
      </c>
      <c r="C117" s="41">
        <v>4</v>
      </c>
      <c r="D117" s="41" t="s">
        <v>288</v>
      </c>
      <c r="F117" s="41" t="s">
        <v>11</v>
      </c>
    </row>
    <row r="118" spans="1:6" ht="15.75" x14ac:dyDescent="0.25">
      <c r="A118" s="40">
        <v>847</v>
      </c>
      <c r="B118" s="41" t="s">
        <v>90</v>
      </c>
      <c r="C118" s="41">
        <v>12</v>
      </c>
      <c r="D118" s="41" t="s">
        <v>288</v>
      </c>
      <c r="F118" s="41" t="s">
        <v>11</v>
      </c>
    </row>
    <row r="119" spans="1:6" ht="15.75" x14ac:dyDescent="0.25">
      <c r="A119" s="56">
        <v>857</v>
      </c>
      <c r="B119" s="57" t="s">
        <v>83</v>
      </c>
      <c r="C119" s="57">
        <v>12</v>
      </c>
      <c r="D119" s="57" t="s">
        <v>290</v>
      </c>
      <c r="E119" s="58"/>
      <c r="F119" s="57" t="s">
        <v>11</v>
      </c>
    </row>
    <row r="120" spans="1:6" ht="15.75" x14ac:dyDescent="0.25">
      <c r="A120" s="40">
        <v>878</v>
      </c>
      <c r="B120" s="41" t="s">
        <v>322</v>
      </c>
      <c r="C120" s="41">
        <v>19</v>
      </c>
      <c r="D120" s="41" t="s">
        <v>288</v>
      </c>
      <c r="F120" s="41" t="s">
        <v>11</v>
      </c>
    </row>
    <row r="121" spans="1:6" ht="18.75" x14ac:dyDescent="0.25">
      <c r="A121" s="19" t="s">
        <v>16</v>
      </c>
      <c r="B121" s="41" t="s">
        <v>323</v>
      </c>
      <c r="C121" s="41">
        <v>11</v>
      </c>
      <c r="D121" s="41" t="s">
        <v>293</v>
      </c>
      <c r="F121" s="41" t="s">
        <v>307</v>
      </c>
    </row>
    <row r="122" spans="1:6" ht="18.75" x14ac:dyDescent="0.25">
      <c r="A122" s="19" t="s">
        <v>313</v>
      </c>
      <c r="B122" s="41" t="s">
        <v>324</v>
      </c>
      <c r="C122" s="41">
        <v>11</v>
      </c>
      <c r="D122" s="41" t="s">
        <v>288</v>
      </c>
      <c r="F122" s="41"/>
    </row>
    <row r="123" spans="1:6" ht="18.75" x14ac:dyDescent="0.25">
      <c r="A123" s="17" t="s">
        <v>17</v>
      </c>
      <c r="B123" s="41" t="s">
        <v>325</v>
      </c>
      <c r="C123" s="41">
        <v>11</v>
      </c>
      <c r="D123" s="41" t="s">
        <v>366</v>
      </c>
      <c r="F123" s="41" t="s">
        <v>307</v>
      </c>
    </row>
    <row r="124" spans="1:6" ht="18.75" x14ac:dyDescent="0.25">
      <c r="A124" s="17" t="s">
        <v>178</v>
      </c>
      <c r="B124" s="41" t="s">
        <v>326</v>
      </c>
      <c r="C124" s="41">
        <v>8</v>
      </c>
      <c r="D124" s="41" t="s">
        <v>366</v>
      </c>
      <c r="F124" s="41"/>
    </row>
    <row r="125" spans="1:6" ht="18.75" x14ac:dyDescent="0.25">
      <c r="A125" s="17" t="s">
        <v>18</v>
      </c>
      <c r="B125" s="41" t="s">
        <v>327</v>
      </c>
      <c r="C125" s="41">
        <v>8</v>
      </c>
      <c r="D125" s="41" t="s">
        <v>366</v>
      </c>
      <c r="F125" s="41" t="s">
        <v>307</v>
      </c>
    </row>
    <row r="126" spans="1:6" ht="18.75" x14ac:dyDescent="0.25">
      <c r="A126" s="17" t="s">
        <v>14</v>
      </c>
      <c r="B126" s="41" t="s">
        <v>328</v>
      </c>
      <c r="C126" s="41">
        <v>1</v>
      </c>
      <c r="D126" s="41" t="str">
        <f>+VLOOKUP(A126,'[1]OCUPACION VIRGILIO'!$B:$J,9,FALSE)</f>
        <v>Garcia</v>
      </c>
      <c r="F126" s="41" t="s">
        <v>307</v>
      </c>
    </row>
    <row r="127" spans="1:6" ht="18.75" x14ac:dyDescent="0.25">
      <c r="A127" s="17" t="s">
        <v>19</v>
      </c>
      <c r="B127" s="41" t="s">
        <v>329</v>
      </c>
      <c r="C127" s="41">
        <v>3</v>
      </c>
      <c r="D127" s="41" t="str">
        <f>+VLOOKUP(A127,'[1]OCUPACION VIRGILIO'!$B:$J,9,FALSE)</f>
        <v>Garcia</v>
      </c>
      <c r="F127" s="41" t="s">
        <v>307</v>
      </c>
    </row>
    <row r="128" spans="1:6" ht="18.75" x14ac:dyDescent="0.25">
      <c r="A128" s="17" t="s">
        <v>15</v>
      </c>
      <c r="B128" s="41" t="s">
        <v>330</v>
      </c>
      <c r="C128" s="41">
        <v>3</v>
      </c>
      <c r="D128" s="41" t="s">
        <v>366</v>
      </c>
      <c r="F128" s="41" t="s">
        <v>307</v>
      </c>
    </row>
    <row r="129" spans="1:6" ht="18.75" x14ac:dyDescent="0.25">
      <c r="A129" s="17" t="s">
        <v>195</v>
      </c>
      <c r="B129" s="41" t="s">
        <v>196</v>
      </c>
      <c r="C129" s="41">
        <v>4</v>
      </c>
      <c r="D129" s="41" t="str">
        <f>+VLOOKUP(A129,'[1]OCUPACION VIRGILIO'!$B:$J,9,FALSE)</f>
        <v>Tierra Nativa</v>
      </c>
      <c r="F129" s="41" t="s">
        <v>307</v>
      </c>
    </row>
    <row r="130" spans="1:6" ht="18.75" x14ac:dyDescent="0.25">
      <c r="A130" s="17" t="s">
        <v>21</v>
      </c>
      <c r="B130" s="41" t="s">
        <v>331</v>
      </c>
      <c r="C130" s="41">
        <v>10</v>
      </c>
      <c r="D130" s="41" t="str">
        <f>+VLOOKUP(A130,'[1]OCUPACION VIRGILIO'!$B:$J,9,FALSE)</f>
        <v>Tierra Nativa</v>
      </c>
      <c r="F130" s="41" t="s">
        <v>307</v>
      </c>
    </row>
    <row r="131" spans="1:6" ht="18.75" x14ac:dyDescent="0.25">
      <c r="A131" s="17" t="s">
        <v>22</v>
      </c>
      <c r="B131" s="41"/>
      <c r="C131" s="41">
        <v>10</v>
      </c>
      <c r="D131" s="41" t="s">
        <v>366</v>
      </c>
      <c r="F131" s="41" t="s">
        <v>307</v>
      </c>
    </row>
    <row r="132" spans="1:6" ht="18.75" x14ac:dyDescent="0.25">
      <c r="A132" s="17" t="s">
        <v>23</v>
      </c>
      <c r="B132" s="41" t="s">
        <v>332</v>
      </c>
      <c r="C132" s="41">
        <v>3</v>
      </c>
      <c r="D132" s="41" t="s">
        <v>366</v>
      </c>
      <c r="F132" s="41" t="s">
        <v>307</v>
      </c>
    </row>
    <row r="133" spans="1:6" ht="18.75" x14ac:dyDescent="0.25">
      <c r="A133" s="17" t="s">
        <v>314</v>
      </c>
      <c r="B133" s="41" t="s">
        <v>333</v>
      </c>
      <c r="C133" s="41">
        <v>20</v>
      </c>
      <c r="D133" s="41" t="str">
        <f>+VLOOKUP(A133,'[1]OCUPACION VIRGILIO'!$B:$J,9,FALSE)</f>
        <v>Tierra Nativa</v>
      </c>
      <c r="F133" s="41" t="s">
        <v>307</v>
      </c>
    </row>
    <row r="134" spans="1:6" ht="18.75" x14ac:dyDescent="0.25">
      <c r="A134" s="17" t="s">
        <v>315</v>
      </c>
      <c r="B134" s="41" t="s">
        <v>334</v>
      </c>
      <c r="C134" s="41">
        <v>4</v>
      </c>
      <c r="D134" s="41" t="str">
        <f>+VLOOKUP(A134,'[1]OCUPACION VIRGILIO'!$B:$J,9,FALSE)</f>
        <v>Tierra Nativa</v>
      </c>
      <c r="F134" s="41" t="s">
        <v>307</v>
      </c>
    </row>
    <row r="135" spans="1:6" ht="18.75" x14ac:dyDescent="0.25">
      <c r="A135" s="17" t="s">
        <v>316</v>
      </c>
      <c r="B135" s="41" t="s">
        <v>335</v>
      </c>
      <c r="C135" s="41">
        <v>6</v>
      </c>
      <c r="D135" s="41" t="str">
        <f>+VLOOKUP(A135,'[1]OCUPACION VIRGILIO'!$B:$J,9,FALSE)</f>
        <v>Garcia</v>
      </c>
      <c r="F135" s="41" t="s">
        <v>307</v>
      </c>
    </row>
    <row r="136" spans="1:6" ht="18.75" x14ac:dyDescent="0.25">
      <c r="A136" s="17" t="s">
        <v>24</v>
      </c>
      <c r="B136" s="41" t="s">
        <v>336</v>
      </c>
      <c r="C136" s="41">
        <v>3</v>
      </c>
      <c r="D136" s="41" t="s">
        <v>366</v>
      </c>
      <c r="F136" s="41" t="s">
        <v>307</v>
      </c>
    </row>
    <row r="137" spans="1:6" ht="18.75" x14ac:dyDescent="0.25">
      <c r="A137" s="17" t="s">
        <v>25</v>
      </c>
      <c r="B137" s="41" t="s">
        <v>337</v>
      </c>
      <c r="C137" s="41">
        <v>4</v>
      </c>
      <c r="D137" s="41" t="s">
        <v>366</v>
      </c>
      <c r="F137" s="41" t="s">
        <v>307</v>
      </c>
    </row>
    <row r="138" spans="1:6" ht="18.75" x14ac:dyDescent="0.25">
      <c r="A138" s="17" t="s">
        <v>26</v>
      </c>
      <c r="B138" s="41" t="s">
        <v>338</v>
      </c>
      <c r="C138" s="41">
        <v>5</v>
      </c>
      <c r="D138" s="41" t="s">
        <v>366</v>
      </c>
      <c r="F138" s="41" t="s">
        <v>307</v>
      </c>
    </row>
    <row r="139" spans="1:6" ht="18.75" x14ac:dyDescent="0.25">
      <c r="A139" s="17" t="s">
        <v>27</v>
      </c>
      <c r="B139" s="41" t="s">
        <v>339</v>
      </c>
      <c r="C139" s="41">
        <v>11</v>
      </c>
      <c r="D139" s="41" t="s">
        <v>366</v>
      </c>
      <c r="F139" s="41" t="s">
        <v>307</v>
      </c>
    </row>
    <row r="140" spans="1:6" ht="18.75" x14ac:dyDescent="0.25">
      <c r="A140" s="17" t="s">
        <v>28</v>
      </c>
      <c r="B140" s="41" t="s">
        <v>340</v>
      </c>
      <c r="C140" s="41">
        <v>11</v>
      </c>
      <c r="D140" s="41" t="s">
        <v>366</v>
      </c>
      <c r="F140" s="41" t="s">
        <v>307</v>
      </c>
    </row>
    <row r="141" spans="1:6" ht="18.75" x14ac:dyDescent="0.25">
      <c r="A141" s="17" t="s">
        <v>29</v>
      </c>
      <c r="B141" s="41"/>
      <c r="C141" s="41">
        <v>8</v>
      </c>
      <c r="D141" s="41" t="s">
        <v>366</v>
      </c>
      <c r="F141" s="41" t="s">
        <v>307</v>
      </c>
    </row>
    <row r="142" spans="1:6" ht="18.75" x14ac:dyDescent="0.25">
      <c r="A142" s="17" t="s">
        <v>30</v>
      </c>
      <c r="B142" s="41" t="s">
        <v>319</v>
      </c>
      <c r="C142" s="41">
        <v>11</v>
      </c>
      <c r="D142" s="41" t="s">
        <v>366</v>
      </c>
      <c r="F142" s="41" t="s">
        <v>307</v>
      </c>
    </row>
    <row r="143" spans="1:6" ht="18.75" x14ac:dyDescent="0.25">
      <c r="A143" s="17" t="s">
        <v>31</v>
      </c>
      <c r="B143" s="41" t="s">
        <v>341</v>
      </c>
      <c r="C143" s="41">
        <v>18</v>
      </c>
      <c r="D143" s="41" t="s">
        <v>366</v>
      </c>
      <c r="F143" s="41" t="s">
        <v>307</v>
      </c>
    </row>
    <row r="144" spans="1:6" ht="18.75" x14ac:dyDescent="0.25">
      <c r="A144" s="17" t="s">
        <v>32</v>
      </c>
      <c r="B144" s="41" t="s">
        <v>332</v>
      </c>
      <c r="C144" s="41">
        <v>11</v>
      </c>
      <c r="D144" s="41" t="s">
        <v>366</v>
      </c>
      <c r="F144" s="41" t="s">
        <v>307</v>
      </c>
    </row>
    <row r="145" spans="1:6" ht="18.75" x14ac:dyDescent="0.25">
      <c r="A145" s="17" t="s">
        <v>33</v>
      </c>
      <c r="B145" s="41" t="s">
        <v>342</v>
      </c>
      <c r="C145" s="41">
        <v>3</v>
      </c>
      <c r="D145" s="41" t="s">
        <v>366</v>
      </c>
      <c r="F145" s="41" t="s">
        <v>307</v>
      </c>
    </row>
    <row r="146" spans="1:6" ht="18.75" x14ac:dyDescent="0.25">
      <c r="A146" s="17" t="s">
        <v>34</v>
      </c>
      <c r="B146" s="41"/>
      <c r="C146" s="41">
        <v>4</v>
      </c>
      <c r="D146" s="41" t="s">
        <v>366</v>
      </c>
      <c r="F146" s="41" t="s">
        <v>307</v>
      </c>
    </row>
    <row r="147" spans="1:6" ht="18.75" x14ac:dyDescent="0.25">
      <c r="A147" s="17" t="s">
        <v>35</v>
      </c>
      <c r="B147" s="41"/>
      <c r="C147" s="41">
        <v>11</v>
      </c>
      <c r="D147" s="41" t="s">
        <v>366</v>
      </c>
      <c r="F147" s="41" t="s">
        <v>307</v>
      </c>
    </row>
    <row r="148" spans="1:6" ht="18.75" x14ac:dyDescent="0.25">
      <c r="A148" s="17" t="s">
        <v>36</v>
      </c>
      <c r="B148" s="41" t="s">
        <v>343</v>
      </c>
      <c r="C148" s="41">
        <v>7</v>
      </c>
      <c r="D148" s="41" t="s">
        <v>366</v>
      </c>
      <c r="F148" s="41" t="s">
        <v>307</v>
      </c>
    </row>
    <row r="149" spans="1:6" ht="18.75" x14ac:dyDescent="0.25">
      <c r="A149" s="17" t="s">
        <v>37</v>
      </c>
      <c r="B149" s="41" t="s">
        <v>208</v>
      </c>
      <c r="C149" s="41">
        <v>10</v>
      </c>
      <c r="D149" s="41" t="s">
        <v>366</v>
      </c>
      <c r="F149" s="41" t="s">
        <v>307</v>
      </c>
    </row>
    <row r="150" spans="1:6" ht="18.75" x14ac:dyDescent="0.25">
      <c r="A150" s="17" t="s">
        <v>38</v>
      </c>
      <c r="B150" s="41"/>
      <c r="C150" s="41">
        <v>8</v>
      </c>
      <c r="D150" s="41" t="s">
        <v>366</v>
      </c>
      <c r="F150" s="41" t="s">
        <v>307</v>
      </c>
    </row>
    <row r="151" spans="1:6" ht="18.75" x14ac:dyDescent="0.25">
      <c r="A151" s="17" t="s">
        <v>39</v>
      </c>
      <c r="B151" s="41" t="s">
        <v>344</v>
      </c>
      <c r="C151" s="41">
        <v>3</v>
      </c>
      <c r="D151" s="41" t="s">
        <v>366</v>
      </c>
      <c r="F151" s="41" t="s">
        <v>307</v>
      </c>
    </row>
    <row r="152" spans="1:6" ht="18.75" x14ac:dyDescent="0.25">
      <c r="A152" s="17" t="s">
        <v>308</v>
      </c>
      <c r="B152" s="41" t="s">
        <v>345</v>
      </c>
      <c r="C152" s="41">
        <v>9</v>
      </c>
      <c r="D152" s="41" t="s">
        <v>366</v>
      </c>
      <c r="F152" s="41" t="s">
        <v>307</v>
      </c>
    </row>
    <row r="153" spans="1:6" ht="18.75" x14ac:dyDescent="0.25">
      <c r="A153" s="17" t="s">
        <v>309</v>
      </c>
      <c r="B153" s="41" t="s">
        <v>346</v>
      </c>
      <c r="C153" s="41">
        <v>9</v>
      </c>
      <c r="D153" s="41" t="s">
        <v>366</v>
      </c>
      <c r="F153" s="41" t="s">
        <v>307</v>
      </c>
    </row>
    <row r="154" spans="1:6" ht="18.75" x14ac:dyDescent="0.25">
      <c r="A154" s="17" t="s">
        <v>310</v>
      </c>
      <c r="B154" s="41" t="s">
        <v>347</v>
      </c>
      <c r="C154" s="41">
        <v>9</v>
      </c>
      <c r="D154" s="41" t="s">
        <v>366</v>
      </c>
      <c r="F154" s="41" t="s">
        <v>307</v>
      </c>
    </row>
    <row r="155" spans="1:6" ht="18.75" x14ac:dyDescent="0.25">
      <c r="A155" s="17" t="s">
        <v>40</v>
      </c>
      <c r="B155" s="41" t="s">
        <v>348</v>
      </c>
      <c r="C155" s="41">
        <v>9</v>
      </c>
      <c r="D155" s="41" t="s">
        <v>366</v>
      </c>
      <c r="F155" s="41" t="s">
        <v>307</v>
      </c>
    </row>
    <row r="156" spans="1:6" ht="18.75" x14ac:dyDescent="0.25">
      <c r="A156" s="17" t="s">
        <v>311</v>
      </c>
      <c r="B156" s="41" t="s">
        <v>349</v>
      </c>
      <c r="C156" s="41">
        <v>9</v>
      </c>
      <c r="D156" s="41" t="s">
        <v>366</v>
      </c>
      <c r="F156" s="41" t="s">
        <v>307</v>
      </c>
    </row>
    <row r="157" spans="1:6" ht="18.75" x14ac:dyDescent="0.25">
      <c r="A157" s="17" t="s">
        <v>312</v>
      </c>
      <c r="B157" s="41" t="s">
        <v>350</v>
      </c>
      <c r="C157" s="41">
        <v>9</v>
      </c>
      <c r="D157" s="41" t="s">
        <v>366</v>
      </c>
      <c r="F157" s="41" t="s">
        <v>307</v>
      </c>
    </row>
    <row r="158" spans="1:6" ht="18.75" x14ac:dyDescent="0.25">
      <c r="A158" s="17" t="s">
        <v>356</v>
      </c>
      <c r="B158" s="41" t="s">
        <v>361</v>
      </c>
      <c r="C158" s="41">
        <v>3</v>
      </c>
      <c r="D158" s="41" t="s">
        <v>290</v>
      </c>
      <c r="F158" s="41" t="s">
        <v>307</v>
      </c>
    </row>
    <row r="159" spans="1:6" ht="18.75" x14ac:dyDescent="0.25">
      <c r="A159" s="17" t="s">
        <v>357</v>
      </c>
      <c r="B159" s="41" t="s">
        <v>362</v>
      </c>
      <c r="C159" s="41">
        <v>3</v>
      </c>
      <c r="D159" s="41" t="s">
        <v>290</v>
      </c>
      <c r="F159" s="41" t="s">
        <v>307</v>
      </c>
    </row>
    <row r="160" spans="1:6" ht="18.75" x14ac:dyDescent="0.25">
      <c r="A160" s="17" t="s">
        <v>358</v>
      </c>
      <c r="B160" s="41" t="s">
        <v>363</v>
      </c>
      <c r="C160" s="41">
        <v>3</v>
      </c>
      <c r="D160" s="41" t="s">
        <v>290</v>
      </c>
      <c r="F160" s="41" t="s">
        <v>307</v>
      </c>
    </row>
    <row r="161" spans="1:6" ht="18.75" x14ac:dyDescent="0.25">
      <c r="A161" s="17" t="s">
        <v>359</v>
      </c>
      <c r="B161" s="41" t="s">
        <v>364</v>
      </c>
      <c r="C161" s="41">
        <v>3</v>
      </c>
      <c r="D161" s="41" t="s">
        <v>290</v>
      </c>
      <c r="F161" s="41" t="s">
        <v>307</v>
      </c>
    </row>
    <row r="162" spans="1:6" ht="18.75" x14ac:dyDescent="0.25">
      <c r="A162" s="17" t="s">
        <v>360</v>
      </c>
      <c r="B162" s="41" t="s">
        <v>365</v>
      </c>
      <c r="C162" s="41">
        <v>3</v>
      </c>
      <c r="D162" s="41" t="s">
        <v>290</v>
      </c>
      <c r="F162" s="41" t="s">
        <v>307</v>
      </c>
    </row>
    <row r="163" spans="1:6" ht="18.75" x14ac:dyDescent="0.25">
      <c r="A163" s="17" t="s">
        <v>41</v>
      </c>
      <c r="B163" s="41" t="s">
        <v>351</v>
      </c>
      <c r="C163" s="41">
        <v>8</v>
      </c>
      <c r="D163" s="41" t="s">
        <v>366</v>
      </c>
      <c r="F163" s="41" t="s">
        <v>307</v>
      </c>
    </row>
    <row r="164" spans="1:6" ht="18.75" x14ac:dyDescent="0.25">
      <c r="A164" s="17" t="s">
        <v>42</v>
      </c>
      <c r="B164" s="41" t="s">
        <v>352</v>
      </c>
      <c r="C164" s="41">
        <v>8</v>
      </c>
      <c r="D164" s="41" t="s">
        <v>366</v>
      </c>
      <c r="F164" s="41" t="s">
        <v>307</v>
      </c>
    </row>
    <row r="165" spans="1:6" ht="18.75" x14ac:dyDescent="0.25">
      <c r="A165" s="17" t="s">
        <v>43</v>
      </c>
      <c r="B165" s="41" t="s">
        <v>353</v>
      </c>
      <c r="C165" s="41">
        <v>8</v>
      </c>
      <c r="D165" s="41" t="s">
        <v>366</v>
      </c>
      <c r="F165" s="41" t="s">
        <v>307</v>
      </c>
    </row>
    <row r="166" spans="1:6" ht="18.75" x14ac:dyDescent="0.25">
      <c r="A166" s="17" t="s">
        <v>44</v>
      </c>
      <c r="B166" s="41" t="s">
        <v>354</v>
      </c>
      <c r="C166" s="41">
        <v>6</v>
      </c>
      <c r="D166" s="41" t="s">
        <v>366</v>
      </c>
      <c r="F166" s="41" t="s">
        <v>307</v>
      </c>
    </row>
  </sheetData>
  <autoFilter ref="A2:F166" xr:uid="{AC32C8BD-1604-4170-A881-E157ED382E78}"/>
  <printOptions verticalCentered="1"/>
  <pageMargins left="0.39370078740157483" right="0" top="0" bottom="0.59055118110236227" header="0" footer="0"/>
  <pageSetup orientation="portrait" r:id="rId1"/>
  <headerFooter>
    <oddFooter>&amp;Z&amp;F&amp;RPágina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7DE-6CDC-40F0-A9AF-8543CCD4B731}">
  <dimension ref="A2:R43"/>
  <sheetViews>
    <sheetView workbookViewId="0">
      <selection activeCell="D6" sqref="D6"/>
    </sheetView>
  </sheetViews>
  <sheetFormatPr baseColWidth="10" defaultRowHeight="15" x14ac:dyDescent="0.25"/>
  <cols>
    <col min="1" max="1" width="7.7109375" customWidth="1"/>
    <col min="2" max="2" width="42.28515625" bestFit="1" customWidth="1"/>
    <col min="3" max="3" width="5.5703125" customWidth="1"/>
    <col min="4" max="4" width="15.42578125" customWidth="1"/>
    <col min="5" max="5" width="2" customWidth="1"/>
    <col min="6" max="6" width="9" customWidth="1"/>
    <col min="7" max="7" width="65.28515625" bestFit="1" customWidth="1"/>
    <col min="8" max="8" width="4.85546875" bestFit="1" customWidth="1"/>
    <col min="9" max="9" width="16.28515625" customWidth="1"/>
    <col min="10" max="10" width="3.140625" customWidth="1"/>
    <col min="11" max="11" width="6.85546875" bestFit="1" customWidth="1"/>
    <col min="12" max="12" width="6.85546875" customWidth="1"/>
    <col min="13" max="13" width="4.85546875" bestFit="1" customWidth="1"/>
    <col min="14" max="14" width="19.5703125" customWidth="1"/>
    <col min="15" max="15" width="4.28515625" customWidth="1"/>
    <col min="16" max="16" width="8.28515625" customWidth="1"/>
  </cols>
  <sheetData>
    <row r="2" spans="1:18" ht="28.5" x14ac:dyDescent="0.45">
      <c r="A2" s="43" t="s">
        <v>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31"/>
    </row>
    <row r="3" spans="1:18" ht="9.75" customHeight="1" x14ac:dyDescent="0.35">
      <c r="A3" s="20"/>
      <c r="B3" s="20"/>
      <c r="C3" s="20"/>
      <c r="D3" s="20"/>
      <c r="E3" s="20"/>
      <c r="F3" s="20"/>
      <c r="G3" s="20"/>
      <c r="H3" s="20"/>
      <c r="I3" s="20"/>
    </row>
    <row r="4" spans="1:18" s="14" customFormat="1" ht="42.75" customHeight="1" x14ac:dyDescent="0.25">
      <c r="A4" s="15" t="s">
        <v>5</v>
      </c>
      <c r="B4" s="15" t="s">
        <v>223</v>
      </c>
      <c r="C4" s="15" t="s">
        <v>4</v>
      </c>
      <c r="D4" s="15" t="s">
        <v>46</v>
      </c>
      <c r="F4" s="15" t="s">
        <v>5</v>
      </c>
      <c r="G4" s="15"/>
      <c r="H4" s="15" t="s">
        <v>4</v>
      </c>
      <c r="I4" s="15" t="s">
        <v>46</v>
      </c>
      <c r="K4" s="15" t="s">
        <v>5</v>
      </c>
      <c r="L4" s="15"/>
      <c r="M4" s="15" t="s">
        <v>4</v>
      </c>
      <c r="N4" s="15" t="s">
        <v>46</v>
      </c>
      <c r="P4" s="15" t="s">
        <v>5</v>
      </c>
      <c r="Q4" s="15" t="s">
        <v>4</v>
      </c>
      <c r="R4" s="15" t="s">
        <v>46</v>
      </c>
    </row>
    <row r="5" spans="1:18" ht="24" customHeight="1" x14ac:dyDescent="0.3">
      <c r="A5" s="16" t="s">
        <v>7</v>
      </c>
      <c r="B5" s="37" t="s">
        <v>53</v>
      </c>
      <c r="C5" s="17">
        <v>30</v>
      </c>
      <c r="D5" s="1" t="str">
        <f>+VLOOKUP(A5,Hoja2!A:B,2,FALSE)</f>
        <v>Colador N°8</v>
      </c>
      <c r="F5" s="17">
        <v>400</v>
      </c>
      <c r="G5" s="17" t="str">
        <f>+VLOOKUP(F5,Hoja2!A:B,2,FALSE)</f>
        <v>Cuchara de Fideos Nylon                   Mango Goma  OFERTA!!!</v>
      </c>
      <c r="H5" s="17">
        <v>11</v>
      </c>
      <c r="I5" s="1"/>
      <c r="K5" s="17">
        <v>543</v>
      </c>
      <c r="L5" s="17"/>
      <c r="M5" s="17">
        <v>9</v>
      </c>
      <c r="N5" s="1"/>
    </row>
    <row r="6" spans="1:18" ht="24" customHeight="1" x14ac:dyDescent="0.25">
      <c r="A6" s="16" t="s">
        <v>8</v>
      </c>
      <c r="B6" s="38" t="s">
        <v>60</v>
      </c>
      <c r="C6" s="17">
        <v>11</v>
      </c>
      <c r="D6" s="1"/>
      <c r="F6" s="17">
        <v>499</v>
      </c>
      <c r="G6" s="17" t="str">
        <f>+VLOOKUP(F6,Hoja2!A:B,2,FALSE)</f>
        <v>Llavero Destapador Pie Color</v>
      </c>
      <c r="H6" s="17">
        <v>9</v>
      </c>
      <c r="I6" s="1"/>
      <c r="K6" s="17">
        <v>543</v>
      </c>
      <c r="L6" s="17"/>
      <c r="M6" s="17">
        <v>9</v>
      </c>
      <c r="N6" s="1"/>
    </row>
    <row r="7" spans="1:18" ht="24" customHeight="1" x14ac:dyDescent="0.25">
      <c r="A7" s="16" t="s">
        <v>13</v>
      </c>
      <c r="B7" s="38" t="s">
        <v>61</v>
      </c>
      <c r="C7" s="17">
        <v>23</v>
      </c>
      <c r="D7" s="1"/>
      <c r="F7" s="17">
        <v>500</v>
      </c>
      <c r="G7" s="17" t="str">
        <f>+VLOOKUP(F7,Hoja2!A:B,2,FALSE)</f>
        <v>Abrelata Uña Pie Color</v>
      </c>
      <c r="H7" s="17">
        <v>8</v>
      </c>
      <c r="I7" s="1"/>
      <c r="K7" s="17">
        <v>548</v>
      </c>
      <c r="L7" s="17"/>
      <c r="M7" s="17">
        <v>6</v>
      </c>
      <c r="N7" s="1"/>
    </row>
    <row r="8" spans="1:18" ht="24" customHeight="1" x14ac:dyDescent="0.25">
      <c r="A8" s="16" t="s">
        <v>9</v>
      </c>
      <c r="B8" s="38" t="s">
        <v>66</v>
      </c>
      <c r="C8" s="17">
        <v>17</v>
      </c>
      <c r="D8" s="1"/>
      <c r="F8" s="17">
        <v>501</v>
      </c>
      <c r="G8" s="17" t="str">
        <f>+VLOOKUP(F8,Hoja2!A:B,2,FALSE)</f>
        <v>Abrelatas A Manija</v>
      </c>
      <c r="H8" s="17">
        <v>3</v>
      </c>
      <c r="I8" s="1"/>
      <c r="K8" s="17">
        <v>548</v>
      </c>
      <c r="L8" s="17"/>
      <c r="M8" s="17">
        <v>6</v>
      </c>
      <c r="N8" s="1"/>
    </row>
    <row r="9" spans="1:18" ht="24" customHeight="1" x14ac:dyDescent="0.25">
      <c r="A9" s="16" t="s">
        <v>10</v>
      </c>
      <c r="B9" s="38" t="s">
        <v>210</v>
      </c>
      <c r="C9" s="17">
        <v>3</v>
      </c>
      <c r="D9" s="1"/>
      <c r="F9" s="17">
        <v>504</v>
      </c>
      <c r="G9" s="17" t="str">
        <f>+VLOOKUP(F9,Hoja2!A:B,2,FALSE)</f>
        <v>Afila Cuchillos</v>
      </c>
      <c r="H9" s="17">
        <v>3</v>
      </c>
      <c r="I9" s="1"/>
      <c r="K9" s="17">
        <v>550</v>
      </c>
      <c r="L9" s="17"/>
      <c r="M9" s="17">
        <v>28</v>
      </c>
      <c r="N9" s="1"/>
    </row>
    <row r="10" spans="1:18" ht="24" customHeight="1" x14ac:dyDescent="0.25">
      <c r="A10" s="17">
        <v>102</v>
      </c>
      <c r="B10" s="38" t="e">
        <v>#N/A</v>
      </c>
      <c r="C10" s="17">
        <v>3</v>
      </c>
      <c r="D10" s="1"/>
      <c r="F10" s="17">
        <v>505</v>
      </c>
      <c r="G10" s="17" t="str">
        <f>+VLOOKUP(F10,Hoja2!A:B,2,FALSE)</f>
        <v>Pelador Mgo Plastico</v>
      </c>
      <c r="H10" s="17">
        <v>4</v>
      </c>
      <c r="I10" s="1"/>
      <c r="K10" s="17">
        <v>551</v>
      </c>
      <c r="L10" s="17"/>
      <c r="M10" s="17">
        <v>8</v>
      </c>
      <c r="N10" s="1"/>
    </row>
    <row r="11" spans="1:18" ht="24" customHeight="1" x14ac:dyDescent="0.25">
      <c r="A11" s="17">
        <v>101</v>
      </c>
      <c r="B11" s="38" t="s">
        <v>226</v>
      </c>
      <c r="C11" s="17">
        <v>2</v>
      </c>
      <c r="D11" s="1"/>
      <c r="F11" s="17">
        <v>505</v>
      </c>
      <c r="G11" s="17" t="str">
        <f>+VLOOKUP(F11,Hoja2!A:B,2,FALSE)</f>
        <v>Pelador Mgo Plastico</v>
      </c>
      <c r="H11" s="17">
        <v>5</v>
      </c>
      <c r="I11" s="1"/>
      <c r="K11" s="17">
        <v>555</v>
      </c>
      <c r="L11" s="17"/>
      <c r="M11" s="17">
        <v>15</v>
      </c>
      <c r="N11" s="1"/>
    </row>
    <row r="12" spans="1:18" ht="24" customHeight="1" x14ac:dyDescent="0.25">
      <c r="A12" s="17">
        <v>109</v>
      </c>
      <c r="B12" s="38" t="e">
        <v>#N/A</v>
      </c>
      <c r="C12" s="17">
        <v>7</v>
      </c>
      <c r="D12" s="1"/>
      <c r="F12" s="17">
        <v>507</v>
      </c>
      <c r="G12" s="17" t="str">
        <f>+VLOOKUP(F12,Hoja2!A:B,2,FALSE)</f>
        <v>Rompenueces</v>
      </c>
      <c r="H12" s="17">
        <v>11</v>
      </c>
      <c r="I12" s="1"/>
      <c r="K12" s="17">
        <v>556</v>
      </c>
      <c r="L12" s="17"/>
      <c r="M12" s="17">
        <v>23</v>
      </c>
      <c r="N12" s="1"/>
      <c r="P12" s="17" t="s">
        <v>50</v>
      </c>
      <c r="Q12" s="17">
        <v>17</v>
      </c>
      <c r="R12" s="1"/>
    </row>
    <row r="13" spans="1:18" ht="24" customHeight="1" x14ac:dyDescent="0.25">
      <c r="A13" s="17">
        <v>208</v>
      </c>
      <c r="B13" s="38" t="s">
        <v>68</v>
      </c>
      <c r="C13" s="17">
        <v>11</v>
      </c>
      <c r="D13" s="1"/>
      <c r="F13" s="17">
        <v>508</v>
      </c>
      <c r="G13" s="17" t="str">
        <f>+VLOOKUP(F13,Hoja2!A:B,2,FALSE)</f>
        <v>Sacafuentes Articulado</v>
      </c>
      <c r="H13" s="17">
        <v>10</v>
      </c>
      <c r="I13" s="1"/>
      <c r="K13" s="17">
        <v>557</v>
      </c>
      <c r="L13" s="17"/>
      <c r="M13" s="17">
        <v>5</v>
      </c>
      <c r="N13" s="1"/>
    </row>
    <row r="14" spans="1:18" ht="24" customHeight="1" x14ac:dyDescent="0.25">
      <c r="A14" s="17">
        <v>220</v>
      </c>
      <c r="B14" s="38" t="s">
        <v>69</v>
      </c>
      <c r="C14" s="17">
        <v>11</v>
      </c>
      <c r="D14" s="1"/>
      <c r="F14" s="17">
        <v>510</v>
      </c>
      <c r="G14" s="17" t="str">
        <f>+VLOOKUP(F14,Hoja2!A:B,2,FALSE)</f>
        <v>Abrelata Uña Cromado</v>
      </c>
      <c r="H14" s="17">
        <v>6</v>
      </c>
      <c r="I14" s="1"/>
      <c r="K14" s="17">
        <v>558</v>
      </c>
      <c r="L14" s="17"/>
      <c r="M14" s="17">
        <v>19</v>
      </c>
      <c r="N14" s="1"/>
    </row>
    <row r="15" spans="1:18" ht="24" customHeight="1" x14ac:dyDescent="0.25">
      <c r="A15" s="17">
        <v>221</v>
      </c>
      <c r="B15" s="38" t="s">
        <v>70</v>
      </c>
      <c r="C15" s="17">
        <v>11</v>
      </c>
      <c r="D15" s="1"/>
      <c r="F15" s="17">
        <v>511</v>
      </c>
      <c r="G15" s="17" t="str">
        <f>+VLOOKUP(F15,Hoja2!A:B,2,FALSE)</f>
        <v>Abrelatas Uña 3 En 1</v>
      </c>
      <c r="H15" s="17">
        <v>7</v>
      </c>
      <c r="I15" s="1"/>
      <c r="K15" s="17">
        <v>561</v>
      </c>
      <c r="L15" s="17"/>
      <c r="M15" s="17">
        <v>10</v>
      </c>
      <c r="N15" s="1"/>
    </row>
    <row r="16" spans="1:18" ht="24" customHeight="1" x14ac:dyDescent="0.25">
      <c r="A16" s="17">
        <v>223</v>
      </c>
      <c r="B16" s="38" t="s">
        <v>72</v>
      </c>
      <c r="C16" s="17">
        <v>5</v>
      </c>
      <c r="D16" s="1"/>
      <c r="F16" s="17">
        <v>512</v>
      </c>
      <c r="G16" s="17" t="str">
        <f>+VLOOKUP(F16,Hoja2!A:B,2,FALSE)</f>
        <v>Abrelatas Mariposa Capuchon Rojo</v>
      </c>
      <c r="H16" s="17">
        <v>3</v>
      </c>
      <c r="I16" s="1"/>
      <c r="K16" s="17">
        <v>563</v>
      </c>
      <c r="L16" s="17"/>
      <c r="M16" s="17">
        <v>10</v>
      </c>
      <c r="N16" s="1"/>
    </row>
    <row r="17" spans="1:14" ht="24" customHeight="1" x14ac:dyDescent="0.25">
      <c r="A17" s="17">
        <v>224</v>
      </c>
      <c r="B17" s="38" t="s">
        <v>73</v>
      </c>
      <c r="C17" s="17">
        <v>10</v>
      </c>
      <c r="D17" s="1"/>
      <c r="F17" s="17">
        <v>512</v>
      </c>
      <c r="G17" s="17" t="str">
        <f>+VLOOKUP(F17,Hoja2!A:B,2,FALSE)</f>
        <v>Abrelatas Mariposa Capuchon Rojo</v>
      </c>
      <c r="H17" s="17">
        <v>10</v>
      </c>
      <c r="I17" s="1"/>
      <c r="K17" s="17">
        <v>564</v>
      </c>
      <c r="L17" s="17"/>
      <c r="M17" s="17">
        <v>2</v>
      </c>
      <c r="N17" s="1"/>
    </row>
    <row r="18" spans="1:14" ht="24" customHeight="1" x14ac:dyDescent="0.25">
      <c r="A18" s="17">
        <v>225</v>
      </c>
      <c r="B18" s="38" t="s">
        <v>74</v>
      </c>
      <c r="C18" s="17">
        <v>15</v>
      </c>
      <c r="D18" s="1"/>
      <c r="F18" s="17">
        <v>513</v>
      </c>
      <c r="G18" s="17" t="str">
        <f>+VLOOKUP(F18,Hoja2!A:B,2,FALSE)</f>
        <v>Pelador Mgo Metalico</v>
      </c>
      <c r="H18" s="17">
        <v>5</v>
      </c>
      <c r="I18" s="1"/>
      <c r="K18" s="17">
        <v>565</v>
      </c>
      <c r="L18" s="17"/>
      <c r="M18" s="17">
        <v>11</v>
      </c>
      <c r="N18" s="1"/>
    </row>
    <row r="19" spans="1:14" ht="24" customHeight="1" x14ac:dyDescent="0.25">
      <c r="A19" s="17">
        <v>229</v>
      </c>
      <c r="B19" s="38" t="s">
        <v>75</v>
      </c>
      <c r="C19" s="17">
        <v>5</v>
      </c>
      <c r="D19" s="1"/>
      <c r="F19" s="17">
        <v>518</v>
      </c>
      <c r="G19" s="17" t="str">
        <f>+VLOOKUP(F19,Hoja2!A:B,2,FALSE)</f>
        <v>Sacafuente Gastronomico</v>
      </c>
      <c r="H19" s="17">
        <v>6</v>
      </c>
      <c r="I19" s="1"/>
      <c r="K19" s="17">
        <v>570</v>
      </c>
      <c r="L19" s="17"/>
      <c r="M19" s="17">
        <v>23</v>
      </c>
      <c r="N19" s="1"/>
    </row>
    <row r="20" spans="1:14" ht="24" customHeight="1" x14ac:dyDescent="0.25">
      <c r="A20" s="17">
        <v>248</v>
      </c>
      <c r="B20" s="38" t="s">
        <v>225</v>
      </c>
      <c r="C20" s="17">
        <v>5</v>
      </c>
      <c r="D20" s="1"/>
      <c r="F20" s="17">
        <v>519</v>
      </c>
      <c r="G20" s="17" t="str">
        <f>+VLOOKUP(F20,Hoja2!A:B,2,FALSE)</f>
        <v>Cuchillo Untar Mgo Madera x2</v>
      </c>
      <c r="H20" s="17">
        <v>11</v>
      </c>
      <c r="I20" s="1"/>
      <c r="K20" s="17">
        <v>573</v>
      </c>
      <c r="L20" s="17"/>
      <c r="M20" s="17">
        <v>10</v>
      </c>
      <c r="N20" s="1"/>
    </row>
    <row r="21" spans="1:14" ht="24" customHeight="1" x14ac:dyDescent="0.25">
      <c r="A21" s="17">
        <v>311</v>
      </c>
      <c r="B21" s="38" t="s">
        <v>83</v>
      </c>
      <c r="C21" s="17">
        <v>11</v>
      </c>
      <c r="D21" s="1"/>
      <c r="F21" s="17">
        <v>519</v>
      </c>
      <c r="G21" s="17" t="str">
        <f>+VLOOKUP(F21,Hoja2!A:B,2,FALSE)</f>
        <v>Cuchillo Untar Mgo Madera x2</v>
      </c>
      <c r="H21" s="17">
        <v>10</v>
      </c>
      <c r="I21" s="1"/>
      <c r="K21" s="17">
        <v>574</v>
      </c>
      <c r="L21" s="17"/>
      <c r="M21" s="17">
        <v>3</v>
      </c>
      <c r="N21" s="1"/>
    </row>
    <row r="22" spans="1:14" ht="24" customHeight="1" x14ac:dyDescent="0.25">
      <c r="A22" s="17">
        <v>312</v>
      </c>
      <c r="B22" s="38" t="s">
        <v>84</v>
      </c>
      <c r="C22" s="17">
        <v>8</v>
      </c>
      <c r="D22" s="1"/>
      <c r="F22" s="17">
        <v>520</v>
      </c>
      <c r="G22" s="17" t="str">
        <f>+VLOOKUP(F22,Hoja2!A:B,2,FALSE)</f>
        <v>Sacacorcho Tipo Mozo Cromado</v>
      </c>
      <c r="H22" s="17">
        <v>10</v>
      </c>
      <c r="I22" s="1"/>
      <c r="K22" s="17">
        <v>575</v>
      </c>
      <c r="L22" s="17"/>
      <c r="M22" s="17">
        <v>5</v>
      </c>
      <c r="N22" s="1"/>
    </row>
    <row r="23" spans="1:14" ht="24" customHeight="1" x14ac:dyDescent="0.25">
      <c r="A23" s="17">
        <v>315</v>
      </c>
      <c r="B23" s="38" t="s">
        <v>85</v>
      </c>
      <c r="C23" s="17">
        <v>4</v>
      </c>
      <c r="D23" s="1"/>
      <c r="F23" s="17">
        <v>521</v>
      </c>
      <c r="G23" s="17" t="str">
        <f>+VLOOKUP(F23,Hoja2!A:B,2,FALSE)</f>
        <v>Sacacorcho Combinado Cromado</v>
      </c>
      <c r="H23" s="17">
        <v>3</v>
      </c>
      <c r="I23" s="1"/>
      <c r="K23" s="17">
        <v>577</v>
      </c>
      <c r="L23" s="17"/>
      <c r="M23" s="17">
        <v>10</v>
      </c>
      <c r="N23" s="1"/>
    </row>
    <row r="24" spans="1:14" ht="24" customHeight="1" x14ac:dyDescent="0.25">
      <c r="A24" s="17">
        <v>321</v>
      </c>
      <c r="B24" s="38" t="s">
        <v>86</v>
      </c>
      <c r="C24" s="17">
        <v>6</v>
      </c>
      <c r="D24" s="1"/>
      <c r="F24" s="17">
        <v>523</v>
      </c>
      <c r="G24" s="17" t="str">
        <f>+VLOOKUP(F24,Hoja2!A:B,2,FALSE)</f>
        <v>Sacacorcho Doble Aleta  Metalico Cuerpo en Nylon Reforzado</v>
      </c>
      <c r="H24" s="17">
        <v>5</v>
      </c>
      <c r="I24" s="1"/>
      <c r="K24" s="17">
        <v>579</v>
      </c>
      <c r="L24" s="17"/>
      <c r="M24" s="17">
        <v>10</v>
      </c>
      <c r="N24" s="1"/>
    </row>
    <row r="25" spans="1:14" ht="24" customHeight="1" x14ac:dyDescent="0.25">
      <c r="A25" s="17">
        <v>323</v>
      </c>
      <c r="B25" s="38" t="s">
        <v>88</v>
      </c>
      <c r="C25" s="17">
        <v>11</v>
      </c>
      <c r="D25" s="1"/>
      <c r="F25" s="17">
        <v>525</v>
      </c>
      <c r="G25" s="17" t="str">
        <f>+VLOOKUP(F25,Hoja2!A:B,2,FALSE)</f>
        <v>Sacacorcho Cabo De Madera</v>
      </c>
      <c r="H25" s="17">
        <v>11</v>
      </c>
      <c r="I25" s="1"/>
      <c r="K25" s="17">
        <v>581</v>
      </c>
      <c r="L25" s="17"/>
      <c r="M25" s="17">
        <v>2</v>
      </c>
      <c r="N25" s="1"/>
    </row>
    <row r="26" spans="1:14" ht="24" customHeight="1" x14ac:dyDescent="0.25">
      <c r="A26" s="17">
        <v>334</v>
      </c>
      <c r="B26" s="38" t="s">
        <v>94</v>
      </c>
      <c r="C26" s="17">
        <v>15</v>
      </c>
      <c r="D26" s="1"/>
      <c r="F26" s="17">
        <v>526</v>
      </c>
      <c r="G26" s="17" t="e">
        <f>+VLOOKUP(F26,Hoja2!A:B,2,FALSE)</f>
        <v>#N/A</v>
      </c>
      <c r="H26" s="17">
        <v>9</v>
      </c>
      <c r="I26" s="1"/>
      <c r="K26" s="17">
        <v>586</v>
      </c>
      <c r="L26" s="17"/>
      <c r="M26" s="17">
        <v>5</v>
      </c>
      <c r="N26" s="1"/>
    </row>
    <row r="27" spans="1:14" ht="24" customHeight="1" x14ac:dyDescent="0.25">
      <c r="A27" s="17">
        <v>335</v>
      </c>
      <c r="B27" s="38" t="s">
        <v>95</v>
      </c>
      <c r="C27" s="17">
        <v>23</v>
      </c>
      <c r="D27" s="1"/>
      <c r="F27" s="17">
        <v>530</v>
      </c>
      <c r="G27" s="17" t="str">
        <f>+VLOOKUP(F27,Hoja2!A:B,2,FALSE)</f>
        <v>Sacacorcho Tipo Mozo Color</v>
      </c>
      <c r="H27" s="17">
        <v>8</v>
      </c>
      <c r="I27" s="1"/>
      <c r="K27" s="17">
        <v>586</v>
      </c>
      <c r="L27" s="17"/>
      <c r="M27" s="17">
        <v>9</v>
      </c>
      <c r="N27" s="1"/>
    </row>
    <row r="28" spans="1:14" ht="24" customHeight="1" x14ac:dyDescent="0.25">
      <c r="A28" s="17">
        <v>338</v>
      </c>
      <c r="B28" s="38" t="s">
        <v>98</v>
      </c>
      <c r="C28" s="17">
        <v>23</v>
      </c>
      <c r="D28" s="1"/>
      <c r="F28" s="17">
        <v>532</v>
      </c>
      <c r="G28" s="17" t="str">
        <f>+VLOOKUP(F28,Hoja2!A:B,2,FALSE)</f>
        <v>Cuchara De Helado Oferta!!</v>
      </c>
      <c r="H28" s="17">
        <v>22</v>
      </c>
      <c r="I28" s="1"/>
      <c r="K28" s="17">
        <v>587</v>
      </c>
      <c r="L28" s="17"/>
      <c r="M28" s="17">
        <v>4</v>
      </c>
      <c r="N28" s="1"/>
    </row>
    <row r="29" spans="1:14" ht="24" customHeight="1" x14ac:dyDescent="0.25">
      <c r="A29" s="17">
        <v>355</v>
      </c>
      <c r="B29" s="38" t="s">
        <v>100</v>
      </c>
      <c r="C29" s="17">
        <v>7</v>
      </c>
      <c r="D29" s="1"/>
      <c r="F29" s="17">
        <v>534</v>
      </c>
      <c r="G29" s="17" t="str">
        <f>+VLOOKUP(F29,Hoja2!A:B,2,FALSE)</f>
        <v>Cepillo Lavavajilla</v>
      </c>
      <c r="H29" s="17">
        <v>19</v>
      </c>
      <c r="I29" s="1"/>
      <c r="K29" s="17">
        <v>594</v>
      </c>
      <c r="L29" s="17"/>
      <c r="M29" s="17">
        <v>8</v>
      </c>
      <c r="N29" s="1"/>
    </row>
    <row r="30" spans="1:14" ht="24" customHeight="1" x14ac:dyDescent="0.25">
      <c r="A30" s="17">
        <v>390</v>
      </c>
      <c r="B30" s="38" t="s">
        <v>102</v>
      </c>
      <c r="C30" s="17">
        <v>4</v>
      </c>
      <c r="D30" s="1"/>
      <c r="F30" s="17">
        <v>535</v>
      </c>
      <c r="G30" s="17" t="str">
        <f>+VLOOKUP(F30,Hoja2!A:B,2,FALSE)</f>
        <v>Cepillo Limpia Vaso y Mamadera</v>
      </c>
      <c r="H30" s="17">
        <v>12</v>
      </c>
      <c r="I30" s="1"/>
      <c r="K30" s="17">
        <v>595</v>
      </c>
      <c r="L30" s="17"/>
      <c r="M30" s="17">
        <v>9</v>
      </c>
      <c r="N30" s="1"/>
    </row>
    <row r="31" spans="1:14" ht="24" customHeight="1" x14ac:dyDescent="0.25">
      <c r="A31" s="17">
        <v>391</v>
      </c>
      <c r="B31" s="38" t="s">
        <v>103</v>
      </c>
      <c r="C31" s="17">
        <v>11</v>
      </c>
      <c r="D31" s="1"/>
      <c r="F31" s="17">
        <v>535</v>
      </c>
      <c r="G31" s="17" t="str">
        <f>+VLOOKUP(F31,Hoja2!A:B,2,FALSE)</f>
        <v>Cepillo Limpia Vaso y Mamadera</v>
      </c>
      <c r="H31" s="17">
        <v>12</v>
      </c>
      <c r="I31" s="1"/>
      <c r="K31" s="17">
        <v>595</v>
      </c>
      <c r="L31" s="17"/>
      <c r="M31" s="17">
        <v>5</v>
      </c>
      <c r="N31" s="1"/>
    </row>
    <row r="32" spans="1:14" ht="24" customHeight="1" x14ac:dyDescent="0.25">
      <c r="A32" s="17">
        <v>393</v>
      </c>
      <c r="B32" s="38" t="s">
        <v>105</v>
      </c>
      <c r="C32" s="17">
        <v>25</v>
      </c>
      <c r="D32" s="1"/>
      <c r="F32" s="17">
        <v>537</v>
      </c>
      <c r="G32" s="17" t="e">
        <f>+VLOOKUP(F32,Hoja2!A:B,2,FALSE)</f>
        <v>#N/A</v>
      </c>
      <c r="H32" s="17">
        <v>14</v>
      </c>
      <c r="I32" s="1"/>
      <c r="K32" s="17">
        <v>596</v>
      </c>
      <c r="L32" s="17"/>
      <c r="M32" s="17">
        <v>8</v>
      </c>
      <c r="N32" s="1"/>
    </row>
    <row r="33" spans="1:14" ht="24" customHeight="1" x14ac:dyDescent="0.25">
      <c r="A33" s="17">
        <v>393</v>
      </c>
      <c r="B33" s="38" t="s">
        <v>105</v>
      </c>
      <c r="C33" s="17">
        <v>5</v>
      </c>
      <c r="D33" s="1"/>
      <c r="F33" s="17">
        <v>537</v>
      </c>
      <c r="G33" s="17" t="e">
        <f>+VLOOKUP(F33,Hoja2!A:B,2,FALSE)</f>
        <v>#N/A</v>
      </c>
      <c r="H33" s="17">
        <v>14</v>
      </c>
      <c r="I33" s="1"/>
      <c r="K33" s="17">
        <v>596</v>
      </c>
      <c r="L33" s="17"/>
      <c r="M33" s="17">
        <v>5</v>
      </c>
      <c r="N33" s="1"/>
    </row>
    <row r="34" spans="1:14" ht="24" customHeight="1" x14ac:dyDescent="0.25">
      <c r="A34" s="17">
        <v>395</v>
      </c>
      <c r="B34" s="38" t="s">
        <v>107</v>
      </c>
      <c r="C34" s="17">
        <v>11</v>
      </c>
      <c r="D34" s="1"/>
      <c r="F34" s="17">
        <v>542</v>
      </c>
      <c r="G34" s="17" t="str">
        <f>+VLOOKUP(F34,Hoja2!A:B,2,FALSE)</f>
        <v>Ahueca Papas</v>
      </c>
      <c r="H34" s="17">
        <v>10</v>
      </c>
      <c r="I34" s="1"/>
      <c r="K34" s="17">
        <v>654</v>
      </c>
      <c r="L34" s="17"/>
      <c r="M34" s="17">
        <v>19</v>
      </c>
      <c r="N34" s="1"/>
    </row>
    <row r="35" spans="1:14" ht="24" customHeight="1" x14ac:dyDescent="0.25">
      <c r="A35" s="17">
        <v>396</v>
      </c>
      <c r="B35" s="38" t="s">
        <v>108</v>
      </c>
      <c r="C35" s="17">
        <v>6</v>
      </c>
      <c r="D35" s="1"/>
      <c r="F35" s="17">
        <v>542</v>
      </c>
      <c r="G35" s="17" t="str">
        <f>+VLOOKUP(F35,Hoja2!A:B,2,FALSE)</f>
        <v>Ahueca Papas</v>
      </c>
      <c r="H35" s="17">
        <v>10</v>
      </c>
      <c r="I35" s="1"/>
      <c r="K35" s="17">
        <v>823</v>
      </c>
      <c r="L35" s="17"/>
      <c r="M35" s="17">
        <v>4</v>
      </c>
      <c r="N35" s="1"/>
    </row>
    <row r="36" spans="1:14" ht="24" customHeight="1" x14ac:dyDescent="0.25">
      <c r="A36" s="17">
        <v>398</v>
      </c>
      <c r="B36" s="38" t="s">
        <v>224</v>
      </c>
      <c r="C36" s="17">
        <v>11</v>
      </c>
      <c r="D36" s="1"/>
    </row>
    <row r="37" spans="1:14" ht="24" customHeight="1" x14ac:dyDescent="0.25"/>
    <row r="38" spans="1:14" ht="24" customHeight="1" x14ac:dyDescent="0.25"/>
    <row r="39" spans="1:14" ht="24" customHeight="1" x14ac:dyDescent="0.25"/>
    <row r="40" spans="1:14" ht="24" customHeight="1" x14ac:dyDescent="0.25"/>
    <row r="41" spans="1:14" ht="24" customHeight="1" x14ac:dyDescent="0.25"/>
    <row r="42" spans="1:14" ht="24" customHeight="1" x14ac:dyDescent="0.25"/>
    <row r="43" spans="1:14" ht="24" customHeight="1" x14ac:dyDescent="0.25"/>
  </sheetData>
  <autoFilter ref="A4:C82" xr:uid="{67A707DE-6CDC-40F0-A9AF-8543CCD4B731}">
    <sortState xmlns:xlrd2="http://schemas.microsoft.com/office/spreadsheetml/2017/richdata2" ref="A5:C82">
      <sortCondition ref="A4:A82"/>
    </sortState>
  </autoFilter>
  <mergeCells count="1">
    <mergeCell ref="A2:N2"/>
  </mergeCells>
  <printOptions horizontalCentered="1"/>
  <pageMargins left="0" right="0" top="0.39370078740157483" bottom="0" header="0" footer="0"/>
  <pageSetup scale="90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CDA3D-80E2-4E6D-AA5D-A7F63F5886E0}">
  <dimension ref="A1:B152"/>
  <sheetViews>
    <sheetView topLeftCell="A3" workbookViewId="0">
      <selection activeCell="E8" sqref="E8"/>
    </sheetView>
  </sheetViews>
  <sheetFormatPr baseColWidth="10" defaultRowHeight="15" x14ac:dyDescent="0.25"/>
  <cols>
    <col min="1" max="1" width="6.85546875" style="36" bestFit="1" customWidth="1"/>
    <col min="2" max="2" width="29.5703125" customWidth="1"/>
  </cols>
  <sheetData>
    <row r="1" spans="1:2" x14ac:dyDescent="0.25">
      <c r="A1" s="32" t="s">
        <v>51</v>
      </c>
      <c r="B1" s="33" t="s">
        <v>52</v>
      </c>
    </row>
    <row r="2" spans="1:2" ht="15.75" x14ac:dyDescent="0.25">
      <c r="A2" s="34" t="s">
        <v>7</v>
      </c>
      <c r="B2" t="s">
        <v>53</v>
      </c>
    </row>
    <row r="3" spans="1:2" ht="15.75" x14ac:dyDescent="0.25">
      <c r="A3" s="34" t="s">
        <v>54</v>
      </c>
      <c r="B3" t="s">
        <v>55</v>
      </c>
    </row>
    <row r="4" spans="1:2" ht="15.75" x14ac:dyDescent="0.25">
      <c r="A4" s="34" t="s">
        <v>56</v>
      </c>
      <c r="B4" t="s">
        <v>57</v>
      </c>
    </row>
    <row r="5" spans="1:2" ht="15.75" x14ac:dyDescent="0.25">
      <c r="A5" s="34" t="s">
        <v>58</v>
      </c>
      <c r="B5" t="s">
        <v>59</v>
      </c>
    </row>
    <row r="6" spans="1:2" ht="15.75" x14ac:dyDescent="0.25">
      <c r="A6" s="34" t="s">
        <v>8</v>
      </c>
      <c r="B6" t="s">
        <v>60</v>
      </c>
    </row>
    <row r="7" spans="1:2" ht="15.75" x14ac:dyDescent="0.25">
      <c r="A7" s="34" t="s">
        <v>13</v>
      </c>
      <c r="B7" t="s">
        <v>61</v>
      </c>
    </row>
    <row r="8" spans="1:2" ht="15.75" x14ac:dyDescent="0.25">
      <c r="A8" s="34" t="s">
        <v>62</v>
      </c>
      <c r="B8" t="s">
        <v>63</v>
      </c>
    </row>
    <row r="9" spans="1:2" ht="15.75" x14ac:dyDescent="0.25">
      <c r="A9" s="34" t="s">
        <v>64</v>
      </c>
      <c r="B9" t="s">
        <v>65</v>
      </c>
    </row>
    <row r="10" spans="1:2" ht="15.75" x14ac:dyDescent="0.25">
      <c r="A10" s="34" t="s">
        <v>9</v>
      </c>
      <c r="B10" t="s">
        <v>66</v>
      </c>
    </row>
    <row r="11" spans="1:2" ht="15.75" x14ac:dyDescent="0.25">
      <c r="A11" s="35">
        <v>207</v>
      </c>
      <c r="B11" t="s">
        <v>67</v>
      </c>
    </row>
    <row r="12" spans="1:2" ht="15.75" x14ac:dyDescent="0.25">
      <c r="A12" s="35">
        <v>208</v>
      </c>
      <c r="B12" t="s">
        <v>68</v>
      </c>
    </row>
    <row r="13" spans="1:2" ht="15.75" x14ac:dyDescent="0.25">
      <c r="A13" s="35">
        <v>220</v>
      </c>
      <c r="B13" t="s">
        <v>69</v>
      </c>
    </row>
    <row r="14" spans="1:2" ht="15.75" x14ac:dyDescent="0.25">
      <c r="A14" s="35">
        <v>221</v>
      </c>
      <c r="B14" t="s">
        <v>70</v>
      </c>
    </row>
    <row r="15" spans="1:2" ht="15.75" x14ac:dyDescent="0.25">
      <c r="A15" s="35">
        <v>222</v>
      </c>
      <c r="B15" t="s">
        <v>71</v>
      </c>
    </row>
    <row r="16" spans="1:2" ht="15.75" x14ac:dyDescent="0.25">
      <c r="A16" s="35">
        <v>223</v>
      </c>
      <c r="B16" t="s">
        <v>72</v>
      </c>
    </row>
    <row r="17" spans="1:2" ht="15.75" x14ac:dyDescent="0.25">
      <c r="A17" s="35">
        <v>224</v>
      </c>
      <c r="B17" t="s">
        <v>73</v>
      </c>
    </row>
    <row r="18" spans="1:2" ht="15.75" x14ac:dyDescent="0.25">
      <c r="A18" s="35">
        <v>225</v>
      </c>
      <c r="B18" t="s">
        <v>74</v>
      </c>
    </row>
    <row r="19" spans="1:2" ht="15.75" x14ac:dyDescent="0.25">
      <c r="A19" s="35">
        <v>229</v>
      </c>
      <c r="B19" t="s">
        <v>75</v>
      </c>
    </row>
    <row r="20" spans="1:2" ht="15.75" x14ac:dyDescent="0.25">
      <c r="A20" s="35">
        <v>230</v>
      </c>
      <c r="B20" t="s">
        <v>76</v>
      </c>
    </row>
    <row r="21" spans="1:2" ht="15.75" x14ac:dyDescent="0.25">
      <c r="A21" s="35">
        <v>231</v>
      </c>
      <c r="B21" t="s">
        <v>77</v>
      </c>
    </row>
    <row r="22" spans="1:2" ht="15.75" x14ac:dyDescent="0.25">
      <c r="A22" s="35">
        <v>233</v>
      </c>
      <c r="B22" t="s">
        <v>78</v>
      </c>
    </row>
    <row r="23" spans="1:2" ht="15.75" x14ac:dyDescent="0.25">
      <c r="A23" s="35">
        <v>246</v>
      </c>
      <c r="B23" t="s">
        <v>79</v>
      </c>
    </row>
    <row r="24" spans="1:2" ht="15.75" x14ac:dyDescent="0.25">
      <c r="A24" s="35">
        <v>248</v>
      </c>
      <c r="B24" t="s">
        <v>80</v>
      </c>
    </row>
    <row r="25" spans="1:2" ht="15.75" x14ac:dyDescent="0.25">
      <c r="A25" s="35">
        <v>280</v>
      </c>
      <c r="B25" t="s">
        <v>81</v>
      </c>
    </row>
    <row r="26" spans="1:2" ht="15.75" x14ac:dyDescent="0.25">
      <c r="A26" s="35">
        <v>299</v>
      </c>
      <c r="B26" t="s">
        <v>82</v>
      </c>
    </row>
    <row r="27" spans="1:2" ht="15.75" x14ac:dyDescent="0.25">
      <c r="A27" s="35">
        <v>311</v>
      </c>
      <c r="B27" t="s">
        <v>83</v>
      </c>
    </row>
    <row r="28" spans="1:2" ht="15.75" x14ac:dyDescent="0.25">
      <c r="A28" s="35">
        <v>312</v>
      </c>
      <c r="B28" t="s">
        <v>84</v>
      </c>
    </row>
    <row r="29" spans="1:2" ht="15.75" x14ac:dyDescent="0.25">
      <c r="A29" s="35">
        <v>315</v>
      </c>
      <c r="B29" t="s">
        <v>85</v>
      </c>
    </row>
    <row r="30" spans="1:2" ht="15.75" x14ac:dyDescent="0.25">
      <c r="A30" s="35">
        <v>321</v>
      </c>
      <c r="B30" t="s">
        <v>86</v>
      </c>
    </row>
    <row r="31" spans="1:2" ht="15.75" x14ac:dyDescent="0.25">
      <c r="A31" s="35">
        <v>322</v>
      </c>
      <c r="B31" t="s">
        <v>87</v>
      </c>
    </row>
    <row r="32" spans="1:2" ht="15.75" x14ac:dyDescent="0.25">
      <c r="A32" s="35">
        <v>323</v>
      </c>
      <c r="B32" t="s">
        <v>88</v>
      </c>
    </row>
    <row r="33" spans="1:2" ht="15.75" x14ac:dyDescent="0.25">
      <c r="A33" s="35">
        <v>324</v>
      </c>
      <c r="B33" t="s">
        <v>89</v>
      </c>
    </row>
    <row r="34" spans="1:2" ht="15.75" x14ac:dyDescent="0.25">
      <c r="A34" s="35">
        <v>325</v>
      </c>
      <c r="B34" t="s">
        <v>90</v>
      </c>
    </row>
    <row r="35" spans="1:2" ht="15.75" x14ac:dyDescent="0.25">
      <c r="A35" s="35">
        <v>326</v>
      </c>
      <c r="B35" t="s">
        <v>91</v>
      </c>
    </row>
    <row r="36" spans="1:2" ht="15.75" x14ac:dyDescent="0.25">
      <c r="A36" s="35">
        <v>332</v>
      </c>
      <c r="B36" t="s">
        <v>92</v>
      </c>
    </row>
    <row r="37" spans="1:2" ht="15.75" x14ac:dyDescent="0.25">
      <c r="A37" s="35">
        <v>333</v>
      </c>
      <c r="B37" t="s">
        <v>93</v>
      </c>
    </row>
    <row r="38" spans="1:2" ht="15.75" x14ac:dyDescent="0.25">
      <c r="A38" s="35">
        <v>334</v>
      </c>
      <c r="B38" t="s">
        <v>94</v>
      </c>
    </row>
    <row r="39" spans="1:2" ht="15.75" x14ac:dyDescent="0.25">
      <c r="A39" s="35">
        <v>335</v>
      </c>
      <c r="B39" t="s">
        <v>95</v>
      </c>
    </row>
    <row r="40" spans="1:2" ht="15.75" x14ac:dyDescent="0.25">
      <c r="A40" s="35">
        <v>336</v>
      </c>
      <c r="B40" t="s">
        <v>96</v>
      </c>
    </row>
    <row r="41" spans="1:2" ht="15.75" x14ac:dyDescent="0.25">
      <c r="A41" s="35">
        <v>337</v>
      </c>
      <c r="B41" t="s">
        <v>97</v>
      </c>
    </row>
    <row r="42" spans="1:2" ht="15.75" x14ac:dyDescent="0.25">
      <c r="A42" s="35">
        <v>338</v>
      </c>
      <c r="B42" t="s">
        <v>98</v>
      </c>
    </row>
    <row r="43" spans="1:2" ht="15.75" x14ac:dyDescent="0.25">
      <c r="A43" s="35">
        <v>339</v>
      </c>
      <c r="B43" t="s">
        <v>99</v>
      </c>
    </row>
    <row r="44" spans="1:2" ht="15.75" x14ac:dyDescent="0.25">
      <c r="A44" s="35">
        <v>355</v>
      </c>
      <c r="B44" t="s">
        <v>100</v>
      </c>
    </row>
    <row r="45" spans="1:2" ht="15.75" x14ac:dyDescent="0.25">
      <c r="A45" s="35">
        <v>389</v>
      </c>
      <c r="B45" t="s">
        <v>101</v>
      </c>
    </row>
    <row r="46" spans="1:2" ht="15.75" x14ac:dyDescent="0.25">
      <c r="A46" s="35">
        <v>390</v>
      </c>
      <c r="B46" t="s">
        <v>102</v>
      </c>
    </row>
    <row r="47" spans="1:2" ht="15.75" x14ac:dyDescent="0.25">
      <c r="A47" s="35">
        <v>391</v>
      </c>
      <c r="B47" t="s">
        <v>103</v>
      </c>
    </row>
    <row r="48" spans="1:2" ht="15.75" x14ac:dyDescent="0.25">
      <c r="A48" s="35">
        <v>392</v>
      </c>
      <c r="B48" t="s">
        <v>104</v>
      </c>
    </row>
    <row r="49" spans="1:2" ht="15.75" x14ac:dyDescent="0.25">
      <c r="A49" s="35">
        <v>393</v>
      </c>
      <c r="B49" t="s">
        <v>105</v>
      </c>
    </row>
    <row r="50" spans="1:2" ht="15.75" x14ac:dyDescent="0.25">
      <c r="A50" s="35">
        <v>394</v>
      </c>
      <c r="B50" t="s">
        <v>106</v>
      </c>
    </row>
    <row r="51" spans="1:2" ht="15.75" x14ac:dyDescent="0.25">
      <c r="A51" s="35">
        <v>395</v>
      </c>
      <c r="B51" t="s">
        <v>107</v>
      </c>
    </row>
    <row r="52" spans="1:2" ht="15.75" x14ac:dyDescent="0.25">
      <c r="A52" s="35">
        <v>396</v>
      </c>
      <c r="B52" t="s">
        <v>108</v>
      </c>
    </row>
    <row r="53" spans="1:2" ht="15.75" x14ac:dyDescent="0.25">
      <c r="A53" s="35">
        <v>498</v>
      </c>
      <c r="B53" t="s">
        <v>109</v>
      </c>
    </row>
    <row r="54" spans="1:2" ht="15.75" x14ac:dyDescent="0.25">
      <c r="A54" s="35">
        <v>499</v>
      </c>
      <c r="B54" t="s">
        <v>110</v>
      </c>
    </row>
    <row r="55" spans="1:2" ht="15.75" x14ac:dyDescent="0.25">
      <c r="A55" s="35">
        <v>500</v>
      </c>
      <c r="B55" t="s">
        <v>111</v>
      </c>
    </row>
    <row r="56" spans="1:2" ht="15.75" x14ac:dyDescent="0.25">
      <c r="A56" s="35">
        <v>501</v>
      </c>
      <c r="B56" t="s">
        <v>112</v>
      </c>
    </row>
    <row r="57" spans="1:2" ht="15.75" x14ac:dyDescent="0.25">
      <c r="A57" s="35">
        <v>502</v>
      </c>
      <c r="B57" t="s">
        <v>113</v>
      </c>
    </row>
    <row r="58" spans="1:2" ht="15.75" x14ac:dyDescent="0.25">
      <c r="A58" s="35">
        <v>504</v>
      </c>
      <c r="B58" t="s">
        <v>114</v>
      </c>
    </row>
    <row r="59" spans="1:2" ht="15.75" x14ac:dyDescent="0.25">
      <c r="A59" s="35">
        <v>505</v>
      </c>
      <c r="B59" t="s">
        <v>115</v>
      </c>
    </row>
    <row r="60" spans="1:2" ht="15.75" x14ac:dyDescent="0.25">
      <c r="A60" s="35">
        <v>506</v>
      </c>
      <c r="B60" t="s">
        <v>116</v>
      </c>
    </row>
    <row r="61" spans="1:2" ht="15.75" x14ac:dyDescent="0.25">
      <c r="A61" s="35">
        <v>507</v>
      </c>
      <c r="B61" t="s">
        <v>117</v>
      </c>
    </row>
    <row r="62" spans="1:2" ht="15.75" x14ac:dyDescent="0.25">
      <c r="A62" s="35">
        <v>508</v>
      </c>
      <c r="B62" t="s">
        <v>118</v>
      </c>
    </row>
    <row r="63" spans="1:2" ht="15.75" x14ac:dyDescent="0.25">
      <c r="A63" s="35">
        <v>509</v>
      </c>
      <c r="B63" t="s">
        <v>119</v>
      </c>
    </row>
    <row r="64" spans="1:2" ht="15.75" x14ac:dyDescent="0.25">
      <c r="A64" s="35">
        <v>510</v>
      </c>
      <c r="B64" t="s">
        <v>120</v>
      </c>
    </row>
    <row r="65" spans="1:2" ht="15.75" x14ac:dyDescent="0.25">
      <c r="A65" s="35">
        <v>511</v>
      </c>
      <c r="B65" t="s">
        <v>121</v>
      </c>
    </row>
    <row r="66" spans="1:2" ht="15.75" x14ac:dyDescent="0.25">
      <c r="A66" s="35">
        <v>512</v>
      </c>
      <c r="B66" t="s">
        <v>122</v>
      </c>
    </row>
    <row r="67" spans="1:2" ht="15.75" x14ac:dyDescent="0.25">
      <c r="A67" s="35">
        <v>513</v>
      </c>
      <c r="B67" t="s">
        <v>123</v>
      </c>
    </row>
    <row r="68" spans="1:2" ht="15.75" x14ac:dyDescent="0.25">
      <c r="A68" s="35">
        <v>515</v>
      </c>
      <c r="B68" t="s">
        <v>124</v>
      </c>
    </row>
    <row r="69" spans="1:2" ht="15.75" x14ac:dyDescent="0.25">
      <c r="A69" s="35">
        <v>516</v>
      </c>
      <c r="B69" t="s">
        <v>125</v>
      </c>
    </row>
    <row r="70" spans="1:2" ht="15.75" x14ac:dyDescent="0.25">
      <c r="A70" s="35">
        <v>518</v>
      </c>
      <c r="B70" t="s">
        <v>126</v>
      </c>
    </row>
    <row r="71" spans="1:2" ht="15.75" x14ac:dyDescent="0.25">
      <c r="A71" s="35">
        <v>519</v>
      </c>
      <c r="B71" t="s">
        <v>127</v>
      </c>
    </row>
    <row r="72" spans="1:2" ht="15.75" x14ac:dyDescent="0.25">
      <c r="A72" s="35">
        <v>520</v>
      </c>
      <c r="B72" t="s">
        <v>128</v>
      </c>
    </row>
    <row r="73" spans="1:2" ht="15.75" x14ac:dyDescent="0.25">
      <c r="A73" s="35">
        <v>521</v>
      </c>
      <c r="B73" t="s">
        <v>129</v>
      </c>
    </row>
    <row r="74" spans="1:2" ht="15.75" x14ac:dyDescent="0.25">
      <c r="A74" s="35">
        <v>523</v>
      </c>
      <c r="B74" t="s">
        <v>130</v>
      </c>
    </row>
    <row r="75" spans="1:2" ht="15.75" x14ac:dyDescent="0.25">
      <c r="A75" s="35">
        <v>530</v>
      </c>
      <c r="B75" t="s">
        <v>131</v>
      </c>
    </row>
    <row r="76" spans="1:2" ht="15.75" x14ac:dyDescent="0.25">
      <c r="A76" s="35">
        <v>531</v>
      </c>
      <c r="B76" t="s">
        <v>132</v>
      </c>
    </row>
    <row r="77" spans="1:2" ht="15.75" x14ac:dyDescent="0.25">
      <c r="A77" s="35">
        <v>532</v>
      </c>
      <c r="B77" t="s">
        <v>133</v>
      </c>
    </row>
    <row r="78" spans="1:2" ht="15.75" x14ac:dyDescent="0.25">
      <c r="A78" s="35">
        <v>534</v>
      </c>
      <c r="B78" t="s">
        <v>134</v>
      </c>
    </row>
    <row r="79" spans="1:2" ht="15.75" x14ac:dyDescent="0.25">
      <c r="A79" s="35">
        <v>535</v>
      </c>
      <c r="B79" t="s">
        <v>135</v>
      </c>
    </row>
    <row r="80" spans="1:2" ht="15.75" x14ac:dyDescent="0.25">
      <c r="A80" s="35">
        <v>542</v>
      </c>
      <c r="B80" t="s">
        <v>136</v>
      </c>
    </row>
    <row r="81" spans="1:2" ht="15.75" x14ac:dyDescent="0.25">
      <c r="A81" s="35">
        <v>543</v>
      </c>
      <c r="B81" t="s">
        <v>137</v>
      </c>
    </row>
    <row r="82" spans="1:2" ht="15.75" x14ac:dyDescent="0.25">
      <c r="A82" s="35">
        <v>544</v>
      </c>
      <c r="B82" t="s">
        <v>138</v>
      </c>
    </row>
    <row r="83" spans="1:2" ht="15.75" x14ac:dyDescent="0.25">
      <c r="A83" s="35">
        <v>546</v>
      </c>
      <c r="B83" t="s">
        <v>139</v>
      </c>
    </row>
    <row r="84" spans="1:2" ht="15.75" x14ac:dyDescent="0.25">
      <c r="A84" s="35">
        <v>547</v>
      </c>
      <c r="B84" t="s">
        <v>140</v>
      </c>
    </row>
    <row r="85" spans="1:2" ht="15.75" x14ac:dyDescent="0.25">
      <c r="A85" s="35">
        <v>548</v>
      </c>
      <c r="B85" t="s">
        <v>141</v>
      </c>
    </row>
    <row r="86" spans="1:2" ht="15.75" x14ac:dyDescent="0.25">
      <c r="A86" s="35">
        <v>550</v>
      </c>
      <c r="B86" t="s">
        <v>142</v>
      </c>
    </row>
    <row r="87" spans="1:2" ht="15.75" x14ac:dyDescent="0.25">
      <c r="A87" s="35">
        <v>551</v>
      </c>
      <c r="B87" t="s">
        <v>143</v>
      </c>
    </row>
    <row r="88" spans="1:2" ht="15.75" x14ac:dyDescent="0.25">
      <c r="A88" s="35">
        <v>554</v>
      </c>
      <c r="B88" t="s">
        <v>144</v>
      </c>
    </row>
    <row r="89" spans="1:2" ht="15.75" x14ac:dyDescent="0.25">
      <c r="A89" s="35">
        <v>555</v>
      </c>
      <c r="B89" t="s">
        <v>145</v>
      </c>
    </row>
    <row r="90" spans="1:2" ht="15.75" x14ac:dyDescent="0.25">
      <c r="A90" s="35">
        <v>556</v>
      </c>
      <c r="B90" t="s">
        <v>146</v>
      </c>
    </row>
    <row r="91" spans="1:2" ht="15.75" x14ac:dyDescent="0.25">
      <c r="A91" s="35">
        <v>557</v>
      </c>
      <c r="B91" t="s">
        <v>147</v>
      </c>
    </row>
    <row r="92" spans="1:2" ht="15.75" x14ac:dyDescent="0.25">
      <c r="A92" s="35">
        <v>558</v>
      </c>
      <c r="B92" t="s">
        <v>148</v>
      </c>
    </row>
    <row r="93" spans="1:2" ht="15.75" x14ac:dyDescent="0.25">
      <c r="A93" s="35">
        <v>559</v>
      </c>
      <c r="B93" t="s">
        <v>149</v>
      </c>
    </row>
    <row r="94" spans="1:2" ht="15.75" x14ac:dyDescent="0.25">
      <c r="A94" s="35">
        <v>560</v>
      </c>
      <c r="B94" t="s">
        <v>150</v>
      </c>
    </row>
    <row r="95" spans="1:2" ht="15.75" x14ac:dyDescent="0.25">
      <c r="A95" s="35">
        <v>562</v>
      </c>
      <c r="B95" t="s">
        <v>151</v>
      </c>
    </row>
    <row r="96" spans="1:2" ht="15.75" x14ac:dyDescent="0.25">
      <c r="A96" s="35">
        <v>564</v>
      </c>
      <c r="B96" t="s">
        <v>152</v>
      </c>
    </row>
    <row r="97" spans="1:2" ht="15.75" x14ac:dyDescent="0.25">
      <c r="A97" s="35">
        <v>565</v>
      </c>
      <c r="B97" t="s">
        <v>153</v>
      </c>
    </row>
    <row r="98" spans="1:2" ht="15.75" x14ac:dyDescent="0.25">
      <c r="A98" s="35">
        <v>569</v>
      </c>
      <c r="B98" t="s">
        <v>154</v>
      </c>
    </row>
    <row r="99" spans="1:2" ht="15.75" x14ac:dyDescent="0.25">
      <c r="A99" s="35">
        <v>570</v>
      </c>
      <c r="B99" t="s">
        <v>155</v>
      </c>
    </row>
    <row r="100" spans="1:2" ht="15.75" x14ac:dyDescent="0.25">
      <c r="A100" s="35">
        <v>573</v>
      </c>
      <c r="B100" t="s">
        <v>156</v>
      </c>
    </row>
    <row r="101" spans="1:2" ht="15.75" x14ac:dyDescent="0.25">
      <c r="A101" s="35">
        <v>575</v>
      </c>
      <c r="B101" t="s">
        <v>157</v>
      </c>
    </row>
    <row r="102" spans="1:2" ht="15.75" x14ac:dyDescent="0.25">
      <c r="A102" s="35">
        <v>577</v>
      </c>
      <c r="B102" t="s">
        <v>158</v>
      </c>
    </row>
    <row r="103" spans="1:2" ht="15.75" x14ac:dyDescent="0.25">
      <c r="A103" s="35">
        <v>579</v>
      </c>
      <c r="B103" t="s">
        <v>159</v>
      </c>
    </row>
    <row r="104" spans="1:2" ht="15.75" x14ac:dyDescent="0.25">
      <c r="A104" s="35">
        <v>581</v>
      </c>
      <c r="B104" t="s">
        <v>160</v>
      </c>
    </row>
    <row r="105" spans="1:2" ht="15.75" x14ac:dyDescent="0.25">
      <c r="A105" s="35">
        <v>586</v>
      </c>
      <c r="B105" t="s">
        <v>161</v>
      </c>
    </row>
    <row r="106" spans="1:2" ht="15.75" x14ac:dyDescent="0.25">
      <c r="A106" s="35">
        <v>587</v>
      </c>
      <c r="B106" t="s">
        <v>162</v>
      </c>
    </row>
    <row r="107" spans="1:2" ht="15.75" x14ac:dyDescent="0.25">
      <c r="A107" s="35">
        <v>592</v>
      </c>
      <c r="B107" t="s">
        <v>163</v>
      </c>
    </row>
    <row r="108" spans="1:2" ht="15.75" x14ac:dyDescent="0.25">
      <c r="A108" s="35">
        <v>593</v>
      </c>
      <c r="B108" t="s">
        <v>164</v>
      </c>
    </row>
    <row r="109" spans="1:2" ht="15.75" x14ac:dyDescent="0.25">
      <c r="A109" s="35">
        <v>594</v>
      </c>
      <c r="B109" t="s">
        <v>165</v>
      </c>
    </row>
    <row r="110" spans="1:2" ht="15.75" x14ac:dyDescent="0.25">
      <c r="A110" s="35">
        <v>595</v>
      </c>
      <c r="B110" t="s">
        <v>166</v>
      </c>
    </row>
    <row r="111" spans="1:2" ht="15.75" x14ac:dyDescent="0.25">
      <c r="A111" s="35">
        <v>596</v>
      </c>
      <c r="B111" t="s">
        <v>167</v>
      </c>
    </row>
    <row r="112" spans="1:2" ht="15.75" x14ac:dyDescent="0.25">
      <c r="A112" s="35">
        <v>654</v>
      </c>
      <c r="B112" t="s">
        <v>168</v>
      </c>
    </row>
    <row r="113" spans="1:2" ht="15.75" x14ac:dyDescent="0.25">
      <c r="A113" s="35">
        <v>655</v>
      </c>
      <c r="B113" t="s">
        <v>169</v>
      </c>
    </row>
    <row r="114" spans="1:2" ht="15.75" x14ac:dyDescent="0.25">
      <c r="A114" s="35">
        <v>823</v>
      </c>
      <c r="B114" t="s">
        <v>170</v>
      </c>
    </row>
    <row r="115" spans="1:2" ht="15.75" x14ac:dyDescent="0.25">
      <c r="A115" s="35" t="s">
        <v>171</v>
      </c>
      <c r="B115" t="s">
        <v>172</v>
      </c>
    </row>
    <row r="116" spans="1:2" ht="15.75" x14ac:dyDescent="0.25">
      <c r="A116" s="35" t="s">
        <v>173</v>
      </c>
      <c r="B116" t="s">
        <v>174</v>
      </c>
    </row>
    <row r="117" spans="1:2" ht="15.75" x14ac:dyDescent="0.25">
      <c r="A117" s="35" t="s">
        <v>17</v>
      </c>
      <c r="B117" t="s">
        <v>175</v>
      </c>
    </row>
    <row r="118" spans="1:2" ht="15.75" x14ac:dyDescent="0.25">
      <c r="A118" s="35" t="s">
        <v>176</v>
      </c>
      <c r="B118" t="s">
        <v>177</v>
      </c>
    </row>
    <row r="119" spans="1:2" ht="15.75" x14ac:dyDescent="0.25">
      <c r="A119" s="35" t="s">
        <v>178</v>
      </c>
      <c r="B119" t="s">
        <v>179</v>
      </c>
    </row>
    <row r="120" spans="1:2" ht="15.75" x14ac:dyDescent="0.25">
      <c r="A120" s="35" t="s">
        <v>180</v>
      </c>
      <c r="B120" t="s">
        <v>181</v>
      </c>
    </row>
    <row r="121" spans="1:2" ht="15.75" x14ac:dyDescent="0.25">
      <c r="A121" s="35" t="s">
        <v>182</v>
      </c>
      <c r="B121" t="s">
        <v>183</v>
      </c>
    </row>
    <row r="122" spans="1:2" ht="15.75" x14ac:dyDescent="0.25">
      <c r="A122" s="35" t="s">
        <v>18</v>
      </c>
      <c r="B122" t="s">
        <v>184</v>
      </c>
    </row>
    <row r="123" spans="1:2" ht="15.75" x14ac:dyDescent="0.25">
      <c r="A123" s="35" t="s">
        <v>185</v>
      </c>
      <c r="B123" t="s">
        <v>186</v>
      </c>
    </row>
    <row r="124" spans="1:2" ht="15.75" x14ac:dyDescent="0.25">
      <c r="A124" s="35" t="s">
        <v>187</v>
      </c>
      <c r="B124" t="s">
        <v>188</v>
      </c>
    </row>
    <row r="125" spans="1:2" ht="15.75" x14ac:dyDescent="0.25">
      <c r="A125" s="35" t="s">
        <v>189</v>
      </c>
      <c r="B125" t="s">
        <v>190</v>
      </c>
    </row>
    <row r="126" spans="1:2" ht="15.75" x14ac:dyDescent="0.25">
      <c r="A126" s="35" t="s">
        <v>191</v>
      </c>
      <c r="B126" t="s">
        <v>192</v>
      </c>
    </row>
    <row r="127" spans="1:2" ht="15.75" x14ac:dyDescent="0.25">
      <c r="A127" s="35" t="s">
        <v>15</v>
      </c>
      <c r="B127" t="s">
        <v>193</v>
      </c>
    </row>
    <row r="128" spans="1:2" ht="15.75" x14ac:dyDescent="0.25">
      <c r="A128" s="35">
        <v>525</v>
      </c>
      <c r="B128" t="s">
        <v>194</v>
      </c>
    </row>
    <row r="129" spans="1:2" ht="15.75" x14ac:dyDescent="0.25">
      <c r="A129" s="35" t="s">
        <v>195</v>
      </c>
      <c r="B129" t="s">
        <v>196</v>
      </c>
    </row>
    <row r="130" spans="1:2" ht="15.75" x14ac:dyDescent="0.25">
      <c r="A130" s="35">
        <v>574</v>
      </c>
      <c r="B130" t="s">
        <v>197</v>
      </c>
    </row>
    <row r="131" spans="1:2" ht="15.75" x14ac:dyDescent="0.25">
      <c r="A131" s="35" t="s">
        <v>198</v>
      </c>
      <c r="B131" t="s">
        <v>199</v>
      </c>
    </row>
    <row r="132" spans="1:2" ht="15.75" x14ac:dyDescent="0.25">
      <c r="A132" s="35" t="s">
        <v>24</v>
      </c>
      <c r="B132" t="s">
        <v>200</v>
      </c>
    </row>
    <row r="133" spans="1:2" ht="15.75" x14ac:dyDescent="0.25">
      <c r="A133" s="35" t="s">
        <v>32</v>
      </c>
      <c r="B133" t="s">
        <v>201</v>
      </c>
    </row>
    <row r="134" spans="1:2" ht="15.75" x14ac:dyDescent="0.25">
      <c r="A134" s="35" t="s">
        <v>202</v>
      </c>
      <c r="B134" t="s">
        <v>203</v>
      </c>
    </row>
    <row r="135" spans="1:2" ht="15.75" x14ac:dyDescent="0.25">
      <c r="A135" s="35" t="s">
        <v>33</v>
      </c>
      <c r="B135" t="s">
        <v>204</v>
      </c>
    </row>
    <row r="136" spans="1:2" ht="15.75" x14ac:dyDescent="0.25">
      <c r="A136" s="35" t="s">
        <v>34</v>
      </c>
      <c r="B136" t="s">
        <v>205</v>
      </c>
    </row>
    <row r="137" spans="1:2" ht="15.75" x14ac:dyDescent="0.25">
      <c r="A137" s="35" t="s">
        <v>35</v>
      </c>
      <c r="B137" t="s">
        <v>206</v>
      </c>
    </row>
    <row r="138" spans="1:2" ht="15.75" x14ac:dyDescent="0.25">
      <c r="A138" s="35" t="s">
        <v>36</v>
      </c>
      <c r="B138" t="s">
        <v>207</v>
      </c>
    </row>
    <row r="139" spans="1:2" ht="15.75" x14ac:dyDescent="0.25">
      <c r="A139" s="35" t="s">
        <v>37</v>
      </c>
      <c r="B139" t="s">
        <v>208</v>
      </c>
    </row>
    <row r="140" spans="1:2" ht="15.75" x14ac:dyDescent="0.25">
      <c r="A140" s="35" t="s">
        <v>38</v>
      </c>
      <c r="B140" t="s">
        <v>209</v>
      </c>
    </row>
    <row r="141" spans="1:2" ht="15.75" x14ac:dyDescent="0.25">
      <c r="A141" s="35" t="s">
        <v>10</v>
      </c>
      <c r="B141" t="s">
        <v>210</v>
      </c>
    </row>
    <row r="142" spans="1:2" ht="15.75" x14ac:dyDescent="0.25">
      <c r="A142" s="35">
        <v>514</v>
      </c>
      <c r="B142" t="s">
        <v>211</v>
      </c>
    </row>
    <row r="143" spans="1:2" ht="15.75" x14ac:dyDescent="0.25">
      <c r="A143" s="35" t="s">
        <v>212</v>
      </c>
      <c r="B143" t="s">
        <v>213</v>
      </c>
    </row>
    <row r="144" spans="1:2" ht="15.75" x14ac:dyDescent="0.25">
      <c r="A144" s="35">
        <v>398</v>
      </c>
      <c r="B144" t="s">
        <v>214</v>
      </c>
    </row>
    <row r="145" spans="1:2" ht="15.75" x14ac:dyDescent="0.25">
      <c r="A145" s="35">
        <v>399</v>
      </c>
      <c r="B145" t="s">
        <v>215</v>
      </c>
    </row>
    <row r="146" spans="1:2" ht="15.75" x14ac:dyDescent="0.25">
      <c r="A146" s="35">
        <v>400</v>
      </c>
      <c r="B146" t="s">
        <v>216</v>
      </c>
    </row>
    <row r="147" spans="1:2" ht="15.75" x14ac:dyDescent="0.25">
      <c r="A147" s="35">
        <v>241</v>
      </c>
      <c r="B147" t="s">
        <v>217</v>
      </c>
    </row>
    <row r="148" spans="1:2" ht="15.75" x14ac:dyDescent="0.25">
      <c r="A148" s="35">
        <v>242</v>
      </c>
      <c r="B148" t="s">
        <v>218</v>
      </c>
    </row>
    <row r="149" spans="1:2" ht="15.75" x14ac:dyDescent="0.25">
      <c r="A149" s="35">
        <v>553</v>
      </c>
      <c r="B149" t="s">
        <v>219</v>
      </c>
    </row>
    <row r="150" spans="1:2" ht="15.75" x14ac:dyDescent="0.25">
      <c r="A150" s="35">
        <v>561</v>
      </c>
      <c r="B150" t="s">
        <v>220</v>
      </c>
    </row>
    <row r="151" spans="1:2" ht="15.75" x14ac:dyDescent="0.25">
      <c r="A151" s="35">
        <v>563</v>
      </c>
      <c r="B151" t="s">
        <v>221</v>
      </c>
    </row>
    <row r="152" spans="1:2" ht="15.75" x14ac:dyDescent="0.25">
      <c r="A152" s="35">
        <v>580</v>
      </c>
      <c r="B152" t="s">
        <v>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7DBF-9753-4A80-B8E9-A96036432374}">
  <dimension ref="A2:C26"/>
  <sheetViews>
    <sheetView topLeftCell="A22" workbookViewId="0">
      <selection activeCell="A5" sqref="A5:B26"/>
    </sheetView>
  </sheetViews>
  <sheetFormatPr baseColWidth="10" defaultRowHeight="15" x14ac:dyDescent="0.25"/>
  <cols>
    <col min="1" max="1" width="10" customWidth="1"/>
    <col min="2" max="2" width="7.7109375" customWidth="1"/>
    <col min="3" max="3" width="20.85546875" customWidth="1"/>
  </cols>
  <sheetData>
    <row r="2" spans="1:3" ht="21" customHeight="1" x14ac:dyDescent="0.25">
      <c r="A2" s="44" t="s">
        <v>11</v>
      </c>
      <c r="B2" s="44"/>
      <c r="C2" s="44"/>
    </row>
    <row r="3" spans="1:3" ht="4.5" customHeight="1" thickBot="1" x14ac:dyDescent="0.3">
      <c r="A3" s="28"/>
      <c r="B3" s="28"/>
      <c r="C3" s="18"/>
    </row>
    <row r="4" spans="1:3" ht="46.5" x14ac:dyDescent="0.25">
      <c r="A4" s="21" t="s">
        <v>5</v>
      </c>
      <c r="B4" s="22" t="s">
        <v>4</v>
      </c>
      <c r="C4" s="23" t="s">
        <v>46</v>
      </c>
    </row>
    <row r="5" spans="1:3" ht="24" customHeight="1" x14ac:dyDescent="0.25">
      <c r="A5" s="24" t="s">
        <v>12</v>
      </c>
      <c r="B5" s="17">
        <v>10</v>
      </c>
      <c r="C5" s="29"/>
    </row>
    <row r="6" spans="1:3" ht="24" customHeight="1" x14ac:dyDescent="0.25">
      <c r="A6" s="25">
        <v>106</v>
      </c>
      <c r="B6" s="17">
        <v>8</v>
      </c>
      <c r="C6" s="29"/>
    </row>
    <row r="7" spans="1:3" ht="24" customHeight="1" x14ac:dyDescent="0.25">
      <c r="A7" s="25">
        <v>107</v>
      </c>
      <c r="B7" s="17">
        <v>12</v>
      </c>
      <c r="C7" s="29"/>
    </row>
    <row r="8" spans="1:3" ht="24" customHeight="1" x14ac:dyDescent="0.25">
      <c r="A8" s="25">
        <v>108</v>
      </c>
      <c r="B8" s="17">
        <v>6</v>
      </c>
      <c r="C8" s="29"/>
    </row>
    <row r="9" spans="1:3" ht="24" customHeight="1" x14ac:dyDescent="0.25">
      <c r="A9" s="25">
        <v>160</v>
      </c>
      <c r="B9" s="17">
        <v>23</v>
      </c>
      <c r="C9" s="29"/>
    </row>
    <row r="10" spans="1:3" ht="24" customHeight="1" x14ac:dyDescent="0.25">
      <c r="A10" s="25">
        <v>396</v>
      </c>
      <c r="B10" s="17">
        <v>6</v>
      </c>
      <c r="C10" s="29"/>
    </row>
    <row r="11" spans="1:3" ht="24" customHeight="1" x14ac:dyDescent="0.25">
      <c r="A11" s="25">
        <v>609</v>
      </c>
      <c r="B11" s="17">
        <v>8</v>
      </c>
      <c r="C11" s="29"/>
    </row>
    <row r="12" spans="1:3" ht="24" customHeight="1" x14ac:dyDescent="0.25">
      <c r="A12" s="25">
        <v>701</v>
      </c>
      <c r="B12" s="17">
        <v>2</v>
      </c>
      <c r="C12" s="29"/>
    </row>
    <row r="13" spans="1:3" ht="24" customHeight="1" x14ac:dyDescent="0.25">
      <c r="A13" s="25">
        <v>701</v>
      </c>
      <c r="B13" s="17">
        <v>3</v>
      </c>
      <c r="C13" s="29"/>
    </row>
    <row r="14" spans="1:3" ht="24" customHeight="1" x14ac:dyDescent="0.25">
      <c r="A14" s="25">
        <v>702</v>
      </c>
      <c r="B14" s="17">
        <v>11</v>
      </c>
      <c r="C14" s="29"/>
    </row>
    <row r="15" spans="1:3" ht="24" customHeight="1" x14ac:dyDescent="0.25">
      <c r="A15" s="25" t="s">
        <v>47</v>
      </c>
      <c r="B15" s="17">
        <v>10</v>
      </c>
      <c r="C15" s="29"/>
    </row>
    <row r="16" spans="1:3" ht="24" customHeight="1" x14ac:dyDescent="0.25">
      <c r="A16" s="25">
        <v>726</v>
      </c>
      <c r="B16" s="17">
        <v>10</v>
      </c>
      <c r="C16" s="29"/>
    </row>
    <row r="17" spans="1:3" ht="24" customHeight="1" x14ac:dyDescent="0.25">
      <c r="A17" s="25" t="s">
        <v>48</v>
      </c>
      <c r="B17" s="17">
        <v>9</v>
      </c>
      <c r="C17" s="29"/>
    </row>
    <row r="18" spans="1:3" ht="24" customHeight="1" x14ac:dyDescent="0.25">
      <c r="A18" s="25">
        <v>731</v>
      </c>
      <c r="B18" s="17">
        <v>9</v>
      </c>
      <c r="C18" s="29"/>
    </row>
    <row r="19" spans="1:3" ht="24" customHeight="1" x14ac:dyDescent="0.25">
      <c r="A19" s="25">
        <v>757</v>
      </c>
      <c r="B19" s="17">
        <v>91</v>
      </c>
      <c r="C19" s="29"/>
    </row>
    <row r="20" spans="1:3" ht="24" customHeight="1" x14ac:dyDescent="0.25">
      <c r="A20" s="25">
        <v>771</v>
      </c>
      <c r="B20" s="17">
        <v>7</v>
      </c>
      <c r="C20" s="29"/>
    </row>
    <row r="21" spans="1:3" ht="24" customHeight="1" x14ac:dyDescent="0.25">
      <c r="A21" s="25">
        <v>789</v>
      </c>
      <c r="B21" s="17">
        <v>17</v>
      </c>
      <c r="C21" s="29"/>
    </row>
    <row r="22" spans="1:3" ht="24" customHeight="1" x14ac:dyDescent="0.25">
      <c r="A22" s="25">
        <v>802</v>
      </c>
      <c r="B22" s="17">
        <v>8</v>
      </c>
      <c r="C22" s="29"/>
    </row>
    <row r="23" spans="1:3" ht="24" customHeight="1" x14ac:dyDescent="0.25">
      <c r="A23" s="25">
        <v>845</v>
      </c>
      <c r="B23" s="17">
        <v>4</v>
      </c>
      <c r="C23" s="29"/>
    </row>
    <row r="24" spans="1:3" ht="24" customHeight="1" x14ac:dyDescent="0.25">
      <c r="A24" s="25">
        <v>847</v>
      </c>
      <c r="B24" s="17">
        <v>12</v>
      </c>
      <c r="C24" s="29"/>
    </row>
    <row r="25" spans="1:3" ht="24" customHeight="1" x14ac:dyDescent="0.25">
      <c r="A25" s="25">
        <v>857</v>
      </c>
      <c r="B25" s="17">
        <v>12</v>
      </c>
      <c r="C25" s="29"/>
    </row>
    <row r="26" spans="1:3" ht="24" customHeight="1" thickBot="1" x14ac:dyDescent="0.3">
      <c r="A26" s="26">
        <v>878</v>
      </c>
      <c r="B26" s="27">
        <v>19</v>
      </c>
      <c r="C26" s="30"/>
    </row>
  </sheetData>
  <autoFilter ref="A4:B26" xr:uid="{96737DBF-9753-4A80-B8E9-A96036432374}">
    <sortState xmlns:xlrd2="http://schemas.microsoft.com/office/spreadsheetml/2017/richdata2" ref="A5:B26">
      <sortCondition ref="A4:A26"/>
    </sortState>
  </autoFilter>
  <mergeCells count="1">
    <mergeCell ref="A2:C2"/>
  </mergeCells>
  <printOptions horizontalCentered="1"/>
  <pageMargins left="0" right="0" top="0.39370078740157483" bottom="0" header="0" footer="0"/>
  <pageSetup scale="128" fitToWidth="0" orientation="portrait" horizontalDpi="0" verticalDpi="0" r:id="rId1"/>
  <ignoredErrors>
    <ignoredError sqref="A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D08A-AA4D-4972-8089-BB742FB3D69F}">
  <dimension ref="A2:G20"/>
  <sheetViews>
    <sheetView topLeftCell="A3" workbookViewId="0">
      <selection activeCell="E5" sqref="E5:F20"/>
    </sheetView>
  </sheetViews>
  <sheetFormatPr baseColWidth="10" defaultRowHeight="15" x14ac:dyDescent="0.25"/>
  <cols>
    <col min="1" max="1" width="9.5703125" customWidth="1"/>
    <col min="2" max="2" width="7.28515625" customWidth="1"/>
    <col min="4" max="4" width="5.140625" customWidth="1"/>
    <col min="5" max="5" width="9.5703125" customWidth="1"/>
    <col min="6" max="6" width="7.5703125" customWidth="1"/>
  </cols>
  <sheetData>
    <row r="2" spans="1:7" ht="28.5" x14ac:dyDescent="0.45">
      <c r="A2" s="43" t="s">
        <v>45</v>
      </c>
      <c r="B2" s="43"/>
      <c r="C2" s="43"/>
      <c r="D2" s="43"/>
      <c r="E2" s="43"/>
      <c r="F2" s="43"/>
      <c r="G2" s="43"/>
    </row>
    <row r="3" spans="1:7" ht="7.5" customHeight="1" x14ac:dyDescent="0.25"/>
    <row r="4" spans="1:7" ht="42" x14ac:dyDescent="0.25">
      <c r="A4" s="15" t="s">
        <v>5</v>
      </c>
      <c r="B4" s="15" t="s">
        <v>4</v>
      </c>
      <c r="C4" s="15" t="s">
        <v>46</v>
      </c>
      <c r="E4" s="15" t="s">
        <v>5</v>
      </c>
      <c r="F4" s="15" t="s">
        <v>4</v>
      </c>
      <c r="G4" s="15" t="s">
        <v>46</v>
      </c>
    </row>
    <row r="5" spans="1:7" ht="24" customHeight="1" x14ac:dyDescent="0.25">
      <c r="A5" s="19" t="s">
        <v>16</v>
      </c>
      <c r="B5" s="17">
        <v>11</v>
      </c>
      <c r="C5" s="1"/>
      <c r="E5" s="17" t="s">
        <v>29</v>
      </c>
      <c r="F5" s="17">
        <v>8</v>
      </c>
      <c r="G5" s="1"/>
    </row>
    <row r="6" spans="1:7" ht="24" customHeight="1" x14ac:dyDescent="0.25">
      <c r="A6" s="17" t="s">
        <v>17</v>
      </c>
      <c r="B6" s="17">
        <v>11</v>
      </c>
      <c r="C6" s="1"/>
      <c r="E6" s="17" t="s">
        <v>30</v>
      </c>
      <c r="F6" s="17">
        <v>11</v>
      </c>
      <c r="G6" s="1"/>
    </row>
    <row r="7" spans="1:7" ht="24" customHeight="1" x14ac:dyDescent="0.25">
      <c r="A7" s="17" t="s">
        <v>18</v>
      </c>
      <c r="B7" s="17">
        <v>11</v>
      </c>
      <c r="C7" s="1"/>
      <c r="E7" s="17" t="s">
        <v>31</v>
      </c>
      <c r="F7" s="17">
        <v>18</v>
      </c>
      <c r="G7" s="1"/>
    </row>
    <row r="8" spans="1:7" ht="24" customHeight="1" x14ac:dyDescent="0.25">
      <c r="A8" s="17" t="s">
        <v>14</v>
      </c>
      <c r="B8" s="17">
        <v>5</v>
      </c>
      <c r="C8" s="1"/>
      <c r="E8" s="17" t="s">
        <v>32</v>
      </c>
      <c r="F8" s="17">
        <v>11</v>
      </c>
      <c r="G8" s="1"/>
    </row>
    <row r="9" spans="1:7" ht="24" customHeight="1" x14ac:dyDescent="0.25">
      <c r="A9" s="17" t="s">
        <v>19</v>
      </c>
      <c r="B9" s="17">
        <v>3</v>
      </c>
      <c r="C9" s="1"/>
      <c r="E9" s="17" t="s">
        <v>33</v>
      </c>
      <c r="F9" s="17">
        <v>3</v>
      </c>
      <c r="G9" s="1"/>
    </row>
    <row r="10" spans="1:7" ht="24" customHeight="1" x14ac:dyDescent="0.25">
      <c r="A10" s="17" t="s">
        <v>15</v>
      </c>
      <c r="B10" s="17">
        <v>3</v>
      </c>
      <c r="C10" s="1"/>
      <c r="E10" s="17" t="s">
        <v>34</v>
      </c>
      <c r="F10" s="17">
        <v>4</v>
      </c>
      <c r="G10" s="1"/>
    </row>
    <row r="11" spans="1:7" ht="24" customHeight="1" x14ac:dyDescent="0.25">
      <c r="A11" s="17" t="s">
        <v>20</v>
      </c>
      <c r="B11" s="17">
        <v>4</v>
      </c>
      <c r="C11" s="1"/>
      <c r="E11" s="17" t="s">
        <v>35</v>
      </c>
      <c r="F11" s="17">
        <v>11</v>
      </c>
      <c r="G11" s="1"/>
    </row>
    <row r="12" spans="1:7" ht="24" customHeight="1" x14ac:dyDescent="0.25">
      <c r="A12" s="17" t="s">
        <v>21</v>
      </c>
      <c r="B12" s="17">
        <v>10</v>
      </c>
      <c r="C12" s="1"/>
      <c r="E12" s="17" t="s">
        <v>36</v>
      </c>
      <c r="F12" s="17">
        <v>7</v>
      </c>
      <c r="G12" s="1"/>
    </row>
    <row r="13" spans="1:7" ht="24" customHeight="1" x14ac:dyDescent="0.25">
      <c r="A13" s="17" t="s">
        <v>22</v>
      </c>
      <c r="B13" s="17">
        <v>10</v>
      </c>
      <c r="C13" s="1"/>
      <c r="E13" s="17" t="s">
        <v>37</v>
      </c>
      <c r="F13" s="17">
        <v>10</v>
      </c>
      <c r="G13" s="1"/>
    </row>
    <row r="14" spans="1:7" ht="24" customHeight="1" x14ac:dyDescent="0.25">
      <c r="A14" s="17" t="s">
        <v>23</v>
      </c>
      <c r="B14" s="17">
        <v>3</v>
      </c>
      <c r="C14" s="1"/>
      <c r="E14" s="17" t="s">
        <v>38</v>
      </c>
      <c r="F14" s="17">
        <v>8</v>
      </c>
      <c r="G14" s="1"/>
    </row>
    <row r="15" spans="1:7" ht="24" customHeight="1" x14ac:dyDescent="0.25">
      <c r="A15" s="17" t="s">
        <v>24</v>
      </c>
      <c r="B15" s="17">
        <v>4</v>
      </c>
      <c r="C15" s="1"/>
      <c r="E15" s="17" t="s">
        <v>39</v>
      </c>
      <c r="F15" s="17">
        <v>3</v>
      </c>
      <c r="G15" s="1"/>
    </row>
    <row r="16" spans="1:7" ht="24" customHeight="1" x14ac:dyDescent="0.25">
      <c r="A16" s="17" t="s">
        <v>25</v>
      </c>
      <c r="B16" s="17">
        <v>4</v>
      </c>
      <c r="C16" s="1"/>
      <c r="E16" s="17" t="s">
        <v>40</v>
      </c>
      <c r="F16" s="17">
        <v>7</v>
      </c>
      <c r="G16" s="1"/>
    </row>
    <row r="17" spans="1:7" ht="24" customHeight="1" x14ac:dyDescent="0.25">
      <c r="A17" s="17" t="s">
        <v>26</v>
      </c>
      <c r="B17" s="17">
        <v>8</v>
      </c>
      <c r="C17" s="1"/>
      <c r="E17" s="17" t="s">
        <v>41</v>
      </c>
      <c r="F17" s="17">
        <v>8</v>
      </c>
      <c r="G17" s="1"/>
    </row>
    <row r="18" spans="1:7" ht="24" customHeight="1" x14ac:dyDescent="0.25">
      <c r="A18" s="17" t="s">
        <v>27</v>
      </c>
      <c r="B18" s="17">
        <v>11</v>
      </c>
      <c r="C18" s="1"/>
      <c r="E18" s="17" t="s">
        <v>42</v>
      </c>
      <c r="F18" s="17">
        <v>8</v>
      </c>
      <c r="G18" s="1"/>
    </row>
    <row r="19" spans="1:7" ht="24" customHeight="1" x14ac:dyDescent="0.25">
      <c r="A19" s="17" t="s">
        <v>28</v>
      </c>
      <c r="B19" s="17">
        <v>11</v>
      </c>
      <c r="C19" s="1"/>
      <c r="E19" s="17" t="s">
        <v>43</v>
      </c>
      <c r="F19" s="17">
        <v>8</v>
      </c>
      <c r="G19" s="1"/>
    </row>
    <row r="20" spans="1:7" ht="24" customHeight="1" x14ac:dyDescent="0.25">
      <c r="E20" s="17" t="s">
        <v>44</v>
      </c>
      <c r="F20" s="17">
        <v>8</v>
      </c>
      <c r="G20" s="1"/>
    </row>
  </sheetData>
  <mergeCells count="1">
    <mergeCell ref="A2:G2"/>
  </mergeCells>
  <printOptions horizontalCentered="1"/>
  <pageMargins left="0" right="0" top="0.39370078740157483" bottom="0" header="0" footer="0"/>
  <pageSetup scale="15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37CF-ADA2-4AB0-A7F3-CBF631213909}">
  <dimension ref="A2:C35"/>
  <sheetViews>
    <sheetView workbookViewId="0">
      <selection activeCell="A3" sqref="A3:C29"/>
    </sheetView>
  </sheetViews>
  <sheetFormatPr baseColWidth="10" defaultRowHeight="15" x14ac:dyDescent="0.25"/>
  <cols>
    <col min="1" max="1" width="17" customWidth="1"/>
    <col min="2" max="2" width="57.28515625" customWidth="1"/>
    <col min="3" max="3" width="19.7109375" customWidth="1"/>
  </cols>
  <sheetData>
    <row r="2" spans="1:3" ht="7.5" customHeight="1" thickBot="1" x14ac:dyDescent="0.3"/>
    <row r="3" spans="1:3" ht="32.25" thickBot="1" x14ac:dyDescent="0.3">
      <c r="A3" s="45" t="s">
        <v>0</v>
      </c>
      <c r="B3" s="46"/>
      <c r="C3" s="47"/>
    </row>
    <row r="4" spans="1:3" ht="12.75" customHeight="1" thickBot="1" x14ac:dyDescent="0.3"/>
    <row r="5" spans="1:3" ht="39" customHeight="1" thickBot="1" x14ac:dyDescent="0.3">
      <c r="A5" s="2" t="s">
        <v>1</v>
      </c>
      <c r="B5" s="3" t="s">
        <v>3</v>
      </c>
      <c r="C5" s="4" t="s">
        <v>2</v>
      </c>
    </row>
    <row r="6" spans="1:3" ht="27.95" customHeight="1" x14ac:dyDescent="0.25">
      <c r="A6" s="5"/>
      <c r="B6" s="6"/>
      <c r="C6" s="7"/>
    </row>
    <row r="7" spans="1:3" ht="27.95" customHeight="1" x14ac:dyDescent="0.25">
      <c r="A7" s="8"/>
      <c r="B7" s="9"/>
      <c r="C7" s="10"/>
    </row>
    <row r="8" spans="1:3" ht="27.95" customHeight="1" x14ac:dyDescent="0.25">
      <c r="A8" s="8"/>
      <c r="B8" s="9"/>
      <c r="C8" s="10"/>
    </row>
    <row r="9" spans="1:3" ht="27.95" customHeight="1" x14ac:dyDescent="0.25">
      <c r="A9" s="8"/>
      <c r="B9" s="9"/>
      <c r="C9" s="10"/>
    </row>
    <row r="10" spans="1:3" ht="27.95" customHeight="1" x14ac:dyDescent="0.25">
      <c r="A10" s="8"/>
      <c r="B10" s="9"/>
      <c r="C10" s="10"/>
    </row>
    <row r="11" spans="1:3" ht="27.95" customHeight="1" x14ac:dyDescent="0.25">
      <c r="A11" s="8"/>
      <c r="B11" s="9"/>
      <c r="C11" s="10"/>
    </row>
    <row r="12" spans="1:3" ht="27.95" customHeight="1" x14ac:dyDescent="0.25">
      <c r="A12" s="8"/>
      <c r="B12" s="9"/>
      <c r="C12" s="10"/>
    </row>
    <row r="13" spans="1:3" ht="27.95" customHeight="1" x14ac:dyDescent="0.25">
      <c r="A13" s="8"/>
      <c r="B13" s="9"/>
      <c r="C13" s="10"/>
    </row>
    <row r="14" spans="1:3" ht="27.95" customHeight="1" x14ac:dyDescent="0.25">
      <c r="A14" s="8"/>
      <c r="B14" s="9"/>
      <c r="C14" s="10"/>
    </row>
    <row r="15" spans="1:3" ht="27.95" customHeight="1" x14ac:dyDescent="0.25">
      <c r="A15" s="8"/>
      <c r="B15" s="9"/>
      <c r="C15" s="10"/>
    </row>
    <row r="16" spans="1:3" ht="27.95" customHeight="1" x14ac:dyDescent="0.25">
      <c r="A16" s="8"/>
      <c r="B16" s="9"/>
      <c r="C16" s="10"/>
    </row>
    <row r="17" spans="1:3" ht="27.95" customHeight="1" x14ac:dyDescent="0.25">
      <c r="A17" s="8"/>
      <c r="B17" s="9"/>
      <c r="C17" s="10"/>
    </row>
    <row r="18" spans="1:3" ht="27.95" customHeight="1" x14ac:dyDescent="0.25">
      <c r="A18" s="8"/>
      <c r="B18" s="9"/>
      <c r="C18" s="10"/>
    </row>
    <row r="19" spans="1:3" ht="27.95" customHeight="1" x14ac:dyDescent="0.25">
      <c r="A19" s="8"/>
      <c r="B19" s="9"/>
      <c r="C19" s="10"/>
    </row>
    <row r="20" spans="1:3" ht="27.95" customHeight="1" x14ac:dyDescent="0.25">
      <c r="A20" s="8"/>
      <c r="B20" s="9"/>
      <c r="C20" s="10"/>
    </row>
    <row r="21" spans="1:3" ht="27.95" customHeight="1" x14ac:dyDescent="0.25">
      <c r="A21" s="8"/>
      <c r="B21" s="9"/>
      <c r="C21" s="10"/>
    </row>
    <row r="22" spans="1:3" ht="27.95" customHeight="1" x14ac:dyDescent="0.25">
      <c r="A22" s="8"/>
      <c r="B22" s="9"/>
      <c r="C22" s="10"/>
    </row>
    <row r="23" spans="1:3" ht="27.95" customHeight="1" x14ac:dyDescent="0.25">
      <c r="A23" s="8"/>
      <c r="B23" s="9"/>
      <c r="C23" s="10"/>
    </row>
    <row r="24" spans="1:3" ht="27.95" customHeight="1" x14ac:dyDescent="0.25">
      <c r="A24" s="8"/>
      <c r="B24" s="9"/>
      <c r="C24" s="10"/>
    </row>
    <row r="25" spans="1:3" ht="27.95" customHeight="1" x14ac:dyDescent="0.25">
      <c r="A25" s="8"/>
      <c r="B25" s="9"/>
      <c r="C25" s="10"/>
    </row>
    <row r="26" spans="1:3" ht="27.95" customHeight="1" x14ac:dyDescent="0.25">
      <c r="A26" s="8"/>
      <c r="B26" s="9"/>
      <c r="C26" s="10"/>
    </row>
    <row r="27" spans="1:3" ht="27.95" customHeight="1" x14ac:dyDescent="0.25">
      <c r="A27" s="8"/>
      <c r="B27" s="9"/>
      <c r="C27" s="10"/>
    </row>
    <row r="28" spans="1:3" ht="27.95" customHeight="1" x14ac:dyDescent="0.25">
      <c r="A28" s="8"/>
      <c r="B28" s="9"/>
      <c r="C28" s="10"/>
    </row>
    <row r="29" spans="1:3" ht="27.95" customHeight="1" thickBot="1" x14ac:dyDescent="0.3">
      <c r="A29" s="11"/>
      <c r="B29" s="12"/>
      <c r="C29" s="13"/>
    </row>
    <row r="30" spans="1:3" ht="27.95" customHeight="1" x14ac:dyDescent="0.25">
      <c r="A30" s="5"/>
      <c r="B30" s="6"/>
      <c r="C30" s="7"/>
    </row>
    <row r="31" spans="1:3" ht="27.95" customHeight="1" x14ac:dyDescent="0.25">
      <c r="A31" s="8"/>
      <c r="B31" s="9"/>
      <c r="C31" s="10"/>
    </row>
    <row r="32" spans="1:3" ht="27.95" customHeight="1" x14ac:dyDescent="0.25">
      <c r="A32" s="8"/>
      <c r="B32" s="9"/>
      <c r="C32" s="10"/>
    </row>
    <row r="33" spans="1:3" ht="27.95" customHeight="1" x14ac:dyDescent="0.25">
      <c r="A33" s="8"/>
      <c r="B33" s="9"/>
      <c r="C33" s="10"/>
    </row>
    <row r="34" spans="1:3" ht="27.95" customHeight="1" x14ac:dyDescent="0.25">
      <c r="A34" s="8"/>
      <c r="B34" s="9"/>
      <c r="C34" s="10"/>
    </row>
    <row r="35" spans="1:3" ht="27.95" customHeight="1" thickBot="1" x14ac:dyDescent="0.3">
      <c r="A35" s="11"/>
      <c r="B35" s="12"/>
      <c r="C35" s="13"/>
    </row>
  </sheetData>
  <mergeCells count="1">
    <mergeCell ref="A3:C3"/>
  </mergeCells>
  <printOptions horizontalCentered="1" verticalCentered="1"/>
  <pageMargins left="0" right="0" top="0.39370078740157483" bottom="0" header="0" footer="0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Garage</vt:lpstr>
      <vt:lpstr>LK</vt:lpstr>
      <vt:lpstr>Hoja2</vt:lpstr>
      <vt:lpstr>Ch</vt:lpstr>
      <vt:lpstr>Importado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 Loeke</dc:creator>
  <cp:lastModifiedBy>Loekemeyer Srl</cp:lastModifiedBy>
  <cp:lastPrinted>2026-03-18T20:38:46Z</cp:lastPrinted>
  <dcterms:created xsi:type="dcterms:W3CDTF">2025-11-17T12:33:29Z</dcterms:created>
  <dcterms:modified xsi:type="dcterms:W3CDTF">2026-03-19T12:00:34Z</dcterms:modified>
</cp:coreProperties>
</file>